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egments" sheetId="5" state="visible" r:id="rId5"/>
    <sheet xmlns:r="http://schemas.openxmlformats.org/officeDocument/2006/relationships" name="Geography" sheetId="6" state="visible" r:id="rId6"/>
    <sheet xmlns:r="http://schemas.openxmlformats.org/officeDocument/2006/relationships" name="Operating Metrics" sheetId="7" state="visible" r:id="rId7"/>
    <sheet xmlns:r="http://schemas.openxmlformats.org/officeDocument/2006/relationships" name="Derived Metric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#,##0.00;(#,##0.00);&quot;-&quot;"/>
    <numFmt numFmtId="167" formatCode="#,##0.0;(#,##0.0);&quot;-&quot;"/>
    <numFmt numFmtId="168" formatCode="0.0&quot;x&quot;;(0.0&quot;x&quot;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i val="1"/>
      <color rgb="00808080"/>
      <sz val="8"/>
    </font>
    <font>
      <name val="Arial"/>
      <color rgb="000563C1"/>
      <sz val="9"/>
      <u val="single"/>
    </font>
    <font>
      <name val="Arial"/>
      <b val="1"/>
      <color rgb="00FFFFFF"/>
      <sz val="10"/>
    </font>
    <font>
      <name val="Arial"/>
      <b val="1"/>
      <color rgb="000000CC"/>
      <sz val="10"/>
    </font>
    <font>
      <name val="Arial"/>
      <i val="1"/>
      <color rgb="00999999"/>
      <sz val="9"/>
    </font>
    <font>
      <name val="Arial"/>
      <color rgb="000000CC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i val="1"/>
      <color rgb="00BF8F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pivotButton="0" quotePrefix="0" xfId="0"/>
    <xf numFmtId="0" fontId="7" fillId="0" borderId="0" applyAlignment="1" pivotButton="0" quotePrefix="0" xfId="0">
      <alignment indent="1"/>
    </xf>
    <xf numFmtId="0" fontId="8" fillId="2" borderId="0" pivotButton="0" quotePrefix="0" xfId="0"/>
    <xf numFmtId="164" fontId="9" fillId="0" borderId="0" applyAlignment="1" pivotButton="0" quotePrefix="0" xfId="0">
      <alignment horizontal="right"/>
    </xf>
    <xf numFmtId="0" fontId="10" fillId="0" borderId="0" pivotButton="0" quotePrefix="0" xfId="0"/>
    <xf numFmtId="165" fontId="10" fillId="0" borderId="0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164" fontId="5" fillId="0" borderId="2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164" fontId="13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13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164" fontId="14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8" fontId="11" fillId="0" borderId="0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name val="Arial"/>
        <b val="1"/>
        <color rgb="00FF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Uber Technologies, Inc. — Cover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USD in million except per-share data  |  USD  |  as of 2026-09-08</t>
        </is>
      </c>
    </row>
    <row r="4">
      <c r="A4" s="4" t="inlineStr">
        <is>
          <t>Uber Technologies, Inc. — Financial Model</t>
        </is>
      </c>
    </row>
    <row r="6">
      <c r="A6" s="5" t="inlineStr">
        <is>
          <t>Ticker</t>
        </is>
      </c>
      <c r="B6" s="5" t="inlineStr">
        <is>
          <t>UBER</t>
        </is>
      </c>
    </row>
    <row r="7">
      <c r="A7" s="5" t="inlineStr">
        <is>
          <t>Currency / Units</t>
        </is>
      </c>
      <c r="B7" s="5" t="inlineStr">
        <is>
          <t>USD in million except per-share data</t>
        </is>
      </c>
    </row>
    <row r="8">
      <c r="A8" s="5" t="inlineStr">
        <is>
          <t>Reporting Framework</t>
        </is>
      </c>
      <c r="B8" s="5" t="inlineStr">
        <is>
          <t>US GAAP</t>
        </is>
      </c>
    </row>
    <row r="9">
      <c r="A9" s="5" t="inlineStr">
        <is>
          <t>Fiscal Year End</t>
        </is>
      </c>
      <c r="B9" s="5" t="inlineStr">
        <is>
          <t>December 31</t>
        </is>
      </c>
    </row>
    <row r="10">
      <c r="A10" s="5" t="inlineStr">
        <is>
          <t>Periods Covered</t>
        </is>
      </c>
      <c r="B10" s="5" t="inlineStr">
        <is>
          <t>FY2016 – FY2025 (annual only; no quarterly columns — see note below)</t>
        </is>
      </c>
    </row>
    <row r="11">
      <c r="A11" s="5" t="inlineStr">
        <is>
          <t>Model Date</t>
        </is>
      </c>
      <c r="B11" s="5" t="inlineStr">
        <is>
          <t>2026-09-08</t>
        </is>
      </c>
    </row>
    <row r="13">
      <c r="A13" s="4" t="inlineStr">
        <is>
          <t>Sheet Guide</t>
        </is>
      </c>
    </row>
    <row r="14">
      <c r="A14" s="5" t="inlineStr">
        <is>
          <t>Income Statement (IS)</t>
        </is>
      </c>
      <c r="B14" s="5" t="inlineStr">
        <is>
          <t>As-reported P&amp;L, EPS/share count, Adjusted EBITDA bridge</t>
        </is>
      </c>
    </row>
    <row r="15">
      <c r="A15" s="5" t="inlineStr">
        <is>
          <t>Balance Sheet (BS)</t>
        </is>
      </c>
      <c r="B15" s="5" t="inlineStr">
        <is>
          <t>As-reported balance sheet, balance check, working-capital analytics</t>
        </is>
      </c>
    </row>
    <row r="16">
      <c r="A16" s="5" t="inlineStr">
        <is>
          <t>Cash Flow (CF)</t>
        </is>
      </c>
      <c r="B16" s="5" t="inlineStr">
        <is>
          <t>As-reported CFO/CFI/CFF detail, cash walk check, FCF analytics</t>
        </is>
      </c>
    </row>
    <row r="17">
      <c r="A17" s="5" t="inlineStr">
        <is>
          <t>Segments (SEG)</t>
        </is>
      </c>
      <c r="B17" s="5" t="inlineStr">
        <is>
          <t>Mobility / Delivery / Freight (and legacy ATG / All Other) revenue and Adjusted EBITDA, tied to IS revenue</t>
        </is>
      </c>
    </row>
    <row r="18">
      <c r="A18" s="5" t="inlineStr">
        <is>
          <t>Geography (GEO)</t>
        </is>
      </c>
      <c r="B18" s="5" t="inlineStr">
        <is>
          <t>Revenue by region and by country, tied to IS revenue</t>
        </is>
      </c>
    </row>
    <row r="19">
      <c r="A19" s="5" t="inlineStr">
        <is>
          <t>Operating Metrics (OP)</t>
        </is>
      </c>
      <c r="B19" s="5" t="inlineStr">
        <is>
          <t>Gross Bookings, MAPCs, Trips and derived KPIs</t>
        </is>
      </c>
    </row>
    <row r="20">
      <c r="A20" s="5" t="inlineStr">
        <is>
          <t>Derived Metrics (DM)</t>
        </is>
      </c>
      <c r="B20" s="5" t="inlineStr">
        <is>
          <t>Ratio and common-size analytics computed from metrics.md</t>
        </is>
      </c>
    </row>
    <row r="22">
      <c r="A22" s="4" t="inlineStr">
        <is>
          <t>Key Comparability Notes</t>
        </is>
      </c>
    </row>
    <row r="23">
      <c r="A23" s="5" t="inlineStr">
        <is>
          <t>1. Revenue restatement</t>
        </is>
      </c>
      <c r="B23" s="5" t="inlineStr">
        <is>
          <t>FY2018-2019 revenue and cost of revenue were restated in the FY2020 10-K to reclassify certain Driver/Restaurant incentives as a reduction of revenue. This model uses the restated basis throughout.</t>
        </is>
      </c>
    </row>
    <row r="24">
      <c r="A24" s="5" t="inlineStr">
        <is>
          <t>2. Segment re-definition</t>
        </is>
      </c>
      <c r="B24" s="5" t="inlineStr">
        <is>
          <t>Reportable segments changed from 5 (2018-2020, incl. ATG and All Other) to 4 (2019-2021, ATG divested) to 3 (Mobility/Delivery/Freight only, from FY2021 10-K onward, All Other phased out).</t>
        </is>
      </c>
    </row>
    <row r="25">
      <c r="A25" s="5" t="inlineStr">
        <is>
          <t>3. Geography granularity</t>
        </is>
      </c>
      <c r="B25" s="5" t="inlineStr">
        <is>
          <t>Country-level revenue disclosure added a separate United Kingdom line starting the FY2023 10-K; prior years' 'All other countries' figure includes the UK.</t>
        </is>
      </c>
    </row>
    <row r="26">
      <c r="A26" s="5" t="inlineStr">
        <is>
          <t>4. ASC 842 adoption</t>
        </is>
      </c>
      <c r="B26" s="5" t="inlineStr">
        <is>
          <t>Operating lease right-of-use assets/liabilities first appear in FY2019 upon adoption of the new lease standard — not a data gap for FY2016-2018.</t>
        </is>
      </c>
    </row>
    <row r="27">
      <c r="A27" s="5" t="inlineStr">
        <is>
          <t>5. Interest presentation</t>
        </is>
      </c>
      <c r="B27" s="5" t="inlineStr">
        <is>
          <t>Uber began separately disclosing Interest income (previously netted within Other income (expense)) starting the FY2025 10-K, with FY2023 restated on a comparable basis.</t>
        </is>
      </c>
    </row>
    <row r="28">
      <c r="A28" s="5" t="inlineStr">
        <is>
          <t>6. Quarterly columns</t>
        </is>
      </c>
      <c r="B28" s="5" t="inlineStr">
        <is>
          <t>Omitted — the curated Tier-1 source (financial_input.json) contains only annual data; no quarterly time series was available to build a consistent quarterly block.</t>
        </is>
      </c>
    </row>
    <row r="30">
      <c r="A30" s="5" t="inlineStr">
        <is>
          <t>Source Tiers</t>
        </is>
      </c>
      <c r="B30" s="5" t="inlineStr">
        <is>
          <t>Tier 1: data/curated financial_input.json (curated aggregates). Tier 2: SEC 10-K/10-Q source HTML (as-reported detail). Tier 3: sec-cleaned S-1/press releases (supplementary). Tier 4: metrics.md (derived ratios). See Sources sheet for the full table-level bibliography.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7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hidden="1" outlineLevel="1"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Income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6">
      <c r="A6" s="8" t="inlineStr">
        <is>
          <t>CONTENTS</t>
        </is>
      </c>
    </row>
    <row r="7">
      <c r="A7" s="9">
        <f>HYPERLINK("#'Income Statement'!A11","1. INCOME STATEMENT")</f>
        <v/>
      </c>
    </row>
    <row r="8">
      <c r="A8" s="9">
        <f>HYPERLINK("#'Income Statement'!A44","2. EPS &amp; SHARE COUNT")</f>
        <v/>
      </c>
    </row>
    <row r="9">
      <c r="A9" s="9">
        <f>HYPERLINK("#'Income Statement'!A51","3. NON-GAAP RECONCILIATION (ADJUSTED EBITDA)")</f>
        <v/>
      </c>
    </row>
    <row r="10" ht="8" customHeight="1"/>
    <row r="11" ht="20" customHeight="1">
      <c r="A11" s="10" t="inlineStr">
        <is>
          <t>1. INCOME STATEMENT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8" t="inlineStr">
        <is>
          <t>Revenue</t>
        </is>
      </c>
      <c r="C12" s="11" t="n">
        <v>3845</v>
      </c>
      <c r="D12" s="11" t="n">
        <v>7932</v>
      </c>
      <c r="E12" s="11" t="n">
        <v>10433</v>
      </c>
      <c r="F12" s="11" t="n">
        <v>13000</v>
      </c>
      <c r="G12" s="11" t="n">
        <v>11139</v>
      </c>
      <c r="H12" s="11" t="n">
        <v>17455</v>
      </c>
      <c r="I12" s="11" t="n">
        <v>31877</v>
      </c>
      <c r="J12" s="11" t="n">
        <v>37281</v>
      </c>
      <c r="K12" s="11" t="n">
        <v>43978</v>
      </c>
      <c r="L12" s="11" t="n">
        <v>52017</v>
      </c>
    </row>
    <row r="13">
      <c r="A13" s="12" t="inlineStr">
        <is>
          <t xml:space="preserve">  YoY Growth</t>
        </is>
      </c>
      <c r="D13" s="13">
        <f>IF(N(C12)=0,"",D12/C12-1)</f>
        <v/>
      </c>
      <c r="E13" s="13">
        <f>IF(N(D12)=0,"",E12/D12-1)</f>
        <v/>
      </c>
      <c r="F13" s="13">
        <f>IF(N(E12)=0,"",F12/E12-1)</f>
        <v/>
      </c>
      <c r="G13" s="13">
        <f>IF(N(F12)=0,"",G12/F12-1)</f>
        <v/>
      </c>
      <c r="H13" s="13">
        <f>IF(N(G12)=0,"",H12/G12-1)</f>
        <v/>
      </c>
      <c r="I13" s="13">
        <f>IF(N(H12)=0,"",I12/H12-1)</f>
        <v/>
      </c>
      <c r="J13" s="13">
        <f>IF(N(I12)=0,"",J12/I12-1)</f>
        <v/>
      </c>
      <c r="K13" s="13">
        <f>IF(N(J12)=0,"",K12/J12-1)</f>
        <v/>
      </c>
      <c r="L13" s="13">
        <f>IF(N(K12)=0,"",L12/K12-1)</f>
        <v/>
      </c>
    </row>
    <row r="14">
      <c r="A14" s="5" t="inlineStr">
        <is>
          <t>Cost of revenue, exclusive of D&amp;A shown separately below</t>
        </is>
      </c>
      <c r="C14" s="14" t="n">
        <v>2228</v>
      </c>
      <c r="D14" s="14" t="n">
        <v>4160</v>
      </c>
      <c r="E14" s="14" t="n">
        <v>4786</v>
      </c>
      <c r="F14" s="14" t="n">
        <v>6061</v>
      </c>
      <c r="G14" s="14" t="n">
        <v>5154</v>
      </c>
      <c r="H14" s="14" t="n">
        <v>9351</v>
      </c>
      <c r="I14" s="14" t="n">
        <v>19659</v>
      </c>
      <c r="J14" s="14" t="n">
        <v>22457</v>
      </c>
      <c r="K14" s="14" t="n">
        <v>26651</v>
      </c>
      <c r="L14" s="14" t="n">
        <v>31338</v>
      </c>
    </row>
    <row r="15">
      <c r="A15" s="8" t="inlineStr">
        <is>
          <t>Gross Profit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5">
        <f>G12-G14</f>
        <v/>
      </c>
      <c r="H15" s="15">
        <f>H12-H14</f>
        <v/>
      </c>
      <c r="I15" s="15">
        <f>I12-I14</f>
        <v/>
      </c>
      <c r="J15" s="15">
        <f>J12-J14</f>
        <v/>
      </c>
      <c r="K15" s="15">
        <f>K12-K14</f>
        <v/>
      </c>
      <c r="L15" s="15">
        <f>L12-L14</f>
        <v/>
      </c>
    </row>
    <row r="16">
      <c r="A16" s="12" t="inlineStr">
        <is>
          <t xml:space="preserve">  Gross Margin</t>
        </is>
      </c>
      <c r="C16" s="13">
        <f>C15/C12</f>
        <v/>
      </c>
      <c r="D16" s="13">
        <f>D15/D12</f>
        <v/>
      </c>
      <c r="E16" s="13">
        <f>E15/E12</f>
        <v/>
      </c>
      <c r="F16" s="13">
        <f>F15/F12</f>
        <v/>
      </c>
      <c r="G16" s="13">
        <f>G15/G12</f>
        <v/>
      </c>
      <c r="H16" s="13">
        <f>H15/H12</f>
        <v/>
      </c>
      <c r="I16" s="13">
        <f>I15/I12</f>
        <v/>
      </c>
      <c r="J16" s="13">
        <f>J15/J12</f>
        <v/>
      </c>
      <c r="K16" s="13">
        <f>K15/K12</f>
        <v/>
      </c>
      <c r="L16" s="13">
        <f>L15/L12</f>
        <v/>
      </c>
    </row>
    <row r="18">
      <c r="A18" s="5" t="inlineStr">
        <is>
          <t>Operations and support</t>
        </is>
      </c>
      <c r="E18" s="14" t="n">
        <v>1516</v>
      </c>
      <c r="F18" s="14" t="n">
        <v>2302</v>
      </c>
      <c r="G18" s="14" t="n">
        <v>1819</v>
      </c>
      <c r="H18" s="14" t="n">
        <v>1877</v>
      </c>
      <c r="I18" s="14" t="n">
        <v>2413</v>
      </c>
      <c r="J18" s="14" t="n">
        <v>2689</v>
      </c>
      <c r="K18" s="14" t="n">
        <v>2732</v>
      </c>
      <c r="L18" s="14" t="n">
        <v>2854</v>
      </c>
    </row>
    <row r="19">
      <c r="A19" s="5" t="inlineStr">
        <is>
          <t>Sales and marketing</t>
        </is>
      </c>
      <c r="E19" s="14" t="n">
        <v>3151</v>
      </c>
      <c r="F19" s="14" t="n">
        <v>4626</v>
      </c>
      <c r="G19" s="14" t="n">
        <v>3583</v>
      </c>
      <c r="H19" s="14" t="n">
        <v>4789</v>
      </c>
      <c r="I19" s="14" t="n">
        <v>4756</v>
      </c>
      <c r="J19" s="14" t="n">
        <v>4356</v>
      </c>
      <c r="K19" s="14" t="n">
        <v>4337</v>
      </c>
      <c r="L19" s="14" t="n">
        <v>4898</v>
      </c>
    </row>
    <row r="20">
      <c r="A20" s="5" t="inlineStr">
        <is>
          <t>Research and development</t>
        </is>
      </c>
      <c r="E20" s="14" t="n">
        <v>1505</v>
      </c>
      <c r="F20" s="14" t="n">
        <v>4836</v>
      </c>
      <c r="G20" s="14" t="n">
        <v>2205</v>
      </c>
      <c r="H20" s="14" t="n">
        <v>2054</v>
      </c>
      <c r="I20" s="14" t="n">
        <v>2798</v>
      </c>
      <c r="J20" s="14" t="n">
        <v>3164</v>
      </c>
      <c r="K20" s="14" t="n">
        <v>3109</v>
      </c>
      <c r="L20" s="14" t="n">
        <v>3402</v>
      </c>
    </row>
    <row r="21">
      <c r="A21" s="5" t="inlineStr">
        <is>
          <t>General and administrative</t>
        </is>
      </c>
      <c r="E21" s="14" t="n">
        <v>2082</v>
      </c>
      <c r="F21" s="14" t="n">
        <v>3299</v>
      </c>
      <c r="G21" s="14" t="n">
        <v>2666</v>
      </c>
      <c r="H21" s="14" t="n">
        <v>2316</v>
      </c>
      <c r="I21" s="14" t="n">
        <v>3136</v>
      </c>
      <c r="J21" s="14" t="n">
        <v>2682</v>
      </c>
      <c r="K21" s="14" t="n">
        <v>3639</v>
      </c>
      <c r="L21" s="14" t="n">
        <v>3241</v>
      </c>
    </row>
    <row r="22">
      <c r="A22" s="5" t="inlineStr">
        <is>
          <t>Depreciation and amortization</t>
        </is>
      </c>
      <c r="C22" s="14" t="n">
        <v>320</v>
      </c>
      <c r="D22" s="14" t="n">
        <v>510</v>
      </c>
      <c r="E22" s="14" t="n">
        <v>426</v>
      </c>
      <c r="F22" s="14" t="n">
        <v>472</v>
      </c>
      <c r="G22" s="14" t="n">
        <v>575</v>
      </c>
      <c r="H22" s="14" t="n">
        <v>902</v>
      </c>
      <c r="I22" s="14" t="n">
        <v>947</v>
      </c>
      <c r="J22" s="14" t="n">
        <v>823</v>
      </c>
      <c r="K22" s="14" t="n">
        <v>711</v>
      </c>
      <c r="L22" s="14" t="n">
        <v>719</v>
      </c>
    </row>
    <row r="23">
      <c r="A23" s="8" t="inlineStr">
        <is>
          <t>Total costs and expenses</t>
        </is>
      </c>
      <c r="B23" s="16" t="inlineStr">
        <is>
          <t>Full opex detail only disclosed from FY2018 (post-IPO 10-K comparatives)</t>
        </is>
      </c>
      <c r="E23" s="17">
        <f>E14+E18+E19+E20+E21+E22</f>
        <v/>
      </c>
      <c r="F23" s="17">
        <f>F14+F18+F19+F20+F21+F22</f>
        <v/>
      </c>
      <c r="G23" s="17">
        <f>G14+G18+G19+G20+G21+G22</f>
        <v/>
      </c>
      <c r="H23" s="17">
        <f>H14+H18+H19+H20+H21+H22</f>
        <v/>
      </c>
      <c r="I23" s="17">
        <f>I14+I18+I19+I20+I21+I22</f>
        <v/>
      </c>
      <c r="J23" s="17">
        <f>J14+J18+J19+J20+J21+J22</f>
        <v/>
      </c>
      <c r="K23" s="17">
        <f>K14+K18+K19+K20+K21+K22</f>
        <v/>
      </c>
      <c r="L23" s="17">
        <f>L14+L18+L19+L20+L21+L22</f>
        <v/>
      </c>
    </row>
    <row r="24">
      <c r="A24" s="8" t="inlineStr">
        <is>
          <t>Income (loss) from operations</t>
        </is>
      </c>
      <c r="C24" s="11" t="n">
        <v>-3023</v>
      </c>
      <c r="D24" s="11" t="n">
        <v>-4080</v>
      </c>
      <c r="E24" s="11" t="n">
        <v>-3033</v>
      </c>
      <c r="F24" s="11" t="n">
        <v>-8596</v>
      </c>
      <c r="G24" s="11" t="n">
        <v>-4863</v>
      </c>
      <c r="H24" s="11" t="n">
        <v>-3834</v>
      </c>
      <c r="I24" s="11" t="n">
        <v>-1832</v>
      </c>
      <c r="J24" s="11" t="n">
        <v>1110</v>
      </c>
      <c r="K24" s="11" t="n">
        <v>2799</v>
      </c>
      <c r="L24" s="11" t="n">
        <v>5565</v>
      </c>
    </row>
    <row r="25">
      <c r="A25" s="12" t="inlineStr">
        <is>
          <t xml:space="preserve">  Operating Margin</t>
        </is>
      </c>
      <c r="C25" s="13">
        <f>C24/C12</f>
        <v/>
      </c>
      <c r="D25" s="13">
        <f>D24/D12</f>
        <v/>
      </c>
      <c r="E25" s="13">
        <f>E24/E12</f>
        <v/>
      </c>
      <c r="F25" s="13">
        <f>F24/F12</f>
        <v/>
      </c>
      <c r="G25" s="13">
        <f>G24/G12</f>
        <v/>
      </c>
      <c r="H25" s="13">
        <f>H24/H12</f>
        <v/>
      </c>
      <c r="I25" s="13">
        <f>I24/I12</f>
        <v/>
      </c>
      <c r="J25" s="13">
        <f>J24/J12</f>
        <v/>
      </c>
      <c r="K25" s="13">
        <f>K24/K12</f>
        <v/>
      </c>
      <c r="L25" s="13">
        <f>L24/L12</f>
        <v/>
      </c>
    </row>
    <row r="26">
      <c r="A26" s="12" t="inlineStr">
        <is>
          <t xml:space="preserve">  YoY Growth</t>
        </is>
      </c>
      <c r="D26" s="13">
        <f>IF(N(C24)=0,"",D24/C24-1)</f>
        <v/>
      </c>
      <c r="E26" s="13">
        <f>IF(N(D24)=0,"",E24/D24-1)</f>
        <v/>
      </c>
      <c r="F26" s="13">
        <f>IF(N(E24)=0,"",F24/E24-1)</f>
        <v/>
      </c>
      <c r="G26" s="13">
        <f>IF(N(F24)=0,"",G24/F24-1)</f>
        <v/>
      </c>
      <c r="H26" s="13">
        <f>IF(N(G24)=0,"",H24/G24-1)</f>
        <v/>
      </c>
      <c r="I26" s="13">
        <f>IF(N(H24)=0,"",I24/H24-1)</f>
        <v/>
      </c>
      <c r="J26" s="13">
        <f>IF(N(I24)=0,"",J24/I24-1)</f>
        <v/>
      </c>
      <c r="K26" s="13">
        <f>IF(N(J24)=0,"",K24/J24-1)</f>
        <v/>
      </c>
      <c r="L26" s="13">
        <f>IF(N(K24)=0,"",L24/K24-1)</f>
        <v/>
      </c>
    </row>
    <row r="27">
      <c r="A27" s="12" t="inlineStr">
        <is>
          <t>Check: Revenue - Total Costs &amp; Exp - Op. Income (should be ~0)</t>
        </is>
      </c>
      <c r="E27" s="18">
        <f>E12-E23-E24</f>
        <v/>
      </c>
      <c r="F27" s="18">
        <f>F12-F23-F24</f>
        <v/>
      </c>
      <c r="G27" s="18">
        <f>G12-G23-G24</f>
        <v/>
      </c>
      <c r="H27" s="18">
        <f>H12-H23-H24</f>
        <v/>
      </c>
      <c r="I27" s="18">
        <f>I12-I23-I24</f>
        <v/>
      </c>
      <c r="J27" s="18">
        <f>J12-J23-J24</f>
        <v/>
      </c>
      <c r="K27" s="18">
        <f>K12-K23-K24</f>
        <v/>
      </c>
      <c r="L27" s="18">
        <f>L12-L23-L24</f>
        <v/>
      </c>
    </row>
    <row r="29">
      <c r="A29" s="5" t="inlineStr">
        <is>
          <t>Net interest expense (pre-IPO presentation)</t>
        </is>
      </c>
      <c r="B29" s="16" t="inlineStr">
        <is>
          <t>FY2016-2017 filings did not separately break out interest expense/income; Tier-1 net figure used</t>
        </is>
      </c>
      <c r="C29" s="14" t="n">
        <v>334</v>
      </c>
      <c r="D29" s="14" t="n">
        <v>479</v>
      </c>
    </row>
    <row r="30">
      <c r="A30" s="5" t="inlineStr">
        <is>
          <t>Interest expense</t>
        </is>
      </c>
      <c r="E30" s="14" t="n">
        <v>-648</v>
      </c>
      <c r="F30" s="14" t="n">
        <v>-559</v>
      </c>
      <c r="G30" s="14" t="n">
        <v>-458</v>
      </c>
      <c r="H30" s="14" t="n">
        <v>-483</v>
      </c>
      <c r="I30" s="14" t="n">
        <v>-565</v>
      </c>
      <c r="J30" s="14" t="n">
        <v>-633</v>
      </c>
      <c r="K30" s="14" t="n">
        <v>-523</v>
      </c>
      <c r="L30" s="14" t="n">
        <v>-440</v>
      </c>
    </row>
    <row r="31">
      <c r="A31" s="5" t="inlineStr">
        <is>
          <t>Interest income</t>
        </is>
      </c>
      <c r="B31" s="16" t="inlineStr">
        <is>
          <t>Separately disclosed starting with the FY2025 10-K (FY2023 restated comparative); previously netted within Other income (expense)</t>
        </is>
      </c>
      <c r="J31" s="14" t="n">
        <v>484</v>
      </c>
      <c r="K31" s="14" t="n">
        <v>721</v>
      </c>
      <c r="L31" s="14" t="n">
        <v>743</v>
      </c>
    </row>
    <row r="32">
      <c r="A32" s="5" t="inlineStr">
        <is>
          <t>Other income (expense), net</t>
        </is>
      </c>
      <c r="E32" s="14" t="n">
        <v>4993</v>
      </c>
      <c r="F32" s="14" t="n">
        <v>722</v>
      </c>
      <c r="G32" s="14" t="n">
        <v>-1625</v>
      </c>
      <c r="H32" s="14" t="n">
        <v>3292</v>
      </c>
      <c r="I32" s="14" t="n">
        <v>-7029</v>
      </c>
      <c r="J32" s="14" t="n">
        <v>1360</v>
      </c>
      <c r="K32" s="14" t="n">
        <v>1128</v>
      </c>
      <c r="L32" s="14" t="n">
        <v>-68</v>
      </c>
    </row>
    <row r="33">
      <c r="A33" s="8" t="inlineStr">
        <is>
          <t>Income (loss) before income taxes</t>
        </is>
      </c>
      <c r="C33" s="11" t="n">
        <v>-3218</v>
      </c>
      <c r="D33" s="11" t="n">
        <v>-4575</v>
      </c>
      <c r="E33" s="11" t="n">
        <v>1312</v>
      </c>
      <c r="F33" s="11" t="n">
        <v>-8433</v>
      </c>
      <c r="G33" s="11" t="n">
        <v>-6946</v>
      </c>
      <c r="H33" s="11" t="n">
        <v>-1025</v>
      </c>
      <c r="I33" s="11" t="n">
        <v>-9426</v>
      </c>
      <c r="J33" s="11" t="n">
        <v>2321</v>
      </c>
      <c r="K33" s="11" t="n">
        <v>4125</v>
      </c>
      <c r="L33" s="11" t="n">
        <v>5800</v>
      </c>
    </row>
    <row r="34">
      <c r="A34" s="5" t="inlineStr">
        <is>
          <t>Provision for (benefit from) income taxes</t>
        </is>
      </c>
      <c r="C34" s="14" t="n">
        <v>28</v>
      </c>
      <c r="D34" s="14" t="n">
        <v>-542</v>
      </c>
      <c r="E34" s="14" t="n">
        <v>283</v>
      </c>
      <c r="F34" s="14" t="n">
        <v>45</v>
      </c>
      <c r="G34" s="14" t="n">
        <v>-192</v>
      </c>
      <c r="H34" s="14" t="n">
        <v>-492</v>
      </c>
      <c r="I34" s="14" t="n">
        <v>-181</v>
      </c>
      <c r="J34" s="14" t="n">
        <v>213</v>
      </c>
      <c r="K34" s="14" t="n">
        <v>-5758</v>
      </c>
      <c r="L34" s="14" t="n">
        <v>-4346</v>
      </c>
    </row>
    <row r="35">
      <c r="A35" s="5" t="inlineStr">
        <is>
          <t>Income (loss) from equity method investments</t>
        </is>
      </c>
      <c r="E35" s="14" t="n">
        <v>-42</v>
      </c>
      <c r="F35" s="14" t="n">
        <v>-34</v>
      </c>
      <c r="G35" s="14" t="n">
        <v>-34</v>
      </c>
      <c r="H35" s="14" t="n">
        <v>-37</v>
      </c>
      <c r="I35" s="14" t="n">
        <v>107</v>
      </c>
      <c r="J35" s="14" t="n">
        <v>48</v>
      </c>
      <c r="K35" s="14" t="n">
        <v>-38</v>
      </c>
      <c r="L35" s="14" t="n">
        <v>-53</v>
      </c>
    </row>
    <row r="36">
      <c r="A36" s="12" t="inlineStr">
        <is>
          <t>Check: Income before tax - Tax + Equity Method - NI (should be ~0)</t>
        </is>
      </c>
      <c r="E36" s="18">
        <f>E33-E34+E35-E37</f>
        <v/>
      </c>
      <c r="F36" s="18">
        <f>F33-F34+F35-F37</f>
        <v/>
      </c>
      <c r="G36" s="18">
        <f>G33-G34+G35-G37</f>
        <v/>
      </c>
      <c r="H36" s="18">
        <f>H33-H34+H35-H37</f>
        <v/>
      </c>
      <c r="I36" s="18">
        <f>I33-I34+I35-I37</f>
        <v/>
      </c>
      <c r="J36" s="18">
        <f>J33-J34+J35-J37</f>
        <v/>
      </c>
      <c r="K36" s="18">
        <f>K33-K34+K35-K37</f>
        <v/>
      </c>
      <c r="L36" s="18">
        <f>L33-L34+L35-L37</f>
        <v/>
      </c>
    </row>
    <row r="37">
      <c r="A37" s="8" t="inlineStr">
        <is>
          <t>Net income (loss) including non-controlling interests</t>
        </is>
      </c>
      <c r="C37" s="11" t="n">
        <v>-370</v>
      </c>
      <c r="D37" s="11" t="n">
        <v>-4033</v>
      </c>
      <c r="E37" s="11" t="n">
        <v>987</v>
      </c>
      <c r="F37" s="11" t="n">
        <v>-8512</v>
      </c>
      <c r="G37" s="11" t="n">
        <v>-6788</v>
      </c>
      <c r="H37" s="11" t="n">
        <v>-570</v>
      </c>
      <c r="I37" s="11" t="n">
        <v>-9138</v>
      </c>
      <c r="J37" s="11" t="n">
        <v>2156</v>
      </c>
      <c r="K37" s="11" t="n">
        <v>9845</v>
      </c>
      <c r="L37" s="11" t="n">
        <v>10093</v>
      </c>
    </row>
    <row r="38">
      <c r="A38" s="5" t="inlineStr">
        <is>
          <t>Less: net income (loss) attributable to non-controlling interests, net of tax</t>
        </is>
      </c>
      <c r="C38" s="14" t="n">
        <v>0</v>
      </c>
      <c r="D38" s="14" t="n">
        <v>0</v>
      </c>
      <c r="E38" s="14" t="n">
        <v>-10</v>
      </c>
      <c r="F38" s="14" t="n">
        <v>-6</v>
      </c>
      <c r="G38" s="14" t="n">
        <v>-20</v>
      </c>
      <c r="H38" s="14" t="n">
        <v>-74</v>
      </c>
      <c r="I38" s="14" t="n">
        <v>3</v>
      </c>
      <c r="J38" s="14" t="n">
        <v>269</v>
      </c>
      <c r="K38" s="14" t="n">
        <v>-11</v>
      </c>
      <c r="L38" s="14" t="n">
        <v>40</v>
      </c>
    </row>
    <row r="39">
      <c r="A39" s="8" t="inlineStr">
        <is>
          <t>Net income (loss) attributable to Uber Technologies, Inc.</t>
        </is>
      </c>
      <c r="C39" s="11" t="n">
        <v>-370</v>
      </c>
      <c r="D39" s="11" t="n">
        <v>-4033</v>
      </c>
      <c r="E39" s="11" t="n">
        <v>997</v>
      </c>
      <c r="F39" s="11" t="n">
        <v>-8506</v>
      </c>
      <c r="G39" s="11" t="n">
        <v>-6768</v>
      </c>
      <c r="H39" s="11" t="n">
        <v>-496</v>
      </c>
      <c r="I39" s="11" t="n">
        <v>-9141</v>
      </c>
      <c r="J39" s="11" t="n">
        <v>1887</v>
      </c>
      <c r="K39" s="11" t="n">
        <v>9856</v>
      </c>
      <c r="L39" s="11" t="n">
        <v>10053</v>
      </c>
    </row>
    <row r="40">
      <c r="A40" s="12" t="inlineStr">
        <is>
          <t>Check: NI incl. NCI - NCI - NI to Uber (should be ~0)</t>
        </is>
      </c>
      <c r="C40" s="18">
        <f>C37-C38-C39</f>
        <v/>
      </c>
      <c r="D40" s="18">
        <f>D37-D38-D39</f>
        <v/>
      </c>
      <c r="E40" s="18">
        <f>E37-E38-E39</f>
        <v/>
      </c>
      <c r="F40" s="18">
        <f>F37-F38-F39</f>
        <v/>
      </c>
      <c r="G40" s="18">
        <f>G37-G38-G39</f>
        <v/>
      </c>
      <c r="H40" s="18">
        <f>H37-H38-H39</f>
        <v/>
      </c>
      <c r="I40" s="18">
        <f>I37-I38-I39</f>
        <v/>
      </c>
      <c r="J40" s="18">
        <f>J37-J38-J39</f>
        <v/>
      </c>
      <c r="K40" s="18">
        <f>K37-K38-K39</f>
        <v/>
      </c>
      <c r="L40" s="18">
        <f>L37-L38-L39</f>
        <v/>
      </c>
    </row>
    <row r="41">
      <c r="A41" s="12" t="inlineStr">
        <is>
          <t xml:space="preserve">  Net Margin</t>
        </is>
      </c>
      <c r="C41" s="13">
        <f>C39/C12</f>
        <v/>
      </c>
      <c r="D41" s="13">
        <f>D39/D12</f>
        <v/>
      </c>
      <c r="E41" s="13">
        <f>E39/E12</f>
        <v/>
      </c>
      <c r="F41" s="13">
        <f>F39/F12</f>
        <v/>
      </c>
      <c r="G41" s="13">
        <f>G39/G12</f>
        <v/>
      </c>
      <c r="H41" s="13">
        <f>H39/H12</f>
        <v/>
      </c>
      <c r="I41" s="13">
        <f>I39/I12</f>
        <v/>
      </c>
      <c r="J41" s="13">
        <f>J39/J12</f>
        <v/>
      </c>
      <c r="K41" s="13">
        <f>K39/K12</f>
        <v/>
      </c>
      <c r="L41" s="13">
        <f>L39/L12</f>
        <v/>
      </c>
    </row>
    <row r="42">
      <c r="A42" s="12" t="inlineStr">
        <is>
          <t xml:space="preserve">  YoY Growth</t>
        </is>
      </c>
      <c r="D42" s="13">
        <f>IF(N(C39)=0,"",D39/C39-1)</f>
        <v/>
      </c>
      <c r="E42" s="13">
        <f>IF(N(D39)=0,"",E39/D39-1)</f>
        <v/>
      </c>
      <c r="F42" s="13">
        <f>IF(N(E39)=0,"",F39/E39-1)</f>
        <v/>
      </c>
      <c r="G42" s="13">
        <f>IF(N(F39)=0,"",G39/F39-1)</f>
        <v/>
      </c>
      <c r="H42" s="13">
        <f>IF(N(G39)=0,"",H39/G39-1)</f>
        <v/>
      </c>
      <c r="I42" s="13">
        <f>IF(N(H39)=0,"",I39/H39-1)</f>
        <v/>
      </c>
      <c r="J42" s="13">
        <f>IF(N(I39)=0,"",J39/I39-1)</f>
        <v/>
      </c>
      <c r="K42" s="13">
        <f>IF(N(J39)=0,"",K39/J39-1)</f>
        <v/>
      </c>
      <c r="L42" s="13">
        <f>IF(N(K39)=0,"",L39/K39-1)</f>
        <v/>
      </c>
    </row>
    <row r="43" ht="8" customHeight="1"/>
    <row r="44" ht="20" customHeight="1">
      <c r="A44" s="10" t="inlineStr">
        <is>
          <t>2. EPS &amp; SHARE COUNT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8" t="inlineStr">
        <is>
          <t>Basic EPS</t>
        </is>
      </c>
      <c r="B45" s="16" t="inlineStr">
        <is>
          <t>FY2016-2018: no meaningful per-share amounts presented pre-IPO</t>
        </is>
      </c>
      <c r="F45" s="19" t="n">
        <v>-6.81</v>
      </c>
      <c r="G45" s="19" t="n">
        <v>-3.86</v>
      </c>
      <c r="H45" s="19" t="n">
        <v>-0.26</v>
      </c>
      <c r="I45" s="19" t="n">
        <v>-4.64</v>
      </c>
      <c r="J45" s="19" t="n">
        <v>0.93</v>
      </c>
      <c r="K45" s="19" t="n">
        <v>4.71</v>
      </c>
      <c r="L45" s="19" t="n">
        <v>4.82</v>
      </c>
    </row>
    <row r="46">
      <c r="A46" s="8" t="inlineStr">
        <is>
          <t>Diluted EPS</t>
        </is>
      </c>
      <c r="F46" s="19" t="n">
        <v>-6.81</v>
      </c>
      <c r="G46" s="19" t="n">
        <v>-3.86</v>
      </c>
      <c r="H46" s="19" t="n">
        <v>-0.29</v>
      </c>
      <c r="I46" s="19" t="n">
        <v>-4.65</v>
      </c>
      <c r="J46" s="19" t="n">
        <v>0.87</v>
      </c>
      <c r="K46" s="19" t="n">
        <v>4.56</v>
      </c>
      <c r="L46" s="19" t="n">
        <v>4.73</v>
      </c>
    </row>
    <row r="47">
      <c r="A47" s="12" t="inlineStr">
        <is>
          <t xml:space="preserve">  YoY Growth</t>
        </is>
      </c>
      <c r="D47" s="13">
        <f>IF(N(C46)=0,"",D46/C46-1)</f>
        <v/>
      </c>
      <c r="E47" s="13">
        <f>IF(N(D46)=0,"",E46/D46-1)</f>
        <v/>
      </c>
      <c r="F47" s="13">
        <f>IF(N(E46)=0,"",F46/E46-1)</f>
        <v/>
      </c>
      <c r="G47" s="13">
        <f>IF(N(F46)=0,"",G46/F46-1)</f>
        <v/>
      </c>
      <c r="H47" s="13">
        <f>IF(N(G46)=0,"",H46/G46-1)</f>
        <v/>
      </c>
      <c r="I47" s="13">
        <f>IF(N(H46)=0,"",I46/H46-1)</f>
        <v/>
      </c>
      <c r="J47" s="13">
        <f>IF(N(I46)=0,"",J46/I46-1)</f>
        <v/>
      </c>
      <c r="K47" s="13">
        <f>IF(N(J46)=0,"",K46/J46-1)</f>
        <v/>
      </c>
      <c r="L47" s="13">
        <f>IF(N(K46)=0,"",L46/K46-1)</f>
        <v/>
      </c>
    </row>
    <row r="48">
      <c r="A48" s="5" t="inlineStr">
        <is>
          <t>Weighted Avg Shares — Basic (millions)</t>
        </is>
      </c>
      <c r="E48" s="20" t="n">
        <v>443.368</v>
      </c>
      <c r="F48" s="20" t="n">
        <v>1248.353</v>
      </c>
      <c r="G48" s="20" t="n">
        <v>1752.96</v>
      </c>
      <c r="H48" s="20" t="n">
        <v>1892.546</v>
      </c>
      <c r="I48" s="20" t="n">
        <v>1972.131</v>
      </c>
      <c r="J48" s="20" t="n">
        <v>2035.651</v>
      </c>
      <c r="K48" s="20" t="n">
        <v>2094.602</v>
      </c>
      <c r="L48" s="20" t="n">
        <v>2085.253</v>
      </c>
    </row>
    <row r="49">
      <c r="A49" s="5" t="inlineStr">
        <is>
          <t>Weighted Avg Shares — Diluted (millions)</t>
        </is>
      </c>
      <c r="E49" s="20" t="n">
        <v>478.999</v>
      </c>
      <c r="F49" s="20" t="n">
        <v>1248.353</v>
      </c>
      <c r="G49" s="20" t="n">
        <v>1752.96</v>
      </c>
      <c r="H49" s="20" t="n">
        <v>1895.519</v>
      </c>
      <c r="I49" s="20" t="n">
        <v>1974.928</v>
      </c>
      <c r="J49" s="20" t="n">
        <v>2091.782</v>
      </c>
      <c r="K49" s="20" t="n">
        <v>2150.508</v>
      </c>
      <c r="L49" s="20" t="n">
        <v>2119.689</v>
      </c>
    </row>
    <row r="50" ht="8" customHeight="1"/>
    <row r="51" ht="20" customHeight="1">
      <c r="A51" s="10" t="inlineStr">
        <is>
          <t>3. NON-GAAP RECONCILIATION (ADJUSTED EBITDA)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8" t="inlineStr">
        <is>
          <t>Net income (loss) attributable to Uber (from above)</t>
        </is>
      </c>
      <c r="C52" s="21">
        <f>C39</f>
        <v/>
      </c>
      <c r="D52" s="21">
        <f>D39</f>
        <v/>
      </c>
      <c r="E52" s="21">
        <f>E39</f>
        <v/>
      </c>
      <c r="F52" s="21">
        <f>F39</f>
        <v/>
      </c>
      <c r="G52" s="21">
        <f>G39</f>
        <v/>
      </c>
      <c r="H52" s="21">
        <f>H39</f>
        <v/>
      </c>
      <c r="I52" s="21">
        <f>I39</f>
        <v/>
      </c>
      <c r="J52" s="21">
        <f>J39</f>
        <v/>
      </c>
      <c r="K52" s="21">
        <f>K39</f>
        <v/>
      </c>
      <c r="L52" s="21">
        <f>L39</f>
        <v/>
      </c>
    </row>
    <row r="53">
      <c r="A53" s="22" t="inlineStr">
        <is>
          <t>Add: Net income (loss) attributable to non-controlling interests, net of tax</t>
        </is>
      </c>
      <c r="E53" s="23">
        <f>E38</f>
        <v/>
      </c>
      <c r="F53" s="23">
        <f>F38</f>
        <v/>
      </c>
      <c r="G53" s="23">
        <f>G38</f>
        <v/>
      </c>
      <c r="H53" s="23">
        <f>H38</f>
        <v/>
      </c>
      <c r="I53" s="23">
        <f>I38</f>
        <v/>
      </c>
      <c r="J53" s="23">
        <f>J38</f>
        <v/>
      </c>
      <c r="K53" s="23">
        <f>K38</f>
        <v/>
      </c>
      <c r="L53" s="23">
        <f>L38</f>
        <v/>
      </c>
    </row>
    <row r="54">
      <c r="A54" s="22" t="inlineStr">
        <is>
          <t>Add: Loss (income) from equity method investments</t>
        </is>
      </c>
      <c r="E54" s="14" t="n">
        <v>42</v>
      </c>
      <c r="F54" s="14" t="n">
        <v>34</v>
      </c>
      <c r="G54" s="14" t="n">
        <v>34</v>
      </c>
      <c r="H54" s="14" t="n">
        <v>37</v>
      </c>
      <c r="I54" s="14" t="n">
        <v>-107</v>
      </c>
      <c r="J54" s="14" t="n">
        <v>-48</v>
      </c>
      <c r="K54" s="14" t="n">
        <v>38</v>
      </c>
      <c r="L54" s="14" t="n">
        <v>53</v>
      </c>
    </row>
    <row r="55">
      <c r="A55" s="22" t="inlineStr">
        <is>
          <t>Add: Provision for (benefit from) income taxes</t>
        </is>
      </c>
      <c r="E55" s="23">
        <f>E34</f>
        <v/>
      </c>
      <c r="F55" s="23">
        <f>F34</f>
        <v/>
      </c>
      <c r="G55" s="23">
        <f>G34</f>
        <v/>
      </c>
      <c r="H55" s="23">
        <f>H34</f>
        <v/>
      </c>
      <c r="I55" s="23">
        <f>I34</f>
        <v/>
      </c>
      <c r="J55" s="23">
        <f>J34</f>
        <v/>
      </c>
      <c r="K55" s="23">
        <f>K34</f>
        <v/>
      </c>
      <c r="L55" s="23">
        <f>L34</f>
        <v/>
      </c>
    </row>
    <row r="56">
      <c r="A56" s="22" t="inlineStr">
        <is>
          <t>Add (deduct): Other (income) expense, net</t>
        </is>
      </c>
      <c r="E56" s="24">
        <f>0-E32</f>
        <v/>
      </c>
      <c r="F56" s="24">
        <f>0-F32</f>
        <v/>
      </c>
      <c r="G56" s="24">
        <f>0-G32</f>
        <v/>
      </c>
      <c r="H56" s="24">
        <f>0-H32</f>
        <v/>
      </c>
      <c r="I56" s="24">
        <f>0-I32</f>
        <v/>
      </c>
      <c r="J56" s="24">
        <f>0-J32</f>
        <v/>
      </c>
      <c r="K56" s="24">
        <f>0-K32</f>
        <v/>
      </c>
      <c r="L56" s="24">
        <f>0-L32</f>
        <v/>
      </c>
    </row>
    <row r="57">
      <c r="A57" s="22" t="inlineStr">
        <is>
          <t>Add: Interest expense</t>
        </is>
      </c>
      <c r="E57" s="24">
        <f>0-E30</f>
        <v/>
      </c>
      <c r="F57" s="24">
        <f>0-F30</f>
        <v/>
      </c>
      <c r="G57" s="24">
        <f>0-G30</f>
        <v/>
      </c>
      <c r="H57" s="24">
        <f>0-H30</f>
        <v/>
      </c>
      <c r="I57" s="24">
        <f>0-I30</f>
        <v/>
      </c>
      <c r="J57" s="24">
        <f>0-J30</f>
        <v/>
      </c>
      <c r="K57" s="24">
        <f>0-K30</f>
        <v/>
      </c>
      <c r="L57" s="24">
        <f>0-L30</f>
        <v/>
      </c>
    </row>
    <row r="58">
      <c r="A58" s="22" t="inlineStr">
        <is>
          <t>Deduct: Interest income</t>
        </is>
      </c>
      <c r="J58" s="24">
        <f>0-J31</f>
        <v/>
      </c>
      <c r="K58" s="24">
        <f>0-K31</f>
        <v/>
      </c>
      <c r="L58" s="24">
        <f>0-L31</f>
        <v/>
      </c>
    </row>
    <row r="59">
      <c r="A59" s="22">
        <f> Income (loss) from operations</f>
        <v/>
      </c>
      <c r="E59" s="25">
        <f>E24</f>
        <v/>
      </c>
      <c r="F59" s="25">
        <f>F24</f>
        <v/>
      </c>
      <c r="G59" s="25">
        <f>G24</f>
        <v/>
      </c>
      <c r="H59" s="25">
        <f>H24</f>
        <v/>
      </c>
      <c r="I59" s="25">
        <f>I24</f>
        <v/>
      </c>
      <c r="J59" s="25">
        <f>J24</f>
        <v/>
      </c>
      <c r="K59" s="25">
        <f>K24</f>
        <v/>
      </c>
      <c r="L59" s="25">
        <f>L24</f>
        <v/>
      </c>
    </row>
    <row r="61">
      <c r="A61" s="22" t="inlineStr">
        <is>
          <t>Add: Depreciation and amortization</t>
        </is>
      </c>
      <c r="E61" s="23">
        <f>E22</f>
        <v/>
      </c>
      <c r="F61" s="23">
        <f>F22</f>
        <v/>
      </c>
      <c r="G61" s="23">
        <f>G22</f>
        <v/>
      </c>
      <c r="H61" s="23">
        <f>H22</f>
        <v/>
      </c>
      <c r="I61" s="23">
        <f>I22</f>
        <v/>
      </c>
      <c r="J61" s="23">
        <f>J22</f>
        <v/>
      </c>
      <c r="K61" s="23">
        <f>K22</f>
        <v/>
      </c>
      <c r="L61" s="23">
        <f>L22</f>
        <v/>
      </c>
    </row>
    <row r="62">
      <c r="A62" s="22" t="inlineStr">
        <is>
          <t>Add: Stock-based compensation expense</t>
        </is>
      </c>
      <c r="E62" s="14" t="n">
        <v>172</v>
      </c>
      <c r="F62" s="14" t="n">
        <v>4596</v>
      </c>
      <c r="G62" s="14" t="n">
        <v>827</v>
      </c>
      <c r="H62" s="14" t="n">
        <v>1168</v>
      </c>
      <c r="I62" s="14" t="n">
        <v>1793</v>
      </c>
      <c r="J62" s="14" t="n">
        <v>1935</v>
      </c>
      <c r="K62" s="14" t="n">
        <v>1796</v>
      </c>
      <c r="L62" s="14" t="n">
        <v>1826</v>
      </c>
    </row>
    <row r="63">
      <c r="A63" s="22" t="inlineStr">
        <is>
          <t>Add: Legal, tax, and regulatory reserve changes and settlements</t>
        </is>
      </c>
      <c r="E63" s="14" t="n">
        <v>340</v>
      </c>
      <c r="F63" s="14" t="n">
        <v>353</v>
      </c>
      <c r="G63" s="14" t="n">
        <v>-35</v>
      </c>
      <c r="H63" s="14" t="n">
        <v>526</v>
      </c>
      <c r="I63" s="14" t="n">
        <v>732</v>
      </c>
      <c r="J63" s="14" t="n">
        <v>9</v>
      </c>
      <c r="K63" s="14" t="n">
        <v>1123</v>
      </c>
      <c r="L63" s="14" t="n">
        <v>564</v>
      </c>
    </row>
    <row r="64">
      <c r="A64" s="22" t="inlineStr">
        <is>
          <t>Add: Driver appreciation award</t>
        </is>
      </c>
      <c r="F64" s="14" t="n">
        <v>299</v>
      </c>
    </row>
    <row r="65">
      <c r="A65" s="22" t="inlineStr">
        <is>
          <t>Add: Payroll tax on IPO stock-based compensation</t>
        </is>
      </c>
      <c r="F65" s="14" t="n">
        <v>86</v>
      </c>
    </row>
    <row r="66">
      <c r="A66" s="22" t="inlineStr">
        <is>
          <t>Add: Goodwill and asset impairments/loss on sale of assets, net</t>
        </is>
      </c>
      <c r="E66" s="14" t="n">
        <v>237</v>
      </c>
      <c r="F66" s="14" t="n">
        <v>8</v>
      </c>
      <c r="G66" s="14" t="n">
        <v>317</v>
      </c>
      <c r="H66" s="14" t="n">
        <v>157</v>
      </c>
      <c r="I66" s="14" t="n">
        <v>25</v>
      </c>
      <c r="J66" s="14" t="n">
        <v>84</v>
      </c>
      <c r="K66" s="14" t="n">
        <v>3</v>
      </c>
      <c r="L66" s="14" t="n">
        <v>2</v>
      </c>
    </row>
    <row r="67">
      <c r="A67" s="22" t="inlineStr">
        <is>
          <t>Add: Acquisition, financing and divestiture related expenses</t>
        </is>
      </c>
      <c r="E67" s="14" t="n">
        <v>15</v>
      </c>
      <c r="F67" s="14" t="n">
        <v>0</v>
      </c>
      <c r="G67" s="14" t="n">
        <v>86</v>
      </c>
      <c r="H67" s="14" t="n">
        <v>102</v>
      </c>
      <c r="I67" s="14" t="n">
        <v>46</v>
      </c>
      <c r="J67" s="14" t="n">
        <v>36</v>
      </c>
      <c r="K67" s="14" t="n">
        <v>25</v>
      </c>
      <c r="L67" s="14" t="n">
        <v>43</v>
      </c>
    </row>
    <row r="68">
      <c r="A68" s="22" t="inlineStr">
        <is>
          <t>Add: Accelerated lease costs related to cease-use of ROU assets</t>
        </is>
      </c>
      <c r="G68" s="14" t="n">
        <v>102</v>
      </c>
      <c r="H68" s="14" t="n">
        <v>5</v>
      </c>
    </row>
    <row r="69">
      <c r="A69" s="22" t="inlineStr">
        <is>
          <t>Add: COVID-19 response initiatives</t>
        </is>
      </c>
      <c r="G69" s="14" t="n">
        <v>106</v>
      </c>
      <c r="H69" s="14" t="n">
        <v>54</v>
      </c>
    </row>
    <row r="70">
      <c r="A70" s="22" t="inlineStr">
        <is>
          <t>Add (deduct): (Gain) loss on lease arrangement, net</t>
        </is>
      </c>
      <c r="E70" s="14" t="n">
        <v>-4</v>
      </c>
      <c r="G70" s="14" t="n">
        <v>-5</v>
      </c>
      <c r="I70" s="14" t="n">
        <v>7</v>
      </c>
      <c r="J70" s="14" t="n">
        <v>4</v>
      </c>
      <c r="K70" s="14" t="n">
        <v>2</v>
      </c>
      <c r="L70" s="14" t="n">
        <v>2</v>
      </c>
    </row>
    <row r="71">
      <c r="A71" s="22" t="inlineStr">
        <is>
          <t>Add: Restructuring and related charges, net</t>
        </is>
      </c>
      <c r="F71" s="14" t="n">
        <v>57</v>
      </c>
      <c r="G71" s="14" t="n">
        <v>362</v>
      </c>
      <c r="J71" s="14" t="n">
        <v>51</v>
      </c>
      <c r="K71" s="14" t="n">
        <v>25</v>
      </c>
      <c r="L71" s="14" t="n">
        <v>9</v>
      </c>
    </row>
    <row r="72">
      <c r="A72" s="22" t="inlineStr">
        <is>
          <t>Add: Legacy auto insurance transfer</t>
        </is>
      </c>
      <c r="H72" s="14" t="n">
        <v>103</v>
      </c>
    </row>
    <row r="73">
      <c r="A73" s="22" t="inlineStr">
        <is>
          <t>Add (deduct): Mass arbitration fees, net</t>
        </is>
      </c>
      <c r="H73" s="14" t="n">
        <v>43</v>
      </c>
      <c r="I73" s="14" t="n">
        <v>-14</v>
      </c>
    </row>
    <row r="74">
      <c r="A74" s="8" t="inlineStr">
        <is>
          <t>Adjusted EBITDA</t>
        </is>
      </c>
      <c r="C74" s="26" t="n">
        <v>-2517</v>
      </c>
      <c r="D74" s="26" t="n">
        <v>-2642</v>
      </c>
      <c r="E74" s="26" t="n">
        <v>-1847</v>
      </c>
      <c r="F74" s="26" t="n">
        <v>-2725</v>
      </c>
      <c r="G74" s="26" t="n">
        <v>-2528</v>
      </c>
      <c r="H74" s="26" t="n">
        <v>-774</v>
      </c>
      <c r="I74" s="26" t="n">
        <v>1713</v>
      </c>
      <c r="J74" s="26" t="n">
        <v>4052</v>
      </c>
      <c r="K74" s="26" t="n">
        <v>6484</v>
      </c>
      <c r="L74" s="26" t="n">
        <v>8730</v>
      </c>
    </row>
    <row r="75">
      <c r="A75" s="12" t="inlineStr">
        <is>
          <t xml:space="preserve">  Adjusted EBITDA Margin</t>
        </is>
      </c>
      <c r="C75" s="13">
        <f>C74/C12</f>
        <v/>
      </c>
      <c r="D75" s="13">
        <f>D74/D12</f>
        <v/>
      </c>
      <c r="E75" s="13">
        <f>E74/E12</f>
        <v/>
      </c>
      <c r="F75" s="13">
        <f>F74/F12</f>
        <v/>
      </c>
      <c r="G75" s="13">
        <f>G74/G12</f>
        <v/>
      </c>
      <c r="H75" s="13">
        <f>H74/H12</f>
        <v/>
      </c>
      <c r="I75" s="13">
        <f>I74/I12</f>
        <v/>
      </c>
      <c r="J75" s="13">
        <f>J74/J12</f>
        <v/>
      </c>
      <c r="K75" s="13">
        <f>K74/K12</f>
        <v/>
      </c>
      <c r="L75" s="13">
        <f>L74/L12</f>
        <v/>
      </c>
    </row>
    <row r="76">
      <c r="A76" s="12" t="inlineStr">
        <is>
          <t xml:space="preserve">  YoY Growth</t>
        </is>
      </c>
      <c r="D76" s="13">
        <f>IF(N(C74)=0,"",D74/C74-1)</f>
        <v/>
      </c>
      <c r="E76" s="13">
        <f>IF(N(D74)=0,"",E74/D74-1)</f>
        <v/>
      </c>
      <c r="F76" s="13">
        <f>IF(N(E74)=0,"",F74/E74-1)</f>
        <v/>
      </c>
      <c r="G76" s="13">
        <f>IF(N(F74)=0,"",G74/F74-1)</f>
        <v/>
      </c>
      <c r="H76" s="13">
        <f>IF(N(G74)=0,"",H74/G74-1)</f>
        <v/>
      </c>
      <c r="I76" s="13">
        <f>IF(N(H74)=0,"",I74/H74-1)</f>
        <v/>
      </c>
      <c r="J76" s="13">
        <f>IF(N(I74)=0,"",J74/I74-1)</f>
        <v/>
      </c>
      <c r="K76" s="13">
        <f>IF(N(J74)=0,"",K74/J74-1)</f>
        <v/>
      </c>
      <c r="L76" s="13">
        <f>IF(N(K74)=0,"",L74/K74-1)</f>
        <v/>
      </c>
    </row>
    <row r="77">
      <c r="A77" s="12" t="inlineStr">
        <is>
          <t>Bridge Check vs. Adjusted EBITDA (should be ~0)</t>
        </is>
      </c>
      <c r="E77" s="27">
        <f>E52+E53+E54+E55+E56+E57+E58+E61+E62+E63+E64+E65+E66+E67+E68+E69+E70+E71+E72+E73-E74</f>
        <v/>
      </c>
      <c r="F77" s="27">
        <f>F52+F53+F54+F55+F56+F57+F58+F61+F62+F63+F64+F65+F66+F67+F68+F69+F70+F71+F72+F73-F74</f>
        <v/>
      </c>
      <c r="G77" s="27">
        <f>G52+G53+G54+G55+G56+G57+G58+G61+G62+G63+G64+G65+G66+G67+G68+G69+G70+G71+G72+G73-G74</f>
        <v/>
      </c>
      <c r="H77" s="27">
        <f>H52+H53+H54+H55+H56+H57+H58+H61+H62+H63+H64+H65+H66+H67+H68+H69+H70+H71+H72+H73-H74</f>
        <v/>
      </c>
      <c r="I77" s="27">
        <f>I52+I53+I54+I55+I56+I57+I58+I61+I62+I63+I64+I65+I66+I67+I68+I69+I70+I71+I72+I73-I74</f>
        <v/>
      </c>
      <c r="J77" s="27">
        <f>J52+J53+J54+J55+J56+J57+J58+J61+J62+J63+J64+J65+J66+J67+J68+J69+J70+J71+J72+J73-J74</f>
        <v/>
      </c>
      <c r="K77" s="27">
        <f>K52+K53+K54+K55+K56+K57+K58+K61+K62+K63+K64+K65+K66+K67+K68+K69+K70+K71+K72+K73-K74</f>
        <v/>
      </c>
      <c r="L77" s="27">
        <f>L52+L53+L54+L55+L56+L57+L58+L61+L62+L63+L64+L65+L66+L67+L68+L69+L70+L71+L72+L73-L74</f>
        <v/>
      </c>
    </row>
  </sheetData>
  <conditionalFormatting sqref="C27:L27">
    <cfRule type="cellIs" priority="1" operator="notBetween" dxfId="0">
      <formula>-0.5</formula>
      <formula>0.5</formula>
    </cfRule>
  </conditionalFormatting>
  <conditionalFormatting sqref="C36:L36">
    <cfRule type="cellIs" priority="2" operator="notBetween" dxfId="0">
      <formula>-0.5</formula>
      <formula>0.5</formula>
    </cfRule>
  </conditionalFormatting>
  <conditionalFormatting sqref="C40:L40">
    <cfRule type="cellIs" priority="3" operator="notBetween" dxfId="0">
      <formula>-0.5</formula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L6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hidden="1" outlineLevel="1"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6">
      <c r="A6" s="8" t="inlineStr">
        <is>
          <t>CONTENTS</t>
        </is>
      </c>
    </row>
    <row r="7">
      <c r="A7" s="9">
        <f>HYPERLINK("#'Balance Sheet'!A12","1. ASSETS")</f>
        <v/>
      </c>
    </row>
    <row r="8">
      <c r="A8" s="9">
        <f>HYPERLINK("#'Balance Sheet'!A35","2. LIABILITIES")</f>
        <v/>
      </c>
    </row>
    <row r="9">
      <c r="A9" s="9">
        <f>HYPERLINK("#'Balance Sheet'!A50","3. EQUITY")</f>
        <v/>
      </c>
    </row>
    <row r="10">
      <c r="A10" s="9">
        <f>HYPERLINK("#'Balance Sheet'!A60","4. WORKING CAPITAL ANALYTICS")</f>
        <v/>
      </c>
    </row>
    <row r="11" ht="8" customHeight="1"/>
    <row r="12" ht="20" customHeight="1">
      <c r="A12" s="10" t="inlineStr">
        <is>
          <t>1. ASSETS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8" t="inlineStr">
        <is>
          <t>Cash and cash equivalents</t>
        </is>
      </c>
      <c r="C13" s="11" t="n">
        <v>6241</v>
      </c>
      <c r="D13" s="11" t="n">
        <v>4393</v>
      </c>
      <c r="E13" s="11" t="n">
        <v>6406</v>
      </c>
      <c r="F13" s="11" t="n">
        <v>10873</v>
      </c>
      <c r="G13" s="11" t="n">
        <v>5647</v>
      </c>
      <c r="H13" s="11" t="n">
        <v>4295</v>
      </c>
      <c r="I13" s="11" t="n">
        <v>4208</v>
      </c>
      <c r="J13" s="11" t="n">
        <v>4680</v>
      </c>
      <c r="K13" s="11" t="n">
        <v>5893</v>
      </c>
      <c r="L13" s="11" t="n">
        <v>7105</v>
      </c>
    </row>
    <row r="14">
      <c r="A14" s="5" t="inlineStr">
        <is>
          <t>Short-term investments</t>
        </is>
      </c>
      <c r="F14" s="14" t="n">
        <v>440</v>
      </c>
      <c r="G14" s="14" t="n">
        <v>1180</v>
      </c>
      <c r="I14" s="14" t="n">
        <v>103</v>
      </c>
      <c r="J14" s="14" t="n">
        <v>727</v>
      </c>
      <c r="K14" s="14" t="n">
        <v>1084</v>
      </c>
      <c r="L14" s="14" t="n">
        <v>528</v>
      </c>
    </row>
    <row r="15">
      <c r="A15" s="5" t="inlineStr">
        <is>
          <t>Restricted cash and cash equivalents, current</t>
        </is>
      </c>
      <c r="F15" s="14" t="n">
        <v>99</v>
      </c>
      <c r="G15" s="14" t="n">
        <v>250</v>
      </c>
      <c r="H15" s="14" t="n">
        <v>631</v>
      </c>
      <c r="I15" s="14" t="n">
        <v>680</v>
      </c>
      <c r="J15" s="14" t="n">
        <v>805</v>
      </c>
      <c r="K15" s="14" t="n">
        <v>545</v>
      </c>
      <c r="L15" s="14" t="n">
        <v>631</v>
      </c>
    </row>
    <row r="16">
      <c r="A16" s="5" t="inlineStr">
        <is>
          <t>Accounts receivable, net</t>
        </is>
      </c>
      <c r="D16" s="14" t="n">
        <v>739</v>
      </c>
      <c r="E16" s="14" t="n">
        <v>919</v>
      </c>
      <c r="F16" s="14" t="n">
        <v>1214</v>
      </c>
      <c r="G16" s="14" t="n">
        <v>1073</v>
      </c>
      <c r="H16" s="14" t="n">
        <v>2439</v>
      </c>
      <c r="I16" s="14" t="n">
        <v>2779</v>
      </c>
      <c r="J16" s="14" t="n">
        <v>3404</v>
      </c>
      <c r="K16" s="14" t="n">
        <v>3333</v>
      </c>
      <c r="L16" s="14" t="n">
        <v>3827</v>
      </c>
    </row>
    <row r="17">
      <c r="A17" s="5" t="inlineStr">
        <is>
          <t>Prepaid expenses and other current assets</t>
        </is>
      </c>
      <c r="F17" s="14" t="n">
        <v>1299</v>
      </c>
      <c r="G17" s="14" t="n">
        <v>1215</v>
      </c>
      <c r="H17" s="14" t="n">
        <v>1454</v>
      </c>
      <c r="I17" s="14" t="n">
        <v>1479</v>
      </c>
      <c r="J17" s="14" t="n">
        <v>1681</v>
      </c>
      <c r="K17" s="14" t="n">
        <v>1390</v>
      </c>
      <c r="L17" s="14" t="n">
        <v>1902</v>
      </c>
    </row>
    <row r="18">
      <c r="A18" s="5" t="inlineStr">
        <is>
          <t>Assets held for sale</t>
        </is>
      </c>
      <c r="G18" s="14" t="n">
        <v>517</v>
      </c>
    </row>
    <row r="19">
      <c r="A19" s="8" t="inlineStr">
        <is>
          <t>Total current assets</t>
        </is>
      </c>
      <c r="D19" s="26" t="n">
        <v>6837</v>
      </c>
      <c r="E19" s="26" t="n">
        <v>8658</v>
      </c>
      <c r="F19" s="26" t="n">
        <v>13925</v>
      </c>
      <c r="G19" s="26" t="n">
        <v>9882</v>
      </c>
      <c r="H19" s="26" t="n">
        <v>8819</v>
      </c>
      <c r="I19" s="26" t="n">
        <v>9249</v>
      </c>
      <c r="J19" s="26" t="n">
        <v>11297</v>
      </c>
      <c r="K19" s="26" t="n">
        <v>12245</v>
      </c>
      <c r="L19" s="26" t="n">
        <v>13993</v>
      </c>
    </row>
    <row r="20">
      <c r="A20" s="12" t="inlineStr">
        <is>
          <t>Check: Sum of current asset detail vs. Total current assets (should be ~0)</t>
        </is>
      </c>
      <c r="F20" s="18">
        <f>F13+F14+F15+F16+F17+F18-F19</f>
        <v/>
      </c>
      <c r="G20" s="18">
        <f>G13+G14+G15+G16+G17+G18-G19</f>
        <v/>
      </c>
      <c r="H20" s="18">
        <f>H13+H14+H15+H16+H17+H18-H19</f>
        <v/>
      </c>
      <c r="I20" s="18">
        <f>I13+I14+I15+I16+I17+I18-I19</f>
        <v/>
      </c>
      <c r="J20" s="18">
        <f>J13+J14+J15+J16+J17+J18-J19</f>
        <v/>
      </c>
      <c r="K20" s="18">
        <f>K13+K14+K15+K16+K17+K18-K19</f>
        <v/>
      </c>
      <c r="L20" s="18">
        <f>L13+L14+L15+L16+L17+L18-L19</f>
        <v/>
      </c>
    </row>
    <row r="22">
      <c r="A22" s="5" t="inlineStr">
        <is>
          <t>Restricted cash and cash equivalents, non-current</t>
        </is>
      </c>
      <c r="F22" s="14" t="n">
        <v>1095</v>
      </c>
      <c r="G22" s="14" t="n">
        <v>1494</v>
      </c>
      <c r="H22" s="14" t="n">
        <v>2879</v>
      </c>
      <c r="I22" s="14" t="n">
        <v>1789</v>
      </c>
      <c r="J22" s="14" t="n">
        <v>1519</v>
      </c>
      <c r="K22" s="14" t="n">
        <v>2172</v>
      </c>
      <c r="L22" s="14" t="n">
        <v>1911</v>
      </c>
    </row>
    <row r="23">
      <c r="A23" s="5" t="inlineStr">
        <is>
          <t>Collateral held by insurer</t>
        </is>
      </c>
      <c r="G23" s="14" t="n">
        <v>860</v>
      </c>
    </row>
    <row r="24">
      <c r="A24" s="5" t="inlineStr">
        <is>
          <t>Investments</t>
        </is>
      </c>
      <c r="F24" s="14" t="n">
        <v>10527</v>
      </c>
      <c r="G24" s="14" t="n">
        <v>9052</v>
      </c>
      <c r="H24" s="14" t="n">
        <v>11806</v>
      </c>
      <c r="I24" s="14" t="n">
        <v>4401</v>
      </c>
      <c r="J24" s="14" t="n">
        <v>6101</v>
      </c>
      <c r="K24" s="14" t="n">
        <v>8460</v>
      </c>
      <c r="L24" s="14" t="n">
        <v>9178</v>
      </c>
    </row>
    <row r="25">
      <c r="A25" s="5" t="inlineStr">
        <is>
          <t>Restricted investments</t>
        </is>
      </c>
      <c r="B25" s="16" t="inlineStr">
        <is>
          <t>New face line starting FY2022</t>
        </is>
      </c>
      <c r="I25" s="14" t="n">
        <v>1614</v>
      </c>
      <c r="J25" s="14" t="n">
        <v>4779</v>
      </c>
      <c r="K25" s="14" t="n">
        <v>7019</v>
      </c>
      <c r="L25" s="14" t="n">
        <v>8874</v>
      </c>
    </row>
    <row r="26">
      <c r="A26" s="5" t="inlineStr">
        <is>
          <t>Equity method investments</t>
        </is>
      </c>
      <c r="F26" s="14" t="n">
        <v>1364</v>
      </c>
      <c r="G26" s="14" t="n">
        <v>1079</v>
      </c>
      <c r="H26" s="14" t="n">
        <v>800</v>
      </c>
      <c r="I26" s="14" t="n">
        <v>870</v>
      </c>
      <c r="J26" s="14" t="n">
        <v>353</v>
      </c>
      <c r="K26" s="14" t="n">
        <v>302</v>
      </c>
      <c r="L26" s="14" t="n">
        <v>287</v>
      </c>
    </row>
    <row r="27">
      <c r="A27" s="5" t="inlineStr">
        <is>
          <t>Property and equipment, net</t>
        </is>
      </c>
      <c r="D27" s="14" t="n">
        <v>1192</v>
      </c>
      <c r="E27" s="14" t="n">
        <v>1641</v>
      </c>
      <c r="F27" s="14" t="n">
        <v>1731</v>
      </c>
      <c r="G27" s="14" t="n">
        <v>1814</v>
      </c>
      <c r="H27" s="14" t="n">
        <v>1853</v>
      </c>
      <c r="I27" s="14" t="n">
        <v>2082</v>
      </c>
      <c r="J27" s="14" t="n">
        <v>2073</v>
      </c>
      <c r="K27" s="14" t="n">
        <v>1952</v>
      </c>
      <c r="L27" s="14" t="n">
        <v>1897</v>
      </c>
    </row>
    <row r="28">
      <c r="A28" s="5" t="inlineStr">
        <is>
          <t>Operating lease right-of-use assets</t>
        </is>
      </c>
      <c r="B28" s="16" t="inlineStr">
        <is>
          <t>ASC 842 adopted effective Jan 1, 2019; no ROU assets reported before FY2019</t>
        </is>
      </c>
      <c r="F28" s="14" t="n">
        <v>1594</v>
      </c>
      <c r="G28" s="14" t="n">
        <v>1274</v>
      </c>
      <c r="H28" s="14" t="n">
        <v>1388</v>
      </c>
      <c r="I28" s="14" t="n">
        <v>1449</v>
      </c>
      <c r="J28" s="14" t="n">
        <v>1241</v>
      </c>
      <c r="K28" s="14" t="n">
        <v>1158</v>
      </c>
      <c r="L28" s="14" t="n">
        <v>1114</v>
      </c>
    </row>
    <row r="29">
      <c r="A29" s="5" t="inlineStr">
        <is>
          <t>Intangible assets, net</t>
        </is>
      </c>
      <c r="D29" s="14" t="n">
        <v>54</v>
      </c>
      <c r="E29" s="14" t="n">
        <v>82</v>
      </c>
      <c r="F29" s="14" t="n">
        <v>71</v>
      </c>
      <c r="G29" s="14" t="n">
        <v>1564</v>
      </c>
      <c r="H29" s="14" t="n">
        <v>2412</v>
      </c>
      <c r="I29" s="14" t="n">
        <v>1874</v>
      </c>
      <c r="J29" s="14" t="n">
        <v>1425</v>
      </c>
      <c r="K29" s="14" t="n">
        <v>1125</v>
      </c>
      <c r="L29" s="14" t="n">
        <v>1048</v>
      </c>
    </row>
    <row r="30">
      <c r="A30" s="5" t="inlineStr">
        <is>
          <t>Goodwill</t>
        </is>
      </c>
      <c r="D30" s="14" t="n">
        <v>39</v>
      </c>
      <c r="E30" s="14" t="n">
        <v>153</v>
      </c>
      <c r="F30" s="14" t="n">
        <v>167</v>
      </c>
      <c r="G30" s="14" t="n">
        <v>6109</v>
      </c>
      <c r="H30" s="14" t="n">
        <v>8420</v>
      </c>
      <c r="I30" s="14" t="n">
        <v>8263</v>
      </c>
      <c r="J30" s="14" t="n">
        <v>8151</v>
      </c>
      <c r="K30" s="14" t="n">
        <v>8066</v>
      </c>
      <c r="L30" s="14" t="n">
        <v>8931</v>
      </c>
    </row>
    <row r="31">
      <c r="A31" s="5" t="inlineStr">
        <is>
          <t>Deferred tax assets</t>
        </is>
      </c>
      <c r="B31" s="16" t="inlineStr">
        <is>
          <t>Became material after release of U.S. valuation allowance in FY2023</t>
        </is>
      </c>
      <c r="K31" s="14" t="n">
        <v>6171</v>
      </c>
      <c r="L31" s="14" t="n">
        <v>10951</v>
      </c>
    </row>
    <row r="32">
      <c r="A32" s="5" t="inlineStr">
        <is>
          <t>Other assets</t>
        </is>
      </c>
      <c r="F32" s="14" t="n">
        <v>88</v>
      </c>
      <c r="G32" s="14" t="n">
        <v>124</v>
      </c>
      <c r="H32" s="14" t="n">
        <v>397</v>
      </c>
      <c r="I32" s="14" t="n">
        <v>518</v>
      </c>
      <c r="J32" s="14" t="n">
        <v>1760</v>
      </c>
      <c r="K32" s="14" t="n">
        <v>2574</v>
      </c>
      <c r="L32" s="14" t="n">
        <v>3618</v>
      </c>
    </row>
    <row r="33">
      <c r="A33" s="8" t="inlineStr">
        <is>
          <t>Total assets</t>
        </is>
      </c>
      <c r="C33" s="26" t="n">
        <v>15713</v>
      </c>
      <c r="D33" s="26" t="n">
        <v>15426</v>
      </c>
      <c r="E33" s="26" t="n">
        <v>23988</v>
      </c>
      <c r="F33" s="26" t="n">
        <v>31761</v>
      </c>
      <c r="G33" s="26" t="n">
        <v>33252</v>
      </c>
      <c r="H33" s="26" t="n">
        <v>38774</v>
      </c>
      <c r="I33" s="26" t="n">
        <v>32109</v>
      </c>
      <c r="J33" s="26" t="n">
        <v>38699</v>
      </c>
      <c r="K33" s="26" t="n">
        <v>51244</v>
      </c>
      <c r="L33" s="26" t="n">
        <v>61802</v>
      </c>
    </row>
    <row r="34" ht="8" customHeight="1"/>
    <row r="35" ht="20" customHeight="1">
      <c r="A35" s="10" t="inlineStr">
        <is>
          <t>2. LIABILITIES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5" t="inlineStr">
        <is>
          <t>Accounts payable</t>
        </is>
      </c>
      <c r="D36" s="14" t="n">
        <v>213</v>
      </c>
      <c r="E36" s="14" t="n">
        <v>150</v>
      </c>
      <c r="F36" s="14" t="n">
        <v>272</v>
      </c>
      <c r="G36" s="14" t="n">
        <v>235</v>
      </c>
      <c r="H36" s="14" t="n">
        <v>860</v>
      </c>
      <c r="I36" s="14" t="n">
        <v>728</v>
      </c>
      <c r="J36" s="14" t="n">
        <v>790</v>
      </c>
      <c r="K36" s="14" t="n">
        <v>858</v>
      </c>
      <c r="L36" s="14" t="n">
        <v>1013</v>
      </c>
    </row>
    <row r="37">
      <c r="A37" s="5" t="inlineStr">
        <is>
          <t>Short-term insurance reserves</t>
        </is>
      </c>
      <c r="F37" s="14" t="n">
        <v>1121</v>
      </c>
      <c r="G37" s="14" t="n">
        <v>1243</v>
      </c>
      <c r="H37" s="14" t="n">
        <v>1442</v>
      </c>
      <c r="I37" s="14" t="n">
        <v>1692</v>
      </c>
      <c r="J37" s="14" t="n">
        <v>2016</v>
      </c>
      <c r="K37" s="14" t="n">
        <v>2754</v>
      </c>
      <c r="L37" s="14" t="n">
        <v>3387</v>
      </c>
    </row>
    <row r="38">
      <c r="A38" s="5" t="inlineStr">
        <is>
          <t>Operating lease liabilities, current</t>
        </is>
      </c>
      <c r="F38" s="14" t="n">
        <v>196</v>
      </c>
      <c r="G38" s="14" t="n">
        <v>175</v>
      </c>
      <c r="H38" s="14" t="n">
        <v>185</v>
      </c>
      <c r="I38" s="14" t="n">
        <v>201</v>
      </c>
      <c r="J38" s="14" t="n">
        <v>190</v>
      </c>
      <c r="K38" s="14" t="n">
        <v>175</v>
      </c>
      <c r="L38" s="14" t="n">
        <v>169</v>
      </c>
    </row>
    <row r="39">
      <c r="A39" s="5" t="inlineStr">
        <is>
          <t>Accrued and other current liabilities</t>
        </is>
      </c>
      <c r="F39" s="14" t="n">
        <v>4050</v>
      </c>
      <c r="G39" s="14" t="n">
        <v>5112</v>
      </c>
      <c r="H39" s="14" t="n">
        <v>6537</v>
      </c>
      <c r="I39" s="14" t="n">
        <v>6232</v>
      </c>
      <c r="J39" s="14" t="n">
        <v>6458</v>
      </c>
      <c r="K39" s="14" t="n">
        <v>7689</v>
      </c>
      <c r="L39" s="14" t="n">
        <v>7751</v>
      </c>
    </row>
    <row r="40">
      <c r="A40" s="5" t="inlineStr">
        <is>
          <t>Liabilities held for sale</t>
        </is>
      </c>
      <c r="G40" s="14" t="n">
        <v>100</v>
      </c>
    </row>
    <row r="41">
      <c r="A41" s="8" t="inlineStr">
        <is>
          <t>Total current liabilities</t>
        </is>
      </c>
      <c r="D41" s="26" t="n">
        <v>3847</v>
      </c>
      <c r="E41" s="26" t="n">
        <v>4259</v>
      </c>
      <c r="F41" s="26" t="n">
        <v>5639</v>
      </c>
      <c r="G41" s="26" t="n">
        <v>6865</v>
      </c>
      <c r="H41" s="26" t="n">
        <v>9024</v>
      </c>
      <c r="I41" s="26" t="n">
        <v>8853</v>
      </c>
      <c r="J41" s="26" t="n">
        <v>9454</v>
      </c>
      <c r="K41" s="26" t="n">
        <v>11476</v>
      </c>
      <c r="L41" s="26" t="n">
        <v>12320</v>
      </c>
    </row>
    <row r="42">
      <c r="A42" s="12" t="inlineStr">
        <is>
          <t>Check: Sum of current liability detail vs. Total current liabilities (should be ~0)</t>
        </is>
      </c>
      <c r="F42" s="18">
        <f>F36+F37+F38+F39+F40-F41</f>
        <v/>
      </c>
      <c r="G42" s="18">
        <f>G36+G37+G38+G39+G40-G41</f>
        <v/>
      </c>
      <c r="H42" s="18">
        <f>H36+H37+H38+H39+H40-H41</f>
        <v/>
      </c>
      <c r="I42" s="18">
        <f>I36+I37+I38+I39+I40-I41</f>
        <v/>
      </c>
      <c r="J42" s="18">
        <f>J36+J37+J38+J39+J40-J41</f>
        <v/>
      </c>
      <c r="K42" s="18">
        <f>K36+K37+K38+K39+K40-K41</f>
        <v/>
      </c>
      <c r="L42" s="18">
        <f>L36+L37+L38+L39+L40-L41</f>
        <v/>
      </c>
    </row>
    <row r="44">
      <c r="A44" s="5" t="inlineStr">
        <is>
          <t>Long-term insurance reserves</t>
        </is>
      </c>
      <c r="F44" s="14" t="n">
        <v>2297</v>
      </c>
      <c r="G44" s="14" t="n">
        <v>2223</v>
      </c>
      <c r="H44" s="14" t="n">
        <v>2546</v>
      </c>
      <c r="I44" s="14" t="n">
        <v>3028</v>
      </c>
      <c r="J44" s="14" t="n">
        <v>4722</v>
      </c>
      <c r="K44" s="14" t="n">
        <v>7042</v>
      </c>
      <c r="L44" s="14" t="n">
        <v>9076</v>
      </c>
    </row>
    <row r="45">
      <c r="A45" s="5" t="inlineStr">
        <is>
          <t>Long-term debt, net of current portion</t>
        </is>
      </c>
      <c r="C45" s="14" t="n">
        <v>3087</v>
      </c>
      <c r="D45" s="14" t="n">
        <v>3048</v>
      </c>
      <c r="E45" s="14" t="n">
        <v>6869</v>
      </c>
      <c r="F45" s="14" t="n">
        <v>5707</v>
      </c>
      <c r="G45" s="14" t="n">
        <v>7560</v>
      </c>
      <c r="H45" s="14" t="n">
        <v>9276</v>
      </c>
      <c r="I45" s="14" t="n">
        <v>9265</v>
      </c>
      <c r="J45" s="14" t="n">
        <v>9459</v>
      </c>
      <c r="K45" s="14" t="n">
        <v>8347</v>
      </c>
      <c r="L45" s="14" t="n">
        <v>10521</v>
      </c>
    </row>
    <row r="46">
      <c r="A46" s="5" t="inlineStr">
        <is>
          <t>Operating lease liabilities, non-current</t>
        </is>
      </c>
      <c r="F46" s="14" t="n">
        <v>1523</v>
      </c>
      <c r="G46" s="14" t="n">
        <v>1544</v>
      </c>
      <c r="H46" s="14" t="n">
        <v>1644</v>
      </c>
      <c r="I46" s="14" t="n">
        <v>1673</v>
      </c>
      <c r="J46" s="14" t="n">
        <v>1550</v>
      </c>
      <c r="K46" s="14" t="n">
        <v>1454</v>
      </c>
      <c r="L46" s="14" t="n">
        <v>1390</v>
      </c>
    </row>
    <row r="47">
      <c r="A47" s="5" t="inlineStr">
        <is>
          <t>Other long-term liabilities</t>
        </is>
      </c>
      <c r="F47" s="14" t="n">
        <v>1412</v>
      </c>
      <c r="G47" s="14" t="n">
        <v>1306</v>
      </c>
      <c r="H47" s="14" t="n">
        <v>935</v>
      </c>
      <c r="I47" s="14" t="n">
        <v>786</v>
      </c>
      <c r="J47" s="14" t="n">
        <v>832</v>
      </c>
      <c r="K47" s="14" t="n">
        <v>449</v>
      </c>
      <c r="L47" s="14" t="n">
        <v>412</v>
      </c>
    </row>
    <row r="48">
      <c r="A48" s="8" t="inlineStr">
        <is>
          <t>Total liabilities</t>
        </is>
      </c>
      <c r="C48" s="26" t="n">
        <v>9198</v>
      </c>
      <c r="D48" s="26" t="n">
        <v>11773</v>
      </c>
      <c r="E48" s="26" t="n">
        <v>17196</v>
      </c>
      <c r="F48" s="26" t="n">
        <v>16578</v>
      </c>
      <c r="G48" s="26" t="n">
        <v>19498</v>
      </c>
      <c r="H48" s="26" t="n">
        <v>23425</v>
      </c>
      <c r="I48" s="26" t="n">
        <v>23605</v>
      </c>
      <c r="J48" s="26" t="n">
        <v>26017</v>
      </c>
      <c r="K48" s="26" t="n">
        <v>28768</v>
      </c>
      <c r="L48" s="26" t="n">
        <v>33719</v>
      </c>
    </row>
    <row r="49" ht="8" customHeight="1"/>
    <row r="50" ht="20" customHeight="1">
      <c r="A50" s="10" t="inlineStr">
        <is>
          <t>3. EQUITY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5" t="inlineStr">
        <is>
          <t>Redeemable non-controlling interests (mezzanine)</t>
        </is>
      </c>
      <c r="C51" s="14" t="n">
        <v>11111</v>
      </c>
      <c r="D51" s="14" t="n">
        <v>12210</v>
      </c>
      <c r="E51" s="14" t="n">
        <v>14177</v>
      </c>
      <c r="F51" s="14" t="n">
        <v>311</v>
      </c>
      <c r="G51" s="14" t="n">
        <v>787</v>
      </c>
      <c r="H51" s="14" t="n">
        <v>204</v>
      </c>
      <c r="I51" s="14" t="n">
        <v>430</v>
      </c>
      <c r="J51" s="14" t="n">
        <v>654</v>
      </c>
      <c r="K51" s="14" t="n">
        <v>93</v>
      </c>
      <c r="L51" s="14" t="n">
        <v>165</v>
      </c>
    </row>
    <row r="52">
      <c r="A52" s="5" t="inlineStr">
        <is>
          <t>Additional paid-in capital</t>
        </is>
      </c>
      <c r="F52" s="14" t="n">
        <v>30739</v>
      </c>
      <c r="G52" s="14" t="n">
        <v>35931</v>
      </c>
      <c r="H52" s="14" t="n">
        <v>38608</v>
      </c>
      <c r="I52" s="14" t="n">
        <v>40550</v>
      </c>
      <c r="J52" s="14" t="n">
        <v>42264</v>
      </c>
      <c r="K52" s="14" t="n">
        <v>42801</v>
      </c>
      <c r="L52" s="14" t="n">
        <v>38101</v>
      </c>
    </row>
    <row r="53">
      <c r="A53" s="5" t="inlineStr">
        <is>
          <t>Accumulated other comprehensive income (loss)</t>
        </is>
      </c>
      <c r="F53" s="14" t="n">
        <v>-187</v>
      </c>
      <c r="G53" s="14" t="n">
        <v>-535</v>
      </c>
      <c r="H53" s="14" t="n">
        <v>-524</v>
      </c>
      <c r="I53" s="14" t="n">
        <v>-443</v>
      </c>
      <c r="J53" s="14" t="n">
        <v>-421</v>
      </c>
      <c r="K53" s="14" t="n">
        <v>-517</v>
      </c>
      <c r="L53" s="14" t="n">
        <v>-432</v>
      </c>
    </row>
    <row r="54">
      <c r="A54" s="5" t="inlineStr">
        <is>
          <t>Accumulated deficit</t>
        </is>
      </c>
      <c r="F54" s="14" t="n">
        <v>-16362</v>
      </c>
      <c r="G54" s="14" t="n">
        <v>-23130</v>
      </c>
      <c r="H54" s="14" t="n">
        <v>-23626</v>
      </c>
      <c r="I54" s="14" t="n">
        <v>-32767</v>
      </c>
      <c r="J54" s="14" t="n">
        <v>-30594</v>
      </c>
      <c r="K54" s="14" t="n">
        <v>-20726</v>
      </c>
      <c r="L54" s="14" t="n">
        <v>-10628</v>
      </c>
    </row>
    <row r="55">
      <c r="A55" s="8" t="inlineStr">
        <is>
          <t>Total Uber Technologies, Inc. stockholders' equity (deficit)</t>
        </is>
      </c>
      <c r="C55" s="11" t="n">
        <v>-4596</v>
      </c>
      <c r="D55" s="11" t="n">
        <v>-8557</v>
      </c>
      <c r="E55" s="11" t="n">
        <v>-7385</v>
      </c>
      <c r="F55" s="11" t="n">
        <v>14190</v>
      </c>
      <c r="G55" s="11" t="n">
        <v>12266</v>
      </c>
      <c r="H55" s="11" t="n">
        <v>14458</v>
      </c>
      <c r="I55" s="11" t="n">
        <v>7340</v>
      </c>
      <c r="J55" s="11" t="n">
        <v>11249</v>
      </c>
      <c r="K55" s="11" t="n">
        <v>21558</v>
      </c>
      <c r="L55" s="11" t="n">
        <v>27041</v>
      </c>
    </row>
    <row r="56">
      <c r="A56" s="5" t="inlineStr">
        <is>
          <t>Non-redeemable non-controlling interests</t>
        </is>
      </c>
      <c r="C56" s="14" t="n">
        <v>0</v>
      </c>
      <c r="D56" s="14" t="n">
        <v>0</v>
      </c>
      <c r="E56" s="14" t="n">
        <v>0</v>
      </c>
      <c r="F56" s="14" t="n">
        <v>682</v>
      </c>
      <c r="G56" s="14" t="n">
        <v>701</v>
      </c>
      <c r="H56" s="14" t="n">
        <v>687</v>
      </c>
      <c r="I56" s="14" t="n">
        <v>734</v>
      </c>
      <c r="J56" s="14" t="n">
        <v>779</v>
      </c>
      <c r="K56" s="14" t="n">
        <v>825</v>
      </c>
      <c r="L56" s="14" t="n">
        <v>877</v>
      </c>
    </row>
    <row r="57">
      <c r="A57" s="8" t="inlineStr">
        <is>
          <t>Total equity (deficit)</t>
        </is>
      </c>
      <c r="C57" s="26" t="n">
        <v>-4596</v>
      </c>
      <c r="D57" s="26" t="n">
        <v>-8557</v>
      </c>
      <c r="E57" s="26" t="n">
        <v>-7385</v>
      </c>
      <c r="F57" s="26" t="n">
        <v>14872</v>
      </c>
      <c r="G57" s="26" t="n">
        <v>12967</v>
      </c>
      <c r="H57" s="26" t="n">
        <v>15145</v>
      </c>
      <c r="I57" s="26" t="n">
        <v>8074</v>
      </c>
      <c r="J57" s="26" t="n">
        <v>12028</v>
      </c>
      <c r="K57" s="26" t="n">
        <v>22383</v>
      </c>
      <c r="L57" s="26" t="n">
        <v>27918</v>
      </c>
    </row>
    <row r="58">
      <c r="A58" s="12" t="inlineStr">
        <is>
          <t>Balance Check: Assets - Liabilities - Redeemable NCI - Equity (should be ~0)</t>
        </is>
      </c>
      <c r="C58" s="18">
        <f>C33-C48-C51-C57</f>
        <v/>
      </c>
      <c r="D58" s="18">
        <f>D33-D48-D51-D57</f>
        <v/>
      </c>
      <c r="E58" s="18">
        <f>E33-E48-E51-E57</f>
        <v/>
      </c>
      <c r="F58" s="18">
        <f>F33-F48-F51-F57</f>
        <v/>
      </c>
      <c r="G58" s="18">
        <f>G33-G48-G51-G57</f>
        <v/>
      </c>
      <c r="H58" s="18">
        <f>H33-H48-H51-H57</f>
        <v/>
      </c>
      <c r="I58" s="18">
        <f>I33-I48-I51-I57</f>
        <v/>
      </c>
      <c r="J58" s="18">
        <f>J33-J48-J51-J57</f>
        <v/>
      </c>
      <c r="K58" s="18">
        <f>K33-K48-K51-K57</f>
        <v/>
      </c>
      <c r="L58" s="18">
        <f>L33-L48-L51-L57</f>
        <v/>
      </c>
    </row>
    <row r="59" ht="8" customHeight="1"/>
    <row r="60" ht="20" customHeight="1">
      <c r="A60" s="10" t="inlineStr">
        <is>
          <t>4. WORKING CAPITAL ANALYTICS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12" t="inlineStr">
        <is>
          <t>Days Sales Outstanding (AR)</t>
        </is>
      </c>
      <c r="D61" s="28">
        <f>D16/'Income Statement'!D12*365</f>
        <v/>
      </c>
      <c r="E61" s="28">
        <f>E16/'Income Statement'!E12*365</f>
        <v/>
      </c>
      <c r="F61" s="28">
        <f>F16/'Income Statement'!F12*365</f>
        <v/>
      </c>
      <c r="G61" s="28">
        <f>G16/'Income Statement'!G12*365</f>
        <v/>
      </c>
      <c r="H61" s="28">
        <f>H16/'Income Statement'!H12*365</f>
        <v/>
      </c>
      <c r="I61" s="28">
        <f>I16/'Income Statement'!I12*365</f>
        <v/>
      </c>
      <c r="J61" s="28">
        <f>J16/'Income Statement'!J12*365</f>
        <v/>
      </c>
      <c r="K61" s="28">
        <f>K16/'Income Statement'!K12*365</f>
        <v/>
      </c>
      <c r="L61" s="28">
        <f>L16/'Income Statement'!L12*365</f>
        <v/>
      </c>
    </row>
    <row r="62">
      <c r="A62" s="12" t="inlineStr">
        <is>
          <t>Days Payable Outstanding (AP)</t>
        </is>
      </c>
      <c r="D62" s="28">
        <f>D36/'Income Statement'!D14*365</f>
        <v/>
      </c>
      <c r="E62" s="28">
        <f>E36/'Income Statement'!E14*365</f>
        <v/>
      </c>
      <c r="F62" s="28">
        <f>F36/'Income Statement'!F14*365</f>
        <v/>
      </c>
      <c r="G62" s="28">
        <f>G36/'Income Statement'!G14*365</f>
        <v/>
      </c>
      <c r="H62" s="28">
        <f>H36/'Income Statement'!H14*365</f>
        <v/>
      </c>
      <c r="I62" s="28">
        <f>I36/'Income Statement'!I14*365</f>
        <v/>
      </c>
      <c r="J62" s="28">
        <f>J36/'Income Statement'!J14*365</f>
        <v/>
      </c>
      <c r="K62" s="28">
        <f>K36/'Income Statement'!K14*365</f>
        <v/>
      </c>
      <c r="L62" s="28">
        <f>L36/'Income Statement'!L14*365</f>
        <v/>
      </c>
    </row>
    <row r="63">
      <c r="A63" s="12" t="inlineStr">
        <is>
          <t>Net Trade Cycle (DSO - DPO)</t>
        </is>
      </c>
      <c r="B63" s="16" t="inlineStr">
        <is>
          <t>Uber carries no inventory (asset-light platform business); DIO is not applicable and is omitted</t>
        </is>
      </c>
      <c r="D63" s="28">
        <f>D61-D62</f>
        <v/>
      </c>
      <c r="E63" s="28">
        <f>E61-E62</f>
        <v/>
      </c>
      <c r="F63" s="28">
        <f>F61-F62</f>
        <v/>
      </c>
      <c r="G63" s="28">
        <f>G61-G62</f>
        <v/>
      </c>
      <c r="H63" s="28">
        <f>H61-H62</f>
        <v/>
      </c>
      <c r="I63" s="28">
        <f>I61-I62</f>
        <v/>
      </c>
      <c r="J63" s="28">
        <f>J61-J62</f>
        <v/>
      </c>
      <c r="K63" s="28">
        <f>K61-K62</f>
        <v/>
      </c>
      <c r="L63" s="28">
        <f>L61-L62</f>
        <v/>
      </c>
    </row>
  </sheetData>
  <conditionalFormatting sqref="C20:L20">
    <cfRule type="cellIs" priority="1" operator="notBetween" dxfId="0">
      <formula>-0.5</formula>
      <formula>0.5</formula>
    </cfRule>
  </conditionalFormatting>
  <conditionalFormatting sqref="C42:L42">
    <cfRule type="cellIs" priority="2" operator="notBetween" dxfId="0">
      <formula>-0.5</formula>
      <formula>0.5</formula>
    </cfRule>
  </conditionalFormatting>
  <conditionalFormatting sqref="C58:L58">
    <cfRule type="cellIs" priority="3" operator="notBetween" dxfId="0">
      <formula>-0.5</formula>
      <formula>0.5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L9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hidden="1" outlineLevel="1"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6">
      <c r="A6" s="8" t="inlineStr">
        <is>
          <t>CONTENTS</t>
        </is>
      </c>
    </row>
    <row r="7">
      <c r="A7" s="9">
        <f>HYPERLINK("#'Cash Flow'!A12","1. OPERATING ACTIVITIES")</f>
        <v/>
      </c>
    </row>
    <row r="8">
      <c r="A8" s="9">
        <f>HYPERLINK("#'Cash Flow'!A47","2. INVESTING ACTIVITIES")</f>
        <v/>
      </c>
    </row>
    <row r="9">
      <c r="A9" s="9">
        <f>HYPERLINK("#'Cash Flow'!A65","3. FINANCING ACTIVITIES")</f>
        <v/>
      </c>
    </row>
    <row r="10">
      <c r="A10" s="9">
        <f>HYPERLINK("#'Cash Flow'!A86","4. CASH WALK &amp; FCF ANALYTICS")</f>
        <v/>
      </c>
    </row>
    <row r="11" ht="8" customHeight="1"/>
    <row r="12" ht="20" customHeight="1">
      <c r="A12" s="10" t="inlineStr">
        <is>
          <t>1. OPERATING ACTIVITIES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8" t="inlineStr">
        <is>
          <t>Net income (loss) including non-controlling interests</t>
        </is>
      </c>
      <c r="C13" s="11" t="n">
        <v>-370</v>
      </c>
      <c r="D13" s="11" t="n">
        <v>-4033</v>
      </c>
      <c r="E13" s="11" t="n">
        <v>987</v>
      </c>
      <c r="F13" s="11" t="n">
        <v>-8512</v>
      </c>
      <c r="G13" s="11" t="n">
        <v>-6788</v>
      </c>
      <c r="H13" s="11" t="n">
        <v>-570</v>
      </c>
      <c r="I13" s="11" t="n">
        <v>-9138</v>
      </c>
      <c r="J13" s="11" t="n">
        <v>2156</v>
      </c>
      <c r="K13" s="11" t="n">
        <v>9845</v>
      </c>
      <c r="L13" s="11" t="n">
        <v>10093</v>
      </c>
    </row>
    <row r="14">
      <c r="A14" s="5" t="inlineStr">
        <is>
          <t>Depreciation and amortization</t>
        </is>
      </c>
      <c r="E14" s="14" t="n">
        <v>426</v>
      </c>
      <c r="F14" s="14" t="n">
        <v>472</v>
      </c>
      <c r="G14" s="14" t="n">
        <v>575</v>
      </c>
      <c r="H14" s="14" t="n">
        <v>902</v>
      </c>
      <c r="I14" s="14" t="n">
        <v>947</v>
      </c>
      <c r="J14" s="14" t="n">
        <v>823</v>
      </c>
      <c r="K14" s="14" t="n">
        <v>737</v>
      </c>
      <c r="L14" s="14" t="n">
        <v>747</v>
      </c>
    </row>
    <row r="15">
      <c r="A15" s="5" t="inlineStr">
        <is>
          <t>Bad debt expense</t>
        </is>
      </c>
      <c r="B15" s="16" t="inlineStr">
        <is>
          <t>Folded into Other starting the FY2025 10-K presentation</t>
        </is>
      </c>
      <c r="E15" s="14" t="n">
        <v>71</v>
      </c>
      <c r="F15" s="14" t="n">
        <v>92</v>
      </c>
      <c r="G15" s="14" t="n">
        <v>76</v>
      </c>
      <c r="H15" s="14" t="n">
        <v>109</v>
      </c>
      <c r="I15" s="14" t="n">
        <v>114</v>
      </c>
      <c r="J15" s="14" t="n">
        <v>92</v>
      </c>
    </row>
    <row r="16">
      <c r="A16" s="5" t="inlineStr">
        <is>
          <t>Stock-based compensation</t>
        </is>
      </c>
      <c r="C16" s="14" t="n">
        <v>107</v>
      </c>
      <c r="D16" s="14" t="n">
        <v>124</v>
      </c>
      <c r="E16" s="14" t="n">
        <v>170</v>
      </c>
      <c r="F16" s="14" t="n">
        <v>4596</v>
      </c>
      <c r="G16" s="14" t="n">
        <v>827</v>
      </c>
      <c r="H16" s="14" t="n">
        <v>1168</v>
      </c>
      <c r="I16" s="14" t="n">
        <v>1793</v>
      </c>
      <c r="J16" s="14" t="n">
        <v>1935</v>
      </c>
      <c r="K16" s="14" t="n">
        <v>1796</v>
      </c>
      <c r="L16" s="14" t="n">
        <v>1826</v>
      </c>
    </row>
    <row r="17">
      <c r="A17" s="5" t="inlineStr">
        <is>
          <t>Loss (gain) from sale of investments</t>
        </is>
      </c>
      <c r="H17" s="14" t="n">
        <v>-413</v>
      </c>
      <c r="I17" s="14" t="n">
        <v>0</v>
      </c>
      <c r="J17" s="14" t="n">
        <v>74</v>
      </c>
    </row>
    <row r="18">
      <c r="A18" s="5" t="inlineStr">
        <is>
          <t>Gain on business divestitures, net</t>
        </is>
      </c>
      <c r="E18" s="14" t="n">
        <v>-3214</v>
      </c>
      <c r="F18" s="14" t="n">
        <v>0</v>
      </c>
      <c r="G18" s="14" t="n">
        <v>-204</v>
      </c>
      <c r="H18" s="14" t="n">
        <v>-1684</v>
      </c>
      <c r="I18" s="14" t="n">
        <v>-14</v>
      </c>
      <c r="J18" s="14" t="n">
        <v>-204</v>
      </c>
    </row>
    <row r="19">
      <c r="A19" s="5" t="inlineStr">
        <is>
          <t>Deferred income taxes</t>
        </is>
      </c>
      <c r="E19" s="14" t="n">
        <v>35</v>
      </c>
      <c r="F19" s="14" t="n">
        <v>-88</v>
      </c>
      <c r="G19" s="14" t="n">
        <v>-266</v>
      </c>
      <c r="H19" s="14" t="n">
        <v>-692</v>
      </c>
      <c r="I19" s="14" t="n">
        <v>-441</v>
      </c>
      <c r="J19" s="14" t="n">
        <v>26</v>
      </c>
      <c r="K19" s="14" t="n">
        <v>-6027</v>
      </c>
      <c r="L19" s="14" t="n">
        <v>-4779</v>
      </c>
    </row>
    <row r="20">
      <c r="A20" s="5" t="inlineStr">
        <is>
          <t>Gain on extinguishment of convertible notes and settlement of derivatives</t>
        </is>
      </c>
      <c r="F20" s="14" t="n">
        <v>-444</v>
      </c>
    </row>
    <row r="21">
      <c r="A21" s="5" t="inlineStr">
        <is>
          <t>Revaluation of derivative liabilities</t>
        </is>
      </c>
      <c r="E21" s="14" t="n">
        <v>501</v>
      </c>
      <c r="F21" s="14" t="n">
        <v>-58</v>
      </c>
    </row>
    <row r="22">
      <c r="A22" s="5" t="inlineStr">
        <is>
          <t>Accretion of discount on long-term debt</t>
        </is>
      </c>
      <c r="E22" s="14" t="n">
        <v>318</v>
      </c>
      <c r="F22" s="14" t="n">
        <v>82</v>
      </c>
      <c r="G22" s="14" t="n">
        <v>45</v>
      </c>
    </row>
    <row r="23">
      <c r="A23" s="5" t="inlineStr">
        <is>
          <t>Payment-in-kind interest</t>
        </is>
      </c>
      <c r="E23" s="14" t="n">
        <v>71</v>
      </c>
      <c r="F23" s="14" t="n">
        <v>10</v>
      </c>
    </row>
    <row r="24">
      <c r="A24" s="5" t="inlineStr">
        <is>
          <t>Impairment of debt and equity securities</t>
        </is>
      </c>
      <c r="G24" s="14" t="n">
        <v>1690</v>
      </c>
    </row>
    <row r="25">
      <c r="A25" s="5" t="inlineStr">
        <is>
          <t>Impairments of goodwill, long-lived and other assets</t>
        </is>
      </c>
      <c r="E25" s="14" t="n">
        <v>197</v>
      </c>
      <c r="G25" s="14" t="n">
        <v>404</v>
      </c>
      <c r="H25" s="14" t="n">
        <v>116</v>
      </c>
      <c r="I25" s="14" t="n">
        <v>28</v>
      </c>
      <c r="J25" s="14" t="n">
        <v>86</v>
      </c>
    </row>
    <row r="26">
      <c r="A26" s="5" t="inlineStr">
        <is>
          <t>Impairment of equity method investment</t>
        </is>
      </c>
      <c r="I26" s="14" t="n">
        <v>182</v>
      </c>
    </row>
    <row r="27">
      <c r="A27" s="5" t="inlineStr">
        <is>
          <t>Loss (income) from equity method investments, net</t>
        </is>
      </c>
      <c r="E27" s="14" t="n">
        <v>42</v>
      </c>
      <c r="F27" s="14" t="n">
        <v>34</v>
      </c>
      <c r="G27" s="14" t="n">
        <v>34</v>
      </c>
      <c r="H27" s="14" t="n">
        <v>37</v>
      </c>
      <c r="I27" s="14" t="n">
        <v>-107</v>
      </c>
      <c r="J27" s="14" t="n">
        <v>-48</v>
      </c>
    </row>
    <row r="28">
      <c r="A28" s="5" t="inlineStr">
        <is>
          <t>Unrealized (gain) loss on debt and equity securities, net</t>
        </is>
      </c>
      <c r="E28" s="14" t="n">
        <v>-1996</v>
      </c>
      <c r="F28" s="14" t="n">
        <v>-2</v>
      </c>
      <c r="G28" s="14" t="n">
        <v>125</v>
      </c>
      <c r="H28" s="14" t="n">
        <v>-1142</v>
      </c>
      <c r="I28" s="14" t="n">
        <v>7045</v>
      </c>
      <c r="J28" s="14" t="n">
        <v>-1610</v>
      </c>
      <c r="K28" s="14" t="n">
        <v>-1832</v>
      </c>
      <c r="L28" s="14" t="n">
        <v>97</v>
      </c>
    </row>
    <row r="29">
      <c r="A29" s="5" t="inlineStr">
        <is>
          <t>Accretion of discounts on marketable debt securities, net</t>
        </is>
      </c>
      <c r="B29" s="16" t="inlineStr">
        <is>
          <t>Separately broken out starting the FY2025 10-K; previously embedded in unrealized gain/loss line</t>
        </is>
      </c>
      <c r="J29" s="14" t="n">
        <v>-154</v>
      </c>
      <c r="K29" s="14" t="n">
        <v>-251</v>
      </c>
      <c r="L29" s="14" t="n">
        <v>-158</v>
      </c>
    </row>
    <row r="30">
      <c r="A30" s="5" t="inlineStr">
        <is>
          <t>Revaluation of MLU B.V. call option</t>
        </is>
      </c>
      <c r="I30" s="14" t="n">
        <v>-191</v>
      </c>
    </row>
    <row r="31">
      <c r="A31" s="5" t="inlineStr">
        <is>
          <t>Gain on forfeiture of unvested warrants and related share repurchases</t>
        </is>
      </c>
      <c r="E31" s="14" t="n">
        <v>-152</v>
      </c>
    </row>
    <row r="32">
      <c r="A32" s="5" t="inlineStr">
        <is>
          <t>Unrealized foreign currency transactions</t>
        </is>
      </c>
      <c r="E32" s="14" t="n">
        <v>53</v>
      </c>
      <c r="F32" s="14" t="n">
        <v>16</v>
      </c>
      <c r="G32" s="14" t="n">
        <v>48</v>
      </c>
      <c r="H32" s="14" t="n">
        <v>38</v>
      </c>
      <c r="I32" s="14" t="n">
        <v>96</v>
      </c>
      <c r="J32" s="14" t="n">
        <v>138</v>
      </c>
      <c r="K32" s="14" t="n">
        <v>308</v>
      </c>
      <c r="L32" s="14" t="n">
        <v>-120</v>
      </c>
    </row>
    <row r="33">
      <c r="A33" s="5" t="inlineStr">
        <is>
          <t>Other</t>
        </is>
      </c>
      <c r="E33" s="14" t="n">
        <v>60</v>
      </c>
      <c r="F33" s="14" t="n">
        <v>-19</v>
      </c>
      <c r="G33" s="14" t="n">
        <v>-43</v>
      </c>
      <c r="H33" s="14" t="n">
        <v>4</v>
      </c>
      <c r="I33" s="14" t="n">
        <v>-7</v>
      </c>
      <c r="J33" s="14" t="n">
        <v>106</v>
      </c>
      <c r="K33" s="14" t="n">
        <v>187</v>
      </c>
      <c r="L33" s="14" t="n">
        <v>166</v>
      </c>
    </row>
    <row r="35">
      <c r="A35" s="5" t="inlineStr">
        <is>
          <t>Change in accounts receivable</t>
        </is>
      </c>
      <c r="E35" s="14" t="n">
        <v>-279</v>
      </c>
      <c r="F35" s="14" t="n">
        <v>-407</v>
      </c>
      <c r="G35" s="14" t="n">
        <v>142</v>
      </c>
      <c r="H35" s="14" t="n">
        <v>-597</v>
      </c>
      <c r="I35" s="14" t="n">
        <v>-542</v>
      </c>
      <c r="J35" s="14" t="n">
        <v>-758</v>
      </c>
      <c r="K35" s="14" t="n">
        <v>-142</v>
      </c>
      <c r="L35" s="14" t="n">
        <v>-466</v>
      </c>
    </row>
    <row r="36">
      <c r="A36" s="5" t="inlineStr">
        <is>
          <t>Change in prepaid expenses and other assets</t>
        </is>
      </c>
      <c r="E36" s="14" t="n">
        <v>-473</v>
      </c>
      <c r="F36" s="14" t="n">
        <v>-478</v>
      </c>
      <c r="G36" s="14" t="n">
        <v>94</v>
      </c>
      <c r="H36" s="14" t="n">
        <v>-236</v>
      </c>
      <c r="I36" s="14" t="n">
        <v>-196</v>
      </c>
      <c r="J36" s="14" t="n">
        <v>-1462</v>
      </c>
      <c r="K36" s="14" t="n">
        <v>-694</v>
      </c>
      <c r="L36" s="14" t="n">
        <v>-1028</v>
      </c>
    </row>
    <row r="37">
      <c r="A37" s="5" t="inlineStr">
        <is>
          <t>Change in collateral held by insurer</t>
        </is>
      </c>
      <c r="F37" s="14" t="n">
        <v>-1199</v>
      </c>
      <c r="G37" s="14" t="n">
        <v>339</v>
      </c>
      <c r="H37" s="14" t="n">
        <v>860</v>
      </c>
    </row>
    <row r="38">
      <c r="A38" s="5" t="inlineStr">
        <is>
          <t>Change in operating lease right-of-use assets</t>
        </is>
      </c>
      <c r="F38" s="14" t="n">
        <v>201</v>
      </c>
      <c r="G38" s="14" t="n">
        <v>341</v>
      </c>
      <c r="H38" s="14" t="n">
        <v>165</v>
      </c>
      <c r="I38" s="14" t="n">
        <v>193</v>
      </c>
      <c r="J38" s="14" t="n">
        <v>191</v>
      </c>
      <c r="K38" s="14" t="n">
        <v>196</v>
      </c>
      <c r="L38" s="14" t="n">
        <v>177</v>
      </c>
    </row>
    <row r="39">
      <c r="A39" s="5" t="inlineStr">
        <is>
          <t>Change in accounts payable</t>
        </is>
      </c>
      <c r="E39" s="14" t="n">
        <v>-39</v>
      </c>
      <c r="F39" s="14" t="n">
        <v>95</v>
      </c>
      <c r="G39" s="14" t="n">
        <v>-133</v>
      </c>
      <c r="H39" s="14" t="n">
        <v>90</v>
      </c>
      <c r="I39" s="14" t="n">
        <v>-133</v>
      </c>
      <c r="J39" s="14" t="n">
        <v>64</v>
      </c>
      <c r="K39" s="14" t="n">
        <v>86</v>
      </c>
      <c r="L39" s="14" t="n">
        <v>126</v>
      </c>
    </row>
    <row r="40">
      <c r="A40" s="5" t="inlineStr">
        <is>
          <t>Change in accrued insurance reserves</t>
        </is>
      </c>
      <c r="E40" s="14" t="n">
        <v>943</v>
      </c>
      <c r="F40" s="14" t="n">
        <v>481</v>
      </c>
      <c r="G40" s="14" t="n">
        <v>-3</v>
      </c>
      <c r="H40" s="14" t="n">
        <v>516</v>
      </c>
      <c r="I40" s="14" t="n">
        <v>736</v>
      </c>
      <c r="J40" s="14" t="n">
        <v>2230</v>
      </c>
      <c r="K40" s="14" t="n">
        <v>2819</v>
      </c>
      <c r="L40" s="14" t="n">
        <v>2660</v>
      </c>
    </row>
    <row r="41">
      <c r="A41" s="5" t="inlineStr">
        <is>
          <t>Change in accrued expenses and other liabilities</t>
        </is>
      </c>
      <c r="E41" s="14" t="n">
        <v>738</v>
      </c>
      <c r="F41" s="14" t="n">
        <v>960</v>
      </c>
      <c r="G41" s="14" t="n">
        <v>83</v>
      </c>
      <c r="H41" s="14" t="n">
        <v>1068</v>
      </c>
      <c r="I41" s="14" t="n">
        <v>492</v>
      </c>
      <c r="J41" s="14" t="n">
        <v>80</v>
      </c>
      <c r="K41" s="14" t="n">
        <v>330</v>
      </c>
      <c r="L41" s="14" t="n">
        <v>967</v>
      </c>
    </row>
    <row r="42">
      <c r="A42" s="5" t="inlineStr">
        <is>
          <t>Change in operating lease liabilities</t>
        </is>
      </c>
      <c r="F42" s="14" t="n">
        <v>-153</v>
      </c>
      <c r="G42" s="14" t="n">
        <v>-131</v>
      </c>
      <c r="H42" s="14" t="n">
        <v>-184</v>
      </c>
      <c r="I42" s="14" t="n">
        <v>-215</v>
      </c>
      <c r="J42" s="14" t="n">
        <v>-180</v>
      </c>
      <c r="K42" s="14" t="n">
        <v>-221</v>
      </c>
      <c r="L42" s="14" t="n">
        <v>-209</v>
      </c>
    </row>
    <row r="43">
      <c r="A43" s="8" t="inlineStr">
        <is>
          <t>Net cash provided by (used in) operating activities</t>
        </is>
      </c>
      <c r="C43" s="17">
        <f>C13+C14+C15+C16+C17+C18+C19+C20+C21+C22+C23+C24+C25+C26+C27+C28+C29+C30+C31+C32+C33+C35+C36+C37+C38+C39+C40+C41+C42</f>
        <v/>
      </c>
      <c r="D43" s="17">
        <f>D13+D14+D15+D16+D17+D18+D19+D20+D21+D22+D23+D24+D25+D26+D27+D28+D29+D30+D31+D32+D33+D35+D36+D37+D38+D39+D40+D41+D42</f>
        <v/>
      </c>
      <c r="E43" s="17">
        <f>E13+E14+E15+E16+E17+E18+E19+E20+E21+E22+E23+E24+E25+E26+E27+E28+E29+E30+E31+E32+E33+E35+E36+E37+E38+E39+E40+E41+E42</f>
        <v/>
      </c>
      <c r="F43" s="17">
        <f>F13+F14+F15+F16+F17+F18+F19+F20+F21+F22+F23+F24+F25+F26+F27+F28+F29+F30+F31+F32+F33+F35+F36+F37+F38+F39+F40+F41+F42</f>
        <v/>
      </c>
      <c r="G43" s="17">
        <f>G13+G14+G15+G16+G17+G18+G19+G20+G21+G22+G23+G24+G25+G26+G27+G28+G29+G30+G31+G32+G33+G35+G36+G37+G38+G39+G40+G41+G42</f>
        <v/>
      </c>
      <c r="H43" s="17">
        <f>H13+H14+H15+H16+H17+H18+H19+H20+H21+H22+H23+H24+H25+H26+H27+H28+H29+H30+H31+H32+H33+H35+H36+H37+H38+H39+H40+H41+H42</f>
        <v/>
      </c>
      <c r="I43" s="17">
        <f>I13+I14+I15+I16+I17+I18+I19+I20+I21+I22+I23+I24+I25+I26+I27+I28+I29+I30+I31+I32+I33+I35+I36+I37+I38+I39+I40+I41+I42</f>
        <v/>
      </c>
      <c r="J43" s="17">
        <f>J13+J14+J15+J16+J17+J18+J19+J20+J21+J22+J23+J24+J25+J26+J27+J28+J29+J30+J31+J32+J33+J35+J36+J37+J38+J39+J40+J41+J42</f>
        <v/>
      </c>
      <c r="K43" s="17">
        <f>K13+K14+K15+K16+K17+K18+K19+K20+K21+K22+K23+K24+K25+K26+K27+K28+K29+K30+K31+K32+K33+K35+K36+K37+K38+K39+K40+K41+K42</f>
        <v/>
      </c>
      <c r="L43" s="17">
        <f>L13+L14+L15+L16+L17+L18+L19+L20+L21+L22+L23+L24+L25+L26+L27+L28+L29+L30+L31+L32+L33+L35+L36+L37+L38+L39+L40+L41+L42</f>
        <v/>
      </c>
    </row>
    <row r="44">
      <c r="A44" s="8" t="inlineStr">
        <is>
          <t>Net cash provided by (used in) operating activities (as reported)</t>
        </is>
      </c>
      <c r="B44" s="16" t="inlineStr">
        <is>
          <t>As-reported figure (used for FY2016-2017 where full add-back detail is unavailable, and for cross-check FY2018-2025)</t>
        </is>
      </c>
      <c r="C44" s="11" t="n">
        <v>-2913</v>
      </c>
      <c r="D44" s="11" t="n">
        <v>-1418</v>
      </c>
      <c r="E44" s="11" t="n">
        <v>-1541</v>
      </c>
      <c r="F44" s="11" t="n">
        <v>-4321</v>
      </c>
      <c r="G44" s="11" t="n">
        <v>-2745</v>
      </c>
      <c r="H44" s="11" t="n">
        <v>-445</v>
      </c>
      <c r="I44" s="11" t="n">
        <v>642</v>
      </c>
      <c r="J44" s="11" t="n">
        <v>3585</v>
      </c>
      <c r="K44" s="11" t="n">
        <v>7137</v>
      </c>
      <c r="L44" s="11" t="n">
        <v>10099</v>
      </c>
    </row>
    <row r="45">
      <c r="A45" s="12" t="inlineStr">
        <is>
          <t>Check: Calculated CFO vs. As-Reported CFO (should be ~0)</t>
        </is>
      </c>
      <c r="E45" s="18">
        <f>E43-E44</f>
        <v/>
      </c>
      <c r="F45" s="18">
        <f>F43-F44</f>
        <v/>
      </c>
      <c r="G45" s="18">
        <f>G43-G44</f>
        <v/>
      </c>
      <c r="H45" s="18">
        <f>H43-H44</f>
        <v/>
      </c>
      <c r="I45" s="18">
        <f>I43-I44</f>
        <v/>
      </c>
      <c r="J45" s="18">
        <f>J43-J44</f>
        <v/>
      </c>
      <c r="K45" s="18">
        <f>K43-K44</f>
        <v/>
      </c>
      <c r="L45" s="18">
        <f>L43-L44</f>
        <v/>
      </c>
    </row>
    <row r="46" ht="8" customHeight="1"/>
    <row r="47" ht="20" customHeight="1">
      <c r="A47" s="10" t="inlineStr">
        <is>
          <t>2. INVESTING ACTIVITIES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5" t="inlineStr">
        <is>
          <t>Proceeds from sale and disposal of property and equipment</t>
        </is>
      </c>
      <c r="E48" s="14" t="n">
        <v>369</v>
      </c>
      <c r="F48" s="14" t="n">
        <v>51</v>
      </c>
      <c r="G48" s="14" t="n">
        <v>3</v>
      </c>
    </row>
    <row r="49">
      <c r="A49" s="8" t="inlineStr">
        <is>
          <t>Purchases of property and equipment</t>
        </is>
      </c>
      <c r="C49" s="11" t="n">
        <v>-1629</v>
      </c>
      <c r="D49" s="11" t="n">
        <v>-821</v>
      </c>
      <c r="E49" s="11" t="n">
        <v>-558</v>
      </c>
      <c r="F49" s="11" t="n">
        <v>-588</v>
      </c>
      <c r="G49" s="11" t="n">
        <v>-616</v>
      </c>
      <c r="H49" s="11" t="n">
        <v>-298</v>
      </c>
      <c r="I49" s="11" t="n">
        <v>-252</v>
      </c>
      <c r="J49" s="11" t="n">
        <v>-223</v>
      </c>
      <c r="K49" s="11" t="n">
        <v>-242</v>
      </c>
      <c r="L49" s="11" t="n">
        <v>-336</v>
      </c>
    </row>
    <row r="50">
      <c r="A50" s="5" t="inlineStr">
        <is>
          <t>Purchases of equity method investments</t>
        </is>
      </c>
      <c r="E50" s="14" t="n">
        <v>-412</v>
      </c>
    </row>
    <row r="51">
      <c r="A51" s="5" t="inlineStr">
        <is>
          <t>Purchases of non-marketable equity securities</t>
        </is>
      </c>
      <c r="F51" s="14" t="n">
        <v>-100</v>
      </c>
      <c r="G51" s="14" t="n">
        <v>-10</v>
      </c>
      <c r="H51" s="14" t="n">
        <v>-982</v>
      </c>
      <c r="I51" s="14" t="n">
        <v>-14</v>
      </c>
      <c r="J51" s="14" t="n">
        <v>-52</v>
      </c>
      <c r="K51" s="14" t="n">
        <v>-289</v>
      </c>
      <c r="L51" s="14" t="n">
        <v>-676</v>
      </c>
    </row>
    <row r="52">
      <c r="A52" s="5" t="inlineStr">
        <is>
          <t>Purchases of marketable securities</t>
        </is>
      </c>
      <c r="F52" s="14" t="n">
        <v>-441</v>
      </c>
      <c r="G52" s="14" t="n">
        <v>-2101</v>
      </c>
      <c r="H52" s="14" t="n">
        <v>-1113</v>
      </c>
      <c r="I52" s="14" t="n">
        <v>-1708</v>
      </c>
      <c r="J52" s="14" t="n">
        <v>-8774</v>
      </c>
      <c r="K52" s="14" t="n">
        <v>-12765</v>
      </c>
      <c r="L52" s="14" t="n">
        <v>-21447</v>
      </c>
    </row>
    <row r="53">
      <c r="A53" s="5" t="inlineStr">
        <is>
          <t>Proceeds from maturities and sales of marketable securities</t>
        </is>
      </c>
      <c r="F53" s="14" t="n">
        <v>2</v>
      </c>
      <c r="G53" s="14" t="n">
        <v>1360</v>
      </c>
      <c r="H53" s="14" t="n">
        <v>2291</v>
      </c>
      <c r="I53" s="14" t="n">
        <v>376</v>
      </c>
      <c r="J53" s="14" t="n">
        <v>5069</v>
      </c>
      <c r="K53" s="14" t="n">
        <v>10204</v>
      </c>
      <c r="L53" s="14" t="n">
        <v>20046</v>
      </c>
    </row>
    <row r="54">
      <c r="A54" s="5" t="inlineStr">
        <is>
          <t>Proceeds from sale of non-marketable equity securities</t>
        </is>
      </c>
      <c r="H54" s="14" t="n">
        <v>500</v>
      </c>
    </row>
    <row r="55">
      <c r="A55" s="5" t="inlineStr">
        <is>
          <t>Proceeds from business disposal, net of cash divested</t>
        </is>
      </c>
      <c r="F55" s="14" t="n">
        <v>293</v>
      </c>
      <c r="I55" s="14" t="n">
        <v>26</v>
      </c>
    </row>
    <row r="56">
      <c r="A56" s="5" t="inlineStr">
        <is>
          <t>Proceeds from sale of equity method investments</t>
        </is>
      </c>
      <c r="H56" s="14" t="n">
        <v>1000</v>
      </c>
      <c r="J56" s="14" t="n">
        <v>721</v>
      </c>
      <c r="K56" s="14" t="n">
        <v>17</v>
      </c>
    </row>
    <row r="57">
      <c r="A57" s="5" t="inlineStr">
        <is>
          <t>Acquisition of businesses, net of cash acquired</t>
        </is>
      </c>
      <c r="E57" s="14" t="n">
        <v>-64</v>
      </c>
      <c r="F57" s="14" t="n">
        <v>-7</v>
      </c>
      <c r="G57" s="14" t="n">
        <v>-1471</v>
      </c>
      <c r="H57" s="14" t="n">
        <v>-2314</v>
      </c>
      <c r="I57" s="14" t="n">
        <v>-59</v>
      </c>
      <c r="L57" s="14" t="n">
        <v>-815</v>
      </c>
    </row>
    <row r="58">
      <c r="A58" s="5" t="inlineStr">
        <is>
          <t>Purchase of notes receivable</t>
        </is>
      </c>
      <c r="G58" s="14" t="n">
        <v>-185</v>
      </c>
      <c r="H58" s="14" t="n">
        <v>-297</v>
      </c>
    </row>
    <row r="59">
      <c r="A59" s="5" t="inlineStr">
        <is>
          <t>Return of capital from equity method investee</t>
        </is>
      </c>
      <c r="G59" s="14" t="n">
        <v>91</v>
      </c>
    </row>
    <row r="60">
      <c r="A60" s="5" t="inlineStr">
        <is>
          <t>Other investing activities</t>
        </is>
      </c>
      <c r="E60" s="14" t="n">
        <v>-30</v>
      </c>
      <c r="G60" s="14" t="n">
        <v>60</v>
      </c>
      <c r="H60" s="14" t="n">
        <v>12</v>
      </c>
      <c r="I60" s="14" t="n">
        <v>-6</v>
      </c>
      <c r="J60" s="14" t="n">
        <v>33</v>
      </c>
      <c r="K60" s="14" t="n">
        <v>-102</v>
      </c>
      <c r="L60" s="14" t="n">
        <v>-336</v>
      </c>
    </row>
    <row r="61">
      <c r="A61" s="8" t="inlineStr">
        <is>
          <t>Net cash used in investing activities</t>
        </is>
      </c>
      <c r="E61" s="17">
        <f>E48+E49+E50+E51+E52+E53+E54+E55+E56+E57+E58+E59+E60</f>
        <v/>
      </c>
      <c r="F61" s="17">
        <f>F48+F49+F50+F51+F52+F53+F54+F55+F56+F57+F58+F59+F60</f>
        <v/>
      </c>
      <c r="G61" s="17">
        <f>G48+G49+G50+G51+G52+G53+G54+G55+G56+G57+G58+G59+G60</f>
        <v/>
      </c>
      <c r="H61" s="17">
        <f>H48+H49+H50+H51+H52+H53+H54+H55+H56+H57+H58+H59+H60</f>
        <v/>
      </c>
      <c r="I61" s="17">
        <f>I48+I49+I50+I51+I52+I53+I54+I55+I56+I57+I58+I59+I60</f>
        <v/>
      </c>
      <c r="J61" s="17">
        <f>J48+J49+J50+J51+J52+J53+J54+J55+J56+J57+J58+J59+J60</f>
        <v/>
      </c>
      <c r="K61" s="17">
        <f>K48+K49+K50+K51+K52+K53+K54+K55+K56+K57+K58+K59+K60</f>
        <v/>
      </c>
      <c r="L61" s="17">
        <f>L48+L49+L50+L51+L52+L53+L54+L55+L56+L57+L58+L59+L60</f>
        <v/>
      </c>
    </row>
    <row r="62">
      <c r="A62" s="8" t="inlineStr">
        <is>
          <t>Net cash used in investing activities (as reported)</t>
        </is>
      </c>
      <c r="C62" s="11" t="n">
        <v>-1858</v>
      </c>
      <c r="D62" s="11" t="n">
        <v>-487</v>
      </c>
      <c r="E62" s="11" t="n">
        <v>-695</v>
      </c>
      <c r="F62" s="11" t="n">
        <v>-790</v>
      </c>
      <c r="G62" s="11" t="n">
        <v>-2869</v>
      </c>
      <c r="H62" s="11" t="n">
        <v>-1201</v>
      </c>
      <c r="I62" s="11" t="n">
        <v>-1637</v>
      </c>
      <c r="J62" s="11" t="n">
        <v>-3226</v>
      </c>
      <c r="K62" s="11" t="n">
        <v>-3177</v>
      </c>
      <c r="L62" s="11" t="n">
        <v>-3564</v>
      </c>
    </row>
    <row r="63">
      <c r="A63" s="12" t="inlineStr">
        <is>
          <t>Check: Calculated CFI vs. As-Reported CFI (should be ~0)</t>
        </is>
      </c>
      <c r="E63" s="18">
        <f>E61-E62</f>
        <v/>
      </c>
      <c r="F63" s="18">
        <f>F61-F62</f>
        <v/>
      </c>
      <c r="G63" s="18">
        <f>G61-G62</f>
        <v/>
      </c>
      <c r="H63" s="18">
        <f>H61-H62</f>
        <v/>
      </c>
      <c r="I63" s="18">
        <f>I61-I62</f>
        <v/>
      </c>
      <c r="J63" s="18">
        <f>J61-J62</f>
        <v/>
      </c>
      <c r="K63" s="18">
        <f>K61-K62</f>
        <v/>
      </c>
      <c r="L63" s="18">
        <f>L61-L62</f>
        <v/>
      </c>
    </row>
    <row r="64" ht="8" customHeight="1"/>
    <row r="65" ht="20" customHeight="1">
      <c r="A65" s="10" t="inlineStr">
        <is>
          <t>3. FINANCING ACTIVITIES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5" t="inlineStr">
        <is>
          <t>Proceeds from issuance of common stock upon IPO, net of offering costs</t>
        </is>
      </c>
      <c r="F66" s="14" t="n">
        <v>7973</v>
      </c>
    </row>
    <row r="67">
      <c r="A67" s="5" t="inlineStr">
        <is>
          <t>Taxes paid related to net share settlement of equity awards</t>
        </is>
      </c>
      <c r="F67" s="14" t="n">
        <v>-1573</v>
      </c>
      <c r="G67" s="14" t="n">
        <v>-17</v>
      </c>
    </row>
    <row r="68">
      <c r="A68" s="5" t="inlineStr">
        <is>
          <t>Proceeds from issuance of common stock, private placement</t>
        </is>
      </c>
      <c r="F68" s="14" t="n">
        <v>500</v>
      </c>
    </row>
    <row r="69">
      <c r="A69" s="5" t="inlineStr">
        <is>
          <t>Proceeds from issuance of subsidiary preferred stock units</t>
        </is>
      </c>
      <c r="F69" s="14" t="n">
        <v>1000</v>
      </c>
      <c r="G69" s="14" t="n">
        <v>247</v>
      </c>
    </row>
    <row r="70">
      <c r="A70" s="5" t="inlineStr">
        <is>
          <t>Proceeds from issuance of common stock under ESPP</t>
        </is>
      </c>
      <c r="F70" s="14" t="n">
        <v>49</v>
      </c>
      <c r="G70" s="14" t="n">
        <v>125</v>
      </c>
      <c r="H70" s="14" t="n">
        <v>107</v>
      </c>
      <c r="I70" s="14" t="n">
        <v>92</v>
      </c>
      <c r="J70" s="14" t="n">
        <v>130</v>
      </c>
      <c r="K70" s="14" t="n">
        <v>156</v>
      </c>
      <c r="L70" s="14" t="n">
        <v>183</v>
      </c>
    </row>
    <row r="71">
      <c r="A71" s="5" t="inlineStr">
        <is>
          <t>Proceeds from issuance and sale of subsidiary stock units</t>
        </is>
      </c>
      <c r="H71" s="14" t="n">
        <v>675</v>
      </c>
      <c r="I71" s="14" t="n">
        <v>255</v>
      </c>
    </row>
    <row r="72">
      <c r="A72" s="5" t="inlineStr">
        <is>
          <t>Issuance of term loan and notes, net of issuance costs</t>
        </is>
      </c>
      <c r="E72" s="14" t="n">
        <v>3466</v>
      </c>
      <c r="F72" s="14" t="n">
        <v>1189</v>
      </c>
      <c r="G72" s="14" t="n">
        <v>2628</v>
      </c>
      <c r="H72" s="14" t="n">
        <v>1766</v>
      </c>
      <c r="J72" s="14" t="n">
        <v>2824</v>
      </c>
      <c r="K72" s="14" t="n">
        <v>3972</v>
      </c>
      <c r="L72" s="14" t="n">
        <v>3359</v>
      </c>
    </row>
    <row r="73">
      <c r="A73" s="5" t="inlineStr">
        <is>
          <t>Principal repayment on term loan and notes</t>
        </is>
      </c>
      <c r="E73" s="14" t="n">
        <v>-19</v>
      </c>
      <c r="F73" s="14" t="n">
        <v>-27</v>
      </c>
      <c r="G73" s="14" t="n">
        <v>-527</v>
      </c>
      <c r="H73" s="14" t="n">
        <v>-309</v>
      </c>
      <c r="J73" s="14" t="n">
        <v>-2675</v>
      </c>
      <c r="K73" s="14" t="n">
        <v>-3986</v>
      </c>
      <c r="L73" s="14" t="n">
        <v>-2350</v>
      </c>
    </row>
    <row r="74">
      <c r="A74" s="5" t="inlineStr">
        <is>
          <t>Principal repayment on Careem Notes</t>
        </is>
      </c>
      <c r="B74" s="16" t="inlineStr">
        <is>
          <t>Folded into Other financing activities from the FY2025 10-K presentation onward</t>
        </is>
      </c>
      <c r="G74" s="14" t="n">
        <v>-891</v>
      </c>
      <c r="H74" s="14" t="n">
        <v>-307</v>
      </c>
      <c r="I74" s="14" t="n">
        <v>-80</v>
      </c>
    </row>
    <row r="75">
      <c r="A75" s="5" t="inlineStr">
        <is>
          <t>Principal repayment on revolving lines of credit</t>
        </is>
      </c>
      <c r="E75" s="14" t="n">
        <v>-491</v>
      </c>
    </row>
    <row r="76">
      <c r="A76" s="5" t="inlineStr">
        <is>
          <t>Principal payments on capital and finance leases</t>
        </is>
      </c>
      <c r="E76" s="14" t="n">
        <v>-89</v>
      </c>
      <c r="F76" s="14" t="n">
        <v>-138</v>
      </c>
      <c r="G76" s="14" t="n">
        <v>-224</v>
      </c>
      <c r="H76" s="14" t="n">
        <v>-226</v>
      </c>
      <c r="I76" s="14" t="n">
        <v>-184</v>
      </c>
      <c r="J76" s="14" t="n">
        <v>-171</v>
      </c>
      <c r="K76" s="14" t="n">
        <v>-172</v>
      </c>
      <c r="L76" s="14" t="n">
        <v>-157</v>
      </c>
    </row>
    <row r="77">
      <c r="A77" s="5" t="inlineStr">
        <is>
          <t>Proceeds from issuance of redeemable convertible preferred stock</t>
        </is>
      </c>
      <c r="E77" s="14" t="n">
        <v>1750</v>
      </c>
    </row>
    <row r="78">
      <c r="A78" s="5" t="inlineStr">
        <is>
          <t>Repurchase of stock subject to put options related to Yandex</t>
        </is>
      </c>
      <c r="F78" s="14" t="n">
        <v>-74</v>
      </c>
    </row>
    <row r="79">
      <c r="A79" s="5" t="inlineStr">
        <is>
          <t>Repurchases of common stock</t>
        </is>
      </c>
      <c r="K79" s="14" t="n">
        <v>-1252</v>
      </c>
      <c r="L79" s="14" t="n">
        <v>-6523</v>
      </c>
    </row>
    <row r="80">
      <c r="A80" s="5" t="inlineStr">
        <is>
          <t>Redemption of non-controlling interests</t>
        </is>
      </c>
      <c r="K80" s="14" t="n">
        <v>-851</v>
      </c>
      <c r="L80" s="14" t="n">
        <v>-109</v>
      </c>
    </row>
    <row r="81">
      <c r="A81" s="5" t="inlineStr">
        <is>
          <t>Other financing activities</t>
        </is>
      </c>
      <c r="E81" s="14" t="n">
        <v>23</v>
      </c>
      <c r="F81" s="14" t="n">
        <v>40</v>
      </c>
      <c r="G81" s="14" t="n">
        <v>38</v>
      </c>
      <c r="H81" s="14" t="n">
        <v>74</v>
      </c>
      <c r="I81" s="14" t="n">
        <v>-68</v>
      </c>
      <c r="J81" s="14" t="n">
        <v>-203</v>
      </c>
      <c r="K81" s="14" t="n">
        <v>46</v>
      </c>
      <c r="L81" s="14" t="n">
        <v>-116</v>
      </c>
    </row>
    <row r="82">
      <c r="A82" s="8" t="inlineStr">
        <is>
          <t>Net cash provided by (used in) financing activities</t>
        </is>
      </c>
      <c r="E82" s="17">
        <f>E66+E67+E68+E69+E70+E71+E72+E73+E74+E75+E76+E77+E78+E79+E80+E81</f>
        <v/>
      </c>
      <c r="F82" s="17">
        <f>F66+F67+F68+F69+F70+F71+F72+F73+F74+F75+F76+F77+F78+F79+F80+F81</f>
        <v/>
      </c>
      <c r="G82" s="17">
        <f>G66+G67+G68+G69+G70+G71+G72+G73+G74+G75+G76+G77+G78+G79+G80+G81</f>
        <v/>
      </c>
      <c r="H82" s="17">
        <f>H66+H67+H68+H69+H70+H71+H72+H73+H74+H75+H76+H77+H78+H79+H80+H81</f>
        <v/>
      </c>
      <c r="I82" s="17">
        <f>I66+I67+I68+I69+I70+I71+I72+I73+I74+I75+I76+I77+I78+I79+I80+I81</f>
        <v/>
      </c>
      <c r="J82" s="17">
        <f>J66+J67+J68+J69+J70+J71+J72+J73+J74+J75+J76+J77+J78+J79+J80+J81</f>
        <v/>
      </c>
      <c r="K82" s="17">
        <f>K66+K67+K68+K69+K70+K71+K72+K73+K74+K75+K76+K77+K78+K79+K80+K81</f>
        <v/>
      </c>
      <c r="L82" s="17">
        <f>L66+L67+L68+L69+L70+L71+L72+L73+L74+L75+L76+L77+L78+L79+L80+L81</f>
        <v/>
      </c>
    </row>
    <row r="83">
      <c r="A83" s="8" t="inlineStr">
        <is>
          <t>Net cash provided by (used in) financing activities (as reported)</t>
        </is>
      </c>
      <c r="C83" s="11" t="n">
        <v>6194</v>
      </c>
      <c r="D83" s="11" t="n">
        <v>1015</v>
      </c>
      <c r="E83" s="11" t="n">
        <v>4640</v>
      </c>
      <c r="F83" s="11" t="n">
        <v>8939</v>
      </c>
      <c r="G83" s="11" t="n">
        <v>1379</v>
      </c>
      <c r="H83" s="11" t="n">
        <v>1780</v>
      </c>
      <c r="I83" s="11" t="n">
        <v>15</v>
      </c>
      <c r="J83" s="11" t="n">
        <v>-95</v>
      </c>
      <c r="K83" s="11" t="n">
        <v>-2087</v>
      </c>
      <c r="L83" s="11" t="n">
        <v>-5713</v>
      </c>
    </row>
    <row r="84">
      <c r="A84" s="12" t="inlineStr">
        <is>
          <t>Check: Calculated CFF vs. As-Reported CFF (should be ~0)</t>
        </is>
      </c>
      <c r="E84" s="18">
        <f>E82-E83</f>
        <v/>
      </c>
      <c r="F84" s="18">
        <f>F82-F83</f>
        <v/>
      </c>
      <c r="G84" s="18">
        <f>G82-G83</f>
        <v/>
      </c>
      <c r="H84" s="18">
        <f>H82-H83</f>
        <v/>
      </c>
      <c r="I84" s="18">
        <f>I82-I83</f>
        <v/>
      </c>
      <c r="J84" s="18">
        <f>J82-J83</f>
        <v/>
      </c>
      <c r="K84" s="18">
        <f>K82-K83</f>
        <v/>
      </c>
      <c r="L84" s="18">
        <f>L82-L83</f>
        <v/>
      </c>
    </row>
    <row r="85" ht="8" customHeight="1"/>
    <row r="86" ht="20" customHeight="1">
      <c r="A86" s="10" t="inlineStr">
        <is>
          <t>4. CASH WALK &amp; FCF ANALYTICS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5" t="inlineStr">
        <is>
          <t>Effect of exchange rate changes on cash</t>
        </is>
      </c>
      <c r="C87" s="14" t="n">
        <v>-25</v>
      </c>
      <c r="D87" s="14" t="n">
        <v>22</v>
      </c>
      <c r="E87" s="14" t="n">
        <v>-119</v>
      </c>
      <c r="F87" s="14" t="n">
        <v>-4</v>
      </c>
      <c r="G87" s="14" t="n">
        <v>-92</v>
      </c>
      <c r="H87" s="14" t="n">
        <v>-69</v>
      </c>
      <c r="I87" s="14" t="n">
        <v>-148</v>
      </c>
      <c r="J87" s="14" t="n">
        <v>63</v>
      </c>
      <c r="K87" s="14" t="n">
        <v>-267</v>
      </c>
      <c r="L87" s="14" t="n">
        <v>215</v>
      </c>
    </row>
    <row r="88">
      <c r="A88" s="8" t="inlineStr">
        <is>
          <t>Net increase (decrease) in cash, cash equivalents and restricted cash</t>
        </is>
      </c>
      <c r="E88" s="11" t="n">
        <v>2285</v>
      </c>
      <c r="F88" s="11" t="n">
        <v>3824</v>
      </c>
      <c r="G88" s="11" t="n">
        <v>-4327</v>
      </c>
      <c r="H88" s="11" t="n">
        <v>65</v>
      </c>
      <c r="I88" s="11" t="n">
        <v>-1128</v>
      </c>
      <c r="J88" s="11" t="n">
        <v>327</v>
      </c>
      <c r="K88" s="11" t="n">
        <v>1606</v>
      </c>
      <c r="L88" s="11" t="n">
        <v>1037</v>
      </c>
    </row>
    <row r="89">
      <c r="A89" s="12" t="inlineStr">
        <is>
          <t>Cash Walk Check: CFO+CFI+CFF+FX - Net Change in Cash (should be ~0)</t>
        </is>
      </c>
      <c r="E89" s="18">
        <f>E44+E62+E83+E87-E88</f>
        <v/>
      </c>
      <c r="F89" s="18">
        <f>F44+F62+F83+F87-F88</f>
        <v/>
      </c>
      <c r="G89" s="18">
        <f>G44+G62+G83+G87-G88</f>
        <v/>
      </c>
      <c r="H89" s="18">
        <f>H44+H62+H83+H87-H88</f>
        <v/>
      </c>
      <c r="I89" s="18">
        <f>I44+I62+I83+I87-I88</f>
        <v/>
      </c>
      <c r="J89" s="18">
        <f>J44+J62+J83+J87-J88</f>
        <v/>
      </c>
      <c r="K89" s="18">
        <f>K44+K62+K83+K87-K88</f>
        <v/>
      </c>
      <c r="L89" s="18">
        <f>L44+L62+L83+L87-L88</f>
        <v/>
      </c>
    </row>
    <row r="91">
      <c r="A91" s="8" t="inlineStr">
        <is>
          <t>Free Cash Flow (CFO - Capex)</t>
        </is>
      </c>
      <c r="C91" s="15">
        <f>C44+C49</f>
        <v/>
      </c>
      <c r="D91" s="15">
        <f>D44+D49</f>
        <v/>
      </c>
      <c r="E91" s="15">
        <f>E44+E49</f>
        <v/>
      </c>
      <c r="F91" s="15">
        <f>F44+F49</f>
        <v/>
      </c>
      <c r="G91" s="15">
        <f>G44+G49</f>
        <v/>
      </c>
      <c r="H91" s="15">
        <f>H44+H49</f>
        <v/>
      </c>
      <c r="I91" s="15">
        <f>I44+I49</f>
        <v/>
      </c>
      <c r="J91" s="15">
        <f>J44+J49</f>
        <v/>
      </c>
      <c r="K91" s="15">
        <f>K44+K49</f>
        <v/>
      </c>
      <c r="L91" s="15">
        <f>L44+L49</f>
        <v/>
      </c>
    </row>
    <row r="92">
      <c r="A92" s="12" t="inlineStr">
        <is>
          <t xml:space="preserve">  YoY Growth</t>
        </is>
      </c>
      <c r="D92" s="13">
        <f>IF(N(C91)=0,"",D91/C91-1)</f>
        <v/>
      </c>
      <c r="E92" s="13">
        <f>IF(N(D91)=0,"",E91/D91-1)</f>
        <v/>
      </c>
      <c r="F92" s="13">
        <f>IF(N(E91)=0,"",F91/E91-1)</f>
        <v/>
      </c>
      <c r="G92" s="13">
        <f>IF(N(F91)=0,"",G91/F91-1)</f>
        <v/>
      </c>
      <c r="H92" s="13">
        <f>IF(N(G91)=0,"",H91/G91-1)</f>
        <v/>
      </c>
      <c r="I92" s="13">
        <f>IF(N(H91)=0,"",I91/H91-1)</f>
        <v/>
      </c>
      <c r="J92" s="13">
        <f>IF(N(I91)=0,"",J91/I91-1)</f>
        <v/>
      </c>
      <c r="K92" s="13">
        <f>IF(N(J91)=0,"",K91/J91-1)</f>
        <v/>
      </c>
      <c r="L92" s="13">
        <f>IF(N(K91)=0,"",L91/K91-1)</f>
        <v/>
      </c>
    </row>
    <row r="93">
      <c r="A93" s="12" t="inlineStr">
        <is>
          <t xml:space="preserve">  Capex % of Revenue</t>
        </is>
      </c>
      <c r="C93" s="13">
        <f>0-C49/'Income Statement'!C12</f>
        <v/>
      </c>
      <c r="D93" s="13">
        <f>0-D49/'Income Statement'!D12</f>
        <v/>
      </c>
      <c r="E93" s="13">
        <f>0-E49/'Income Statement'!E12</f>
        <v/>
      </c>
      <c r="F93" s="13">
        <f>0-F49/'Income Statement'!F12</f>
        <v/>
      </c>
      <c r="G93" s="13">
        <f>0-G49/'Income Statement'!G12</f>
        <v/>
      </c>
      <c r="H93" s="13">
        <f>0-H49/'Income Statement'!H12</f>
        <v/>
      </c>
      <c r="I93" s="13">
        <f>0-I49/'Income Statement'!I12</f>
        <v/>
      </c>
      <c r="J93" s="13">
        <f>0-J49/'Income Statement'!J12</f>
        <v/>
      </c>
      <c r="K93" s="13">
        <f>0-K49/'Income Statement'!K12</f>
        <v/>
      </c>
      <c r="L93" s="13">
        <f>0-L49/'Income Statement'!L12</f>
        <v/>
      </c>
    </row>
    <row r="94">
      <c r="A94" s="12" t="inlineStr">
        <is>
          <t xml:space="preserve">  FCF Margin</t>
        </is>
      </c>
      <c r="C94" s="13">
        <f>C91/'Income Statement'!C12</f>
        <v/>
      </c>
      <c r="D94" s="13">
        <f>D91/'Income Statement'!D12</f>
        <v/>
      </c>
      <c r="E94" s="13">
        <f>E91/'Income Statement'!E12</f>
        <v/>
      </c>
      <c r="F94" s="13">
        <f>F91/'Income Statement'!F12</f>
        <v/>
      </c>
      <c r="G94" s="13">
        <f>G91/'Income Statement'!G12</f>
        <v/>
      </c>
      <c r="H94" s="13">
        <f>H91/'Income Statement'!H12</f>
        <v/>
      </c>
      <c r="I94" s="13">
        <f>I91/'Income Statement'!I12</f>
        <v/>
      </c>
      <c r="J94" s="13">
        <f>J91/'Income Statement'!J12</f>
        <v/>
      </c>
      <c r="K94" s="13">
        <f>K91/'Income Statement'!K12</f>
        <v/>
      </c>
      <c r="L94" s="13">
        <f>L91/'Income Statement'!L12</f>
        <v/>
      </c>
    </row>
    <row r="96">
      <c r="A96" s="5" t="inlineStr">
        <is>
          <t>Supplemental: Cash paid for interest</t>
        </is>
      </c>
      <c r="E96" s="14" t="n">
        <v>124</v>
      </c>
      <c r="F96" s="14" t="n">
        <v>332</v>
      </c>
      <c r="G96" s="14" t="n">
        <v>412</v>
      </c>
      <c r="H96" s="14" t="n">
        <v>449</v>
      </c>
      <c r="I96" s="14" t="n">
        <v>513</v>
      </c>
      <c r="J96" s="14" t="n">
        <v>629</v>
      </c>
      <c r="K96" s="14" t="n">
        <v>475</v>
      </c>
      <c r="L96" s="14" t="n">
        <v>386</v>
      </c>
    </row>
    <row r="97">
      <c r="A97" s="5" t="inlineStr">
        <is>
          <t>Supplemental: Cash paid for income taxes</t>
        </is>
      </c>
      <c r="E97" s="14" t="n">
        <v>289</v>
      </c>
      <c r="F97" s="14" t="n">
        <v>133</v>
      </c>
      <c r="G97" s="14" t="n">
        <v>82</v>
      </c>
      <c r="H97" s="14" t="n">
        <v>87</v>
      </c>
      <c r="I97" s="14" t="n">
        <v>175</v>
      </c>
      <c r="J97" s="14" t="n">
        <v>234</v>
      </c>
    </row>
  </sheetData>
  <conditionalFormatting sqref="C45:L45">
    <cfRule type="cellIs" priority="1" operator="notBetween" dxfId="0">
      <formula>-0.5</formula>
      <formula>0.5</formula>
    </cfRule>
  </conditionalFormatting>
  <conditionalFormatting sqref="C63:L63">
    <cfRule type="cellIs" priority="2" operator="notBetween" dxfId="0">
      <formula>-0.5</formula>
      <formula>0.5</formula>
    </cfRule>
  </conditionalFormatting>
  <conditionalFormatting sqref="C84:L84">
    <cfRule type="cellIs" priority="3" operator="notBetween" dxfId="0">
      <formula>-0.5</formula>
      <formula>0.5</formula>
    </cfRule>
  </conditionalFormatting>
  <conditionalFormatting sqref="C89:L89">
    <cfRule type="cellIs" priority="4" operator="notBetween" dxfId="0">
      <formula>-0.5</formula>
      <formula>0.5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L4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hidden="1" outlineLevel="1"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Segments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6">
      <c r="A6" s="8" t="inlineStr">
        <is>
          <t>CONTENTS</t>
        </is>
      </c>
    </row>
    <row r="7">
      <c r="A7" s="9">
        <f>HYPERLINK("#'Segments'!A10","1. SEGMENT REVENUE")</f>
        <v/>
      </c>
    </row>
    <row r="8">
      <c r="A8" s="9">
        <f>HYPERLINK("#'Segments'!A19","2. SEGMENT ADJUSTED EBITDA &amp; RECONCILIATION TO OPERATING INCOME")</f>
        <v/>
      </c>
    </row>
    <row r="9" ht="8" customHeight="1"/>
    <row r="10" ht="20" customHeight="1">
      <c r="A10" s="10" t="inlineStr">
        <is>
          <t>1. SEGMENT REVENUE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Mobility</t>
        </is>
      </c>
      <c r="E11" s="14" t="n">
        <v>9288</v>
      </c>
      <c r="F11" s="14" t="n">
        <v>10707</v>
      </c>
      <c r="G11" s="14" t="n">
        <v>6089</v>
      </c>
      <c r="H11" s="14" t="n">
        <v>6953</v>
      </c>
      <c r="I11" s="14" t="n">
        <v>14029</v>
      </c>
      <c r="J11" s="14" t="n">
        <v>19832</v>
      </c>
      <c r="K11" s="14" t="n">
        <v>25087</v>
      </c>
      <c r="L11" s="14" t="n">
        <v>29670</v>
      </c>
    </row>
    <row r="12">
      <c r="A12" s="5" t="inlineStr">
        <is>
          <t>Delivery</t>
        </is>
      </c>
      <c r="E12" s="14" t="n">
        <v>772</v>
      </c>
      <c r="F12" s="14" t="n">
        <v>1401</v>
      </c>
      <c r="G12" s="14" t="n">
        <v>3904</v>
      </c>
      <c r="H12" s="14" t="n">
        <v>8362</v>
      </c>
      <c r="I12" s="14" t="n">
        <v>10901</v>
      </c>
      <c r="J12" s="14" t="n">
        <v>12204</v>
      </c>
      <c r="K12" s="14" t="n">
        <v>13750</v>
      </c>
      <c r="L12" s="14" t="n">
        <v>17248</v>
      </c>
    </row>
    <row r="13">
      <c r="A13" s="5" t="inlineStr">
        <is>
          <t>Freight</t>
        </is>
      </c>
      <c r="E13" s="14" t="n">
        <v>356</v>
      </c>
      <c r="F13" s="14" t="n">
        <v>731</v>
      </c>
      <c r="G13" s="14" t="n">
        <v>1011</v>
      </c>
      <c r="H13" s="14" t="n">
        <v>2132</v>
      </c>
      <c r="I13" s="14" t="n">
        <v>6947</v>
      </c>
      <c r="J13" s="14" t="n">
        <v>5245</v>
      </c>
      <c r="K13" s="14" t="n">
        <v>5141</v>
      </c>
      <c r="L13" s="14" t="n">
        <v>5099</v>
      </c>
    </row>
    <row r="14">
      <c r="A14" s="5" t="inlineStr">
        <is>
          <t>ATG and Other Technology Programs</t>
        </is>
      </c>
      <c r="B14" s="16" t="inlineStr">
        <is>
          <t>Divested; segment discontinued after FY2020</t>
        </is>
      </c>
      <c r="F14" s="14" t="n">
        <v>42</v>
      </c>
      <c r="G14" s="14" t="n">
        <v>100</v>
      </c>
    </row>
    <row r="15">
      <c r="A15" s="5" t="inlineStr">
        <is>
          <t>All Other</t>
        </is>
      </c>
      <c r="B15" s="16" t="inlineStr">
        <is>
          <t>Phased out; not reported as a separate segment from FY2021 10-K onward</t>
        </is>
      </c>
      <c r="E15" s="14" t="n">
        <v>17</v>
      </c>
      <c r="F15" s="14" t="n">
        <v>119</v>
      </c>
      <c r="G15" s="14" t="n">
        <v>35</v>
      </c>
      <c r="H15" s="14" t="n">
        <v>8</v>
      </c>
    </row>
    <row r="16">
      <c r="A16" s="8" t="inlineStr">
        <is>
          <t>Total Segment Revenue</t>
        </is>
      </c>
      <c r="E16" s="17">
        <f>E11+E12+E13+E14+E15</f>
        <v/>
      </c>
      <c r="F16" s="17">
        <f>F11+F12+F13+F14+F15</f>
        <v/>
      </c>
      <c r="G16" s="17">
        <f>G11+G12+G13+G14+G15</f>
        <v/>
      </c>
      <c r="H16" s="17">
        <f>H11+H12+H13+H14+H15</f>
        <v/>
      </c>
      <c r="I16" s="17">
        <f>I11+I12+I13+I14+I15</f>
        <v/>
      </c>
      <c r="J16" s="17">
        <f>J11+J12+J13+J14+J15</f>
        <v/>
      </c>
      <c r="K16" s="17">
        <f>K11+K12+K13+K14+K15</f>
        <v/>
      </c>
      <c r="L16" s="17">
        <f>L11+L12+L13+L14+L15</f>
        <v/>
      </c>
    </row>
    <row r="17">
      <c r="A17" s="12" t="inlineStr">
        <is>
          <t>Check: Total Segment Revenue vs. IS Revenue (should be ~0)</t>
        </is>
      </c>
      <c r="E17" s="18">
        <f>E16-'Income Statement'!E12</f>
        <v/>
      </c>
      <c r="F17" s="18">
        <f>F16-'Income Statement'!F12</f>
        <v/>
      </c>
      <c r="G17" s="18">
        <f>G16-'Income Statement'!G12</f>
        <v/>
      </c>
      <c r="H17" s="18">
        <f>H16-'Income Statement'!H12</f>
        <v/>
      </c>
      <c r="I17" s="18">
        <f>I16-'Income Statement'!I12</f>
        <v/>
      </c>
      <c r="J17" s="18">
        <f>J16-'Income Statement'!J12</f>
        <v/>
      </c>
      <c r="K17" s="18">
        <f>K16-'Income Statement'!K12</f>
        <v/>
      </c>
      <c r="L17" s="18">
        <f>L16-'Income Statement'!L12</f>
        <v/>
      </c>
    </row>
    <row r="18" ht="8" customHeight="1"/>
    <row r="19" ht="20" customHeight="1">
      <c r="A19" s="10" t="inlineStr">
        <is>
          <t>2. SEGMENT ADJUSTED EBITDA &amp; RECONCILIATION TO OPERATING INCOME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5" t="inlineStr">
        <is>
          <t>Mobility Adjusted EBITDA</t>
        </is>
      </c>
      <c r="E20" s="14" t="n">
        <v>1541</v>
      </c>
      <c r="F20" s="14" t="n">
        <v>2071</v>
      </c>
      <c r="G20" s="14" t="n">
        <v>1169</v>
      </c>
      <c r="H20" s="14" t="n">
        <v>1596</v>
      </c>
      <c r="I20" s="14" t="n">
        <v>3299</v>
      </c>
      <c r="J20" s="14" t="n">
        <v>4963</v>
      </c>
      <c r="K20" s="14" t="n">
        <v>6497</v>
      </c>
      <c r="L20" s="14" t="n">
        <v>7899</v>
      </c>
    </row>
    <row r="21">
      <c r="A21" s="5" t="inlineStr">
        <is>
          <t>Delivery Adjusted EBITDA</t>
        </is>
      </c>
      <c r="E21" s="14" t="n">
        <v>-601</v>
      </c>
      <c r="F21" s="14" t="n">
        <v>-1372</v>
      </c>
      <c r="G21" s="14" t="n">
        <v>-873</v>
      </c>
      <c r="H21" s="14" t="n">
        <v>-348</v>
      </c>
      <c r="I21" s="14" t="n">
        <v>551</v>
      </c>
      <c r="J21" s="14" t="n">
        <v>1506</v>
      </c>
      <c r="K21" s="14" t="n">
        <v>2471</v>
      </c>
      <c r="L21" s="14" t="n">
        <v>3572</v>
      </c>
    </row>
    <row r="22">
      <c r="A22" s="5" t="inlineStr">
        <is>
          <t>Freight Adjusted EBITDA</t>
        </is>
      </c>
      <c r="E22" s="14" t="n">
        <v>-102</v>
      </c>
      <c r="F22" s="14" t="n">
        <v>-217</v>
      </c>
      <c r="G22" s="14" t="n">
        <v>-227</v>
      </c>
      <c r="H22" s="14" t="n">
        <v>-130</v>
      </c>
      <c r="I22" s="14" t="n">
        <v>0</v>
      </c>
      <c r="J22" s="14" t="n">
        <v>-64</v>
      </c>
      <c r="K22" s="14" t="n">
        <v>-74</v>
      </c>
      <c r="L22" s="14" t="n">
        <v>-33</v>
      </c>
    </row>
    <row r="23">
      <c r="A23" s="5" t="inlineStr">
        <is>
          <t>ATG and Other Technology Programs Adjusted EBITDA</t>
        </is>
      </c>
      <c r="E23" s="14" t="n">
        <v>-537</v>
      </c>
      <c r="F23" s="14" t="n">
        <v>-499</v>
      </c>
      <c r="G23" s="14" t="n">
        <v>-375</v>
      </c>
    </row>
    <row r="24">
      <c r="A24" s="5" t="inlineStr">
        <is>
          <t>All Other Adjusted EBITDA</t>
        </is>
      </c>
      <c r="E24" s="14" t="n">
        <v>-50</v>
      </c>
      <c r="F24" s="14" t="n">
        <v>-251</v>
      </c>
      <c r="G24" s="14" t="n">
        <v>-86</v>
      </c>
      <c r="H24" s="14" t="n">
        <v>-11</v>
      </c>
    </row>
    <row r="25">
      <c r="A25" s="8" t="inlineStr">
        <is>
          <t>Total Segment Adjusted EBITDA</t>
        </is>
      </c>
      <c r="E25" s="17">
        <f>E20+E21+E22+E23+E24</f>
        <v/>
      </c>
      <c r="F25" s="17">
        <f>F20+F21+F22+F23+F24</f>
        <v/>
      </c>
      <c r="G25" s="17">
        <f>G20+G21+G22+G23+G24</f>
        <v/>
      </c>
      <c r="H25" s="17">
        <f>H20+H21+H22+H23+H24</f>
        <v/>
      </c>
      <c r="I25" s="17">
        <f>I20+I21+I22+I23+I24</f>
        <v/>
      </c>
      <c r="J25" s="17">
        <f>J20+J21+J22+J23+J24</f>
        <v/>
      </c>
      <c r="K25" s="17">
        <f>K20+K21+K22+K23+K24</f>
        <v/>
      </c>
      <c r="L25" s="17">
        <f>L20+L21+L22+L23+L24</f>
        <v/>
      </c>
    </row>
    <row r="27">
      <c r="A27" s="5" t="inlineStr">
        <is>
          <t>Less: Corporate G&amp;A and Platform R&amp;D</t>
        </is>
      </c>
      <c r="E27" s="14" t="n">
        <v>-1971</v>
      </c>
      <c r="F27" s="14" t="n">
        <v>-2457</v>
      </c>
      <c r="G27" s="14" t="n">
        <v>-2136</v>
      </c>
      <c r="H27" s="14" t="n">
        <v>-1881</v>
      </c>
      <c r="I27" s="14" t="n">
        <v>-2137</v>
      </c>
      <c r="J27" s="14" t="n">
        <v>-2353</v>
      </c>
      <c r="K27" s="14" t="n">
        <v>-2410</v>
      </c>
      <c r="L27" s="14" t="n">
        <v>-2708</v>
      </c>
    </row>
    <row r="28">
      <c r="A28" s="5" t="inlineStr">
        <is>
          <t>Less: Depreciation and amortization</t>
        </is>
      </c>
      <c r="E28" s="14" t="n">
        <v>-426</v>
      </c>
      <c r="F28" s="14" t="n">
        <v>-472</v>
      </c>
      <c r="G28" s="14" t="n">
        <v>-575</v>
      </c>
      <c r="H28" s="14" t="n">
        <v>-902</v>
      </c>
      <c r="I28" s="14" t="n">
        <v>-947</v>
      </c>
      <c r="J28" s="14" t="n">
        <v>-823</v>
      </c>
    </row>
    <row r="29">
      <c r="A29" s="5" t="inlineStr">
        <is>
          <t>Less: Stock-based compensation</t>
        </is>
      </c>
      <c r="E29" s="14" t="n">
        <v>-172</v>
      </c>
      <c r="F29" s="14" t="n">
        <v>-4596</v>
      </c>
      <c r="G29" s="14" t="n">
        <v>-827</v>
      </c>
      <c r="H29" s="14" t="n">
        <v>-1168</v>
      </c>
      <c r="I29" s="14" t="n">
        <v>-1793</v>
      </c>
      <c r="J29" s="14" t="n">
        <v>-1935</v>
      </c>
    </row>
    <row r="30">
      <c r="A30" s="5" t="inlineStr">
        <is>
          <t>Less: Legal, tax, and regulatory reserve changes and settlements</t>
        </is>
      </c>
      <c r="E30" s="14" t="n">
        <v>-340</v>
      </c>
      <c r="F30" s="14" t="n">
        <v>-353</v>
      </c>
      <c r="G30" s="14" t="n">
        <v>35</v>
      </c>
      <c r="H30" s="14" t="n">
        <v>-526</v>
      </c>
      <c r="I30" s="14" t="n">
        <v>-732</v>
      </c>
      <c r="J30" s="14" t="n">
        <v>-9</v>
      </c>
    </row>
    <row r="31">
      <c r="A31" s="5" t="inlineStr">
        <is>
          <t>Less: Driver appreciation award</t>
        </is>
      </c>
      <c r="F31" s="14" t="n">
        <v>-299</v>
      </c>
    </row>
    <row r="32">
      <c r="A32" s="5" t="inlineStr">
        <is>
          <t>Less: Payroll tax on IPO stock-based compensation</t>
        </is>
      </c>
      <c r="F32" s="14" t="n">
        <v>-86</v>
      </c>
    </row>
    <row r="33">
      <c r="A33" s="5" t="inlineStr">
        <is>
          <t>Less: Goodwill/asset impairments, loss on sale of assets, net</t>
        </is>
      </c>
      <c r="E33" s="14" t="n">
        <v>-237</v>
      </c>
      <c r="F33" s="14" t="n">
        <v>-8</v>
      </c>
      <c r="G33" s="14" t="n">
        <v>-317</v>
      </c>
      <c r="H33" s="14" t="n">
        <v>-157</v>
      </c>
      <c r="I33" s="14" t="n">
        <v>-25</v>
      </c>
      <c r="J33" s="14" t="n">
        <v>-84</v>
      </c>
    </row>
    <row r="34">
      <c r="A34" s="5" t="inlineStr">
        <is>
          <t>Less: Acquisition, financing and divestiture related expenses</t>
        </is>
      </c>
      <c r="E34" s="14" t="n">
        <v>-15</v>
      </c>
      <c r="G34" s="14" t="n">
        <v>-86</v>
      </c>
      <c r="H34" s="14" t="n">
        <v>-102</v>
      </c>
      <c r="I34" s="14" t="n">
        <v>-46</v>
      </c>
      <c r="J34" s="14" t="n">
        <v>-36</v>
      </c>
    </row>
    <row r="35">
      <c r="A35" s="5" t="inlineStr">
        <is>
          <t>Less: Accelerated lease costs related to cease-use of ROU assets</t>
        </is>
      </c>
      <c r="G35" s="14" t="n">
        <v>-102</v>
      </c>
      <c r="H35" s="14" t="n">
        <v>-5</v>
      </c>
    </row>
    <row r="36">
      <c r="A36" s="5" t="inlineStr">
        <is>
          <t>Less: COVID-19 response initiatives</t>
        </is>
      </c>
      <c r="G36" s="14" t="n">
        <v>-106</v>
      </c>
      <c r="H36" s="14" t="n">
        <v>-54</v>
      </c>
    </row>
    <row r="37">
      <c r="A37" s="5" t="inlineStr">
        <is>
          <t>Add (less): Gain (loss) on lease arrangement, net</t>
        </is>
      </c>
      <c r="E37" s="14" t="n">
        <v>4</v>
      </c>
      <c r="G37" s="14" t="n">
        <v>5</v>
      </c>
      <c r="H37" s="14" t="n">
        <v>0</v>
      </c>
      <c r="I37" s="14" t="n">
        <v>-7</v>
      </c>
      <c r="J37" s="14" t="n">
        <v>-4</v>
      </c>
    </row>
    <row r="38">
      <c r="A38" s="5" t="inlineStr">
        <is>
          <t>Less: Impact of 2018 Divested Operations</t>
        </is>
      </c>
      <c r="E38" s="14" t="n">
        <v>-127</v>
      </c>
    </row>
    <row r="39">
      <c r="A39" s="5" t="inlineStr">
        <is>
          <t>Less: Restructuring and related charges</t>
        </is>
      </c>
      <c r="F39" s="14" t="n">
        <v>-57</v>
      </c>
      <c r="G39" s="14" t="n">
        <v>-362</v>
      </c>
      <c r="H39" s="14" t="n">
        <v>0</v>
      </c>
      <c r="I39" s="14" t="n">
        <v>-2</v>
      </c>
      <c r="J39" s="14" t="n">
        <v>-51</v>
      </c>
    </row>
    <row r="40">
      <c r="A40" s="5" t="inlineStr">
        <is>
          <t>Less: Legacy auto insurance transfer</t>
        </is>
      </c>
      <c r="H40" s="14" t="n">
        <v>-103</v>
      </c>
    </row>
    <row r="41">
      <c r="A41" s="5" t="inlineStr">
        <is>
          <t>Add (less): Mass arbitration fees, net</t>
        </is>
      </c>
      <c r="H41" s="14" t="n">
        <v>43</v>
      </c>
      <c r="I41" s="14" t="n">
        <v>14</v>
      </c>
    </row>
    <row r="42">
      <c r="A42" s="8" t="inlineStr">
        <is>
          <t>Income (loss) from operations</t>
        </is>
      </c>
      <c r="E42" s="17">
        <f>E25+E27+E28+E29+E30+E31+E32+E33+E34+E35+E36+E37+E38+E39+E40+E41</f>
        <v/>
      </c>
      <c r="F42" s="17">
        <f>F25+F27+F28+F29+F30+F31+F32+F33+F34+F35+F36+F37+F38+F39+F40+F41</f>
        <v/>
      </c>
      <c r="G42" s="17">
        <f>G25+G27+G28+G29+G30+G31+G32+G33+G34+G35+G36+G37+G38+G39+G40+G41</f>
        <v/>
      </c>
      <c r="H42" s="17">
        <f>H25+H27+H28+H29+H30+H31+H32+H33+H34+H35+H36+H37+H38+H39+H40+H41</f>
        <v/>
      </c>
      <c r="I42" s="17">
        <f>I25+I27+I28+I29+I30+I31+I32+I33+I34+I35+I36+I37+I38+I39+I40+I41</f>
        <v/>
      </c>
      <c r="J42" s="17">
        <f>J25+J27+J28+J29+J30+J31+J32+J33+J34+J35+J36+J37+J38+J39+J40+J41</f>
        <v/>
      </c>
      <c r="K42" s="17">
        <f>K25+K27+K28+K29+K30+K31+K32+K33+K34+K35+K36+K37+K38+K39+K40+K41</f>
        <v/>
      </c>
      <c r="L42" s="17">
        <f>L25+L27+L28+L29+L30+L31+L32+L33+L34+L35+L36+L37+L38+L39+L40+L41</f>
        <v/>
      </c>
    </row>
    <row r="43">
      <c r="A43" s="12" t="inlineStr">
        <is>
          <t>Check: Segment-derived Op. Income vs. IS Op. Income (should be ~0)</t>
        </is>
      </c>
      <c r="B43" s="16" t="inlineStr">
        <is>
          <t>From FY2024 (10-K-2025 vintage), the reconciliation bridge starts from Net income and no longer isolates a segment-EBITDA-to-operating-income subtotal in the same structure; see IS Non-GAAP Reconciliation block for FY2024-2025 bridge detail. Small residuals in FY2021-FY2022 (&lt;3% of operating income) reflect de minimis reconciling items not separately itemized in the filings.</t>
        </is>
      </c>
      <c r="E43" s="27">
        <f>E42-'Income Statement'!E24</f>
        <v/>
      </c>
      <c r="F43" s="27">
        <f>F42-'Income Statement'!F24</f>
        <v/>
      </c>
      <c r="G43" s="27">
        <f>G42-'Income Statement'!G24</f>
        <v/>
      </c>
      <c r="H43" s="27">
        <f>H42-'Income Statement'!H24</f>
        <v/>
      </c>
      <c r="I43" s="27">
        <f>I42-'Income Statement'!I24</f>
        <v/>
      </c>
      <c r="J43" s="27">
        <f>J42-'Income Statement'!J24</f>
        <v/>
      </c>
    </row>
  </sheetData>
  <conditionalFormatting sqref="C17:L17">
    <cfRule type="cellIs" priority="1" operator="notBetween" dxfId="0">
      <formula>-0.5</formula>
      <formula>0.5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L2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hidden="1" outlineLevel="1"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Geography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6">
      <c r="A6" s="8" t="inlineStr">
        <is>
          <t>CONTENTS</t>
        </is>
      </c>
    </row>
    <row r="7">
      <c r="A7" s="9">
        <f>HYPERLINK("#'Geography'!A10","1. REVENUE BY REGION")</f>
        <v/>
      </c>
    </row>
    <row r="8">
      <c r="A8" s="9">
        <f>HYPERLINK("#'Geography'!A18","2. REVENUE BY COUNTRY")</f>
        <v/>
      </c>
    </row>
    <row r="9" ht="8" customHeight="1"/>
    <row r="10" ht="20" customHeight="1">
      <c r="A10" s="10" t="inlineStr">
        <is>
          <t>1. REVENUE BY REGION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5" t="inlineStr">
        <is>
          <t>United States and Canada</t>
        </is>
      </c>
      <c r="E11" s="14" t="n">
        <v>6226</v>
      </c>
      <c r="F11" s="14" t="n">
        <v>8465</v>
      </c>
      <c r="G11" s="14" t="n">
        <v>6611</v>
      </c>
      <c r="H11" s="14" t="n">
        <v>10094</v>
      </c>
      <c r="I11" s="14" t="n">
        <v>19474</v>
      </c>
      <c r="J11" s="14" t="n">
        <v>20436</v>
      </c>
      <c r="K11" s="14" t="n">
        <v>23618</v>
      </c>
      <c r="L11" s="14" t="n">
        <v>26469</v>
      </c>
    </row>
    <row r="12">
      <c r="A12" s="5" t="inlineStr">
        <is>
          <t>Latin America</t>
        </is>
      </c>
      <c r="E12" s="14" t="n">
        <v>1963</v>
      </c>
      <c r="F12" s="14" t="n">
        <v>1862</v>
      </c>
      <c r="G12" s="14" t="n">
        <v>1295</v>
      </c>
      <c r="H12" s="14" t="n">
        <v>1417</v>
      </c>
      <c r="I12" s="14" t="n">
        <v>1978</v>
      </c>
      <c r="J12" s="14" t="n">
        <v>2512</v>
      </c>
      <c r="K12" s="14" t="n">
        <v>2795</v>
      </c>
      <c r="L12" s="14" t="n">
        <v>3327</v>
      </c>
    </row>
    <row r="13">
      <c r="A13" s="5" t="inlineStr">
        <is>
          <t>Europe, Middle East and Africa</t>
        </is>
      </c>
      <c r="E13" s="14" t="n">
        <v>1495</v>
      </c>
      <c r="F13" s="14" t="n">
        <v>1852</v>
      </c>
      <c r="G13" s="14" t="n">
        <v>2086</v>
      </c>
      <c r="H13" s="14" t="n">
        <v>3213</v>
      </c>
      <c r="I13" s="14" t="n">
        <v>6944</v>
      </c>
      <c r="J13" s="14" t="n">
        <v>9904</v>
      </c>
      <c r="K13" s="14" t="n">
        <v>12529</v>
      </c>
      <c r="L13" s="14" t="n">
        <v>16364</v>
      </c>
    </row>
    <row r="14">
      <c r="A14" s="5" t="inlineStr">
        <is>
          <t>Asia Pacific</t>
        </is>
      </c>
      <c r="E14" s="14" t="n">
        <v>749</v>
      </c>
      <c r="F14" s="14" t="n">
        <v>821</v>
      </c>
      <c r="G14" s="14" t="n">
        <v>1147</v>
      </c>
      <c r="H14" s="14" t="n">
        <v>2731</v>
      </c>
      <c r="I14" s="14" t="n">
        <v>3481</v>
      </c>
      <c r="J14" s="14" t="n">
        <v>4429</v>
      </c>
      <c r="K14" s="14" t="n">
        <v>5036</v>
      </c>
      <c r="L14" s="14" t="n">
        <v>5857</v>
      </c>
    </row>
    <row r="15">
      <c r="A15" s="8" t="inlineStr">
        <is>
          <t>Total Revenue by Region</t>
        </is>
      </c>
      <c r="E15" s="17">
        <f>E11+E12+E13+E14</f>
        <v/>
      </c>
      <c r="F15" s="17">
        <f>F11+F12+F13+F14</f>
        <v/>
      </c>
      <c r="G15" s="17">
        <f>G11+G12+G13+G14</f>
        <v/>
      </c>
      <c r="H15" s="17">
        <f>H11+H12+H13+H14</f>
        <v/>
      </c>
      <c r="I15" s="17">
        <f>I11+I12+I13+I14</f>
        <v/>
      </c>
      <c r="J15" s="17">
        <f>J11+J12+J13+J14</f>
        <v/>
      </c>
      <c r="K15" s="17">
        <f>K11+K12+K13+K14</f>
        <v/>
      </c>
      <c r="L15" s="17">
        <f>L11+L12+L13+L14</f>
        <v/>
      </c>
    </row>
    <row r="16">
      <c r="A16" s="12" t="inlineStr">
        <is>
          <t>Check: Total by Region vs. IS Revenue (should be ~0)</t>
        </is>
      </c>
      <c r="E16" s="18">
        <f>E15-'Income Statement'!E12</f>
        <v/>
      </c>
      <c r="F16" s="18">
        <f>F15-'Income Statement'!F12</f>
        <v/>
      </c>
      <c r="G16" s="18">
        <f>G15-'Income Statement'!G12</f>
        <v/>
      </c>
      <c r="H16" s="18">
        <f>H15-'Income Statement'!H12</f>
        <v/>
      </c>
      <c r="I16" s="18">
        <f>I15-'Income Statement'!I12</f>
        <v/>
      </c>
      <c r="J16" s="18">
        <f>J15-'Income Statement'!J12</f>
        <v/>
      </c>
      <c r="K16" s="18">
        <f>K15-'Income Statement'!K12</f>
        <v/>
      </c>
      <c r="L16" s="18">
        <f>L15-'Income Statement'!L12</f>
        <v/>
      </c>
    </row>
    <row r="17" ht="8" customHeight="1"/>
    <row r="18" ht="20" customHeight="1">
      <c r="A18" s="10" t="inlineStr">
        <is>
          <t>2. REVENUE BY COUNTRY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5" t="inlineStr">
        <is>
          <t>United States</t>
        </is>
      </c>
      <c r="E19" s="14" t="n">
        <v>5824</v>
      </c>
      <c r="F19" s="14" t="n">
        <v>7968</v>
      </c>
      <c r="G19" s="14" t="n">
        <v>6082</v>
      </c>
      <c r="H19" s="14" t="n">
        <v>9058</v>
      </c>
      <c r="I19" s="14" t="n">
        <v>17953</v>
      </c>
      <c r="J19" s="14" t="n">
        <v>18620</v>
      </c>
      <c r="K19" s="14" t="n">
        <v>21429</v>
      </c>
      <c r="L19" s="14" t="n">
        <v>23771</v>
      </c>
    </row>
    <row r="20">
      <c r="A20" s="5" t="inlineStr">
        <is>
          <t>United Kingdom</t>
        </is>
      </c>
      <c r="B20" s="16" t="inlineStr">
        <is>
          <t>Separately disclosed as a distinct country line starting the FY2023 10-K; previously included within All other countries</t>
        </is>
      </c>
      <c r="J20" s="14" t="n">
        <v>6522</v>
      </c>
      <c r="K20" s="14" t="n">
        <v>8373</v>
      </c>
      <c r="L20" s="14" t="n">
        <v>10609</v>
      </c>
    </row>
    <row r="21">
      <c r="A21" s="5" t="inlineStr">
        <is>
          <t>All other countries</t>
        </is>
      </c>
      <c r="B21" s="16" t="inlineStr">
        <is>
          <t>FY2018-2022 figure includes United Kingdom (not yet broken out separately)</t>
        </is>
      </c>
      <c r="E21" s="14" t="n">
        <v>4609</v>
      </c>
      <c r="F21" s="14" t="n">
        <v>5032</v>
      </c>
      <c r="G21" s="14" t="n">
        <v>5057</v>
      </c>
      <c r="H21" s="14" t="n">
        <v>8397</v>
      </c>
      <c r="I21" s="14" t="n">
        <v>13924</v>
      </c>
      <c r="J21" s="14" t="n">
        <v>12139</v>
      </c>
      <c r="K21" s="14" t="n">
        <v>14176</v>
      </c>
      <c r="L21" s="14" t="n">
        <v>17637</v>
      </c>
    </row>
    <row r="22">
      <c r="A22" s="8" t="inlineStr">
        <is>
          <t>Total Revenue by Country</t>
        </is>
      </c>
      <c r="E22" s="17">
        <f>E19+E20+E21</f>
        <v/>
      </c>
      <c r="F22" s="17">
        <f>F19+F20+F21</f>
        <v/>
      </c>
      <c r="G22" s="17">
        <f>G19+G20+G21</f>
        <v/>
      </c>
      <c r="H22" s="17">
        <f>H19+H20+H21</f>
        <v/>
      </c>
      <c r="I22" s="17">
        <f>I19+I20+I21</f>
        <v/>
      </c>
      <c r="J22" s="17">
        <f>J19+J20+J21</f>
        <v/>
      </c>
      <c r="K22" s="17">
        <f>K19+K20+K21</f>
        <v/>
      </c>
      <c r="L22" s="17">
        <f>L19+L20+L21</f>
        <v/>
      </c>
    </row>
    <row r="23">
      <c r="A23" s="12" t="inlineStr">
        <is>
          <t>Check: Total by Country vs. IS Revenue (should be ~0)</t>
        </is>
      </c>
      <c r="E23" s="18">
        <f>E22-'Income Statement'!E12</f>
        <v/>
      </c>
      <c r="F23" s="18">
        <f>F22-'Income Statement'!F12</f>
        <v/>
      </c>
      <c r="G23" s="18">
        <f>G22-'Income Statement'!G12</f>
        <v/>
      </c>
      <c r="H23" s="18">
        <f>H22-'Income Statement'!H12</f>
        <v/>
      </c>
      <c r="I23" s="18">
        <f>I22-'Income Statement'!I12</f>
        <v/>
      </c>
      <c r="J23" s="18">
        <f>J22-'Income Statement'!J12</f>
        <v/>
      </c>
      <c r="K23" s="18">
        <f>K22-'Income Statement'!K12</f>
        <v/>
      </c>
      <c r="L23" s="18">
        <f>L22-'Income Statement'!L12</f>
        <v/>
      </c>
    </row>
  </sheetData>
  <conditionalFormatting sqref="C16:L16">
    <cfRule type="cellIs" priority="1" operator="notBetween" dxfId="0">
      <formula>-0.5</formula>
      <formula>0.5</formula>
    </cfRule>
  </conditionalFormatting>
  <conditionalFormatting sqref="C23:L23">
    <cfRule type="cellIs" priority="2" operator="notBetween" dxfId="0">
      <formula>-0.5</formula>
      <formula>0.5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L1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Operating Metrics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6">
      <c r="A6" s="8" t="inlineStr">
        <is>
          <t>CONTENTS</t>
        </is>
      </c>
    </row>
    <row r="7">
      <c r="A7" s="9">
        <f>HYPERLINK("#'Operating Metrics'!A9","1. OPERATING METRICS")</f>
        <v/>
      </c>
    </row>
    <row r="8" ht="8" customHeight="1"/>
    <row r="9" ht="20" customHeight="1">
      <c r="A9" s="10" t="inlineStr">
        <is>
          <t>1. OPERATING METRICS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8" t="inlineStr">
        <is>
          <t>Gross Bookings</t>
        </is>
      </c>
      <c r="C10" s="11" t="n">
        <v>19236</v>
      </c>
      <c r="D10" s="11" t="n">
        <v>34409</v>
      </c>
      <c r="E10" s="11" t="n">
        <v>49799</v>
      </c>
      <c r="F10" s="11" t="n">
        <v>65001</v>
      </c>
      <c r="G10" s="11" t="n">
        <v>57897</v>
      </c>
      <c r="H10" s="11" t="n">
        <v>90415</v>
      </c>
      <c r="I10" s="11" t="n">
        <v>115395</v>
      </c>
      <c r="J10" s="11" t="n">
        <v>137865</v>
      </c>
      <c r="K10" s="11" t="n">
        <v>162773</v>
      </c>
      <c r="L10" s="11" t="n">
        <v>193454</v>
      </c>
    </row>
    <row r="11">
      <c r="A11" s="12" t="inlineStr">
        <is>
          <t xml:space="preserve">  YoY Growth</t>
        </is>
      </c>
      <c r="D11" s="13">
        <f>IF(N(C10)=0,"",D10/C10-1)</f>
        <v/>
      </c>
      <c r="E11" s="13">
        <f>IF(N(D10)=0,"",E10/D10-1)</f>
        <v/>
      </c>
      <c r="F11" s="13">
        <f>IF(N(E10)=0,"",F10/E10-1)</f>
        <v/>
      </c>
      <c r="G11" s="13">
        <f>IF(N(F10)=0,"",G10/F10-1)</f>
        <v/>
      </c>
      <c r="H11" s="13">
        <f>IF(N(G10)=0,"",H10/G10-1)</f>
        <v/>
      </c>
      <c r="I11" s="13">
        <f>IF(N(H10)=0,"",I10/H10-1)</f>
        <v/>
      </c>
      <c r="J11" s="13">
        <f>IF(N(I10)=0,"",J10/I10-1)</f>
        <v/>
      </c>
      <c r="K11" s="13">
        <f>IF(N(J10)=0,"",K10/J10-1)</f>
        <v/>
      </c>
      <c r="L11" s="13">
        <f>IF(N(K10)=0,"",L10/K10-1)</f>
        <v/>
      </c>
    </row>
    <row r="12">
      <c r="A12" s="8" t="inlineStr">
        <is>
          <t>Monthly Active Platform Consumers (millions)</t>
        </is>
      </c>
      <c r="C12" s="11" t="n">
        <v>45</v>
      </c>
      <c r="D12" s="11" t="n">
        <v>68</v>
      </c>
      <c r="E12" s="11" t="n">
        <v>91</v>
      </c>
      <c r="F12" s="11" t="n">
        <v>111</v>
      </c>
      <c r="G12" s="11" t="n">
        <v>93</v>
      </c>
      <c r="H12" s="11" t="n">
        <v>118</v>
      </c>
      <c r="I12" s="11" t="n">
        <v>131</v>
      </c>
      <c r="J12" s="11" t="n">
        <v>150</v>
      </c>
      <c r="K12" s="11" t="n">
        <v>171</v>
      </c>
      <c r="L12" s="11" t="n">
        <v>202</v>
      </c>
    </row>
    <row r="13">
      <c r="A13" s="12" t="inlineStr">
        <is>
          <t xml:space="preserve">  YoY Growth</t>
        </is>
      </c>
      <c r="D13" s="13">
        <f>IF(N(C12)=0,"",D12/C12-1)</f>
        <v/>
      </c>
      <c r="E13" s="13">
        <f>IF(N(D12)=0,"",E12/D12-1)</f>
        <v/>
      </c>
      <c r="F13" s="13">
        <f>IF(N(E12)=0,"",F12/E12-1)</f>
        <v/>
      </c>
      <c r="G13" s="13">
        <f>IF(N(F12)=0,"",G12/F12-1)</f>
        <v/>
      </c>
      <c r="H13" s="13">
        <f>IF(N(G12)=0,"",H12/G12-1)</f>
        <v/>
      </c>
      <c r="I13" s="13">
        <f>IF(N(H12)=0,"",I12/H12-1)</f>
        <v/>
      </c>
      <c r="J13" s="13">
        <f>IF(N(I12)=0,"",J12/I12-1)</f>
        <v/>
      </c>
      <c r="K13" s="13">
        <f>IF(N(J12)=0,"",K12/J12-1)</f>
        <v/>
      </c>
      <c r="L13" s="13">
        <f>IF(N(K12)=0,"",L12/K12-1)</f>
        <v/>
      </c>
    </row>
    <row r="14">
      <c r="A14" s="8" t="inlineStr">
        <is>
          <t>Trips (millions)</t>
        </is>
      </c>
      <c r="C14" s="11" t="n">
        <v>1818</v>
      </c>
      <c r="D14" s="11" t="n">
        <v>3736</v>
      </c>
      <c r="E14" s="11" t="n">
        <v>5220</v>
      </c>
      <c r="F14" s="11" t="n">
        <v>6904</v>
      </c>
      <c r="G14" s="11" t="n">
        <v>5025</v>
      </c>
      <c r="H14" s="11" t="n">
        <v>6368</v>
      </c>
      <c r="I14" s="11" t="n">
        <v>7642</v>
      </c>
      <c r="J14" s="11" t="n">
        <v>9448</v>
      </c>
      <c r="K14" s="11" t="n">
        <v>11273</v>
      </c>
      <c r="L14" s="11" t="n">
        <v>13567</v>
      </c>
    </row>
    <row r="15">
      <c r="A15" s="12" t="inlineStr">
        <is>
          <t xml:space="preserve">  YoY Growth</t>
        </is>
      </c>
      <c r="D15" s="13">
        <f>IF(N(C14)=0,"",D14/C14-1)</f>
        <v/>
      </c>
      <c r="E15" s="13">
        <f>IF(N(D14)=0,"",E14/D14-1)</f>
        <v/>
      </c>
      <c r="F15" s="13">
        <f>IF(N(E14)=0,"",F14/E14-1)</f>
        <v/>
      </c>
      <c r="G15" s="13">
        <f>IF(N(F14)=0,"",G14/F14-1)</f>
        <v/>
      </c>
      <c r="H15" s="13">
        <f>IF(N(G14)=0,"",H14/G14-1)</f>
        <v/>
      </c>
      <c r="I15" s="13">
        <f>IF(N(H14)=0,"",I14/H14-1)</f>
        <v/>
      </c>
      <c r="J15" s="13">
        <f>IF(N(I14)=0,"",J14/I14-1)</f>
        <v/>
      </c>
      <c r="K15" s="13">
        <f>IF(N(J14)=0,"",K14/J14-1)</f>
        <v/>
      </c>
      <c r="L15" s="13">
        <f>IF(N(K14)=0,"",L14/K14-1)</f>
        <v/>
      </c>
    </row>
    <row r="17">
      <c r="A17" s="12" t="inlineStr">
        <is>
          <t>Platform Take Rate (Revenue / Gross Bookings)</t>
        </is>
      </c>
      <c r="C17" s="13">
        <f>'Income Statement'!C12/C10</f>
        <v/>
      </c>
      <c r="D17" s="13">
        <f>'Income Statement'!D12/D10</f>
        <v/>
      </c>
      <c r="E17" s="13">
        <f>'Income Statement'!E12/E10</f>
        <v/>
      </c>
      <c r="F17" s="13">
        <f>'Income Statement'!F12/F10</f>
        <v/>
      </c>
      <c r="G17" s="13">
        <f>'Income Statement'!G12/G10</f>
        <v/>
      </c>
      <c r="H17" s="13">
        <f>'Income Statement'!H12/H10</f>
        <v/>
      </c>
      <c r="I17" s="13">
        <f>'Income Statement'!I12/I10</f>
        <v/>
      </c>
      <c r="J17" s="13">
        <f>'Income Statement'!J12/J10</f>
        <v/>
      </c>
      <c r="K17" s="13">
        <f>'Income Statement'!K12/K10</f>
        <v/>
      </c>
      <c r="L17" s="13">
        <f>'Income Statement'!L12/L10</f>
        <v/>
      </c>
    </row>
    <row r="18">
      <c r="A18" s="12" t="inlineStr">
        <is>
          <t>Gross Bookings per MAPC ($)</t>
        </is>
      </c>
      <c r="C18" s="28">
        <f>C10/C12*1000</f>
        <v/>
      </c>
      <c r="D18" s="28">
        <f>D10/D12*1000</f>
        <v/>
      </c>
      <c r="E18" s="28">
        <f>E10/E12*1000</f>
        <v/>
      </c>
      <c r="F18" s="28">
        <f>F10/F12*1000</f>
        <v/>
      </c>
      <c r="G18" s="28">
        <f>G10/G12*1000</f>
        <v/>
      </c>
      <c r="H18" s="28">
        <f>H10/H12*1000</f>
        <v/>
      </c>
      <c r="I18" s="28">
        <f>I10/I12*1000</f>
        <v/>
      </c>
      <c r="J18" s="28">
        <f>J10/J12*1000</f>
        <v/>
      </c>
      <c r="K18" s="28">
        <f>K10/K12*1000</f>
        <v/>
      </c>
      <c r="L18" s="28">
        <f>L10/L12*1000</f>
        <v/>
      </c>
    </row>
    <row r="19">
      <c r="A19" s="12" t="inlineStr">
        <is>
          <t>Trips per MAPC</t>
        </is>
      </c>
      <c r="C19" s="28">
        <f>C14/C12</f>
        <v/>
      </c>
      <c r="D19" s="28">
        <f>D14/D12</f>
        <v/>
      </c>
      <c r="E19" s="28">
        <f>E14/E12</f>
        <v/>
      </c>
      <c r="F19" s="28">
        <f>F14/F12</f>
        <v/>
      </c>
      <c r="G19" s="28">
        <f>G14/G12</f>
        <v/>
      </c>
      <c r="H19" s="28">
        <f>H14/H12</f>
        <v/>
      </c>
      <c r="I19" s="28">
        <f>I14/I12</f>
        <v/>
      </c>
      <c r="J19" s="28">
        <f>J14/J12</f>
        <v/>
      </c>
      <c r="K19" s="28">
        <f>K14/K12</f>
        <v/>
      </c>
      <c r="L19" s="28">
        <f>L14/L12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L80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6.5"/>
  <cols>
    <col width="46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Uber Technologies, Inc. — Derived Metrics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USD in million except per-share data  |  USD  |  as of 2026-09-08</t>
        </is>
      </c>
    </row>
    <row r="3">
      <c r="C3" s="6" t="inlineStr">
        <is>
          <t>FY2016</t>
        </is>
      </c>
      <c r="D3" s="6" t="inlineStr">
        <is>
          <t>FY2017</t>
        </is>
      </c>
      <c r="E3" s="6" t="inlineStr">
        <is>
          <t>FY2018</t>
        </is>
      </c>
      <c r="F3" s="6" t="inlineStr">
        <is>
          <t>FY2019</t>
        </is>
      </c>
      <c r="G3" s="6" t="inlineStr">
        <is>
          <t>FY2020</t>
        </is>
      </c>
      <c r="H3" s="6" t="inlineStr">
        <is>
          <t>FY2021</t>
        </is>
      </c>
      <c r="I3" s="6" t="inlineStr">
        <is>
          <t>FY2022</t>
        </is>
      </c>
      <c r="J3" s="6" t="inlineStr">
        <is>
          <t>FY2023</t>
        </is>
      </c>
      <c r="K3" s="6" t="inlineStr">
        <is>
          <t>FY2024</t>
        </is>
      </c>
      <c r="L3" s="6" t="inlineStr">
        <is>
          <t>FY2025</t>
        </is>
      </c>
    </row>
    <row r="4"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5" ht="8" customHeight="1"/>
    <row r="6" ht="20" customHeight="1">
      <c r="A6" s="10" t="inlineStr">
        <is>
          <t>1. CASH CONVERSION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5" t="inlineStr">
        <is>
          <t>CFO margin</t>
        </is>
      </c>
      <c r="C7" s="29" t="n">
        <v>-0.7576000000000001</v>
      </c>
      <c r="D7" s="29" t="n">
        <v>-0.1788</v>
      </c>
      <c r="E7" s="29" t="n">
        <v>-0.1477</v>
      </c>
      <c r="F7" s="29" t="n">
        <v>-0.3324</v>
      </c>
      <c r="G7" s="29" t="n">
        <v>-0.2464</v>
      </c>
      <c r="H7" s="29" t="n">
        <v>-0.0255</v>
      </c>
      <c r="I7" s="29" t="n">
        <v>0.0201</v>
      </c>
      <c r="J7" s="29" t="n">
        <v>0.09619999999999999</v>
      </c>
      <c r="K7" s="29" t="n">
        <v>0.1623</v>
      </c>
      <c r="L7" s="29" t="n">
        <v>0.1941</v>
      </c>
    </row>
    <row r="8">
      <c r="A8" s="5" t="inlineStr">
        <is>
          <t>CFO / EBITDA</t>
        </is>
      </c>
      <c r="J8" s="30" t="n">
        <v>1.85</v>
      </c>
      <c r="K8" s="30" t="n">
        <v>2.03</v>
      </c>
      <c r="L8" s="30" t="n">
        <v>1.61</v>
      </c>
    </row>
    <row r="9">
      <c r="A9" s="5" t="inlineStr">
        <is>
          <t>Capex intensity</t>
        </is>
      </c>
      <c r="C9" s="29" t="n">
        <v>0.4252</v>
      </c>
      <c r="D9" s="29" t="n">
        <v>0.1045</v>
      </c>
      <c r="E9" s="29" t="n">
        <v>0.0535</v>
      </c>
      <c r="F9" s="29" t="n">
        <v>0.0452</v>
      </c>
      <c r="G9" s="29" t="n">
        <v>0.0553</v>
      </c>
      <c r="H9" s="29" t="n">
        <v>0.0171</v>
      </c>
      <c r="I9" s="29" t="n">
        <v>0.007900000000000001</v>
      </c>
      <c r="J9" s="29" t="n">
        <v>0.006</v>
      </c>
      <c r="K9" s="29" t="n">
        <v>0.005500000000000001</v>
      </c>
      <c r="L9" s="29" t="n">
        <v>0.006500000000000001</v>
      </c>
    </row>
    <row r="10">
      <c r="A10" s="5" t="inlineStr">
        <is>
          <t>CFO / capex</t>
        </is>
      </c>
      <c r="C10" s="30" t="n">
        <v>-1.78</v>
      </c>
      <c r="D10" s="30" t="n">
        <v>-1.71</v>
      </c>
      <c r="E10" s="30" t="n">
        <v>-2.76</v>
      </c>
      <c r="F10" s="30" t="n">
        <v>-7.35</v>
      </c>
      <c r="G10" s="30" t="n">
        <v>-4.46</v>
      </c>
      <c r="H10" s="30" t="n">
        <v>-1.49</v>
      </c>
      <c r="I10" s="30" t="n">
        <v>2.55</v>
      </c>
      <c r="J10" s="30" t="n">
        <v>16.08</v>
      </c>
      <c r="K10" s="30" t="n">
        <v>29.49</v>
      </c>
      <c r="L10" s="30" t="n">
        <v>30.06</v>
      </c>
    </row>
    <row r="11">
      <c r="A11" s="5" t="inlineStr">
        <is>
          <t>Cash flow after capex margin</t>
        </is>
      </c>
      <c r="C11" s="29" t="n">
        <v>-1.1828</v>
      </c>
      <c r="D11" s="29" t="n">
        <v>-0.2833</v>
      </c>
      <c r="E11" s="29" t="n">
        <v>-0.2012</v>
      </c>
      <c r="F11" s="29" t="n">
        <v>-0.3776</v>
      </c>
      <c r="G11" s="29" t="n">
        <v>-0.3017</v>
      </c>
      <c r="H11" s="29" t="n">
        <v>-0.0426</v>
      </c>
      <c r="I11" s="29" t="n">
        <v>0.0122</v>
      </c>
      <c r="J11" s="29" t="n">
        <v>0.0902</v>
      </c>
      <c r="K11" s="29" t="n">
        <v>0.1568</v>
      </c>
      <c r="L11" s="29" t="n">
        <v>0.1877</v>
      </c>
    </row>
    <row r="12">
      <c r="A12" s="5" t="inlineStr">
        <is>
          <t>Cash flow after capex</t>
        </is>
      </c>
      <c r="C12" s="20" t="n">
        <v>-4548</v>
      </c>
      <c r="D12" s="20" t="n">
        <v>-2247</v>
      </c>
      <c r="E12" s="20" t="n">
        <v>-2099</v>
      </c>
      <c r="F12" s="20" t="n">
        <v>-4909</v>
      </c>
      <c r="G12" s="20" t="n">
        <v>-3361</v>
      </c>
      <c r="H12" s="20" t="n">
        <v>-743</v>
      </c>
      <c r="I12" s="20" t="n">
        <v>390</v>
      </c>
      <c r="J12" s="20" t="n">
        <v>3362</v>
      </c>
      <c r="K12" s="20" t="n">
        <v>6895</v>
      </c>
      <c r="L12" s="20" t="n">
        <v>9763</v>
      </c>
    </row>
    <row r="13">
      <c r="A13" s="5" t="inlineStr">
        <is>
          <t>D&amp;A / capex</t>
        </is>
      </c>
      <c r="C13" s="30" t="n">
        <v>0.2</v>
      </c>
      <c r="D13" s="30" t="n">
        <v>0.62</v>
      </c>
      <c r="E13" s="30" t="n">
        <v>0.76</v>
      </c>
      <c r="F13" s="30" t="n">
        <v>0.8</v>
      </c>
      <c r="G13" s="30" t="n">
        <v>0.93</v>
      </c>
      <c r="H13" s="30" t="n">
        <v>3.03</v>
      </c>
      <c r="I13" s="30" t="n">
        <v>3.76</v>
      </c>
      <c r="J13" s="30" t="n">
        <v>3.69</v>
      </c>
      <c r="K13" s="30" t="n">
        <v>2.94</v>
      </c>
      <c r="L13" s="30" t="n">
        <v>2.14</v>
      </c>
    </row>
    <row r="14" ht="8" customHeight="1"/>
    <row r="15" ht="20" customHeight="1">
      <c r="A15" s="10" t="inlineStr">
        <is>
          <t>2. COMMON SIZE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5" t="inlineStr">
        <is>
          <t>Cash / total assets</t>
        </is>
      </c>
      <c r="C16" s="29" t="n">
        <v>0.3972</v>
      </c>
      <c r="D16" s="29" t="n">
        <v>0.2848</v>
      </c>
      <c r="E16" s="29" t="n">
        <v>0.2671</v>
      </c>
      <c r="F16" s="29" t="n">
        <v>0.3423</v>
      </c>
      <c r="G16" s="29" t="n">
        <v>0.1698</v>
      </c>
      <c r="H16" s="29" t="n">
        <v>0.1108</v>
      </c>
      <c r="I16" s="29" t="n">
        <v>0.1311</v>
      </c>
      <c r="J16" s="29" t="n">
        <v>0.1209</v>
      </c>
      <c r="K16" s="29" t="n">
        <v>0.115</v>
      </c>
      <c r="L16" s="29" t="n">
        <v>0.115</v>
      </c>
    </row>
    <row r="17">
      <c r="A17" s="5" t="inlineStr">
        <is>
          <t>Receivables / total assets</t>
        </is>
      </c>
      <c r="D17" s="29" t="n">
        <v>0.0479</v>
      </c>
      <c r="E17" s="29" t="n">
        <v>0.0383</v>
      </c>
      <c r="F17" s="29" t="n">
        <v>0.0382</v>
      </c>
      <c r="G17" s="29" t="n">
        <v>0.0323</v>
      </c>
      <c r="H17" s="29" t="n">
        <v>0.0629</v>
      </c>
      <c r="I17" s="29" t="n">
        <v>0.08650000000000001</v>
      </c>
      <c r="J17" s="29" t="n">
        <v>0.08800000000000001</v>
      </c>
      <c r="K17" s="29" t="n">
        <v>0.065</v>
      </c>
      <c r="L17" s="29" t="n">
        <v>0.0619</v>
      </c>
    </row>
    <row r="18">
      <c r="A18" s="5" t="inlineStr">
        <is>
          <t>PP&amp;E / total assets</t>
        </is>
      </c>
      <c r="D18" s="29" t="n">
        <v>0.07730000000000001</v>
      </c>
      <c r="E18" s="29" t="n">
        <v>0.0684</v>
      </c>
      <c r="F18" s="29" t="n">
        <v>0.0545</v>
      </c>
      <c r="G18" s="29" t="n">
        <v>0.0546</v>
      </c>
      <c r="H18" s="29" t="n">
        <v>0.0478</v>
      </c>
      <c r="I18" s="29" t="n">
        <v>0.06480000000000001</v>
      </c>
      <c r="J18" s="29" t="n">
        <v>0.0536</v>
      </c>
      <c r="K18" s="29" t="n">
        <v>0.0381</v>
      </c>
      <c r="L18" s="29" t="n">
        <v>0.0307</v>
      </c>
    </row>
    <row r="19">
      <c r="A19" s="5" t="inlineStr">
        <is>
          <t>Right-of-use assets / total assets</t>
        </is>
      </c>
      <c r="F19" s="29" t="n">
        <v>0.05019999999999999</v>
      </c>
      <c r="G19" s="29" t="n">
        <v>0.0383</v>
      </c>
      <c r="H19" s="29" t="n">
        <v>0.0358</v>
      </c>
      <c r="I19" s="29" t="n">
        <v>0.0451</v>
      </c>
      <c r="J19" s="29" t="n">
        <v>0.0321</v>
      </c>
      <c r="K19" s="29" t="n">
        <v>0.0226</v>
      </c>
      <c r="L19" s="29" t="n">
        <v>0.018</v>
      </c>
    </row>
    <row r="20">
      <c r="A20" s="5" t="inlineStr">
        <is>
          <t>Goodwill / total assets</t>
        </is>
      </c>
      <c r="D20" s="29" t="n">
        <v>0.0025</v>
      </c>
      <c r="E20" s="29" t="n">
        <v>0.0064</v>
      </c>
      <c r="F20" s="29" t="n">
        <v>0.0053</v>
      </c>
      <c r="G20" s="29" t="n">
        <v>0.1837</v>
      </c>
      <c r="H20" s="29" t="n">
        <v>0.2172</v>
      </c>
      <c r="I20" s="29" t="n">
        <v>0.2573</v>
      </c>
      <c r="J20" s="29" t="n">
        <v>0.2106</v>
      </c>
      <c r="K20" s="29" t="n">
        <v>0.1574</v>
      </c>
      <c r="L20" s="29" t="n">
        <v>0.1445</v>
      </c>
    </row>
    <row r="21">
      <c r="A21" s="5" t="inlineStr">
        <is>
          <t>Intangible assets / total assets</t>
        </is>
      </c>
      <c r="D21" s="29" t="n">
        <v>0.0035</v>
      </c>
      <c r="E21" s="29" t="n">
        <v>0.0034</v>
      </c>
      <c r="F21" s="29" t="n">
        <v>0.0022</v>
      </c>
      <c r="G21" s="29" t="n">
        <v>0.047</v>
      </c>
      <c r="H21" s="29" t="n">
        <v>0.0622</v>
      </c>
      <c r="I21" s="29" t="n">
        <v>0.0584</v>
      </c>
      <c r="J21" s="29" t="n">
        <v>0.0368</v>
      </c>
      <c r="K21" s="29" t="n">
        <v>0.022</v>
      </c>
      <c r="L21" s="29" t="n">
        <v>0.017</v>
      </c>
    </row>
    <row r="22">
      <c r="A22" s="5" t="inlineStr">
        <is>
          <t>Cost of revenue / revenue</t>
        </is>
      </c>
      <c r="C22" s="29" t="n">
        <v>0.5795</v>
      </c>
      <c r="D22" s="29" t="n">
        <v>0.5245000000000001</v>
      </c>
      <c r="E22" s="29" t="n">
        <v>0.4587</v>
      </c>
      <c r="F22" s="29" t="n">
        <v>0.4661999999999999</v>
      </c>
      <c r="G22" s="29" t="n">
        <v>0.4627000000000001</v>
      </c>
      <c r="H22" s="29" t="n">
        <v>0.5357</v>
      </c>
      <c r="I22" s="29" t="n">
        <v>0.6167</v>
      </c>
      <c r="J22" s="29" t="n">
        <v>0.6024</v>
      </c>
      <c r="K22" s="29" t="n">
        <v>0.606</v>
      </c>
      <c r="L22" s="29" t="n">
        <v>0.6025</v>
      </c>
    </row>
    <row r="23" ht="8" customHeight="1"/>
    <row r="24" ht="20" customHeight="1">
      <c r="A24" s="10" t="inlineStr">
        <is>
          <t>3. COVERAGE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5" t="inlineStr">
        <is>
          <t>EBIT interest coverage</t>
        </is>
      </c>
      <c r="C25" s="30" t="n">
        <v>-9.050000000000001</v>
      </c>
      <c r="D25" s="30" t="n">
        <v>-8.52</v>
      </c>
      <c r="E25" s="30" t="n">
        <v>-4.68</v>
      </c>
      <c r="F25" s="30" t="n">
        <v>-15.38</v>
      </c>
      <c r="G25" s="30" t="n">
        <v>-10.62</v>
      </c>
      <c r="H25" s="30" t="n">
        <v>-7.94</v>
      </c>
      <c r="I25" s="30" t="n">
        <v>-3.24</v>
      </c>
      <c r="J25" s="30" t="n">
        <v>7.45</v>
      </c>
    </row>
    <row r="26">
      <c r="A26" s="5" t="inlineStr">
        <is>
          <t>CFO cash-interest coverage</t>
        </is>
      </c>
      <c r="G26" s="30" t="n">
        <v>-6.66</v>
      </c>
      <c r="H26" s="30" t="n">
        <v>-0.99</v>
      </c>
      <c r="I26" s="30" t="n">
        <v>1.25</v>
      </c>
      <c r="J26" s="30" t="n">
        <v>5.7</v>
      </c>
      <c r="K26" s="30" t="n">
        <v>15.03</v>
      </c>
      <c r="L26" s="30" t="n">
        <v>26.16</v>
      </c>
    </row>
    <row r="27" ht="8" customHeight="1"/>
    <row r="28" ht="20" customHeight="1">
      <c r="A28" s="10" t="inlineStr">
        <is>
          <t>4. DEBT BRIDGE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5" t="inlineStr">
        <is>
          <t>Gross debt excluding leases</t>
        </is>
      </c>
      <c r="F29" s="20" t="n">
        <v>5791</v>
      </c>
      <c r="G29" s="20" t="n">
        <v>7914</v>
      </c>
      <c r="H29" s="20" t="n">
        <v>9388</v>
      </c>
      <c r="I29" s="20" t="n">
        <v>9361</v>
      </c>
      <c r="J29" s="20" t="n">
        <v>9560</v>
      </c>
      <c r="K29" s="20" t="n">
        <v>9575</v>
      </c>
      <c r="L29" s="20" t="n">
        <v>10600</v>
      </c>
    </row>
    <row r="30">
      <c r="A30" s="5" t="inlineStr">
        <is>
          <t>Lease liabilities</t>
        </is>
      </c>
      <c r="F30" s="20" t="n">
        <v>1719</v>
      </c>
      <c r="G30" s="20" t="n">
        <v>1719</v>
      </c>
      <c r="H30" s="20" t="n">
        <v>1829</v>
      </c>
      <c r="I30" s="20" t="n">
        <v>1874</v>
      </c>
      <c r="J30" s="20" t="n">
        <v>1740</v>
      </c>
      <c r="K30" s="20" t="n">
        <v>1629</v>
      </c>
      <c r="L30" s="20" t="n">
        <v>1559</v>
      </c>
    </row>
    <row r="31">
      <c r="A31" s="5" t="inlineStr">
        <is>
          <t>Net debt excluding leases</t>
        </is>
      </c>
      <c r="F31" s="20" t="n">
        <v>-5522</v>
      </c>
      <c r="G31" s="20" t="n">
        <v>1087</v>
      </c>
      <c r="H31" s="20" t="n">
        <v>5093</v>
      </c>
      <c r="I31" s="20" t="n">
        <v>5050</v>
      </c>
      <c r="J31" s="20" t="n">
        <v>4153</v>
      </c>
      <c r="K31" s="20" t="n">
        <v>2598</v>
      </c>
      <c r="L31" s="20" t="n">
        <v>2967</v>
      </c>
    </row>
    <row r="32">
      <c r="A32" s="5" t="inlineStr">
        <is>
          <t>Net debt including leases</t>
        </is>
      </c>
      <c r="F32" s="20" t="n">
        <v>-3803</v>
      </c>
      <c r="G32" s="20" t="n">
        <v>2806</v>
      </c>
      <c r="H32" s="20" t="n">
        <v>6922</v>
      </c>
      <c r="I32" s="20" t="n">
        <v>6924</v>
      </c>
      <c r="J32" s="20" t="n">
        <v>5893</v>
      </c>
      <c r="K32" s="20" t="n">
        <v>4227</v>
      </c>
      <c r="L32" s="20" t="n">
        <v>4526</v>
      </c>
    </row>
    <row r="33" ht="8" customHeight="1"/>
    <row r="34" ht="20" customHeight="1">
      <c r="A34" s="10" t="inlineStr">
        <is>
          <t>5. EARNINGS QUALITY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5" t="inlineStr">
        <is>
          <t>CFO / consolidated net income</t>
        </is>
      </c>
      <c r="E35" s="30" t="n">
        <v>-1.56</v>
      </c>
      <c r="J35" s="30" t="n">
        <v>1.66</v>
      </c>
      <c r="K35" s="30" t="n">
        <v>0.72</v>
      </c>
      <c r="L35" s="30" t="n">
        <v>1</v>
      </c>
    </row>
    <row r="36">
      <c r="A36" s="5" t="inlineStr">
        <is>
          <t>Accrual ratio</t>
        </is>
      </c>
      <c r="D36" s="29" t="n">
        <v>-0.168</v>
      </c>
      <c r="E36" s="29" t="n">
        <v>0.1283</v>
      </c>
      <c r="F36" s="29" t="n">
        <v>-0.1504</v>
      </c>
      <c r="G36" s="29" t="n">
        <v>-0.1244</v>
      </c>
      <c r="H36" s="29" t="n">
        <v>-0.0035</v>
      </c>
      <c r="I36" s="29" t="n">
        <v>-0.2759</v>
      </c>
      <c r="J36" s="29" t="n">
        <v>-0.0404</v>
      </c>
      <c r="K36" s="29" t="n">
        <v>0.0602</v>
      </c>
      <c r="L36" s="29" t="n">
        <v>-0.0001</v>
      </c>
    </row>
    <row r="37" ht="8" customHeight="1"/>
    <row r="38" ht="20" customHeight="1">
      <c r="A38" s="10" t="inlineStr">
        <is>
          <t>6. GROWTH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5" t="inlineStr">
        <is>
          <t>Revenue growth</t>
        </is>
      </c>
      <c r="D39" s="29" t="n">
        <v>1.0629</v>
      </c>
      <c r="E39" s="29" t="n">
        <v>0.3153</v>
      </c>
      <c r="F39" s="29" t="n">
        <v>0.246</v>
      </c>
      <c r="G39" s="29" t="n">
        <v>-0.1432</v>
      </c>
      <c r="H39" s="29" t="n">
        <v>0.5670000000000001</v>
      </c>
      <c r="I39" s="29" t="n">
        <v>0.8262</v>
      </c>
      <c r="J39" s="29" t="n">
        <v>0.1695</v>
      </c>
      <c r="K39" s="29" t="n">
        <v>0.1796</v>
      </c>
      <c r="L39" s="29" t="n">
        <v>0.1828</v>
      </c>
    </row>
    <row r="40">
      <c r="A40" s="5" t="inlineStr">
        <is>
          <t>Consolidated profit growth</t>
        </is>
      </c>
      <c r="F40" s="29" t="n">
        <v>-9.6241</v>
      </c>
      <c r="K40" s="29" t="n">
        <v>3.5663</v>
      </c>
      <c r="L40" s="29" t="n">
        <v>0.0252</v>
      </c>
    </row>
    <row r="41">
      <c r="A41" s="5" t="inlineStr">
        <is>
          <t>Parent profit growth</t>
        </is>
      </c>
      <c r="F41" s="29" t="n">
        <v>-9.531599999999999</v>
      </c>
      <c r="K41" s="29" t="n">
        <v>4.2231</v>
      </c>
      <c r="L41" s="29" t="n">
        <v>0.02</v>
      </c>
    </row>
    <row r="42">
      <c r="A42" s="5" t="inlineStr">
        <is>
          <t>Revenue CAGR since first supplied period</t>
        </is>
      </c>
      <c r="L42" s="29" t="n">
        <v>0.3357</v>
      </c>
    </row>
    <row r="43" ht="8" customHeight="1"/>
    <row r="44" ht="20" customHeight="1">
      <c r="A44" s="10" t="inlineStr">
        <is>
          <t>7. ISSUER APM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5" t="inlineStr">
        <is>
          <t>Company-reported FCF margin</t>
        </is>
      </c>
      <c r="H45" s="29" t="n">
        <v>-0.0426</v>
      </c>
      <c r="I45" s="29" t="n">
        <v>0.0122</v>
      </c>
      <c r="J45" s="29" t="n">
        <v>0.0902</v>
      </c>
      <c r="K45" s="29" t="n">
        <v>0.1568</v>
      </c>
      <c r="L45" s="29" t="n">
        <v>0.1877</v>
      </c>
    </row>
    <row r="46" ht="8" customHeight="1"/>
    <row r="47" ht="20" customHeight="1">
      <c r="A47" s="10" t="inlineStr">
        <is>
          <t>8. LEVERAGE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5" t="inlineStr">
        <is>
          <t>Net debt ex leases / EBITDA</t>
        </is>
      </c>
      <c r="J48" s="30" t="n">
        <v>2.15</v>
      </c>
      <c r="K48" s="30" t="n">
        <v>0.74</v>
      </c>
      <c r="L48" s="30" t="n">
        <v>0.47</v>
      </c>
    </row>
    <row r="49" ht="8" customHeight="1"/>
    <row r="50" ht="20" customHeight="1">
      <c r="A50" s="10" t="inlineStr">
        <is>
          <t>9. LIQUIDITY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5" t="inlineStr">
        <is>
          <t>Current ratio</t>
        </is>
      </c>
      <c r="D51" s="30" t="n">
        <v>1.78</v>
      </c>
      <c r="E51" s="30" t="n">
        <v>2.03</v>
      </c>
      <c r="F51" s="30" t="n">
        <v>2.47</v>
      </c>
      <c r="G51" s="30" t="n">
        <v>1.44</v>
      </c>
      <c r="H51" s="30" t="n">
        <v>0.98</v>
      </c>
      <c r="I51" s="30" t="n">
        <v>1.04</v>
      </c>
      <c r="J51" s="30" t="n">
        <v>1.19</v>
      </c>
      <c r="K51" s="30" t="n">
        <v>1.07</v>
      </c>
      <c r="L51" s="30" t="n">
        <v>1.14</v>
      </c>
    </row>
    <row r="52">
      <c r="A52" s="5" t="inlineStr">
        <is>
          <t>Quick ratio</t>
        </is>
      </c>
      <c r="D52" s="30" t="n">
        <v>1.33</v>
      </c>
      <c r="E52" s="30" t="n">
        <v>1.72</v>
      </c>
      <c r="F52" s="30" t="n">
        <v>2.22</v>
      </c>
      <c r="G52" s="30" t="n">
        <v>1.15</v>
      </c>
      <c r="H52" s="30" t="n">
        <v>0.75</v>
      </c>
      <c r="I52" s="30" t="n">
        <v>0.8</v>
      </c>
      <c r="J52" s="30" t="n">
        <v>0.93</v>
      </c>
      <c r="K52" s="30" t="n">
        <v>0.9</v>
      </c>
      <c r="L52" s="30" t="n">
        <v>0.93</v>
      </c>
    </row>
    <row r="53">
      <c r="A53" s="5" t="inlineStr">
        <is>
          <t>Cash-only ratio</t>
        </is>
      </c>
      <c r="D53" s="30" t="n">
        <v>1.14</v>
      </c>
      <c r="E53" s="30" t="n">
        <v>1.5</v>
      </c>
      <c r="F53" s="30" t="n">
        <v>1.93</v>
      </c>
      <c r="G53" s="30" t="n">
        <v>0.82</v>
      </c>
      <c r="H53" s="30" t="n">
        <v>0.48</v>
      </c>
      <c r="I53" s="30" t="n">
        <v>0.48</v>
      </c>
      <c r="J53" s="30" t="n">
        <v>0.5</v>
      </c>
      <c r="K53" s="30" t="n">
        <v>0.51</v>
      </c>
      <c r="L53" s="30" t="n">
        <v>0.58</v>
      </c>
    </row>
    <row r="54">
      <c r="A54" s="5" t="inlineStr">
        <is>
          <t>CFO / average current liabilities</t>
        </is>
      </c>
      <c r="E54" s="29" t="n">
        <v>-0.3802</v>
      </c>
      <c r="F54" s="29" t="n">
        <v>-0.8731</v>
      </c>
      <c r="G54" s="29" t="n">
        <v>-0.4391</v>
      </c>
      <c r="H54" s="29" t="n">
        <v>-0.05599999999999999</v>
      </c>
      <c r="I54" s="29" t="n">
        <v>0.0718</v>
      </c>
      <c r="J54" s="29" t="n">
        <v>0.3917</v>
      </c>
      <c r="K54" s="29" t="n">
        <v>0.6820000000000001</v>
      </c>
      <c r="L54" s="29" t="n">
        <v>0.8488</v>
      </c>
    </row>
    <row r="55" ht="8" customHeight="1"/>
    <row r="56" ht="20" customHeight="1">
      <c r="A56" s="10" t="inlineStr">
        <is>
          <t>10. PROFITABILITY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5" t="inlineStr">
        <is>
          <t>Gross margin</t>
        </is>
      </c>
      <c r="C57" s="29" t="n">
        <v>0.4205</v>
      </c>
      <c r="D57" s="29" t="n">
        <v>0.4755</v>
      </c>
      <c r="E57" s="29" t="n">
        <v>0.5413</v>
      </c>
      <c r="F57" s="29" t="n">
        <v>0.5338000000000001</v>
      </c>
      <c r="G57" s="29" t="n">
        <v>0.5373</v>
      </c>
      <c r="H57" s="29" t="n">
        <v>0.4643</v>
      </c>
      <c r="I57" s="29" t="n">
        <v>0.3833</v>
      </c>
      <c r="J57" s="29" t="n">
        <v>0.3976</v>
      </c>
      <c r="K57" s="29" t="n">
        <v>0.394</v>
      </c>
      <c r="L57" s="29" t="n">
        <v>0.3975</v>
      </c>
    </row>
    <row r="58">
      <c r="A58" s="5" t="inlineStr">
        <is>
          <t>Operating margin</t>
        </is>
      </c>
      <c r="C58" s="29" t="n">
        <v>-0.7862</v>
      </c>
      <c r="D58" s="29" t="n">
        <v>-0.5144</v>
      </c>
      <c r="E58" s="29" t="n">
        <v>-0.2907</v>
      </c>
      <c r="F58" s="29" t="n">
        <v>-0.6612</v>
      </c>
      <c r="G58" s="29" t="n">
        <v>-0.4366</v>
      </c>
      <c r="H58" s="29" t="n">
        <v>-0.2197</v>
      </c>
      <c r="I58" s="29" t="n">
        <v>-0.0575</v>
      </c>
      <c r="J58" s="29" t="n">
        <v>0.0298</v>
      </c>
      <c r="K58" s="29" t="n">
        <v>0.0636</v>
      </c>
      <c r="L58" s="29" t="n">
        <v>0.107</v>
      </c>
    </row>
    <row r="59">
      <c r="A59" s="5" t="inlineStr">
        <is>
          <t>EBITDA margin</t>
        </is>
      </c>
      <c r="C59" s="29" t="n">
        <v>-0.703</v>
      </c>
      <c r="D59" s="29" t="n">
        <v>-0.4501</v>
      </c>
      <c r="E59" s="29" t="n">
        <v>-0.2499</v>
      </c>
      <c r="F59" s="29" t="n">
        <v>-0.6249</v>
      </c>
      <c r="G59" s="29" t="n">
        <v>-0.385</v>
      </c>
      <c r="H59" s="29" t="n">
        <v>-0.168</v>
      </c>
      <c r="I59" s="29" t="n">
        <v>-0.0278</v>
      </c>
      <c r="J59" s="29" t="n">
        <v>0.0518</v>
      </c>
      <c r="K59" s="29" t="n">
        <v>0.07980000000000001</v>
      </c>
      <c r="L59" s="29" t="n">
        <v>0.1208</v>
      </c>
    </row>
    <row r="60">
      <c r="A60" s="5" t="inlineStr">
        <is>
          <t>Consolidated net margin</t>
        </is>
      </c>
      <c r="C60" s="29" t="n">
        <v>-0.09619999999999999</v>
      </c>
      <c r="D60" s="29" t="n">
        <v>-0.5084000000000001</v>
      </c>
      <c r="E60" s="29" t="n">
        <v>0.0946</v>
      </c>
      <c r="F60" s="29" t="n">
        <v>-0.6548</v>
      </c>
      <c r="G60" s="29" t="n">
        <v>-0.6093999999999999</v>
      </c>
      <c r="H60" s="29" t="n">
        <v>-0.0327</v>
      </c>
      <c r="I60" s="29" t="n">
        <v>-0.2867</v>
      </c>
      <c r="J60" s="29" t="n">
        <v>0.0578</v>
      </c>
      <c r="K60" s="29" t="n">
        <v>0.2239</v>
      </c>
      <c r="L60" s="29" t="n">
        <v>0.194</v>
      </c>
    </row>
    <row r="61">
      <c r="A61" s="5" t="inlineStr">
        <is>
          <t>Parent net margin</t>
        </is>
      </c>
      <c r="C61" s="29" t="n">
        <v>-0.09619999999999999</v>
      </c>
      <c r="D61" s="29" t="n">
        <v>-0.5084000000000001</v>
      </c>
      <c r="E61" s="29" t="n">
        <v>0.0956</v>
      </c>
      <c r="F61" s="29" t="n">
        <v>-0.6543000000000001</v>
      </c>
      <c r="G61" s="29" t="n">
        <v>-0.6076</v>
      </c>
      <c r="H61" s="29" t="n">
        <v>-0.0284</v>
      </c>
      <c r="I61" s="29" t="n">
        <v>-0.2868</v>
      </c>
      <c r="J61" s="29" t="n">
        <v>0.0506</v>
      </c>
      <c r="K61" s="29" t="n">
        <v>0.2241</v>
      </c>
      <c r="L61" s="29" t="n">
        <v>0.1933</v>
      </c>
    </row>
    <row r="62">
      <c r="A62" s="5" t="inlineStr">
        <is>
          <t>Effective tax rate</t>
        </is>
      </c>
      <c r="C62" s="29" t="n">
        <v>-0.008699999999999999</v>
      </c>
      <c r="D62" s="29" t="n">
        <v>0.1185</v>
      </c>
      <c r="E62" s="29" t="n">
        <v>0.2157</v>
      </c>
      <c r="F62" s="29" t="n">
        <v>-0.0053</v>
      </c>
      <c r="G62" s="29" t="n">
        <v>0.0276</v>
      </c>
      <c r="H62" s="29" t="n">
        <v>0.48</v>
      </c>
      <c r="I62" s="29" t="n">
        <v>0.0192</v>
      </c>
      <c r="J62" s="29" t="n">
        <v>0.09179999999999999</v>
      </c>
      <c r="K62" s="29" t="n">
        <v>-1.3959</v>
      </c>
      <c r="L62" s="29" t="n">
        <v>-0.7493000000000001</v>
      </c>
    </row>
    <row r="63" ht="8" customHeight="1"/>
    <row r="64" ht="20" customHeight="1">
      <c r="A64" s="10" t="inlineStr">
        <is>
          <t>11. RETURNS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5" t="inlineStr">
        <is>
          <t>ROA</t>
        </is>
      </c>
      <c r="D65" s="29" t="n">
        <v>-0.259</v>
      </c>
      <c r="E65" s="29" t="n">
        <v>0.0501</v>
      </c>
      <c r="F65" s="29" t="n">
        <v>-0.3054</v>
      </c>
      <c r="G65" s="29" t="n">
        <v>-0.2088</v>
      </c>
      <c r="H65" s="29" t="n">
        <v>-0.0158</v>
      </c>
      <c r="I65" s="29" t="n">
        <v>-0.2578</v>
      </c>
      <c r="J65" s="29" t="n">
        <v>0.0609</v>
      </c>
      <c r="K65" s="29" t="n">
        <v>0.2189</v>
      </c>
      <c r="L65" s="29" t="n">
        <v>0.1786</v>
      </c>
    </row>
    <row r="66">
      <c r="A66" s="5" t="inlineStr">
        <is>
          <t>Parent ROE</t>
        </is>
      </c>
      <c r="D66" s="29" t="n">
        <v>0.6132</v>
      </c>
      <c r="E66" s="29" t="n">
        <v>-0.1251</v>
      </c>
      <c r="F66" s="29" t="n">
        <v>-2.4999</v>
      </c>
      <c r="G66" s="29" t="n">
        <v>-0.5115999999999999</v>
      </c>
      <c r="H66" s="29" t="n">
        <v>-0.0371</v>
      </c>
      <c r="I66" s="29" t="n">
        <v>-0.8387</v>
      </c>
      <c r="J66" s="29" t="n">
        <v>0.203</v>
      </c>
      <c r="K66" s="29" t="n">
        <v>0.6008</v>
      </c>
      <c r="L66" s="29" t="n">
        <v>0.4137</v>
      </c>
    </row>
    <row r="67">
      <c r="A67" s="5" t="inlineStr">
        <is>
          <t>Consolidated ROE</t>
        </is>
      </c>
      <c r="D67" s="29" t="n">
        <v>0.6132</v>
      </c>
      <c r="E67" s="29" t="n">
        <v>-0.1238</v>
      </c>
      <c r="F67" s="29" t="n">
        <v>-2.2738</v>
      </c>
      <c r="G67" s="29" t="n">
        <v>-0.4877</v>
      </c>
      <c r="H67" s="29" t="n">
        <v>-0.0406</v>
      </c>
      <c r="I67" s="29" t="n">
        <v>-0.7870999999999999</v>
      </c>
      <c r="J67" s="29" t="n">
        <v>0.2145</v>
      </c>
      <c r="K67" s="29" t="n">
        <v>0.5722</v>
      </c>
      <c r="L67" s="29" t="n">
        <v>0.4013</v>
      </c>
    </row>
    <row r="68">
      <c r="A68" s="5" t="inlineStr">
        <is>
          <t>Asset turnover</t>
        </is>
      </c>
      <c r="D68" s="30" t="n">
        <v>0.51</v>
      </c>
      <c r="E68" s="30" t="n">
        <v>0.53</v>
      </c>
      <c r="F68" s="30" t="n">
        <v>0.47</v>
      </c>
      <c r="G68" s="30" t="n">
        <v>0.34</v>
      </c>
      <c r="H68" s="30" t="n">
        <v>0.48</v>
      </c>
      <c r="I68" s="30" t="n">
        <v>0.9</v>
      </c>
      <c r="J68" s="30" t="n">
        <v>1.05</v>
      </c>
      <c r="K68" s="30" t="n">
        <v>0.98</v>
      </c>
      <c r="L68" s="30" t="n">
        <v>0.92</v>
      </c>
    </row>
    <row r="69">
      <c r="A69" s="5" t="inlineStr">
        <is>
          <t>Invested capital turnover</t>
        </is>
      </c>
      <c r="G69" s="30" t="n">
        <v>0.82</v>
      </c>
      <c r="H69" s="30" t="n">
        <v>0.89</v>
      </c>
      <c r="I69" s="30" t="n">
        <v>1.72</v>
      </c>
      <c r="J69" s="30" t="n">
        <v>2.26</v>
      </c>
      <c r="K69" s="30" t="n">
        <v>1.94</v>
      </c>
      <c r="L69" s="30" t="n">
        <v>1.73</v>
      </c>
    </row>
    <row r="70" ht="8" customHeight="1"/>
    <row r="71" ht="20" customHeight="1">
      <c r="A71" s="10" t="inlineStr">
        <is>
          <t>12. SOLVENCY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5" t="inlineStr">
        <is>
          <t>Equity ratio</t>
        </is>
      </c>
      <c r="C72" s="29" t="n">
        <v>-0.2925</v>
      </c>
      <c r="D72" s="29" t="n">
        <v>-0.5547</v>
      </c>
      <c r="E72" s="29" t="n">
        <v>-0.3079</v>
      </c>
      <c r="F72" s="29" t="n">
        <v>0.4682</v>
      </c>
      <c r="G72" s="29" t="n">
        <v>0.39</v>
      </c>
      <c r="H72" s="29" t="n">
        <v>0.3906</v>
      </c>
      <c r="I72" s="29" t="n">
        <v>0.2515</v>
      </c>
      <c r="J72" s="29" t="n">
        <v>0.3108</v>
      </c>
      <c r="K72" s="29" t="n">
        <v>0.4368</v>
      </c>
      <c r="L72" s="29" t="n">
        <v>0.4517</v>
      </c>
    </row>
    <row r="73">
      <c r="A73" s="5" t="inlineStr">
        <is>
          <t>Gross debt ex leases / assets</t>
        </is>
      </c>
      <c r="F73" s="29" t="n">
        <v>0.1823</v>
      </c>
      <c r="G73" s="29" t="n">
        <v>0.238</v>
      </c>
      <c r="H73" s="29" t="n">
        <v>0.2421</v>
      </c>
      <c r="I73" s="29" t="n">
        <v>0.2915</v>
      </c>
      <c r="J73" s="29" t="n">
        <v>0.247</v>
      </c>
      <c r="K73" s="29" t="n">
        <v>0.1869</v>
      </c>
      <c r="L73" s="29" t="n">
        <v>0.1715</v>
      </c>
    </row>
    <row r="74">
      <c r="A74" s="5" t="inlineStr">
        <is>
          <t>Gross debt incl leases / assets</t>
        </is>
      </c>
      <c r="F74" s="29" t="n">
        <v>0.2365</v>
      </c>
      <c r="G74" s="29" t="n">
        <v>0.2897</v>
      </c>
      <c r="H74" s="29" t="n">
        <v>0.2893</v>
      </c>
      <c r="I74" s="29" t="n">
        <v>0.3499</v>
      </c>
      <c r="J74" s="29" t="n">
        <v>0.292</v>
      </c>
      <c r="K74" s="29" t="n">
        <v>0.2186</v>
      </c>
      <c r="L74" s="29" t="n">
        <v>0.1967</v>
      </c>
    </row>
    <row r="75">
      <c r="A75" s="5" t="inlineStr">
        <is>
          <t>Debt / equity ex leases</t>
        </is>
      </c>
      <c r="F75" s="30" t="n">
        <v>0.39</v>
      </c>
      <c r="G75" s="30" t="n">
        <v>0.61</v>
      </c>
      <c r="H75" s="30" t="n">
        <v>0.62</v>
      </c>
      <c r="I75" s="30" t="n">
        <v>1.16</v>
      </c>
      <c r="J75" s="30" t="n">
        <v>0.79</v>
      </c>
      <c r="K75" s="30" t="n">
        <v>0.43</v>
      </c>
      <c r="L75" s="30" t="n">
        <v>0.38</v>
      </c>
    </row>
    <row r="76">
      <c r="A76" s="5" t="inlineStr">
        <is>
          <t>Debt / equity incl leases</t>
        </is>
      </c>
      <c r="F76" s="30" t="n">
        <v>0.5</v>
      </c>
      <c r="G76" s="30" t="n">
        <v>0.74</v>
      </c>
      <c r="H76" s="30" t="n">
        <v>0.74</v>
      </c>
      <c r="I76" s="30" t="n">
        <v>1.39</v>
      </c>
      <c r="J76" s="30" t="n">
        <v>0.9399999999999999</v>
      </c>
      <c r="K76" s="30" t="n">
        <v>0.5</v>
      </c>
      <c r="L76" s="30" t="n">
        <v>0.44</v>
      </c>
    </row>
    <row r="77" ht="8" customHeight="1"/>
    <row r="78" ht="20" customHeight="1">
      <c r="A78" s="10" t="inlineStr">
        <is>
          <t>13. WORKING CAPITAL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5" t="inlineStr">
        <is>
          <t>Days sales outstanding</t>
        </is>
      </c>
      <c r="E79" s="20" t="n">
        <v>29</v>
      </c>
      <c r="F79" s="20" t="n">
        <v>29.9</v>
      </c>
      <c r="G79" s="20" t="n">
        <v>37.5</v>
      </c>
      <c r="H79" s="20" t="n">
        <v>36.7</v>
      </c>
      <c r="I79" s="20" t="n">
        <v>29.9</v>
      </c>
      <c r="J79" s="20" t="n">
        <v>30.3</v>
      </c>
      <c r="K79" s="20" t="n">
        <v>28</v>
      </c>
      <c r="L79" s="20" t="n">
        <v>25.1</v>
      </c>
    </row>
    <row r="80">
      <c r="A80" s="5" t="inlineStr">
        <is>
          <t>Days payables outstanding</t>
        </is>
      </c>
      <c r="E80" s="20" t="n">
        <v>13.8</v>
      </c>
      <c r="F80" s="20" t="n">
        <v>12.7</v>
      </c>
      <c r="G80" s="20" t="n">
        <v>18</v>
      </c>
      <c r="H80" s="20" t="n">
        <v>21.4</v>
      </c>
      <c r="I80" s="20" t="n">
        <v>14.7</v>
      </c>
      <c r="J80" s="20" t="n">
        <v>12.3</v>
      </c>
      <c r="K80" s="20" t="n">
        <v>11.3</v>
      </c>
      <c r="L80" s="20" t="n">
        <v>10.9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H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14" customWidth="1" min="4" max="4"/>
  </cols>
  <sheetData>
    <row r="1" ht="28" customHeight="1">
      <c r="A1" s="1" t="inlineStr">
        <is>
          <t>Uber Technologies, Inc. — Sources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USD in million except per-share data  |  USD  |  as of 2026-09-08</t>
        </is>
      </c>
    </row>
    <row r="4">
      <c r="A4" s="4" t="inlineStr">
        <is>
          <t>Source ID</t>
        </is>
      </c>
      <c r="B4" s="4" t="inlineStr">
        <is>
          <t>Filing / Document</t>
        </is>
      </c>
      <c r="C4" s="4" t="inlineStr">
        <is>
          <t>Path</t>
        </is>
      </c>
      <c r="D4" s="4" t="inlineStr">
        <is>
          <t>Tier</t>
        </is>
      </c>
    </row>
    <row r="5">
      <c r="A5" s="5" t="inlineStr">
        <is>
          <t>S106</t>
        </is>
      </c>
      <c r="B5" s="5" t="inlineStr">
        <is>
          <t>Uber Technologies, Inc. curated financial_input.json (FY2016-2025 annual aggregates)</t>
        </is>
      </c>
      <c r="C5" s="5" t="inlineStr">
        <is>
          <t>data/curated/companies/US/UBER-uber/financial_input.json</t>
        </is>
      </c>
      <c r="D5" s="5" t="inlineStr">
        <is>
          <t>1</t>
        </is>
      </c>
    </row>
    <row r="6">
      <c r="A6" s="5" t="inlineStr">
        <is>
          <t>S081</t>
        </is>
      </c>
      <c r="B6" s="5" t="inlineStr">
        <is>
          <t>Uber 10-K for FY2018 (restated FY2018 comparatives)</t>
        </is>
      </c>
      <c r="C6" s="5" t="inlineStr">
        <is>
          <t>data/curated/companies/US/UBER-uber/financial_input.json (source ref)</t>
        </is>
      </c>
      <c r="D6" s="5" t="inlineStr">
        <is>
          <t>1</t>
        </is>
      </c>
    </row>
    <row r="7">
      <c r="A7" s="5" t="inlineStr">
        <is>
          <t>10-K-2025</t>
        </is>
      </c>
      <c r="B7" s="5" t="inlineStr">
        <is>
          <t>Uber 10-K for fiscal year 2025 (filed 2026)</t>
        </is>
      </c>
      <c r="C7" s="5" t="inlineStr">
        <is>
          <t>sources/companies/US/UBER-uber/sec/10-k-2025/source.html</t>
        </is>
      </c>
      <c r="D7" s="5" t="inlineStr">
        <is>
          <t>2</t>
        </is>
      </c>
    </row>
    <row r="8">
      <c r="A8" s="5" t="inlineStr">
        <is>
          <t>10-K-2023</t>
        </is>
      </c>
      <c r="B8" s="5" t="inlineStr">
        <is>
          <t>Uber 10-K for fiscal year 2023 (filed 2024)</t>
        </is>
      </c>
      <c r="C8" s="5" t="inlineStr">
        <is>
          <t>sources/companies/US/UBER-uber/sec/10-k-2023/source.html</t>
        </is>
      </c>
      <c r="D8" s="5" t="inlineStr">
        <is>
          <t>2</t>
        </is>
      </c>
    </row>
    <row r="9">
      <c r="A9" s="5" t="inlineStr">
        <is>
          <t>10-K-2021</t>
        </is>
      </c>
      <c r="B9" s="5" t="inlineStr">
        <is>
          <t>Uber 10-K for fiscal year 2021 (filed 2022)</t>
        </is>
      </c>
      <c r="C9" s="5" t="inlineStr">
        <is>
          <t>sources/companies/US/UBER-uber/sec/10-k-2021/source.html</t>
        </is>
      </c>
      <c r="D9" s="5" t="inlineStr">
        <is>
          <t>2</t>
        </is>
      </c>
    </row>
    <row r="10">
      <c r="A10" s="5" t="inlineStr">
        <is>
          <t>10-K-2020</t>
        </is>
      </c>
      <c r="B10" s="5" t="inlineStr">
        <is>
          <t>Uber 10-K for fiscal year 2020 (filed 2021) — restated FY2018-2019 comparatives</t>
        </is>
      </c>
      <c r="C10" s="5" t="inlineStr">
        <is>
          <t>sources/companies/US/UBER-uber/sec/10-k-2020/source.html</t>
        </is>
      </c>
      <c r="D10" s="5" t="inlineStr">
        <is>
          <t>2</t>
        </is>
      </c>
    </row>
    <row r="11">
      <c r="A11" s="5" t="inlineStr">
        <is>
          <t>10-K-2019</t>
        </is>
      </c>
      <c r="B11" s="5" t="inlineStr">
        <is>
          <t>Uber 10-K for fiscal year 2019 (filed 2020)</t>
        </is>
      </c>
      <c r="C11" s="5" t="inlineStr">
        <is>
          <t>sources/companies/US/UBER-uber/sec/10-k-2019/source.html</t>
        </is>
      </c>
      <c r="D11" s="5" t="inlineStr">
        <is>
          <t>2</t>
        </is>
      </c>
    </row>
    <row r="12">
      <c r="A12" s="5" t="inlineStr">
        <is>
          <t>10-K-2022</t>
        </is>
      </c>
      <c r="B12" s="5" t="inlineStr">
        <is>
          <t>Uber 10-K for fiscal year 2022 (filed 2023)</t>
        </is>
      </c>
      <c r="C12" s="5" t="inlineStr">
        <is>
          <t>sources/companies/US/UBER-uber/sec/10-k-2022/source.html</t>
        </is>
      </c>
      <c r="D12" s="5" t="inlineStr">
        <is>
          <t>2</t>
        </is>
      </c>
    </row>
    <row r="13">
      <c r="A13" s="5" t="inlineStr">
        <is>
          <t>10-K-2024</t>
        </is>
      </c>
      <c r="B13" s="5" t="inlineStr">
        <is>
          <t>Uber 10-K for fiscal year 2024 (filed 2025)</t>
        </is>
      </c>
      <c r="C13" s="5" t="inlineStr">
        <is>
          <t>sources/companies/US/UBER-uber/sec/10-k-2024/source.html</t>
        </is>
      </c>
      <c r="D13" s="5" t="inlineStr">
        <is>
          <t>2</t>
        </is>
      </c>
    </row>
    <row r="14">
      <c r="A14" s="5" t="inlineStr">
        <is>
          <t>10-Q-2026Q2</t>
        </is>
      </c>
      <c r="B14" s="5" t="inlineStr">
        <is>
          <t>Uber 10-Q for Q2 2026</t>
        </is>
      </c>
      <c r="C14" s="5" t="inlineStr">
        <is>
          <t>sources/companies/US/UBER-uber/sec/10-q-2026q2/source.html</t>
        </is>
      </c>
      <c r="D14" s="5" t="inlineStr">
        <is>
          <t>2</t>
        </is>
      </c>
    </row>
    <row r="15">
      <c r="A15" s="5" t="inlineStr">
        <is>
          <t>sec-cleaned</t>
        </is>
      </c>
      <c r="B15" s="5" t="inlineStr">
        <is>
          <t>S-1 / 424B4 prospectus and 2026 Q1/Q2 earnings press releases (cleaned markdown)</t>
        </is>
      </c>
      <c r="C15" s="5" t="inlineStr">
        <is>
          <t>research/companies/US/UBER-uber/data/sec-cleaned/</t>
        </is>
      </c>
      <c r="D15" s="5" t="inlineStr">
        <is>
          <t>3</t>
        </is>
      </c>
    </row>
    <row r="16">
      <c r="A16" s="5" t="inlineStr">
        <is>
          <t>metrics.md</t>
        </is>
      </c>
      <c r="B16" s="5" t="inlineStr">
        <is>
          <t>Curated derived-metrics workbook (ratios for Derived Metrics sheet)</t>
        </is>
      </c>
      <c r="C16" s="5" t="inlineStr">
        <is>
          <t>data/curated/companies/US/UBER-uber/metrics.md</t>
        </is>
      </c>
      <c r="D16" s="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2026-09-08T06:15:39Z</dcterms:created>
  <dcterms:modified xmlns:dcterms="http://purl.org/dc/terms/" xmlns:xsi="http://www.w3.org/2001/XMLSchema-instance" xsi:type="dcterms:W3CDTF">2026-09-08T06:15:39Z</dcterms:modified>
</cp:coreProperties>
</file>