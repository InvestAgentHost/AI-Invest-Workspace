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tccc/Desktop/AI Invest/Workspace/research/companies/US/PEP-pepsico/outputs/company-research-to-excel/"/>
    </mc:Choice>
  </mc:AlternateContent>
  <xr:revisionPtr revIDLastSave="0" documentId="13_ncr:1_{E70FB50A-E050-A744-B046-C013164CD07F}" xr6:coauthVersionLast="47" xr6:coauthVersionMax="47" xr10:uidLastSave="{00000000-0000-0000-0000-000000000000}"/>
  <bookViews>
    <workbookView xWindow="0" yWindow="600" windowWidth="38400" windowHeight="19500" firstSheet="3" activeTab="15" xr2:uid="{00000000-000D-0000-FFFF-FFFF00000000}"/>
  </bookViews>
  <sheets>
    <sheet name="Contents" sheetId="1" r:id="rId1"/>
    <sheet name="Segments" sheetId="2" r:id="rId2"/>
    <sheet name="Operating Metrics" sheetId="3" r:id="rId3"/>
    <sheet name="Products &amp; Geography" sheetId="4" r:id="rId4"/>
    <sheet name="Income Statement" sheetId="5" r:id="rId5"/>
    <sheet name="Balance Sheet" sheetId="6" r:id="rId6"/>
    <sheet name="Cash Flow" sheetId="7" r:id="rId7"/>
    <sheet name="Derived Metrics" sheetId="8" r:id="rId8"/>
    <sheet name="Note Schedules" sheetId="9" r:id="rId9"/>
    <sheet name="Debt &amp; Leases" sheetId="10" r:id="rId10"/>
    <sheet name="Investments" sheetId="11" r:id="rId11"/>
    <sheet name="Acquisitions &amp; Intangibles" sheetId="12" r:id="rId12"/>
    <sheet name="Pension &amp; Retiree Medical" sheetId="13" r:id="rId13"/>
    <sheet name="Core Reconciliations" sheetId="14" r:id="rId14"/>
    <sheet name="Profit Forecast" sheetId="15" r:id="rId15"/>
    <sheet name="Valuation Model" sheetId="16" r:id="rId16"/>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14" l="1"/>
  <c r="Q20" i="14"/>
  <c r="U19" i="14"/>
  <c r="Q19" i="14"/>
  <c r="U18" i="14"/>
  <c r="Q18" i="14"/>
  <c r="U16" i="14"/>
  <c r="Q16" i="14"/>
  <c r="X158" i="13"/>
  <c r="W158" i="13"/>
  <c r="V158" i="13"/>
  <c r="T158" i="13"/>
  <c r="S158" i="13"/>
  <c r="R158" i="13"/>
  <c r="P158" i="13"/>
  <c r="O158" i="13"/>
  <c r="N158" i="13"/>
  <c r="L158" i="13"/>
  <c r="K158" i="13"/>
  <c r="J158" i="13"/>
  <c r="I158" i="13"/>
  <c r="H158" i="13"/>
  <c r="G158" i="13"/>
  <c r="F158" i="13"/>
  <c r="E158" i="13"/>
  <c r="D158" i="13"/>
  <c r="X157" i="13"/>
  <c r="W157" i="13"/>
  <c r="V157" i="13"/>
  <c r="U157" i="13"/>
  <c r="T157" i="13"/>
  <c r="S157" i="13"/>
  <c r="R157" i="13"/>
  <c r="Q157" i="13"/>
  <c r="P157" i="13"/>
  <c r="O157" i="13"/>
  <c r="N157" i="13"/>
  <c r="L157" i="13"/>
  <c r="K157" i="13"/>
  <c r="J157" i="13"/>
  <c r="I157" i="13"/>
  <c r="H157" i="13"/>
  <c r="G157" i="13"/>
  <c r="F157" i="13"/>
  <c r="E157" i="13"/>
  <c r="D157" i="13"/>
  <c r="C157" i="13"/>
  <c r="X156" i="13"/>
  <c r="W156" i="13"/>
  <c r="V156" i="13"/>
  <c r="U156" i="13"/>
  <c r="T156" i="13"/>
  <c r="S156" i="13"/>
  <c r="R156" i="13"/>
  <c r="Q156" i="13"/>
  <c r="P156" i="13"/>
  <c r="O156" i="13"/>
  <c r="N156" i="13"/>
  <c r="L156" i="13"/>
  <c r="K156" i="13"/>
  <c r="J156" i="13"/>
  <c r="I156" i="13"/>
  <c r="H156" i="13"/>
  <c r="G156" i="13"/>
  <c r="F156" i="13"/>
  <c r="E156" i="13"/>
  <c r="D156" i="13"/>
  <c r="C156" i="13"/>
  <c r="U150" i="13"/>
  <c r="U158" i="13" s="1"/>
  <c r="Q150" i="13"/>
  <c r="Q158" i="13" s="1"/>
  <c r="C150" i="13"/>
  <c r="C158" i="13" s="1"/>
  <c r="U149" i="13"/>
  <c r="Q149" i="13"/>
  <c r="C149" i="13"/>
  <c r="U148" i="13"/>
  <c r="Q148" i="13"/>
  <c r="C148" i="13"/>
  <c r="U142" i="13"/>
  <c r="Q142" i="13"/>
  <c r="L142" i="13"/>
  <c r="K142" i="13"/>
  <c r="J142" i="13"/>
  <c r="I142" i="13"/>
  <c r="H142" i="13"/>
  <c r="G142" i="13"/>
  <c r="F142" i="13"/>
  <c r="E142" i="13"/>
  <c r="D142" i="13"/>
  <c r="C142" i="13"/>
  <c r="X110" i="13"/>
  <c r="W110" i="13"/>
  <c r="V110" i="13"/>
  <c r="T110" i="13"/>
  <c r="S110" i="13"/>
  <c r="R110" i="13"/>
  <c r="P110" i="13"/>
  <c r="O110" i="13"/>
  <c r="N110" i="13"/>
  <c r="L110" i="13"/>
  <c r="K110" i="13"/>
  <c r="J110" i="13"/>
  <c r="I110" i="13"/>
  <c r="H110" i="13"/>
  <c r="G110" i="13"/>
  <c r="F110" i="13"/>
  <c r="E110" i="13"/>
  <c r="D110" i="13"/>
  <c r="X109" i="13"/>
  <c r="W109" i="13"/>
  <c r="V109" i="13"/>
  <c r="U109" i="13"/>
  <c r="T109" i="13"/>
  <c r="S109" i="13"/>
  <c r="R109" i="13"/>
  <c r="Q109" i="13"/>
  <c r="P109" i="13"/>
  <c r="O109" i="13"/>
  <c r="N109" i="13"/>
  <c r="L109" i="13"/>
  <c r="K109" i="13"/>
  <c r="J109" i="13"/>
  <c r="I109" i="13"/>
  <c r="H109" i="13"/>
  <c r="G109" i="13"/>
  <c r="F109" i="13"/>
  <c r="E109" i="13"/>
  <c r="D109" i="13"/>
  <c r="C109" i="13"/>
  <c r="X108" i="13"/>
  <c r="W108" i="13"/>
  <c r="V108" i="13"/>
  <c r="U108" i="13"/>
  <c r="T108" i="13"/>
  <c r="S108" i="13"/>
  <c r="R108" i="13"/>
  <c r="Q108" i="13"/>
  <c r="P108" i="13"/>
  <c r="O108" i="13"/>
  <c r="N108" i="13"/>
  <c r="L108" i="13"/>
  <c r="K108" i="13"/>
  <c r="J108" i="13"/>
  <c r="I108" i="13"/>
  <c r="H108" i="13"/>
  <c r="G108" i="13"/>
  <c r="F108" i="13"/>
  <c r="E108" i="13"/>
  <c r="D108" i="13"/>
  <c r="C108" i="13"/>
  <c r="U100" i="13"/>
  <c r="U110" i="13" s="1"/>
  <c r="Q100" i="13"/>
  <c r="Q110" i="13" s="1"/>
  <c r="C100" i="13"/>
  <c r="C110" i="13" s="1"/>
  <c r="U99" i="13"/>
  <c r="Q99" i="13"/>
  <c r="C99" i="13"/>
  <c r="U98" i="13"/>
  <c r="Q98" i="13"/>
  <c r="C98" i="13"/>
  <c r="U92" i="13"/>
  <c r="Q92" i="13"/>
  <c r="L92" i="13"/>
  <c r="K92" i="13"/>
  <c r="J92" i="13"/>
  <c r="I92" i="13"/>
  <c r="H92" i="13"/>
  <c r="G92" i="13"/>
  <c r="F92" i="13"/>
  <c r="E92" i="13"/>
  <c r="D92" i="13"/>
  <c r="C92" i="13"/>
  <c r="X60" i="13"/>
  <c r="W60" i="13"/>
  <c r="V60" i="13"/>
  <c r="T60" i="13"/>
  <c r="S60" i="13"/>
  <c r="R60" i="13"/>
  <c r="P60" i="13"/>
  <c r="O60" i="13"/>
  <c r="N60" i="13"/>
  <c r="L60" i="13"/>
  <c r="K60" i="13"/>
  <c r="J60" i="13"/>
  <c r="I60" i="13"/>
  <c r="H60" i="13"/>
  <c r="G60" i="13"/>
  <c r="F60" i="13"/>
  <c r="E60" i="13"/>
  <c r="D60" i="13"/>
  <c r="X59" i="13"/>
  <c r="W59" i="13"/>
  <c r="V59" i="13"/>
  <c r="U59" i="13"/>
  <c r="T59" i="13"/>
  <c r="S59" i="13"/>
  <c r="R59" i="13"/>
  <c r="Q59" i="13"/>
  <c r="P59" i="13"/>
  <c r="O59" i="13"/>
  <c r="N59" i="13"/>
  <c r="L59" i="13"/>
  <c r="K59" i="13"/>
  <c r="J59" i="13"/>
  <c r="I59" i="13"/>
  <c r="H59" i="13"/>
  <c r="G59" i="13"/>
  <c r="F59" i="13"/>
  <c r="E59" i="13"/>
  <c r="D59" i="13"/>
  <c r="C59" i="13"/>
  <c r="X58" i="13"/>
  <c r="W58" i="13"/>
  <c r="V58" i="13"/>
  <c r="U58" i="13"/>
  <c r="T58" i="13"/>
  <c r="S58" i="13"/>
  <c r="R58" i="13"/>
  <c r="Q58" i="13"/>
  <c r="P58" i="13"/>
  <c r="O58" i="13"/>
  <c r="N58" i="13"/>
  <c r="L58" i="13"/>
  <c r="K58" i="13"/>
  <c r="J58" i="13"/>
  <c r="I58" i="13"/>
  <c r="H58" i="13"/>
  <c r="G58" i="13"/>
  <c r="F58" i="13"/>
  <c r="E58" i="13"/>
  <c r="D58" i="13"/>
  <c r="C58" i="13"/>
  <c r="U50" i="13"/>
  <c r="U60" i="13" s="1"/>
  <c r="Q50" i="13"/>
  <c r="Q60" i="13" s="1"/>
  <c r="C50" i="13"/>
  <c r="C60" i="13" s="1"/>
  <c r="U49" i="13"/>
  <c r="Q49" i="13"/>
  <c r="C49" i="13"/>
  <c r="U48" i="13"/>
  <c r="Q48" i="13"/>
  <c r="C48" i="13"/>
  <c r="U42" i="13"/>
  <c r="Q42" i="13"/>
  <c r="L42" i="13"/>
  <c r="K42" i="13"/>
  <c r="J42" i="13"/>
  <c r="I42" i="13"/>
  <c r="H42" i="13"/>
  <c r="G42" i="13"/>
  <c r="F42" i="13"/>
  <c r="E42" i="13"/>
  <c r="D42" i="13"/>
  <c r="C42" i="13"/>
  <c r="X16" i="10"/>
  <c r="W16" i="10"/>
  <c r="V16" i="10"/>
  <c r="T16" i="10"/>
  <c r="S16" i="10"/>
  <c r="R16" i="10"/>
  <c r="P16" i="10"/>
  <c r="O16" i="10"/>
  <c r="N16" i="10"/>
  <c r="L16" i="10"/>
  <c r="K16" i="10"/>
  <c r="J16" i="10"/>
  <c r="I16" i="10"/>
  <c r="H16" i="10"/>
  <c r="G16" i="10"/>
  <c r="F16" i="10"/>
  <c r="E16" i="10"/>
  <c r="D16" i="10"/>
  <c r="C16" i="10"/>
  <c r="X15" i="10"/>
  <c r="W15" i="10"/>
  <c r="V15" i="10"/>
  <c r="T15" i="10"/>
  <c r="S15" i="10"/>
  <c r="R15" i="10"/>
  <c r="P15" i="10"/>
  <c r="O15" i="10"/>
  <c r="N15" i="10"/>
  <c r="L15" i="10"/>
  <c r="K15" i="10"/>
  <c r="J15" i="10"/>
  <c r="I15" i="10"/>
  <c r="H15" i="10"/>
  <c r="G15" i="10"/>
  <c r="F15" i="10"/>
  <c r="E15" i="10"/>
  <c r="D15" i="10"/>
  <c r="C15" i="10"/>
  <c r="Q334" i="9"/>
  <c r="N334" i="9"/>
  <c r="N32" i="5" s="1"/>
  <c r="Q333" i="9"/>
  <c r="N333" i="9"/>
  <c r="N22" i="5" s="1"/>
  <c r="Q332" i="9"/>
  <c r="N332" i="9"/>
  <c r="N17" i="5" s="1"/>
  <c r="Q331" i="9"/>
  <c r="N331" i="9"/>
  <c r="N14" i="5" s="1"/>
  <c r="X74" i="8"/>
  <c r="W74" i="8"/>
  <c r="V74" i="8"/>
  <c r="T74" i="8"/>
  <c r="S74" i="8"/>
  <c r="R74" i="8"/>
  <c r="P74" i="8"/>
  <c r="O74" i="8"/>
  <c r="N74" i="8"/>
  <c r="X73" i="8"/>
  <c r="X75" i="8" s="1"/>
  <c r="W73" i="8"/>
  <c r="W75" i="8" s="1"/>
  <c r="V73" i="8"/>
  <c r="V75" i="8" s="1"/>
  <c r="T73" i="8"/>
  <c r="T75" i="8" s="1"/>
  <c r="S73" i="8"/>
  <c r="R73" i="8"/>
  <c r="P73" i="8"/>
  <c r="O73" i="8"/>
  <c r="N73" i="8"/>
  <c r="X72" i="8"/>
  <c r="W72" i="8"/>
  <c r="T72" i="8"/>
  <c r="S72" i="8"/>
  <c r="P72" i="8"/>
  <c r="O72" i="8"/>
  <c r="X71" i="8"/>
  <c r="W71" i="8"/>
  <c r="T71" i="8"/>
  <c r="S71" i="8"/>
  <c r="P71" i="8"/>
  <c r="O71" i="8"/>
  <c r="X70" i="8"/>
  <c r="W70" i="8"/>
  <c r="T70" i="8"/>
  <c r="S70" i="8"/>
  <c r="P70" i="8"/>
  <c r="O70" i="8"/>
  <c r="X69" i="8"/>
  <c r="W69" i="8"/>
  <c r="T69" i="8"/>
  <c r="S69" i="8"/>
  <c r="S76" i="8" s="1"/>
  <c r="P69" i="8"/>
  <c r="P76" i="8" s="1"/>
  <c r="O69" i="8"/>
  <c r="O76" i="8" s="1"/>
  <c r="X68" i="8"/>
  <c r="W68" i="8"/>
  <c r="T68" i="8"/>
  <c r="S68" i="8"/>
  <c r="P68" i="8"/>
  <c r="O68" i="8"/>
  <c r="L64" i="8"/>
  <c r="U64" i="8" s="1"/>
  <c r="K64" i="8"/>
  <c r="Q64" i="8" s="1"/>
  <c r="J64" i="8"/>
  <c r="I64" i="8"/>
  <c r="H64" i="8"/>
  <c r="G64" i="8"/>
  <c r="F64" i="8"/>
  <c r="E64" i="8"/>
  <c r="D64" i="8"/>
  <c r="C64" i="8"/>
  <c r="L62" i="8"/>
  <c r="U62" i="8" s="1"/>
  <c r="K62" i="8"/>
  <c r="Q62" i="8" s="1"/>
  <c r="J62" i="8"/>
  <c r="I62" i="8"/>
  <c r="H62" i="8"/>
  <c r="G62" i="8"/>
  <c r="F62" i="8"/>
  <c r="E62" i="8"/>
  <c r="D62" i="8"/>
  <c r="C62" i="8"/>
  <c r="L61" i="8"/>
  <c r="K61" i="8"/>
  <c r="J61" i="8"/>
  <c r="I61" i="8"/>
  <c r="H61" i="8"/>
  <c r="G61" i="8"/>
  <c r="F61" i="8"/>
  <c r="E61" i="8"/>
  <c r="D61" i="8"/>
  <c r="C61" i="8"/>
  <c r="U57" i="8"/>
  <c r="Q57" i="8"/>
  <c r="F57" i="8"/>
  <c r="E57" i="8"/>
  <c r="L56" i="8"/>
  <c r="K56" i="8"/>
  <c r="J56" i="8"/>
  <c r="J58" i="8" s="1"/>
  <c r="I56" i="8"/>
  <c r="I58" i="8" s="1"/>
  <c r="H56" i="8"/>
  <c r="H58" i="8" s="1"/>
  <c r="G56" i="8"/>
  <c r="G58" i="8" s="1"/>
  <c r="F56" i="8"/>
  <c r="F58" i="8" s="1"/>
  <c r="E56" i="8"/>
  <c r="E58" i="8" s="1"/>
  <c r="D56" i="8"/>
  <c r="D58" i="8" s="1"/>
  <c r="C56" i="8"/>
  <c r="C58" i="8" s="1"/>
  <c r="X55" i="8"/>
  <c r="W55" i="8"/>
  <c r="V55" i="8"/>
  <c r="T55" i="8"/>
  <c r="S55" i="8"/>
  <c r="R55" i="8"/>
  <c r="P55" i="8"/>
  <c r="O55" i="8"/>
  <c r="N55" i="8"/>
  <c r="L55" i="8"/>
  <c r="K55" i="8"/>
  <c r="J55" i="8"/>
  <c r="I55" i="8"/>
  <c r="H55" i="8"/>
  <c r="G55" i="8"/>
  <c r="F55" i="8"/>
  <c r="E55" i="8"/>
  <c r="D55" i="8"/>
  <c r="D59" i="8" s="1"/>
  <c r="D60" i="8" s="1"/>
  <c r="C55" i="8"/>
  <c r="C59" i="8" s="1"/>
  <c r="C60" i="8" s="1"/>
  <c r="L51" i="8"/>
  <c r="U51" i="8" s="1"/>
  <c r="K51" i="8"/>
  <c r="Q51" i="8" s="1"/>
  <c r="J51" i="8"/>
  <c r="I51" i="8"/>
  <c r="H51" i="8"/>
  <c r="G51" i="8"/>
  <c r="F51" i="8"/>
  <c r="E51" i="8"/>
  <c r="D51" i="8"/>
  <c r="C51" i="8"/>
  <c r="X48" i="8"/>
  <c r="W48" i="8"/>
  <c r="V48" i="8"/>
  <c r="T48" i="8"/>
  <c r="S48" i="8"/>
  <c r="R48" i="8"/>
  <c r="P48" i="8"/>
  <c r="O48" i="8"/>
  <c r="N48" i="8"/>
  <c r="L48" i="8"/>
  <c r="K48" i="8"/>
  <c r="J48" i="8"/>
  <c r="I48" i="8"/>
  <c r="H48" i="8"/>
  <c r="G48" i="8"/>
  <c r="F48" i="8"/>
  <c r="E48" i="8"/>
  <c r="D48" i="8"/>
  <c r="C48" i="8"/>
  <c r="L43" i="8"/>
  <c r="K43" i="8"/>
  <c r="J43" i="8"/>
  <c r="J44" i="8" s="1"/>
  <c r="I43" i="8"/>
  <c r="I44" i="8" s="1"/>
  <c r="H43" i="8"/>
  <c r="H44" i="8" s="1"/>
  <c r="X39" i="8"/>
  <c r="W39" i="8"/>
  <c r="V39" i="8"/>
  <c r="T39" i="8"/>
  <c r="S39" i="8"/>
  <c r="R39" i="8"/>
  <c r="P39" i="8"/>
  <c r="O39" i="8"/>
  <c r="N39" i="8"/>
  <c r="L39" i="8"/>
  <c r="K39" i="8"/>
  <c r="J39" i="8"/>
  <c r="J45" i="8" s="1"/>
  <c r="I39" i="8"/>
  <c r="I45" i="8" s="1"/>
  <c r="H39" i="8"/>
  <c r="H45" i="8" s="1"/>
  <c r="I46" i="8" s="1"/>
  <c r="G39" i="8"/>
  <c r="F39" i="8"/>
  <c r="E39" i="8"/>
  <c r="D39" i="8"/>
  <c r="C39" i="8"/>
  <c r="X38" i="8"/>
  <c r="W38" i="8"/>
  <c r="V38" i="8"/>
  <c r="T38" i="8"/>
  <c r="S38" i="8"/>
  <c r="R38" i="8"/>
  <c r="P38" i="8"/>
  <c r="O38" i="8"/>
  <c r="N38" i="8"/>
  <c r="L38" i="8"/>
  <c r="K38" i="8"/>
  <c r="J38" i="8"/>
  <c r="I38" i="8"/>
  <c r="H38" i="8"/>
  <c r="G38" i="8"/>
  <c r="F38" i="8"/>
  <c r="E38" i="8"/>
  <c r="D38" i="8"/>
  <c r="C38" i="8"/>
  <c r="X35" i="8"/>
  <c r="W35" i="8"/>
  <c r="V35" i="8"/>
  <c r="T35" i="8"/>
  <c r="S35" i="8"/>
  <c r="R35" i="8"/>
  <c r="P35" i="8"/>
  <c r="O35" i="8"/>
  <c r="N35" i="8"/>
  <c r="L35" i="8"/>
  <c r="K35" i="8"/>
  <c r="J35" i="8"/>
  <c r="I35" i="8"/>
  <c r="H35" i="8"/>
  <c r="G35" i="8"/>
  <c r="F35" i="8"/>
  <c r="E35" i="8"/>
  <c r="D35" i="8"/>
  <c r="C35" i="8"/>
  <c r="X32" i="8"/>
  <c r="W32" i="8"/>
  <c r="V32" i="8"/>
  <c r="U32" i="8"/>
  <c r="T32" i="8"/>
  <c r="S32" i="8"/>
  <c r="R32" i="8"/>
  <c r="L32" i="8"/>
  <c r="K32" i="8"/>
  <c r="J32" i="8"/>
  <c r="I32" i="8"/>
  <c r="H32" i="8"/>
  <c r="G32" i="8"/>
  <c r="F32" i="8"/>
  <c r="E32" i="8"/>
  <c r="D32" i="8"/>
  <c r="L31" i="8"/>
  <c r="K31" i="8"/>
  <c r="J31" i="8"/>
  <c r="I31" i="8"/>
  <c r="H31" i="8"/>
  <c r="G31" i="8"/>
  <c r="F31" i="8"/>
  <c r="E31" i="8"/>
  <c r="D31" i="8"/>
  <c r="C31" i="8"/>
  <c r="L30" i="8"/>
  <c r="K30" i="8"/>
  <c r="J30" i="8"/>
  <c r="I30" i="8"/>
  <c r="H30" i="8"/>
  <c r="G30" i="8"/>
  <c r="F30" i="8"/>
  <c r="E30" i="8"/>
  <c r="D30" i="8"/>
  <c r="C30" i="8"/>
  <c r="L24" i="8"/>
  <c r="L29" i="8" s="1"/>
  <c r="K24" i="8"/>
  <c r="K29" i="8" s="1"/>
  <c r="J24" i="8"/>
  <c r="J29" i="8" s="1"/>
  <c r="I24" i="8"/>
  <c r="I29" i="8" s="1"/>
  <c r="H24" i="8"/>
  <c r="H29" i="8" s="1"/>
  <c r="G24" i="8"/>
  <c r="G29" i="8" s="1"/>
  <c r="F24" i="8"/>
  <c r="F29" i="8" s="1"/>
  <c r="E24" i="8"/>
  <c r="E29" i="8" s="1"/>
  <c r="D24" i="8"/>
  <c r="D29" i="8" s="1"/>
  <c r="C24" i="8"/>
  <c r="C29" i="8" s="1"/>
  <c r="L23" i="8"/>
  <c r="K23" i="8"/>
  <c r="J23" i="8"/>
  <c r="I23" i="8"/>
  <c r="H23" i="8"/>
  <c r="G23" i="8"/>
  <c r="F23" i="8"/>
  <c r="E23" i="8"/>
  <c r="D23" i="8"/>
  <c r="C23" i="8"/>
  <c r="L19" i="8"/>
  <c r="L20" i="8" s="1"/>
  <c r="K19" i="8"/>
  <c r="K20" i="8" s="1"/>
  <c r="J19" i="8"/>
  <c r="J20" i="8" s="1"/>
  <c r="I19" i="8"/>
  <c r="I20" i="8" s="1"/>
  <c r="H19" i="8"/>
  <c r="H20" i="8" s="1"/>
  <c r="G19" i="8"/>
  <c r="G20" i="8" s="1"/>
  <c r="F19" i="8"/>
  <c r="F20" i="8" s="1"/>
  <c r="E19" i="8"/>
  <c r="E20" i="8" s="1"/>
  <c r="D19" i="8"/>
  <c r="D20" i="8" s="1"/>
  <c r="C19" i="8"/>
  <c r="C20" i="8" s="1"/>
  <c r="X18" i="8"/>
  <c r="W18" i="8"/>
  <c r="V18" i="8"/>
  <c r="T18" i="8"/>
  <c r="S18" i="8"/>
  <c r="R18" i="8"/>
  <c r="P18" i="8"/>
  <c r="O18" i="8"/>
  <c r="N18" i="8"/>
  <c r="L18" i="8"/>
  <c r="K18" i="8"/>
  <c r="J18" i="8"/>
  <c r="I18" i="8"/>
  <c r="H18" i="8"/>
  <c r="G18" i="8"/>
  <c r="F18" i="8"/>
  <c r="E18" i="8"/>
  <c r="D18" i="8"/>
  <c r="C18" i="8"/>
  <c r="X17" i="8"/>
  <c r="W17" i="8"/>
  <c r="V17" i="8"/>
  <c r="T17" i="8"/>
  <c r="S17" i="8"/>
  <c r="R17" i="8"/>
  <c r="P17" i="8"/>
  <c r="O17" i="8"/>
  <c r="N17" i="8"/>
  <c r="L17" i="8"/>
  <c r="K17" i="8"/>
  <c r="J17" i="8"/>
  <c r="I17" i="8"/>
  <c r="H17" i="8"/>
  <c r="G17" i="8"/>
  <c r="F17" i="8"/>
  <c r="E17" i="8"/>
  <c r="D17" i="8"/>
  <c r="C17" i="8"/>
  <c r="X16" i="8"/>
  <c r="W16" i="8"/>
  <c r="V16" i="8"/>
  <c r="T16" i="8"/>
  <c r="S16" i="8"/>
  <c r="R16" i="8"/>
  <c r="P16" i="8"/>
  <c r="O16" i="8"/>
  <c r="N16" i="8"/>
  <c r="L16" i="8"/>
  <c r="K16" i="8"/>
  <c r="J16" i="8"/>
  <c r="I16" i="8"/>
  <c r="H16" i="8"/>
  <c r="G16" i="8"/>
  <c r="F16" i="8"/>
  <c r="E16" i="8"/>
  <c r="D16" i="8"/>
  <c r="C16" i="8"/>
  <c r="X15" i="8"/>
  <c r="W15" i="8"/>
  <c r="V15" i="8"/>
  <c r="T15" i="8"/>
  <c r="S15" i="8"/>
  <c r="R15" i="8"/>
  <c r="P15" i="8"/>
  <c r="O15" i="8"/>
  <c r="N15" i="8"/>
  <c r="L15" i="8"/>
  <c r="K15" i="8"/>
  <c r="J15" i="8"/>
  <c r="I15" i="8"/>
  <c r="H15" i="8"/>
  <c r="G15" i="8"/>
  <c r="F15" i="8"/>
  <c r="E15" i="8"/>
  <c r="D15" i="8"/>
  <c r="C15" i="8"/>
  <c r="X151" i="7"/>
  <c r="W151" i="7"/>
  <c r="V151" i="7"/>
  <c r="T151" i="7"/>
  <c r="S151" i="7"/>
  <c r="R151" i="7"/>
  <c r="P151" i="7"/>
  <c r="O151" i="7"/>
  <c r="N151" i="7"/>
  <c r="X150" i="7"/>
  <c r="W150" i="7"/>
  <c r="V150" i="7"/>
  <c r="T150" i="7"/>
  <c r="S150" i="7"/>
  <c r="R150" i="7"/>
  <c r="P150" i="7"/>
  <c r="O150" i="7"/>
  <c r="N150" i="7"/>
  <c r="X149" i="7"/>
  <c r="W149" i="7"/>
  <c r="V149" i="7"/>
  <c r="T149" i="7"/>
  <c r="S149" i="7"/>
  <c r="R149" i="7"/>
  <c r="P149" i="7"/>
  <c r="O149" i="7"/>
  <c r="N149" i="7"/>
  <c r="X148" i="7"/>
  <c r="W148" i="7"/>
  <c r="V148" i="7"/>
  <c r="T148" i="7"/>
  <c r="S148" i="7"/>
  <c r="R148" i="7"/>
  <c r="P148" i="7"/>
  <c r="O148" i="7"/>
  <c r="N148" i="7"/>
  <c r="X146" i="7"/>
  <c r="W146" i="7"/>
  <c r="V146" i="7"/>
  <c r="T146" i="7"/>
  <c r="S146" i="7"/>
  <c r="R146" i="7"/>
  <c r="P146" i="7"/>
  <c r="O146" i="7"/>
  <c r="N146" i="7"/>
  <c r="X145" i="7"/>
  <c r="W145" i="7"/>
  <c r="V145" i="7"/>
  <c r="T145" i="7"/>
  <c r="S145" i="7"/>
  <c r="R145" i="7"/>
  <c r="P145" i="7"/>
  <c r="O145" i="7"/>
  <c r="N145" i="7"/>
  <c r="X144" i="7"/>
  <c r="W144" i="7"/>
  <c r="V144" i="7"/>
  <c r="T144" i="7"/>
  <c r="S144" i="7"/>
  <c r="R144" i="7"/>
  <c r="P144" i="7"/>
  <c r="O144" i="7"/>
  <c r="N144" i="7"/>
  <c r="X143" i="7"/>
  <c r="W143" i="7"/>
  <c r="V143" i="7"/>
  <c r="T143" i="7"/>
  <c r="S143" i="7"/>
  <c r="R143" i="7"/>
  <c r="P143" i="7"/>
  <c r="O143" i="7"/>
  <c r="N143" i="7"/>
  <c r="X142" i="7"/>
  <c r="W142" i="7"/>
  <c r="V142" i="7"/>
  <c r="T142" i="7"/>
  <c r="S142" i="7"/>
  <c r="R142" i="7"/>
  <c r="P142" i="7"/>
  <c r="O142" i="7"/>
  <c r="N142" i="7"/>
  <c r="X141" i="7"/>
  <c r="W141" i="7"/>
  <c r="V141" i="7"/>
  <c r="T141" i="7"/>
  <c r="S141" i="7"/>
  <c r="R141" i="7"/>
  <c r="P141" i="7"/>
  <c r="O141" i="7"/>
  <c r="N141" i="7"/>
  <c r="X140" i="7"/>
  <c r="W140" i="7"/>
  <c r="V140" i="7"/>
  <c r="T140" i="7"/>
  <c r="S140" i="7"/>
  <c r="R140" i="7"/>
  <c r="P140" i="7"/>
  <c r="O140" i="7"/>
  <c r="N140" i="7"/>
  <c r="X139" i="7"/>
  <c r="W139" i="7"/>
  <c r="V139" i="7"/>
  <c r="T139" i="7"/>
  <c r="S139" i="7"/>
  <c r="R139" i="7"/>
  <c r="P139" i="7"/>
  <c r="O139" i="7"/>
  <c r="N139" i="7"/>
  <c r="X138" i="7"/>
  <c r="W138" i="7"/>
  <c r="V138" i="7"/>
  <c r="T138" i="7"/>
  <c r="S138" i="7"/>
  <c r="R138" i="7"/>
  <c r="P138" i="7"/>
  <c r="O138" i="7"/>
  <c r="N138" i="7"/>
  <c r="X137" i="7"/>
  <c r="W137" i="7"/>
  <c r="V137" i="7"/>
  <c r="T137" i="7"/>
  <c r="S137" i="7"/>
  <c r="R137" i="7"/>
  <c r="P137" i="7"/>
  <c r="O137" i="7"/>
  <c r="N137" i="7"/>
  <c r="X136" i="7"/>
  <c r="W136" i="7"/>
  <c r="V136" i="7"/>
  <c r="U136" i="7"/>
  <c r="T136" i="7"/>
  <c r="S136" i="7"/>
  <c r="R136" i="7"/>
  <c r="Q136" i="7"/>
  <c r="P136" i="7"/>
  <c r="O136" i="7"/>
  <c r="N136" i="7"/>
  <c r="X135" i="7"/>
  <c r="W135" i="7"/>
  <c r="V135" i="7"/>
  <c r="T135" i="7"/>
  <c r="S135" i="7"/>
  <c r="R135" i="7"/>
  <c r="P135" i="7"/>
  <c r="O135" i="7"/>
  <c r="N135" i="7"/>
  <c r="X134" i="7"/>
  <c r="W134" i="7"/>
  <c r="V134" i="7"/>
  <c r="T134" i="7"/>
  <c r="S134" i="7"/>
  <c r="R134" i="7"/>
  <c r="P134" i="7"/>
  <c r="O134" i="7"/>
  <c r="N134" i="7"/>
  <c r="X132" i="7"/>
  <c r="W132" i="7"/>
  <c r="V132" i="7"/>
  <c r="T132" i="7"/>
  <c r="S132" i="7"/>
  <c r="R132" i="7"/>
  <c r="P132" i="7"/>
  <c r="O132" i="7"/>
  <c r="N132" i="7"/>
  <c r="X131" i="7"/>
  <c r="W131" i="7"/>
  <c r="V131" i="7"/>
  <c r="T131" i="7"/>
  <c r="S131" i="7"/>
  <c r="R131" i="7"/>
  <c r="P131" i="7"/>
  <c r="O131" i="7"/>
  <c r="N131" i="7"/>
  <c r="X130" i="7"/>
  <c r="W130" i="7"/>
  <c r="V130" i="7"/>
  <c r="T130" i="7"/>
  <c r="S130" i="7"/>
  <c r="R130" i="7"/>
  <c r="P130" i="7"/>
  <c r="O130" i="7"/>
  <c r="N130" i="7"/>
  <c r="X129" i="7"/>
  <c r="X31" i="8" s="1"/>
  <c r="W129" i="7"/>
  <c r="W31" i="8" s="1"/>
  <c r="V129" i="7"/>
  <c r="V31" i="8" s="1"/>
  <c r="T129" i="7"/>
  <c r="T31" i="8" s="1"/>
  <c r="S129" i="7"/>
  <c r="S31" i="8" s="1"/>
  <c r="R129" i="7"/>
  <c r="R31" i="8" s="1"/>
  <c r="P129" i="7"/>
  <c r="P31" i="8" s="1"/>
  <c r="O129" i="7"/>
  <c r="O31" i="8" s="1"/>
  <c r="N129" i="7"/>
  <c r="N31" i="8" s="1"/>
  <c r="X128" i="7"/>
  <c r="X30" i="8" s="1"/>
  <c r="W128" i="7"/>
  <c r="W30" i="8" s="1"/>
  <c r="V128" i="7"/>
  <c r="V30" i="8" s="1"/>
  <c r="T128" i="7"/>
  <c r="T30" i="8" s="1"/>
  <c r="S128" i="7"/>
  <c r="S30" i="8" s="1"/>
  <c r="R128" i="7"/>
  <c r="R30" i="8" s="1"/>
  <c r="P128" i="7"/>
  <c r="P30" i="8" s="1"/>
  <c r="O128" i="7"/>
  <c r="O30" i="8" s="1"/>
  <c r="N128" i="7"/>
  <c r="N30" i="8" s="1"/>
  <c r="X126" i="7"/>
  <c r="W126" i="7"/>
  <c r="V126" i="7"/>
  <c r="T126" i="7"/>
  <c r="S126" i="7"/>
  <c r="R126" i="7"/>
  <c r="P126" i="7"/>
  <c r="O126" i="7"/>
  <c r="N126" i="7"/>
  <c r="X125" i="7"/>
  <c r="W125" i="7"/>
  <c r="V125" i="7"/>
  <c r="T125" i="7"/>
  <c r="S125" i="7"/>
  <c r="R125" i="7"/>
  <c r="P125" i="7"/>
  <c r="O125" i="7"/>
  <c r="N125" i="7"/>
  <c r="X124" i="7"/>
  <c r="W124" i="7"/>
  <c r="V124" i="7"/>
  <c r="T124" i="7"/>
  <c r="S124" i="7"/>
  <c r="R124" i="7"/>
  <c r="P124" i="7"/>
  <c r="O124" i="7"/>
  <c r="N124" i="7"/>
  <c r="X123" i="7"/>
  <c r="W123" i="7"/>
  <c r="V123" i="7"/>
  <c r="T123" i="7"/>
  <c r="S123" i="7"/>
  <c r="R123" i="7"/>
  <c r="P123" i="7"/>
  <c r="O123" i="7"/>
  <c r="N123" i="7"/>
  <c r="X122" i="7"/>
  <c r="W122" i="7"/>
  <c r="V122" i="7"/>
  <c r="T122" i="7"/>
  <c r="S122" i="7"/>
  <c r="R122" i="7"/>
  <c r="P122" i="7"/>
  <c r="O122" i="7"/>
  <c r="N122" i="7"/>
  <c r="X121" i="7"/>
  <c r="W121" i="7"/>
  <c r="V121" i="7"/>
  <c r="T121" i="7"/>
  <c r="S121" i="7"/>
  <c r="R121" i="7"/>
  <c r="P121" i="7"/>
  <c r="O121" i="7"/>
  <c r="N121" i="7"/>
  <c r="X120" i="7"/>
  <c r="W120" i="7"/>
  <c r="V120" i="7"/>
  <c r="T120" i="7"/>
  <c r="S120" i="7"/>
  <c r="R120" i="7"/>
  <c r="P120" i="7"/>
  <c r="O120" i="7"/>
  <c r="N120" i="7"/>
  <c r="X119" i="7"/>
  <c r="W119" i="7"/>
  <c r="V119" i="7"/>
  <c r="T119" i="7"/>
  <c r="S119" i="7"/>
  <c r="R119" i="7"/>
  <c r="P119" i="7"/>
  <c r="O119" i="7"/>
  <c r="N119" i="7"/>
  <c r="X118" i="7"/>
  <c r="W118" i="7"/>
  <c r="V118" i="7"/>
  <c r="T118" i="7"/>
  <c r="S118" i="7"/>
  <c r="R118" i="7"/>
  <c r="P118" i="7"/>
  <c r="O118" i="7"/>
  <c r="N118" i="7"/>
  <c r="X117" i="7"/>
  <c r="W117" i="7"/>
  <c r="V117" i="7"/>
  <c r="T117" i="7"/>
  <c r="S117" i="7"/>
  <c r="R117" i="7"/>
  <c r="P117" i="7"/>
  <c r="O117" i="7"/>
  <c r="N117" i="7"/>
  <c r="X116" i="7"/>
  <c r="W116" i="7"/>
  <c r="V116" i="7"/>
  <c r="T116" i="7"/>
  <c r="S116" i="7"/>
  <c r="R116" i="7"/>
  <c r="P116" i="7"/>
  <c r="O116" i="7"/>
  <c r="N116" i="7"/>
  <c r="X115" i="7"/>
  <c r="W115" i="7"/>
  <c r="V115" i="7"/>
  <c r="T115" i="7"/>
  <c r="S115" i="7"/>
  <c r="R115" i="7"/>
  <c r="P115" i="7"/>
  <c r="O115" i="7"/>
  <c r="N115" i="7"/>
  <c r="X114" i="7"/>
  <c r="W114" i="7"/>
  <c r="V114" i="7"/>
  <c r="T114" i="7"/>
  <c r="S114" i="7"/>
  <c r="R114" i="7"/>
  <c r="P114" i="7"/>
  <c r="O114" i="7"/>
  <c r="N114" i="7"/>
  <c r="X112" i="7"/>
  <c r="X23" i="8" s="1"/>
  <c r="W112" i="7"/>
  <c r="W23" i="8" s="1"/>
  <c r="V112" i="7"/>
  <c r="V23" i="8" s="1"/>
  <c r="T112" i="7"/>
  <c r="T23" i="8" s="1"/>
  <c r="S112" i="7"/>
  <c r="S23" i="8" s="1"/>
  <c r="R112" i="7"/>
  <c r="R23" i="8" s="1"/>
  <c r="P112" i="7"/>
  <c r="P23" i="8" s="1"/>
  <c r="O112" i="7"/>
  <c r="O23" i="8" s="1"/>
  <c r="N112" i="7"/>
  <c r="N23" i="8" s="1"/>
  <c r="X111" i="7"/>
  <c r="W111" i="7"/>
  <c r="V111" i="7"/>
  <c r="T111" i="7"/>
  <c r="S111" i="7"/>
  <c r="R111" i="7"/>
  <c r="P111" i="7"/>
  <c r="O111" i="7"/>
  <c r="N111" i="7"/>
  <c r="X110" i="7"/>
  <c r="W110" i="7"/>
  <c r="V110" i="7"/>
  <c r="T110" i="7"/>
  <c r="S110" i="7"/>
  <c r="R110" i="7"/>
  <c r="P110" i="7"/>
  <c r="O110" i="7"/>
  <c r="N110" i="7"/>
  <c r="X109" i="7"/>
  <c r="W109" i="7"/>
  <c r="V109" i="7"/>
  <c r="T109" i="7"/>
  <c r="S109" i="7"/>
  <c r="R109" i="7"/>
  <c r="P109" i="7"/>
  <c r="O109" i="7"/>
  <c r="N109" i="7"/>
  <c r="X108" i="7"/>
  <c r="W108" i="7"/>
  <c r="V108" i="7"/>
  <c r="T108" i="7"/>
  <c r="S108" i="7"/>
  <c r="R108" i="7"/>
  <c r="P108" i="7"/>
  <c r="O108" i="7"/>
  <c r="N108" i="7"/>
  <c r="X107" i="7"/>
  <c r="W107" i="7"/>
  <c r="V107" i="7"/>
  <c r="T107" i="7"/>
  <c r="S107" i="7"/>
  <c r="R107" i="7"/>
  <c r="P107" i="7"/>
  <c r="O107" i="7"/>
  <c r="N107" i="7"/>
  <c r="X106" i="7"/>
  <c r="W106" i="7"/>
  <c r="V106" i="7"/>
  <c r="T106" i="7"/>
  <c r="S106" i="7"/>
  <c r="R106" i="7"/>
  <c r="P106" i="7"/>
  <c r="O106" i="7"/>
  <c r="N106" i="7"/>
  <c r="X105" i="7"/>
  <c r="W105" i="7"/>
  <c r="V105" i="7"/>
  <c r="T105" i="7"/>
  <c r="S105" i="7"/>
  <c r="R105" i="7"/>
  <c r="P105" i="7"/>
  <c r="O105" i="7"/>
  <c r="N105" i="7"/>
  <c r="X104" i="7"/>
  <c r="W104" i="7"/>
  <c r="V104" i="7"/>
  <c r="T104" i="7"/>
  <c r="S104" i="7"/>
  <c r="R104" i="7"/>
  <c r="P104" i="7"/>
  <c r="O104" i="7"/>
  <c r="N104" i="7"/>
  <c r="X103" i="7"/>
  <c r="W103" i="7"/>
  <c r="V103" i="7"/>
  <c r="T103" i="7"/>
  <c r="S103" i="7"/>
  <c r="R103" i="7"/>
  <c r="P103" i="7"/>
  <c r="O103" i="7"/>
  <c r="N103" i="7"/>
  <c r="X102" i="7"/>
  <c r="W102" i="7"/>
  <c r="V102" i="7"/>
  <c r="T102" i="7"/>
  <c r="S102" i="7"/>
  <c r="R102" i="7"/>
  <c r="P102" i="7"/>
  <c r="O102" i="7"/>
  <c r="N102" i="7"/>
  <c r="X101" i="7"/>
  <c r="W101" i="7"/>
  <c r="V101" i="7"/>
  <c r="T101" i="7"/>
  <c r="S101" i="7"/>
  <c r="R101" i="7"/>
  <c r="P101" i="7"/>
  <c r="O101" i="7"/>
  <c r="N101" i="7"/>
  <c r="X100" i="7"/>
  <c r="W100" i="7"/>
  <c r="V100" i="7"/>
  <c r="T100" i="7"/>
  <c r="S100" i="7"/>
  <c r="R100" i="7"/>
  <c r="P100" i="7"/>
  <c r="O100" i="7"/>
  <c r="N100" i="7"/>
  <c r="X99" i="7"/>
  <c r="W99" i="7"/>
  <c r="V99" i="7"/>
  <c r="T99" i="7"/>
  <c r="S99" i="7"/>
  <c r="R99" i="7"/>
  <c r="P99" i="7"/>
  <c r="O99" i="7"/>
  <c r="N99" i="7"/>
  <c r="X98" i="7"/>
  <c r="W98" i="7"/>
  <c r="V98" i="7"/>
  <c r="T98" i="7"/>
  <c r="S98" i="7"/>
  <c r="R98" i="7"/>
  <c r="P98" i="7"/>
  <c r="O98" i="7"/>
  <c r="N98" i="7"/>
  <c r="U93" i="7"/>
  <c r="U151" i="7" s="1"/>
  <c r="Q93" i="7"/>
  <c r="Q151" i="7" s="1"/>
  <c r="U92" i="7"/>
  <c r="U150" i="7" s="1"/>
  <c r="Q92" i="7"/>
  <c r="Q150" i="7" s="1"/>
  <c r="U91" i="7"/>
  <c r="U148" i="7" s="1"/>
  <c r="Q91" i="7"/>
  <c r="Q148" i="7" s="1"/>
  <c r="U89" i="7"/>
  <c r="Q89" i="7"/>
  <c r="U88" i="7"/>
  <c r="Q88" i="7"/>
  <c r="U87" i="7"/>
  <c r="U135" i="7" s="1"/>
  <c r="Q87" i="7"/>
  <c r="Q135" i="7" s="1"/>
  <c r="U86" i="7"/>
  <c r="U134" i="7" s="1"/>
  <c r="Q86" i="7"/>
  <c r="Q134" i="7" s="1"/>
  <c r="U84" i="7"/>
  <c r="U132" i="7" s="1"/>
  <c r="Q84" i="7"/>
  <c r="Q132" i="7" s="1"/>
  <c r="U83" i="7"/>
  <c r="Q83" i="7"/>
  <c r="U82" i="7"/>
  <c r="U141" i="7" s="1"/>
  <c r="Q82" i="7"/>
  <c r="Q141" i="7" s="1"/>
  <c r="U81" i="7"/>
  <c r="Q81" i="7"/>
  <c r="U80" i="7"/>
  <c r="Q80" i="7"/>
  <c r="U79" i="7"/>
  <c r="Q79" i="7"/>
  <c r="U78" i="7"/>
  <c r="Q78" i="7"/>
  <c r="U77" i="7"/>
  <c r="Q77" i="7"/>
  <c r="U76" i="7"/>
  <c r="U131" i="7" s="1"/>
  <c r="Q76" i="7"/>
  <c r="Q131" i="7" s="1"/>
  <c r="U75" i="7"/>
  <c r="Q75" i="7"/>
  <c r="U74" i="7"/>
  <c r="U130" i="7" s="1"/>
  <c r="Q74" i="7"/>
  <c r="Q130" i="7" s="1"/>
  <c r="U73" i="7"/>
  <c r="Q73" i="7"/>
  <c r="U72" i="7"/>
  <c r="U129" i="7" s="1"/>
  <c r="U31" i="8" s="1"/>
  <c r="Q72" i="7"/>
  <c r="Q129" i="7" s="1"/>
  <c r="Q31" i="8" s="1"/>
  <c r="U71" i="7"/>
  <c r="U128" i="7" s="1"/>
  <c r="U30" i="8" s="1"/>
  <c r="Q71" i="7"/>
  <c r="Q128" i="7" s="1"/>
  <c r="Q30" i="8" s="1"/>
  <c r="U69" i="7"/>
  <c r="U126" i="7" s="1"/>
  <c r="Q69" i="7"/>
  <c r="Q126" i="7" s="1"/>
  <c r="U68" i="7"/>
  <c r="U125" i="7" s="1"/>
  <c r="Q68" i="7"/>
  <c r="Q125" i="7" s="1"/>
  <c r="U67" i="7"/>
  <c r="U124" i="7" s="1"/>
  <c r="Q67" i="7"/>
  <c r="Q124" i="7" s="1"/>
  <c r="U66" i="7"/>
  <c r="Q66" i="7"/>
  <c r="U65" i="7"/>
  <c r="U123" i="7" s="1"/>
  <c r="Q65" i="7"/>
  <c r="Q123" i="7" s="1"/>
  <c r="U64" i="7"/>
  <c r="U122" i="7" s="1"/>
  <c r="Q64" i="7"/>
  <c r="Q122" i="7" s="1"/>
  <c r="U63" i="7"/>
  <c r="U121" i="7" s="1"/>
  <c r="Q63" i="7"/>
  <c r="Q121" i="7" s="1"/>
  <c r="U62" i="7"/>
  <c r="U144" i="7" s="1"/>
  <c r="Q62" i="7"/>
  <c r="Q144" i="7" s="1"/>
  <c r="U61" i="7"/>
  <c r="Q61" i="7"/>
  <c r="U60" i="7"/>
  <c r="U143" i="7" s="1"/>
  <c r="Q60" i="7"/>
  <c r="Q143" i="7" s="1"/>
  <c r="U59" i="7"/>
  <c r="Q59" i="7"/>
  <c r="U58" i="7"/>
  <c r="Q58" i="7"/>
  <c r="U57" i="7"/>
  <c r="Q57" i="7"/>
  <c r="U56" i="7"/>
  <c r="Q56" i="7"/>
  <c r="U55" i="7"/>
  <c r="U120" i="7" s="1"/>
  <c r="Q55" i="7"/>
  <c r="Q120" i="7" s="1"/>
  <c r="U54" i="7"/>
  <c r="U119" i="7" s="1"/>
  <c r="Q54" i="7"/>
  <c r="Q119" i="7" s="1"/>
  <c r="U53" i="7"/>
  <c r="U118" i="7" s="1"/>
  <c r="Q53" i="7"/>
  <c r="Q118" i="7" s="1"/>
  <c r="U52" i="7"/>
  <c r="U117" i="7" s="1"/>
  <c r="Q52" i="7"/>
  <c r="Q117" i="7" s="1"/>
  <c r="U51" i="7"/>
  <c r="U116" i="7" s="1"/>
  <c r="Q51" i="7"/>
  <c r="Q116" i="7" s="1"/>
  <c r="U50" i="7"/>
  <c r="Q50" i="7"/>
  <c r="U49" i="7"/>
  <c r="U115" i="7" s="1"/>
  <c r="Q49" i="7"/>
  <c r="Q115" i="7" s="1"/>
  <c r="U48" i="7"/>
  <c r="U114" i="7" s="1"/>
  <c r="Q48" i="7"/>
  <c r="U46" i="7"/>
  <c r="U112" i="7" s="1"/>
  <c r="U23" i="8" s="1"/>
  <c r="Q46" i="7"/>
  <c r="U45" i="7"/>
  <c r="Q45" i="7"/>
  <c r="U44" i="7"/>
  <c r="U149" i="7" s="1"/>
  <c r="Q44" i="7"/>
  <c r="Q149" i="7" s="1"/>
  <c r="U43" i="7"/>
  <c r="U146" i="7" s="1"/>
  <c r="Q43" i="7"/>
  <c r="Q146" i="7" s="1"/>
  <c r="U42" i="7"/>
  <c r="U145" i="7" s="1"/>
  <c r="Q42" i="7"/>
  <c r="Q145" i="7" s="1"/>
  <c r="U41" i="7"/>
  <c r="Q41" i="7"/>
  <c r="U40" i="7"/>
  <c r="U142" i="7" s="1"/>
  <c r="Q40" i="7"/>
  <c r="Q142" i="7" s="1"/>
  <c r="U39" i="7"/>
  <c r="Q39" i="7"/>
  <c r="U38" i="7"/>
  <c r="Q38" i="7"/>
  <c r="U37" i="7"/>
  <c r="U140" i="7" s="1"/>
  <c r="Q37" i="7"/>
  <c r="Q140" i="7" s="1"/>
  <c r="U36" i="7"/>
  <c r="U139" i="7" s="1"/>
  <c r="Q36" i="7"/>
  <c r="Q139" i="7" s="1"/>
  <c r="U35" i="7"/>
  <c r="U138" i="7" s="1"/>
  <c r="Q35" i="7"/>
  <c r="Q138" i="7" s="1"/>
  <c r="U34" i="7"/>
  <c r="Q34" i="7"/>
  <c r="U33" i="7"/>
  <c r="Q33" i="7"/>
  <c r="U32" i="7"/>
  <c r="Q32" i="7"/>
  <c r="U31" i="7"/>
  <c r="Q31" i="7"/>
  <c r="U30" i="7"/>
  <c r="Q30" i="7"/>
  <c r="U29" i="7"/>
  <c r="Q29" i="7"/>
  <c r="U28" i="7"/>
  <c r="Q28" i="7"/>
  <c r="U27" i="7"/>
  <c r="U111" i="7" s="1"/>
  <c r="Q27" i="7"/>
  <c r="Q111" i="7" s="1"/>
  <c r="U26" i="7"/>
  <c r="U110" i="7" s="1"/>
  <c r="Q26" i="7"/>
  <c r="Q110" i="7" s="1"/>
  <c r="U25" i="7"/>
  <c r="U109" i="7" s="1"/>
  <c r="Q25" i="7"/>
  <c r="Q109" i="7" s="1"/>
  <c r="U24" i="7"/>
  <c r="U108" i="7" s="1"/>
  <c r="Q24" i="7"/>
  <c r="Q108" i="7" s="1"/>
  <c r="U23" i="7"/>
  <c r="U107" i="7" s="1"/>
  <c r="Q23" i="7"/>
  <c r="Q107" i="7" s="1"/>
  <c r="U22" i="7"/>
  <c r="U106" i="7" s="1"/>
  <c r="Q22" i="7"/>
  <c r="Q106" i="7" s="1"/>
  <c r="U21" i="7"/>
  <c r="U105" i="7" s="1"/>
  <c r="Q21" i="7"/>
  <c r="Q105" i="7" s="1"/>
  <c r="U20" i="7"/>
  <c r="U104" i="7" s="1"/>
  <c r="Q20" i="7"/>
  <c r="Q104" i="7" s="1"/>
  <c r="U19" i="7"/>
  <c r="U103" i="7" s="1"/>
  <c r="Q19" i="7"/>
  <c r="Q103" i="7" s="1"/>
  <c r="U18" i="7"/>
  <c r="U102" i="7" s="1"/>
  <c r="Q18" i="7"/>
  <c r="Q102" i="7" s="1"/>
  <c r="U17" i="7"/>
  <c r="U101" i="7" s="1"/>
  <c r="Q17" i="7"/>
  <c r="Q101" i="7" s="1"/>
  <c r="U16" i="7"/>
  <c r="U100" i="7" s="1"/>
  <c r="Q16" i="7"/>
  <c r="Q100" i="7" s="1"/>
  <c r="U15" i="7"/>
  <c r="U99" i="7" s="1"/>
  <c r="Q15" i="7"/>
  <c r="Q99" i="7" s="1"/>
  <c r="U14" i="7"/>
  <c r="U98" i="7" s="1"/>
  <c r="Q14" i="7"/>
  <c r="Q98" i="7" s="1"/>
  <c r="U58" i="6"/>
  <c r="Q58" i="6"/>
  <c r="U57" i="6"/>
  <c r="Q57" i="6"/>
  <c r="U56" i="6"/>
  <c r="Q56" i="6"/>
  <c r="U55" i="6"/>
  <c r="Q55" i="6"/>
  <c r="U54" i="6"/>
  <c r="Q54" i="6"/>
  <c r="U53" i="6"/>
  <c r="Q53" i="6"/>
  <c r="U52" i="6"/>
  <c r="Q52" i="6"/>
  <c r="U51" i="6"/>
  <c r="Q51" i="6"/>
  <c r="U50" i="6"/>
  <c r="Q50" i="6"/>
  <c r="U49" i="6"/>
  <c r="Q49" i="6"/>
  <c r="U48" i="6"/>
  <c r="Q48" i="6"/>
  <c r="U46" i="6"/>
  <c r="Q46" i="6"/>
  <c r="U45" i="6"/>
  <c r="Q45" i="6"/>
  <c r="U44" i="6"/>
  <c r="Q44" i="6"/>
  <c r="U43" i="6"/>
  <c r="U16" i="10" s="1"/>
  <c r="Q43" i="6"/>
  <c r="Q16" i="10" s="1"/>
  <c r="U41" i="6"/>
  <c r="Q41" i="6"/>
  <c r="U40" i="6"/>
  <c r="Q40" i="6"/>
  <c r="U39" i="6"/>
  <c r="Q39" i="6"/>
  <c r="U38" i="6"/>
  <c r="Q38" i="6"/>
  <c r="U36" i="6"/>
  <c r="Q36" i="6"/>
  <c r="U35" i="6"/>
  <c r="Q35" i="6"/>
  <c r="U34" i="6"/>
  <c r="Q34" i="6"/>
  <c r="U33" i="6"/>
  <c r="Q33" i="6"/>
  <c r="U32" i="6"/>
  <c r="Q32" i="6"/>
  <c r="U31" i="6"/>
  <c r="Q31" i="6"/>
  <c r="U30" i="6"/>
  <c r="Q30" i="6"/>
  <c r="U29" i="6"/>
  <c r="Q29" i="6"/>
  <c r="U28" i="6"/>
  <c r="Q28" i="6"/>
  <c r="U27" i="6"/>
  <c r="Q27" i="6"/>
  <c r="U26" i="6"/>
  <c r="Q26" i="6"/>
  <c r="U24" i="6"/>
  <c r="Q24" i="6"/>
  <c r="U23" i="6"/>
  <c r="Q23" i="6"/>
  <c r="U22" i="6"/>
  <c r="Q22" i="6"/>
  <c r="U21" i="6"/>
  <c r="Q21" i="6"/>
  <c r="U20" i="6"/>
  <c r="Q20" i="6"/>
  <c r="U19" i="6"/>
  <c r="Q19" i="6"/>
  <c r="U18" i="6"/>
  <c r="Q18" i="6"/>
  <c r="U17" i="6"/>
  <c r="Q17" i="6"/>
  <c r="U16" i="6"/>
  <c r="Q16" i="6"/>
  <c r="U15" i="6"/>
  <c r="Q15" i="6"/>
  <c r="U14" i="6"/>
  <c r="Q14" i="6"/>
  <c r="V56" i="5"/>
  <c r="U56" i="5"/>
  <c r="R56" i="5"/>
  <c r="Q56" i="5"/>
  <c r="N56" i="5"/>
  <c r="V55" i="5"/>
  <c r="U55" i="5"/>
  <c r="R55" i="5"/>
  <c r="Q55" i="5"/>
  <c r="N55" i="5"/>
  <c r="V54" i="5"/>
  <c r="U54" i="5"/>
  <c r="R54" i="5"/>
  <c r="Q54" i="5"/>
  <c r="N54" i="5"/>
  <c r="V53" i="5"/>
  <c r="U53" i="5"/>
  <c r="R53" i="5"/>
  <c r="Q53" i="5"/>
  <c r="N53" i="5"/>
  <c r="V52" i="5"/>
  <c r="U52" i="5"/>
  <c r="R52" i="5"/>
  <c r="Q52" i="5"/>
  <c r="Q71" i="8" s="1"/>
  <c r="N52" i="5"/>
  <c r="N71" i="8" s="1"/>
  <c r="V51" i="5"/>
  <c r="U51" i="5"/>
  <c r="R51" i="5"/>
  <c r="Q51" i="5"/>
  <c r="N51" i="5"/>
  <c r="V50" i="5"/>
  <c r="U50" i="5"/>
  <c r="R50" i="5"/>
  <c r="Q50" i="5"/>
  <c r="Q72" i="8" s="1"/>
  <c r="N50" i="5"/>
  <c r="N72" i="8" s="1"/>
  <c r="V49" i="5"/>
  <c r="U49" i="5"/>
  <c r="R49" i="5"/>
  <c r="Q49" i="5"/>
  <c r="Q70" i="8" s="1"/>
  <c r="N49" i="5"/>
  <c r="N70" i="8" s="1"/>
  <c r="V48" i="5"/>
  <c r="U48" i="5"/>
  <c r="R48" i="5"/>
  <c r="Q48" i="5"/>
  <c r="N48" i="5"/>
  <c r="V47" i="5"/>
  <c r="U47" i="5"/>
  <c r="R47" i="5"/>
  <c r="Q47" i="5"/>
  <c r="N47" i="5"/>
  <c r="V46" i="5"/>
  <c r="U46" i="5"/>
  <c r="R46" i="5"/>
  <c r="Q46" i="5"/>
  <c r="N46" i="5"/>
  <c r="V45" i="5"/>
  <c r="U45" i="5"/>
  <c r="R45" i="5"/>
  <c r="Q45" i="5"/>
  <c r="Q69" i="8" s="1"/>
  <c r="Q76" i="8" s="1"/>
  <c r="N45" i="5"/>
  <c r="N69" i="8" s="1"/>
  <c r="N76" i="8" s="1"/>
  <c r="V44" i="5"/>
  <c r="U44" i="5"/>
  <c r="R44" i="5"/>
  <c r="Q44" i="5"/>
  <c r="N44" i="5"/>
  <c r="V43" i="5"/>
  <c r="U43" i="5"/>
  <c r="R43" i="5"/>
  <c r="Q43" i="5"/>
  <c r="N43" i="5"/>
  <c r="V42" i="5"/>
  <c r="U42" i="5"/>
  <c r="R42" i="5"/>
  <c r="Q42" i="5"/>
  <c r="N42" i="5"/>
  <c r="V41" i="5"/>
  <c r="U41" i="5"/>
  <c r="R41" i="5"/>
  <c r="Q41" i="5"/>
  <c r="N41" i="5"/>
  <c r="V40" i="5"/>
  <c r="U40" i="5"/>
  <c r="R40" i="5"/>
  <c r="Q40" i="5"/>
  <c r="Q68" i="8" s="1"/>
  <c r="N40" i="5"/>
  <c r="N68" i="8" s="1"/>
  <c r="X32" i="5"/>
  <c r="W32" i="5"/>
  <c r="V32" i="5"/>
  <c r="T32" i="5"/>
  <c r="S32" i="5"/>
  <c r="R32" i="5"/>
  <c r="P32" i="5"/>
  <c r="O32" i="5"/>
  <c r="L32" i="5"/>
  <c r="K32" i="5"/>
  <c r="J32" i="5"/>
  <c r="I32" i="5"/>
  <c r="H32" i="5"/>
  <c r="G32" i="5"/>
  <c r="F32" i="5"/>
  <c r="E32" i="5"/>
  <c r="D32" i="5"/>
  <c r="C32" i="5"/>
  <c r="U31" i="5"/>
  <c r="Q31" i="5"/>
  <c r="U30" i="5"/>
  <c r="Q30" i="5"/>
  <c r="U29" i="5"/>
  <c r="Q29" i="5"/>
  <c r="U28" i="5"/>
  <c r="Q28" i="5"/>
  <c r="U27" i="5"/>
  <c r="Q27" i="5"/>
  <c r="U26" i="5"/>
  <c r="Q26" i="5"/>
  <c r="U23" i="5"/>
  <c r="Q23" i="5"/>
  <c r="X22" i="5"/>
  <c r="W22" i="5"/>
  <c r="V22" i="5"/>
  <c r="T22" i="5"/>
  <c r="S22" i="5"/>
  <c r="R22" i="5"/>
  <c r="P22" i="5"/>
  <c r="O22" i="5"/>
  <c r="L22" i="5"/>
  <c r="K22" i="5"/>
  <c r="J22" i="5"/>
  <c r="I22" i="5"/>
  <c r="H22" i="5"/>
  <c r="G22" i="5"/>
  <c r="F22" i="5"/>
  <c r="E22" i="5"/>
  <c r="D22" i="5"/>
  <c r="C22" i="5"/>
  <c r="U21" i="5"/>
  <c r="Q21" i="5"/>
  <c r="U19" i="5"/>
  <c r="Q19" i="5"/>
  <c r="U18" i="5"/>
  <c r="Q18" i="5"/>
  <c r="X17" i="5"/>
  <c r="W17" i="5"/>
  <c r="V17" i="5"/>
  <c r="T17" i="5"/>
  <c r="S17" i="5"/>
  <c r="R17" i="5"/>
  <c r="P17" i="5"/>
  <c r="O17" i="5"/>
  <c r="L17" i="5"/>
  <c r="K17" i="5"/>
  <c r="J17" i="5"/>
  <c r="I17" i="5"/>
  <c r="H17" i="5"/>
  <c r="G17" i="5"/>
  <c r="F17" i="5"/>
  <c r="E17" i="5"/>
  <c r="D17" i="5"/>
  <c r="C17" i="5"/>
  <c r="U16" i="5"/>
  <c r="Q16" i="5"/>
  <c r="U15" i="5"/>
  <c r="Q15" i="5"/>
  <c r="X14" i="5"/>
  <c r="W14" i="5"/>
  <c r="V14" i="5"/>
  <c r="T14" i="5"/>
  <c r="S14" i="5"/>
  <c r="R14" i="5"/>
  <c r="P14" i="5"/>
  <c r="O14" i="5"/>
  <c r="L14" i="5"/>
  <c r="K14" i="5"/>
  <c r="J14" i="5"/>
  <c r="I14" i="5"/>
  <c r="H14" i="5"/>
  <c r="G14" i="5"/>
  <c r="F14" i="5"/>
  <c r="E14" i="5"/>
  <c r="D14" i="5"/>
  <c r="C14" i="5"/>
  <c r="U13" i="5"/>
  <c r="Q13" i="5"/>
  <c r="K65" i="4"/>
  <c r="J65" i="4"/>
  <c r="I65" i="4"/>
  <c r="H65" i="4"/>
  <c r="G65" i="4"/>
  <c r="F65" i="4"/>
  <c r="E65" i="4"/>
  <c r="D65" i="4"/>
  <c r="C65" i="4"/>
  <c r="L49" i="4"/>
  <c r="K49" i="4"/>
  <c r="J49" i="4"/>
  <c r="I49" i="4"/>
  <c r="H49" i="4"/>
  <c r="G49" i="4"/>
  <c r="F49" i="4"/>
  <c r="E49" i="4"/>
  <c r="D49" i="4"/>
  <c r="C49" i="4"/>
  <c r="L48" i="4"/>
  <c r="K48" i="4"/>
  <c r="J48" i="4"/>
  <c r="I48" i="4"/>
  <c r="H48" i="4"/>
  <c r="G48" i="4"/>
  <c r="F48" i="4"/>
  <c r="E48" i="4"/>
  <c r="L47" i="4"/>
  <c r="K47" i="4"/>
  <c r="J47" i="4"/>
  <c r="I47" i="4"/>
  <c r="H47" i="4"/>
  <c r="G47" i="4"/>
  <c r="F47" i="4"/>
  <c r="L44" i="4"/>
  <c r="K44" i="4"/>
  <c r="J44" i="4"/>
  <c r="I44" i="4"/>
  <c r="H44" i="4"/>
  <c r="G44" i="4"/>
  <c r="F44" i="4"/>
  <c r="E44" i="4"/>
  <c r="D44" i="4"/>
  <c r="L43" i="4"/>
  <c r="K43" i="4"/>
  <c r="J43" i="4"/>
  <c r="I43" i="4"/>
  <c r="H43" i="4"/>
  <c r="G43" i="4"/>
  <c r="F43" i="4"/>
  <c r="E43" i="4"/>
  <c r="L40" i="4"/>
  <c r="K40" i="4"/>
  <c r="J40" i="4"/>
  <c r="I40" i="4"/>
  <c r="H40" i="4"/>
  <c r="F40" i="4"/>
  <c r="E40" i="4"/>
  <c r="D40" i="4"/>
  <c r="C40" i="4"/>
  <c r="L39" i="4"/>
  <c r="K39" i="4"/>
  <c r="J39" i="4"/>
  <c r="I39" i="4"/>
  <c r="F39" i="4"/>
  <c r="E39" i="4"/>
  <c r="D39" i="4"/>
  <c r="L36" i="4"/>
  <c r="K36" i="4"/>
  <c r="J36" i="4"/>
  <c r="I36" i="4"/>
  <c r="H36" i="4"/>
  <c r="G36" i="4"/>
  <c r="F36" i="4"/>
  <c r="E36" i="4"/>
  <c r="D36" i="4"/>
  <c r="C36" i="4"/>
  <c r="L35" i="4"/>
  <c r="K35" i="4"/>
  <c r="J35" i="4"/>
  <c r="I35" i="4"/>
  <c r="H35" i="4"/>
  <c r="G35" i="4"/>
  <c r="F35" i="4"/>
  <c r="E35" i="4"/>
  <c r="D35" i="4"/>
  <c r="L32" i="4"/>
  <c r="K32" i="4"/>
  <c r="J32" i="4"/>
  <c r="I32" i="4"/>
  <c r="H32" i="4"/>
  <c r="G32" i="4"/>
  <c r="F32" i="4"/>
  <c r="E32" i="4"/>
  <c r="D32" i="4"/>
  <c r="C32" i="4"/>
  <c r="L31" i="4"/>
  <c r="K31" i="4"/>
  <c r="J31" i="4"/>
  <c r="I31" i="4"/>
  <c r="H31" i="4"/>
  <c r="G31" i="4"/>
  <c r="F31" i="4"/>
  <c r="E31" i="4"/>
  <c r="D31" i="4"/>
  <c r="L28" i="4"/>
  <c r="K28" i="4"/>
  <c r="J28" i="4"/>
  <c r="I28" i="4"/>
  <c r="H28" i="4"/>
  <c r="G28" i="4"/>
  <c r="F28" i="4"/>
  <c r="E28" i="4"/>
  <c r="D28" i="4"/>
  <c r="C28" i="4"/>
  <c r="L27" i="4"/>
  <c r="K27" i="4"/>
  <c r="J27" i="4"/>
  <c r="I27" i="4"/>
  <c r="H27" i="4"/>
  <c r="G27" i="4"/>
  <c r="F27" i="4"/>
  <c r="E27" i="4"/>
  <c r="D27" i="4"/>
  <c r="L24" i="4"/>
  <c r="K24" i="4"/>
  <c r="J24" i="4"/>
  <c r="I24" i="4"/>
  <c r="H24" i="4"/>
  <c r="G24" i="4"/>
  <c r="F24" i="4"/>
  <c r="E24" i="4"/>
  <c r="D24" i="4"/>
  <c r="C24" i="4"/>
  <c r="L23" i="4"/>
  <c r="K23" i="4"/>
  <c r="J23" i="4"/>
  <c r="I23" i="4"/>
  <c r="H23" i="4"/>
  <c r="G23" i="4"/>
  <c r="F23" i="4"/>
  <c r="E23" i="4"/>
  <c r="D23" i="4"/>
  <c r="L20" i="4"/>
  <c r="K20" i="4"/>
  <c r="J20" i="4"/>
  <c r="I20" i="4"/>
  <c r="H20" i="4"/>
  <c r="G20" i="4"/>
  <c r="F20" i="4"/>
  <c r="E20" i="4"/>
  <c r="D20" i="4"/>
  <c r="C20" i="4"/>
  <c r="L19" i="4"/>
  <c r="K19" i="4"/>
  <c r="J19" i="4"/>
  <c r="I19" i="4"/>
  <c r="H19" i="4"/>
  <c r="G19" i="4"/>
  <c r="F19" i="4"/>
  <c r="E19" i="4"/>
  <c r="D19" i="4"/>
  <c r="H345" i="3"/>
  <c r="H346" i="3" s="1"/>
  <c r="G345" i="3"/>
  <c r="G346" i="3" s="1"/>
  <c r="F345" i="3"/>
  <c r="F346" i="3" s="1"/>
  <c r="E345" i="3"/>
  <c r="E346" i="3" s="1"/>
  <c r="D345" i="3"/>
  <c r="D346" i="3" s="1"/>
  <c r="C345" i="3"/>
  <c r="C346" i="3" s="1"/>
  <c r="H342" i="3"/>
  <c r="G342" i="3"/>
  <c r="F342" i="3"/>
  <c r="E342" i="3"/>
  <c r="D342" i="3"/>
  <c r="C342" i="3"/>
  <c r="H336" i="3"/>
  <c r="G336" i="3"/>
  <c r="F336" i="3"/>
  <c r="E336" i="3"/>
  <c r="D336" i="3"/>
  <c r="C336" i="3"/>
  <c r="H335" i="3"/>
  <c r="G335" i="3"/>
  <c r="F335" i="3"/>
  <c r="E335" i="3"/>
  <c r="D335" i="3"/>
  <c r="H332" i="3"/>
  <c r="G332" i="3"/>
  <c r="F332" i="3"/>
  <c r="E332" i="3"/>
  <c r="D332" i="3"/>
  <c r="H328" i="3"/>
  <c r="H329" i="3" s="1"/>
  <c r="G328" i="3"/>
  <c r="G329" i="3" s="1"/>
  <c r="F328" i="3"/>
  <c r="F329" i="3" s="1"/>
  <c r="E328" i="3"/>
  <c r="E329" i="3" s="1"/>
  <c r="D328" i="3"/>
  <c r="D329" i="3" s="1"/>
  <c r="C328" i="3"/>
  <c r="C329" i="3" s="1"/>
  <c r="H325" i="3"/>
  <c r="G325" i="3"/>
  <c r="F325" i="3"/>
  <c r="E325" i="3"/>
  <c r="D325" i="3"/>
  <c r="C325" i="3"/>
  <c r="H319" i="3"/>
  <c r="G319" i="3"/>
  <c r="F319" i="3"/>
  <c r="E319" i="3"/>
  <c r="D319" i="3"/>
  <c r="C319" i="3"/>
  <c r="H318" i="3"/>
  <c r="G318" i="3"/>
  <c r="F318" i="3"/>
  <c r="E318" i="3"/>
  <c r="D318" i="3"/>
  <c r="H315" i="3"/>
  <c r="G315" i="3"/>
  <c r="F315" i="3"/>
  <c r="E315" i="3"/>
  <c r="D315" i="3"/>
  <c r="H311" i="3"/>
  <c r="H312" i="3" s="1"/>
  <c r="G311" i="3"/>
  <c r="G312" i="3" s="1"/>
  <c r="F311" i="3"/>
  <c r="F312" i="3" s="1"/>
  <c r="E311" i="3"/>
  <c r="E312" i="3" s="1"/>
  <c r="D311" i="3"/>
  <c r="D312" i="3" s="1"/>
  <c r="C311" i="3"/>
  <c r="C312" i="3" s="1"/>
  <c r="H308" i="3"/>
  <c r="G308" i="3"/>
  <c r="F308" i="3"/>
  <c r="E308" i="3"/>
  <c r="D308" i="3"/>
  <c r="C308" i="3"/>
  <c r="H302" i="3"/>
  <c r="G302" i="3"/>
  <c r="F302" i="3"/>
  <c r="E302" i="3"/>
  <c r="D302" i="3"/>
  <c r="C302" i="3"/>
  <c r="H301" i="3"/>
  <c r="G301" i="3"/>
  <c r="F301" i="3"/>
  <c r="E301" i="3"/>
  <c r="D301" i="3"/>
  <c r="H298" i="3"/>
  <c r="G298" i="3"/>
  <c r="F298" i="3"/>
  <c r="E298" i="3"/>
  <c r="D298" i="3"/>
  <c r="H294" i="3"/>
  <c r="H295" i="3" s="1"/>
  <c r="G294" i="3"/>
  <c r="G295" i="3" s="1"/>
  <c r="F294" i="3"/>
  <c r="F295" i="3" s="1"/>
  <c r="E294" i="3"/>
  <c r="E295" i="3" s="1"/>
  <c r="D294" i="3"/>
  <c r="D295" i="3" s="1"/>
  <c r="C294" i="3"/>
  <c r="C295" i="3" s="1"/>
  <c r="H291" i="3"/>
  <c r="G291" i="3"/>
  <c r="F291" i="3"/>
  <c r="E291" i="3"/>
  <c r="D291" i="3"/>
  <c r="C291" i="3"/>
  <c r="H285" i="3"/>
  <c r="G285" i="3"/>
  <c r="F285" i="3"/>
  <c r="E285" i="3"/>
  <c r="D285" i="3"/>
  <c r="C285" i="3"/>
  <c r="H284" i="3"/>
  <c r="G284" i="3"/>
  <c r="F284" i="3"/>
  <c r="E284" i="3"/>
  <c r="D284" i="3"/>
  <c r="H281" i="3"/>
  <c r="G281" i="3"/>
  <c r="F281" i="3"/>
  <c r="E281" i="3"/>
  <c r="D281" i="3"/>
  <c r="E271" i="3"/>
  <c r="E272" i="3" s="1"/>
  <c r="D271" i="3"/>
  <c r="D272" i="3" s="1"/>
  <c r="C271" i="3"/>
  <c r="C272" i="3" s="1"/>
  <c r="E268" i="3"/>
  <c r="D268" i="3"/>
  <c r="C268" i="3"/>
  <c r="E263" i="3"/>
  <c r="D263" i="3"/>
  <c r="C263" i="3"/>
  <c r="E262" i="3"/>
  <c r="D262" i="3"/>
  <c r="E259" i="3"/>
  <c r="D259" i="3"/>
  <c r="E249" i="3"/>
  <c r="E250" i="3" s="1"/>
  <c r="D249" i="3"/>
  <c r="D250" i="3" s="1"/>
  <c r="C249" i="3"/>
  <c r="C250" i="3" s="1"/>
  <c r="E246" i="3"/>
  <c r="D246" i="3"/>
  <c r="C246" i="3"/>
  <c r="E240" i="3"/>
  <c r="D240" i="3"/>
  <c r="C240" i="3"/>
  <c r="E238" i="3"/>
  <c r="D238" i="3"/>
  <c r="E234" i="3"/>
  <c r="E235" i="3" s="1"/>
  <c r="D234" i="3"/>
  <c r="D235" i="3" s="1"/>
  <c r="C234" i="3"/>
  <c r="C235" i="3" s="1"/>
  <c r="E231" i="3"/>
  <c r="D231" i="3"/>
  <c r="C231" i="3"/>
  <c r="E225" i="3"/>
  <c r="D225" i="3"/>
  <c r="C225" i="3"/>
  <c r="E223" i="3"/>
  <c r="D223" i="3"/>
  <c r="E219" i="3"/>
  <c r="E220" i="3" s="1"/>
  <c r="D219" i="3"/>
  <c r="D220" i="3" s="1"/>
  <c r="C219" i="3"/>
  <c r="C220" i="3" s="1"/>
  <c r="E216" i="3"/>
  <c r="D216" i="3"/>
  <c r="C216" i="3"/>
  <c r="E210" i="3"/>
  <c r="D210" i="3"/>
  <c r="C210" i="3"/>
  <c r="E208" i="3"/>
  <c r="D208" i="3"/>
  <c r="E204" i="3"/>
  <c r="E205" i="3" s="1"/>
  <c r="D204" i="3"/>
  <c r="D205" i="3" s="1"/>
  <c r="C204" i="3"/>
  <c r="C205" i="3" s="1"/>
  <c r="E201" i="3"/>
  <c r="D201" i="3"/>
  <c r="C201" i="3"/>
  <c r="E196" i="3"/>
  <c r="D196" i="3"/>
  <c r="C196" i="3"/>
  <c r="E194" i="3"/>
  <c r="D194" i="3"/>
  <c r="K184" i="3"/>
  <c r="K185" i="3" s="1"/>
  <c r="J184" i="3"/>
  <c r="J185" i="3" s="1"/>
  <c r="I184" i="3"/>
  <c r="I185" i="3" s="1"/>
  <c r="H184" i="3"/>
  <c r="H185" i="3" s="1"/>
  <c r="G184" i="3"/>
  <c r="G185" i="3" s="1"/>
  <c r="F184" i="3"/>
  <c r="F185" i="3" s="1"/>
  <c r="E184" i="3"/>
  <c r="E185" i="3" s="1"/>
  <c r="D184" i="3"/>
  <c r="D185" i="3" s="1"/>
  <c r="C184" i="3"/>
  <c r="C185" i="3" s="1"/>
  <c r="K181" i="3"/>
  <c r="J181" i="3"/>
  <c r="I181" i="3"/>
  <c r="H181" i="3"/>
  <c r="G181" i="3"/>
  <c r="F181" i="3"/>
  <c r="E181" i="3"/>
  <c r="D181" i="3"/>
  <c r="C181" i="3"/>
  <c r="O176" i="3"/>
  <c r="N176" i="3"/>
  <c r="M176" i="3"/>
  <c r="K176" i="3"/>
  <c r="J176" i="3"/>
  <c r="I176" i="3"/>
  <c r="H176" i="3"/>
  <c r="G176" i="3"/>
  <c r="F176" i="3"/>
  <c r="E176" i="3"/>
  <c r="D176" i="3"/>
  <c r="K175" i="3"/>
  <c r="J175" i="3"/>
  <c r="I175" i="3"/>
  <c r="H175" i="3"/>
  <c r="G175" i="3"/>
  <c r="F175" i="3"/>
  <c r="E175" i="3"/>
  <c r="K172" i="3"/>
  <c r="J172" i="3"/>
  <c r="I172" i="3"/>
  <c r="H172" i="3"/>
  <c r="G172" i="3"/>
  <c r="F172" i="3"/>
  <c r="E172" i="3"/>
  <c r="D172" i="3"/>
  <c r="P171" i="3"/>
  <c r="P176" i="3" s="1"/>
  <c r="K168" i="3"/>
  <c r="K169" i="3" s="1"/>
  <c r="J168" i="3"/>
  <c r="J169" i="3" s="1"/>
  <c r="I168" i="3"/>
  <c r="I169" i="3" s="1"/>
  <c r="H168" i="3"/>
  <c r="H169" i="3" s="1"/>
  <c r="G168" i="3"/>
  <c r="G169" i="3" s="1"/>
  <c r="F168" i="3"/>
  <c r="F169" i="3" s="1"/>
  <c r="E168" i="3"/>
  <c r="E169" i="3" s="1"/>
  <c r="D168" i="3"/>
  <c r="D169" i="3" s="1"/>
  <c r="C168" i="3"/>
  <c r="C169" i="3" s="1"/>
  <c r="K165" i="3"/>
  <c r="J165" i="3"/>
  <c r="I165" i="3"/>
  <c r="H165" i="3"/>
  <c r="G165" i="3"/>
  <c r="F165" i="3"/>
  <c r="E165" i="3"/>
  <c r="D165" i="3"/>
  <c r="C165" i="3"/>
  <c r="O160" i="3"/>
  <c r="N160" i="3"/>
  <c r="M160" i="3"/>
  <c r="K160" i="3"/>
  <c r="J160" i="3"/>
  <c r="I160" i="3"/>
  <c r="H160" i="3"/>
  <c r="G160" i="3"/>
  <c r="F160" i="3"/>
  <c r="E160" i="3"/>
  <c r="D160" i="3"/>
  <c r="K159" i="3"/>
  <c r="J159" i="3"/>
  <c r="I159" i="3"/>
  <c r="H159" i="3"/>
  <c r="G159" i="3"/>
  <c r="F159" i="3"/>
  <c r="E159" i="3"/>
  <c r="K156" i="3"/>
  <c r="J156" i="3"/>
  <c r="I156" i="3"/>
  <c r="H156" i="3"/>
  <c r="G156" i="3"/>
  <c r="F156" i="3"/>
  <c r="E156" i="3"/>
  <c r="D156" i="3"/>
  <c r="P155" i="3"/>
  <c r="P160" i="3" s="1"/>
  <c r="R147" i="3"/>
  <c r="X147" i="2" s="1"/>
  <c r="Q147" i="3"/>
  <c r="W147" i="2" s="1"/>
  <c r="P147" i="3"/>
  <c r="V147" i="2" s="1"/>
  <c r="N147" i="3"/>
  <c r="T147" i="2" s="1"/>
  <c r="M147" i="3"/>
  <c r="S147" i="2" s="1"/>
  <c r="L147" i="3"/>
  <c r="R147" i="2" s="1"/>
  <c r="F147" i="3"/>
  <c r="L147" i="2" s="1"/>
  <c r="E147" i="3"/>
  <c r="K147" i="2" s="1"/>
  <c r="D147" i="3"/>
  <c r="J147" i="2" s="1"/>
  <c r="O146" i="3"/>
  <c r="J146" i="3"/>
  <c r="J147" i="3" s="1"/>
  <c r="P147" i="2" s="1"/>
  <c r="I146" i="3"/>
  <c r="I147" i="3" s="1"/>
  <c r="O147" i="2" s="1"/>
  <c r="H146" i="3"/>
  <c r="C146" i="3"/>
  <c r="C147" i="3" s="1"/>
  <c r="I147" i="2" s="1"/>
  <c r="K145" i="3"/>
  <c r="K144" i="3"/>
  <c r="O143" i="3"/>
  <c r="U146" i="2" s="1"/>
  <c r="K143" i="3"/>
  <c r="Q146" i="2" s="1"/>
  <c r="R139" i="3"/>
  <c r="X144" i="2" s="1"/>
  <c r="Q139" i="3"/>
  <c r="W144" i="2" s="1"/>
  <c r="P139" i="3"/>
  <c r="V144" i="2" s="1"/>
  <c r="N139" i="3"/>
  <c r="T144" i="2" s="1"/>
  <c r="M139" i="3"/>
  <c r="S144" i="2" s="1"/>
  <c r="L139" i="3"/>
  <c r="R144" i="2" s="1"/>
  <c r="F139" i="3"/>
  <c r="L144" i="2" s="1"/>
  <c r="E139" i="3"/>
  <c r="K144" i="2" s="1"/>
  <c r="D139" i="3"/>
  <c r="J144" i="2" s="1"/>
  <c r="O138" i="3"/>
  <c r="J138" i="3"/>
  <c r="J139" i="3" s="1"/>
  <c r="P144" i="2" s="1"/>
  <c r="I138" i="3"/>
  <c r="I139" i="3" s="1"/>
  <c r="O144" i="2" s="1"/>
  <c r="H138" i="3"/>
  <c r="C138" i="3"/>
  <c r="C139" i="3" s="1"/>
  <c r="I144" i="2" s="1"/>
  <c r="K137" i="3"/>
  <c r="K136" i="3"/>
  <c r="R135" i="3"/>
  <c r="X143" i="2" s="1"/>
  <c r="Q135" i="3"/>
  <c r="W143" i="2" s="1"/>
  <c r="P135" i="3"/>
  <c r="V143" i="2" s="1"/>
  <c r="N135" i="3"/>
  <c r="T143" i="2" s="1"/>
  <c r="M135" i="3"/>
  <c r="S143" i="2" s="1"/>
  <c r="L135" i="3"/>
  <c r="R143" i="2" s="1"/>
  <c r="J135" i="3"/>
  <c r="P143" i="2" s="1"/>
  <c r="I135" i="3"/>
  <c r="O143" i="2" s="1"/>
  <c r="H135" i="3"/>
  <c r="N143" i="2" s="1"/>
  <c r="F135" i="3"/>
  <c r="L143" i="2" s="1"/>
  <c r="E135" i="3"/>
  <c r="K143" i="2" s="1"/>
  <c r="D135" i="3"/>
  <c r="J143" i="2" s="1"/>
  <c r="C135" i="3"/>
  <c r="I143" i="2" s="1"/>
  <c r="O134" i="3"/>
  <c r="K134" i="3"/>
  <c r="R130" i="3"/>
  <c r="X70" i="2" s="1"/>
  <c r="Q130" i="3"/>
  <c r="W70" i="2" s="1"/>
  <c r="P130" i="3"/>
  <c r="V70" i="2" s="1"/>
  <c r="O130" i="3"/>
  <c r="U70" i="2" s="1"/>
  <c r="N130" i="3"/>
  <c r="T70" i="2" s="1"/>
  <c r="M130" i="3"/>
  <c r="S70" i="2" s="1"/>
  <c r="L130" i="3"/>
  <c r="R70" i="2" s="1"/>
  <c r="K130" i="3"/>
  <c r="Q70" i="2" s="1"/>
  <c r="J130" i="3"/>
  <c r="P70" i="2" s="1"/>
  <c r="I130" i="3"/>
  <c r="O70" i="2" s="1"/>
  <c r="H130" i="3"/>
  <c r="N70" i="2" s="1"/>
  <c r="F130" i="3"/>
  <c r="L70" i="2" s="1"/>
  <c r="E130" i="3"/>
  <c r="K70" i="2" s="1"/>
  <c r="D130" i="3"/>
  <c r="J70" i="2" s="1"/>
  <c r="R129" i="3"/>
  <c r="X69" i="2" s="1"/>
  <c r="Q129" i="3"/>
  <c r="W69" i="2" s="1"/>
  <c r="P129" i="3"/>
  <c r="V69" i="2" s="1"/>
  <c r="O129" i="3"/>
  <c r="U69" i="2" s="1"/>
  <c r="N129" i="3"/>
  <c r="T69" i="2" s="1"/>
  <c r="M129" i="3"/>
  <c r="S69" i="2" s="1"/>
  <c r="L129" i="3"/>
  <c r="R69" i="2" s="1"/>
  <c r="F129" i="3"/>
  <c r="L69" i="2" s="1"/>
  <c r="E129" i="3"/>
  <c r="K69" i="2" s="1"/>
  <c r="R126" i="3"/>
  <c r="X67" i="2" s="1"/>
  <c r="Q126" i="3"/>
  <c r="W67" i="2" s="1"/>
  <c r="P126" i="3"/>
  <c r="V67" i="2" s="1"/>
  <c r="O126" i="3"/>
  <c r="U67" i="2" s="1"/>
  <c r="N126" i="3"/>
  <c r="T67" i="2" s="1"/>
  <c r="M126" i="3"/>
  <c r="S67" i="2" s="1"/>
  <c r="L126" i="3"/>
  <c r="R67" i="2" s="1"/>
  <c r="F126" i="3"/>
  <c r="L67" i="2" s="1"/>
  <c r="E126" i="3"/>
  <c r="K67" i="2" s="1"/>
  <c r="D126" i="3"/>
  <c r="J67" i="2" s="1"/>
  <c r="R123" i="3"/>
  <c r="X140" i="2" s="1"/>
  <c r="Q123" i="3"/>
  <c r="W140" i="2" s="1"/>
  <c r="P123" i="3"/>
  <c r="V140" i="2" s="1"/>
  <c r="N123" i="3"/>
  <c r="T140" i="2" s="1"/>
  <c r="M123" i="3"/>
  <c r="S140" i="2" s="1"/>
  <c r="L123" i="3"/>
  <c r="R140" i="2" s="1"/>
  <c r="F123" i="3"/>
  <c r="L140" i="2" s="1"/>
  <c r="E123" i="3"/>
  <c r="K140" i="2" s="1"/>
  <c r="D123" i="3"/>
  <c r="J140" i="2" s="1"/>
  <c r="O122" i="3"/>
  <c r="J122" i="3"/>
  <c r="J123" i="3" s="1"/>
  <c r="P140" i="2" s="1"/>
  <c r="I122" i="3"/>
  <c r="I123" i="3" s="1"/>
  <c r="O140" i="2" s="1"/>
  <c r="H122" i="3"/>
  <c r="C122" i="3"/>
  <c r="C123" i="3" s="1"/>
  <c r="I140" i="2" s="1"/>
  <c r="K121" i="3"/>
  <c r="K120" i="3"/>
  <c r="R119" i="3"/>
  <c r="X139" i="2" s="1"/>
  <c r="Q119" i="3"/>
  <c r="W139" i="2" s="1"/>
  <c r="P119" i="3"/>
  <c r="V139" i="2" s="1"/>
  <c r="N119" i="3"/>
  <c r="T139" i="2" s="1"/>
  <c r="M119" i="3"/>
  <c r="S139" i="2" s="1"/>
  <c r="L119" i="3"/>
  <c r="R139" i="2" s="1"/>
  <c r="J119" i="3"/>
  <c r="P139" i="2" s="1"/>
  <c r="I119" i="3"/>
  <c r="O139" i="2" s="1"/>
  <c r="H119" i="3"/>
  <c r="N139" i="2" s="1"/>
  <c r="F119" i="3"/>
  <c r="L139" i="2" s="1"/>
  <c r="E119" i="3"/>
  <c r="K139" i="2" s="1"/>
  <c r="D119" i="3"/>
  <c r="J139" i="2" s="1"/>
  <c r="C119" i="3"/>
  <c r="I139" i="2" s="1"/>
  <c r="O118" i="3"/>
  <c r="K118" i="3"/>
  <c r="R114" i="3"/>
  <c r="X63" i="2" s="1"/>
  <c r="Q114" i="3"/>
  <c r="W63" i="2" s="1"/>
  <c r="P114" i="3"/>
  <c r="V63" i="2" s="1"/>
  <c r="O114" i="3"/>
  <c r="U63" i="2" s="1"/>
  <c r="N114" i="3"/>
  <c r="T63" i="2" s="1"/>
  <c r="M114" i="3"/>
  <c r="S63" i="2" s="1"/>
  <c r="L114" i="3"/>
  <c r="R63" i="2" s="1"/>
  <c r="K114" i="3"/>
  <c r="Q63" i="2" s="1"/>
  <c r="J114" i="3"/>
  <c r="P63" i="2" s="1"/>
  <c r="I114" i="3"/>
  <c r="O63" i="2" s="1"/>
  <c r="H114" i="3"/>
  <c r="N63" i="2" s="1"/>
  <c r="F114" i="3"/>
  <c r="L63" i="2" s="1"/>
  <c r="E114" i="3"/>
  <c r="K63" i="2" s="1"/>
  <c r="D114" i="3"/>
  <c r="J63" i="2" s="1"/>
  <c r="R113" i="3"/>
  <c r="X62" i="2" s="1"/>
  <c r="Q113" i="3"/>
  <c r="W62" i="2" s="1"/>
  <c r="P113" i="3"/>
  <c r="V62" i="2" s="1"/>
  <c r="O113" i="3"/>
  <c r="U62" i="2" s="1"/>
  <c r="N113" i="3"/>
  <c r="T62" i="2" s="1"/>
  <c r="M113" i="3"/>
  <c r="S62" i="2" s="1"/>
  <c r="L113" i="3"/>
  <c r="R62" i="2" s="1"/>
  <c r="F113" i="3"/>
  <c r="L62" i="2" s="1"/>
  <c r="E113" i="3"/>
  <c r="K62" i="2" s="1"/>
  <c r="R110" i="3"/>
  <c r="X60" i="2" s="1"/>
  <c r="Q110" i="3"/>
  <c r="W60" i="2" s="1"/>
  <c r="P110" i="3"/>
  <c r="V60" i="2" s="1"/>
  <c r="O110" i="3"/>
  <c r="U60" i="2" s="1"/>
  <c r="N110" i="3"/>
  <c r="T60" i="2" s="1"/>
  <c r="M110" i="3"/>
  <c r="S60" i="2" s="1"/>
  <c r="L110" i="3"/>
  <c r="R60" i="2" s="1"/>
  <c r="F110" i="3"/>
  <c r="L60" i="2" s="1"/>
  <c r="E110" i="3"/>
  <c r="K60" i="2" s="1"/>
  <c r="D110" i="3"/>
  <c r="J60" i="2" s="1"/>
  <c r="R107" i="3"/>
  <c r="X136" i="2" s="1"/>
  <c r="Q107" i="3"/>
  <c r="W136" i="2" s="1"/>
  <c r="P107" i="3"/>
  <c r="V136" i="2" s="1"/>
  <c r="N107" i="3"/>
  <c r="T136" i="2" s="1"/>
  <c r="M107" i="3"/>
  <c r="S136" i="2" s="1"/>
  <c r="L107" i="3"/>
  <c r="R136" i="2" s="1"/>
  <c r="F107" i="3"/>
  <c r="L136" i="2" s="1"/>
  <c r="E107" i="3"/>
  <c r="K136" i="2" s="1"/>
  <c r="D107" i="3"/>
  <c r="J136" i="2" s="1"/>
  <c r="O106" i="3"/>
  <c r="J106" i="3"/>
  <c r="J107" i="3" s="1"/>
  <c r="P136" i="2" s="1"/>
  <c r="I106" i="3"/>
  <c r="I107" i="3" s="1"/>
  <c r="O136" i="2" s="1"/>
  <c r="H106" i="3"/>
  <c r="C106" i="3"/>
  <c r="C107" i="3" s="1"/>
  <c r="I136" i="2" s="1"/>
  <c r="K105" i="3"/>
  <c r="K104" i="3"/>
  <c r="R103" i="3"/>
  <c r="X135" i="2" s="1"/>
  <c r="Q103" i="3"/>
  <c r="W135" i="2" s="1"/>
  <c r="P103" i="3"/>
  <c r="V135" i="2" s="1"/>
  <c r="N103" i="3"/>
  <c r="T135" i="2" s="1"/>
  <c r="M103" i="3"/>
  <c r="S135" i="2" s="1"/>
  <c r="L103" i="3"/>
  <c r="R135" i="2" s="1"/>
  <c r="J103" i="3"/>
  <c r="P135" i="2" s="1"/>
  <c r="I103" i="3"/>
  <c r="O135" i="2" s="1"/>
  <c r="H103" i="3"/>
  <c r="N135" i="2" s="1"/>
  <c r="F103" i="3"/>
  <c r="L135" i="2" s="1"/>
  <c r="E103" i="3"/>
  <c r="K135" i="2" s="1"/>
  <c r="D103" i="3"/>
  <c r="J135" i="2" s="1"/>
  <c r="C103" i="3"/>
  <c r="I135" i="2" s="1"/>
  <c r="O102" i="3"/>
  <c r="K102" i="3"/>
  <c r="R97" i="3"/>
  <c r="X56" i="2" s="1"/>
  <c r="Q97" i="3"/>
  <c r="W56" i="2" s="1"/>
  <c r="P97" i="3"/>
  <c r="V56" i="2" s="1"/>
  <c r="O97" i="3"/>
  <c r="U56" i="2" s="1"/>
  <c r="N97" i="3"/>
  <c r="T56" i="2" s="1"/>
  <c r="M97" i="3"/>
  <c r="S56" i="2" s="1"/>
  <c r="L97" i="3"/>
  <c r="R56" i="2" s="1"/>
  <c r="K97" i="3"/>
  <c r="Q56" i="2" s="1"/>
  <c r="J97" i="3"/>
  <c r="P56" i="2" s="1"/>
  <c r="I97" i="3"/>
  <c r="O56" i="2" s="1"/>
  <c r="H97" i="3"/>
  <c r="N56" i="2" s="1"/>
  <c r="F97" i="3"/>
  <c r="L56" i="2" s="1"/>
  <c r="E97" i="3"/>
  <c r="K56" i="2" s="1"/>
  <c r="D97" i="3"/>
  <c r="J56" i="2" s="1"/>
  <c r="R96" i="3"/>
  <c r="X55" i="2" s="1"/>
  <c r="Q96" i="3"/>
  <c r="W55" i="2" s="1"/>
  <c r="P96" i="3"/>
  <c r="V55" i="2" s="1"/>
  <c r="O96" i="3"/>
  <c r="U55" i="2" s="1"/>
  <c r="N96" i="3"/>
  <c r="T55" i="2" s="1"/>
  <c r="M96" i="3"/>
  <c r="S55" i="2" s="1"/>
  <c r="L96" i="3"/>
  <c r="R55" i="2" s="1"/>
  <c r="F96" i="3"/>
  <c r="L55" i="2" s="1"/>
  <c r="E96" i="3"/>
  <c r="K55" i="2" s="1"/>
  <c r="R93" i="3"/>
  <c r="X53" i="2" s="1"/>
  <c r="Q93" i="3"/>
  <c r="W53" i="2" s="1"/>
  <c r="P93" i="3"/>
  <c r="V53" i="2" s="1"/>
  <c r="O93" i="3"/>
  <c r="U53" i="2" s="1"/>
  <c r="N93" i="3"/>
  <c r="T53" i="2" s="1"/>
  <c r="M93" i="3"/>
  <c r="S53" i="2" s="1"/>
  <c r="L93" i="3"/>
  <c r="R53" i="2" s="1"/>
  <c r="F93" i="3"/>
  <c r="L53" i="2" s="1"/>
  <c r="E93" i="3"/>
  <c r="K53" i="2" s="1"/>
  <c r="D93" i="3"/>
  <c r="J53" i="2" s="1"/>
  <c r="R90" i="3"/>
  <c r="X132" i="2" s="1"/>
  <c r="Q90" i="3"/>
  <c r="W132" i="2" s="1"/>
  <c r="P90" i="3"/>
  <c r="V132" i="2" s="1"/>
  <c r="N90" i="3"/>
  <c r="T132" i="2" s="1"/>
  <c r="M90" i="3"/>
  <c r="S132" i="2" s="1"/>
  <c r="L90" i="3"/>
  <c r="R132" i="2" s="1"/>
  <c r="F90" i="3"/>
  <c r="L132" i="2" s="1"/>
  <c r="E90" i="3"/>
  <c r="K132" i="2" s="1"/>
  <c r="D90" i="3"/>
  <c r="J132" i="2" s="1"/>
  <c r="O89" i="3"/>
  <c r="J89" i="3"/>
  <c r="J90" i="3" s="1"/>
  <c r="P132" i="2" s="1"/>
  <c r="I89" i="3"/>
  <c r="I90" i="3" s="1"/>
  <c r="O132" i="2" s="1"/>
  <c r="H89" i="3"/>
  <c r="C89" i="3"/>
  <c r="C90" i="3" s="1"/>
  <c r="I132" i="2" s="1"/>
  <c r="K88" i="3"/>
  <c r="K87" i="3"/>
  <c r="R86" i="3"/>
  <c r="X131" i="2" s="1"/>
  <c r="Q86" i="3"/>
  <c r="W131" i="2" s="1"/>
  <c r="P86" i="3"/>
  <c r="V131" i="2" s="1"/>
  <c r="N86" i="3"/>
  <c r="T131" i="2" s="1"/>
  <c r="M86" i="3"/>
  <c r="S131" i="2" s="1"/>
  <c r="L86" i="3"/>
  <c r="R131" i="2" s="1"/>
  <c r="J86" i="3"/>
  <c r="P131" i="2" s="1"/>
  <c r="I86" i="3"/>
  <c r="O131" i="2" s="1"/>
  <c r="H86" i="3"/>
  <c r="N131" i="2" s="1"/>
  <c r="F86" i="3"/>
  <c r="L131" i="2" s="1"/>
  <c r="E86" i="3"/>
  <c r="K131" i="2" s="1"/>
  <c r="D86" i="3"/>
  <c r="J131" i="2" s="1"/>
  <c r="C86" i="3"/>
  <c r="I131" i="2" s="1"/>
  <c r="O85" i="3"/>
  <c r="K85" i="3"/>
  <c r="R81" i="3"/>
  <c r="X49" i="2" s="1"/>
  <c r="Q81" i="3"/>
  <c r="W49" i="2" s="1"/>
  <c r="P81" i="3"/>
  <c r="V49" i="2" s="1"/>
  <c r="O81" i="3"/>
  <c r="U49" i="2" s="1"/>
  <c r="N81" i="3"/>
  <c r="T49" i="2" s="1"/>
  <c r="M81" i="3"/>
  <c r="S49" i="2" s="1"/>
  <c r="L81" i="3"/>
  <c r="R49" i="2" s="1"/>
  <c r="K81" i="3"/>
  <c r="Q49" i="2" s="1"/>
  <c r="J81" i="3"/>
  <c r="P49" i="2" s="1"/>
  <c r="I81" i="3"/>
  <c r="O49" i="2" s="1"/>
  <c r="H81" i="3"/>
  <c r="N49" i="2" s="1"/>
  <c r="F81" i="3"/>
  <c r="L49" i="2" s="1"/>
  <c r="E81" i="3"/>
  <c r="K49" i="2" s="1"/>
  <c r="D81" i="3"/>
  <c r="J49" i="2" s="1"/>
  <c r="R80" i="3"/>
  <c r="X48" i="2" s="1"/>
  <c r="Q80" i="3"/>
  <c r="W48" i="2" s="1"/>
  <c r="P80" i="3"/>
  <c r="V48" i="2" s="1"/>
  <c r="O80" i="3"/>
  <c r="U48" i="2" s="1"/>
  <c r="N80" i="3"/>
  <c r="T48" i="2" s="1"/>
  <c r="M80" i="3"/>
  <c r="S48" i="2" s="1"/>
  <c r="L80" i="3"/>
  <c r="R48" i="2" s="1"/>
  <c r="F80" i="3"/>
  <c r="L48" i="2" s="1"/>
  <c r="E80" i="3"/>
  <c r="K48" i="2" s="1"/>
  <c r="R77" i="3"/>
  <c r="X46" i="2" s="1"/>
  <c r="Q77" i="3"/>
  <c r="W46" i="2" s="1"/>
  <c r="P77" i="3"/>
  <c r="V46" i="2" s="1"/>
  <c r="O77" i="3"/>
  <c r="U46" i="2" s="1"/>
  <c r="N77" i="3"/>
  <c r="T46" i="2" s="1"/>
  <c r="M77" i="3"/>
  <c r="S46" i="2" s="1"/>
  <c r="L77" i="3"/>
  <c r="R46" i="2" s="1"/>
  <c r="F77" i="3"/>
  <c r="L46" i="2" s="1"/>
  <c r="E77" i="3"/>
  <c r="K46" i="2" s="1"/>
  <c r="D77" i="3"/>
  <c r="J46" i="2" s="1"/>
  <c r="R74" i="3"/>
  <c r="X128" i="2" s="1"/>
  <c r="Q74" i="3"/>
  <c r="W128" i="2" s="1"/>
  <c r="P74" i="3"/>
  <c r="V128" i="2" s="1"/>
  <c r="N74" i="3"/>
  <c r="T128" i="2" s="1"/>
  <c r="M74" i="3"/>
  <c r="S128" i="2" s="1"/>
  <c r="L74" i="3"/>
  <c r="R128" i="2" s="1"/>
  <c r="F74" i="3"/>
  <c r="L128" i="2" s="1"/>
  <c r="E74" i="3"/>
  <c r="K128" i="2" s="1"/>
  <c r="D74" i="3"/>
  <c r="J128" i="2" s="1"/>
  <c r="O73" i="3"/>
  <c r="J73" i="3"/>
  <c r="J74" i="3" s="1"/>
  <c r="P128" i="2" s="1"/>
  <c r="I73" i="3"/>
  <c r="I74" i="3" s="1"/>
  <c r="O128" i="2" s="1"/>
  <c r="H73" i="3"/>
  <c r="C73" i="3"/>
  <c r="C74" i="3" s="1"/>
  <c r="I128" i="2" s="1"/>
  <c r="K72" i="3"/>
  <c r="K71" i="3"/>
  <c r="R70" i="3"/>
  <c r="X127" i="2" s="1"/>
  <c r="Q70" i="3"/>
  <c r="W127" i="2" s="1"/>
  <c r="P70" i="3"/>
  <c r="V127" i="2" s="1"/>
  <c r="N70" i="3"/>
  <c r="T127" i="2" s="1"/>
  <c r="M70" i="3"/>
  <c r="S127" i="2" s="1"/>
  <c r="L70" i="3"/>
  <c r="R127" i="2" s="1"/>
  <c r="J70" i="3"/>
  <c r="P127" i="2" s="1"/>
  <c r="I70" i="3"/>
  <c r="O127" i="2" s="1"/>
  <c r="H70" i="3"/>
  <c r="N127" i="2" s="1"/>
  <c r="F70" i="3"/>
  <c r="L127" i="2" s="1"/>
  <c r="E70" i="3"/>
  <c r="K127" i="2" s="1"/>
  <c r="D70" i="3"/>
  <c r="J127" i="2" s="1"/>
  <c r="C70" i="3"/>
  <c r="I127" i="2" s="1"/>
  <c r="O69" i="3"/>
  <c r="K69" i="3"/>
  <c r="R65" i="3"/>
  <c r="X42" i="2" s="1"/>
  <c r="Q65" i="3"/>
  <c r="W42" i="2" s="1"/>
  <c r="P65" i="3"/>
  <c r="V42" i="2" s="1"/>
  <c r="O65" i="3"/>
  <c r="U42" i="2" s="1"/>
  <c r="N65" i="3"/>
  <c r="T42" i="2" s="1"/>
  <c r="M65" i="3"/>
  <c r="S42" i="2" s="1"/>
  <c r="L65" i="3"/>
  <c r="R42" i="2" s="1"/>
  <c r="K65" i="3"/>
  <c r="Q42" i="2" s="1"/>
  <c r="J65" i="3"/>
  <c r="P42" i="2" s="1"/>
  <c r="I65" i="3"/>
  <c r="O42" i="2" s="1"/>
  <c r="H65" i="3"/>
  <c r="N42" i="2" s="1"/>
  <c r="F65" i="3"/>
  <c r="L42" i="2" s="1"/>
  <c r="E65" i="3"/>
  <c r="K42" i="2" s="1"/>
  <c r="D65" i="3"/>
  <c r="J42" i="2" s="1"/>
  <c r="R64" i="3"/>
  <c r="X41" i="2" s="1"/>
  <c r="Q64" i="3"/>
  <c r="W41" i="2" s="1"/>
  <c r="P64" i="3"/>
  <c r="V41" i="2" s="1"/>
  <c r="O64" i="3"/>
  <c r="U41" i="2" s="1"/>
  <c r="N64" i="3"/>
  <c r="T41" i="2" s="1"/>
  <c r="M64" i="3"/>
  <c r="S41" i="2" s="1"/>
  <c r="L64" i="3"/>
  <c r="R41" i="2" s="1"/>
  <c r="F64" i="3"/>
  <c r="L41" i="2" s="1"/>
  <c r="E64" i="3"/>
  <c r="K41" i="2" s="1"/>
  <c r="R61" i="3"/>
  <c r="X39" i="2" s="1"/>
  <c r="Q61" i="3"/>
  <c r="W39" i="2" s="1"/>
  <c r="P61" i="3"/>
  <c r="V39" i="2" s="1"/>
  <c r="O61" i="3"/>
  <c r="U39" i="2" s="1"/>
  <c r="N61" i="3"/>
  <c r="T39" i="2" s="1"/>
  <c r="M61" i="3"/>
  <c r="S39" i="2" s="1"/>
  <c r="L61" i="3"/>
  <c r="R39" i="2" s="1"/>
  <c r="F61" i="3"/>
  <c r="L39" i="2" s="1"/>
  <c r="E61" i="3"/>
  <c r="K39" i="2" s="1"/>
  <c r="D61" i="3"/>
  <c r="J39" i="2" s="1"/>
  <c r="R58" i="3"/>
  <c r="X124" i="2" s="1"/>
  <c r="Q58" i="3"/>
  <c r="W124" i="2" s="1"/>
  <c r="P58" i="3"/>
  <c r="V124" i="2" s="1"/>
  <c r="N58" i="3"/>
  <c r="T124" i="2" s="1"/>
  <c r="M58" i="3"/>
  <c r="S124" i="2" s="1"/>
  <c r="L58" i="3"/>
  <c r="R124" i="2" s="1"/>
  <c r="F58" i="3"/>
  <c r="L124" i="2" s="1"/>
  <c r="E58" i="3"/>
  <c r="K124" i="2" s="1"/>
  <c r="D58" i="3"/>
  <c r="J124" i="2" s="1"/>
  <c r="O57" i="3"/>
  <c r="J57" i="3"/>
  <c r="J58" i="3" s="1"/>
  <c r="P124" i="2" s="1"/>
  <c r="I57" i="3"/>
  <c r="I58" i="3" s="1"/>
  <c r="O124" i="2" s="1"/>
  <c r="H57" i="3"/>
  <c r="C57" i="3"/>
  <c r="C58" i="3" s="1"/>
  <c r="I124" i="2" s="1"/>
  <c r="K56" i="3"/>
  <c r="K55" i="3"/>
  <c r="R54" i="3"/>
  <c r="X123" i="2" s="1"/>
  <c r="Q54" i="3"/>
  <c r="W123" i="2" s="1"/>
  <c r="P54" i="3"/>
  <c r="V123" i="2" s="1"/>
  <c r="N54" i="3"/>
  <c r="T123" i="2" s="1"/>
  <c r="M54" i="3"/>
  <c r="S123" i="2" s="1"/>
  <c r="L54" i="3"/>
  <c r="R123" i="2" s="1"/>
  <c r="J54" i="3"/>
  <c r="P123" i="2" s="1"/>
  <c r="I54" i="3"/>
  <c r="O123" i="2" s="1"/>
  <c r="H54" i="3"/>
  <c r="N123" i="2" s="1"/>
  <c r="F54" i="3"/>
  <c r="L123" i="2" s="1"/>
  <c r="E54" i="3"/>
  <c r="K123" i="2" s="1"/>
  <c r="D54" i="3"/>
  <c r="J123" i="2" s="1"/>
  <c r="C54" i="3"/>
  <c r="I123" i="2" s="1"/>
  <c r="O53" i="3"/>
  <c r="K53" i="3"/>
  <c r="R49" i="3"/>
  <c r="X35" i="2" s="1"/>
  <c r="Q49" i="3"/>
  <c r="W35" i="2" s="1"/>
  <c r="P49" i="3"/>
  <c r="V35" i="2" s="1"/>
  <c r="O49" i="3"/>
  <c r="U35" i="2" s="1"/>
  <c r="N49" i="3"/>
  <c r="T35" i="2" s="1"/>
  <c r="M49" i="3"/>
  <c r="S35" i="2" s="1"/>
  <c r="L49" i="3"/>
  <c r="R35" i="2" s="1"/>
  <c r="K49" i="3"/>
  <c r="Q35" i="2" s="1"/>
  <c r="J49" i="3"/>
  <c r="P35" i="2" s="1"/>
  <c r="I49" i="3"/>
  <c r="O35" i="2" s="1"/>
  <c r="H49" i="3"/>
  <c r="N35" i="2" s="1"/>
  <c r="F49" i="3"/>
  <c r="L35" i="2" s="1"/>
  <c r="E49" i="3"/>
  <c r="K35" i="2" s="1"/>
  <c r="D49" i="3"/>
  <c r="J35" i="2" s="1"/>
  <c r="R48" i="3"/>
  <c r="X34" i="2" s="1"/>
  <c r="Q48" i="3"/>
  <c r="W34" i="2" s="1"/>
  <c r="P48" i="3"/>
  <c r="V34" i="2" s="1"/>
  <c r="O48" i="3"/>
  <c r="U34" i="2" s="1"/>
  <c r="N48" i="3"/>
  <c r="T34" i="2" s="1"/>
  <c r="M48" i="3"/>
  <c r="S34" i="2" s="1"/>
  <c r="L48" i="3"/>
  <c r="R34" i="2" s="1"/>
  <c r="F48" i="3"/>
  <c r="L34" i="2" s="1"/>
  <c r="E48" i="3"/>
  <c r="K34" i="2" s="1"/>
  <c r="R45" i="3"/>
  <c r="X32" i="2" s="1"/>
  <c r="Q45" i="3"/>
  <c r="W32" i="2" s="1"/>
  <c r="P45" i="3"/>
  <c r="V32" i="2" s="1"/>
  <c r="O45" i="3"/>
  <c r="U32" i="2" s="1"/>
  <c r="N45" i="3"/>
  <c r="T32" i="2" s="1"/>
  <c r="M45" i="3"/>
  <c r="S32" i="2" s="1"/>
  <c r="L45" i="3"/>
  <c r="R32" i="2" s="1"/>
  <c r="F45" i="3"/>
  <c r="L32" i="2" s="1"/>
  <c r="E45" i="3"/>
  <c r="K32" i="2" s="1"/>
  <c r="D45" i="3"/>
  <c r="J32" i="2" s="1"/>
  <c r="L34" i="3"/>
  <c r="K34" i="3"/>
  <c r="J34" i="3"/>
  <c r="I34" i="3"/>
  <c r="H34" i="3"/>
  <c r="G34" i="3"/>
  <c r="F34" i="3"/>
  <c r="E34" i="3"/>
  <c r="D34" i="3"/>
  <c r="C34" i="3"/>
  <c r="L33" i="3"/>
  <c r="L149" i="2" s="1"/>
  <c r="K33" i="3"/>
  <c r="K149" i="2" s="1"/>
  <c r="J33" i="3"/>
  <c r="J149" i="2" s="1"/>
  <c r="I33" i="3"/>
  <c r="I149" i="2" s="1"/>
  <c r="H33" i="3"/>
  <c r="G33" i="3"/>
  <c r="F33" i="3"/>
  <c r="E33" i="3"/>
  <c r="D33" i="3"/>
  <c r="C33" i="3"/>
  <c r="X25" i="3"/>
  <c r="X79" i="2" s="1"/>
  <c r="W25" i="3"/>
  <c r="W79" i="2" s="1"/>
  <c r="V25" i="3"/>
  <c r="V79" i="2" s="1"/>
  <c r="U25" i="3"/>
  <c r="U79" i="2" s="1"/>
  <c r="T25" i="3"/>
  <c r="T79" i="2" s="1"/>
  <c r="S25" i="3"/>
  <c r="S79" i="2" s="1"/>
  <c r="R25" i="3"/>
  <c r="R79" i="2" s="1"/>
  <c r="L25" i="3"/>
  <c r="L79" i="2" s="1"/>
  <c r="K25" i="3"/>
  <c r="K79" i="2" s="1"/>
  <c r="J25" i="3"/>
  <c r="J79" i="2" s="1"/>
  <c r="I25" i="3"/>
  <c r="I79" i="2" s="1"/>
  <c r="H25" i="3"/>
  <c r="G25" i="3"/>
  <c r="F25" i="3"/>
  <c r="D24" i="3"/>
  <c r="E25" i="3" s="1"/>
  <c r="C24" i="3"/>
  <c r="D25" i="3" s="1"/>
  <c r="X21" i="3"/>
  <c r="X81" i="2" s="1"/>
  <c r="W21" i="3"/>
  <c r="W81" i="2" s="1"/>
  <c r="V21" i="3"/>
  <c r="V81" i="2" s="1"/>
  <c r="T21" i="3"/>
  <c r="S21" i="3"/>
  <c r="R21" i="3"/>
  <c r="P21" i="3"/>
  <c r="O21" i="3"/>
  <c r="N21" i="3"/>
  <c r="L21" i="3"/>
  <c r="L81" i="2" s="1"/>
  <c r="K21" i="3"/>
  <c r="J21" i="3"/>
  <c r="I21" i="3"/>
  <c r="H21" i="3"/>
  <c r="I22" i="3" s="1"/>
  <c r="G21" i="3"/>
  <c r="H22" i="3" s="1"/>
  <c r="F21" i="3"/>
  <c r="G22" i="3" s="1"/>
  <c r="E21" i="3"/>
  <c r="F22" i="3" s="1"/>
  <c r="D21" i="3"/>
  <c r="E22" i="3" s="1"/>
  <c r="C21" i="3"/>
  <c r="D22" i="3" s="1"/>
  <c r="X19" i="3"/>
  <c r="W19" i="3"/>
  <c r="V19" i="3"/>
  <c r="T19" i="3"/>
  <c r="S19" i="3"/>
  <c r="R19" i="3"/>
  <c r="P19" i="3"/>
  <c r="O19" i="3"/>
  <c r="N19" i="3"/>
  <c r="L19" i="3"/>
  <c r="K19" i="3"/>
  <c r="J19" i="3"/>
  <c r="I19" i="3"/>
  <c r="H19" i="3"/>
  <c r="G19" i="3"/>
  <c r="F19" i="3"/>
  <c r="E19" i="3"/>
  <c r="D19" i="3"/>
  <c r="C19" i="3"/>
  <c r="X146" i="2"/>
  <c r="W146" i="2"/>
  <c r="V146" i="2"/>
  <c r="T146" i="2"/>
  <c r="S146" i="2"/>
  <c r="R146" i="2"/>
  <c r="P146" i="2"/>
  <c r="O146" i="2"/>
  <c r="N146" i="2"/>
  <c r="L146" i="2"/>
  <c r="K146" i="2"/>
  <c r="J146" i="2"/>
  <c r="I146" i="2"/>
  <c r="X142" i="2"/>
  <c r="W142" i="2"/>
  <c r="V142" i="2"/>
  <c r="T142" i="2"/>
  <c r="S142" i="2"/>
  <c r="R142" i="2"/>
  <c r="P142" i="2"/>
  <c r="O142" i="2"/>
  <c r="N142" i="2"/>
  <c r="L142" i="2"/>
  <c r="K142" i="2"/>
  <c r="J142" i="2"/>
  <c r="I142" i="2"/>
  <c r="X138" i="2"/>
  <c r="W138" i="2"/>
  <c r="V138" i="2"/>
  <c r="T138" i="2"/>
  <c r="S138" i="2"/>
  <c r="R138" i="2"/>
  <c r="P138" i="2"/>
  <c r="O138" i="2"/>
  <c r="N138" i="2"/>
  <c r="L138" i="2"/>
  <c r="K138" i="2"/>
  <c r="J138" i="2"/>
  <c r="I138" i="2"/>
  <c r="X134" i="2"/>
  <c r="W134" i="2"/>
  <c r="V134" i="2"/>
  <c r="T134" i="2"/>
  <c r="S134" i="2"/>
  <c r="R134" i="2"/>
  <c r="P134" i="2"/>
  <c r="O134" i="2"/>
  <c r="N134" i="2"/>
  <c r="L134" i="2"/>
  <c r="K134" i="2"/>
  <c r="J134" i="2"/>
  <c r="I134" i="2"/>
  <c r="X130" i="2"/>
  <c r="W130" i="2"/>
  <c r="V130" i="2"/>
  <c r="T130" i="2"/>
  <c r="S130" i="2"/>
  <c r="R130" i="2"/>
  <c r="P130" i="2"/>
  <c r="O130" i="2"/>
  <c r="N130" i="2"/>
  <c r="L130" i="2"/>
  <c r="K130" i="2"/>
  <c r="J130" i="2"/>
  <c r="I130" i="2"/>
  <c r="X126" i="2"/>
  <c r="W126" i="2"/>
  <c r="V126" i="2"/>
  <c r="T126" i="2"/>
  <c r="S126" i="2"/>
  <c r="R126" i="2"/>
  <c r="P126" i="2"/>
  <c r="O126" i="2"/>
  <c r="N126" i="2"/>
  <c r="L126" i="2"/>
  <c r="K126" i="2"/>
  <c r="J126" i="2"/>
  <c r="I126" i="2"/>
  <c r="X122" i="2"/>
  <c r="W122" i="2"/>
  <c r="V122" i="2"/>
  <c r="T122" i="2"/>
  <c r="S122" i="2"/>
  <c r="R122" i="2"/>
  <c r="P122" i="2"/>
  <c r="O122" i="2"/>
  <c r="N122" i="2"/>
  <c r="L122" i="2"/>
  <c r="K122" i="2"/>
  <c r="J122" i="2"/>
  <c r="I122" i="2"/>
  <c r="X116" i="2"/>
  <c r="W116" i="2"/>
  <c r="V116" i="2"/>
  <c r="U116" i="2"/>
  <c r="T116" i="2"/>
  <c r="S116" i="2"/>
  <c r="R116" i="2"/>
  <c r="Q116" i="2"/>
  <c r="P116" i="2"/>
  <c r="O116" i="2"/>
  <c r="N116" i="2"/>
  <c r="L116" i="2"/>
  <c r="K116" i="2"/>
  <c r="J116" i="2"/>
  <c r="X115" i="2"/>
  <c r="W115" i="2"/>
  <c r="V115" i="2"/>
  <c r="U115" i="2"/>
  <c r="T115" i="2"/>
  <c r="S115" i="2"/>
  <c r="R115" i="2"/>
  <c r="Q115" i="2"/>
  <c r="P115" i="2"/>
  <c r="O115" i="2"/>
  <c r="N115" i="2"/>
  <c r="L115" i="2"/>
  <c r="K115" i="2"/>
  <c r="J115" i="2"/>
  <c r="X113" i="2"/>
  <c r="W113" i="2"/>
  <c r="V113" i="2"/>
  <c r="U113" i="2"/>
  <c r="T113" i="2"/>
  <c r="S113" i="2"/>
  <c r="R113" i="2"/>
  <c r="Q113" i="2"/>
  <c r="P113" i="2"/>
  <c r="O113" i="2"/>
  <c r="N113" i="2"/>
  <c r="L113" i="2"/>
  <c r="K113" i="2"/>
  <c r="J113" i="2"/>
  <c r="X111" i="2"/>
  <c r="W111" i="2"/>
  <c r="V111" i="2"/>
  <c r="U111" i="2"/>
  <c r="T111" i="2"/>
  <c r="S111" i="2"/>
  <c r="R111" i="2"/>
  <c r="Q111" i="2"/>
  <c r="P111" i="2"/>
  <c r="O111" i="2"/>
  <c r="N111" i="2"/>
  <c r="L111" i="2"/>
  <c r="K111" i="2"/>
  <c r="J111" i="2"/>
  <c r="X110" i="2"/>
  <c r="W110" i="2"/>
  <c r="V110" i="2"/>
  <c r="U110" i="2"/>
  <c r="T110" i="2"/>
  <c r="S110" i="2"/>
  <c r="R110" i="2"/>
  <c r="Q110" i="2"/>
  <c r="P110" i="2"/>
  <c r="O110" i="2"/>
  <c r="N110" i="2"/>
  <c r="L110" i="2"/>
  <c r="K110" i="2"/>
  <c r="J110" i="2"/>
  <c r="X108" i="2"/>
  <c r="W108" i="2"/>
  <c r="V108" i="2"/>
  <c r="U108" i="2"/>
  <c r="T108" i="2"/>
  <c r="S108" i="2"/>
  <c r="R108" i="2"/>
  <c r="Q108" i="2"/>
  <c r="P108" i="2"/>
  <c r="O108" i="2"/>
  <c r="N108" i="2"/>
  <c r="L108" i="2"/>
  <c r="K108" i="2"/>
  <c r="J108" i="2"/>
  <c r="X106" i="2"/>
  <c r="W106" i="2"/>
  <c r="V106" i="2"/>
  <c r="U106" i="2"/>
  <c r="T106" i="2"/>
  <c r="S106" i="2"/>
  <c r="R106" i="2"/>
  <c r="Q106" i="2"/>
  <c r="P106" i="2"/>
  <c r="O106" i="2"/>
  <c r="N106" i="2"/>
  <c r="L106" i="2"/>
  <c r="K106" i="2"/>
  <c r="J106" i="2"/>
  <c r="X105" i="2"/>
  <c r="W105" i="2"/>
  <c r="V105" i="2"/>
  <c r="U105" i="2"/>
  <c r="T105" i="2"/>
  <c r="S105" i="2"/>
  <c r="R105" i="2"/>
  <c r="Q105" i="2"/>
  <c r="P105" i="2"/>
  <c r="O105" i="2"/>
  <c r="N105" i="2"/>
  <c r="L105" i="2"/>
  <c r="K105" i="2"/>
  <c r="J105" i="2"/>
  <c r="X104" i="2"/>
  <c r="W104" i="2"/>
  <c r="V104" i="2"/>
  <c r="U104" i="2"/>
  <c r="T104" i="2"/>
  <c r="S104" i="2"/>
  <c r="R104" i="2"/>
  <c r="Q104" i="2"/>
  <c r="P104" i="2"/>
  <c r="O104" i="2"/>
  <c r="N104" i="2"/>
  <c r="L104" i="2"/>
  <c r="K104" i="2"/>
  <c r="J104" i="2"/>
  <c r="X102" i="2"/>
  <c r="V125" i="15" s="1"/>
  <c r="W102" i="2"/>
  <c r="U125" i="15" s="1"/>
  <c r="V102" i="2"/>
  <c r="T125" i="15" s="1"/>
  <c r="U102" i="2"/>
  <c r="S125" i="15" s="1"/>
  <c r="T102" i="2"/>
  <c r="R125" i="15" s="1"/>
  <c r="S102" i="2"/>
  <c r="Q125" i="15" s="1"/>
  <c r="R102" i="2"/>
  <c r="P125" i="15" s="1"/>
  <c r="Q102" i="2"/>
  <c r="P102" i="2"/>
  <c r="O102" i="2"/>
  <c r="N102" i="2"/>
  <c r="L102" i="2"/>
  <c r="M125" i="15" s="1"/>
  <c r="K102" i="2"/>
  <c r="L125" i="15" s="1"/>
  <c r="J102" i="2"/>
  <c r="K125" i="15" s="1"/>
  <c r="X100" i="2"/>
  <c r="W100" i="2"/>
  <c r="V100" i="2"/>
  <c r="U100" i="2"/>
  <c r="T100" i="2"/>
  <c r="S100" i="2"/>
  <c r="R100" i="2"/>
  <c r="Q100" i="2"/>
  <c r="P100" i="2"/>
  <c r="O100" i="2"/>
  <c r="N100" i="2"/>
  <c r="L100" i="2"/>
  <c r="K100" i="2"/>
  <c r="J100" i="2"/>
  <c r="X99" i="2"/>
  <c r="W99" i="2"/>
  <c r="V99" i="2"/>
  <c r="U99" i="2"/>
  <c r="T99" i="2"/>
  <c r="S99" i="2"/>
  <c r="R99" i="2"/>
  <c r="Q99" i="2"/>
  <c r="P99" i="2"/>
  <c r="O99" i="2"/>
  <c r="N99" i="2"/>
  <c r="L99" i="2"/>
  <c r="K99" i="2"/>
  <c r="J99" i="2"/>
  <c r="X97" i="2"/>
  <c r="V116" i="15" s="1"/>
  <c r="W97" i="2"/>
  <c r="U116" i="15" s="1"/>
  <c r="V97" i="2"/>
  <c r="T116" i="15" s="1"/>
  <c r="U97" i="2"/>
  <c r="S116" i="15" s="1"/>
  <c r="T97" i="2"/>
  <c r="R116" i="15" s="1"/>
  <c r="S97" i="2"/>
  <c r="Q116" i="15" s="1"/>
  <c r="R97" i="2"/>
  <c r="P116" i="15" s="1"/>
  <c r="Q97" i="2"/>
  <c r="P97" i="2"/>
  <c r="O97" i="2"/>
  <c r="N97" i="2"/>
  <c r="L97" i="2"/>
  <c r="M116" i="15" s="1"/>
  <c r="K97" i="2"/>
  <c r="L116" i="15" s="1"/>
  <c r="J97" i="2"/>
  <c r="K116" i="15" s="1"/>
  <c r="X95" i="2"/>
  <c r="W95" i="2"/>
  <c r="V95" i="2"/>
  <c r="U95" i="2"/>
  <c r="T95" i="2"/>
  <c r="S95" i="2"/>
  <c r="R95" i="2"/>
  <c r="Q95" i="2"/>
  <c r="P95" i="2"/>
  <c r="O95" i="2"/>
  <c r="N95" i="2"/>
  <c r="L95" i="2"/>
  <c r="K95" i="2"/>
  <c r="J95" i="2"/>
  <c r="X94" i="2"/>
  <c r="W94" i="2"/>
  <c r="V94" i="2"/>
  <c r="U94" i="2"/>
  <c r="T94" i="2"/>
  <c r="S94" i="2"/>
  <c r="R94" i="2"/>
  <c r="Q94" i="2"/>
  <c r="P94" i="2"/>
  <c r="O94" i="2"/>
  <c r="N94" i="2"/>
  <c r="L94" i="2"/>
  <c r="K94" i="2"/>
  <c r="J94" i="2"/>
  <c r="X92" i="2"/>
  <c r="W92" i="2"/>
  <c r="V92" i="2"/>
  <c r="U92" i="2"/>
  <c r="T92" i="2"/>
  <c r="S92" i="2"/>
  <c r="R92" i="2"/>
  <c r="Q92" i="2"/>
  <c r="P92" i="2"/>
  <c r="O92" i="2"/>
  <c r="N92" i="2"/>
  <c r="L92" i="2"/>
  <c r="K92" i="2"/>
  <c r="J92" i="2"/>
  <c r="X90" i="2"/>
  <c r="W90" i="2"/>
  <c r="V90" i="2"/>
  <c r="U90" i="2"/>
  <c r="T90" i="2"/>
  <c r="S90" i="2"/>
  <c r="R90" i="2"/>
  <c r="Q90" i="2"/>
  <c r="P90" i="2"/>
  <c r="O90" i="2"/>
  <c r="N90" i="2"/>
  <c r="L90" i="2"/>
  <c r="K90" i="2"/>
  <c r="J90" i="2"/>
  <c r="X89" i="2"/>
  <c r="W89" i="2"/>
  <c r="V89" i="2"/>
  <c r="U89" i="2"/>
  <c r="T89" i="2"/>
  <c r="S89" i="2"/>
  <c r="R89" i="2"/>
  <c r="Q89" i="2"/>
  <c r="P89" i="2"/>
  <c r="O89" i="2"/>
  <c r="N89" i="2"/>
  <c r="L89" i="2"/>
  <c r="K89" i="2"/>
  <c r="J89" i="2"/>
  <c r="X87" i="2"/>
  <c r="V98" i="15" s="1"/>
  <c r="W87" i="2"/>
  <c r="U98" i="15" s="1"/>
  <c r="V87" i="2"/>
  <c r="T98" i="15" s="1"/>
  <c r="U87" i="2"/>
  <c r="S98" i="15" s="1"/>
  <c r="T87" i="2"/>
  <c r="R98" i="15" s="1"/>
  <c r="S87" i="2"/>
  <c r="Q98" i="15" s="1"/>
  <c r="R87" i="2"/>
  <c r="P98" i="15" s="1"/>
  <c r="Q87" i="2"/>
  <c r="P87" i="2"/>
  <c r="O87" i="2"/>
  <c r="N87" i="2"/>
  <c r="L87" i="2"/>
  <c r="M98" i="15" s="1"/>
  <c r="K87" i="2"/>
  <c r="L98" i="15" s="1"/>
  <c r="J87" i="2"/>
  <c r="K98" i="15" s="1"/>
  <c r="X78" i="2"/>
  <c r="W78" i="2"/>
  <c r="V78" i="2"/>
  <c r="U78" i="2"/>
  <c r="T78" i="2"/>
  <c r="S78" i="2"/>
  <c r="R78" i="2"/>
  <c r="Q78" i="2"/>
  <c r="P78" i="2"/>
  <c r="O78" i="2"/>
  <c r="N78" i="2"/>
  <c r="L78" i="2"/>
  <c r="K78" i="2"/>
  <c r="J78" i="2"/>
  <c r="I78" i="2"/>
  <c r="X74" i="2"/>
  <c r="W74" i="2"/>
  <c r="V74" i="2"/>
  <c r="U74" i="2"/>
  <c r="T74" i="2"/>
  <c r="S74" i="2"/>
  <c r="R74" i="2"/>
  <c r="Q74" i="2"/>
  <c r="P74" i="2"/>
  <c r="O74" i="2"/>
  <c r="N74" i="2"/>
  <c r="L74" i="2"/>
  <c r="K74" i="2"/>
  <c r="J74" i="2"/>
  <c r="I74" i="2"/>
  <c r="X73" i="2"/>
  <c r="W73" i="2"/>
  <c r="V73" i="2"/>
  <c r="T156" i="15" s="1"/>
  <c r="U73" i="2"/>
  <c r="T73" i="2"/>
  <c r="S73" i="2"/>
  <c r="R73" i="2"/>
  <c r="Q73" i="2"/>
  <c r="P73" i="2"/>
  <c r="O73" i="2"/>
  <c r="N73" i="2"/>
  <c r="L73" i="2"/>
  <c r="K73" i="2"/>
  <c r="J73" i="2"/>
  <c r="X71" i="2"/>
  <c r="W71" i="2"/>
  <c r="V71" i="2"/>
  <c r="U71" i="2"/>
  <c r="T71" i="2"/>
  <c r="S71" i="2"/>
  <c r="R71" i="2"/>
  <c r="Q71" i="2"/>
  <c r="P71" i="2"/>
  <c r="O71" i="2"/>
  <c r="N71" i="2"/>
  <c r="L71" i="2"/>
  <c r="K71" i="2"/>
  <c r="J71" i="2"/>
  <c r="I71" i="2"/>
  <c r="X68" i="2"/>
  <c r="W68" i="2"/>
  <c r="V68" i="2"/>
  <c r="U68" i="2"/>
  <c r="T68" i="2"/>
  <c r="S68" i="2"/>
  <c r="R68" i="2"/>
  <c r="Q68" i="2"/>
  <c r="P68" i="2"/>
  <c r="O68" i="2"/>
  <c r="N68" i="2"/>
  <c r="L68" i="2"/>
  <c r="K68" i="2"/>
  <c r="J68" i="2"/>
  <c r="X66" i="2"/>
  <c r="W66" i="2"/>
  <c r="V66" i="2"/>
  <c r="U66" i="2"/>
  <c r="T66" i="2"/>
  <c r="S66" i="2"/>
  <c r="R66" i="2"/>
  <c r="Q66" i="2"/>
  <c r="P66" i="2"/>
  <c r="O66" i="2"/>
  <c r="N66" i="2"/>
  <c r="L66" i="2"/>
  <c r="K66" i="2"/>
  <c r="J66" i="2"/>
  <c r="I66" i="2"/>
  <c r="X64" i="2"/>
  <c r="W64" i="2"/>
  <c r="V64" i="2"/>
  <c r="U64" i="2"/>
  <c r="T64" i="2"/>
  <c r="S64" i="2"/>
  <c r="R64" i="2"/>
  <c r="Q64" i="2"/>
  <c r="P64" i="2"/>
  <c r="O64" i="2"/>
  <c r="N64" i="2"/>
  <c r="L64" i="2"/>
  <c r="K64" i="2"/>
  <c r="J64" i="2"/>
  <c r="I64" i="2"/>
  <c r="X61" i="2"/>
  <c r="V139" i="15" s="1"/>
  <c r="W61" i="2"/>
  <c r="U139" i="15" s="1"/>
  <c r="V61" i="2"/>
  <c r="T139" i="15" s="1"/>
  <c r="U61" i="2"/>
  <c r="S139" i="15" s="1"/>
  <c r="T61" i="2"/>
  <c r="R139" i="15" s="1"/>
  <c r="S61" i="2"/>
  <c r="Q139" i="15" s="1"/>
  <c r="R61" i="2"/>
  <c r="P139" i="15" s="1"/>
  <c r="Q61" i="2"/>
  <c r="P61" i="2"/>
  <c r="O61" i="2"/>
  <c r="N61" i="2"/>
  <c r="L61" i="2"/>
  <c r="M139" i="15" s="1"/>
  <c r="K61" i="2"/>
  <c r="L139" i="15" s="1"/>
  <c r="J61" i="2"/>
  <c r="K139" i="15" s="1"/>
  <c r="X59" i="2"/>
  <c r="V137" i="15" s="1"/>
  <c r="W59" i="2"/>
  <c r="U137" i="15" s="1"/>
  <c r="V59" i="2"/>
  <c r="T137" i="15" s="1"/>
  <c r="U59" i="2"/>
  <c r="S137" i="15" s="1"/>
  <c r="T59" i="2"/>
  <c r="R137" i="15" s="1"/>
  <c r="S59" i="2"/>
  <c r="Q137" i="15" s="1"/>
  <c r="R59" i="2"/>
  <c r="P137" i="15" s="1"/>
  <c r="Q59" i="2"/>
  <c r="P59" i="2"/>
  <c r="O59" i="2"/>
  <c r="N59" i="2"/>
  <c r="L59" i="2"/>
  <c r="M137" i="15" s="1"/>
  <c r="K59" i="2"/>
  <c r="L137" i="15" s="1"/>
  <c r="J59" i="2"/>
  <c r="K137" i="15" s="1"/>
  <c r="I59" i="2"/>
  <c r="J137" i="15" s="1"/>
  <c r="X57" i="2"/>
  <c r="W57" i="2"/>
  <c r="V57" i="2"/>
  <c r="U57" i="2"/>
  <c r="T57" i="2"/>
  <c r="S57" i="2"/>
  <c r="R57" i="2"/>
  <c r="Q57" i="2"/>
  <c r="P57" i="2"/>
  <c r="O57" i="2"/>
  <c r="N57" i="2"/>
  <c r="L57" i="2"/>
  <c r="K57" i="2"/>
  <c r="J57" i="2"/>
  <c r="I57" i="2"/>
  <c r="X54" i="2"/>
  <c r="V130" i="15" s="1"/>
  <c r="W54" i="2"/>
  <c r="U130" i="15" s="1"/>
  <c r="V54" i="2"/>
  <c r="T130" i="15" s="1"/>
  <c r="U54" i="2"/>
  <c r="S130" i="15" s="1"/>
  <c r="T54" i="2"/>
  <c r="R130" i="15" s="1"/>
  <c r="S54" i="2"/>
  <c r="Q130" i="15" s="1"/>
  <c r="R54" i="2"/>
  <c r="P130" i="15" s="1"/>
  <c r="Q54" i="2"/>
  <c r="P54" i="2"/>
  <c r="O54" i="2"/>
  <c r="N54" i="2"/>
  <c r="L54" i="2"/>
  <c r="M130" i="15" s="1"/>
  <c r="K54" i="2"/>
  <c r="L130" i="15" s="1"/>
  <c r="J54" i="2"/>
  <c r="K130" i="15" s="1"/>
  <c r="X52" i="2"/>
  <c r="V128" i="15" s="1"/>
  <c r="W52" i="2"/>
  <c r="U128" i="15" s="1"/>
  <c r="V52" i="2"/>
  <c r="T128" i="15" s="1"/>
  <c r="U52" i="2"/>
  <c r="S128" i="15" s="1"/>
  <c r="T52" i="2"/>
  <c r="R128" i="15" s="1"/>
  <c r="S52" i="2"/>
  <c r="Q128" i="15" s="1"/>
  <c r="R52" i="2"/>
  <c r="P128" i="15" s="1"/>
  <c r="Q52" i="2"/>
  <c r="P52" i="2"/>
  <c r="O52" i="2"/>
  <c r="N52" i="2"/>
  <c r="L52" i="2"/>
  <c r="M128" i="15" s="1"/>
  <c r="K52" i="2"/>
  <c r="L128" i="15" s="1"/>
  <c r="J52" i="2"/>
  <c r="K128" i="15" s="1"/>
  <c r="I52" i="2"/>
  <c r="J128" i="15" s="1"/>
  <c r="X50" i="2"/>
  <c r="W50" i="2"/>
  <c r="V50" i="2"/>
  <c r="U50" i="2"/>
  <c r="T50" i="2"/>
  <c r="S50" i="2"/>
  <c r="R50" i="2"/>
  <c r="Q50" i="2"/>
  <c r="P50" i="2"/>
  <c r="O50" i="2"/>
  <c r="N50" i="2"/>
  <c r="L50" i="2"/>
  <c r="K50" i="2"/>
  <c r="J50" i="2"/>
  <c r="I50" i="2"/>
  <c r="X47" i="2"/>
  <c r="V121" i="15" s="1"/>
  <c r="W47" i="2"/>
  <c r="U121" i="15" s="1"/>
  <c r="V47" i="2"/>
  <c r="T121" i="15" s="1"/>
  <c r="U47" i="2"/>
  <c r="S121" i="15" s="1"/>
  <c r="T47" i="2"/>
  <c r="R121" i="15" s="1"/>
  <c r="S47" i="2"/>
  <c r="Q121" i="15" s="1"/>
  <c r="R47" i="2"/>
  <c r="P121" i="15" s="1"/>
  <c r="Q47" i="2"/>
  <c r="P47" i="2"/>
  <c r="O47" i="2"/>
  <c r="N47" i="2"/>
  <c r="L47" i="2"/>
  <c r="M121" i="15" s="1"/>
  <c r="K47" i="2"/>
  <c r="L121" i="15" s="1"/>
  <c r="J47" i="2"/>
  <c r="K121" i="15" s="1"/>
  <c r="X45" i="2"/>
  <c r="V119" i="15" s="1"/>
  <c r="W45" i="2"/>
  <c r="U119" i="15" s="1"/>
  <c r="V45" i="2"/>
  <c r="T119" i="15" s="1"/>
  <c r="U45" i="2"/>
  <c r="S119" i="15" s="1"/>
  <c r="T45" i="2"/>
  <c r="R119" i="15" s="1"/>
  <c r="S45" i="2"/>
  <c r="Q119" i="15" s="1"/>
  <c r="R45" i="2"/>
  <c r="P119" i="15" s="1"/>
  <c r="Q45" i="2"/>
  <c r="P45" i="2"/>
  <c r="O45" i="2"/>
  <c r="N45" i="2"/>
  <c r="L45" i="2"/>
  <c r="M119" i="15" s="1"/>
  <c r="K45" i="2"/>
  <c r="L119" i="15" s="1"/>
  <c r="J45" i="2"/>
  <c r="K119" i="15" s="1"/>
  <c r="I45" i="2"/>
  <c r="J119" i="15" s="1"/>
  <c r="X43" i="2"/>
  <c r="W43" i="2"/>
  <c r="V43" i="2"/>
  <c r="U43" i="2"/>
  <c r="T43" i="2"/>
  <c r="S43" i="2"/>
  <c r="R43" i="2"/>
  <c r="Q43" i="2"/>
  <c r="P43" i="2"/>
  <c r="O43" i="2"/>
  <c r="N43" i="2"/>
  <c r="L43" i="2"/>
  <c r="K43" i="2"/>
  <c r="J43" i="2"/>
  <c r="I43" i="2"/>
  <c r="X40" i="2"/>
  <c r="V112" i="15" s="1"/>
  <c r="W40" i="2"/>
  <c r="U112" i="15" s="1"/>
  <c r="V40" i="2"/>
  <c r="T112" i="15" s="1"/>
  <c r="U40" i="2"/>
  <c r="T40" i="2"/>
  <c r="S40" i="2"/>
  <c r="R40" i="2"/>
  <c r="Q40" i="2"/>
  <c r="P40" i="2"/>
  <c r="O40" i="2"/>
  <c r="N40" i="2"/>
  <c r="L40" i="2"/>
  <c r="K40" i="2"/>
  <c r="J40" i="2"/>
  <c r="X38" i="2"/>
  <c r="W38" i="2"/>
  <c r="V38" i="2"/>
  <c r="U38" i="2"/>
  <c r="T38" i="2"/>
  <c r="S38" i="2"/>
  <c r="R38" i="2"/>
  <c r="Q38" i="2"/>
  <c r="P38" i="2"/>
  <c r="O38" i="2"/>
  <c r="N38" i="2"/>
  <c r="L38" i="2"/>
  <c r="K38" i="2"/>
  <c r="J38" i="2"/>
  <c r="I38" i="2"/>
  <c r="X36" i="2"/>
  <c r="W36" i="2"/>
  <c r="V36" i="2"/>
  <c r="U36" i="2"/>
  <c r="T36" i="2"/>
  <c r="S36" i="2"/>
  <c r="R36" i="2"/>
  <c r="Q36" i="2"/>
  <c r="P36" i="2"/>
  <c r="O36" i="2"/>
  <c r="N36" i="2"/>
  <c r="L36" i="2"/>
  <c r="K36" i="2"/>
  <c r="J36" i="2"/>
  <c r="I36" i="2"/>
  <c r="X33" i="2"/>
  <c r="V103" i="15" s="1"/>
  <c r="W33" i="2"/>
  <c r="U103" i="15" s="1"/>
  <c r="V33" i="2"/>
  <c r="T103" i="15" s="1"/>
  <c r="U33" i="2"/>
  <c r="S103" i="15" s="1"/>
  <c r="T33" i="2"/>
  <c r="R103" i="15" s="1"/>
  <c r="S33" i="2"/>
  <c r="Q103" i="15" s="1"/>
  <c r="R33" i="2"/>
  <c r="P103" i="15" s="1"/>
  <c r="Q33" i="2"/>
  <c r="P33" i="2"/>
  <c r="O33" i="2"/>
  <c r="N33" i="2"/>
  <c r="L33" i="2"/>
  <c r="M103" i="15" s="1"/>
  <c r="K33" i="2"/>
  <c r="L103" i="15" s="1"/>
  <c r="J33" i="2"/>
  <c r="K103" i="15" s="1"/>
  <c r="X31" i="2"/>
  <c r="V101" i="15" s="1"/>
  <c r="W31" i="2"/>
  <c r="U101" i="15" s="1"/>
  <c r="V31" i="2"/>
  <c r="T101" i="15" s="1"/>
  <c r="U31" i="2"/>
  <c r="S101" i="15" s="1"/>
  <c r="T31" i="2"/>
  <c r="R101" i="15" s="1"/>
  <c r="S31" i="2"/>
  <c r="Q101" i="15" s="1"/>
  <c r="R31" i="2"/>
  <c r="P101" i="15" s="1"/>
  <c r="Q31" i="2"/>
  <c r="P31" i="2"/>
  <c r="O31" i="2"/>
  <c r="N31" i="2"/>
  <c r="L31" i="2"/>
  <c r="M101" i="15" s="1"/>
  <c r="K31" i="2"/>
  <c r="L101" i="15" s="1"/>
  <c r="J31" i="2"/>
  <c r="K101" i="15" s="1"/>
  <c r="I31" i="2"/>
  <c r="J101" i="15" s="1"/>
  <c r="X25" i="2"/>
  <c r="W25" i="2"/>
  <c r="V25" i="2"/>
  <c r="U25" i="2"/>
  <c r="T25" i="2"/>
  <c r="S25" i="2"/>
  <c r="R25" i="2"/>
  <c r="Q25" i="2"/>
  <c r="P25" i="2"/>
  <c r="O25" i="2"/>
  <c r="N25" i="2"/>
  <c r="L25" i="2"/>
  <c r="K25" i="2"/>
  <c r="J25" i="2"/>
  <c r="I25" i="2"/>
  <c r="H25" i="2"/>
  <c r="G25" i="2"/>
  <c r="F25" i="2"/>
  <c r="E25" i="2"/>
  <c r="D25" i="2"/>
  <c r="C25" i="2"/>
  <c r="X24" i="2"/>
  <c r="W24" i="2"/>
  <c r="V24" i="2"/>
  <c r="U24" i="2"/>
  <c r="T24" i="2"/>
  <c r="S24" i="2"/>
  <c r="R24" i="2"/>
  <c r="Q24" i="2"/>
  <c r="P24" i="2"/>
  <c r="O24" i="2"/>
  <c r="N24" i="2"/>
  <c r="L24" i="2"/>
  <c r="K24" i="2"/>
  <c r="J24" i="2"/>
  <c r="I24" i="2"/>
  <c r="H24" i="2"/>
  <c r="G24" i="2"/>
  <c r="F24" i="2"/>
  <c r="E24" i="2"/>
  <c r="D24" i="2"/>
  <c r="C24" i="2"/>
  <c r="X16" i="2"/>
  <c r="W16" i="2"/>
  <c r="V16" i="2"/>
  <c r="U16" i="2"/>
  <c r="T16" i="2"/>
  <c r="S16" i="2"/>
  <c r="R16" i="2"/>
  <c r="Q16" i="2"/>
  <c r="P16" i="2"/>
  <c r="O16" i="2"/>
  <c r="N16" i="2"/>
  <c r="L16" i="2"/>
  <c r="K16" i="2"/>
  <c r="J16" i="2"/>
  <c r="I16" i="2"/>
  <c r="H16" i="2"/>
  <c r="G16" i="2"/>
  <c r="F16" i="2"/>
  <c r="E16" i="2"/>
  <c r="D16" i="2"/>
  <c r="C16" i="2"/>
  <c r="X15" i="2"/>
  <c r="W15" i="2"/>
  <c r="V15" i="2"/>
  <c r="U15" i="2"/>
  <c r="T15" i="2"/>
  <c r="S15" i="2"/>
  <c r="R15" i="2"/>
  <c r="Q15" i="2"/>
  <c r="P15" i="2"/>
  <c r="O15" i="2"/>
  <c r="N15" i="2"/>
  <c r="L15" i="2"/>
  <c r="K15" i="2"/>
  <c r="J15" i="2"/>
  <c r="I15" i="2"/>
  <c r="H15" i="2"/>
  <c r="G15" i="2"/>
  <c r="F15" i="2"/>
  <c r="E15" i="2"/>
  <c r="D15" i="2"/>
  <c r="C15" i="2"/>
  <c r="X14" i="2"/>
  <c r="W14" i="2"/>
  <c r="V14" i="2"/>
  <c r="U14" i="2"/>
  <c r="T14" i="2"/>
  <c r="S14" i="2"/>
  <c r="R14" i="2"/>
  <c r="Q14" i="2"/>
  <c r="P14" i="2"/>
  <c r="O14" i="2"/>
  <c r="N14" i="2"/>
  <c r="L14" i="2"/>
  <c r="K14" i="2"/>
  <c r="J14" i="2"/>
  <c r="I14" i="2"/>
  <c r="H14" i="2"/>
  <c r="G14" i="2"/>
  <c r="F14" i="2"/>
  <c r="E14" i="2"/>
  <c r="D14" i="2"/>
  <c r="C14" i="2"/>
  <c r="X12" i="2"/>
  <c r="X21" i="2" s="1"/>
  <c r="W12" i="2"/>
  <c r="W21" i="2" s="1"/>
  <c r="V12" i="2"/>
  <c r="V21" i="2" s="1"/>
  <c r="U12" i="2"/>
  <c r="U21" i="2" s="1"/>
  <c r="T12" i="2"/>
  <c r="T21" i="2" s="1"/>
  <c r="S12" i="2"/>
  <c r="S21" i="2" s="1"/>
  <c r="R12" i="2"/>
  <c r="R21" i="2" s="1"/>
  <c r="Q12" i="2"/>
  <c r="Q21" i="2" s="1"/>
  <c r="P12" i="2"/>
  <c r="P21" i="2" s="1"/>
  <c r="O12" i="2"/>
  <c r="O21" i="2" s="1"/>
  <c r="N12" i="2"/>
  <c r="N21" i="2" s="1"/>
  <c r="L12" i="2"/>
  <c r="L21" i="2" s="1"/>
  <c r="K12" i="2"/>
  <c r="K21" i="2" s="1"/>
  <c r="J12" i="2"/>
  <c r="J21" i="2" s="1"/>
  <c r="I12" i="2"/>
  <c r="I21" i="2" s="1"/>
  <c r="H12" i="2"/>
  <c r="H21" i="2" s="1"/>
  <c r="G12" i="2"/>
  <c r="G21" i="2" s="1"/>
  <c r="F12" i="2"/>
  <c r="F21" i="2" s="1"/>
  <c r="E12" i="2"/>
  <c r="E21" i="2" s="1"/>
  <c r="D12" i="2"/>
  <c r="D21" i="2" s="1"/>
  <c r="C12" i="2"/>
  <c r="C21" i="2" s="1"/>
  <c r="G56" i="16"/>
  <c r="F56" i="16"/>
  <c r="E56" i="16"/>
  <c r="D56" i="16"/>
  <c r="C56" i="16"/>
  <c r="B55" i="16"/>
  <c r="C55" i="16" s="1"/>
  <c r="G46" i="16"/>
  <c r="F46" i="16"/>
  <c r="E46" i="16"/>
  <c r="D46" i="16"/>
  <c r="C46" i="16"/>
  <c r="B45" i="16"/>
  <c r="C45" i="16" s="1"/>
  <c r="G36" i="16"/>
  <c r="F36" i="16"/>
  <c r="E36" i="16"/>
  <c r="D36" i="16"/>
  <c r="C36" i="16"/>
  <c r="B35" i="16"/>
  <c r="C35" i="16" s="1"/>
  <c r="H26" i="16"/>
  <c r="H25" i="16"/>
  <c r="H24" i="16"/>
  <c r="F19" i="16"/>
  <c r="O15" i="16"/>
  <c r="N15" i="16"/>
  <c r="M15" i="16"/>
  <c r="L15" i="16"/>
  <c r="K15" i="16"/>
  <c r="O11" i="16"/>
  <c r="N11" i="16"/>
  <c r="M11" i="16"/>
  <c r="L11" i="16"/>
  <c r="K11" i="16"/>
  <c r="O10" i="16"/>
  <c r="N10" i="16"/>
  <c r="M10" i="16"/>
  <c r="L10" i="16"/>
  <c r="K10" i="16"/>
  <c r="E10" i="16"/>
  <c r="C10" i="16"/>
  <c r="O9" i="16"/>
  <c r="N9" i="16"/>
  <c r="M9" i="16"/>
  <c r="L9" i="16"/>
  <c r="K9" i="16"/>
  <c r="O6" i="16"/>
  <c r="N6" i="16"/>
  <c r="M6" i="16"/>
  <c r="L6" i="16"/>
  <c r="K6" i="16"/>
  <c r="O5" i="16"/>
  <c r="N5" i="16"/>
  <c r="M5" i="16"/>
  <c r="L5" i="16"/>
  <c r="K5" i="16"/>
  <c r="E5" i="16"/>
  <c r="D5" i="16"/>
  <c r="C5" i="16"/>
  <c r="O4" i="16"/>
  <c r="N4" i="16"/>
  <c r="M4" i="16"/>
  <c r="L4" i="16"/>
  <c r="K4" i="16"/>
  <c r="V173" i="15"/>
  <c r="U173" i="15"/>
  <c r="T173" i="15"/>
  <c r="T172" i="15" s="1"/>
  <c r="R173" i="15"/>
  <c r="Q173" i="15"/>
  <c r="P173" i="15"/>
  <c r="M173" i="15"/>
  <c r="L173" i="15"/>
  <c r="K173" i="15"/>
  <c r="J173" i="15"/>
  <c r="V172" i="15"/>
  <c r="U172" i="15"/>
  <c r="R172" i="15"/>
  <c r="Q172" i="15"/>
  <c r="P172" i="15"/>
  <c r="M172" i="15"/>
  <c r="L172" i="15"/>
  <c r="K172" i="15"/>
  <c r="J172" i="15"/>
  <c r="G172" i="15"/>
  <c r="F172" i="15"/>
  <c r="E172" i="15"/>
  <c r="D172" i="15"/>
  <c r="C172" i="15"/>
  <c r="H171" i="15"/>
  <c r="H170" i="15"/>
  <c r="H169" i="15"/>
  <c r="H168" i="15"/>
  <c r="H167" i="15"/>
  <c r="V166" i="15"/>
  <c r="U166" i="15"/>
  <c r="T166" i="15"/>
  <c r="M166" i="15"/>
  <c r="L166" i="15"/>
  <c r="K166" i="15"/>
  <c r="V164" i="15"/>
  <c r="U164" i="15"/>
  <c r="T164" i="15"/>
  <c r="R164" i="15"/>
  <c r="Q164" i="15"/>
  <c r="P164" i="15"/>
  <c r="M164" i="15"/>
  <c r="L164" i="15"/>
  <c r="H164" i="15"/>
  <c r="N162" i="15"/>
  <c r="H162" i="15"/>
  <c r="V160" i="15"/>
  <c r="U160" i="15"/>
  <c r="T160" i="15"/>
  <c r="R160" i="15"/>
  <c r="Q160" i="15"/>
  <c r="P160" i="15"/>
  <c r="M160" i="15"/>
  <c r="L160" i="15"/>
  <c r="K160" i="15"/>
  <c r="J160" i="15"/>
  <c r="H160" i="15"/>
  <c r="H159" i="15"/>
  <c r="J156" i="15"/>
  <c r="H156" i="15"/>
  <c r="K149" i="15"/>
  <c r="J149" i="15"/>
  <c r="J148" i="15"/>
  <c r="J147" i="15"/>
  <c r="H147" i="15"/>
  <c r="J145" i="15"/>
  <c r="G145" i="15"/>
  <c r="F145" i="15"/>
  <c r="E145" i="15"/>
  <c r="D145" i="15"/>
  <c r="C145" i="15"/>
  <c r="J143" i="15"/>
  <c r="J144" i="15" s="1"/>
  <c r="H143" i="15"/>
  <c r="H145" i="15" s="1"/>
  <c r="K140" i="15"/>
  <c r="J140" i="15"/>
  <c r="J139" i="15"/>
  <c r="J138" i="15"/>
  <c r="H138" i="15"/>
  <c r="J136" i="15"/>
  <c r="G136" i="15"/>
  <c r="F136" i="15"/>
  <c r="E136" i="15"/>
  <c r="D136" i="15"/>
  <c r="C136" i="15"/>
  <c r="J134" i="15"/>
  <c r="J135" i="15" s="1"/>
  <c r="H134" i="15"/>
  <c r="H136" i="15" s="1"/>
  <c r="K131" i="15"/>
  <c r="J131" i="15"/>
  <c r="J130" i="15"/>
  <c r="J129" i="15"/>
  <c r="H129" i="15"/>
  <c r="J127" i="15"/>
  <c r="G127" i="15"/>
  <c r="F127" i="15"/>
  <c r="E127" i="15"/>
  <c r="D127" i="15"/>
  <c r="C127" i="15"/>
  <c r="J125" i="15"/>
  <c r="J126" i="15" s="1"/>
  <c r="H125" i="15"/>
  <c r="H127" i="15" s="1"/>
  <c r="K122" i="15"/>
  <c r="J122" i="15"/>
  <c r="J121" i="15"/>
  <c r="J120" i="15"/>
  <c r="H120" i="15"/>
  <c r="J118" i="15"/>
  <c r="G118" i="15"/>
  <c r="F118" i="15"/>
  <c r="E118" i="15"/>
  <c r="D118" i="15"/>
  <c r="C118" i="15"/>
  <c r="J116" i="15"/>
  <c r="J117" i="15" s="1"/>
  <c r="H116" i="15"/>
  <c r="H118" i="15" s="1"/>
  <c r="K113" i="15"/>
  <c r="J113" i="15"/>
  <c r="S112" i="15"/>
  <c r="R112" i="15"/>
  <c r="Q112" i="15"/>
  <c r="P112" i="15"/>
  <c r="M112" i="15"/>
  <c r="L112" i="15"/>
  <c r="K112" i="15"/>
  <c r="J112" i="15"/>
  <c r="J111" i="15"/>
  <c r="H111" i="15"/>
  <c r="V110" i="15"/>
  <c r="U110" i="15"/>
  <c r="T110" i="15"/>
  <c r="S110" i="15"/>
  <c r="R110" i="15"/>
  <c r="Q110" i="15"/>
  <c r="P110" i="15"/>
  <c r="M110" i="15"/>
  <c r="L110" i="15"/>
  <c r="K110" i="15"/>
  <c r="J110" i="15"/>
  <c r="J109" i="15"/>
  <c r="G109" i="15"/>
  <c r="F109" i="15"/>
  <c r="E109" i="15"/>
  <c r="D109" i="15"/>
  <c r="C109" i="15"/>
  <c r="V107" i="15"/>
  <c r="U107" i="15"/>
  <c r="T107" i="15"/>
  <c r="S107" i="15"/>
  <c r="R107" i="15"/>
  <c r="Q107" i="15"/>
  <c r="P107" i="15"/>
  <c r="M107" i="15"/>
  <c r="L107" i="15"/>
  <c r="K107" i="15"/>
  <c r="J107" i="15"/>
  <c r="J108" i="15" s="1"/>
  <c r="H107" i="15"/>
  <c r="H109" i="15" s="1"/>
  <c r="K104" i="15"/>
  <c r="J104" i="15"/>
  <c r="J103" i="15"/>
  <c r="J102" i="15"/>
  <c r="H102" i="15"/>
  <c r="J100" i="15"/>
  <c r="G100" i="15"/>
  <c r="F100" i="15"/>
  <c r="E100" i="15"/>
  <c r="D100" i="15"/>
  <c r="C100" i="15"/>
  <c r="J98" i="15"/>
  <c r="J99" i="15" s="1"/>
  <c r="H98" i="15"/>
  <c r="H100" i="15" s="1"/>
  <c r="V86" i="15"/>
  <c r="U86" i="15"/>
  <c r="T86" i="15"/>
  <c r="R86" i="15"/>
  <c r="Q86" i="15"/>
  <c r="P86" i="15"/>
  <c r="M86" i="15"/>
  <c r="L86" i="15"/>
  <c r="K86" i="15"/>
  <c r="J86" i="15"/>
  <c r="C86" i="15"/>
  <c r="V85" i="15"/>
  <c r="U85" i="15"/>
  <c r="T85" i="15"/>
  <c r="R85" i="15"/>
  <c r="Q85" i="15"/>
  <c r="P85" i="15"/>
  <c r="M85" i="15"/>
  <c r="L85" i="15"/>
  <c r="K85" i="15"/>
  <c r="J85" i="15"/>
  <c r="D85" i="15"/>
  <c r="V79" i="15"/>
  <c r="U79" i="15"/>
  <c r="T79" i="15"/>
  <c r="M79" i="15"/>
  <c r="L79" i="15"/>
  <c r="K79" i="15"/>
  <c r="V77" i="15"/>
  <c r="U77" i="15"/>
  <c r="T77" i="15"/>
  <c r="R77" i="15"/>
  <c r="Q77" i="15"/>
  <c r="P77" i="15"/>
  <c r="M77" i="15"/>
  <c r="L77" i="15"/>
  <c r="C77" i="15"/>
  <c r="E77" i="15" s="1"/>
  <c r="C76" i="15"/>
  <c r="N75" i="15"/>
  <c r="V73" i="15"/>
  <c r="U73" i="15"/>
  <c r="T73" i="15"/>
  <c r="R73" i="15"/>
  <c r="Q73" i="15"/>
  <c r="P73" i="15"/>
  <c r="M73" i="15"/>
  <c r="L73" i="15"/>
  <c r="K73" i="15"/>
  <c r="J73" i="15"/>
  <c r="C73" i="15"/>
  <c r="E73" i="15" s="1"/>
  <c r="C72" i="15"/>
  <c r="E72" i="15" s="1"/>
  <c r="J69" i="15"/>
  <c r="K62" i="15"/>
  <c r="J62" i="15"/>
  <c r="J61" i="15"/>
  <c r="J60" i="15"/>
  <c r="C59" i="15"/>
  <c r="J58" i="15"/>
  <c r="D58" i="15"/>
  <c r="C58" i="15"/>
  <c r="C57" i="15" s="1"/>
  <c r="J56" i="15"/>
  <c r="J57" i="15" s="1"/>
  <c r="K53" i="15"/>
  <c r="J53" i="15"/>
  <c r="V52" i="15"/>
  <c r="U52" i="15"/>
  <c r="T52" i="15"/>
  <c r="S52" i="15"/>
  <c r="R52" i="15"/>
  <c r="Q52" i="15"/>
  <c r="P52" i="15"/>
  <c r="M52" i="15"/>
  <c r="L52" i="15"/>
  <c r="K52" i="15"/>
  <c r="J52" i="15"/>
  <c r="C52" i="15"/>
  <c r="J51" i="15"/>
  <c r="V50" i="15"/>
  <c r="U50" i="15"/>
  <c r="T50" i="15"/>
  <c r="S50" i="15"/>
  <c r="R50" i="15"/>
  <c r="Q50" i="15"/>
  <c r="P50" i="15"/>
  <c r="M50" i="15"/>
  <c r="L50" i="15"/>
  <c r="K50" i="15"/>
  <c r="J50" i="15"/>
  <c r="C50" i="15"/>
  <c r="C49" i="15" s="1"/>
  <c r="C48" i="15" s="1"/>
  <c r="J49" i="15"/>
  <c r="D49" i="15"/>
  <c r="D50" i="15" s="1"/>
  <c r="D52" i="15" s="1"/>
  <c r="D53" i="15" s="1"/>
  <c r="J47" i="15"/>
  <c r="J48" i="15" s="1"/>
  <c r="E47" i="15"/>
  <c r="K44" i="15"/>
  <c r="J44" i="15"/>
  <c r="V43" i="15"/>
  <c r="U43" i="15"/>
  <c r="T43" i="15"/>
  <c r="S43" i="15"/>
  <c r="R43" i="15"/>
  <c r="Q43" i="15"/>
  <c r="P43" i="15"/>
  <c r="M43" i="15"/>
  <c r="L43" i="15"/>
  <c r="K43" i="15"/>
  <c r="J43" i="15"/>
  <c r="C43" i="15"/>
  <c r="J42" i="15"/>
  <c r="V41" i="15"/>
  <c r="U41" i="15"/>
  <c r="T41" i="15"/>
  <c r="S41" i="15"/>
  <c r="R41" i="15"/>
  <c r="Q41" i="15"/>
  <c r="P41" i="15"/>
  <c r="M41" i="15"/>
  <c r="L41" i="15"/>
  <c r="K41" i="15"/>
  <c r="J41" i="15"/>
  <c r="C41" i="15"/>
  <c r="J40" i="15"/>
  <c r="D40" i="15"/>
  <c r="D41" i="15" s="1"/>
  <c r="D43" i="15" s="1"/>
  <c r="D44" i="15" s="1"/>
  <c r="C40" i="15"/>
  <c r="C39" i="15" s="1"/>
  <c r="V38" i="15"/>
  <c r="U38" i="15"/>
  <c r="T38" i="15"/>
  <c r="S38" i="15"/>
  <c r="R38" i="15"/>
  <c r="Q38" i="15"/>
  <c r="P38" i="15"/>
  <c r="M38" i="15"/>
  <c r="L38" i="15"/>
  <c r="K38" i="15"/>
  <c r="J38" i="15"/>
  <c r="J39" i="15" s="1"/>
  <c r="E38" i="15"/>
  <c r="K35" i="15"/>
  <c r="J35" i="15"/>
  <c r="V34" i="15"/>
  <c r="U34" i="15"/>
  <c r="T34" i="15"/>
  <c r="S34" i="15"/>
  <c r="R34" i="15"/>
  <c r="Q34" i="15"/>
  <c r="P34" i="15"/>
  <c r="M34" i="15"/>
  <c r="L34" i="15"/>
  <c r="K34" i="15"/>
  <c r="J34" i="15"/>
  <c r="C34" i="15"/>
  <c r="J33" i="15"/>
  <c r="V32" i="15"/>
  <c r="U32" i="15"/>
  <c r="T32" i="15"/>
  <c r="S32" i="15"/>
  <c r="R32" i="15"/>
  <c r="Q32" i="15"/>
  <c r="P32" i="15"/>
  <c r="M32" i="15"/>
  <c r="L32" i="15"/>
  <c r="K32" i="15"/>
  <c r="J32" i="15"/>
  <c r="C32" i="15"/>
  <c r="C31" i="15" s="1"/>
  <c r="C30" i="15" s="1"/>
  <c r="J31" i="15"/>
  <c r="D31" i="15"/>
  <c r="D32" i="15" s="1"/>
  <c r="D34" i="15" s="1"/>
  <c r="D35" i="15" s="1"/>
  <c r="V29" i="15"/>
  <c r="U29" i="15"/>
  <c r="T29" i="15"/>
  <c r="S29" i="15"/>
  <c r="R29" i="15"/>
  <c r="Q29" i="15"/>
  <c r="P29" i="15"/>
  <c r="M29" i="15"/>
  <c r="L29" i="15"/>
  <c r="K29" i="15"/>
  <c r="J29" i="15"/>
  <c r="J30" i="15" s="1"/>
  <c r="E29" i="15"/>
  <c r="K26" i="15"/>
  <c r="J26" i="15"/>
  <c r="V25" i="15"/>
  <c r="U25" i="15"/>
  <c r="T25" i="15"/>
  <c r="S25" i="15"/>
  <c r="R25" i="15"/>
  <c r="Q25" i="15"/>
  <c r="P25" i="15"/>
  <c r="M25" i="15"/>
  <c r="L25" i="15"/>
  <c r="K25" i="15"/>
  <c r="J25" i="15"/>
  <c r="C25" i="15"/>
  <c r="J24" i="15"/>
  <c r="V23" i="15"/>
  <c r="U23" i="15"/>
  <c r="T23" i="15"/>
  <c r="S23" i="15"/>
  <c r="R23" i="15"/>
  <c r="Q23" i="15"/>
  <c r="P23" i="15"/>
  <c r="M23" i="15"/>
  <c r="L23" i="15"/>
  <c r="K23" i="15"/>
  <c r="J23" i="15"/>
  <c r="C23" i="15"/>
  <c r="C22" i="15" s="1"/>
  <c r="C21" i="15" s="1"/>
  <c r="J22" i="15"/>
  <c r="D22" i="15"/>
  <c r="D23" i="15" s="1"/>
  <c r="D25" i="15" s="1"/>
  <c r="D26" i="15" s="1"/>
  <c r="V20" i="15"/>
  <c r="U20" i="15"/>
  <c r="T20" i="15"/>
  <c r="S20" i="15"/>
  <c r="R20" i="15"/>
  <c r="Q20" i="15"/>
  <c r="P20" i="15"/>
  <c r="M20" i="15"/>
  <c r="L20" i="15"/>
  <c r="K20" i="15"/>
  <c r="J20" i="15"/>
  <c r="J21" i="15" s="1"/>
  <c r="E20" i="15"/>
  <c r="K17" i="15"/>
  <c r="J17" i="15"/>
  <c r="V16" i="15"/>
  <c r="U16" i="15"/>
  <c r="T16" i="15"/>
  <c r="S16" i="15"/>
  <c r="R16" i="15"/>
  <c r="Q16" i="15"/>
  <c r="P16" i="15"/>
  <c r="M16" i="15"/>
  <c r="L16" i="15"/>
  <c r="K16" i="15"/>
  <c r="J16" i="15"/>
  <c r="J68" i="15" s="1"/>
  <c r="C16" i="15"/>
  <c r="J15" i="15"/>
  <c r="V14" i="15"/>
  <c r="U14" i="15"/>
  <c r="T14" i="15"/>
  <c r="S14" i="15"/>
  <c r="R14" i="15"/>
  <c r="Q14" i="15"/>
  <c r="P14" i="15"/>
  <c r="M14" i="15"/>
  <c r="L14" i="15"/>
  <c r="K14" i="15"/>
  <c r="J14" i="15"/>
  <c r="C14" i="15"/>
  <c r="C13" i="15" s="1"/>
  <c r="C12" i="15" s="1"/>
  <c r="J13" i="15"/>
  <c r="D13" i="15"/>
  <c r="D14" i="15" s="1"/>
  <c r="V11" i="15"/>
  <c r="U11" i="15"/>
  <c r="T11" i="15"/>
  <c r="S11" i="15"/>
  <c r="R11" i="15"/>
  <c r="Q11" i="15"/>
  <c r="P11" i="15"/>
  <c r="M11" i="15"/>
  <c r="L11" i="15"/>
  <c r="K11" i="15"/>
  <c r="J11" i="15"/>
  <c r="J12" i="15" s="1"/>
  <c r="E11" i="15"/>
  <c r="X19" i="2" l="1"/>
  <c r="W19" i="2"/>
  <c r="V19" i="2"/>
  <c r="U19" i="2"/>
  <c r="T19" i="2"/>
  <c r="S19" i="2"/>
  <c r="R19" i="2"/>
  <c r="Q19" i="2"/>
  <c r="P19" i="2"/>
  <c r="O19" i="2"/>
  <c r="N19" i="2"/>
  <c r="L19" i="2"/>
  <c r="K19" i="2"/>
  <c r="J19" i="2"/>
  <c r="I19" i="2"/>
  <c r="H19" i="2"/>
  <c r="G19" i="2"/>
  <c r="F19" i="2"/>
  <c r="E19" i="2"/>
  <c r="D19" i="2"/>
  <c r="C19" i="2"/>
  <c r="J155" i="15"/>
  <c r="S75" i="8"/>
  <c r="R75" i="8"/>
  <c r="P75" i="8"/>
  <c r="O75" i="8"/>
  <c r="N75" i="8"/>
  <c r="V143" i="15"/>
  <c r="V56" i="15"/>
  <c r="U143" i="15"/>
  <c r="U56" i="15"/>
  <c r="T56" i="15"/>
  <c r="T143" i="15"/>
  <c r="S56" i="15"/>
  <c r="S143" i="15"/>
  <c r="R56" i="15"/>
  <c r="R143" i="15"/>
  <c r="Q143" i="15"/>
  <c r="Q56" i="15"/>
  <c r="P56" i="15"/>
  <c r="P143" i="15"/>
  <c r="M56" i="15"/>
  <c r="M143" i="15"/>
  <c r="L56" i="15"/>
  <c r="L143" i="15"/>
  <c r="K56" i="15"/>
  <c r="K143" i="15"/>
  <c r="V47" i="15"/>
  <c r="V134" i="15"/>
  <c r="U47" i="15"/>
  <c r="U134" i="15"/>
  <c r="T47" i="15"/>
  <c r="T134" i="15"/>
  <c r="S47" i="15"/>
  <c r="S134" i="15"/>
  <c r="R47" i="15"/>
  <c r="R134" i="15"/>
  <c r="Q47" i="15"/>
  <c r="Q134" i="15"/>
  <c r="P47" i="15"/>
  <c r="P134" i="15"/>
  <c r="M47" i="15"/>
  <c r="M134" i="15"/>
  <c r="L134" i="15"/>
  <c r="L47" i="15"/>
  <c r="K134" i="15"/>
  <c r="K47" i="15"/>
  <c r="V69" i="15"/>
  <c r="V156" i="15"/>
  <c r="U69" i="15"/>
  <c r="U156" i="15"/>
  <c r="S69" i="15"/>
  <c r="S156" i="15"/>
  <c r="R69" i="15"/>
  <c r="R156" i="15"/>
  <c r="Q69" i="15"/>
  <c r="Q156" i="15"/>
  <c r="P69" i="15"/>
  <c r="P156" i="15"/>
  <c r="M156" i="15"/>
  <c r="M69" i="15"/>
  <c r="L69" i="15"/>
  <c r="L156" i="15"/>
  <c r="K156" i="15"/>
  <c r="K69" i="15"/>
  <c r="V148" i="15"/>
  <c r="V155" i="15" s="1"/>
  <c r="V61" i="15"/>
  <c r="V68" i="15" s="1"/>
  <c r="U148" i="15"/>
  <c r="U155" i="15" s="1"/>
  <c r="U61" i="15"/>
  <c r="U68" i="15" s="1"/>
  <c r="C61" i="15"/>
  <c r="T61" i="15"/>
  <c r="T68" i="15" s="1"/>
  <c r="T148" i="15"/>
  <c r="T155" i="15" s="1"/>
  <c r="S148" i="15"/>
  <c r="S155" i="15" s="1"/>
  <c r="S61" i="15"/>
  <c r="S68" i="15" s="1"/>
  <c r="R148" i="15"/>
  <c r="R155" i="15" s="1"/>
  <c r="R61" i="15"/>
  <c r="R68" i="15" s="1"/>
  <c r="Q61" i="15"/>
  <c r="Q68" i="15" s="1"/>
  <c r="Q148" i="15"/>
  <c r="Q155" i="15" s="1"/>
  <c r="P61" i="15"/>
  <c r="P68" i="15" s="1"/>
  <c r="P148" i="15"/>
  <c r="P155" i="15" s="1"/>
  <c r="M61" i="15"/>
  <c r="M68" i="15" s="1"/>
  <c r="M148" i="15"/>
  <c r="M155" i="15" s="1"/>
  <c r="L61" i="15"/>
  <c r="L68" i="15" s="1"/>
  <c r="L148" i="15"/>
  <c r="L155" i="15" s="1"/>
  <c r="K61" i="15"/>
  <c r="K68" i="15" s="1"/>
  <c r="K148" i="15"/>
  <c r="K155" i="15" s="1"/>
  <c r="V146" i="15"/>
  <c r="V59" i="15"/>
  <c r="U59" i="15"/>
  <c r="U146" i="15"/>
  <c r="T146" i="15"/>
  <c r="T59" i="15"/>
  <c r="S146" i="15"/>
  <c r="S59" i="15"/>
  <c r="R146" i="15"/>
  <c r="R59" i="15"/>
  <c r="Q59" i="15"/>
  <c r="Q146" i="15"/>
  <c r="P146" i="15"/>
  <c r="P59" i="15"/>
  <c r="M59" i="15"/>
  <c r="M146" i="15"/>
  <c r="L59" i="15"/>
  <c r="L146" i="15"/>
  <c r="K59" i="15"/>
  <c r="K146" i="15"/>
  <c r="J146" i="15"/>
  <c r="J59" i="15"/>
  <c r="X76" i="8"/>
  <c r="W76" i="8"/>
  <c r="T76" i="8"/>
  <c r="U74" i="15"/>
  <c r="U75" i="15" s="1"/>
  <c r="H172" i="15"/>
  <c r="Q74" i="8"/>
  <c r="Q114" i="7"/>
  <c r="Q73" i="8"/>
  <c r="Q75" i="8" s="1"/>
  <c r="Q112" i="7"/>
  <c r="Q23" i="8" s="1"/>
  <c r="S77" i="15"/>
  <c r="S164" i="15"/>
  <c r="S73" i="15"/>
  <c r="S160" i="15"/>
  <c r="V60" i="15"/>
  <c r="V147" i="15"/>
  <c r="U60" i="15"/>
  <c r="U147" i="15"/>
  <c r="T60" i="15"/>
  <c r="T147" i="15"/>
  <c r="S60" i="15"/>
  <c r="S147" i="15"/>
  <c r="R60" i="15"/>
  <c r="R147" i="15"/>
  <c r="Q60" i="15"/>
  <c r="Q147" i="15"/>
  <c r="P60" i="15"/>
  <c r="P147" i="15"/>
  <c r="M60" i="15"/>
  <c r="M147" i="15"/>
  <c r="L60" i="15"/>
  <c r="L147" i="15"/>
  <c r="K60" i="15"/>
  <c r="K147" i="15"/>
  <c r="V62" i="15"/>
  <c r="V149" i="15"/>
  <c r="U62" i="15"/>
  <c r="U149" i="15"/>
  <c r="T62" i="15"/>
  <c r="T149" i="15"/>
  <c r="S62" i="15"/>
  <c r="S149" i="15"/>
  <c r="R62" i="15"/>
  <c r="R149" i="15"/>
  <c r="Q62" i="15"/>
  <c r="Q149" i="15"/>
  <c r="P62" i="15"/>
  <c r="P149" i="15"/>
  <c r="M62" i="15"/>
  <c r="M149" i="15"/>
  <c r="L62" i="15"/>
  <c r="L149" i="15"/>
  <c r="V58" i="15"/>
  <c r="V145" i="15"/>
  <c r="U58" i="15"/>
  <c r="U145" i="15"/>
  <c r="T58" i="15"/>
  <c r="T145" i="15"/>
  <c r="S58" i="15"/>
  <c r="S145" i="15"/>
  <c r="R58" i="15"/>
  <c r="R145" i="15"/>
  <c r="Q58" i="15"/>
  <c r="Q145" i="15"/>
  <c r="P58" i="15"/>
  <c r="P145" i="15"/>
  <c r="M58" i="15"/>
  <c r="M145" i="15"/>
  <c r="L58" i="15"/>
  <c r="L145" i="15"/>
  <c r="K58" i="15"/>
  <c r="K145" i="15"/>
  <c r="P42" i="15"/>
  <c r="P129" i="15"/>
  <c r="M42" i="15"/>
  <c r="M129" i="15"/>
  <c r="L42" i="15"/>
  <c r="L129" i="15"/>
  <c r="K42" i="15"/>
  <c r="K129" i="15"/>
  <c r="V44" i="15"/>
  <c r="V131" i="15"/>
  <c r="U44" i="15"/>
  <c r="U131" i="15"/>
  <c r="T44" i="15"/>
  <c r="T131" i="15"/>
  <c r="S44" i="15"/>
  <c r="S131" i="15"/>
  <c r="R44" i="15"/>
  <c r="R131" i="15"/>
  <c r="Q44" i="15"/>
  <c r="Q131" i="15"/>
  <c r="P44" i="15"/>
  <c r="P131" i="15"/>
  <c r="M44" i="15"/>
  <c r="M131" i="15"/>
  <c r="L44" i="15"/>
  <c r="L131" i="15"/>
  <c r="V40" i="15"/>
  <c r="V39" i="15" s="1"/>
  <c r="V127" i="15"/>
  <c r="V126" i="15" s="1"/>
  <c r="U40" i="15"/>
  <c r="U39" i="15" s="1"/>
  <c r="U127" i="15"/>
  <c r="U126" i="15" s="1"/>
  <c r="T40" i="15"/>
  <c r="T39" i="15" s="1"/>
  <c r="T127" i="15"/>
  <c r="T126" i="15" s="1"/>
  <c r="S40" i="15"/>
  <c r="S39" i="15" s="1"/>
  <c r="S127" i="15"/>
  <c r="S126" i="15" s="1"/>
  <c r="R40" i="15"/>
  <c r="R39" i="15" s="1"/>
  <c r="R127" i="15"/>
  <c r="R126" i="15" s="1"/>
  <c r="Q40" i="15"/>
  <c r="Q39" i="15" s="1"/>
  <c r="Q127" i="15"/>
  <c r="Q126" i="15" s="1"/>
  <c r="P40" i="15"/>
  <c r="P39" i="15" s="1"/>
  <c r="P127" i="15"/>
  <c r="P126" i="15" s="1"/>
  <c r="M40" i="15"/>
  <c r="M39" i="15" s="1"/>
  <c r="M127" i="15"/>
  <c r="M126" i="15" s="1"/>
  <c r="L40" i="15"/>
  <c r="L39" i="15" s="1"/>
  <c r="L127" i="15"/>
  <c r="L126" i="15" s="1"/>
  <c r="K40" i="15"/>
  <c r="K39" i="15" s="1"/>
  <c r="K127" i="15"/>
  <c r="K126" i="15" s="1"/>
  <c r="V70" i="15"/>
  <c r="V74" i="15" s="1"/>
  <c r="V75" i="15" s="1"/>
  <c r="V157" i="15"/>
  <c r="V161" i="15" s="1"/>
  <c r="V162" i="15" s="1"/>
  <c r="U70" i="15"/>
  <c r="U157" i="15"/>
  <c r="U161" i="15" s="1"/>
  <c r="U162" i="15" s="1"/>
  <c r="T70" i="15"/>
  <c r="T74" i="15" s="1"/>
  <c r="T75" i="15" s="1"/>
  <c r="T157" i="15"/>
  <c r="T161" i="15" s="1"/>
  <c r="T162" i="15" s="1"/>
  <c r="S70" i="15"/>
  <c r="S157" i="15"/>
  <c r="R70" i="15"/>
  <c r="R74" i="15" s="1"/>
  <c r="R75" i="15" s="1"/>
  <c r="R157" i="15"/>
  <c r="R161" i="15" s="1"/>
  <c r="R162" i="15" s="1"/>
  <c r="Q70" i="15"/>
  <c r="Q74" i="15" s="1"/>
  <c r="Q75" i="15" s="1"/>
  <c r="Q157" i="15"/>
  <c r="Q161" i="15" s="1"/>
  <c r="Q162" i="15" s="1"/>
  <c r="P70" i="15"/>
  <c r="P74" i="15" s="1"/>
  <c r="P75" i="15" s="1"/>
  <c r="P157" i="15"/>
  <c r="P161" i="15" s="1"/>
  <c r="P162" i="15" s="1"/>
  <c r="M70" i="15"/>
  <c r="M74" i="15" s="1"/>
  <c r="M75" i="15" s="1"/>
  <c r="M157" i="15"/>
  <c r="M161" i="15" s="1"/>
  <c r="M162" i="15" s="1"/>
  <c r="L70" i="15"/>
  <c r="L74" i="15" s="1"/>
  <c r="L75" i="15" s="1"/>
  <c r="L157" i="15"/>
  <c r="L161" i="15" s="1"/>
  <c r="L162" i="15" s="1"/>
  <c r="K70" i="15"/>
  <c r="K74" i="15" s="1"/>
  <c r="K75" i="15" s="1"/>
  <c r="K157" i="15"/>
  <c r="K161" i="15" s="1"/>
  <c r="K162" i="15" s="1"/>
  <c r="J70" i="15"/>
  <c r="J74" i="15" s="1"/>
  <c r="J75" i="15" s="1"/>
  <c r="J157" i="15"/>
  <c r="J161" i="15" s="1"/>
  <c r="J162" i="15" s="1"/>
  <c r="N29" i="15"/>
  <c r="N116" i="15"/>
  <c r="N20" i="15"/>
  <c r="N107" i="15"/>
  <c r="J63" i="8"/>
  <c r="I63" i="8"/>
  <c r="H63" i="8"/>
  <c r="G63" i="8"/>
  <c r="F63" i="8"/>
  <c r="E63" i="8"/>
  <c r="D63" i="8"/>
  <c r="J59" i="8"/>
  <c r="J60" i="8" s="1"/>
  <c r="I59" i="8"/>
  <c r="I60" i="8" s="1"/>
  <c r="H59" i="8"/>
  <c r="H60" i="8" s="1"/>
  <c r="G59" i="8"/>
  <c r="G60" i="8" s="1"/>
  <c r="F59" i="8"/>
  <c r="F60" i="8" s="1"/>
  <c r="E59" i="8"/>
  <c r="E60" i="8" s="1"/>
  <c r="Q18" i="8"/>
  <c r="U74" i="8"/>
  <c r="U73" i="8"/>
  <c r="U75" i="8" s="1"/>
  <c r="U55" i="8"/>
  <c r="Q55" i="8"/>
  <c r="V71" i="8"/>
  <c r="U71" i="8"/>
  <c r="R71" i="8"/>
  <c r="V72" i="8"/>
  <c r="U72" i="8"/>
  <c r="R72" i="8"/>
  <c r="V70" i="8"/>
  <c r="U70" i="8"/>
  <c r="R70" i="8"/>
  <c r="V69" i="8"/>
  <c r="V76" i="8" s="1"/>
  <c r="U69" i="8"/>
  <c r="U76" i="8" s="1"/>
  <c r="R69" i="8"/>
  <c r="R76" i="8" s="1"/>
  <c r="V68" i="8"/>
  <c r="U68" i="8"/>
  <c r="R68" i="8"/>
  <c r="U18" i="8"/>
  <c r="O147" i="3"/>
  <c r="U147" i="2" s="1"/>
  <c r="O139" i="3"/>
  <c r="U144" i="2" s="1"/>
  <c r="O123" i="3"/>
  <c r="U140" i="2" s="1"/>
  <c r="O107" i="3"/>
  <c r="U136" i="2" s="1"/>
  <c r="O90" i="3"/>
  <c r="U132" i="2" s="1"/>
  <c r="O74" i="3"/>
  <c r="U128" i="2" s="1"/>
  <c r="O58" i="3"/>
  <c r="U124" i="2" s="1"/>
  <c r="L36" i="3"/>
  <c r="L151" i="2" s="1"/>
  <c r="K36" i="3"/>
  <c r="K151" i="2" s="1"/>
  <c r="J36" i="3"/>
  <c r="J151" i="2" s="1"/>
  <c r="I36" i="3"/>
  <c r="I151" i="2" s="1"/>
  <c r="H36" i="3"/>
  <c r="G36" i="3"/>
  <c r="F36" i="3"/>
  <c r="E36" i="3"/>
  <c r="D36" i="3"/>
  <c r="C36" i="3"/>
  <c r="X36" i="8"/>
  <c r="X37" i="8"/>
  <c r="W36" i="8"/>
  <c r="W37" i="8"/>
  <c r="V36" i="8"/>
  <c r="V37" i="8"/>
  <c r="T36" i="8"/>
  <c r="T37" i="8"/>
  <c r="S36" i="8"/>
  <c r="S37" i="8"/>
  <c r="R36" i="8"/>
  <c r="R37" i="8"/>
  <c r="V174" i="15"/>
  <c r="V87" i="15"/>
  <c r="U174" i="15"/>
  <c r="U87" i="15"/>
  <c r="T174" i="15"/>
  <c r="T87" i="15"/>
  <c r="R87" i="15"/>
  <c r="R174" i="15"/>
  <c r="Q174" i="15"/>
  <c r="Q87" i="15"/>
  <c r="P174" i="15"/>
  <c r="P87" i="15"/>
  <c r="M87" i="15"/>
  <c r="M174" i="15"/>
  <c r="L87" i="15"/>
  <c r="L174" i="15"/>
  <c r="K174" i="15"/>
  <c r="K87" i="15"/>
  <c r="J174" i="15"/>
  <c r="J87" i="15"/>
  <c r="S86" i="15"/>
  <c r="S85" i="15" s="1"/>
  <c r="S173" i="15"/>
  <c r="S172" i="15" s="1"/>
  <c r="U138" i="2"/>
  <c r="O119" i="3"/>
  <c r="U139" i="2" s="1"/>
  <c r="K119" i="3"/>
  <c r="Q139" i="2" s="1"/>
  <c r="Q138" i="2"/>
  <c r="V138" i="15"/>
  <c r="V51" i="15"/>
  <c r="U138" i="15"/>
  <c r="U51" i="15"/>
  <c r="T138" i="15"/>
  <c r="T51" i="15"/>
  <c r="S138" i="15"/>
  <c r="S51" i="15"/>
  <c r="R138" i="15"/>
  <c r="R51" i="15"/>
  <c r="Q138" i="15"/>
  <c r="Q51" i="15"/>
  <c r="P138" i="15"/>
  <c r="P51" i="15"/>
  <c r="M138" i="15"/>
  <c r="M51" i="15"/>
  <c r="L138" i="15"/>
  <c r="L51" i="15"/>
  <c r="K138" i="15"/>
  <c r="K51" i="15"/>
  <c r="V140" i="15"/>
  <c r="V53" i="15"/>
  <c r="U140" i="15"/>
  <c r="U53" i="15"/>
  <c r="T53" i="15"/>
  <c r="T140" i="15"/>
  <c r="S140" i="15"/>
  <c r="S53" i="15"/>
  <c r="R140" i="15"/>
  <c r="R53" i="15"/>
  <c r="Q140" i="15"/>
  <c r="Q53" i="15"/>
  <c r="P140" i="15"/>
  <c r="P53" i="15"/>
  <c r="M140" i="15"/>
  <c r="M53" i="15"/>
  <c r="L140" i="15"/>
  <c r="L53" i="15"/>
  <c r="V136" i="15"/>
  <c r="V49" i="15"/>
  <c r="U49" i="15"/>
  <c r="U136" i="15"/>
  <c r="T136" i="15"/>
  <c r="T49" i="15"/>
  <c r="S136" i="15"/>
  <c r="S49" i="15"/>
  <c r="R136" i="15"/>
  <c r="R49" i="15"/>
  <c r="Q136" i="15"/>
  <c r="Q49" i="15"/>
  <c r="P136" i="15"/>
  <c r="P49" i="15"/>
  <c r="M49" i="15"/>
  <c r="M136" i="15"/>
  <c r="L49" i="15"/>
  <c r="L136" i="15"/>
  <c r="K49" i="15"/>
  <c r="K136" i="15"/>
  <c r="V42" i="15"/>
  <c r="V129" i="15"/>
  <c r="U129" i="15"/>
  <c r="U42" i="15"/>
  <c r="T129" i="15"/>
  <c r="T42" i="15"/>
  <c r="S42" i="15"/>
  <c r="S129" i="15"/>
  <c r="R129" i="15"/>
  <c r="R42" i="15"/>
  <c r="Q129" i="15"/>
  <c r="Q42" i="15"/>
  <c r="V120" i="15"/>
  <c r="V33" i="15"/>
  <c r="U120" i="15"/>
  <c r="U33" i="15"/>
  <c r="T120" i="15"/>
  <c r="T33" i="15"/>
  <c r="S120" i="15"/>
  <c r="S33" i="15"/>
  <c r="R120" i="15"/>
  <c r="R33" i="15"/>
  <c r="Q120" i="15"/>
  <c r="Q33" i="15"/>
  <c r="P120" i="15"/>
  <c r="P33" i="15"/>
  <c r="M120" i="15"/>
  <c r="M33" i="15"/>
  <c r="L33" i="15"/>
  <c r="L120" i="15"/>
  <c r="K120" i="15"/>
  <c r="K33" i="15"/>
  <c r="V122" i="15"/>
  <c r="V35" i="15"/>
  <c r="U122" i="15"/>
  <c r="U35" i="15"/>
  <c r="T122" i="15"/>
  <c r="T35" i="15"/>
  <c r="S122" i="15"/>
  <c r="S35" i="15"/>
  <c r="R122" i="15"/>
  <c r="R35" i="15"/>
  <c r="Q122" i="15"/>
  <c r="Q35" i="15"/>
  <c r="P122" i="15"/>
  <c r="P35" i="15"/>
  <c r="M122" i="15"/>
  <c r="M35" i="15"/>
  <c r="L122" i="15"/>
  <c r="L35" i="15"/>
  <c r="V118" i="15"/>
  <c r="V117" i="15" s="1"/>
  <c r="V31" i="15"/>
  <c r="V30" i="15" s="1"/>
  <c r="U31" i="15"/>
  <c r="U30" i="15" s="1"/>
  <c r="U118" i="15"/>
  <c r="U117" i="15" s="1"/>
  <c r="T31" i="15"/>
  <c r="T30" i="15" s="1"/>
  <c r="T118" i="15"/>
  <c r="T117" i="15" s="1"/>
  <c r="S118" i="15"/>
  <c r="S117" i="15" s="1"/>
  <c r="S31" i="15"/>
  <c r="S30" i="15" s="1"/>
  <c r="R118" i="15"/>
  <c r="R117" i="15" s="1"/>
  <c r="R31" i="15"/>
  <c r="R30" i="15" s="1"/>
  <c r="Q31" i="15"/>
  <c r="Q30" i="15" s="1"/>
  <c r="Q118" i="15"/>
  <c r="Q117" i="15" s="1"/>
  <c r="P118" i="15"/>
  <c r="P117" i="15" s="1"/>
  <c r="P31" i="15"/>
  <c r="P30" i="15" s="1"/>
  <c r="M31" i="15"/>
  <c r="M30" i="15" s="1"/>
  <c r="M118" i="15"/>
  <c r="M117" i="15" s="1"/>
  <c r="L118" i="15"/>
  <c r="L117" i="15" s="1"/>
  <c r="L31" i="15"/>
  <c r="L30" i="15" s="1"/>
  <c r="K118" i="15"/>
  <c r="K117" i="15" s="1"/>
  <c r="K31" i="15"/>
  <c r="K30" i="15" s="1"/>
  <c r="V111" i="15"/>
  <c r="V24" i="15"/>
  <c r="U24" i="15"/>
  <c r="U111" i="15"/>
  <c r="T24" i="15"/>
  <c r="T111" i="15"/>
  <c r="S111" i="15"/>
  <c r="S24" i="15"/>
  <c r="R111" i="15"/>
  <c r="R24" i="15"/>
  <c r="Q24" i="15"/>
  <c r="Q111" i="15"/>
  <c r="P24" i="15"/>
  <c r="P111" i="15"/>
  <c r="M111" i="15"/>
  <c r="M24" i="15"/>
  <c r="L111" i="15"/>
  <c r="L24" i="15"/>
  <c r="K24" i="15"/>
  <c r="K111" i="15"/>
  <c r="V113" i="15"/>
  <c r="V26" i="15"/>
  <c r="U26" i="15"/>
  <c r="U113" i="15"/>
  <c r="T113" i="15"/>
  <c r="T26" i="15"/>
  <c r="S113" i="15"/>
  <c r="S26" i="15"/>
  <c r="R26" i="15"/>
  <c r="R113" i="15"/>
  <c r="Q26" i="15"/>
  <c r="Q113" i="15"/>
  <c r="P113" i="15"/>
  <c r="P26" i="15"/>
  <c r="M26" i="15"/>
  <c r="M113" i="15"/>
  <c r="L113" i="15"/>
  <c r="L26" i="15"/>
  <c r="V22" i="15"/>
  <c r="V21" i="15" s="1"/>
  <c r="V109" i="15"/>
  <c r="V108" i="15" s="1"/>
  <c r="U109" i="15"/>
  <c r="U108" i="15" s="1"/>
  <c r="U22" i="15"/>
  <c r="U21" i="15" s="1"/>
  <c r="T109" i="15"/>
  <c r="T108" i="15" s="1"/>
  <c r="T22" i="15"/>
  <c r="T21" i="15" s="1"/>
  <c r="S109" i="15"/>
  <c r="S108" i="15" s="1"/>
  <c r="S22" i="15"/>
  <c r="S21" i="15" s="1"/>
  <c r="R109" i="15"/>
  <c r="R108" i="15" s="1"/>
  <c r="R22" i="15"/>
  <c r="R21" i="15" s="1"/>
  <c r="Q22" i="15"/>
  <c r="Q21" i="15" s="1"/>
  <c r="Q109" i="15"/>
  <c r="Q108" i="15" s="1"/>
  <c r="P22" i="15"/>
  <c r="P21" i="15" s="1"/>
  <c r="P109" i="15"/>
  <c r="P108" i="15" s="1"/>
  <c r="M109" i="15"/>
  <c r="M108" i="15" s="1"/>
  <c r="M22" i="15"/>
  <c r="M21" i="15" s="1"/>
  <c r="L22" i="15"/>
  <c r="L21" i="15" s="1"/>
  <c r="L109" i="15"/>
  <c r="L108" i="15" s="1"/>
  <c r="K109" i="15"/>
  <c r="K108" i="15" s="1"/>
  <c r="K22" i="15"/>
  <c r="K21" i="15" s="1"/>
  <c r="V15" i="15"/>
  <c r="V102" i="15"/>
  <c r="U102" i="15"/>
  <c r="U15" i="15"/>
  <c r="T15" i="15"/>
  <c r="T102" i="15"/>
  <c r="S15" i="15"/>
  <c r="S102" i="15"/>
  <c r="R102" i="15"/>
  <c r="R15" i="15"/>
  <c r="Q15" i="15"/>
  <c r="Q102" i="15"/>
  <c r="P102" i="15"/>
  <c r="P15" i="15"/>
  <c r="M15" i="15"/>
  <c r="M102" i="15"/>
  <c r="L102" i="15"/>
  <c r="L15" i="15"/>
  <c r="K102" i="15"/>
  <c r="K15" i="15"/>
  <c r="V104" i="15"/>
  <c r="V17" i="15"/>
  <c r="U104" i="15"/>
  <c r="U17" i="15"/>
  <c r="T17" i="15"/>
  <c r="T104" i="15"/>
  <c r="S104" i="15"/>
  <c r="S17" i="15"/>
  <c r="R104" i="15"/>
  <c r="R17" i="15"/>
  <c r="Q17" i="15"/>
  <c r="Q104" i="15"/>
  <c r="P104" i="15"/>
  <c r="P17" i="15"/>
  <c r="M104" i="15"/>
  <c r="M17" i="15"/>
  <c r="L104" i="15"/>
  <c r="L17" i="15"/>
  <c r="V13" i="15"/>
  <c r="V12" i="15" s="1"/>
  <c r="V100" i="15"/>
  <c r="V99" i="15" s="1"/>
  <c r="U13" i="15"/>
  <c r="U12" i="15" s="1"/>
  <c r="U100" i="15"/>
  <c r="U99" i="15" s="1"/>
  <c r="T13" i="15"/>
  <c r="T12" i="15" s="1"/>
  <c r="T100" i="15"/>
  <c r="T99" i="15" s="1"/>
  <c r="S13" i="15"/>
  <c r="S12" i="15" s="1"/>
  <c r="S100" i="15"/>
  <c r="S99" i="15" s="1"/>
  <c r="R13" i="15"/>
  <c r="R12" i="15" s="1"/>
  <c r="R100" i="15"/>
  <c r="R99" i="15" s="1"/>
  <c r="Q13" i="15"/>
  <c r="Q12" i="15" s="1"/>
  <c r="Q100" i="15"/>
  <c r="Q99" i="15" s="1"/>
  <c r="P13" i="15"/>
  <c r="P12" i="15" s="1"/>
  <c r="P100" i="15"/>
  <c r="P99" i="15" s="1"/>
  <c r="M13" i="15"/>
  <c r="M12" i="15" s="1"/>
  <c r="M100" i="15"/>
  <c r="M99" i="15" s="1"/>
  <c r="L13" i="15"/>
  <c r="L12" i="15" s="1"/>
  <c r="L100" i="15"/>
  <c r="L99" i="15" s="1"/>
  <c r="K13" i="15"/>
  <c r="K12" i="15" s="1"/>
  <c r="K100" i="15"/>
  <c r="K99" i="15" s="1"/>
  <c r="X22" i="3"/>
  <c r="T81" i="2"/>
  <c r="W22" i="3"/>
  <c r="S81" i="2"/>
  <c r="V22" i="3"/>
  <c r="R81" i="2"/>
  <c r="T22" i="3"/>
  <c r="P81" i="2"/>
  <c r="S22" i="3"/>
  <c r="O81" i="2"/>
  <c r="R22" i="3"/>
  <c r="N81" i="2"/>
  <c r="L22" i="3"/>
  <c r="K81" i="2"/>
  <c r="K22" i="3"/>
  <c r="J81" i="2"/>
  <c r="J22" i="3"/>
  <c r="I81" i="2"/>
  <c r="X9" i="2"/>
  <c r="X76" i="2"/>
  <c r="W76" i="2"/>
  <c r="W9" i="2"/>
  <c r="V9" i="2"/>
  <c r="V76" i="2"/>
  <c r="T9" i="2"/>
  <c r="X10" i="2"/>
  <c r="T76" i="2"/>
  <c r="W10" i="2"/>
  <c r="S9" i="2"/>
  <c r="S76" i="2"/>
  <c r="V10" i="2"/>
  <c r="R76" i="2"/>
  <c r="R9" i="2"/>
  <c r="T10" i="2"/>
  <c r="P76" i="2"/>
  <c r="P9" i="2"/>
  <c r="P11" i="2" s="1"/>
  <c r="P20" i="2" s="1"/>
  <c r="S10" i="2"/>
  <c r="O76" i="2"/>
  <c r="O9" i="2"/>
  <c r="O11" i="2" s="1"/>
  <c r="O20" i="2" s="1"/>
  <c r="N76" i="2"/>
  <c r="N9" i="2"/>
  <c r="N11" i="2" s="1"/>
  <c r="N20" i="2" s="1"/>
  <c r="R10" i="2"/>
  <c r="L9" i="2"/>
  <c r="L76" i="2"/>
  <c r="K9" i="2"/>
  <c r="K76" i="2"/>
  <c r="L10" i="2"/>
  <c r="J76" i="2"/>
  <c r="Q10" i="2"/>
  <c r="K10" i="2"/>
  <c r="J9" i="2"/>
  <c r="J10" i="2"/>
  <c r="I9" i="2"/>
  <c r="I76" i="2"/>
  <c r="I10" i="2"/>
  <c r="H9" i="2"/>
  <c r="G9" i="2"/>
  <c r="H10" i="2"/>
  <c r="G10" i="2"/>
  <c r="F9" i="2"/>
  <c r="F10" i="2"/>
  <c r="E9" i="2"/>
  <c r="E10" i="2"/>
  <c r="D9" i="2"/>
  <c r="D10" i="2"/>
  <c r="C9" i="2"/>
  <c r="C11" i="2" s="1"/>
  <c r="C69" i="15"/>
  <c r="E69" i="15" s="1"/>
  <c r="T69" i="15"/>
  <c r="G61" i="16"/>
  <c r="G62" i="16" s="1"/>
  <c r="F61" i="16"/>
  <c r="F62" i="16" s="1"/>
  <c r="E61" i="16"/>
  <c r="E62" i="16" s="1"/>
  <c r="D61" i="16"/>
  <c r="D62" i="16" s="1"/>
  <c r="C61" i="16"/>
  <c r="C62" i="16" s="1"/>
  <c r="C57" i="16"/>
  <c r="D55" i="16"/>
  <c r="G51" i="16"/>
  <c r="G52" i="16"/>
  <c r="F51" i="16"/>
  <c r="F52" i="16" s="1"/>
  <c r="E51" i="16"/>
  <c r="E52" i="16" s="1"/>
  <c r="D51" i="16"/>
  <c r="D52" i="16" s="1"/>
  <c r="C51" i="16"/>
  <c r="C52" i="16" s="1"/>
  <c r="C47" i="16"/>
  <c r="C48" i="16" s="1"/>
  <c r="D45" i="16"/>
  <c r="G41" i="16"/>
  <c r="G42" i="16" s="1"/>
  <c r="F41" i="16"/>
  <c r="F42" i="16" s="1"/>
  <c r="E41" i="16"/>
  <c r="E42" i="16" s="1"/>
  <c r="D41" i="16"/>
  <c r="D42" i="16" s="1"/>
  <c r="C41" i="16"/>
  <c r="C42" i="16" s="1"/>
  <c r="C37" i="16"/>
  <c r="D35" i="16"/>
  <c r="C58" i="16"/>
  <c r="C38" i="16"/>
  <c r="O12" i="16"/>
  <c r="O14" i="16"/>
  <c r="N12" i="16"/>
  <c r="N14" i="16"/>
  <c r="M12" i="16"/>
  <c r="M14" i="16"/>
  <c r="L12" i="16"/>
  <c r="L14" i="16"/>
  <c r="K12" i="16"/>
  <c r="K14" i="16"/>
  <c r="C87" i="15"/>
  <c r="N77" i="15"/>
  <c r="N164" i="15"/>
  <c r="N73" i="15"/>
  <c r="N160" i="15"/>
  <c r="N72" i="15"/>
  <c r="N159" i="15"/>
  <c r="C53" i="15"/>
  <c r="E52" i="15"/>
  <c r="E50" i="15"/>
  <c r="C51" i="15"/>
  <c r="N47" i="15"/>
  <c r="N134" i="15"/>
  <c r="E43" i="15"/>
  <c r="C44" i="15"/>
  <c r="C42" i="15"/>
  <c r="E41" i="15"/>
  <c r="N125" i="15"/>
  <c r="N38" i="15"/>
  <c r="E34" i="15"/>
  <c r="C35" i="15"/>
  <c r="E32" i="15"/>
  <c r="C33" i="15"/>
  <c r="C26" i="15"/>
  <c r="E25" i="15"/>
  <c r="E23" i="15"/>
  <c r="C24" i="15"/>
  <c r="C17" i="15"/>
  <c r="C66" i="15"/>
  <c r="E14" i="15"/>
  <c r="C15" i="15"/>
  <c r="D16" i="15"/>
  <c r="E16" i="15" s="1"/>
  <c r="N11" i="15"/>
  <c r="N98" i="15"/>
  <c r="U61" i="8"/>
  <c r="L63" i="8"/>
  <c r="U63" i="8" s="1"/>
  <c r="Q61" i="8"/>
  <c r="K63" i="8"/>
  <c r="Q63" i="8" s="1"/>
  <c r="L58" i="8"/>
  <c r="U56" i="8"/>
  <c r="K58" i="8"/>
  <c r="Q56" i="8"/>
  <c r="U43" i="8"/>
  <c r="L44" i="8"/>
  <c r="K44" i="8"/>
  <c r="Q43" i="8"/>
  <c r="K46" i="8"/>
  <c r="Q46" i="8" s="1"/>
  <c r="J46" i="8"/>
  <c r="J47" i="8" s="1"/>
  <c r="I47" i="8"/>
  <c r="P37" i="8"/>
  <c r="P36" i="8"/>
  <c r="O36" i="8"/>
  <c r="O37" i="8"/>
  <c r="N37" i="8"/>
  <c r="N36" i="8"/>
  <c r="L37" i="8"/>
  <c r="L36" i="8"/>
  <c r="K37" i="8"/>
  <c r="K36" i="8"/>
  <c r="J36" i="8"/>
  <c r="J37" i="8"/>
  <c r="I36" i="8"/>
  <c r="I37" i="8"/>
  <c r="H36" i="8"/>
  <c r="H37" i="8"/>
  <c r="G37" i="8"/>
  <c r="G36" i="8"/>
  <c r="F37" i="8"/>
  <c r="F36" i="8"/>
  <c r="E36" i="8"/>
  <c r="E37" i="8"/>
  <c r="D36" i="8"/>
  <c r="D37" i="8"/>
  <c r="C36" i="8"/>
  <c r="C37" i="8"/>
  <c r="L28" i="8"/>
  <c r="L27" i="8"/>
  <c r="L25" i="8"/>
  <c r="L26" i="8" s="1"/>
  <c r="K28" i="8"/>
  <c r="K27" i="8"/>
  <c r="K25" i="8"/>
  <c r="K26" i="8" s="1"/>
  <c r="J28" i="8"/>
  <c r="J27" i="8"/>
  <c r="J25" i="8"/>
  <c r="J26" i="8" s="1"/>
  <c r="I25" i="8"/>
  <c r="I26" i="8" s="1"/>
  <c r="I27" i="8"/>
  <c r="I28" i="8"/>
  <c r="H28" i="8"/>
  <c r="H27" i="8"/>
  <c r="H25" i="8"/>
  <c r="H26" i="8" s="1"/>
  <c r="G28" i="8"/>
  <c r="G27" i="8"/>
  <c r="G25" i="8"/>
  <c r="G26" i="8" s="1"/>
  <c r="F28" i="8"/>
  <c r="F27" i="8"/>
  <c r="F25" i="8"/>
  <c r="F26" i="8" s="1"/>
  <c r="E28" i="8"/>
  <c r="E27" i="8"/>
  <c r="E25" i="8"/>
  <c r="E26" i="8" s="1"/>
  <c r="D25" i="8"/>
  <c r="D26" i="8" s="1"/>
  <c r="D28" i="8"/>
  <c r="D27" i="8"/>
  <c r="C27" i="8"/>
  <c r="C25" i="8"/>
  <c r="C26" i="8" s="1"/>
  <c r="C28" i="8"/>
  <c r="X33" i="3"/>
  <c r="X24" i="8"/>
  <c r="W24" i="8"/>
  <c r="W33" i="3"/>
  <c r="V33" i="3"/>
  <c r="V24" i="8"/>
  <c r="V29" i="8" s="1"/>
  <c r="U33" i="3"/>
  <c r="U149" i="2" s="1"/>
  <c r="U24" i="8"/>
  <c r="U29" i="8" s="1"/>
  <c r="T33" i="3"/>
  <c r="T24" i="8"/>
  <c r="T29" i="8" s="1"/>
  <c r="S33" i="3"/>
  <c r="S24" i="8"/>
  <c r="R33" i="3"/>
  <c r="R24" i="8"/>
  <c r="P33" i="3"/>
  <c r="P24" i="8"/>
  <c r="O33" i="3"/>
  <c r="O24" i="8"/>
  <c r="N24" i="8"/>
  <c r="N33" i="3"/>
  <c r="X27" i="8"/>
  <c r="X28" i="8"/>
  <c r="W27" i="8"/>
  <c r="W28" i="8"/>
  <c r="V25" i="8"/>
  <c r="V26" i="8" s="1"/>
  <c r="V27" i="8"/>
  <c r="V28" i="8"/>
  <c r="U25" i="8"/>
  <c r="U26" i="8" s="1"/>
  <c r="U27" i="8"/>
  <c r="U28" i="8"/>
  <c r="T25" i="8"/>
  <c r="T26" i="8" s="1"/>
  <c r="T27" i="8"/>
  <c r="T28" i="8"/>
  <c r="S27" i="8"/>
  <c r="S28" i="8"/>
  <c r="R27" i="8"/>
  <c r="R28" i="8"/>
  <c r="P27" i="8"/>
  <c r="P28" i="8"/>
  <c r="O27" i="8"/>
  <c r="O28" i="8"/>
  <c r="N27" i="8"/>
  <c r="N28" i="8"/>
  <c r="X34" i="3"/>
  <c r="X19" i="8"/>
  <c r="X20" i="8" s="1"/>
  <c r="W34" i="3"/>
  <c r="W19" i="8"/>
  <c r="W20" i="8" s="1"/>
  <c r="V34" i="3"/>
  <c r="V19" i="8"/>
  <c r="V20" i="8" s="1"/>
  <c r="U34" i="3"/>
  <c r="U36" i="3" s="1"/>
  <c r="U151" i="2" s="1"/>
  <c r="U19" i="8"/>
  <c r="U20" i="8" s="1"/>
  <c r="T34" i="3"/>
  <c r="T36" i="3" s="1"/>
  <c r="T151" i="2" s="1"/>
  <c r="T19" i="8"/>
  <c r="T20" i="8" s="1"/>
  <c r="S34" i="3"/>
  <c r="S19" i="8"/>
  <c r="S20" i="8" s="1"/>
  <c r="R34" i="3"/>
  <c r="R19" i="8"/>
  <c r="R20" i="8" s="1"/>
  <c r="Q19" i="8"/>
  <c r="Q20" i="8" s="1"/>
  <c r="Q34" i="3"/>
  <c r="P19" i="8"/>
  <c r="P20" i="8" s="1"/>
  <c r="P34" i="3"/>
  <c r="O19" i="8"/>
  <c r="O20" i="8" s="1"/>
  <c r="O34" i="3"/>
  <c r="N19" i="8"/>
  <c r="N20" i="8" s="1"/>
  <c r="N34" i="3"/>
  <c r="U137" i="7"/>
  <c r="U39" i="8"/>
  <c r="U38" i="8" s="1"/>
  <c r="Q137" i="7"/>
  <c r="Q39" i="8"/>
  <c r="Q38" i="8" s="1"/>
  <c r="U15" i="10"/>
  <c r="U35" i="8"/>
  <c r="Q15" i="10"/>
  <c r="Q35" i="8"/>
  <c r="U17" i="8"/>
  <c r="U32" i="5"/>
  <c r="Q17" i="8"/>
  <c r="Q32" i="5"/>
  <c r="U16" i="8"/>
  <c r="U48" i="8"/>
  <c r="U21" i="3"/>
  <c r="U81" i="2" s="1"/>
  <c r="U22" i="5"/>
  <c r="Q16" i="8"/>
  <c r="Q22" i="5"/>
  <c r="Q48" i="8"/>
  <c r="Q21" i="3"/>
  <c r="U15" i="8"/>
  <c r="U17" i="5"/>
  <c r="Q15" i="8"/>
  <c r="Q17" i="5"/>
  <c r="U19" i="3"/>
  <c r="U14" i="5"/>
  <c r="Q19" i="3"/>
  <c r="Q14" i="5"/>
  <c r="H147" i="3"/>
  <c r="N147" i="2" s="1"/>
  <c r="K146" i="3"/>
  <c r="K147" i="3" s="1"/>
  <c r="Q147" i="2" s="1"/>
  <c r="K138" i="3"/>
  <c r="K139" i="3" s="1"/>
  <c r="Q144" i="2" s="1"/>
  <c r="H139" i="3"/>
  <c r="N144" i="2" s="1"/>
  <c r="O135" i="3"/>
  <c r="U143" i="2" s="1"/>
  <c r="U142" i="2"/>
  <c r="K135" i="3"/>
  <c r="Q143" i="2" s="1"/>
  <c r="Q142" i="2"/>
  <c r="K122" i="3"/>
  <c r="K123" i="3" s="1"/>
  <c r="Q140" i="2" s="1"/>
  <c r="H123" i="3"/>
  <c r="N140" i="2" s="1"/>
  <c r="H107" i="3"/>
  <c r="N136" i="2" s="1"/>
  <c r="K106" i="3"/>
  <c r="K107" i="3" s="1"/>
  <c r="Q136" i="2" s="1"/>
  <c r="O103" i="3"/>
  <c r="U135" i="2" s="1"/>
  <c r="U134" i="2"/>
  <c r="Q134" i="2"/>
  <c r="K103" i="3"/>
  <c r="Q135" i="2" s="1"/>
  <c r="H90" i="3"/>
  <c r="N132" i="2" s="1"/>
  <c r="K89" i="3"/>
  <c r="K90" i="3" s="1"/>
  <c r="Q132" i="2" s="1"/>
  <c r="O86" i="3"/>
  <c r="U131" i="2" s="1"/>
  <c r="U130" i="2"/>
  <c r="K86" i="3"/>
  <c r="Q131" i="2" s="1"/>
  <c r="Q130" i="2"/>
  <c r="K73" i="3"/>
  <c r="K74" i="3" s="1"/>
  <c r="Q128" i="2" s="1"/>
  <c r="H74" i="3"/>
  <c r="N128" i="2" s="1"/>
  <c r="U126" i="2"/>
  <c r="O70" i="3"/>
  <c r="U127" i="2" s="1"/>
  <c r="Q126" i="2"/>
  <c r="K70" i="3"/>
  <c r="Q127" i="2" s="1"/>
  <c r="H58" i="3"/>
  <c r="N124" i="2" s="1"/>
  <c r="K57" i="3"/>
  <c r="K58" i="3" s="1"/>
  <c r="Q124" i="2" s="1"/>
  <c r="U122" i="2"/>
  <c r="O54" i="3"/>
  <c r="U123" i="2" s="1"/>
  <c r="Q122" i="2"/>
  <c r="K54" i="3"/>
  <c r="Q123" i="2" s="1"/>
  <c r="X26" i="3"/>
  <c r="X80" i="2" s="1"/>
  <c r="X23" i="3"/>
  <c r="W26" i="3"/>
  <c r="W80" i="2" s="1"/>
  <c r="W23" i="3"/>
  <c r="V23" i="3"/>
  <c r="V26" i="3"/>
  <c r="V80" i="2" s="1"/>
  <c r="X20" i="3"/>
  <c r="X77" i="2" s="1"/>
  <c r="T26" i="3"/>
  <c r="T80" i="2" s="1"/>
  <c r="T23" i="3"/>
  <c r="S26" i="3"/>
  <c r="S80" i="2" s="1"/>
  <c r="S23" i="3"/>
  <c r="W20" i="3"/>
  <c r="W77" i="2" s="1"/>
  <c r="R26" i="3"/>
  <c r="R80" i="2" s="1"/>
  <c r="R23" i="3"/>
  <c r="V20" i="3"/>
  <c r="V77" i="2" s="1"/>
  <c r="P23" i="3"/>
  <c r="P26" i="3"/>
  <c r="P80" i="2" s="1"/>
  <c r="T20" i="3"/>
  <c r="T77" i="2" s="1"/>
  <c r="O23" i="3"/>
  <c r="O26" i="3"/>
  <c r="O80" i="2" s="1"/>
  <c r="S20" i="3"/>
  <c r="S77" i="2" s="1"/>
  <c r="N26" i="3"/>
  <c r="N80" i="2" s="1"/>
  <c r="R20" i="3"/>
  <c r="R77" i="2" s="1"/>
  <c r="N23" i="3"/>
  <c r="L35" i="3"/>
  <c r="L150" i="2" s="1"/>
  <c r="L23" i="3"/>
  <c r="L26" i="3"/>
  <c r="L80" i="2" s="1"/>
  <c r="K23" i="3"/>
  <c r="L20" i="3"/>
  <c r="L77" i="2" s="1"/>
  <c r="K35" i="3"/>
  <c r="K150" i="2" s="1"/>
  <c r="K26" i="3"/>
  <c r="K80" i="2" s="1"/>
  <c r="J35" i="3"/>
  <c r="J150" i="2" s="1"/>
  <c r="K20" i="3"/>
  <c r="K77" i="2" s="1"/>
  <c r="J23" i="3"/>
  <c r="J26" i="3"/>
  <c r="J80" i="2" s="1"/>
  <c r="J20" i="3"/>
  <c r="J77" i="2" s="1"/>
  <c r="I26" i="3"/>
  <c r="I80" i="2" s="1"/>
  <c r="I23" i="3"/>
  <c r="I35" i="3"/>
  <c r="I150" i="2" s="1"/>
  <c r="H26" i="3"/>
  <c r="H23" i="3"/>
  <c r="I20" i="3"/>
  <c r="I77" i="2" s="1"/>
  <c r="H35" i="3"/>
  <c r="G26" i="3"/>
  <c r="H20" i="3"/>
  <c r="G35" i="3"/>
  <c r="G23" i="3"/>
  <c r="F35" i="3"/>
  <c r="F26" i="3"/>
  <c r="F23" i="3"/>
  <c r="G20" i="3"/>
  <c r="E26" i="3"/>
  <c r="F20" i="3"/>
  <c r="E23" i="3"/>
  <c r="E35" i="3"/>
  <c r="D23" i="3"/>
  <c r="D26" i="3"/>
  <c r="E20" i="3"/>
  <c r="D35" i="3"/>
  <c r="D20" i="3"/>
  <c r="C23" i="3"/>
  <c r="C26" i="3"/>
  <c r="C35" i="3"/>
  <c r="V144" i="15" l="1"/>
  <c r="U144" i="15"/>
  <c r="T144" i="15"/>
  <c r="S144" i="15"/>
  <c r="R144" i="15"/>
  <c r="Q144" i="15"/>
  <c r="P144" i="15"/>
  <c r="M144" i="15"/>
  <c r="L144" i="15"/>
  <c r="K144" i="15"/>
  <c r="U135" i="15"/>
  <c r="T135" i="15"/>
  <c r="T48" i="15"/>
  <c r="S135" i="15"/>
  <c r="S48" i="15"/>
  <c r="R135" i="15"/>
  <c r="R48" i="15"/>
  <c r="Q135" i="15"/>
  <c r="Q48" i="15"/>
  <c r="P135" i="15"/>
  <c r="P48" i="15"/>
  <c r="M48" i="15"/>
  <c r="M135" i="15"/>
  <c r="L48" i="15"/>
  <c r="L135" i="15"/>
  <c r="K48" i="15"/>
  <c r="K135" i="15"/>
  <c r="C20" i="2"/>
  <c r="C68" i="15"/>
  <c r="C60" i="15"/>
  <c r="C62" i="15"/>
  <c r="V57" i="15"/>
  <c r="D59" i="15"/>
  <c r="E56" i="15"/>
  <c r="U57" i="15"/>
  <c r="T57" i="15"/>
  <c r="S57" i="15"/>
  <c r="R57" i="15"/>
  <c r="Q57" i="15"/>
  <c r="P57" i="15"/>
  <c r="M57" i="15"/>
  <c r="L57" i="15"/>
  <c r="K57" i="15"/>
  <c r="S74" i="15"/>
  <c r="S75" i="15" s="1"/>
  <c r="S161" i="15"/>
  <c r="S162" i="15" s="1"/>
  <c r="V135" i="15"/>
  <c r="V48" i="15"/>
  <c r="U48" i="15"/>
  <c r="X36" i="3"/>
  <c r="X151" i="2" s="1"/>
  <c r="W36" i="3"/>
  <c r="W151" i="2" s="1"/>
  <c r="V36" i="3"/>
  <c r="V151" i="2" s="1"/>
  <c r="Q33" i="3"/>
  <c r="Q24" i="8"/>
  <c r="Q27" i="8"/>
  <c r="Q28" i="8"/>
  <c r="X149" i="2"/>
  <c r="X35" i="3"/>
  <c r="X150" i="2" s="1"/>
  <c r="W149" i="2"/>
  <c r="W35" i="3"/>
  <c r="W150" i="2" s="1"/>
  <c r="V149" i="2"/>
  <c r="V35" i="3"/>
  <c r="V150" i="2" s="1"/>
  <c r="T149" i="2"/>
  <c r="T35" i="3"/>
  <c r="T150" i="2" s="1"/>
  <c r="S149" i="2"/>
  <c r="S35" i="3"/>
  <c r="S150" i="2" s="1"/>
  <c r="S29" i="8"/>
  <c r="S25" i="8"/>
  <c r="S26" i="8" s="1"/>
  <c r="R29" i="8"/>
  <c r="R25" i="8"/>
  <c r="R26" i="8" s="1"/>
  <c r="O29" i="8"/>
  <c r="O25" i="8"/>
  <c r="O26" i="8" s="1"/>
  <c r="N29" i="8"/>
  <c r="N25" i="8"/>
  <c r="N26" i="8" s="1"/>
  <c r="V153" i="15"/>
  <c r="V66" i="15"/>
  <c r="U153" i="15"/>
  <c r="U66" i="15"/>
  <c r="T153" i="15"/>
  <c r="T66" i="15"/>
  <c r="R66" i="15"/>
  <c r="R153" i="15"/>
  <c r="Q153" i="15"/>
  <c r="Q66" i="15"/>
  <c r="P153" i="15"/>
  <c r="P66" i="15"/>
  <c r="C67" i="15" s="1"/>
  <c r="M153" i="15"/>
  <c r="M66" i="15"/>
  <c r="L153" i="15"/>
  <c r="L66" i="15"/>
  <c r="K153" i="15"/>
  <c r="K66" i="15"/>
  <c r="J153" i="15"/>
  <c r="J66" i="15"/>
  <c r="N69" i="15"/>
  <c r="N156" i="15"/>
  <c r="E55" i="16"/>
  <c r="D57" i="16"/>
  <c r="D58" i="16" s="1"/>
  <c r="E45" i="16"/>
  <c r="D47" i="16"/>
  <c r="D48" i="16" s="1"/>
  <c r="E35" i="16"/>
  <c r="D37" i="16"/>
  <c r="D38" i="16" s="1"/>
  <c r="N52" i="15"/>
  <c r="E53" i="15"/>
  <c r="N139" i="15"/>
  <c r="E51" i="15"/>
  <c r="N50" i="15"/>
  <c r="N137" i="15"/>
  <c r="C137" i="15" s="1"/>
  <c r="E49" i="15"/>
  <c r="N43" i="15"/>
  <c r="E44" i="15"/>
  <c r="N130" i="15"/>
  <c r="E42" i="15"/>
  <c r="N41" i="15"/>
  <c r="N128" i="15"/>
  <c r="C128" i="15" s="1"/>
  <c r="E40" i="15"/>
  <c r="N34" i="15"/>
  <c r="E35" i="15"/>
  <c r="N121" i="15"/>
  <c r="E33" i="15"/>
  <c r="N32" i="15"/>
  <c r="N119" i="15"/>
  <c r="C119" i="15" s="1"/>
  <c r="E31" i="15"/>
  <c r="N25" i="15"/>
  <c r="E26" i="15"/>
  <c r="N112" i="15"/>
  <c r="E24" i="15"/>
  <c r="N23" i="15"/>
  <c r="N110" i="15"/>
  <c r="C110" i="15" s="1"/>
  <c r="E22" i="15"/>
  <c r="E17" i="15"/>
  <c r="N16" i="15"/>
  <c r="N103" i="15"/>
  <c r="E15" i="15"/>
  <c r="N14" i="15"/>
  <c r="N101" i="15"/>
  <c r="C101" i="15" s="1"/>
  <c r="E13" i="15"/>
  <c r="D17" i="15"/>
  <c r="X11" i="2"/>
  <c r="X20" i="2" s="1"/>
  <c r="W11" i="2"/>
  <c r="W20" i="2" s="1"/>
  <c r="V11" i="2"/>
  <c r="V20" i="2" s="1"/>
  <c r="T11" i="2"/>
  <c r="T20" i="2" s="1"/>
  <c r="S11" i="2"/>
  <c r="S20" i="2" s="1"/>
  <c r="R11" i="2"/>
  <c r="R20" i="2" s="1"/>
  <c r="L11" i="2"/>
  <c r="L20" i="2" s="1"/>
  <c r="K11" i="2"/>
  <c r="K20" i="2" s="1"/>
  <c r="J11" i="2"/>
  <c r="J20" i="2" s="1"/>
  <c r="I11" i="2"/>
  <c r="I20" i="2" s="1"/>
  <c r="H11" i="2"/>
  <c r="H20" i="2" s="1"/>
  <c r="G11" i="2"/>
  <c r="G20" i="2" s="1"/>
  <c r="F11" i="2"/>
  <c r="F20" i="2" s="1"/>
  <c r="E11" i="2"/>
  <c r="E20" i="2" s="1"/>
  <c r="D11" i="2"/>
  <c r="D20" i="2" s="1"/>
  <c r="C70" i="15"/>
  <c r="S36" i="3"/>
  <c r="S151" i="2" s="1"/>
  <c r="R36" i="3"/>
  <c r="R151" i="2" s="1"/>
  <c r="P36" i="3"/>
  <c r="P151" i="2" s="1"/>
  <c r="R149" i="2"/>
  <c r="R35" i="3"/>
  <c r="R150" i="2" s="1"/>
  <c r="P149" i="2"/>
  <c r="P35" i="3"/>
  <c r="P150" i="2" s="1"/>
  <c r="O149" i="2"/>
  <c r="O35" i="3"/>
  <c r="O150" i="2" s="1"/>
  <c r="S87" i="15"/>
  <c r="S174" i="15"/>
  <c r="V158" i="15"/>
  <c r="V71" i="15"/>
  <c r="U158" i="15"/>
  <c r="U71" i="15"/>
  <c r="T158" i="15"/>
  <c r="T71" i="15"/>
  <c r="V67" i="15"/>
  <c r="V154" i="15"/>
  <c r="R158" i="15"/>
  <c r="R71" i="15"/>
  <c r="Q158" i="15"/>
  <c r="Q71" i="15"/>
  <c r="U154" i="15"/>
  <c r="U67" i="15"/>
  <c r="P158" i="15"/>
  <c r="P71" i="15"/>
  <c r="T67" i="15"/>
  <c r="T154" i="15"/>
  <c r="R67" i="15"/>
  <c r="R154" i="15"/>
  <c r="Q67" i="15"/>
  <c r="Q154" i="15"/>
  <c r="P154" i="15"/>
  <c r="P67" i="15"/>
  <c r="M158" i="15"/>
  <c r="M71" i="15"/>
  <c r="M67" i="15"/>
  <c r="M154" i="15"/>
  <c r="L158" i="15"/>
  <c r="L71" i="15"/>
  <c r="L154" i="15"/>
  <c r="L67" i="15"/>
  <c r="K71" i="15"/>
  <c r="K158" i="15"/>
  <c r="K154" i="15"/>
  <c r="K67" i="15"/>
  <c r="J71" i="15"/>
  <c r="J158" i="15"/>
  <c r="J154" i="15"/>
  <c r="J67" i="15"/>
  <c r="L59" i="8"/>
  <c r="U58" i="8"/>
  <c r="K59" i="8"/>
  <c r="Q58" i="8"/>
  <c r="L45" i="8"/>
  <c r="U44" i="8"/>
  <c r="K45" i="8"/>
  <c r="Q44" i="8"/>
  <c r="J49" i="8"/>
  <c r="J50" i="8"/>
  <c r="I49" i="8"/>
  <c r="I50" i="8"/>
  <c r="U36" i="8"/>
  <c r="U37" i="8"/>
  <c r="Q36" i="8"/>
  <c r="Q37" i="8"/>
  <c r="U22" i="3"/>
  <c r="Q81" i="2"/>
  <c r="U23" i="3"/>
  <c r="U26" i="3"/>
  <c r="U80" i="2" s="1"/>
  <c r="U35" i="3"/>
  <c r="U150" i="2" s="1"/>
  <c r="U9" i="2"/>
  <c r="U76" i="2"/>
  <c r="U20" i="3"/>
  <c r="U77" i="2" s="1"/>
  <c r="Q23" i="3"/>
  <c r="Q26" i="3"/>
  <c r="Q80" i="2" s="1"/>
  <c r="U10" i="2"/>
  <c r="Q9" i="2"/>
  <c r="Q11" i="2" s="1"/>
  <c r="Q20" i="2" s="1"/>
  <c r="Q76" i="2"/>
  <c r="O36" i="3"/>
  <c r="O151" i="2" s="1"/>
  <c r="N36" i="3"/>
  <c r="N151" i="2" s="1"/>
  <c r="X29" i="8"/>
  <c r="X25" i="8"/>
  <c r="X26" i="8" s="1"/>
  <c r="W29" i="8"/>
  <c r="W25" i="8"/>
  <c r="W26" i="8" s="1"/>
  <c r="P29" i="8"/>
  <c r="P25" i="8"/>
  <c r="P26" i="8" s="1"/>
  <c r="N149" i="2"/>
  <c r="N35" i="3"/>
  <c r="N150" i="2" s="1"/>
  <c r="D66" i="15" l="1"/>
  <c r="E59" i="15"/>
  <c r="D61" i="15"/>
  <c r="N143" i="15"/>
  <c r="N56" i="15"/>
  <c r="Q149" i="2"/>
  <c r="Q36" i="3"/>
  <c r="Q151" i="2" s="1"/>
  <c r="Q35" i="3"/>
  <c r="Q150" i="2" s="1"/>
  <c r="Q25" i="8"/>
  <c r="Q26" i="8" s="1"/>
  <c r="Q29" i="8"/>
  <c r="F55" i="16"/>
  <c r="E57" i="16"/>
  <c r="E58" i="16" s="1"/>
  <c r="F45" i="16"/>
  <c r="E47" i="16"/>
  <c r="E48" i="16" s="1"/>
  <c r="F35" i="16"/>
  <c r="E37" i="16"/>
  <c r="E38" i="16" s="1"/>
  <c r="N53" i="15"/>
  <c r="N140" i="15"/>
  <c r="N51" i="15"/>
  <c r="N138" i="15"/>
  <c r="D137" i="15"/>
  <c r="C139" i="15"/>
  <c r="C140" i="15" s="1"/>
  <c r="N49" i="15"/>
  <c r="N136" i="15"/>
  <c r="E48" i="15"/>
  <c r="N44" i="15"/>
  <c r="N131" i="15"/>
  <c r="N42" i="15"/>
  <c r="N129" i="15"/>
  <c r="C130" i="15"/>
  <c r="C131" i="15" s="1"/>
  <c r="D128" i="15"/>
  <c r="N40" i="15"/>
  <c r="N127" i="15"/>
  <c r="E39" i="15"/>
  <c r="N35" i="15"/>
  <c r="N122" i="15"/>
  <c r="N33" i="15"/>
  <c r="N120" i="15"/>
  <c r="D119" i="15"/>
  <c r="C121" i="15"/>
  <c r="C122" i="15" s="1"/>
  <c r="N31" i="15"/>
  <c r="N118" i="15"/>
  <c r="E30" i="15"/>
  <c r="N26" i="15"/>
  <c r="N113" i="15"/>
  <c r="N24" i="15"/>
  <c r="N111" i="15"/>
  <c r="D110" i="15"/>
  <c r="C112" i="15"/>
  <c r="C113" i="15" s="1"/>
  <c r="N22" i="15"/>
  <c r="N109" i="15"/>
  <c r="E21" i="15"/>
  <c r="N17" i="15"/>
  <c r="N104" i="15"/>
  <c r="N15" i="15"/>
  <c r="N102" i="15"/>
  <c r="D101" i="15"/>
  <c r="C103" i="15"/>
  <c r="N13" i="15"/>
  <c r="E12" i="15"/>
  <c r="N100" i="15"/>
  <c r="C74" i="15"/>
  <c r="C71" i="15"/>
  <c r="S158" i="15"/>
  <c r="S71" i="15"/>
  <c r="S153" i="15"/>
  <c r="S66" i="15"/>
  <c r="S154" i="15"/>
  <c r="S67" i="15"/>
  <c r="L60" i="8"/>
  <c r="U60" i="8" s="1"/>
  <c r="U59" i="8"/>
  <c r="K60" i="8"/>
  <c r="Q60" i="8" s="1"/>
  <c r="Q59" i="8"/>
  <c r="U45" i="8"/>
  <c r="K47" i="8"/>
  <c r="L46" i="8"/>
  <c r="Q45" i="8"/>
  <c r="U11" i="2"/>
  <c r="U20" i="2" s="1"/>
  <c r="N146" i="15" l="1"/>
  <c r="C146" i="15" s="1"/>
  <c r="E66" i="15"/>
  <c r="E58" i="15"/>
  <c r="N59" i="15"/>
  <c r="D68" i="15"/>
  <c r="D70" i="15" s="1"/>
  <c r="E61" i="15"/>
  <c r="D62" i="15"/>
  <c r="D67" i="15"/>
  <c r="G55" i="16"/>
  <c r="F57" i="16"/>
  <c r="F58" i="16" s="1"/>
  <c r="G45" i="16"/>
  <c r="F47" i="16"/>
  <c r="F48" i="16" s="1"/>
  <c r="F37" i="16"/>
  <c r="F38" i="16" s="1"/>
  <c r="G35" i="16"/>
  <c r="E137" i="15"/>
  <c r="D139" i="15"/>
  <c r="D140" i="15" s="1"/>
  <c r="N48" i="15"/>
  <c r="N135" i="15"/>
  <c r="D130" i="15"/>
  <c r="D131" i="15" s="1"/>
  <c r="E128" i="15"/>
  <c r="N39" i="15"/>
  <c r="N126" i="15"/>
  <c r="D121" i="15"/>
  <c r="D122" i="15" s="1"/>
  <c r="E119" i="15"/>
  <c r="N30" i="15"/>
  <c r="N117" i="15"/>
  <c r="D112" i="15"/>
  <c r="D113" i="15" s="1"/>
  <c r="E110" i="15"/>
  <c r="N21" i="15"/>
  <c r="N108" i="15"/>
  <c r="E101" i="15"/>
  <c r="D103" i="15"/>
  <c r="C104" i="15"/>
  <c r="N12" i="15"/>
  <c r="N99" i="15"/>
  <c r="C75" i="15"/>
  <c r="C78" i="15"/>
  <c r="U46" i="8"/>
  <c r="L47" i="8"/>
  <c r="L49" i="8"/>
  <c r="K49" i="8"/>
  <c r="Q47" i="8"/>
  <c r="K50" i="8"/>
  <c r="Q50" i="8" s="1"/>
  <c r="C153" i="15" l="1"/>
  <c r="C148" i="15"/>
  <c r="D146" i="15"/>
  <c r="C183" i="15"/>
  <c r="N153" i="15"/>
  <c r="E67" i="15"/>
  <c r="N66" i="15"/>
  <c r="E57" i="15"/>
  <c r="N145" i="15"/>
  <c r="N58" i="15"/>
  <c r="D71" i="15"/>
  <c r="D74" i="15"/>
  <c r="E68" i="15"/>
  <c r="E60" i="15"/>
  <c r="N148" i="15"/>
  <c r="E62" i="15"/>
  <c r="N61" i="15"/>
  <c r="U47" i="8"/>
  <c r="L50" i="8"/>
  <c r="U50" i="8" s="1"/>
  <c r="G59" i="16"/>
  <c r="G57" i="16"/>
  <c r="G58" i="16" s="1"/>
  <c r="E7" i="16" s="1"/>
  <c r="G49" i="16"/>
  <c r="G47" i="16"/>
  <c r="G48" i="16" s="1"/>
  <c r="D7" i="16" s="1"/>
  <c r="G37" i="16"/>
  <c r="G38" i="16" s="1"/>
  <c r="G39" i="16"/>
  <c r="F137" i="15"/>
  <c r="E139" i="15"/>
  <c r="E140" i="15" s="1"/>
  <c r="F128" i="15"/>
  <c r="E130" i="15"/>
  <c r="E131" i="15" s="1"/>
  <c r="F119" i="15"/>
  <c r="E121" i="15"/>
  <c r="E122" i="15" s="1"/>
  <c r="F110" i="15"/>
  <c r="E112" i="15"/>
  <c r="E113" i="15" s="1"/>
  <c r="F101" i="15"/>
  <c r="E103" i="15"/>
  <c r="D104" i="15"/>
  <c r="C79" i="15"/>
  <c r="C85" i="15"/>
  <c r="E85" i="15" s="1"/>
  <c r="U77" i="8"/>
  <c r="U49" i="8"/>
  <c r="Q77" i="8"/>
  <c r="Q49" i="8"/>
  <c r="C154" i="15" l="1"/>
  <c r="C155" i="15"/>
  <c r="C157" i="15" s="1"/>
  <c r="C149" i="15"/>
  <c r="D153" i="15"/>
  <c r="D154" i="15" s="1"/>
  <c r="D148" i="15"/>
  <c r="E146" i="15"/>
  <c r="N154" i="15"/>
  <c r="N67" i="15"/>
  <c r="N144" i="15"/>
  <c r="N57" i="15"/>
  <c r="N155" i="15"/>
  <c r="E70" i="15"/>
  <c r="N68" i="15"/>
  <c r="N147" i="15"/>
  <c r="N60" i="15"/>
  <c r="N62" i="15"/>
  <c r="N149" i="15"/>
  <c r="G60" i="16"/>
  <c r="E4" i="16" s="1"/>
  <c r="E8" i="16" s="1"/>
  <c r="E16" i="16" s="1"/>
  <c r="E6" i="16"/>
  <c r="G50" i="16"/>
  <c r="D4" i="16" s="1"/>
  <c r="D8" i="16" s="1"/>
  <c r="D16" i="16" s="1"/>
  <c r="D6" i="16"/>
  <c r="C7" i="16"/>
  <c r="G40" i="16"/>
  <c r="C4" i="16" s="1"/>
  <c r="C8" i="16" s="1"/>
  <c r="C16" i="16" s="1"/>
  <c r="C6" i="16"/>
  <c r="F139" i="15"/>
  <c r="F140" i="15" s="1"/>
  <c r="G137" i="15"/>
  <c r="F130" i="15"/>
  <c r="F131" i="15" s="1"/>
  <c r="G128" i="15"/>
  <c r="F121" i="15"/>
  <c r="F122" i="15" s="1"/>
  <c r="G119" i="15"/>
  <c r="G110" i="15"/>
  <c r="F112" i="15"/>
  <c r="F113" i="15" s="1"/>
  <c r="G101" i="15"/>
  <c r="F103" i="15"/>
  <c r="E104" i="15"/>
  <c r="N85" i="15"/>
  <c r="N172" i="15"/>
  <c r="C161" i="15" l="1"/>
  <c r="C158" i="15"/>
  <c r="D155" i="15"/>
  <c r="D157" i="15" s="1"/>
  <c r="D149" i="15"/>
  <c r="E153" i="15"/>
  <c r="E154" i="15" s="1"/>
  <c r="F146" i="15"/>
  <c r="E148" i="15"/>
  <c r="N157" i="15"/>
  <c r="E74" i="15"/>
  <c r="E71" i="15"/>
  <c r="N70" i="15"/>
  <c r="G139" i="15"/>
  <c r="G140" i="15" s="1"/>
  <c r="H137" i="15"/>
  <c r="H139" i="15" s="1"/>
  <c r="H140" i="15" s="1"/>
  <c r="H128" i="15"/>
  <c r="H130" i="15" s="1"/>
  <c r="G130" i="15"/>
  <c r="G131" i="15" s="1"/>
  <c r="H119" i="15"/>
  <c r="H121" i="15" s="1"/>
  <c r="G121" i="15"/>
  <c r="G122" i="15" s="1"/>
  <c r="G112" i="15"/>
  <c r="G113" i="15" s="1"/>
  <c r="H110" i="15"/>
  <c r="H112" i="15" s="1"/>
  <c r="H101" i="15"/>
  <c r="G103" i="15"/>
  <c r="F104" i="15"/>
  <c r="C163" i="15" l="1"/>
  <c r="C165" i="15" s="1"/>
  <c r="D158" i="15"/>
  <c r="D161" i="15"/>
  <c r="D163" i="15" s="1"/>
  <c r="D165" i="15" s="1"/>
  <c r="F153" i="15"/>
  <c r="F154" i="15" s="1"/>
  <c r="F148" i="15"/>
  <c r="G146" i="15"/>
  <c r="E155" i="15"/>
  <c r="E157" i="15" s="1"/>
  <c r="E149" i="15"/>
  <c r="N161" i="15"/>
  <c r="E76" i="15"/>
  <c r="E78" i="15" s="1"/>
  <c r="D76" i="15"/>
  <c r="N74" i="15"/>
  <c r="N158" i="15"/>
  <c r="N71" i="15"/>
  <c r="H113" i="15"/>
  <c r="H103" i="15"/>
  <c r="G104" i="15"/>
  <c r="H122" i="15"/>
  <c r="H131" i="15"/>
  <c r="C173" i="15" l="1"/>
  <c r="C166" i="15"/>
  <c r="F155" i="15"/>
  <c r="F157" i="15" s="1"/>
  <c r="F149" i="15"/>
  <c r="G153" i="15"/>
  <c r="H146" i="15"/>
  <c r="G148" i="15"/>
  <c r="E158" i="15"/>
  <c r="E161" i="15"/>
  <c r="N165" i="15"/>
  <c r="E79" i="15"/>
  <c r="N78" i="15"/>
  <c r="N163" i="15"/>
  <c r="N76" i="15"/>
  <c r="D75" i="15"/>
  <c r="D78" i="15"/>
  <c r="D166" i="15"/>
  <c r="D173" i="15"/>
  <c r="H104" i="15"/>
  <c r="D23" i="16"/>
  <c r="F158" i="15" l="1"/>
  <c r="F161" i="15"/>
  <c r="G154" i="15"/>
  <c r="C181" i="15"/>
  <c r="H153" i="15"/>
  <c r="H154" i="15" s="1"/>
  <c r="H148" i="15"/>
  <c r="G155" i="15"/>
  <c r="G157" i="15" s="1"/>
  <c r="G149" i="15"/>
  <c r="E163" i="15"/>
  <c r="E165" i="15" s="1"/>
  <c r="N166" i="15"/>
  <c r="N79" i="15"/>
  <c r="D79" i="15"/>
  <c r="D86" i="15"/>
  <c r="C184" i="15"/>
  <c r="C23" i="16"/>
  <c r="D174" i="15"/>
  <c r="F163" i="15" l="1"/>
  <c r="F165" i="15" s="1"/>
  <c r="H155" i="15"/>
  <c r="H157" i="15" s="1"/>
  <c r="H149" i="15"/>
  <c r="G161" i="15"/>
  <c r="G163" i="15" s="1"/>
  <c r="G165" i="15" s="1"/>
  <c r="G158" i="15"/>
  <c r="D181" i="15"/>
  <c r="E173" i="15"/>
  <c r="E166" i="15"/>
  <c r="D87" i="15"/>
  <c r="E86" i="15"/>
  <c r="F173" i="15" l="1"/>
  <c r="F166" i="15"/>
  <c r="H158" i="15"/>
  <c r="H161" i="15"/>
  <c r="H163" i="15" s="1"/>
  <c r="H165" i="15" s="1"/>
  <c r="E23" i="16"/>
  <c r="E174" i="15"/>
  <c r="N86" i="15"/>
  <c r="E87" i="15"/>
  <c r="N173" i="15"/>
  <c r="C174" i="15" s="1"/>
  <c r="C185" i="15"/>
  <c r="B23" i="16"/>
  <c r="E181" i="15"/>
  <c r="G166" i="15"/>
  <c r="G173" i="15"/>
  <c r="G174" i="15" l="1"/>
  <c r="H166" i="15"/>
  <c r="C186" i="15" s="1"/>
  <c r="H173" i="15"/>
  <c r="H174" i="15" s="1"/>
  <c r="C187" i="15" s="1"/>
  <c r="F174" i="15"/>
  <c r="F23" i="16"/>
  <c r="N174" i="15"/>
  <c r="N87" i="15"/>
  <c r="F181" i="15"/>
  <c r="G23" i="16"/>
  <c r="J35" i="16" l="1"/>
  <c r="H23" i="16"/>
</calcChain>
</file>

<file path=xl/sharedStrings.xml><?xml version="1.0" encoding="utf-8"?>
<sst xmlns="http://schemas.openxmlformats.org/spreadsheetml/2006/main" count="3325" uniqueCount="1358">
  <si>
    <t>PepsiCo PEP — Historical Research Workbook</t>
  </si>
  <si>
    <t>FY2016–FY2025 | Quarterly: FY2024Q1–FY2026Q3</t>
  </si>
  <si>
    <t>USD millions unless indicated. Actuals through FY2026Q3; growth-attribution audit updated 2026-10-27.</t>
  </si>
  <si>
    <t>Worksheet</t>
  </si>
  <si>
    <t>Contents</t>
  </si>
  <si>
    <t>Segments</t>
  </si>
  <si>
    <t>Start here: ten-year revenue attribution and segment trends</t>
  </si>
  <si>
    <t>Operating Metrics</t>
  </si>
  <si>
    <t>Ten-year and quarterly trends; legacy splits and material drivers</t>
  </si>
  <si>
    <t>Products &amp; Geography</t>
  </si>
  <si>
    <t>Annual country exposure, assets, food / beverage and bottling mix</t>
  </si>
  <si>
    <t>Income Statement</t>
  </si>
  <si>
    <t>Consolidated results, YoY changes and YTD</t>
  </si>
  <si>
    <t>Balance Sheet</t>
  </si>
  <si>
    <t>Consolidated assets, liabilities and equity</t>
  </si>
  <si>
    <t>Cash Flow</t>
  </si>
  <si>
    <t>Annual/YTD cash flows and derived quarters</t>
  </si>
  <si>
    <t>Derived Metrics</t>
  </si>
  <si>
    <t>Profitability, cash flow, debt, capital and turnover</t>
  </si>
  <si>
    <t>Note Schedules</t>
  </si>
  <si>
    <t>Working capital, taxes, SBC and comprehensive income</t>
  </si>
  <si>
    <t>Debt &amp; Leases</t>
  </si>
  <si>
    <t>Debt, leases, issuances and supplier finance</t>
  </si>
  <si>
    <t>Investments</t>
  </si>
  <si>
    <t>Financial instruments, fair value and investments</t>
  </si>
  <si>
    <t>Acquisitions &amp; Intangibles</t>
  </si>
  <si>
    <t>Intangibles, goodwill, restructuring and transactions</t>
  </si>
  <si>
    <t>Pension &amp; Retiree Medical</t>
  </si>
  <si>
    <t>Plan obligations, assets, costs and assumptions</t>
  </si>
  <si>
    <t>Core Reconciliations</t>
  </si>
  <si>
    <t>Company Core EPS, operating profit, FCF and ROIC</t>
  </si>
  <si>
    <t>Segments covers group revenue attribution and current / legacy segments. Volume contribution (pp) differs from physical volume growth (%).</t>
  </si>
  <si>
    <t>PepsiCo PEP — Revenue Growth Attribution and Segment Trends</t>
  </si>
  <si>
    <t>USD millions unless indicated. Group FY2016–FY2025; discrete quarters FY2024Q1–FY2026Q3. Growth-attribution audit: 2026-10-27.</t>
  </si>
  <si>
    <t>Return to Contents</t>
  </si>
  <si>
    <t>FY2016</t>
  </si>
  <si>
    <t>FY2017</t>
  </si>
  <si>
    <t>FY2018</t>
  </si>
  <si>
    <t>FY2019</t>
  </si>
  <si>
    <t>FY2020</t>
  </si>
  <si>
    <t>FY2021</t>
  </si>
  <si>
    <t>FY2022</t>
  </si>
  <si>
    <t>FY2023</t>
  </si>
  <si>
    <t>FY2024</t>
  </si>
  <si>
    <t>FY2025</t>
  </si>
  <si>
    <t>FY2024Q1</t>
  </si>
  <si>
    <t>FY2024Q2</t>
  </si>
  <si>
    <t>FY2024Q3</t>
  </si>
  <si>
    <t>FY2024Q4</t>
  </si>
  <si>
    <t>FY2025Q1</t>
  </si>
  <si>
    <t>FY2025Q2</t>
  </si>
  <si>
    <t>FY2025Q3</t>
  </si>
  <si>
    <t>FY2025Q4</t>
  </si>
  <si>
    <t>FY2026Q1</t>
  </si>
  <si>
    <t>FY2026Q2</t>
  </si>
  <si>
    <t>FY2026Q3</t>
  </si>
  <si>
    <t>Metric / reporting scope</t>
  </si>
  <si>
    <t>Blank = unavailable; dash = zero.</t>
  </si>
  <si>
    <t>Full year</t>
  </si>
  <si>
    <t>Quarter</t>
  </si>
  <si>
    <t>Contributions are percentage points (pp); physical volume is %. Current-six amounts start FY2022; drivers start FY2023. Earlier reporting boundaries are shown separately below.</t>
  </si>
  <si>
    <t>PepsiCo consolidated revenue growth attribution</t>
  </si>
  <si>
    <t>Volume contribution is the company-reported effect on revenue growth. It is distinct from foods / beverages unit-volume growth. Pricing includes promotions and mix. Company-rounded contributions and precise growth rates require rounding residuals.</t>
  </si>
  <si>
    <t>Net revenue</t>
  </si>
  <si>
    <t>Prior-year net revenue</t>
  </si>
  <si>
    <t>Reported net revenue growth</t>
  </si>
  <si>
    <t>Organic revenue growth</t>
  </si>
  <si>
    <t>Volume contribution to revenue (pp)</t>
  </si>
  <si>
    <t>Effective net pricing contribution (pp)</t>
  </si>
  <si>
    <t>FX contribution (pp)</t>
  </si>
  <si>
    <t>M&amp;A / disposals contribution (pp)</t>
  </si>
  <si>
    <t>53rd reporting week contribution (pp)</t>
  </si>
  <si>
    <t>Venezuela deconsolidation (pp)</t>
  </si>
  <si>
    <t>Sum of disclosed contributions (pp)</t>
  </si>
  <si>
    <t>Rounding to reported growth (pp)</t>
  </si>
  <si>
    <t>Rounding within organic growth (pp)</t>
  </si>
  <si>
    <t>PepsiCo physical volume growth</t>
  </si>
  <si>
    <t>Organic physical volume - foods</t>
  </si>
  <si>
    <t>Organic physical volume - beverages</t>
  </si>
  <si>
    <t>Rounding residuals are analyst calculations with no separate operating interpretation. Food weight and beverage cases are incompatible units and are not averaged. FY2017 and FY2022 consolidated volume contributions are disclosed rounded zeros.</t>
  </si>
  <si>
    <t>Six-segment revenue and profit</t>
  </si>
  <si>
    <t>Current six-segment amounts are recast to FY2022; segment Core profit starts in FY2023. Core is company-defined non-GAAP. Q3 2026 group Core profit growth includes a 4 pp tariff-refund benefit.</t>
  </si>
  <si>
    <t>PFNA</t>
  </si>
  <si>
    <t>Net revenue YoY</t>
  </si>
  <si>
    <t>Core operating profit</t>
  </si>
  <si>
    <t>Core operating profit YoY</t>
  </si>
  <si>
    <t>Core operating margin</t>
  </si>
  <si>
    <t>Reported operating profit</t>
  </si>
  <si>
    <t>PBNA</t>
  </si>
  <si>
    <t>IB Franchise</t>
  </si>
  <si>
    <t>EMEA</t>
  </si>
  <si>
    <t>LatAm Foods</t>
  </si>
  <si>
    <t>Asia Pacific Foods</t>
  </si>
  <si>
    <t>Corporate</t>
  </si>
  <si>
    <t>Core corporate expenses (signed)</t>
  </si>
  <si>
    <t>Reported corporate expenses (signed)</t>
  </si>
  <si>
    <t>PepsiCo</t>
  </si>
  <si>
    <t>Current six segments: growth attribution and physical volumes</t>
  </si>
  <si>
    <t>FY2023 onward uses the recast six-segment structure. Contribution rows use pp; physical volume rows use %. All quarterly contributions, including Q4, are directly disclosed for that quarter.</t>
  </si>
  <si>
    <t>Capital investment intensity</t>
  </si>
  <si>
    <t>Compare like quarters: capital spending is seasonal. Capex / D&amp;A indicates investment intensity; it does not estimate maintenance capex or ROIC. D&amp;A amounts and components remain in Operating Metrics.</t>
  </si>
  <si>
    <t>Capital spending</t>
  </si>
  <si>
    <t>Capital spending / net revenue</t>
  </si>
  <si>
    <t>Capital spending / D&amp;A</t>
  </si>
  <si>
    <t>Corporate capital spending</t>
  </si>
  <si>
    <t>Legacy six segments: FY2016–FY2018 growth attribution</t>
  </si>
  <si>
    <t>Earlier reporting boundaries: NAB, Latin America, ESSA and AMENA. These are revenue-growth contributions, not physical volume. See Operating Metrics for the matching operating history.</t>
  </si>
  <si>
    <t>FLNA</t>
  </si>
  <si>
    <t>QFNA</t>
  </si>
  <si>
    <t>NAB</t>
  </si>
  <si>
    <t>Latin America</t>
  </si>
  <si>
    <t>ESSA</t>
  </si>
  <si>
    <t>AMENA</t>
  </si>
  <si>
    <t>Legacy seven segments: FY2019–FY2022 growth attribution</t>
  </si>
  <si>
    <t>2019 reporting boundaries: PBNA, LatAm, Europe, AMESA and APAC. Do not splice these regional series to the current EMEA / food-only segments.</t>
  </si>
  <si>
    <t>LatAm</t>
  </si>
  <si>
    <t>Europe</t>
  </si>
  <si>
    <t>AMESA</t>
  </si>
  <si>
    <t>APAC</t>
  </si>
  <si>
    <t>PepsiCo PEP — Operating History and Key Drivers</t>
  </si>
  <si>
    <t>USD millions unless indicated. Historical actuals through FY2026Q3. Research layout as of 2026-10-22.</t>
  </si>
  <si>
    <t>PepsiCo - ten-year operating history</t>
  </si>
  <si>
    <t>Current six segments - annual and quarterly trends</t>
  </si>
  <si>
    <t>Frito-Lay and Quaker - historical operating split</t>
  </si>
  <si>
    <t>Earlier reporting structure - FY2016-FY2018</t>
  </si>
  <si>
    <t>PBNA - FY2019-FY2021</t>
  </si>
  <si>
    <t>Historical international structure - FY2019-FY2024</t>
  </si>
  <si>
    <t>Selected category and historical unit-volume disclosures</t>
  </si>
  <si>
    <t>Selected charges relevant to earnings quality and capital allocation</t>
  </si>
  <si>
    <t>FY2022 transaction and impairment effects</t>
  </si>
  <si>
    <t>Annual FY2016–FY2025; discrete quarters FY2024Q1–FY2026Q3. Physical volume differs from revenue-volume contribution; see Segments for the complete bridge. FX / M&amp;A rows below are adjustments from reported to organic growth.</t>
  </si>
  <si>
    <t>Reported operating profit YoY</t>
  </si>
  <si>
    <t>Reported operating margin</t>
  </si>
  <si>
    <t>Effective net pricing</t>
  </si>
  <si>
    <t>FX adjustment to organic revenue growth</t>
  </si>
  <si>
    <t>Acquisition / divestiture adjustment</t>
  </si>
  <si>
    <t>Depreciation and amortization</t>
  </si>
  <si>
    <t>Current reporting structure; annual amounts recast to FY2022. Segment Core profit is available from FY2023. Q4 additive amounts use matching annual less Q1-Q3; missing component splits stay blank. Core excludes company-defined adjustments. See selected charges below for capital-allocation context.</t>
  </si>
  <si>
    <t>Depreciation and other amortization</t>
  </si>
  <si>
    <t>Amortization of intangible assets</t>
  </si>
  <si>
    <t>Corporate unallocated expenses</t>
  </si>
  <si>
    <t>FLNA and QFNA remain separate through FY2024; no split is estimated after their combination into PFNA. Profits use the later pension presentation. Physical organic volume differs from old narrative unit volume including structural / reporting-week effects.</t>
  </si>
  <si>
    <t>Original earlier-six boundaries; profit uses the 2018 pension presentation. Do not splice ESSA / AMENA into later regions.</t>
  </si>
  <si>
    <t>PBNA is unchanged by the 2025 segment realignment. FY2022 onward appears once in the current operating-history panel above.</t>
  </si>
  <si>
    <t>Historical international boundaries differ from the current six; compare within this panel.</t>
  </si>
  <si>
    <t>Annual / quarterly filing volume definitions as originally disclosed. Earlier reported unit volume includes acquisitions and reporting-week effects; it is not spliced into organic physical volume. CSD, non-carbonated beverages and savory snacks help explain the main demand indicators.</t>
  </si>
  <si>
    <t>FLNA - reported food unit volume</t>
  </si>
  <si>
    <t>QFNA - reported food unit volume</t>
  </si>
  <si>
    <t>was flat</t>
  </si>
  <si>
    <t>NAB - reported beverage unit volume</t>
  </si>
  <si>
    <t>NAB - CSD volume</t>
  </si>
  <si>
    <t>NAB - non-carbonated beverage volume</t>
  </si>
  <si>
    <t>PBNA - reported beverage unit volume</t>
  </si>
  <si>
    <t>PBNA - CSD volume</t>
  </si>
  <si>
    <t>slight decline</t>
  </si>
  <si>
    <t>PBNA - non-carbonated beverage volume</t>
  </si>
  <si>
    <t>PFNA - savory snacks volume</t>
  </si>
  <si>
    <t>Selected charges excluded from Core; this is not a full reconciliation. Recalls, recurring restructuring and acquisition / brand impairments remain relevant to the economic cost of the business. Positive amounts are add-backs; negative amounts are credits.</t>
  </si>
  <si>
    <t>PFNA - Product recall-related impact</t>
  </si>
  <si>
    <t>PFNA - Restructuring and impairment charges</t>
  </si>
  <si>
    <t>PBNA - Impairment and other charges</t>
  </si>
  <si>
    <t>PBNA - Acquisition and divestiture-related charges/credits</t>
  </si>
  <si>
    <t>PBNA - Restructuring and impairment charges</t>
  </si>
  <si>
    <t>IB Franchise - Impairment and other charges</t>
  </si>
  <si>
    <t>IB Franchise - Indirect tax impact</t>
  </si>
  <si>
    <t>EMEA - Impairment and other charges</t>
  </si>
  <si>
    <t>Asia Pacific Foods - Impairment and other charges</t>
  </si>
  <si>
    <t>Corporate - Restructuring and impairment charges</t>
  </si>
  <si>
    <t>LatAm Foods - Indirect tax-related impact</t>
  </si>
  <si>
    <t>Selected GAAP expense / gain amounts explain unusual FY2022 segment profits. A negative expense is a gain. Current-six Core profit for FY2022 was not separately disclosed in the recast bridge.</t>
  </si>
  <si>
    <t>PBNA - Gain associated with the Juice Transaction (expense sign)</t>
  </si>
  <si>
    <t>PBNA - Impairment and other charges / (credits)</t>
  </si>
  <si>
    <t>IB Franchise - Impairment and other charges / (credits)</t>
  </si>
  <si>
    <t>EMEA - Gain associated with the Juice Transaction (expense sign)</t>
  </si>
  <si>
    <t>EMEA - Impairment and other charges / (credits)</t>
  </si>
  <si>
    <t>PepsiCo PEP — Products &amp; Geography</t>
  </si>
  <si>
    <t>Country revenue and concentration</t>
  </si>
  <si>
    <t>Country long-lived assets - historical definition</t>
  </si>
  <si>
    <t>Property, plant and equipment, net</t>
  </si>
  <si>
    <t>Food / beverage mix and company-owned bottling</t>
  </si>
  <si>
    <t>Current regional food / beverage mix</t>
  </si>
  <si>
    <t>Historical regional food / beverage mix</t>
  </si>
  <si>
    <t>Annual net revenue; quarterly country splits are not disclosed. Blank means not separately disclosed and included in the country residual. The calculated residual excludes every individually displayed country. Shares use consolidated revenue.</t>
  </si>
  <si>
    <t>United States</t>
  </si>
  <si>
    <t>Share of consolidated revenue</t>
  </si>
  <si>
    <t>Mexico</t>
  </si>
  <si>
    <t>Canada</t>
  </si>
  <si>
    <t>Russia</t>
  </si>
  <si>
    <t>United Kingdom</t>
  </si>
  <si>
    <t>Brazil</t>
  </si>
  <si>
    <t>China</t>
  </si>
  <si>
    <t>South Africa</t>
  </si>
  <si>
    <t>Other countries (calculated residual)</t>
  </si>
  <si>
    <t>Consolidated net revenue</t>
  </si>
  <si>
    <t>Annual long-lived assets include PP&amp;E, intangible assets and relevant investments; this is broader than PP&amp;E.</t>
  </si>
  <si>
    <t>Consolidated total</t>
  </si>
  <si>
    <t>FY2025 changed the geographic asset disclosure to US / International PP&amp;E; compare separately from the historical long-lived-asset series.</t>
  </si>
  <si>
    <t>International</t>
  </si>
  <si>
    <t>Total</t>
  </si>
  <si>
    <t>Approximate annual revenue shares; not physical-volume shares. FY2018 uses the later recast 45% / 55% product mix; the original earlier-six presentation was about 50% / 50%. Company-owned bottling helps explain capital intensity.</t>
  </si>
  <si>
    <t>Beverages / consolidated net revenue</t>
  </si>
  <si>
    <t>Foods / consolidated net revenue</t>
  </si>
  <si>
    <t>Company-owned bottlers / consolidated revenue</t>
  </si>
  <si>
    <t>Approximate annual revenue shares. Regional boundaries differ across reporting structures; no quarterly shares or inferred product revenues are shown.</t>
  </si>
  <si>
    <t>North America</t>
  </si>
  <si>
    <t>Beverages / net revenue</t>
  </si>
  <si>
    <t>Convenient foods / net revenue</t>
  </si>
  <si>
    <t>PepsiCo PEP — Income Statement</t>
  </si>
  <si>
    <t>USD millions; per-share amounts, share counts and percentages as labeled. US GAAP. As of 2026-10-20.</t>
  </si>
  <si>
    <t>Metric (Return to Contents)</t>
  </si>
  <si>
    <t>Annual at left; quarterly / period-end at right; YTD as labeled</t>
  </si>
  <si>
    <t>Year / year-end</t>
  </si>
  <si>
    <t>Quarter / end</t>
  </si>
  <si>
    <t>On this sheet</t>
  </si>
  <si>
    <t>Consolidated income statement: annual and discrete quarters</t>
  </si>
  <si>
    <t>Year-to-date results</t>
  </si>
  <si>
    <t>Annual values use the latest comparable recasts in the available filings. Blanks indicate no separate disclosure. Quarterly figures retain the reported discrete-quarter basis.</t>
  </si>
  <si>
    <t>Net Revenue</t>
  </si>
  <si>
    <t>Net revenue YoY change</t>
  </si>
  <si>
    <t>Cost of sales</t>
  </si>
  <si>
    <t>Gross profit</t>
  </si>
  <si>
    <t>Gross profit YoY change</t>
  </si>
  <si>
    <t>Selling, general and administrative expenses</t>
  </si>
  <si>
    <t>Impairment of intangible assets (separately presented)</t>
  </si>
  <si>
    <t>Gain associated with the Juice Transaction (see Note 13)</t>
  </si>
  <si>
    <t>Operating Profit</t>
  </si>
  <si>
    <t>Operating profit YoY change</t>
  </si>
  <si>
    <t>Other pension and retiree medical benefits income/(expense)</t>
  </si>
  <si>
    <t>Interest expense (as reported)</t>
  </si>
  <si>
    <t>Interest income and other</t>
  </si>
  <si>
    <t>Net interest expense and other (as reported)</t>
  </si>
  <si>
    <t>Income before income taxes</t>
  </si>
  <si>
    <t>Provision for/(benefit from) income taxes</t>
  </si>
  <si>
    <t>Net income</t>
  </si>
  <si>
    <t>Less: Net income attributable to noncontrolling interests</t>
  </si>
  <si>
    <t>Net Income Attributable to PepsiCo</t>
  </si>
  <si>
    <t>Net income attributable to PepsiCo YoY change</t>
  </si>
  <si>
    <t>Net income attributable to PepsiCo per common share — Basic (USD)</t>
  </si>
  <si>
    <t>Net income attributable to PepsiCo per common share — Diluted (USD)</t>
  </si>
  <si>
    <t>Weighted-average common shares outstanding — Basic (millions)</t>
  </si>
  <si>
    <t>Weighted-average common shares outstanding — Diluted (millions)</t>
  </si>
  <si>
    <t>YTD EPS and weighted-average shares are reported figures; subtraction does not produce discrete-quarter amounts.</t>
  </si>
  <si>
    <t>PepsiCo PEP — Balance Sheet</t>
  </si>
  <si>
    <t>Consolidated balance sheet: period-end balances</t>
  </si>
  <si>
    <t>Annual values use the latest comparable recasts in the available filings. Blanks indicate no separate disclosure. Interim balances retain the reported period-end basis.</t>
  </si>
  <si>
    <t>Current Assets</t>
  </si>
  <si>
    <t>Cash and cash equivalents</t>
  </si>
  <si>
    <t>Short-term investments</t>
  </si>
  <si>
    <t>Restricted cash (separately presented)</t>
  </si>
  <si>
    <t>Accounts and notes receivable, net</t>
  </si>
  <si>
    <t>Inventories — Raw materials and packaging</t>
  </si>
  <si>
    <t>Inventories — Work-in-process</t>
  </si>
  <si>
    <t>Inventories — Finished goods</t>
  </si>
  <si>
    <t>Inventories</t>
  </si>
  <si>
    <t>Prepaid expenses and other current assets</t>
  </si>
  <si>
    <t>Assets held for sale</t>
  </si>
  <si>
    <t>Total Current Assets</t>
  </si>
  <si>
    <t>Noncurrent Assets</t>
  </si>
  <si>
    <t>Property, plant and equipment, gross</t>
  </si>
  <si>
    <t>Accumulated depreciation</t>
  </si>
  <si>
    <t>Property, Plant and Equipment, net</t>
  </si>
  <si>
    <t>Amortizable Intangible Assets, net</t>
  </si>
  <si>
    <t>Goodwill</t>
  </si>
  <si>
    <t>Other nonamortizable intangible assets</t>
  </si>
  <si>
    <t>Nonamortizable Intangible Assets (reported subtotal)</t>
  </si>
  <si>
    <t>Investments in Noncontrolled Affiliates</t>
  </si>
  <si>
    <t>Deferred income tax assets</t>
  </si>
  <si>
    <t>Other Assets</t>
  </si>
  <si>
    <t>Total Assets</t>
  </si>
  <si>
    <t>Current Liabilities</t>
  </si>
  <si>
    <t>Short-term debt obligations (including current maturities of long-term debt)</t>
  </si>
  <si>
    <t>Accounts payable and other current liabilities</t>
  </si>
  <si>
    <t>Liabilities held for sale</t>
  </si>
  <si>
    <t>Total Current Liabilities</t>
  </si>
  <si>
    <t>Noncurrent Liabilities</t>
  </si>
  <si>
    <t>Long-Term Debt Obligations</t>
  </si>
  <si>
    <t>Deferred income tax liabilities</t>
  </si>
  <si>
    <t>Other Liabilities</t>
  </si>
  <si>
    <t>Total Liabilities</t>
  </si>
  <si>
    <t>Shareholders' Equity</t>
  </si>
  <si>
    <t>Preferred Stock, no par value</t>
  </si>
  <si>
    <t>Repurchased Preferred Stock</t>
  </si>
  <si>
    <t>Common stock</t>
  </si>
  <si>
    <t>Capital in excess of par value</t>
  </si>
  <si>
    <t>Retained earnings</t>
  </si>
  <si>
    <t>Accumulated other comprehensive loss</t>
  </si>
  <si>
    <t>Repurchased common stock, in excess of par value</t>
  </si>
  <si>
    <t>Total PepsiCo Common Shareholders’ Equity</t>
  </si>
  <si>
    <t>Noncontrolling interests</t>
  </si>
  <si>
    <t>Total Equity</t>
  </si>
  <si>
    <t>Total Liabilities and Equity</t>
  </si>
  <si>
    <t>PepsiCo PEP — Cash Flow</t>
  </si>
  <si>
    <t>YTD; Qtr below</t>
  </si>
  <si>
    <t>Cash flow statement: annual and YTD</t>
  </si>
  <si>
    <t>Cash flow statement: discrete quarters</t>
  </si>
  <si>
    <t>Right-hand columns show YTD cash flows; Q4 corresponds to the full year. Formula-derived discrete quarters appear below. Cash includes restricted cash.</t>
  </si>
  <si>
    <t>Operating Activities</t>
  </si>
  <si>
    <t>Share-based compensation expense — equity awards</t>
  </si>
  <si>
    <t>Restructuring and impairment charges</t>
  </si>
  <si>
    <t>Cash payments for restructuring charges</t>
  </si>
  <si>
    <t>Pension and retiree medical plan expenses</t>
  </si>
  <si>
    <t>Pension and retiree medical plan contributions</t>
  </si>
  <si>
    <t>Deferred income taxes and other tax charges and credits</t>
  </si>
  <si>
    <t>Accounts and notes receivable</t>
  </si>
  <si>
    <t>Income taxes payable</t>
  </si>
  <si>
    <t>Other, net</t>
  </si>
  <si>
    <t>Charge related to the transaction with Tingyi</t>
  </si>
  <si>
    <t>Other net tax benefits related to international reorganizations</t>
  </si>
  <si>
    <t>Net tax (benefit)/expense related to the TCJ Act</t>
  </si>
  <si>
    <t>Net tax related to the TCJ Act</t>
  </si>
  <si>
    <t>Tax payments related to the TCJ Act</t>
  </si>
  <si>
    <t>Inventory fair value adjustments and merger and integration charges</t>
  </si>
  <si>
    <t>Cash payments for merger and integration charges</t>
  </si>
  <si>
    <t>Operating lease right-of-use asset amortization</t>
  </si>
  <si>
    <t>Acquisition and divestiture-related charges</t>
  </si>
  <si>
    <t>Cash payments for acquisition and divestiture-related charges</t>
  </si>
  <si>
    <t>Tax expense/(benefit) related to the TCJ Act</t>
  </si>
  <si>
    <t>Gain associated with the Juice Transaction</t>
  </si>
  <si>
    <t>Impairment and other charges</t>
  </si>
  <si>
    <t>Tax expense related to the TCJ Act</t>
  </si>
  <si>
    <t>Product recall-related impact</t>
  </si>
  <si>
    <t>Cash payments for product recall-related impact</t>
  </si>
  <si>
    <t>Tax payments related to the Tax Cuts and Jobs Act (TCJ Act)</t>
  </si>
  <si>
    <t>Indirect tax impact</t>
  </si>
  <si>
    <t>Net Cash Provided by/(Used for) Operating Activities</t>
  </si>
  <si>
    <t>Investing Activities</t>
  </si>
  <si>
    <t>Capital spending (cash outflows negative)</t>
  </si>
  <si>
    <t>Sales of property, plant and equipment</t>
  </si>
  <si>
    <t>Divestitures</t>
  </si>
  <si>
    <t>Short-term investments — More than three months - purchases</t>
  </si>
  <si>
    <t>Short-term investments — More than three months - maturities</t>
  </si>
  <si>
    <t>Short-term investments — More than three months - sales</t>
  </si>
  <si>
    <t>Short-term investments — Three months or less, net</t>
  </si>
  <si>
    <t>Other investing, net</t>
  </si>
  <si>
    <t>Acquisition of SodaStream, net of cash and cash equivalents acquired</t>
  </si>
  <si>
    <t>Other acquisitions and investments in noncontrolled affiliates</t>
  </si>
  <si>
    <t>Acquisitions, net of cash acquired, and investments in noncontrolled affiliates</t>
  </si>
  <si>
    <t>Divestitures and sales of investments in noncontrolled affiliates</t>
  </si>
  <si>
    <t>Acquisitions, net of cash acquired, investments in noncontrolled affiliates and purchases of intangible and other assets</t>
  </si>
  <si>
    <t>Proceeds associated with the Juice Transaction</t>
  </si>
  <si>
    <t>Other divestitures, sales of investments in noncontrolled affiliates and other assets</t>
  </si>
  <si>
    <t>Net Cash Provided by/(Used for) Investing Activities</t>
  </si>
  <si>
    <t>Proceeds from issuances of long-term debt</t>
  </si>
  <si>
    <t>Payments of long-term debt</t>
  </si>
  <si>
    <t>Debt redemptions</t>
  </si>
  <si>
    <t>Short-term borrowings — More than three months - proceeds</t>
  </si>
  <si>
    <t>Short-term borrowings — More than three months - payments</t>
  </si>
  <si>
    <t>Short-term borrowings — Three months or less, net</t>
  </si>
  <si>
    <t>Financing Activities</t>
  </si>
  <si>
    <t>Cash dividends paid</t>
  </si>
  <si>
    <t>Share repurchases - common</t>
  </si>
  <si>
    <t>Share repurchases - preferred</t>
  </si>
  <si>
    <t>Proceeds from exercises of stock options</t>
  </si>
  <si>
    <t>Withholding tax payments on RSUs, PSUs and PEPunits converted</t>
  </si>
  <si>
    <t>Other financing</t>
  </si>
  <si>
    <t>Cash tender and exchange offers/debt redemptions</t>
  </si>
  <si>
    <t>Debt redemption/cash tender and exchange offers</t>
  </si>
  <si>
    <t>Withholding tax payments on restricted stock units (RSUs), performance stock units (PSUs) and PepsiCo equity performance units (PEPunits) converted</t>
  </si>
  <si>
    <t>Cash tender offers/debt redemption</t>
  </si>
  <si>
    <t>Payments of acquisition-related contingent consideration</t>
  </si>
  <si>
    <t>Withholding tax payments on restricted stock units (RSUs) and performance stock units (PSUs) converted</t>
  </si>
  <si>
    <t>Debt redemptions/cash tender offers</t>
  </si>
  <si>
    <t>Net Cash Provided by/(Used for) Financing Activities</t>
  </si>
  <si>
    <t>Cash, cash equivalents and restricted cash reconciliation</t>
  </si>
  <si>
    <t>Effect of exchange rate changes on cash, cash equivalents and restricted cash</t>
  </si>
  <si>
    <t>Net change in cash, cash equivalents and restricted cash</t>
  </si>
  <si>
    <t>Cash, cash equivalents and restricted cash, beginning of period</t>
  </si>
  <si>
    <t>Cash, cash equivalents and restricted cash, end of period</t>
  </si>
  <si>
    <t>Supplemental Non-Cash Activity</t>
  </si>
  <si>
    <t>Right-of-use assets obtained in exchange for lease obligations</t>
  </si>
  <si>
    <t>Investment obtained for certain assets</t>
  </si>
  <si>
    <t>Q2/Q3 = current YTD less previous YTD; Q4 = full year less Q3 YTD. Beginning and ending cash are point-in-time balances, not differences.</t>
  </si>
  <si>
    <t>Share-based compensation expense</t>
  </si>
  <si>
    <t>PepsiCo PEP — Derived Metrics</t>
  </si>
  <si>
    <t>Profitability</t>
  </si>
  <si>
    <t>Cash generation and shareholder returns</t>
  </si>
  <si>
    <t>Debt and cash</t>
  </si>
  <si>
    <t>Operating invested capital and returns</t>
  </si>
  <si>
    <t>Working capital and turnover</t>
  </si>
  <si>
    <t>Recent trailing twelve months</t>
  </si>
  <si>
    <t>Gross profit margin</t>
  </si>
  <si>
    <t>Operating profit margin</t>
  </si>
  <si>
    <t>Net income attributable to PepsiCo / revenue</t>
  </si>
  <si>
    <t>Effective income tax rate</t>
  </si>
  <si>
    <t>Calculated EBITDA (operating profit + depreciation and amortization)</t>
  </si>
  <si>
    <t>Operating cash flow</t>
  </si>
  <si>
    <t>Capital spending (positive)</t>
  </si>
  <si>
    <t>Analyst FCF (OCF − capital spending)</t>
  </si>
  <si>
    <t>Company-defined FCF (including PP&amp;E sale proceeds)</t>
  </si>
  <si>
    <t>Operating cash flow / revenue</t>
  </si>
  <si>
    <t>Operating cash flow / consolidated net income</t>
  </si>
  <si>
    <t>Capital spending / revenue</t>
  </si>
  <si>
    <t>Cash dividends paid (positive)</t>
  </si>
  <si>
    <t>Common share repurchase spending (positive)</t>
  </si>
  <si>
    <t>Diluted weighted-average shares YoY change</t>
  </si>
  <si>
    <t>Total interest-bearing debt (excluding operating leases)</t>
  </si>
  <si>
    <t>Net debt (less cash only; excluding operating leases)</t>
  </si>
  <si>
    <t>Net debt (less cash and short-term investments; excluding operating leases)</t>
  </si>
  <si>
    <t>Identifiable restricted cash</t>
  </si>
  <si>
    <t>Cash, cash equivalents and restricted cash</t>
  </si>
  <si>
    <t>Operating IC/ROIC remains blank without complete investment balances; NOPAT uses actual income tax expense.</t>
  </si>
  <si>
    <t>Investments within Other Assets (without duplicate securities deductions)</t>
  </si>
  <si>
    <t>Total identifiable investment deductions</t>
  </si>
  <si>
    <t>Operating IC (complete identifiable deductions)</t>
  </si>
  <si>
    <t>Opening operating IC</t>
  </si>
  <si>
    <t>Average operating IC</t>
  </si>
  <si>
    <t>NOPAT (operating profit − actual income tax expense)</t>
  </si>
  <si>
    <t>Operating ROIC</t>
  </si>
  <si>
    <t>Operating IC turnover</t>
  </si>
  <si>
    <t>ROE (net income attributable to PepsiCo / average common equity)</t>
  </si>
  <si>
    <t>Accounts payable includes unseparated capital-expenditure payables; DPO/CCC is not calculated.</t>
  </si>
  <si>
    <t>Current assets less cash and short-term investments</t>
  </si>
  <si>
    <t>Dividends payable (disclosed)</t>
  </si>
  <si>
    <t>Acquisition settlement payable (disclosed)</t>
  </si>
  <si>
    <t>Current liabilities after identified nonoperating adjustments</t>
  </si>
  <si>
    <t>NWC after identifiable adjustments (includes capital-expenditure payables)</t>
  </si>
  <si>
    <t>Adjusted NWC / annual or TTM revenue</t>
  </si>
  <si>
    <t>Gross trade receivables</t>
  </si>
  <si>
    <t>Reported accounts payable (includes unseparated capital-expenditure payables)</t>
  </si>
  <si>
    <t>DSO (gross trade receivables basis; days)</t>
  </si>
  <si>
    <t>DIO (days)</t>
  </si>
  <si>
    <t>TTM = prior full year + current YTD − prior-year matching YTD; quarterly amounts are not simply multiplied by four.</t>
  </si>
  <si>
    <t>TTM revenue</t>
  </si>
  <si>
    <t>TTM operating profit</t>
  </si>
  <si>
    <t>TTM actual income tax expense</t>
  </si>
  <si>
    <t>TTM net income attributable to PepsiCo</t>
  </si>
  <si>
    <t>TTM consolidated net income</t>
  </si>
  <si>
    <t>TTM operating cash flow</t>
  </si>
  <si>
    <t>TTM capital spending (positive)</t>
  </si>
  <si>
    <t>TTM analyst FCF</t>
  </si>
  <si>
    <t>TTM NOPAT</t>
  </si>
  <si>
    <t>TTM operating ROIC (blank without complete investment balances)</t>
  </si>
  <si>
    <t>PepsiCo PEP — Note Schedules</t>
  </si>
  <si>
    <t>Accounts and notes receivable and credit losses</t>
  </si>
  <si>
    <t>Other assets and investments</t>
  </si>
  <si>
    <t>Property, plant and equipment components</t>
  </si>
  <si>
    <t>Pretax income and current / deferred income taxes</t>
  </si>
  <si>
    <t>Income tax rate reconciliation and FY2025 tax disaggregation</t>
  </si>
  <si>
    <t>Deferred income tax assets and liabilities</t>
  </si>
  <si>
    <t>Share-based compensation expense: YTD</t>
  </si>
  <si>
    <t>Comprehensive income</t>
  </si>
  <si>
    <t>Comprehensive income: YTD</t>
  </si>
  <si>
    <t>Supplemental cash flow information</t>
  </si>
  <si>
    <t>Cash and restricted cash reconciliation</t>
  </si>
  <si>
    <t>Accounting policies and comparability</t>
  </si>
  <si>
    <t>Accumulated other comprehensive income components</t>
  </si>
  <si>
    <t>Trade receivables</t>
  </si>
  <si>
    <t>Other receivables</t>
  </si>
  <si>
    <t>Allowance, beginning of year</t>
  </si>
  <si>
    <t>Net amounts charged to expense</t>
  </si>
  <si>
    <t>Deductions</t>
  </si>
  <si>
    <t>Other</t>
  </si>
  <si>
    <t>Allowance, end of year</t>
  </si>
  <si>
    <t>Net receivables</t>
  </si>
  <si>
    <t>Translation and other</t>
  </si>
  <si>
    <t>Raw materials and packaging</t>
  </si>
  <si>
    <t>Work-in-process</t>
  </si>
  <si>
    <t>Finished goods</t>
  </si>
  <si>
    <t>Accounts payable</t>
  </si>
  <si>
    <t>Accrued marketplace spending</t>
  </si>
  <si>
    <t>Accrued compensation and benefits</t>
  </si>
  <si>
    <t>Dividends payable</t>
  </si>
  <si>
    <t>Other current liabilities</t>
  </si>
  <si>
    <t>SodaStream consideration payable</t>
  </si>
  <si>
    <t>Current lease liabilities</t>
  </si>
  <si>
    <t>Noncurrent notes and accounts receivable</t>
  </si>
  <si>
    <t>Deferred marketplace spending</t>
  </si>
  <si>
    <t>Pension plans</t>
  </si>
  <si>
    <t>Right-of-use assets</t>
  </si>
  <si>
    <t>Other investments</t>
  </si>
  <si>
    <t>Land</t>
  </si>
  <si>
    <t>Buildings and improvements</t>
  </si>
  <si>
    <t>Machinery and equipment, including fleet and software</t>
  </si>
  <si>
    <t>Construction in progress</t>
  </si>
  <si>
    <t>Depreciation expense</t>
  </si>
  <si>
    <t>FY2025 uses expanded tax-rate disclosures. Identical Other labels retain their original reconciliation scopes and are not combined.</t>
  </si>
  <si>
    <t>Foreign</t>
  </si>
  <si>
    <t>Income before income taxes — subtotal (unlabeled in filing)</t>
  </si>
  <si>
    <t>Current:</t>
  </si>
  <si>
    <t>State</t>
  </si>
  <si>
    <t>Deferred:</t>
  </si>
  <si>
    <t>U.S. Federal</t>
  </si>
  <si>
    <t>Subtotal (unlabeled in filing): Deferred:</t>
  </si>
  <si>
    <t>U.S. Federal statutory tax rate — Tax rate reconciliation（%）</t>
  </si>
  <si>
    <t>State income tax, net of U.S. Federal tax benefit — Tax rate reconciliation（%）</t>
  </si>
  <si>
    <t>Lower taxes on foreign results — Tax rate reconciliation（%）</t>
  </si>
  <si>
    <t>Tax settlements — Tax rate reconciliation（%）</t>
  </si>
  <si>
    <t>Other, net — Tax rate reconciliation（%）</t>
  </si>
  <si>
    <t>Annual tax rate — Tax rate reconciliation（%）</t>
  </si>
  <si>
    <t>One-time mandatory transition tax - TCJ Act — Tax rate reconciliation（%）</t>
  </si>
  <si>
    <t>Remeasurement of deferred taxes - TCJ Act — Tax rate reconciliation（%）</t>
  </si>
  <si>
    <t>International reorganizations — Tax rate reconciliation（%）</t>
  </si>
  <si>
    <t>Juice Transaction — Tax rate reconciliation（%）</t>
  </si>
  <si>
    <t>U.S. Federal statutory tax — Amount</t>
  </si>
  <si>
    <t>U.S. Federal statutory tax — Tax rate reconciliation（%）</t>
  </si>
  <si>
    <t>State income tax, net of U.S. Federal tax benefit — Amount</t>
  </si>
  <si>
    <t>Changes in valuation allowances — Tax rate reconciliation（%）</t>
  </si>
  <si>
    <t>Statutory income tax rate differential — Amount</t>
  </si>
  <si>
    <t>Statutory income tax rate differential — Tax rate reconciliation（%）</t>
  </si>
  <si>
    <t>Other — Amount</t>
  </si>
  <si>
    <t>Other — Tax rate reconciliation（%）</t>
  </si>
  <si>
    <t>Tax incentive — Amount</t>
  </si>
  <si>
    <t>Tax incentive — Tax rate reconciliation（%）</t>
  </si>
  <si>
    <t>Other foreign jurisdictions — Amount</t>
  </si>
  <si>
    <t>Other foreign jurisdictions — Tax rate reconciliation（%）</t>
  </si>
  <si>
    <t>Transfer pricing adjustments — Amount</t>
  </si>
  <si>
    <t>Transfer pricing adjustments — Tax rate reconciliation（%）</t>
  </si>
  <si>
    <t>Global intangible low-tax income (GILTI) — Amount</t>
  </si>
  <si>
    <t>Global intangible low-tax income (GILTI) — Tax rate reconciliation（%）</t>
  </si>
  <si>
    <t>Tax credits — Amount</t>
  </si>
  <si>
    <t>Tax credits — Tax rate reconciliation（%）</t>
  </si>
  <si>
    <t>Changes in unrecognized tax benefits — Amount</t>
  </si>
  <si>
    <t>Changes in unrecognized tax benefits — Tax rate reconciliation（%）</t>
  </si>
  <si>
    <t>Nondeductible and nontaxable items, net — Amount</t>
  </si>
  <si>
    <t>Nondeductible and nontaxable items, net — Tax rate reconciliation（%）</t>
  </si>
  <si>
    <t>Reported tax — Amount</t>
  </si>
  <si>
    <t>Reported tax — Tax rate reconciliation（%）</t>
  </si>
  <si>
    <t>U.S. Federal — Amount</t>
  </si>
  <si>
    <t>U.S. State and Local — Amount</t>
  </si>
  <si>
    <t>Ireland — Amount</t>
  </si>
  <si>
    <t>Mexico — Amount</t>
  </si>
  <si>
    <t>Russia — Amount</t>
  </si>
  <si>
    <t>Subtotal (unlabeled in filing): Foreign — Amount</t>
  </si>
  <si>
    <t>Total — Amount</t>
  </si>
  <si>
    <t>Debt guarantee of wholly-owned subsidiary</t>
  </si>
  <si>
    <t>Property, plant and equipment</t>
  </si>
  <si>
    <t>Intangible assets other than nondeductible goodwill</t>
  </si>
  <si>
    <t>Gross deferred tax liabilities</t>
  </si>
  <si>
    <t>Net carryforwards</t>
  </si>
  <si>
    <t>Share-based compensation</t>
  </si>
  <si>
    <t>Retiree medical benefits</t>
  </si>
  <si>
    <t>Other employee-related benefits</t>
  </si>
  <si>
    <t>Pension benefits</t>
  </si>
  <si>
    <t>Deductible state tax and interest benefits</t>
  </si>
  <si>
    <t>Gross deferred tax assets</t>
  </si>
  <si>
    <t>Valuation allowances</t>
  </si>
  <si>
    <t>Deferred tax assets, net</t>
  </si>
  <si>
    <t>Net deferred tax liabilities</t>
  </si>
  <si>
    <t>Recapture of net operating losses</t>
  </si>
  <si>
    <t>Net deferred tax (assets)/liabilities</t>
  </si>
  <si>
    <t>Lease liabilities</t>
  </si>
  <si>
    <t>Net deferred tax assets</t>
  </si>
  <si>
    <t>Pension liabilities</t>
  </si>
  <si>
    <t>Net deferred tax liabilities/(assets)</t>
  </si>
  <si>
    <t>Investment in TBG</t>
  </si>
  <si>
    <t>Capitalized research and development</t>
  </si>
  <si>
    <t>Changes in valuation allowances — Amount</t>
  </si>
  <si>
    <t>Equity and liability awards are shown separately. The cash flow adjustment is not treated as total share-based compensation expense.</t>
  </si>
  <si>
    <t>Share-based compensation expense - equity awards</t>
  </si>
  <si>
    <t>Share-based compensation expense - liability awards</t>
  </si>
  <si>
    <t>Share-based compensation expense – equity awards</t>
  </si>
  <si>
    <t>Share-based compensation expense – liability awards</t>
  </si>
  <si>
    <t>Net income — After-tax amounts</t>
  </si>
  <si>
    <t>Currency translation adjustment — Pre-tax amounts</t>
  </si>
  <si>
    <t>Currency translation adjustment — Tax amounts</t>
  </si>
  <si>
    <t>Currency translation adjustment — After-tax amounts</t>
  </si>
  <si>
    <t>Reclassification of net losses to net income — Pre-tax amounts</t>
  </si>
  <si>
    <t>Reclassification of net losses to net income — Tax amounts</t>
  </si>
  <si>
    <t>Reclassification of net losses to net income — After-tax amounts</t>
  </si>
  <si>
    <t>Net derivative losses — Pre-tax amounts</t>
  </si>
  <si>
    <t>Net derivative losses — Tax amounts</t>
  </si>
  <si>
    <t>Net derivative losses — After-tax amounts</t>
  </si>
  <si>
    <t>Remeasurement of net liabilities and translation — Pre-tax amounts</t>
  </si>
  <si>
    <t>Remeasurement of net liabilities and translation — Tax amounts</t>
  </si>
  <si>
    <t>Remeasurement of net liabilities and translation — After-tax amounts</t>
  </si>
  <si>
    <t>Unrealized losses on securities — Pre-tax amounts</t>
  </si>
  <si>
    <t>Unrealized losses on securities — Tax amounts</t>
  </si>
  <si>
    <t>Unrealized losses on securities — After-tax amounts</t>
  </si>
  <si>
    <t>Total other comprehensive loss — Pre-tax amounts</t>
  </si>
  <si>
    <t>Total other comprehensive loss — Tax amounts</t>
  </si>
  <si>
    <t>Total other comprehensive loss — After-tax amounts</t>
  </si>
  <si>
    <t>Comprehensive income — After-tax amounts</t>
  </si>
  <si>
    <t>Comprehensive income attributable to noncontrolling interests — After-tax amounts</t>
  </si>
  <si>
    <t>Comprehensive Income Attributable to PepsiCo — After-tax amounts</t>
  </si>
  <si>
    <t>Net currency translation adjustment</t>
  </si>
  <si>
    <t>Net change on cash flow hedges</t>
  </si>
  <si>
    <t>Net pension and retiree medical adjustments</t>
  </si>
  <si>
    <t>Net change on securities</t>
  </si>
  <si>
    <t>Subtotal (unlabeled in filing): Other comprehensive income/(loss), net of taxes:</t>
  </si>
  <si>
    <t>Comprehensive income attributable to noncontrolling interests</t>
  </si>
  <si>
    <t>Comprehensive Income Attributable to PepsiCo</t>
  </si>
  <si>
    <t>Net change on available-for-sale securities</t>
  </si>
  <si>
    <t>Subtotal (unlabeled in filing): Other comprehensive (loss)/income, net of taxes:</t>
  </si>
  <si>
    <t>Less: Comprehensive income attributable to noncontrolling interests</t>
  </si>
  <si>
    <t>Net change on available-for-sale debt securities and other</t>
  </si>
  <si>
    <t>Less: Comprehensive income attributable tononcontrolling interests</t>
  </si>
  <si>
    <t>Subtotal (unlabeled in filing): Other comprehensive loss, net of taxes:</t>
  </si>
  <si>
    <t>Total other comprehensive loss, net of taxes</t>
  </si>
  <si>
    <t>Total other comprehensive income, net of taxes</t>
  </si>
  <si>
    <t>Total other comprehensive income/(loss), net of taxes</t>
  </si>
  <si>
    <t>Total other comprehensive (loss)/income, net of taxes</t>
  </si>
  <si>
    <t>USD millions unless per-share amounts, share counts, percentages or other units are specified. Distinct accounting dimensions, segment structures and YTD intervals are retained separately.</t>
  </si>
  <si>
    <t>Rent expense</t>
  </si>
  <si>
    <t>Interest paid</t>
  </si>
  <si>
    <t>Income taxes paid, net of refunds</t>
  </si>
  <si>
    <t>Debt discharged via legal defeasance</t>
  </si>
  <si>
    <t>Investment obtained for certain assets (see Notes 4 and 9)</t>
  </si>
  <si>
    <t>Restricted cash</t>
  </si>
  <si>
    <t>Restricted cash included in other assets</t>
  </si>
  <si>
    <t>Total cash and cash equivalents and restricted cash</t>
  </si>
  <si>
    <t>Annual values use the latest comparable recasts in the available filings; quarterly values prioritize matching-quarter recasts in later 10-Qs. Historical segment structures remain separate.</t>
  </si>
  <si>
    <t>North America Q1–Q3 each contain 12 weeks; Q4 normally contains 16 weeks, or 17 in 2016 and 2022. International businesses follow the monthly periods disclosed by the company.</t>
  </si>
  <si>
    <t>The 2018 annual report moved non-service pension costs below operating profit and recast cash flows to include restricted cash. Amounts and cash scopes are not mixed.</t>
  </si>
  <si>
    <t>Reported organic growth and volume/pricing effects retain company definitions. Product shares are rounded approximations and are not multiplied by revenue to create precise product revenue.</t>
  </si>
  <si>
    <t>No consolidated FY2016–17 product-mix disclosure was identified. FY2018 uses the later comparative 45%/55%, separately from that year's approximate 50%/50% narrative. Historical segments and the 2025 North America/International structure remain separate.</t>
  </si>
  <si>
    <t>The cash flow share-based compensation adjustment mainly reflects equity awards; note disclosures can also include liability awards and restructuring adjustments. The measures are not forced to equal.</t>
  </si>
  <si>
    <t>Accounts payable includes capital-expenditure payables without balances that can be deducted consistently over time. Strict DPO/CCC is unavailable. DSO uses disclosed gross trade receivables.</t>
  </si>
  <si>
    <t>Quarterly notes do not fully disaggregate other investments, dividends payable or capital-expenditure payables. Missing inputs are not treated as zero for strict operating IC/ROIC or purified NWC.</t>
  </si>
  <si>
    <t>Operating IC follows an asset-side definition, retaining goodwill, intangible assets and net pension assets, without deducting operating liabilities. NOPAT uses actual income tax expense.</t>
  </si>
  <si>
    <t>FY2018 income taxes were a net benefit (negative expense), mainly due to tax benefits from an international business reorganization. Actual-tax NOPAT is therefore unusually high and does not represent normalized earnings.</t>
  </si>
  <si>
    <t>Other investments can be separately identified from 2021 through later annual reports. Holdings such as Celsius are included in that total and are not deducted twice.</t>
  </si>
  <si>
    <t>Adjusted NWC removes cash, short-term investments, separately presented current restricted cash, debt, disclosed dividends payable and acquisition settlement payables; separately disclosed current assets/liabilities of disposal groups held for sale are also removed. Unseparated capital-expenditure payables remain included. Operating lease liabilities remain operating liabilities.</t>
  </si>
  <si>
    <t>Company-defined FCF includes PP&amp;E sale proceeds; analyst FCF in this workbook equals OCF less capital spending. The two definitions remain separate.</t>
  </si>
  <si>
    <t>Reported ROIC uses company-defined quarterly average financing capital and tax adjustments. It is retained separately and does not replace asset-side operating ROIC. The reported FCF bridge provides an independent reconciliation.</t>
  </si>
  <si>
    <t>Q4 EPS, weighted-average shares and ratios are not derived by subtracting Q3 YTD from annual values. Without a separate original disclosure, values remain blank.</t>
  </si>
  <si>
    <t>Opening balances and first-period comparisons</t>
  </si>
  <si>
    <t>The FY2016 column in this block contains FY2015 comparative/opening data. Row labels identify the actual year; these are not FY2016 current-period values.</t>
  </si>
  <si>
    <t>FY2015 year-end total assets</t>
  </si>
  <si>
    <t>FY2015 year-end common shareholders' equity</t>
  </si>
  <si>
    <t>FY2015 year-end inventories</t>
  </si>
  <si>
    <t>FY2015 revenue base for YoY change</t>
  </si>
  <si>
    <t>FY2015 gross profit base for YoY change</t>
  </si>
  <si>
    <t>FY2015 operating profit base for YoY change</t>
  </si>
  <si>
    <t>FY2015 net income attributable to PepsiCo base for YoY change</t>
  </si>
  <si>
    <t>Prior-year matching YTD inputs for first-year TTM</t>
  </si>
  <si>
    <t>FY2024 quarterly columns in this block contain matching 2023 YTD comparatives, with actual periods identified in the row labels.</t>
  </si>
  <si>
    <t>Prior-year matching YTD (2023): revenue</t>
  </si>
  <si>
    <t>Prior-year matching YTD (2023): gross profit</t>
  </si>
  <si>
    <t>Prior-year matching YTD (2023): operating profit</t>
  </si>
  <si>
    <t>Prior-year matching YTD (2023): actual income tax expense</t>
  </si>
  <si>
    <t>Prior-year matching YTD (2023): net income attributable to PepsiCo</t>
  </si>
  <si>
    <t>Prior-year matching YTD (2023): consolidated net income</t>
  </si>
  <si>
    <t>Prior-year matching YTD (2023): operating cash flow</t>
  </si>
  <si>
    <t>Prior-year matching YTD (2023): capital spending (negative)</t>
  </si>
  <si>
    <t>Prior-year matching quarters for first-year YoY change</t>
  </si>
  <si>
    <t>FY2024 columns in this block contain matching 2023 discrete-quarter bases; Q4 = FY2023 full year less Q3 YTD.</t>
  </si>
  <si>
    <t>Matching 2023 quarter base: revenue</t>
  </si>
  <si>
    <t>Matching 2023 quarter base: gross profit</t>
  </si>
  <si>
    <t>Matching 2023 quarter base: operating profit</t>
  </si>
  <si>
    <t>Matching 2023 quarter base: net income attributable to PepsiCo</t>
  </si>
  <si>
    <t>Balances retain their original dates; income reclassifications are not treated as pension plan assets.</t>
  </si>
  <si>
    <t>Ending balance: Currency Translation Adjustment</t>
  </si>
  <si>
    <t>Ending balance: Cash Flow Hedges</t>
  </si>
  <si>
    <t>Ending balance: Pension and Retiree Medical</t>
  </si>
  <si>
    <t>Ending balance: Available-For-Sale Securities</t>
  </si>
  <si>
    <t>Ending balance: Other</t>
  </si>
  <si>
    <t>Ending balance: Accumulated Other Comprehensive Loss Attributable to PepsiCo</t>
  </si>
  <si>
    <t>Other comprehensive (loss)/income before reclassifications：Currency Translation Adjustment</t>
  </si>
  <si>
    <t>Other comprehensive (loss)/income before reclassifications：Cash Flow Hedges</t>
  </si>
  <si>
    <t>Other comprehensive (loss)/income before reclassifications：Pension and Retiree Medical</t>
  </si>
  <si>
    <t>Other comprehensive (loss)/income before reclassifications：Available-For-Sale Securities</t>
  </si>
  <si>
    <t>Other comprehensive (loss)/income before reclassifications：Other</t>
  </si>
  <si>
    <t>Other comprehensive (loss)/income before reclassifications：Accumulated Other Comprehensive Loss Attributable to PepsiCo</t>
  </si>
  <si>
    <t>Amounts reclassified from accumulated other comprehensive loss：Currency Translation Adjustment</t>
  </si>
  <si>
    <t>Amounts reclassified from accumulated other comprehensive loss：Cash Flow Hedges</t>
  </si>
  <si>
    <t>Amounts reclassified from accumulated other comprehensive loss：Pension and Retiree Medical</t>
  </si>
  <si>
    <t>Amounts reclassified from accumulated other comprehensive loss：Available-For-Sale Securities</t>
  </si>
  <si>
    <t>Amounts reclassified from accumulated other comprehensive loss：Other</t>
  </si>
  <si>
    <t>Amounts reclassified from accumulated other comprehensive loss：Accumulated Other Comprehensive Loss Attributable to PepsiCo</t>
  </si>
  <si>
    <t>Net current year other comprehensive (loss)/income：Currency Translation Adjustment</t>
  </si>
  <si>
    <t>Net current year other comprehensive (loss)/income：Cash Flow Hedges</t>
  </si>
  <si>
    <t>Net current year other comprehensive (loss)/income：Pension and Retiree Medical</t>
  </si>
  <si>
    <t>Net current year other comprehensive (loss)/income：Available-For-Sale Securities</t>
  </si>
  <si>
    <t>Net current year other comprehensive (loss)/income：Other</t>
  </si>
  <si>
    <t>Net current year other comprehensive (loss)/income：Accumulated Other Comprehensive Loss Attributable to PepsiCo</t>
  </si>
  <si>
    <t>Tax amounts：Currency Translation Adjustment</t>
  </si>
  <si>
    <t>Tax amounts：Cash Flow Hedges</t>
  </si>
  <si>
    <t>Tax amounts：Pension and Retiree Medical</t>
  </si>
  <si>
    <t>Tax amounts：Available-For-Sale Securities</t>
  </si>
  <si>
    <t>Tax amounts：Other</t>
  </si>
  <si>
    <t>Tax amounts：Accumulated Other Comprehensive Loss Attributable to PepsiCo</t>
  </si>
  <si>
    <t>Net other comprehensive (loss)/income：Currency Translation Adjustment</t>
  </si>
  <si>
    <t>Net other comprehensive (loss)/income：Cash Flow Hedges</t>
  </si>
  <si>
    <t>Net other comprehensive (loss)/income：Pension and Retiree Medical</t>
  </si>
  <si>
    <t>Net other comprehensive (loss)/income：Available-For-Sale Securities</t>
  </si>
  <si>
    <t>Net other comprehensive (loss)/income：Other</t>
  </si>
  <si>
    <t>Net other comprehensive (loss)/income：Accumulated Other Comprehensive Loss Attributable to PepsiCo</t>
  </si>
  <si>
    <t>Ending balance: Available-for-sale debt securities and other</t>
  </si>
  <si>
    <t>Other comprehensive (loss)/income before reclassifications：Available-for-sale debt securities and other</t>
  </si>
  <si>
    <t>Amounts reclassified from accumulated other comprehensive loss：Available-for-sale debt securities and other</t>
  </si>
  <si>
    <t>Net other comprehensive (loss)/income：Available-for-sale debt securities and other</t>
  </si>
  <si>
    <t>Tax amounts：Available-for-sale debt securities and other</t>
  </si>
  <si>
    <t>Ending balance: Available-for-Sale Debt Securities and Other</t>
  </si>
  <si>
    <t>Other comprehensive loss before reclassifications：Currency Translation Adjustment</t>
  </si>
  <si>
    <t>Other comprehensive loss before reclassifications：Cash Flow Hedges</t>
  </si>
  <si>
    <t>Other comprehensive loss before reclassifications：Pension and Retiree Medical</t>
  </si>
  <si>
    <t>Other comprehensive loss before reclassifications：Available-for-Sale Debt Securities and Other</t>
  </si>
  <si>
    <t>Other comprehensive loss before reclassifications：Accumulated Other Comprehensive Loss Attributable to PepsiCo</t>
  </si>
  <si>
    <t>Other comprehensive income/(loss) before reclassifications：Currency Translation Adjustment</t>
  </si>
  <si>
    <t>Other comprehensive income/(loss) before reclassifications：Cash Flow Hedges</t>
  </si>
  <si>
    <t>Other comprehensive income/(loss) before reclassifications：Pension and Retiree Medical</t>
  </si>
  <si>
    <t>Other comprehensive income/(loss) before reclassifications：Available-for-Sale Debt Securities and Other</t>
  </si>
  <si>
    <t>Other comprehensive income/(loss) before reclassifications：Accumulated Other Comprehensive Loss Attributable to PepsiCo</t>
  </si>
  <si>
    <t>Net other comprehensive income：Currency Translation Adjustment</t>
  </si>
  <si>
    <t>Net other comprehensive income：Cash Flow Hedges</t>
  </si>
  <si>
    <t>Net other comprehensive income：Pension and Retiree Medical</t>
  </si>
  <si>
    <t>Net other comprehensive income：Available-for-Sale Debt Securities and Other</t>
  </si>
  <si>
    <t>Net other comprehensive income：Accumulated Other Comprehensive Loss Attributable to PepsiCo</t>
  </si>
  <si>
    <t>Net other comprehensive income/(loss)：Currency Translation Adjustment</t>
  </si>
  <si>
    <t>Net other comprehensive income/(loss)：Cash Flow Hedges</t>
  </si>
  <si>
    <t>Net other comprehensive income/(loss)：Pension and Retiree Medical</t>
  </si>
  <si>
    <t>Net other comprehensive income/(loss)：Available-for-Sale Debt Securities and Other</t>
  </si>
  <si>
    <t>Net other comprehensive income/(loss)：Accumulated Other Comprehensive Loss Attributable to PepsiCo</t>
  </si>
  <si>
    <t>Other comprehensive income before reclassifications：Currency Translation Adjustment</t>
  </si>
  <si>
    <t>Other comprehensive income before reclassifications：Cash Flow Hedges</t>
  </si>
  <si>
    <t>Other comprehensive income before reclassifications：Pension and Retiree Medical</t>
  </si>
  <si>
    <t>Other comprehensive income before reclassifications：Available-for-Sale Debt Securities and Other</t>
  </si>
  <si>
    <t>Other comprehensive income before reclassifications：Accumulated Other Comprehensive Loss Attributable to PepsiCo</t>
  </si>
  <si>
    <t>Other comprehensive income/(loss) beforereclassifications：Currency Translation Adjustment</t>
  </si>
  <si>
    <t>Other comprehensive income/(loss) beforereclassifications：Cash Flow Hedges</t>
  </si>
  <si>
    <t>Other comprehensive income/(loss) beforereclassifications：Pension and Retiree Medical</t>
  </si>
  <si>
    <t>Other comprehensive income/(loss) beforereclassifications：Available-for-Sale Debt Securities and Other</t>
  </si>
  <si>
    <t>Other comprehensive income/(loss) beforereclassifications：Accumulated Other Comprehensive Loss Attributable to PepsiCo</t>
  </si>
  <si>
    <t>PepsiCo PEP — Debt &amp; Leases</t>
  </si>
  <si>
    <t>Interest-bearing debt balances: ten-year history and recent periods</t>
  </si>
  <si>
    <t>FY2025 debt composition and maturity groups</t>
  </si>
  <si>
    <t>Recent debt issuances: interest rates and principal</t>
  </si>
  <si>
    <t>FY2025 operating lease payment maturities</t>
  </si>
  <si>
    <t>Operating lease costs and balances</t>
  </si>
  <si>
    <t>Supplier finance</t>
  </si>
  <si>
    <t>Operating leases are presented separately from interest-bearing debt.</t>
  </si>
  <si>
    <t>Reported balances, maturity groups and weighted-average rates; comparative column is FY2024. Historical debt balances appear above.</t>
  </si>
  <si>
    <t>Total short-term debt obligations (including current maturities of long-term debt)</t>
  </si>
  <si>
    <t>Total long-term debt obligations (including current maturities)</t>
  </si>
  <si>
    <t>Total long-term debt obligations (excluding current maturities)</t>
  </si>
  <si>
    <t>Current maturities of long-term debt</t>
  </si>
  <si>
    <t>Less: current maturities of long-term debt obligations</t>
  </si>
  <si>
    <t>Commercial paper (3.8% and 4.5%)</t>
  </si>
  <si>
    <t>Other borrowings</t>
  </si>
  <si>
    <t>Notes due 2025 (3.2%)</t>
  </si>
  <si>
    <t>Notes due 2026 (3.6% and 3.7%)</t>
  </si>
  <si>
    <t>Notes due 2027 (3.2% and 3.1%)</t>
  </si>
  <si>
    <t>Notes due 2028 (2.4% and 2.1%)</t>
  </si>
  <si>
    <t>Notes due 2029 (4.3% and 4.6%)</t>
  </si>
  <si>
    <t>Notes due 2030 (3.2% and 2.6%)</t>
  </si>
  <si>
    <t>Notes due 2031-2060 (3.4% and 3.2%)</t>
  </si>
  <si>
    <t>Other, due 2025-2042</t>
  </si>
  <si>
    <t>Values reflect issuance terms disclosed for the relevant period; principal is not total period-end debt outstanding.</t>
  </si>
  <si>
    <t>February 2034 — Interest Rate / Floating Rate（%）</t>
  </si>
  <si>
    <t>February 2038 — Interest Rate / Floating Rate（%）</t>
  </si>
  <si>
    <t>February 2047 — Interest Rate / Floating Rate（%）</t>
  </si>
  <si>
    <t>Contractual future payments as of FY2025 year-end, by disclosed maturity. This schedule replaces historical maturity schedules.</t>
  </si>
  <si>
    <t>FY2025 year-end contracts — payment year 2026</t>
  </si>
  <si>
    <t>FY2025 year-end contracts — payment year 2027</t>
  </si>
  <si>
    <t>FY2025 year-end contracts — payment year 2028</t>
  </si>
  <si>
    <t>FY2025 year-end contracts — payment year 2029</t>
  </si>
  <si>
    <t>FY2025 year-end contracts — payment year 2030</t>
  </si>
  <si>
    <t>FY2025 year-end contracts — payment year 2031 and beyond</t>
  </si>
  <si>
    <t>FY2025 year-end contracts — Total lease payments</t>
  </si>
  <si>
    <t>FY2025 year-end contracts — Less: Imputed interest</t>
  </si>
  <si>
    <t>FY2025 year-end contracts — Present value of lease liabilities</t>
  </si>
  <si>
    <t>Operating lease cost</t>
  </si>
  <si>
    <t>Variable lease cost</t>
  </si>
  <si>
    <t>Short-term lease cost</t>
  </si>
  <si>
    <t>Cash paid for amounts included in the measurement of lease liabilities</t>
  </si>
  <si>
    <t>Noncurrent operating lease liabilities</t>
  </si>
  <si>
    <t>Weighted-average discount rate</t>
  </si>
  <si>
    <t>Confirmed obligations outstanding at beginning of year</t>
  </si>
  <si>
    <t>Invoices confirmed</t>
  </si>
  <si>
    <t>Confirmed invoices paid</t>
  </si>
  <si>
    <t>Confirmed obligations outstanding at end of year</t>
  </si>
  <si>
    <t>PepsiCo PEP — Investments</t>
  </si>
  <si>
    <t>Financial instruments and fair value</t>
  </si>
  <si>
    <t>Financial instruments and fair value: YTD</t>
  </si>
  <si>
    <t>Read assets/liabilities and hedging types separately. Amounts labeled in billions are notionals, not investment carrying balances.</t>
  </si>
  <si>
    <t>Investments, securities and other financial instruments</t>
  </si>
  <si>
    <t>Equity securities — Assets</t>
  </si>
  <si>
    <t>Equity securities — Liabilities</t>
  </si>
  <si>
    <t>Debt securities — Assets</t>
  </si>
  <si>
    <t>Debt securities — Liabilities</t>
  </si>
  <si>
    <t>Available-for-sale securities — Assets — subtotal (unlabeled in filing)</t>
  </si>
  <si>
    <t>Available-for-sale securities — Liabilities — subtotal (unlabeled in filing)</t>
  </si>
  <si>
    <t>Short-term investments — Assets</t>
  </si>
  <si>
    <t>Short-term investments — Liabilities</t>
  </si>
  <si>
    <t>Prepaid forward contracts — Assets</t>
  </si>
  <si>
    <t>Prepaid forward contracts — Liabilities</t>
  </si>
  <si>
    <t>Deferred compensation — Assets</t>
  </si>
  <si>
    <t>Deferred compensation — Liabilities</t>
  </si>
  <si>
    <t>Available-for-sale debt securities — Assets</t>
  </si>
  <si>
    <t>Available-for-sale debt securities — Liabilities</t>
  </si>
  <si>
    <t>Index funds — Assets</t>
  </si>
  <si>
    <t>Index funds — Liabilities</t>
  </si>
  <si>
    <t>Contingent consideration — Assets</t>
  </si>
  <si>
    <t>Contingent consideration — Liabilities</t>
  </si>
  <si>
    <t>Commodity — Notional Amounts</t>
  </si>
  <si>
    <t>Foreign exchange — Notional Amounts</t>
  </si>
  <si>
    <t>Interest rate — Notional Amounts</t>
  </si>
  <si>
    <t>Net investment — Notional Amounts</t>
  </si>
  <si>
    <t>Available-for-sale debt securities — Fair Value Hierarchy Levels</t>
  </si>
  <si>
    <t>Commodity contracts — Notional Amounts</t>
  </si>
  <si>
    <t>Foreign exchange contracts — Notional Amounts</t>
  </si>
  <si>
    <t>Cross-currency contracts — Notional Amounts</t>
  </si>
  <si>
    <t>Interest rate swap contracts — Notional Amounts</t>
  </si>
  <si>
    <t>Balance, beginning of period — Celsius AFSDebt Security</t>
  </si>
  <si>
    <t>Net unrealized gain/(loss) — Celsius AFSDebt Security</t>
  </si>
  <si>
    <t>Cash dividends received — Celsius AFSDebt Security</t>
  </si>
  <si>
    <t>Balance, end of period — Celsius AFSDebt Security</t>
  </si>
  <si>
    <t>Balance, beginning of period — Other AFSDebt Securities</t>
  </si>
  <si>
    <t>Net unrealized gain/(loss) — Other AFSDebt Securities</t>
  </si>
  <si>
    <t>Balance, end of period — Other AFSDebt Securities</t>
  </si>
  <si>
    <t>Total available-for-sale balance, end of period — Total AFSDebt Securities</t>
  </si>
  <si>
    <t>Acquired — Celsius AFSDebt Security</t>
  </si>
  <si>
    <t>Total Level 3 available-for-sale balance, end of period — Total AFSDebt Securities</t>
  </si>
  <si>
    <t>Balance, beginning of year — Celsius AFSDebt Security</t>
  </si>
  <si>
    <t>Balance, end of year — Celsius AFSDebt Security</t>
  </si>
  <si>
    <t>Balance, beginning of year — Other AFSDebt Securities</t>
  </si>
  <si>
    <t>Transfer from Level 2 — Other AFSDebt Securities</t>
  </si>
  <si>
    <t>Net unrealized gain — Other AFSDebt Securities</t>
  </si>
  <si>
    <t>Balance, end of year — Other AFSDebt Securities</t>
  </si>
  <si>
    <t>Total Level 3 available-for-sale balance, end of year — Total AFSDebt Securities</t>
  </si>
  <si>
    <t>Net unrealized (loss)/gain — Celsius AFSDebt Security</t>
  </si>
  <si>
    <t>Net unrealized loss — Other AFSDebt Securities</t>
  </si>
  <si>
    <t>Fair value hedging instruments</t>
  </si>
  <si>
    <t>Interest rate — Assets</t>
  </si>
  <si>
    <t>Interest rate — Liabilities</t>
  </si>
  <si>
    <t>Interest rate swap contracts — Assets</t>
  </si>
  <si>
    <t>Interest rate swap contracts — Liabilities</t>
  </si>
  <si>
    <t>Cash flow hedging instruments</t>
  </si>
  <si>
    <t>Foreign exchange — Assets</t>
  </si>
  <si>
    <t>Foreign exchange — Liabilities</t>
  </si>
  <si>
    <t>Commodity — Assets</t>
  </si>
  <si>
    <t>Commodity — Liabilities</t>
  </si>
  <si>
    <t>Subtotal (unlabeled in filing): Derivatives designated as cash flow hedging instruments: — Assets</t>
  </si>
  <si>
    <t>Subtotal (unlabeled in filing): Derivatives designated as cash flow hedging instruments: — Liabilities</t>
  </si>
  <si>
    <t>Foreign exchange contracts — Assets</t>
  </si>
  <si>
    <t>Foreign exchange contracts — Liabilities</t>
  </si>
  <si>
    <t>Cross-currency contracts — Assets</t>
  </si>
  <si>
    <t>Cross-currency contracts — Liabilities</t>
  </si>
  <si>
    <t>Commodity contracts — Assets</t>
  </si>
  <si>
    <t>Commodity contracts — Liabilities</t>
  </si>
  <si>
    <t>Derivatives not designated as hedging instruments</t>
  </si>
  <si>
    <t>Subtotal (unlabeled in filing): Derivatives not designated as hedging instruments: — Assets</t>
  </si>
  <si>
    <t>Subtotal (unlabeled in filing): Derivatives not designated as hedging instruments: — Liabilities</t>
  </si>
  <si>
    <t>Total derivatives at fair value — Assets</t>
  </si>
  <si>
    <t>Total derivatives at fair value — Liabilities</t>
  </si>
  <si>
    <t>Total — Assets</t>
  </si>
  <si>
    <t>Total — Liabilities</t>
  </si>
  <si>
    <t>Total derivatives</t>
  </si>
  <si>
    <t>Non-derivative debt instruments — Notional Amounts</t>
  </si>
  <si>
    <t>Net investment hedging instruments</t>
  </si>
  <si>
    <t>Subtotal (unlabeled in filing): Derivatives designated as net investment hedging instruments: — Assets</t>
  </si>
  <si>
    <t>Subtotal (unlabeled in filing): Derivatives designated as net investment hedging instruments: — Liabilities</t>
  </si>
  <si>
    <t>PepsiCo PEP — Acquisitions &amp; Intangibles</t>
  </si>
  <si>
    <t>Amortizable intangible assets: gross, accumulated amortization and net</t>
  </si>
  <si>
    <t>Indefinite-lived intangible assets</t>
  </si>
  <si>
    <t>Goodwill balances by current segment</t>
  </si>
  <si>
    <t>Goodwill balances by historical seven-segment structure</t>
  </si>
  <si>
    <t>Consolidated goodwill changes</t>
  </si>
  <si>
    <t>Restructuring charges and liabilities</t>
  </si>
  <si>
    <t>Restructuring charges and liabilities: YTD</t>
  </si>
  <si>
    <t>Significant transactions and accounting treatment</t>
  </si>
  <si>
    <t>Acquired franchise rights — Gross</t>
  </si>
  <si>
    <t>Acquired franchise rights — Accumulated Amortization</t>
  </si>
  <si>
    <t>Acquired franchise rights — Net</t>
  </si>
  <si>
    <t>Reacquired franchise rights — Gross</t>
  </si>
  <si>
    <t>Reacquired franchise rights — Accumulated Amortization</t>
  </si>
  <si>
    <t>Reacquired franchise rights — Net</t>
  </si>
  <si>
    <t>Brands — Gross</t>
  </si>
  <si>
    <t>Brands — Accumulated Amortization</t>
  </si>
  <si>
    <t>Brands — Net</t>
  </si>
  <si>
    <t>Other identifiable intangibles — Gross</t>
  </si>
  <si>
    <t>Other identifiable intangibles — Accumulated Amortization</t>
  </si>
  <si>
    <t>Other identifiable intangibles — Net</t>
  </si>
  <si>
    <t>Total — Gross</t>
  </si>
  <si>
    <t>Total — Accumulated Amortization</t>
  </si>
  <si>
    <t>Total — Net</t>
  </si>
  <si>
    <t>Amortization expense — Net</t>
  </si>
  <si>
    <t>Reacquired franchise rights</t>
  </si>
  <si>
    <t>Acquired franchise rights</t>
  </si>
  <si>
    <t>Brands</t>
  </si>
  <si>
    <t>Total indefinite-lived intangible assets</t>
  </si>
  <si>
    <t>Brands — Trade Names</t>
  </si>
  <si>
    <t>Goodwill balances are shown separately before/after segment reorganizations. Current comparable PBNA scope follows the latest annual report; historical total goodwill is in the balance sheet.</t>
  </si>
  <si>
    <t>Acquisitions</t>
  </si>
  <si>
    <t>Impairment</t>
  </si>
  <si>
    <t>Productivity plans and cost categories retain their distinct scopes; any expected future charges are company plan disclosures, not workbook forecasts.</t>
  </si>
  <si>
    <t>Total restructuring and impairment charges</t>
  </si>
  <si>
    <t>Total restructuring and impairment charges and other productivity initiatives</t>
  </si>
  <si>
    <t>Corporate — Severance and Other Employee Costs</t>
  </si>
  <si>
    <t>Corporate — Other Costs</t>
  </si>
  <si>
    <t>Corporate — Total</t>
  </si>
  <si>
    <t>Subtotal (unlabeled in filing) — Severance and Other Employee Costs</t>
  </si>
  <si>
    <t>Subtotal (unlabeled in filing) — Other Costs</t>
  </si>
  <si>
    <t>Corporate — 2014 Productivity Plan Costs to Date / Severance and Other Employee Costs</t>
  </si>
  <si>
    <t>Corporate — 2014 Productivity Plan Costs to Date / Asset Impairments</t>
  </si>
  <si>
    <t>Corporate — 2014 Productivity Plan Costs to Date / Other Costs</t>
  </si>
  <si>
    <t>Corporate — 2014 Productivity Plan Costs to Date / Total</t>
  </si>
  <si>
    <t>Subtotal (unlabeled in filing) — 2014 Productivity Plan Costs to Date / Severance and Other Employee Costs</t>
  </si>
  <si>
    <t>Subtotal (unlabeled in filing) — 2014 Productivity Plan Costs to Date / Asset Impairments</t>
  </si>
  <si>
    <t>Subtotal (unlabeled in filing) — 2014 Productivity Plan Costs to Date / Other Costs</t>
  </si>
  <si>
    <t>Subtotal (unlabeled in filing) — 2014 Productivity Plan Costs to Date / Total</t>
  </si>
  <si>
    <t>Ending restructuring liability — Severance and Other Employee Costs</t>
  </si>
  <si>
    <t>Ending restructuring liability — Asset Impairments</t>
  </si>
  <si>
    <t>Ending restructuring liability — Other Costs</t>
  </si>
  <si>
    <t>Ending restructuring liability — Total</t>
  </si>
  <si>
    <t>2014 restructuring charges — Severance and Other Employee Costs</t>
  </si>
  <si>
    <t>2014 restructuring charges — Asset Impairments</t>
  </si>
  <si>
    <t>2014 restructuring charges — Other Costs</t>
  </si>
  <si>
    <t>2014 restructuring charges — Total</t>
  </si>
  <si>
    <t>Cash payments — Severance and Other Employee Costs</t>
  </si>
  <si>
    <t>Cash payments — Asset Impairments</t>
  </si>
  <si>
    <t>Cash payments — Other Costs</t>
  </si>
  <si>
    <t>Cash payments — Total</t>
  </si>
  <si>
    <t>Non-cash charges and translation — Severance and Other Employee Costs</t>
  </si>
  <si>
    <t>Non-cash charges and translation — Asset Impairments</t>
  </si>
  <si>
    <t>Non-cash charges and translation — Other Costs</t>
  </si>
  <si>
    <t>Non-cash charges and translation — Total</t>
  </si>
  <si>
    <t>Corporate — 2012 Productivity Plan Costs to Date / Severance and Other Employee Costs</t>
  </si>
  <si>
    <t>Corporate — 2012 Productivity Plan Costs to Date / Asset Impairments</t>
  </si>
  <si>
    <t>Corporate — 2012 Productivity Plan Costs to Date / Other Costs</t>
  </si>
  <si>
    <t>Corporate — 2012 Productivity Plan Costs to Date / Total</t>
  </si>
  <si>
    <t>Subtotal (unlabeled in filing) — 2012 Productivity Plan Costs to Date / Severance and Other Employee Costs</t>
  </si>
  <si>
    <t>Subtotal (unlabeled in filing) — 2012 Productivity Plan Costs to Date / Asset Impairments</t>
  </si>
  <si>
    <t>Subtotal (unlabeled in filing) — 2012 Productivity Plan Costs to Date / Other Costs</t>
  </si>
  <si>
    <t>Subtotal (unlabeled in filing) — 2012 Productivity Plan Costs to Date / Total</t>
  </si>
  <si>
    <t>Costs of sales</t>
  </si>
  <si>
    <t>Plan to Date — Severance and Other Employee Costs</t>
  </si>
  <si>
    <t>Plan to Date — Other Costs</t>
  </si>
  <si>
    <t>Plan to Date — Total</t>
  </si>
  <si>
    <t>Cost of sales — Cost Of Sales / A2019Productivity Plan</t>
  </si>
  <si>
    <t>Total restructuring and impairment charges — A2019Productivity Plan</t>
  </si>
  <si>
    <t>Severance and other employee costs — Plan to Datethrough 12/28/2019</t>
  </si>
  <si>
    <t>Other costs — Plan to Datethrough 12/28/2019</t>
  </si>
  <si>
    <t>Total — Plan to Datethrough 12/28/2019</t>
  </si>
  <si>
    <t>Total restructuring and impairment charges — A2014Productivity Plan</t>
  </si>
  <si>
    <t>Severance and other employee costs — Plan to Datethrough 12/26/2020</t>
  </si>
  <si>
    <t>Other costs — Plan to Datethrough 12/26/2020</t>
  </si>
  <si>
    <t>Total — Plan to Datethrough 12/26/2020</t>
  </si>
  <si>
    <t>Cost of sales — A2019Productivity Plan / Cost Of Sales</t>
  </si>
  <si>
    <t>Severance and other employee costs — Plan to Datethrough 12/25/2021</t>
  </si>
  <si>
    <t>Other costs — Plan to Datethrough 12/25/2021</t>
  </si>
  <si>
    <t>Total — Plan to Datethrough 12/25/2021</t>
  </si>
  <si>
    <t>Severance and other employee costs — Plan to Datethrough 12/31/2022</t>
  </si>
  <si>
    <t>Other costs — Plan to Datethrough 12/31/2022</t>
  </si>
  <si>
    <t>Total — Plan to Datethrough 12/31/2022</t>
  </si>
  <si>
    <t>Severance and other employee costs — Plan to Datethrough 12/30/2023</t>
  </si>
  <si>
    <t>Other costs — Plan to Datethrough 12/30/2023</t>
  </si>
  <si>
    <t>Total — Plan to Datethrough 12/30/2023</t>
  </si>
  <si>
    <t>Severance and other employee costs — Employee Severance / A2019Productivity Plan</t>
  </si>
  <si>
    <t>Severance and other employee costs — through 3/23/2024</t>
  </si>
  <si>
    <t>Other costs — Other Restructuring / A2019Productivity Plan</t>
  </si>
  <si>
    <t>Other costs — through 3/23/2024</t>
  </si>
  <si>
    <t>Total — A2019Productivity Plan</t>
  </si>
  <si>
    <t>Total — through 3/23/2024</t>
  </si>
  <si>
    <t>Severance and other employee costs — A2019Productivity Plan / Employee Severance</t>
  </si>
  <si>
    <t>Severance and other employee costs — Plan-to-Date / through 6/15/2024</t>
  </si>
  <si>
    <t>Other costs — A2019Productivity Plan / Other Restructuring</t>
  </si>
  <si>
    <t>Other costs — Plan-to-Date / through 6/15/2024</t>
  </si>
  <si>
    <t>Total — Plan-to-Date / through 6/15/2024</t>
  </si>
  <si>
    <t>Severance and other employee costs — Plan-to-Date / through 9/7/2024</t>
  </si>
  <si>
    <t>Other costs — Plan-to-Date / through 9/7/2024</t>
  </si>
  <si>
    <t>Total — Plan-to-Date / through 9/7/2024</t>
  </si>
  <si>
    <t>Severance and other employee costs — Plan to Datethrough 12/28/2024</t>
  </si>
  <si>
    <t>Other costs — Plan to Datethrough 12/28/2024</t>
  </si>
  <si>
    <t>Total — Plan to Datethrough 12/28/2024</t>
  </si>
  <si>
    <t>Severance and other employee costs — Plan-to-Date / through 3/22/2025</t>
  </si>
  <si>
    <t>Other costs — Plan-to-Date / through 3/22/2025</t>
  </si>
  <si>
    <t>Total — Plan-to-Date / through 3/22/2025</t>
  </si>
  <si>
    <t>Severance and other employee costs — Plan-to-Date / through 6/14/2025</t>
  </si>
  <si>
    <t>Other costs — Plan-to-Date / through 6/14/2025</t>
  </si>
  <si>
    <t>Total — Plan-to-Date / through 6/14/2025</t>
  </si>
  <si>
    <t>Severance and other employee costs — Plan-to-Date / through 9/6/2025</t>
  </si>
  <si>
    <t>Other costs — Plan-to-Date / through 9/6/2025</t>
  </si>
  <si>
    <t>Total — Plan-to-Date / through 9/6/2025</t>
  </si>
  <si>
    <t>Total — Operating Income Loss</t>
  </si>
  <si>
    <t>Severance and other employee costs — Plan to Datethrough 12/27/2025</t>
  </si>
  <si>
    <t>Other costs — Plan to Datethrough 12/27/2025</t>
  </si>
  <si>
    <t>Total — Plan to Datethrough 12/27/2025</t>
  </si>
  <si>
    <t>Cost of sales — Cost Of Goods And Services Sold Restructuring / A2019Productivity Plan</t>
  </si>
  <si>
    <t>Severance and other employee costs — Plan-to-Date</t>
  </si>
  <si>
    <t>Severance and other employee costs — through 3/21/2026</t>
  </si>
  <si>
    <t>Other costs — Plan-to-Date</t>
  </si>
  <si>
    <t>Other costs — through 3/21/2026</t>
  </si>
  <si>
    <t>Total — Plan-to-Date</t>
  </si>
  <si>
    <t>Total — through 3/21/2026</t>
  </si>
  <si>
    <t>Restructuring charges — Severance and Other Employee Costs</t>
  </si>
  <si>
    <t>Restructuring charges — Asset Impairments</t>
  </si>
  <si>
    <t>Restructuring charges — Other Costs</t>
  </si>
  <si>
    <t>Restructuring charges — Total</t>
  </si>
  <si>
    <t>Cost of sales — A2019Productivity Plan / Cost Of Goods And Services Sold Restructuring</t>
  </si>
  <si>
    <t>Severance and other employee costs — Plan-to-Date / through 6/13/2026</t>
  </si>
  <si>
    <t>Other costs — Plan-to-Date / through 6/13/2026</t>
  </si>
  <si>
    <t>Total — Plan-to-Date / through 6/13/2026</t>
  </si>
  <si>
    <t>Severance and other employee costs — Plan-to-Date / through 9/5/2026</t>
  </si>
  <si>
    <t>Other costs — Plan-to-Date / through 9/5/2026</t>
  </si>
  <si>
    <t>Total — Plan-to-Date / through 9/5/2026</t>
  </si>
  <si>
    <t>Cost of sales — Cost Of Sales Domain</t>
  </si>
  <si>
    <t>Impairment of intangible assets — Impairment Other Charges Domain</t>
  </si>
  <si>
    <t>2024 restructuring charges — Severance and Other Employee Costs</t>
  </si>
  <si>
    <t>2024 restructuring charges — Asset Impairments</t>
  </si>
  <si>
    <t>2024 restructuring charges — Other Costs</t>
  </si>
  <si>
    <t>2024 restructuring charges — Total</t>
  </si>
  <si>
    <t>Original filing excerpts and fiscal years are retained; payment terms are not workbook forecasts.</t>
  </si>
  <si>
    <t>FY2018 source excerpt · SodaStream: On December 5, 2018, we acquired all of the outstanding shares of SodaStream, a manufacturer and distributor of sparkling water makers, for $144.00 per share in cash, in a transaction valued at approximately $3.3 billion . The total consideration transferred was approximately $3.3 billion (or $3.2 billion , net of cash and cash equivalents acquired), including $2.0 billion of consideration held by our paying agent in connection with this acquisition and reported as restricted cash as of December 29, 2018.</t>
  </si>
  <si>
    <t>FY2020 source excerpt · Pioneer Foods: On March 23, 2020, we acquired all of the outstanding shares of Pioneer Foods, a food and beverage company in South Africa with exports to countries across the globe, for 110.00 South African rand per share in cash. The total consideration transferred was approximately $ 1.2 billion and was funded by the Bridge Loan Facilities entered into by one of our international consolidated subsidiaries.</t>
  </si>
  <si>
    <t>FY2020 source excerpt · Rockstar: On April 24, 2020, we acquired Rockstar, an energy drink maker with whom we had a distribution agreement prior to the acquisition, for an upfront cash payment of approximately $ 3.85 billion and contingent consideration related to estimated future tax benefits associated with the acquisition of approximately $ 0.9 billion. See Note 9 for further information about the contingent consideration.</t>
  </si>
  <si>
    <t>FY2020 source excerpt · Be &amp; Cheery: On June 1, 2020, we acquired all of the outstanding shares of Be &amp; Cheery, one of the largest online snacks companies in China, from Haoxiangni Health Food Co., Ltd. for cash. The total consideration transferred was approximately $ 0.7 billion.</t>
  </si>
  <si>
    <t>FY2022 source excerpt · Juice Transaction: In the first quarter of 2022, we sold our Tropicana, Naked and other select juice brands to PAI Partners, while retaining a 39% noncontrolling interest in a newly formed joint venture, Tropicana Brands Group (TBG), operating across North America and Europe (Juice Transaction). In the United States, PepsiCo acts as the exclusive distributor for TBG’s portfolio of brands for small-format and foodservice customers with chilled direct-store-delivery (DSD).</t>
  </si>
  <si>
    <t>FY2025 source excerpt · poppi: On May 19, 2025, we acquired all of the outstanding equity interest in poppi, a prebiotic soda business, for cash consideration of $ 1.95 billion and contingent consideration with an acquisition date fair value of $ 0.2 billion. See Note 9 for further information on the contingent consideration. In connection with this acquisition, other payments may be incurred, subject to the achievement of certain conditions.</t>
  </si>
  <si>
    <t>FY2025 source excerpt · Siete: On January 17, 2025, we acquired all of the outstanding equity interest in Siete, a Mexican-American foods business, for total consideration of $ 1.2 billion in cash. We accounted for the transaction as a business combination in the first quarter of 2025.</t>
  </si>
  <si>
    <t>FY2025 source excerpt · Sabra: On December 3, 2024, we acquired the Strauss Group’s 50 % ownership in Sabra for total consideration of $ 241 million in cash, resulting in Sabra becoming a wholly-owned subsidiary. Upon consolidation, we recognized a pre-tax gain of $ 122 million ($ 92 million after-tax or $ 0.07 per share) in our PFNA segment, recorded in selling, general and administrative expenses, related to the remeasurement of our previously held 50 % equity ownership in Sabra at fair value using a combination of the transaction price, net of a control premium, and discounted cash flows.</t>
  </si>
  <si>
    <t>FY2025 source excerpt · Celsius / Rockstar: On August 28, 2025, we consummated a transaction with Celsius, pursuant to which we acquired convertible preferred shares and transferred cash and certain non-cash assets, primarily the Rockstar brand of $ 0.5 billion in the United States and Canada (Celsius Transaction). For further information on the convertible preferred shares, see Note 9. On the same date, we entered into an agreement with Celsius to be the exclusive distributor for the Alani Nu brand in certain channels in the United States and Canada that commenced in the fourth quarter of 2025.</t>
  </si>
  <si>
    <t>PepsiCo PEP — Pension &amp; Retiree Medical</t>
  </si>
  <si>
    <t>U.S. pension plans</t>
  </si>
  <si>
    <t>International pension plans</t>
  </si>
  <si>
    <t>Retiree Medical</t>
  </si>
  <si>
    <t>Recent benefit costs: YTD</t>
  </si>
  <si>
    <t>Liability/Obligation terminology is linked on a consistent benefit-obligation basis. FY2016 non-service expense = total benefit expense less service cost; later periods use the company's direct disclosure.</t>
  </si>
  <si>
    <t>Change in benefit obligation</t>
  </si>
  <si>
    <t>Benefit obligation, beginning of year</t>
  </si>
  <si>
    <t>Service cost</t>
  </si>
  <si>
    <t>Interest cost</t>
  </si>
  <si>
    <t>Plan amendments</t>
  </si>
  <si>
    <t>Participant contributions</t>
  </si>
  <si>
    <t>Experience loss/(gain)</t>
  </si>
  <si>
    <t>Benefit payments</t>
  </si>
  <si>
    <t>Settlement/curtailment</t>
  </si>
  <si>
    <t>Special termination benefits</t>
  </si>
  <si>
    <t>Other, including foreign currency adjustment</t>
  </si>
  <si>
    <t>Benefit obligation, end of year</t>
  </si>
  <si>
    <t>Change in fair value of plan assets</t>
  </si>
  <si>
    <t>Fair value at beginning of year</t>
  </si>
  <si>
    <t>Actual return on plan assets</t>
  </si>
  <si>
    <t>Employer contributions/funding</t>
  </si>
  <si>
    <t>Settlement</t>
  </si>
  <si>
    <t>Fair value at end of year</t>
  </si>
  <si>
    <t>Funded status</t>
  </si>
  <si>
    <t>Amounts recognized on the balance sheet</t>
  </si>
  <si>
    <t>Other assets</t>
  </si>
  <si>
    <t>Other liabilities</t>
  </si>
  <si>
    <t>Net amount recognized</t>
  </si>
  <si>
    <t>Benefit expense/(income)</t>
  </si>
  <si>
    <t>Expected return on plan assets</t>
  </si>
  <si>
    <t>Amortization of prior service cost/(credits)</t>
  </si>
  <si>
    <t>Amortization of net losses/(gains)</t>
  </si>
  <si>
    <t>Settlement/curtailment losses/(gains)</t>
  </si>
  <si>
    <t>Total benefit expense/(income), including service cost</t>
  </si>
  <si>
    <t>Total other pension and retiree medical benefits expense/(income)</t>
  </si>
  <si>
    <t>Actuarial assumptions</t>
  </si>
  <si>
    <t>Benefit obligation discount rate</t>
  </si>
  <si>
    <t>Service cost discount rate</t>
  </si>
  <si>
    <t>Interest cost discount rate</t>
  </si>
  <si>
    <t>Rate of salary increases — benefit obligation</t>
  </si>
  <si>
    <t>Rate of salary increases — expense</t>
  </si>
  <si>
    <t>Plan assets − benefit obligation − funded status</t>
  </si>
  <si>
    <t>Net amount recognized − funded status</t>
  </si>
  <si>
    <t>Total benefit expense − service cost − non-service expense</t>
  </si>
  <si>
    <t>Right-hand columns show YTD. Annual obligations and plan-asset balances are in the plan blocks above.</t>
  </si>
  <si>
    <t>Pension / U.S.</t>
  </si>
  <si>
    <t>Amortization of prior service credits</t>
  </si>
  <si>
    <t>Settlement losses</t>
  </si>
  <si>
    <t>Total other pension and retiree medical benefits income</t>
  </si>
  <si>
    <t>Settlement/curtailment (gains)/losses</t>
  </si>
  <si>
    <t>Net settlement/curtailment losses</t>
  </si>
  <si>
    <t>Settlement/curtailment gains</t>
  </si>
  <si>
    <t>Pension / International</t>
  </si>
  <si>
    <t>PepsiCo PEP — Core Reconciliations</t>
  </si>
  <si>
    <t>Company-reported FCF reconciliation: annual and YTD</t>
  </si>
  <si>
    <t>Company-reported ROIC (financing-capital basis)</t>
  </si>
  <si>
    <t>Current structure: consolidated Core reconciliation</t>
  </si>
  <si>
    <t>Current structure: consolidated Core reconciliation (YTD)</t>
  </si>
  <si>
    <t>Earlier structure: consolidated Core reconciliation</t>
  </si>
  <si>
    <t>Consolidated GAAP / company Core diluted EPS reconciliation</t>
  </si>
  <si>
    <t>Consolidated GAAP / company Core diluted EPS reconciliation: YTD</t>
  </si>
  <si>
    <t>Independent company-reported reconciliation. Right-hand columns show YTD, not discrete quarters. Derived cash metrics still link to the cash flow statement; reported FCF is retained as an independent check.</t>
  </si>
  <si>
    <t>Net cash provided by operating activities — % Change（%）</t>
  </si>
  <si>
    <t>Company-defined free cash flow</t>
  </si>
  <si>
    <t>Free cash flow — % Change（%）</t>
  </si>
  <si>
    <t>Net income attributable to PepsiCo</t>
  </si>
  <si>
    <t>Interest expense</t>
  </si>
  <si>
    <t>Tax on interest expense</t>
  </si>
  <si>
    <t>Company ROIC numerator: net income attributable to PepsiCo + interest − related tax</t>
  </si>
  <si>
    <t>Average debt obligations</t>
  </si>
  <si>
    <t>Average common shareholders’ equity</t>
  </si>
  <si>
    <t>Average invested capital</t>
  </si>
  <si>
    <t>Company-reported ROIC</t>
  </si>
  <si>
    <t>Consolidated reconciliation retained; see original filings for segment-level non-GAAP adjustments. Segment GAAP profit is in Segments.</t>
  </si>
  <si>
    <t>Operating profit reconciliation (USD millions)</t>
  </si>
  <si>
    <t>Reported, GAAP measure</t>
  </si>
  <si>
    <t>Mark-to-market net impact</t>
  </si>
  <si>
    <t>Core, non-GAAP measure</t>
  </si>
  <si>
    <t>Impact of foreign exchange translation</t>
  </si>
  <si>
    <t>Core Constant Currency, non-GAAP measure</t>
  </si>
  <si>
    <t>Growth and foreign exchange attribution (%)</t>
  </si>
  <si>
    <t>Reported Operating Profit % Change, GAAP measure</t>
  </si>
  <si>
    <t>Core Operating Profit % Change, non-GAAP measure</t>
  </si>
  <si>
    <t>Core Constant Currency Operating Profit % Change, non-GAAP measure</t>
  </si>
  <si>
    <t>Reported Operating Profit/Loss % Change, GAAP measure</t>
  </si>
  <si>
    <t>Indirect and income tax impact</t>
  </si>
  <si>
    <t>Pension and retiree medical-related impact</t>
  </si>
  <si>
    <t>Consolidated operating profit reconciliation (USD millions)</t>
  </si>
  <si>
    <t>Reported, GAAP Measure</t>
  </si>
  <si>
    <t>Charge related to debt redemption</t>
  </si>
  <si>
    <t>Pension-related settlement charge</t>
  </si>
  <si>
    <t>Core, Non-GAAP Measure</t>
  </si>
  <si>
    <t>Provisional net tax expense related to the TCJ Act</t>
  </si>
  <si>
    <t>Merger and integration charges</t>
  </si>
  <si>
    <t>Net tax benefit related to the TCJ Act</t>
  </si>
  <si>
    <t>Other net tax benefits</t>
  </si>
  <si>
    <t>Charges related to cash tender and exchange offers</t>
  </si>
  <si>
    <t>Net income attributable to PepsiCo reconciliation (USD millions)</t>
  </si>
  <si>
    <t>Company Core measures are non-GAAP. Per-share amounts and growth contributions are separate; right-hand columns show discrete quarters.</t>
  </si>
  <si>
    <t>Diluted EPS reconciliation (USD per share)</t>
  </si>
  <si>
    <t>Net income attributable to PepsiCo per common share – diluted, GAAP measure (USD per share)</t>
  </si>
  <si>
    <t>Mark-to-market net impact (USD per share)</t>
  </si>
  <si>
    <t>Restructuring and impairment charges (USD per share)</t>
  </si>
  <si>
    <t>Inventory fair value adjustments and merger and integration charges (USD per share)</t>
  </si>
  <si>
    <t>Pension-related settlement charges (USD per share)</t>
  </si>
  <si>
    <t>Net tax related to the TCJ Act (USD per share)</t>
  </si>
  <si>
    <t>Core net income attributable to PepsiCo per common share – diluted, non-GAAP measure (USD per share)</t>
  </si>
  <si>
    <t>Acquisition and divestiture-related charges (USD per share)</t>
  </si>
  <si>
    <t>Pension and retiree medical-related impact (USD per share)</t>
  </si>
  <si>
    <t>Charge related to cash tender offers (USD per share)</t>
  </si>
  <si>
    <t>Tax expense related to the TCJ Act (USD per share)</t>
  </si>
  <si>
    <t>Gain associated with the Juice Transaction (USD per share)</t>
  </si>
  <si>
    <t>Impairment and other charges (USD per share)</t>
  </si>
  <si>
    <t>Tax benefit related to the IRS audit (USD per share)</t>
  </si>
  <si>
    <t>Product recall-related impact (USD per share)</t>
  </si>
  <si>
    <t>Impairment and other charges/credits (USD per share)</t>
  </si>
  <si>
    <t>Indirect tax impact (USD per share)</t>
  </si>
  <si>
    <t>Indirect and income tax impact (USD per share)</t>
  </si>
  <si>
    <t>Acquisition and divestiture-related charges/credits (USD per share)</t>
  </si>
  <si>
    <t>YoY growth attribution (%)</t>
  </si>
  <si>
    <t>Net income attributable to PepsiCo per common share – diluted, GAAP measure — Change（%）</t>
  </si>
  <si>
    <t>Core net income attributable to PepsiCo per common share – diluted, non-GAAP measure — Change（%）</t>
  </si>
  <si>
    <t>Impact of foreign exchange translation — Change（%）</t>
  </si>
  <si>
    <t>Growth in core net income attributable to PepsiCo per common share – diluted, on a constant currency basis, non-GAAP measure — Change（%）</t>
  </si>
  <si>
    <t>Change in core net income attributable to PepsiCo per common share – diluted, on a constant currency basis, non-GAAP measure — Change（%）</t>
  </si>
  <si>
    <t>Company Core measures are non-GAAP. Per-share amounts and growth contributions are separate; right-hand columns show YTD.</t>
  </si>
  <si>
    <t>PepsiCo PEP - Profit Forecast</t>
  </si>
  <si>
    <t>Historical reference</t>
  </si>
  <si>
    <t>USD millions. Actuals through FY2026Q3. As of 2026-10-29.</t>
  </si>
  <si>
    <t>PROPOSED BASE - numerical assumptions not yet adopted</t>
  </si>
  <si>
    <t>Steady-state nominal growth from FY2032</t>
  </si>
  <si>
    <t>%</t>
  </si>
  <si>
    <t>Blue: inputs. Green: links. Dark: formulas. A: actual. E: estimate.</t>
  </si>
  <si>
    <t>FY2026: actual YTD plus remaining-quarter estimate</t>
  </si>
  <si>
    <t>2026 YTD A</t>
  </si>
  <si>
    <t>2026 Q4 E</t>
  </si>
  <si>
    <t>FY2026 E</t>
  </si>
  <si>
    <t>FY2022A</t>
  </si>
  <si>
    <t>FY2023A</t>
  </si>
  <si>
    <t>FY2024A</t>
  </si>
  <si>
    <t>FY2025A</t>
  </si>
  <si>
    <t>FY2026E</t>
  </si>
  <si>
    <t>2025Q1A</t>
  </si>
  <si>
    <t>2025Q2A</t>
  </si>
  <si>
    <t>2025Q3A</t>
  </si>
  <si>
    <t>2025Q4A</t>
  </si>
  <si>
    <t>2026Q1A</t>
  </si>
  <si>
    <t>2026Q2A</t>
  </si>
  <si>
    <t>2026Q3A</t>
  </si>
  <si>
    <t>Metric</t>
  </si>
  <si>
    <t>Unit</t>
  </si>
  <si>
    <t>Organic revenue growth (FY: approx.)</t>
  </si>
  <si>
    <t>FX / scope / calendar effect (incl. rounding)</t>
  </si>
  <si>
    <t>Reported revenue growth</t>
  </si>
  <si>
    <t>USDm</t>
  </si>
  <si>
    <t>Consolidated profit and reported-profit bridge</t>
  </si>
  <si>
    <t>Six-segment Core operating profit</t>
  </si>
  <si>
    <t>Consolidated Core operating profit</t>
  </si>
  <si>
    <t>Consolidated Core operating margin</t>
  </si>
  <si>
    <t>Core pension / retiree medical (signed)</t>
  </si>
  <si>
    <t>Net interest and other (signed)</t>
  </si>
  <si>
    <t>Core income before taxes</t>
  </si>
  <si>
    <t>Core effective tax rate</t>
  </si>
  <si>
    <t>Core income taxes</t>
  </si>
  <si>
    <t>Core noncontrolling interests</t>
  </si>
  <si>
    <t>Core net income attributable to PepsiCo</t>
  </si>
  <si>
    <t>Core net income YoY</t>
  </si>
  <si>
    <t>Q4-only restructuring expense budget</t>
  </si>
  <si>
    <t>Conditional estimate excludes
unquantified MTM, impairment
and extra pension settlements.</t>
  </si>
  <si>
    <t>Q4-only integration / transaction expense budget</t>
  </si>
  <si>
    <t>Q4-only non-Core gain budget</t>
  </si>
  <si>
    <t>Q4-only unquantified event shock (base: 0)</t>
  </si>
  <si>
    <t>Q4-only adjustment tax rate</t>
  </si>
  <si>
    <t>Net after-tax non-Core deductions</t>
  </si>
  <si>
    <t>Estimated reported parent net income</t>
  </si>
  <si>
    <t>Reported parent net income YoY</t>
  </si>
  <si>
    <t>FY2027-FY2032: annual proposed forecast</t>
  </si>
  <si>
    <t>FY2027 E</t>
  </si>
  <si>
    <t>FY2028 E</t>
  </si>
  <si>
    <t>FY2029 E</t>
  </si>
  <si>
    <t>FY2030 E</t>
  </si>
  <si>
    <t>FY2031 E</t>
  </si>
  <si>
    <t>FY2032 steady</t>
  </si>
  <si>
    <t>Restructuring expense budget</t>
  </si>
  <si>
    <t>Integration / transaction expense budget</t>
  </si>
  <si>
    <t>Non-Core gain budget</t>
  </si>
  <si>
    <t>Unquantified event shock (base case: 0)</t>
  </si>
  <si>
    <t>Tax rate on forecast adjustments</t>
  </si>
  <si>
    <t>Conditional estimate excludes unquantified MTM, impairment and extra pension settlements.</t>
  </si>
  <si>
    <t>Growth summary and calculation checks</t>
  </si>
  <si>
    <t>FY2026-FY2031 annualized growth</t>
  </si>
  <si>
    <t>Revenue</t>
  </si>
  <si>
    <t>Core OP</t>
  </si>
  <si>
    <t>Core NI</t>
  </si>
  <si>
    <t>Reported NI est.</t>
  </si>
  <si>
    <t>FY2026 revenue: YTD + Q4 less FY</t>
  </si>
  <si>
    <t>FY2026 Core NI less disclosed YTD + Q4</t>
  </si>
  <si>
    <t>FY2026 reported NI less actual YTD + Q4</t>
  </si>
  <si>
    <t>FY2032 Core NI growth less steady-state g</t>
  </si>
  <si>
    <t>FY2032 reported NI growth less steady-state g</t>
  </si>
  <si>
    <t>Assumption basis and limitations</t>
  </si>
  <si>
    <t>Proposal status</t>
  </si>
  <si>
    <t>Inputs are proposed for research discussion. Core measures follow company definitions and retain some unusual gains.</t>
  </si>
  <si>
    <t>Weak volume recovery and negative price/mix. FY2027 margin falls to 21.7%; later recovery remains below FY2025.</t>
  </si>
  <si>
    <t>Soft organic demand. Q4 structural benefit is zero; FY2027 margin allows for refund bases and marketing spending.</t>
  </si>
  <si>
    <t>Franchise economics support margin, but volume / shipment timing and SodaStream risk limit extrapolation.</t>
  </si>
  <si>
    <t>Growth slows as pricing and FX effects normalize. Foods and beverage physical volumes are not combined.</t>
  </si>
  <si>
    <t>Q4 retains only 3% FX support; later FX is neutral. Currency, tax-credit bases and Mexico volume remain risks.</t>
  </si>
  <si>
    <t>Strong volume with negative mix. Q4 margin reflects seasonality; the YTD margin is not annualized.</t>
  </si>
  <si>
    <t>Organic / nonorganic</t>
  </si>
  <si>
    <t>Reported growth = (1 + organic) x (1 + nonorganic) - 1. Historical nonorganic includes disclosure rounding.</t>
  </si>
  <si>
    <t>YTD / FY organic</t>
  </si>
  <si>
    <t>YTD organic is disclosed. FY organic is a non-driving approximation weighted by FY2025 YTD / Q4 revenue.</t>
  </si>
  <si>
    <t>Calendar</t>
  </si>
  <si>
    <t>North America: FY2028 53/52; FY2029 52/53. Extra week is in Q4. Average-week estimate, not company guidance.</t>
  </si>
  <si>
    <t>Interest / other</t>
  </si>
  <si>
    <t>Provisional net interest and other must be reconciled with debt and cash in the next valuation module.</t>
  </si>
  <si>
    <t>Reported-profit estimate</t>
  </si>
  <si>
    <t>FY2026 budgets cover Q4 only; reported NI adds actual YTD. Intangible amortization is already in segment margins.</t>
  </si>
  <si>
    <t>Additional event charge</t>
  </si>
  <si>
    <t>Visible zero is an editable base-case scenario. It does not exclude impairment, MTM or pension settlement charges.</t>
  </si>
  <si>
    <t>Q4 securities gain</t>
  </si>
  <si>
    <t>USD50m is only in the reported-profit bridge. Future company-Core classification is unknown.</t>
  </si>
  <si>
    <t>Tax assumption</t>
  </si>
  <si>
    <t>Adjustment tax shields are approximate. Actual deductibility, jurisdiction and NCI effects can differ.</t>
  </si>
  <si>
    <t>Steady-state assumption</t>
  </si>
  <si>
    <t>FY2032 margins and tax rates are fixed; revenue and all bridge amounts grow by C4. This is earnings, not FCF.</t>
  </si>
  <si>
    <t>Historical coverage</t>
  </si>
  <si>
    <t>FY2022 segment Core profit is unavailable. Core tax / pension / parent NI use original dollar reconciliations.</t>
  </si>
  <si>
    <t>Sources</t>
  </si>
  <si>
    <t>PepsiCo FY2022-FY2025 Form 10-K; FY2025-FY2026 Form 10-Q; Q3 2026 earnings release; 2025 segment recast.</t>
  </si>
  <si>
    <t>Source dates</t>
  </si>
  <si>
    <t>Latest actual release: 2026-10-08. Research and source review: 2026-10-29.</t>
  </si>
  <si>
    <t>PepsiCo PEP - Valuation Model</t>
  </si>
  <si>
    <t>历史参考</t>
  </si>
  <si>
    <t>历史实际仅作参数参考；转换率与派息率均以归母净利润为分母。</t>
  </si>
  <si>
    <t>悲观</t>
  </si>
  <si>
    <t>基准</t>
  </si>
  <si>
    <t>乐观</t>
  </si>
  <si>
    <t>FY2021 A</t>
  </si>
  <si>
    <t>FY2022 A</t>
  </si>
  <si>
    <t>FY2023 A</t>
  </si>
  <si>
    <t>FY2024 A</t>
  </si>
  <si>
    <t>FY2025 A</t>
  </si>
  <si>
    <t>所需回报对应买入价（2026年末）</t>
  </si>
  <si>
    <t>归母净利润</t>
  </si>
  <si>
    <t>FY2026–FY2031 归母净利润 CAGR</t>
  </si>
  <si>
    <t>参考股价</t>
  </si>
  <si>
    <t>自由现金流（CFO − 资本开支）</t>
  </si>
  <si>
    <t>FY2031 退出价格 / 股</t>
  </si>
  <si>
    <t>收盘日期</t>
  </si>
  <si>
    <t>现金分红</t>
  </si>
  <si>
    <t>五年股息现值 / 股</t>
  </si>
  <si>
    <t>研究日期</t>
  </si>
  <si>
    <t>年末普通股数（百万股）</t>
  </si>
  <si>
    <t>折现至研究日的等值价格 / 股</t>
  </si>
  <si>
    <t>年初普通股数（百万股）</t>
  </si>
  <si>
    <t>估值参数（蓝字可调）</t>
  </si>
  <si>
    <t>经营现金流 CFO</t>
  </si>
  <si>
    <t>要求回报率（D10为共用可调输入）</t>
  </si>
  <si>
    <t>情景为研究假设，可手动调整。</t>
  </si>
  <si>
    <t>现金资本开支（正数）</t>
  </si>
  <si>
    <t>退出倍数 P/FCF</t>
  </si>
  <si>
    <t>普通股回购现金</t>
  </si>
  <si>
    <t>首年 FCF / 归母净利润</t>
  </si>
  <si>
    <t>FCF / 归母净利润</t>
  </si>
  <si>
    <t>退出 FCF / 归母净利润</t>
  </si>
  <si>
    <t>现金分红 / 归母净利润</t>
  </si>
  <si>
    <t>每年净股数变化（正增发、负缩股）</t>
  </si>
  <si>
    <t>净股数变化（正增发、负缩股）</t>
  </si>
  <si>
    <t>研究日等值价格 / 参考股价 − 1</t>
  </si>
  <si>
    <t>初始股数（最新实际，作为估值日代理）</t>
  </si>
  <si>
    <t>实际日期</t>
  </si>
  <si>
    <t>净股数变化以期末普通股数计算。历史转换率受非现金损益、营运资本和资本开支影响。</t>
  </si>
  <si>
    <t>估值日（财年末，第0年）</t>
  </si>
  <si>
    <t>未预测10/1至年末净股数变化。研究日等值价假设剩余期股息为0。</t>
  </si>
  <si>
    <t>每年稀释率（仅用于粗略总回购预算）</t>
  </si>
  <si>
    <t>利润路径（手动保存情景；更改 Profit Forecast 后复制当前行并粘贴数值）</t>
  </si>
  <si>
    <t>北美经营参数预设（可恢复原方案）</t>
  </si>
  <si>
    <t>五年 CAGR</t>
  </si>
  <si>
    <t>乐观 PFNA 有机增长（98行）</t>
  </si>
  <si>
    <t>当前 Profit Forecast 实时归母利润</t>
  </si>
  <si>
    <t>乐观 PFNA 利润率（102行）</t>
  </si>
  <si>
    <t>悲观（手动快照）</t>
  </si>
  <si>
    <t>乐观 PBNA 有机增长（107行）</t>
  </si>
  <si>
    <t>基准（手动快照）</t>
  </si>
  <si>
    <t>乐观 PBNA 利润率（111行）</t>
  </si>
  <si>
    <t>乐观（手动快照）</t>
  </si>
  <si>
    <t>悲观：PFNA/PBNA 有机增长各年0%；利润率各年21.7%/10.8%。</t>
  </si>
  <si>
    <t>悲观快照日期 / 来源</t>
  </si>
  <si>
    <t>北美停滞：PFNA/PBNA增速0%，利润率21.7%/10.8%。 国际及桥项沿用。</t>
  </si>
  <si>
    <t>基准快照日期 / 来源</t>
  </si>
  <si>
    <t>北美低增长：PFNA/PBNA增速1%，利润率21.7%/10.8%。 国际及桥项沿用。</t>
  </si>
  <si>
    <t>基准：PFNA/PBNA 有机增长各年1%；利润率各年21.7%/10.8%。</t>
  </si>
  <si>
    <t>乐观快照日期 / 来源</t>
  </si>
  <si>
    <t>北美改善：沿用当前 Profit Forecast 参数。 国际及桥项沿用。</t>
  </si>
  <si>
    <t>修改范围为 Profit Forecast C:G 的98/102/107/111行。其余四分部及桥项不改；C99:G99、C108:G108保留周历。</t>
  </si>
  <si>
    <t>逐年股东现金流与退出价值</t>
  </si>
  <si>
    <t>自由现金流（归母净利 × 转换率）</t>
  </si>
  <si>
    <t>现金股息 / 股（按期末股数）</t>
  </si>
  <si>
    <t>现金股息现值 / 股</t>
  </si>
  <si>
    <t>退出价格 / 股（仅第五年）</t>
  </si>
  <si>
    <t>退出价格现值 / 股</t>
  </si>
  <si>
    <t>粗略总回购预算（含抵销稀释）</t>
  </si>
  <si>
    <t>FCF 减现金分红及粗略总回购预算</t>
  </si>
  <si>
    <t>资料来源与关键日期</t>
  </si>
  <si>
    <t>股数锚点</t>
  </si>
  <si>
    <t>https://www.sec.gov/Archives/edgar/data/77476/000007747626000048/pep-20260905.htm</t>
  </si>
  <si>
    <t>历史现金及股数</t>
  </si>
  <si>
    <t>PepsiCo FY2021–FY2025 Forms 10-K，链接既有底稿；股数使用各年股东权益变动表。</t>
  </si>
  <si>
    <t>https://www.marketbeat.com/stocks/NASDAQ/PEP/chart/</t>
  </si>
  <si>
    <t>模板口径</t>
  </si>
  <si>
    <t>用户上传估值模型：分红现值 + 第五年退出 P/FCF 权益价值现值。</t>
  </si>
  <si>
    <t>USD millions，股数百万股，价格USD/股。研究截至2026-10-29。使用方法见本表第65行。</t>
  </si>
  <si>
    <t>预测与估值使用说明（2026-10-29）</t>
  </si>
  <si>
    <t>1. 两张表分工</t>
  </si>
  <si>
    <t>预测表=Profit Forecast；估值表=Valuation Model。预测表只维护一套经营预测。
估值表第23行实时读取利润，第24–26行保存悲观、基准、乐观的年度利润快照。
已保存情景不会自动跟随经营参数变化。</t>
  </si>
  <si>
    <t>2. 使用顺序</t>
  </si>
  <si>
    <t>先判断分部增长和利润率，再看归母利润与CAGR，保存情景。
最后设置现金回报及退出估值参数。不要先拍CAGR再反填利润。</t>
  </si>
  <si>
    <t>3. 年份与单位</t>
  </si>
  <si>
    <t>预测表C:G为2027–2031年；2026基年为前三季度实际加Q4预测。
金额为百万美元，股数为百万股，价格为美元/股。
输入1%应键入1%，不要键入1。</t>
  </si>
  <si>
    <t>4. 分部驱动</t>
  </si>
  <si>
    <t>收入=上年收入×(1+有机增长)×(1+非有机因子)，再乘Core营业利润率。
蓝色数字是输入，绿色通常为跨表链接，深色为公式。历史实际和结果公式不是调参入口。</t>
  </si>
  <si>
    <t>5. 北美调参范围</t>
  </si>
  <si>
    <t>预测表PFNA：有机增长C98:G98，利润率C102:G102。
PBNA：有机增长C107:G107，利润率C111:G111。
估值表J20:O37保留三情景预设及原方案恢复值。</t>
  </si>
  <si>
    <t>6. 国际调参范围</t>
  </si>
  <si>
    <t>预测表，均为C:G：IB Franchise增长116行、利润率120行；EMEA为125/129行。
LatAm为134/138行；Asia为143/147行。
当前三预设只改北美，国际及非分部桥保持同一假设；扩大情景时可改这些输入。</t>
  </si>
  <si>
    <t>7. 非有机与利润桥</t>
  </si>
  <si>
    <t>预测表C99:G99、C108:G108保留2028额外周及2029冲回，勿重复加周。
其他FX、并购改动须有单独依据。利润桥均为C:G：
总部156、养老金159、利息160、税率162、NCI164；
重组167、整合168、特殊收益169、事件费用170、调整税率171。费用正负号按原行约定。</t>
  </si>
  <si>
    <t>8. 检查预测结果</t>
  </si>
  <si>
    <t>预测表C165:G165为Core归母利润，C173:G173为报表口径归母利润估计。
E181为Core五年CAGR，F181为报表五年CAGR。本估值采用报表口径。
CAGR=(2031利润/2026利润)^(1/5)−1，不直接改写公式。</t>
  </si>
  <si>
    <t>9. 保存一个情景</t>
  </si>
  <si>
    <t>估值表复制B23:G23，选择性粘贴“数值”到悲观B24:G24、基准B25:G25或乐观B26:G26。
只复制6个利润数，不复制H列CAGR，不贴公式。
更新B28:B30对应日期，以及C28:H30对应情景说明。</t>
  </si>
  <si>
    <t>10. 更新完再切情景</t>
  </si>
  <si>
    <t>保存后检查H24:H26的CAGR及C4:E8结果。J35只显示匹配路径，不是自动情景开关。
再次修改预测表不会覆写三行快照。恢复初始乐观方案时，
把K22:O25四行数值分别贴回预测表C98:G98、C102:G102、C107:G107、C111:G111。</t>
  </si>
  <si>
    <t>11. 共用基础变化</t>
  </si>
  <si>
    <t>若改2026基年、国际业务、税、利息等共同基础，须逐个重算并重新保存三情景。
避免新旧基期或假设混用。利润快照不会自动保留经营驱动。
重要改动须写入快照说明并保留版本。</t>
  </si>
  <si>
    <t>12. 估值参数位置</t>
  </si>
  <si>
    <t>D10为共用要求回报率。C/D/E分别为悲观/基准/乐观。
行11为退出P/FCF，12为首年FCF转换率，13为退出转换率，14为现金分红率，15为年度净股数变化。
修改估值参数会改变价格，不会改变利润CAGR。</t>
  </si>
  <si>
    <t>13. 现金转换与倍数</t>
  </si>
  <si>
    <t>FCF=CFO−现金资本支出，转换率分母为报表归母净利润；首末转换率间逐年线性变化。
首年转换率主要影响现金覆盖，退出转换率决定终值。P/FCF不是PE。
退出价值=第5年净利润×退出转换率×P/FCF。
不再把全部期间FCF加进价值，也不额外扣净债务。</t>
  </si>
  <si>
    <t>14. 股数与分红</t>
  </si>
  <si>
    <t>净股数变化负值为缩股，正值为增股。填−0.25%代表每年复利缩股0.25%，不是五年累计。
回购已通过股数影响每股价值，不应再次计入现金分红。</t>
  </si>
  <si>
    <t>15. 买入价与日期</t>
  </si>
  <si>
    <t>第4行为2026年末目标买入价，第8行为研究日等值价，第16行为相对参考价变化。
第6行为2031退出价，不是今天价值。B18为估值起点，G7为研究日，G5/G6为参考价及日期。
各年现金按财年末支付近似，以实际天数/365折现。</t>
  </si>
  <si>
    <t>16. 股数与时间代理</t>
  </si>
  <si>
    <t>B17为初始股数，E17为测量日期。当前以2026-10-01实际数代理年末。
研究日至年末假设无净股数变化、无现金股息；更新日期时须复核这些条件。
若期间有分红或回购，须同步调整剩余期现金流和股数，不能只改日期。</t>
  </si>
  <si>
    <t>17. 现金检查</t>
  </si>
  <si>
    <t>B19每年稀释率用于粗略总回购预算。净增股大于稀释率时会提示、回购显示n.a.，须解释股份变动。
42/52/62行为各情景FCF减分红及粗回购。
若为负，应调整分配或明确融资，不能忽略。</t>
  </si>
  <si>
    <t>18. 模型边界</t>
  </si>
  <si>
    <t>现金余额尚未扣完并购、净偿债等用途，正数不代表资金全部闭环。
预测表C4的FY2032稳态增速不参与本退出倍数估值。
使用永续DCF时须另配再投资与现金流。</t>
  </si>
  <si>
    <t>19. 更新财报</t>
  </si>
  <si>
    <t>先核验历史实际，再补当年剩余季度并刷新利润预测，逐个重存三情景。
同时更新股价、股数、日期和来源。跨财年滚动须同步基期、未来五年、CAGR及退出年引用。
不能只改年份标题。</t>
  </si>
  <si>
    <t>20. 保存前检查</t>
  </si>
  <si>
    <t>检查三情景快照基年一致，日期和说明已更新，CAGR与利润口径一致，无公式错误。
现金缺口须处理或说明，再保存工作簿。当前版本及使用方式已于2026-10-29获认可；
情景数字仍是可按新证据更新的研究假设。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</si>
</sst>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yyyy\-mm\-dd"/>
    <numFmt numFmtId="177" formatCode="#,##0;\(#,##0\);&quot;–&quot;"/>
    <numFmt numFmtId="178" formatCode="0.0%;\(0.0%\);&quot;–&quot;"/>
    <numFmt numFmtId="179" formatCode="0.00;\(0.00\);&quot;–&quot;"/>
    <numFmt numFmtId="180" formatCode="0.0&quot;x&quot;;\(0.0&quot;x&quot;\);&quot;–&quot;"/>
    <numFmt numFmtId="181" formatCode="#,##0.0;\(#,##0.0\);&quot;–&quot;"/>
    <numFmt numFmtId="182" formatCode="0.0;\(0.0\);&quot;–&quot;"/>
    <numFmt numFmtId="183" formatCode="0.00;\(0.00\);0.00"/>
    <numFmt numFmtId="184" formatCode="0.00%;\(0.00%\);&quot;–&quot;"/>
  </numFmts>
  <fonts count="71">
    <font>
      <sz val="11"/>
      <name val="Carlito"/>
    </font>
    <font>
      <sz val="10.5"/>
      <color rgb="FF243447"/>
      <name val="Arial"/>
      <family val="2"/>
    </font>
    <font>
      <b/>
      <sz val="14"/>
      <color rgb="FFFFFFFF"/>
      <name val="Arial"/>
      <family val="2"/>
    </font>
    <font>
      <sz val="9"/>
      <color rgb="FF64748B"/>
      <name val="Arial"/>
      <family val="2"/>
    </font>
    <font>
      <b/>
      <sz val="10"/>
      <color rgb="FF243447"/>
      <name val="Arial"/>
      <family val="2"/>
    </font>
    <font>
      <b/>
      <sz val="10"/>
      <color rgb="FFFFFFFF"/>
      <name val="Arial"/>
      <family val="2"/>
    </font>
    <font>
      <sz val="8.5"/>
      <color rgb="FF64748B"/>
      <name val="Arial"/>
      <family val="2"/>
    </font>
    <font>
      <b/>
      <sz val="10"/>
      <color rgb="FF64748B"/>
      <name val="Arial"/>
      <family val="2"/>
    </font>
    <font>
      <sz val="10"/>
      <color rgb="FF20746C"/>
      <name val="Arial"/>
      <family val="2"/>
    </font>
    <font>
      <b/>
      <sz val="10.5"/>
      <color rgb="FF243447"/>
      <name val="Arial"/>
      <family val="2"/>
    </font>
    <font>
      <sz val="10.5"/>
      <color rgb="FF2454A4"/>
      <name val="Arial"/>
      <family val="2"/>
    </font>
    <font>
      <b/>
      <sz val="10.5"/>
      <color rgb="FF2454A4"/>
      <name val="Arial"/>
      <family val="2"/>
    </font>
    <font>
      <i/>
      <sz val="10.5"/>
      <color rgb="FF243447"/>
      <name val="Arial"/>
      <family val="2"/>
    </font>
    <font>
      <i/>
      <sz val="10.5"/>
      <color rgb="FF2454A4"/>
      <name val="Arial"/>
      <family val="2"/>
    </font>
    <font>
      <b/>
      <i/>
      <sz val="10.5"/>
      <color rgb="FF243447"/>
      <name val="Arial"/>
      <family val="2"/>
    </font>
    <font>
      <b/>
      <i/>
      <sz val="10.5"/>
      <color rgb="FF2454A4"/>
      <name val="Arial"/>
      <family val="2"/>
    </font>
    <font>
      <i/>
      <sz val="10.5"/>
      <color rgb="FF20746C"/>
      <name val="Arial"/>
      <family val="2"/>
    </font>
    <font>
      <sz val="10.5"/>
      <color rgb="FF20746C"/>
      <name val="Arial"/>
      <family val="2"/>
    </font>
    <font>
      <b/>
      <sz val="10.5"/>
      <color rgb="FF20746C"/>
      <name val="Arial"/>
      <family val="2"/>
    </font>
    <font>
      <b/>
      <sz val="11"/>
      <color rgb="FF243447"/>
      <name val="Arial"/>
      <family val="2"/>
    </font>
    <font>
      <sz val="10.5"/>
      <color rgb="FF243447"/>
      <name val="Arial"/>
      <family val="2"/>
    </font>
    <font>
      <b/>
      <sz val="14"/>
      <color rgb="FFFFFFFF"/>
      <name val="Arial"/>
      <family val="2"/>
    </font>
    <font>
      <sz val="9"/>
      <color rgb="FF64748B"/>
      <name val="Arial"/>
      <family val="2"/>
    </font>
    <font>
      <sz val="10"/>
      <color rgb="FF20746C"/>
      <name val="Arial"/>
      <family val="2"/>
    </font>
    <font>
      <b/>
      <sz val="10"/>
      <color rgb="FFFFFFFF"/>
      <name val="Arial"/>
      <family val="2"/>
    </font>
    <font>
      <i/>
      <sz val="10.5"/>
      <color rgb="FF243447"/>
      <name val="Arial"/>
      <family val="2"/>
    </font>
    <font>
      <b/>
      <sz val="10.5"/>
      <color rgb="FF243447"/>
      <name val="Arial"/>
      <family val="2"/>
    </font>
    <font>
      <sz val="8.5"/>
      <color rgb="FF64748B"/>
      <name val="Arial"/>
      <family val="2"/>
    </font>
    <font>
      <sz val="10.5"/>
      <color rgb="FF20746C"/>
      <name val="Arial"/>
      <family val="2"/>
    </font>
    <font>
      <sz val="10.5"/>
      <color rgb="FF2454A4"/>
      <name val="Arial"/>
      <family val="2"/>
    </font>
    <font>
      <i/>
      <sz val="10.5"/>
      <color rgb="FF2454A4"/>
      <name val="Arial"/>
      <family val="2"/>
    </font>
    <font>
      <b/>
      <sz val="10.5"/>
      <color rgb="FF2454A4"/>
      <name val="Arial"/>
      <family val="2"/>
    </font>
    <font>
      <sz val="10.5"/>
      <color rgb="FF243447"/>
      <name val="Arial"/>
      <family val="2"/>
    </font>
    <font>
      <b/>
      <sz val="14"/>
      <color rgb="FFFFFFFF"/>
      <name val="Arial"/>
      <family val="2"/>
    </font>
    <font>
      <sz val="9"/>
      <color rgb="FF64748B"/>
      <name val="Arial"/>
      <family val="2"/>
    </font>
    <font>
      <sz val="10"/>
      <color rgb="FF20746C"/>
      <name val="Arial"/>
      <family val="2"/>
    </font>
    <font>
      <b/>
      <sz val="10"/>
      <color rgb="FF243447"/>
      <name val="Arial"/>
      <family val="2"/>
    </font>
    <font>
      <b/>
      <sz val="10"/>
      <color rgb="FFFFFFFF"/>
      <name val="Arial"/>
      <family val="2"/>
    </font>
    <font>
      <sz val="8.5"/>
      <color rgb="FF64748B"/>
      <name val="Arial"/>
      <family val="2"/>
    </font>
    <font>
      <b/>
      <sz val="10.5"/>
      <color rgb="FF243447"/>
      <name val="Arial"/>
      <family val="2"/>
    </font>
    <font>
      <i/>
      <sz val="10.5"/>
      <color rgb="FF243447"/>
      <name val="Arial"/>
      <family val="2"/>
    </font>
    <font>
      <b/>
      <sz val="10.5"/>
      <color rgb="FFFFFFFF"/>
      <name val="Arial"/>
      <family val="2"/>
    </font>
    <font>
      <b/>
      <i/>
      <sz val="10.5"/>
      <color rgb="FF20746C"/>
      <name val="Arial"/>
      <family val="2"/>
    </font>
    <font>
      <sz val="11"/>
      <name val="Carlito"/>
    </font>
    <font>
      <sz val="9"/>
      <name val="FangSong"/>
      <family val="3"/>
      <charset val="134"/>
    </font>
    <font>
      <sz val="10.5"/>
      <color rgb="FF243447"/>
      <name val="Arial"/>
      <family val="2"/>
    </font>
    <font>
      <b/>
      <sz val="14"/>
      <color rgb="FFFFFFFF"/>
      <name val="Arial"/>
      <family val="2"/>
    </font>
    <font>
      <b/>
      <sz val="10.5"/>
      <color rgb="FF243447"/>
      <name val="Arial"/>
      <family val="2"/>
    </font>
    <font>
      <sz val="10.5"/>
      <color rgb="FF2454A4"/>
      <name val="Arial"/>
      <family val="2"/>
    </font>
    <font>
      <sz val="9"/>
      <color rgb="FF64748B"/>
      <name val="Arial"/>
      <family val="2"/>
    </font>
    <font>
      <b/>
      <sz val="10"/>
      <color rgb="FFFFFFFF"/>
      <name val="Arial"/>
      <family val="2"/>
    </font>
    <font>
      <i/>
      <sz val="10.5"/>
      <color rgb="FF243447"/>
      <name val="Arial"/>
      <family val="2"/>
    </font>
    <font>
      <i/>
      <sz val="10.5"/>
      <color rgb="FF20746C"/>
      <name val="Arial"/>
      <family val="2"/>
    </font>
    <font>
      <b/>
      <sz val="10.5"/>
      <color rgb="FF20746C"/>
      <name val="Arial"/>
      <family val="2"/>
    </font>
    <font>
      <sz val="10.5"/>
      <color rgb="FF20746C"/>
      <name val="Arial"/>
      <family val="2"/>
    </font>
    <font>
      <b/>
      <sz val="10.5"/>
      <color rgb="FF2454A4"/>
      <name val="Arial"/>
      <family val="2"/>
    </font>
    <font>
      <i/>
      <sz val="10.5"/>
      <color rgb="FF2454A4"/>
      <name val="Arial"/>
      <family val="2"/>
    </font>
    <font>
      <sz val="10.5"/>
      <color rgb="FF243447"/>
      <name val="Arial"/>
      <family val="2"/>
    </font>
    <font>
      <b/>
      <sz val="14"/>
      <color rgb="FFFFFFFF"/>
      <name val="Arial"/>
      <family val="2"/>
    </font>
    <font>
      <sz val="9"/>
      <color rgb="FF64748B"/>
      <name val="Arial"/>
      <family val="2"/>
    </font>
    <font>
      <b/>
      <sz val="10"/>
      <color rgb="FFFFFFFF"/>
      <name val="Arial"/>
      <family val="2"/>
    </font>
    <font>
      <sz val="10.5"/>
      <color rgb="FF2454A4"/>
      <name val="Arial"/>
      <family val="2"/>
    </font>
    <font>
      <b/>
      <sz val="10.5"/>
      <color rgb="FF243447"/>
      <name val="Arial"/>
      <family val="2"/>
    </font>
    <font>
      <i/>
      <sz val="10.5"/>
      <color rgb="FF243447"/>
      <name val="Arial"/>
      <family val="2"/>
    </font>
    <font>
      <i/>
      <sz val="10.5"/>
      <color rgb="FF2454A4"/>
      <name val="Arial"/>
      <family val="2"/>
    </font>
    <font>
      <sz val="9"/>
      <color rgb="FFA61B1B"/>
      <name val="Arial"/>
      <family val="2"/>
    </font>
    <font>
      <sz val="8.5"/>
      <color rgb="FF243447"/>
      <name val="Arial"/>
      <family val="2"/>
    </font>
    <font>
      <sz val="10.5"/>
      <color rgb="FF20746C"/>
      <name val="Arial"/>
      <family val="2"/>
    </font>
    <font>
      <sz val="10.5"/>
      <color rgb="FF243447"/>
      <name val="Arial"/>
      <family val="2"/>
    </font>
    <font>
      <sz val="9"/>
      <color rgb="FF64748B"/>
      <name val="Arial"/>
      <family val="2"/>
    </font>
    <font>
      <b/>
      <sz val="10"/>
      <color rgb="FFFFFFFF"/>
      <name val="Arial"/>
      <family val="2"/>
    </font>
  </fonts>
  <fills count="31">
    <fill>
      <patternFill patternType="none"/>
    </fill>
    <fill>
      <patternFill patternType="gray125"/>
    </fill>
    <fill>
      <patternFill patternType="solid">
        <fgColor rgb="FF1F4E79"/>
      </patternFill>
    </fill>
    <fill>
      <patternFill patternType="solid">
        <fgColor rgb="FF18324F"/>
      </patternFill>
    </fill>
    <fill>
      <patternFill patternType="solid">
        <fgColor rgb="FFF2F5F9"/>
      </patternFill>
    </fill>
    <fill>
      <patternFill patternType="solid">
        <fgColor rgb="FF20746C"/>
      </patternFill>
    </fill>
    <fill>
      <patternFill patternType="solid">
        <fgColor rgb="FFF1F4F8"/>
      </patternFill>
    </fill>
    <fill>
      <patternFill patternType="solid">
        <fgColor rgb="FFFFFFFF"/>
      </patternFill>
    </fill>
    <fill>
      <patternFill patternType="solid">
        <fgColor rgb="FFEAF0F8"/>
      </patternFill>
    </fill>
    <fill>
      <patternFill patternType="solid">
        <fgColor rgb="FF1F4E79"/>
      </patternFill>
    </fill>
    <fill>
      <patternFill patternType="solid">
        <fgColor rgb="FF18324F"/>
      </patternFill>
    </fill>
    <fill>
      <patternFill patternType="solid">
        <fgColor rgb="FFF2F5F9"/>
      </patternFill>
    </fill>
    <fill>
      <patternFill patternType="solid">
        <fgColor rgb="FF20746C"/>
      </patternFill>
    </fill>
    <fill>
      <patternFill patternType="solid">
        <fgColor rgb="FFEAF0F8"/>
      </patternFill>
    </fill>
    <fill>
      <patternFill patternType="solid">
        <fgColor rgb="FF1F4E79"/>
      </patternFill>
    </fill>
    <fill>
      <patternFill patternType="solid">
        <fgColor rgb="FF18324F"/>
      </patternFill>
    </fill>
    <fill>
      <patternFill patternType="solid">
        <fgColor rgb="FFF2F5F9"/>
      </patternFill>
    </fill>
    <fill>
      <patternFill patternType="solid">
        <fgColor rgb="FF20746C"/>
      </patternFill>
    </fill>
    <fill>
      <patternFill patternType="solid">
        <fgColor rgb="FFEAF0F8"/>
      </patternFill>
    </fill>
    <fill>
      <patternFill patternType="none"/>
    </fill>
    <fill>
      <patternFill patternType="solid">
        <fgColor rgb="FF1F4E79"/>
      </patternFill>
    </fill>
    <fill>
      <patternFill patternType="solid">
        <fgColor rgb="FFFFF3D6"/>
      </patternFill>
    </fill>
    <fill>
      <patternFill patternType="solid">
        <fgColor rgb="FF18324F"/>
      </patternFill>
    </fill>
    <fill>
      <patternFill patternType="solid">
        <fgColor rgb="FF20746C"/>
      </patternFill>
    </fill>
    <fill>
      <patternFill patternType="solid">
        <fgColor rgb="FFEAF0F8"/>
      </patternFill>
    </fill>
    <fill>
      <patternFill patternType="none"/>
    </fill>
    <fill>
      <patternFill patternType="solid">
        <fgColor rgb="FF1F4E79"/>
      </patternFill>
    </fill>
    <fill>
      <patternFill patternType="solid">
        <fgColor rgb="FF18324F"/>
      </patternFill>
    </fill>
    <fill>
      <patternFill patternType="solid">
        <fgColor rgb="FFEAF0F8"/>
      </patternFill>
    </fill>
    <fill>
      <patternFill patternType="none"/>
    </fill>
    <fill>
      <patternFill patternType="solid">
        <fgColor rgb="FF1F4E79"/>
      </patternFill>
    </fill>
  </fills>
  <borders count="8">
    <border>
      <left/>
      <right/>
      <top/>
      <bottom/>
      <diagonal/>
    </border>
    <border>
      <left/>
      <right/>
      <top style="thin">
        <color rgb="FFBBC8D6"/>
      </top>
      <bottom/>
      <diagonal/>
    </border>
    <border>
      <left/>
      <right/>
      <top/>
      <bottom/>
      <diagonal/>
    </border>
    <border>
      <left/>
      <right/>
      <top/>
      <bottom style="thin">
        <color rgb="FFBBC8D6"/>
      </bottom>
      <diagonal/>
    </border>
    <border>
      <left/>
      <right/>
      <top style="thin">
        <color rgb="FFBBC8D6"/>
      </top>
      <bottom/>
      <diagonal/>
    </border>
    <border>
      <left/>
      <right/>
      <top/>
      <bottom/>
      <diagonal/>
    </border>
    <border>
      <left/>
      <right/>
      <top style="thin">
        <color rgb="FFBBC8D6"/>
      </top>
      <bottom/>
      <diagonal/>
    </border>
    <border>
      <left/>
      <right/>
      <top/>
      <bottom/>
      <diagonal/>
    </border>
  </borders>
  <cellStyleXfs count="5">
    <xf numFmtId="0" fontId="0" fillId="0" borderId="0"/>
    <xf numFmtId="0" fontId="43" fillId="0" borderId="0"/>
    <xf numFmtId="0" fontId="59" fillId="25" borderId="5" xfId="0" applyFont="1" applyFill="1" applyBorder="1" applyAlignment="1">
      <alignment horizontal="left" vertical="center" wrapText="1"/>
    </xf>
    <xf numFmtId="0" fontId="65" fillId="25" borderId="5" xfId="0" applyFont="1" applyFill="1" applyBorder="1" applyAlignment="1">
      <alignment horizontal="left" vertical="center" wrapText="1"/>
    </xf>
    <xf numFmtId="0" fontId="59" fillId="25" borderId="5" xfId="0" applyFont="1" applyFill="1" applyBorder="1" applyAlignment="1">
      <alignment horizontal="left" vertical="center" wrapText="1"/>
    </xf>
  </cellStyleXfs>
  <cellXfs count="189">
    <xf numFmtId="0" fontId="0" fillId="0" borderId="0" xfId="0"/>
    <xf numFmtId="0" fontId="1" fillId="0" borderId="0" xfId="1" applyFont="1" applyAlignment="1">
      <alignment vertical="center"/>
    </xf>
    <xf numFmtId="0" fontId="1" fillId="0" borderId="0" xfId="1" applyFont="1" applyAlignment="1">
      <alignment horizontal="right" vertical="center"/>
    </xf>
    <xf numFmtId="0" fontId="1" fillId="0" borderId="0" xfId="1" applyFont="1" applyAlignment="1">
      <alignment vertical="center" wrapText="1"/>
    </xf>
    <xf numFmtId="0" fontId="3" fillId="0" borderId="0" xfId="1" applyFont="1" applyAlignment="1">
      <alignment vertical="center"/>
    </xf>
    <xf numFmtId="0" fontId="4" fillId="0" borderId="0" xfId="1" applyFont="1" applyAlignment="1">
      <alignment vertical="center"/>
    </xf>
    <xf numFmtId="0" fontId="5" fillId="3" borderId="0" xfId="1" applyFont="1" applyFill="1" applyAlignment="1">
      <alignment vertical="center"/>
    </xf>
    <xf numFmtId="0" fontId="5" fillId="3" borderId="0" xfId="1" applyFont="1" applyFill="1" applyAlignment="1">
      <alignment horizontal="center" vertical="center" wrapText="1"/>
    </xf>
    <xf numFmtId="176" fontId="6" fillId="4" borderId="0" xfId="1" applyNumberFormat="1" applyFont="1" applyFill="1" applyAlignment="1">
      <alignment horizontal="center" vertical="center"/>
    </xf>
    <xf numFmtId="0" fontId="3" fillId="0" borderId="0" xfId="1" applyFont="1" applyAlignment="1">
      <alignment horizontal="center" vertical="center"/>
    </xf>
    <xf numFmtId="0" fontId="5" fillId="5" borderId="0" xfId="1" applyFont="1" applyFill="1" applyAlignment="1">
      <alignment horizontal="center" vertical="center" wrapText="1"/>
    </xf>
    <xf numFmtId="0" fontId="7" fillId="0" borderId="0" xfId="1" applyFont="1" applyAlignment="1">
      <alignment vertical="center" wrapText="1"/>
    </xf>
    <xf numFmtId="0" fontId="9" fillId="7" borderId="0" xfId="1" applyFont="1" applyFill="1" applyAlignment="1">
      <alignment horizontal="right" vertical="center"/>
    </xf>
    <xf numFmtId="177" fontId="1" fillId="0" borderId="0" xfId="1" applyNumberFormat="1" applyFont="1" applyAlignment="1">
      <alignment horizontal="right" vertical="center"/>
    </xf>
    <xf numFmtId="177" fontId="10" fillId="0" borderId="0" xfId="1" applyNumberFormat="1" applyFont="1" applyAlignment="1">
      <alignment horizontal="right" vertical="center"/>
    </xf>
    <xf numFmtId="177" fontId="10" fillId="7" borderId="0" xfId="1" applyNumberFormat="1" applyFont="1" applyFill="1" applyAlignment="1">
      <alignment horizontal="right" vertical="center"/>
    </xf>
    <xf numFmtId="0" fontId="9" fillId="8" borderId="1" xfId="1" applyFont="1" applyFill="1" applyBorder="1" applyAlignment="1">
      <alignment vertical="center" wrapText="1"/>
    </xf>
    <xf numFmtId="0" fontId="1" fillId="8" borderId="1" xfId="1" applyFont="1" applyFill="1" applyBorder="1" applyAlignment="1">
      <alignment vertical="center"/>
    </xf>
    <xf numFmtId="177" fontId="11" fillId="8" borderId="1" xfId="1" applyNumberFormat="1" applyFont="1" applyFill="1" applyBorder="1" applyAlignment="1">
      <alignment horizontal="right" vertical="center"/>
    </xf>
    <xf numFmtId="177" fontId="9" fillId="8" borderId="1" xfId="1" applyNumberFormat="1" applyFont="1" applyFill="1" applyBorder="1" applyAlignment="1">
      <alignment horizontal="right" vertical="center"/>
    </xf>
    <xf numFmtId="177" fontId="11" fillId="7" borderId="1" xfId="1" applyNumberFormat="1" applyFont="1" applyFill="1" applyBorder="1" applyAlignment="1">
      <alignment horizontal="right" vertical="center"/>
    </xf>
    <xf numFmtId="0" fontId="12" fillId="0" borderId="0" xfId="1" applyFont="1" applyAlignment="1">
      <alignment vertical="center" wrapText="1"/>
    </xf>
    <xf numFmtId="178" fontId="13" fillId="0" borderId="0" xfId="1" applyNumberFormat="1" applyFont="1" applyAlignment="1">
      <alignment horizontal="right" vertical="center"/>
    </xf>
    <xf numFmtId="178" fontId="12" fillId="0" borderId="0" xfId="1" applyNumberFormat="1" applyFont="1" applyAlignment="1">
      <alignment horizontal="right" vertical="center"/>
    </xf>
    <xf numFmtId="178" fontId="13" fillId="7" borderId="0" xfId="1" applyNumberFormat="1" applyFont="1" applyFill="1" applyAlignment="1">
      <alignment horizontal="right" vertical="center"/>
    </xf>
    <xf numFmtId="179" fontId="1" fillId="0" borderId="0" xfId="1" applyNumberFormat="1" applyFont="1" applyAlignment="1">
      <alignment horizontal="right" vertical="center"/>
    </xf>
    <xf numFmtId="179" fontId="10" fillId="0" borderId="0" xfId="1" applyNumberFormat="1" applyFont="1" applyAlignment="1">
      <alignment horizontal="right" vertical="center"/>
    </xf>
    <xf numFmtId="179" fontId="1" fillId="7" borderId="0" xfId="1" applyNumberFormat="1" applyFont="1" applyFill="1" applyAlignment="1">
      <alignment horizontal="right" vertical="center"/>
    </xf>
    <xf numFmtId="0" fontId="14" fillId="8" borderId="1" xfId="1" applyFont="1" applyFill="1" applyBorder="1" applyAlignment="1">
      <alignment vertical="center" wrapText="1"/>
    </xf>
    <xf numFmtId="178" fontId="15" fillId="8" borderId="1" xfId="1" applyNumberFormat="1" applyFont="1" applyFill="1" applyBorder="1" applyAlignment="1">
      <alignment horizontal="right" vertical="center"/>
    </xf>
    <xf numFmtId="178" fontId="15" fillId="7" borderId="1" xfId="1" applyNumberFormat="1" applyFont="1" applyFill="1" applyBorder="1" applyAlignment="1">
      <alignment horizontal="right" vertical="center"/>
    </xf>
    <xf numFmtId="178" fontId="14" fillId="8" borderId="1" xfId="1" applyNumberFormat="1" applyFont="1" applyFill="1" applyBorder="1" applyAlignment="1">
      <alignment horizontal="right" vertical="center"/>
    </xf>
    <xf numFmtId="178" fontId="16" fillId="0" borderId="0" xfId="1" applyNumberFormat="1" applyFont="1" applyAlignment="1">
      <alignment horizontal="right" vertical="center"/>
    </xf>
    <xf numFmtId="179" fontId="10" fillId="7" borderId="0" xfId="1" applyNumberFormat="1" applyFont="1" applyFill="1" applyAlignment="1">
      <alignment horizontal="right" vertical="center"/>
    </xf>
    <xf numFmtId="177" fontId="17" fillId="0" borderId="0" xfId="1" applyNumberFormat="1" applyFont="1" applyAlignment="1">
      <alignment horizontal="right" vertical="center"/>
    </xf>
    <xf numFmtId="180" fontId="13" fillId="0" borderId="0" xfId="1" applyNumberFormat="1" applyFont="1" applyAlignment="1">
      <alignment horizontal="right" vertical="center"/>
    </xf>
    <xf numFmtId="180" fontId="16" fillId="0" borderId="0" xfId="1" applyNumberFormat="1" applyFont="1" applyAlignment="1">
      <alignment horizontal="right" vertical="center"/>
    </xf>
    <xf numFmtId="180" fontId="13" fillId="7" borderId="0" xfId="1" applyNumberFormat="1" applyFont="1" applyFill="1" applyAlignment="1">
      <alignment horizontal="right" vertical="center"/>
    </xf>
    <xf numFmtId="177" fontId="18" fillId="8" borderId="1" xfId="1" applyNumberFormat="1" applyFont="1" applyFill="1" applyBorder="1" applyAlignment="1">
      <alignment horizontal="right" vertical="center"/>
    </xf>
    <xf numFmtId="180" fontId="12" fillId="0" borderId="0" xfId="1" applyNumberFormat="1" applyFont="1" applyAlignment="1">
      <alignment horizontal="right" vertical="center"/>
    </xf>
    <xf numFmtId="181" fontId="1" fillId="0" borderId="0" xfId="1" applyNumberFormat="1" applyFont="1" applyAlignment="1">
      <alignment horizontal="right" vertical="center"/>
    </xf>
    <xf numFmtId="181" fontId="10" fillId="0" borderId="0" xfId="1" applyNumberFormat="1" applyFont="1" applyAlignment="1">
      <alignment horizontal="right" vertical="center"/>
    </xf>
    <xf numFmtId="181" fontId="17" fillId="0" borderId="0" xfId="1" applyNumberFormat="1" applyFont="1" applyAlignment="1">
      <alignment horizontal="right" vertical="center"/>
    </xf>
    <xf numFmtId="181" fontId="10" fillId="7" borderId="0" xfId="1" applyNumberFormat="1" applyFont="1" applyFill="1" applyAlignment="1">
      <alignment horizontal="right" vertical="center"/>
    </xf>
    <xf numFmtId="0" fontId="17" fillId="0" borderId="0" xfId="1" applyFont="1" applyAlignment="1">
      <alignment vertical="center"/>
    </xf>
    <xf numFmtId="0" fontId="20" fillId="0" borderId="0" xfId="1" applyFont="1" applyAlignment="1">
      <alignment vertical="center"/>
    </xf>
    <xf numFmtId="0" fontId="23" fillId="0" borderId="0" xfId="1" applyFont="1" applyAlignment="1">
      <alignment vertical="center"/>
    </xf>
    <xf numFmtId="0" fontId="24" fillId="10" borderId="0" xfId="1" applyFont="1" applyFill="1" applyAlignment="1">
      <alignment vertical="center"/>
    </xf>
    <xf numFmtId="0" fontId="24" fillId="10" borderId="0" xfId="1" applyFont="1" applyFill="1" applyAlignment="1">
      <alignment horizontal="center" vertical="center"/>
    </xf>
    <xf numFmtId="0" fontId="24" fillId="12" borderId="0" xfId="1" applyFont="1" applyFill="1" applyAlignment="1">
      <alignment horizontal="center" vertical="center"/>
    </xf>
    <xf numFmtId="177" fontId="20" fillId="0" borderId="0" xfId="1" applyNumberFormat="1" applyFont="1" applyAlignment="1">
      <alignment horizontal="right" vertical="center"/>
    </xf>
    <xf numFmtId="178" fontId="25" fillId="0" borderId="0" xfId="1" applyNumberFormat="1" applyFont="1" applyAlignment="1">
      <alignment horizontal="right" vertical="center"/>
    </xf>
    <xf numFmtId="0" fontId="20" fillId="13" borderId="0" xfId="1" applyFont="1" applyFill="1" applyAlignment="1">
      <alignment vertical="center"/>
    </xf>
    <xf numFmtId="177" fontId="26" fillId="13" borderId="0" xfId="1" applyNumberFormat="1" applyFont="1" applyFill="1" applyAlignment="1">
      <alignment horizontal="right" vertical="center"/>
    </xf>
    <xf numFmtId="180" fontId="20" fillId="0" borderId="0" xfId="1" applyNumberFormat="1" applyFont="1" applyAlignment="1">
      <alignment horizontal="right" vertical="center"/>
    </xf>
    <xf numFmtId="176" fontId="27" fillId="11" borderId="0" xfId="1" applyNumberFormat="1" applyFont="1" applyFill="1" applyAlignment="1">
      <alignment horizontal="center" vertical="center"/>
    </xf>
    <xf numFmtId="0" fontId="20" fillId="0" borderId="0" xfId="1" applyFont="1" applyAlignment="1">
      <alignment vertical="center" wrapText="1"/>
    </xf>
    <xf numFmtId="177" fontId="28" fillId="0" borderId="0" xfId="1" applyNumberFormat="1" applyFont="1" applyAlignment="1">
      <alignment horizontal="right" vertical="center"/>
    </xf>
    <xf numFmtId="0" fontId="25" fillId="0" borderId="0" xfId="1" applyFont="1" applyAlignment="1">
      <alignment vertical="center" wrapText="1"/>
    </xf>
    <xf numFmtId="178" fontId="20" fillId="0" borderId="0" xfId="1" applyNumberFormat="1" applyFont="1" applyAlignment="1">
      <alignment horizontal="right" vertical="center"/>
    </xf>
    <xf numFmtId="177" fontId="29" fillId="0" borderId="0" xfId="1" applyNumberFormat="1" applyFont="1" applyAlignment="1">
      <alignment horizontal="right" vertical="center"/>
    </xf>
    <xf numFmtId="178" fontId="30" fillId="0" borderId="0" xfId="1" applyNumberFormat="1" applyFont="1" applyAlignment="1">
      <alignment horizontal="right" vertical="center"/>
    </xf>
    <xf numFmtId="0" fontId="26" fillId="13" borderId="0" xfId="1" applyFont="1" applyFill="1" applyAlignment="1">
      <alignment vertical="center" wrapText="1"/>
    </xf>
    <xf numFmtId="177" fontId="20" fillId="13" borderId="0" xfId="1" applyNumberFormat="1" applyFont="1" applyFill="1" applyAlignment="1">
      <alignment horizontal="right" vertical="center"/>
    </xf>
    <xf numFmtId="177" fontId="31" fillId="13" borderId="0" xfId="1" applyNumberFormat="1" applyFont="1" applyFill="1" applyAlignment="1">
      <alignment horizontal="right" vertical="center"/>
    </xf>
    <xf numFmtId="0" fontId="32" fillId="0" borderId="0" xfId="1" applyFont="1" applyAlignment="1">
      <alignment vertical="center"/>
    </xf>
    <xf numFmtId="0" fontId="34" fillId="0" borderId="0" xfId="1" applyFont="1" applyAlignment="1">
      <alignment vertical="center"/>
    </xf>
    <xf numFmtId="0" fontId="35" fillId="0" borderId="0" xfId="1" applyFont="1" applyAlignment="1">
      <alignment vertical="center"/>
    </xf>
    <xf numFmtId="0" fontId="36" fillId="0" borderId="0" xfId="1" applyFont="1" applyAlignment="1">
      <alignment vertical="center"/>
    </xf>
    <xf numFmtId="0" fontId="37" fillId="15" borderId="0" xfId="1" applyFont="1" applyFill="1" applyAlignment="1">
      <alignment horizontal="center" vertical="center"/>
    </xf>
    <xf numFmtId="176" fontId="38" fillId="16" borderId="0" xfId="1" applyNumberFormat="1" applyFont="1" applyFill="1" applyAlignment="1">
      <alignment horizontal="center" vertical="center"/>
    </xf>
    <xf numFmtId="0" fontId="37" fillId="17" borderId="0" xfId="1" applyFont="1" applyFill="1" applyAlignment="1">
      <alignment horizontal="center" vertical="center"/>
    </xf>
    <xf numFmtId="0" fontId="32" fillId="0" borderId="0" xfId="1" applyFont="1" applyAlignment="1">
      <alignment vertical="center" wrapText="1"/>
    </xf>
    <xf numFmtId="177" fontId="32" fillId="0" borderId="0" xfId="1" applyNumberFormat="1" applyFont="1" applyAlignment="1">
      <alignment horizontal="right" vertical="center"/>
    </xf>
    <xf numFmtId="0" fontId="40" fillId="0" borderId="0" xfId="1" applyFont="1" applyAlignment="1">
      <alignment vertical="center" wrapText="1"/>
    </xf>
    <xf numFmtId="0" fontId="32" fillId="18" borderId="0" xfId="1" applyFont="1" applyFill="1" applyAlignment="1">
      <alignment vertical="center"/>
    </xf>
    <xf numFmtId="0" fontId="34" fillId="0" borderId="0" xfId="1" applyFont="1" applyAlignment="1">
      <alignment horizontal="center" vertical="center"/>
    </xf>
    <xf numFmtId="0" fontId="39" fillId="18" borderId="0" xfId="1" applyFont="1" applyFill="1" applyAlignment="1">
      <alignment vertical="center" wrapText="1"/>
    </xf>
    <xf numFmtId="178" fontId="32" fillId="0" borderId="0" xfId="1" applyNumberFormat="1" applyFont="1" applyAlignment="1">
      <alignment horizontal="right" vertical="center"/>
    </xf>
    <xf numFmtId="0" fontId="14" fillId="18" borderId="0" xfId="1" applyFont="1" applyFill="1" applyAlignment="1">
      <alignment vertical="center" wrapText="1"/>
    </xf>
    <xf numFmtId="180" fontId="32" fillId="0" borderId="0" xfId="1" applyNumberFormat="1" applyFont="1" applyAlignment="1">
      <alignment horizontal="right" vertical="center"/>
    </xf>
    <xf numFmtId="178" fontId="14" fillId="18" borderId="0" xfId="1" applyNumberFormat="1" applyFont="1" applyFill="1" applyAlignment="1">
      <alignment horizontal="right" vertical="center"/>
    </xf>
    <xf numFmtId="177" fontId="32" fillId="18" borderId="0" xfId="1" applyNumberFormat="1" applyFont="1" applyFill="1" applyAlignment="1">
      <alignment horizontal="right" vertical="center"/>
    </xf>
    <xf numFmtId="178" fontId="32" fillId="18" borderId="0" xfId="1" applyNumberFormat="1" applyFont="1" applyFill="1" applyAlignment="1">
      <alignment horizontal="right" vertical="center"/>
    </xf>
    <xf numFmtId="182" fontId="32" fillId="0" borderId="0" xfId="1" applyNumberFormat="1" applyFont="1" applyAlignment="1">
      <alignment horizontal="right" vertical="center"/>
    </xf>
    <xf numFmtId="177" fontId="18" fillId="18" borderId="0" xfId="1" applyNumberFormat="1" applyFont="1" applyFill="1" applyAlignment="1">
      <alignment horizontal="right" vertical="center"/>
    </xf>
    <xf numFmtId="178" fontId="42" fillId="18" borderId="0" xfId="1" applyNumberFormat="1" applyFont="1" applyFill="1" applyAlignment="1">
      <alignment horizontal="right" vertical="center"/>
    </xf>
    <xf numFmtId="182" fontId="30" fillId="0" borderId="0" xfId="1" applyNumberFormat="1" applyFont="1" applyAlignment="1">
      <alignment horizontal="right" vertical="center"/>
    </xf>
    <xf numFmtId="182" fontId="16" fillId="0" borderId="0" xfId="1" applyNumberFormat="1" applyFont="1" applyAlignment="1">
      <alignment horizontal="right" vertical="center"/>
    </xf>
    <xf numFmtId="182" fontId="14" fillId="18" borderId="0" xfId="1" applyNumberFormat="1" applyFont="1" applyFill="1" applyAlignment="1">
      <alignment horizontal="right" vertical="center"/>
    </xf>
    <xf numFmtId="182" fontId="40" fillId="0" borderId="0" xfId="1" applyNumberFormat="1" applyFont="1" applyAlignment="1">
      <alignment horizontal="right" vertical="center"/>
    </xf>
    <xf numFmtId="0" fontId="45" fillId="19" borderId="2" xfId="2" applyFont="1" applyFill="1" applyBorder="1" applyAlignment="1">
      <alignment vertical="center"/>
    </xf>
    <xf numFmtId="0" fontId="45" fillId="19" borderId="2" xfId="2" applyFont="1" applyFill="1" applyBorder="1" applyAlignment="1">
      <alignment horizontal="right" vertical="center"/>
    </xf>
    <xf numFmtId="0" fontId="45" fillId="19" borderId="2" xfId="2" applyFont="1" applyFill="1" applyBorder="1" applyAlignment="1">
      <alignment horizontal="center" vertical="center"/>
    </xf>
    <xf numFmtId="178" fontId="48" fillId="19" borderId="2" xfId="2" applyNumberFormat="1" applyFont="1" applyFill="1" applyBorder="1" applyAlignment="1">
      <alignment horizontal="right" vertical="center"/>
    </xf>
    <xf numFmtId="0" fontId="49" fillId="19" borderId="2" xfId="2" applyFont="1" applyFill="1" applyBorder="1" applyAlignment="1">
      <alignment horizontal="right" vertical="center"/>
    </xf>
    <xf numFmtId="0" fontId="50" fillId="20" borderId="2" xfId="2" applyFont="1" applyFill="1" applyBorder="1" applyAlignment="1">
      <alignment vertical="center"/>
    </xf>
    <xf numFmtId="0" fontId="50" fillId="20" borderId="2" xfId="2" applyFont="1" applyFill="1" applyBorder="1" applyAlignment="1">
      <alignment horizontal="center" vertical="center"/>
    </xf>
    <xf numFmtId="0" fontId="50" fillId="20" borderId="2" xfId="2" applyFont="1" applyFill="1" applyBorder="1" applyAlignment="1">
      <alignment horizontal="right" vertical="center"/>
    </xf>
    <xf numFmtId="0" fontId="50" fillId="22" borderId="2" xfId="2" applyFont="1" applyFill="1" applyBorder="1" applyAlignment="1">
      <alignment horizontal="center" vertical="center" wrapText="1"/>
    </xf>
    <xf numFmtId="0" fontId="50" fillId="23" borderId="2" xfId="2" applyFont="1" applyFill="1" applyBorder="1" applyAlignment="1">
      <alignment horizontal="center" vertical="center" wrapText="1"/>
    </xf>
    <xf numFmtId="0" fontId="49" fillId="19" borderId="2" xfId="2" applyFont="1" applyFill="1" applyBorder="1" applyAlignment="1">
      <alignment vertical="center"/>
    </xf>
    <xf numFmtId="0" fontId="49" fillId="19" borderId="2" xfId="2" applyFont="1" applyFill="1" applyBorder="1" applyAlignment="1">
      <alignment horizontal="center" vertical="center"/>
    </xf>
    <xf numFmtId="0" fontId="47" fillId="19" borderId="3" xfId="2" applyFont="1" applyFill="1" applyBorder="1" applyAlignment="1">
      <alignment vertical="center"/>
    </xf>
    <xf numFmtId="0" fontId="47" fillId="19" borderId="3" xfId="2" applyFont="1" applyFill="1" applyBorder="1" applyAlignment="1">
      <alignment horizontal="center" vertical="center"/>
    </xf>
    <xf numFmtId="0" fontId="47" fillId="19" borderId="3" xfId="2" applyFont="1" applyFill="1" applyBorder="1" applyAlignment="1">
      <alignment horizontal="right" vertical="center"/>
    </xf>
    <xf numFmtId="0" fontId="51" fillId="19" borderId="2" xfId="2" applyFont="1" applyFill="1" applyBorder="1" applyAlignment="1">
      <alignment vertical="center"/>
    </xf>
    <xf numFmtId="178" fontId="51" fillId="19" borderId="2" xfId="2" applyNumberFormat="1" applyFont="1" applyFill="1" applyBorder="1" applyAlignment="1">
      <alignment horizontal="right" vertical="center"/>
    </xf>
    <xf numFmtId="177" fontId="45" fillId="19" borderId="2" xfId="2" applyNumberFormat="1" applyFont="1" applyFill="1" applyBorder="1" applyAlignment="1">
      <alignment horizontal="right" vertical="center"/>
    </xf>
    <xf numFmtId="0" fontId="47" fillId="24" borderId="4" xfId="2" applyFont="1" applyFill="1" applyBorder="1" applyAlignment="1">
      <alignment vertical="center"/>
    </xf>
    <xf numFmtId="0" fontId="47" fillId="24" borderId="4" xfId="2" applyFont="1" applyFill="1" applyBorder="1" applyAlignment="1">
      <alignment horizontal="center" vertical="center"/>
    </xf>
    <xf numFmtId="177" fontId="47" fillId="24" borderId="4" xfId="2" applyNumberFormat="1" applyFont="1" applyFill="1" applyBorder="1" applyAlignment="1">
      <alignment horizontal="right" vertical="center"/>
    </xf>
    <xf numFmtId="178" fontId="45" fillId="19" borderId="2" xfId="2" applyNumberFormat="1" applyFont="1" applyFill="1" applyBorder="1" applyAlignment="1">
      <alignment horizontal="right" vertical="center"/>
    </xf>
    <xf numFmtId="0" fontId="49" fillId="19" borderId="2" xfId="2" applyFont="1" applyFill="1" applyBorder="1" applyAlignment="1">
      <alignment horizontal="left" vertical="center" wrapText="1"/>
    </xf>
    <xf numFmtId="178" fontId="52" fillId="19" borderId="2" xfId="2" applyNumberFormat="1" applyFont="1" applyFill="1" applyBorder="1" applyAlignment="1">
      <alignment horizontal="right" vertical="center"/>
    </xf>
    <xf numFmtId="177" fontId="53" fillId="24" borderId="4" xfId="2" applyNumberFormat="1" applyFont="1" applyFill="1" applyBorder="1" applyAlignment="1">
      <alignment horizontal="right" vertical="center"/>
    </xf>
    <xf numFmtId="177" fontId="54" fillId="19" borderId="2" xfId="2" applyNumberFormat="1" applyFont="1" applyFill="1" applyBorder="1" applyAlignment="1">
      <alignment horizontal="right" vertical="center"/>
    </xf>
    <xf numFmtId="177" fontId="48" fillId="19" borderId="2" xfId="2" applyNumberFormat="1" applyFont="1" applyFill="1" applyBorder="1" applyAlignment="1">
      <alignment horizontal="right" vertical="center"/>
    </xf>
    <xf numFmtId="177" fontId="55" fillId="24" borderId="4" xfId="2" applyNumberFormat="1" applyFont="1" applyFill="1" applyBorder="1" applyAlignment="1">
      <alignment horizontal="right" vertical="center"/>
    </xf>
    <xf numFmtId="178" fontId="56" fillId="19" borderId="2" xfId="2" applyNumberFormat="1" applyFont="1" applyFill="1" applyBorder="1" applyAlignment="1">
      <alignment horizontal="right" vertical="center"/>
    </xf>
    <xf numFmtId="183" fontId="45" fillId="19" borderId="2" xfId="2" applyNumberFormat="1" applyFont="1" applyFill="1" applyBorder="1" applyAlignment="1">
      <alignment horizontal="right" vertical="center"/>
    </xf>
    <xf numFmtId="0" fontId="57" fillId="25" borderId="5" xfId="3" applyFont="1" applyFill="1" applyBorder="1">
      <alignment vertical="center"/>
    </xf>
    <xf numFmtId="0" fontId="57" fillId="25" borderId="5" xfId="3" applyFont="1" applyFill="1" applyBorder="1" applyAlignment="1">
      <alignment horizontal="right" vertical="center"/>
    </xf>
    <xf numFmtId="0" fontId="60" fillId="27" borderId="5" xfId="3" applyFont="1" applyFill="1" applyBorder="1" applyAlignment="1">
      <alignment horizontal="center" vertical="center" wrapText="1"/>
    </xf>
    <xf numFmtId="0" fontId="60" fillId="26" borderId="5" xfId="3" applyFont="1" applyFill="1" applyBorder="1">
      <alignment vertical="center"/>
    </xf>
    <xf numFmtId="0" fontId="60" fillId="26" borderId="5" xfId="3" applyFont="1" applyFill="1" applyBorder="1" applyAlignment="1">
      <alignment horizontal="right" vertical="center"/>
    </xf>
    <xf numFmtId="178" fontId="61" fillId="25" borderId="5" xfId="3" applyNumberFormat="1" applyFont="1" applyFill="1" applyBorder="1" applyAlignment="1">
      <alignment horizontal="right" vertical="center"/>
    </xf>
    <xf numFmtId="180" fontId="61" fillId="25" borderId="5" xfId="3" applyNumberFormat="1" applyFont="1" applyFill="1" applyBorder="1" applyAlignment="1">
      <alignment horizontal="right" vertical="center"/>
    </xf>
    <xf numFmtId="179" fontId="57" fillId="25" borderId="5" xfId="3" applyNumberFormat="1" applyFont="1" applyFill="1" applyBorder="1" applyAlignment="1">
      <alignment horizontal="right" vertical="center"/>
    </xf>
    <xf numFmtId="178" fontId="57" fillId="25" borderId="5" xfId="3" applyNumberFormat="1" applyFont="1" applyFill="1" applyBorder="1" applyAlignment="1">
      <alignment horizontal="right" vertical="center"/>
    </xf>
    <xf numFmtId="184" fontId="61" fillId="25" borderId="5" xfId="3" applyNumberFormat="1" applyFont="1" applyFill="1" applyBorder="1" applyAlignment="1">
      <alignment horizontal="right" vertical="center"/>
    </xf>
    <xf numFmtId="176" fontId="57" fillId="25" borderId="5" xfId="3" applyNumberFormat="1" applyFont="1" applyFill="1" applyBorder="1" applyAlignment="1">
      <alignment horizontal="right" vertical="center"/>
    </xf>
    <xf numFmtId="0" fontId="62" fillId="28" borderId="6" xfId="3" applyFont="1" applyFill="1" applyBorder="1">
      <alignment vertical="center"/>
    </xf>
    <xf numFmtId="0" fontId="62" fillId="28" borderId="6" xfId="3" applyFont="1" applyFill="1" applyBorder="1" applyAlignment="1">
      <alignment horizontal="right" vertical="center"/>
    </xf>
    <xf numFmtId="179" fontId="62" fillId="28" borderId="6" xfId="3" applyNumberFormat="1" applyFont="1" applyFill="1" applyBorder="1" applyAlignment="1">
      <alignment horizontal="right" vertical="center"/>
    </xf>
    <xf numFmtId="0" fontId="63" fillId="25" borderId="5" xfId="3" applyFont="1" applyFill="1" applyBorder="1">
      <alignment vertical="center"/>
    </xf>
    <xf numFmtId="0" fontId="63" fillId="25" borderId="5" xfId="3" applyFont="1" applyFill="1" applyBorder="1" applyAlignment="1">
      <alignment horizontal="right" vertical="center"/>
    </xf>
    <xf numFmtId="178" fontId="63" fillId="25" borderId="5" xfId="3" applyNumberFormat="1" applyFont="1" applyFill="1" applyBorder="1" applyAlignment="1">
      <alignment horizontal="right" vertical="center"/>
    </xf>
    <xf numFmtId="179" fontId="64" fillId="25" borderId="5" xfId="3" applyNumberFormat="1" applyFont="1" applyFill="1" applyBorder="1" applyAlignment="1">
      <alignment horizontal="right" vertical="center"/>
    </xf>
    <xf numFmtId="181" fontId="61" fillId="25" borderId="5" xfId="3" applyNumberFormat="1" applyFont="1" applyFill="1" applyBorder="1" applyAlignment="1">
      <alignment horizontal="right" vertical="center"/>
    </xf>
    <xf numFmtId="176" fontId="66" fillId="25" borderId="5" xfId="3" applyNumberFormat="1" applyFont="1" applyFill="1" applyBorder="1" applyAlignment="1">
      <alignment horizontal="right" vertical="center"/>
    </xf>
    <xf numFmtId="177" fontId="67" fillId="25" borderId="5" xfId="3" applyNumberFormat="1" applyFont="1" applyFill="1" applyBorder="1" applyAlignment="1">
      <alignment horizontal="right" vertical="center"/>
    </xf>
    <xf numFmtId="177" fontId="61" fillId="25" borderId="5" xfId="3" applyNumberFormat="1" applyFont="1" applyFill="1" applyBorder="1" applyAlignment="1">
      <alignment horizontal="right" vertical="center"/>
    </xf>
    <xf numFmtId="181" fontId="57" fillId="25" borderId="5" xfId="3" applyNumberFormat="1" applyFont="1" applyFill="1" applyBorder="1" applyAlignment="1">
      <alignment horizontal="right" vertical="center"/>
    </xf>
    <xf numFmtId="177" fontId="57" fillId="25" borderId="5" xfId="3" applyNumberFormat="1" applyFont="1" applyFill="1" applyBorder="1" applyAlignment="1">
      <alignment horizontal="right" vertical="center"/>
    </xf>
    <xf numFmtId="184" fontId="57" fillId="25" borderId="5" xfId="3" applyNumberFormat="1" applyFont="1" applyFill="1" applyBorder="1" applyAlignment="1">
      <alignment horizontal="right" vertical="center"/>
    </xf>
    <xf numFmtId="0" fontId="57" fillId="25" borderId="5" xfId="3" applyFont="1" applyFill="1" applyBorder="1" applyAlignment="1">
      <alignment horizontal="left" vertical="center"/>
    </xf>
    <xf numFmtId="0" fontId="60" fillId="26" borderId="5" xfId="3" applyFont="1" applyFill="1" applyBorder="1" applyAlignment="1">
      <alignment horizontal="left" vertical="center"/>
    </xf>
    <xf numFmtId="0" fontId="68" fillId="29" borderId="7" xfId="4" applyFont="1" applyAlignment="1">
      <alignment horizontal="left" vertical="center" wrapText="1"/>
    </xf>
    <xf numFmtId="0" fontId="70" fillId="30" borderId="7" xfId="4" applyFont="1" applyFill="1" applyAlignment="1">
      <alignment horizontal="left" vertical="center" wrapText="1"/>
    </xf>
    <xf numFmtId="0" fontId="58" fillId="26" borderId="5" xfId="3" applyFont="1" applyFill="1" applyBorder="1" applyAlignment="1">
      <alignment vertical="center"/>
    </xf>
    <xf numFmtId="0" fontId="58" fillId="26" borderId="5" xfId="3" applyFont="1" applyFill="1" applyBorder="1" applyAlignment="1">
      <alignment horizontal="right" vertical="center"/>
    </xf>
    <xf numFmtId="0" fontId="58" fillId="26" borderId="5" xfId="3" applyFont="1" applyFill="1" applyBorder="1" applyAlignment="1">
      <alignment horizontal="left" vertical="center"/>
    </xf>
    <xf numFmtId="0" fontId="69" fillId="29" borderId="7" xfId="4" applyFont="1" applyFill="1" applyBorder="1" applyAlignment="1">
      <alignment wrapText="1"/>
    </xf>
    <xf numFmtId="0" fontId="68" fillId="29" borderId="7" xfId="4" applyFont="1" applyFill="1" applyBorder="1" applyAlignment="1">
      <alignment horizontal="left" vertical="center" wrapText="1"/>
    </xf>
    <xf numFmtId="0" fontId="2" fillId="2" borderId="0" xfId="1" applyFont="1" applyFill="1" applyAlignment="1">
      <alignment vertical="center" wrapText="1"/>
    </xf>
    <xf numFmtId="0" fontId="19" fillId="0" borderId="0" xfId="1" applyFont="1" applyAlignment="1">
      <alignment vertical="center"/>
    </xf>
    <xf numFmtId="0" fontId="34" fillId="0" borderId="0" xfId="1" applyFont="1" applyAlignment="1">
      <alignment vertical="center"/>
    </xf>
    <xf numFmtId="0" fontId="3" fillId="0" borderId="0" xfId="1" applyFont="1" applyAlignment="1">
      <alignment vertical="center"/>
    </xf>
    <xf numFmtId="0" fontId="5" fillId="3" borderId="0" xfId="1" applyFont="1" applyFill="1" applyAlignment="1">
      <alignment vertical="center"/>
    </xf>
    <xf numFmtId="0" fontId="32" fillId="0" borderId="0" xfId="1" applyFont="1" applyAlignment="1">
      <alignment vertical="center"/>
    </xf>
    <xf numFmtId="0" fontId="1" fillId="0" borderId="0" xfId="1" applyFont="1" applyAlignment="1">
      <alignment vertical="center"/>
    </xf>
    <xf numFmtId="0" fontId="34" fillId="0" borderId="0" xfId="1" applyFont="1" applyAlignment="1">
      <alignment vertical="center" wrapText="1"/>
    </xf>
    <xf numFmtId="0" fontId="3" fillId="0" borderId="0" xfId="1" applyFont="1" applyAlignment="1">
      <alignment vertical="center" wrapText="1"/>
    </xf>
    <xf numFmtId="0" fontId="33" fillId="14" borderId="0" xfId="1" applyFont="1" applyFill="1" applyAlignment="1">
      <alignment vertical="center"/>
    </xf>
    <xf numFmtId="0" fontId="41" fillId="14" borderId="0" xfId="1" applyFont="1" applyFill="1" applyAlignment="1">
      <alignment vertical="center"/>
    </xf>
    <xf numFmtId="0" fontId="39" fillId="16" borderId="0" xfId="1" applyFont="1" applyFill="1" applyAlignment="1">
      <alignment vertical="center"/>
    </xf>
    <xf numFmtId="0" fontId="21" fillId="9" borderId="0" xfId="1" applyFont="1" applyFill="1" applyAlignment="1">
      <alignment vertical="center" wrapText="1"/>
    </xf>
    <xf numFmtId="0" fontId="22" fillId="0" borderId="0" xfId="1" applyFont="1" applyAlignment="1">
      <alignment vertical="center"/>
    </xf>
    <xf numFmtId="0" fontId="23" fillId="0" borderId="0" xfId="1" applyFont="1" applyAlignment="1">
      <alignment horizontal="left" vertical="center"/>
    </xf>
    <xf numFmtId="0" fontId="1" fillId="0" borderId="0" xfId="1" applyFont="1" applyAlignment="1">
      <alignment horizontal="right" vertical="center"/>
    </xf>
    <xf numFmtId="0" fontId="22" fillId="0" borderId="0" xfId="1" applyFont="1" applyAlignment="1">
      <alignment vertical="center" wrapText="1"/>
    </xf>
    <xf numFmtId="0" fontId="1" fillId="0" borderId="0" xfId="1" applyFont="1" applyAlignment="1">
      <alignment vertical="center" wrapText="1"/>
    </xf>
    <xf numFmtId="0" fontId="3" fillId="0" borderId="0" xfId="1" applyFont="1" applyAlignment="1">
      <alignment horizontal="right" vertical="center" wrapText="1"/>
    </xf>
    <xf numFmtId="0" fontId="5" fillId="2" borderId="0" xfId="1" applyFont="1" applyFill="1" applyAlignment="1">
      <alignment vertical="center" wrapText="1"/>
    </xf>
    <xf numFmtId="0" fontId="5" fillId="2" borderId="0" xfId="1" applyFont="1" applyFill="1" applyAlignment="1">
      <alignment horizontal="right" vertical="center" wrapText="1"/>
    </xf>
    <xf numFmtId="0" fontId="8" fillId="0" borderId="0" xfId="1" applyFont="1" applyAlignment="1">
      <alignment horizontal="left" vertical="center"/>
    </xf>
    <xf numFmtId="0" fontId="9" fillId="6" borderId="0" xfId="1" applyFont="1" applyFill="1" applyAlignment="1">
      <alignment vertical="center" wrapText="1"/>
    </xf>
    <xf numFmtId="0" fontId="9" fillId="6" borderId="0" xfId="1" applyFont="1" applyFill="1" applyAlignment="1">
      <alignment vertical="center"/>
    </xf>
    <xf numFmtId="0" fontId="9" fillId="6" borderId="0" xfId="1" applyFont="1" applyFill="1" applyAlignment="1">
      <alignment horizontal="right" vertical="center"/>
    </xf>
    <xf numFmtId="0" fontId="49" fillId="19" borderId="2" xfId="2" applyFont="1" applyFill="1" applyBorder="1" applyAlignment="1">
      <alignment horizontal="left" vertical="center" wrapText="1"/>
    </xf>
    <xf numFmtId="0" fontId="46" fillId="20" borderId="2" xfId="2" applyFont="1" applyFill="1" applyBorder="1" applyAlignment="1">
      <alignment vertical="center"/>
    </xf>
    <xf numFmtId="0" fontId="46" fillId="20" borderId="2" xfId="2" applyFont="1" applyFill="1" applyBorder="1" applyAlignment="1">
      <alignment horizontal="center" vertical="center"/>
    </xf>
    <xf numFmtId="0" fontId="46" fillId="20" borderId="2" xfId="2" applyFont="1" applyFill="1" applyBorder="1" applyAlignment="1">
      <alignment horizontal="right" vertical="center"/>
    </xf>
    <xf numFmtId="0" fontId="45" fillId="19" borderId="2" xfId="2" applyFont="1" applyFill="1" applyBorder="1" applyAlignment="1">
      <alignment vertical="center"/>
    </xf>
    <xf numFmtId="0" fontId="45" fillId="19" borderId="2" xfId="2" applyFont="1" applyFill="1" applyBorder="1" applyAlignment="1">
      <alignment horizontal="center" vertical="center"/>
    </xf>
    <xf numFmtId="0" fontId="45" fillId="19" borderId="2" xfId="2" applyFont="1" applyFill="1" applyBorder="1" applyAlignment="1">
      <alignment horizontal="right" vertical="center"/>
    </xf>
    <xf numFmtId="0" fontId="47" fillId="21" borderId="2" xfId="2" applyFont="1" applyFill="1" applyBorder="1" applyAlignment="1">
      <alignment vertical="center"/>
    </xf>
    <xf numFmtId="0" fontId="49" fillId="19" borderId="2" xfId="2" applyFont="1" applyFill="1" applyBorder="1" applyAlignment="1">
      <alignment horizontal="left" vertical="center"/>
    </xf>
  </cellXfs>
  <cellStyles count="2">
    <cellStyle name="Normal" xfId="1" xr:uid="{00000000-0005-0000-0000-000000000000}"/>
    <cellStyle name="常规" xfId="0" builtinId="0"/>
  </cellStyles>
  <dxfs count="8">
    <dxf>
      <font>
        <b/>
        <color rgb="FFA61B1B"/>
      </font>
      <fill>
        <patternFill patternType="solid">
          <bgColor rgb="FFFFF3D6"/>
        </patternFill>
      </fill>
    </dxf>
    <dxf>
      <font>
        <b/>
        <color rgb="FFA61B1B"/>
      </font>
      <fill>
        <patternFill patternType="solid">
          <bgColor rgb="FFFCE8E6"/>
        </patternFill>
      </fill>
    </dxf>
    <dxf>
      <font>
        <b/>
        <color rgb="FFA61B1B"/>
      </font>
      <fill>
        <patternFill>
          <bgColor rgb="FFFCE8E6"/>
        </patternFill>
      </fill>
    </dxf>
    <dxf>
      <font>
        <b/>
        <color rgb="FFA61B1B"/>
      </font>
      <fill>
        <patternFill>
          <bgColor rgb="FFFCE8E6"/>
        </patternFill>
      </fill>
    </dxf>
    <dxf>
      <font>
        <b/>
        <color rgb="FFA61B1B"/>
      </font>
      <fill>
        <patternFill>
          <bgColor rgb="FFFCE8E6"/>
        </patternFill>
      </fill>
    </dxf>
    <dxf>
      <font>
        <b/>
        <color rgb="FFA61B1B"/>
      </font>
      <fill>
        <patternFill>
          <bgColor rgb="FFFCE8E6"/>
        </patternFill>
      </fill>
    </dxf>
    <dxf>
      <font>
        <b/>
        <color rgb="FFA61B1B"/>
      </font>
      <fill>
        <patternFill>
          <bgColor rgb="FFFCE8E6"/>
        </patternFill>
      </fill>
    </dxf>
    <dxf>
      <font>
        <b/>
        <color rgb="FFA61B1B"/>
      </font>
      <fill>
        <patternFill>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4748B"/>
  </sheetPr>
  <dimension ref="A1:H25"/>
  <sheetViews>
    <sheetView showGridLines="0" workbookViewId="0">
      <selection sqref="A1:H1"/>
    </sheetView>
  </sheetViews>
  <sheetFormatPr baseColWidth="10" defaultColWidth="8.83203125" defaultRowHeight="14"/>
  <cols>
    <col min="1" max="1" width="5" customWidth="1"/>
    <col min="2" max="2" width="31" customWidth="1"/>
    <col min="3" max="8" width="14" customWidth="1"/>
  </cols>
  <sheetData>
    <row r="1" spans="1:8" ht="28" customHeight="1">
      <c r="A1" s="155" t="s">
        <v>0</v>
      </c>
      <c r="B1" s="155"/>
      <c r="C1" s="155"/>
      <c r="D1" s="155"/>
      <c r="E1" s="155"/>
      <c r="F1" s="155"/>
      <c r="G1" s="155"/>
      <c r="H1" s="155"/>
    </row>
    <row r="2" spans="1:8" ht="22" customHeight="1">
      <c r="A2" s="1"/>
      <c r="B2" s="1"/>
      <c r="C2" s="1"/>
      <c r="D2" s="1"/>
      <c r="E2" s="1"/>
      <c r="F2" s="1"/>
      <c r="G2" s="1"/>
      <c r="H2" s="1"/>
    </row>
    <row r="3" spans="1:8" ht="22" customHeight="1">
      <c r="A3" s="1"/>
      <c r="B3" s="156" t="s">
        <v>1</v>
      </c>
      <c r="C3" s="156"/>
      <c r="D3" s="156"/>
      <c r="E3" s="156"/>
      <c r="F3" s="156"/>
      <c r="G3" s="156"/>
      <c r="H3" s="156"/>
    </row>
    <row r="4" spans="1:8" ht="22" customHeight="1">
      <c r="A4" s="1"/>
      <c r="B4" s="157" t="s">
        <v>2</v>
      </c>
      <c r="C4" s="158"/>
      <c r="D4" s="158"/>
      <c r="E4" s="158"/>
      <c r="F4" s="158"/>
      <c r="G4" s="158"/>
      <c r="H4" s="158"/>
    </row>
    <row r="5" spans="1:8" ht="22" customHeight="1">
      <c r="A5" s="1"/>
      <c r="B5" s="1"/>
      <c r="C5" s="1"/>
      <c r="D5" s="1"/>
      <c r="E5" s="1"/>
      <c r="F5" s="1"/>
      <c r="G5" s="1"/>
      <c r="H5" s="1"/>
    </row>
    <row r="6" spans="1:8" ht="24" customHeight="1">
      <c r="A6" s="1"/>
      <c r="B6" s="6" t="s">
        <v>3</v>
      </c>
      <c r="C6" s="159" t="s">
        <v>4</v>
      </c>
      <c r="D6" s="159"/>
      <c r="E6" s="159"/>
      <c r="F6" s="159"/>
      <c r="G6" s="159"/>
      <c r="H6" s="159"/>
    </row>
    <row r="7" spans="1:8" ht="22" customHeight="1">
      <c r="A7" s="1"/>
      <c r="B7" s="44" t="s">
        <v>5</v>
      </c>
      <c r="C7" s="160" t="s">
        <v>6</v>
      </c>
      <c r="D7" s="161"/>
      <c r="E7" s="161"/>
      <c r="F7" s="161"/>
      <c r="G7" s="161"/>
      <c r="H7" s="161"/>
    </row>
    <row r="8" spans="1:8" ht="22" customHeight="1">
      <c r="A8" s="1"/>
      <c r="B8" s="44" t="s">
        <v>7</v>
      </c>
      <c r="C8" s="161" t="s">
        <v>8</v>
      </c>
      <c r="D8" s="161"/>
      <c r="E8" s="161"/>
      <c r="F8" s="161"/>
      <c r="G8" s="161"/>
      <c r="H8" s="161"/>
    </row>
    <row r="9" spans="1:8" ht="22" customHeight="1">
      <c r="A9" s="1"/>
      <c r="B9" s="44" t="s">
        <v>9</v>
      </c>
      <c r="C9" s="161" t="s">
        <v>10</v>
      </c>
      <c r="D9" s="161"/>
      <c r="E9" s="161"/>
      <c r="F9" s="161"/>
      <c r="G9" s="161"/>
      <c r="H9" s="161"/>
    </row>
    <row r="10" spans="1:8" ht="22" customHeight="1">
      <c r="A10" s="1"/>
      <c r="B10" s="44" t="s">
        <v>11</v>
      </c>
      <c r="C10" s="161" t="s">
        <v>12</v>
      </c>
      <c r="D10" s="161"/>
      <c r="E10" s="161"/>
      <c r="F10" s="161"/>
      <c r="G10" s="161"/>
      <c r="H10" s="161"/>
    </row>
    <row r="11" spans="1:8" ht="22" customHeight="1">
      <c r="A11" s="1"/>
      <c r="B11" s="44" t="s">
        <v>13</v>
      </c>
      <c r="C11" s="161" t="s">
        <v>14</v>
      </c>
      <c r="D11" s="161"/>
      <c r="E11" s="161"/>
      <c r="F11" s="161"/>
      <c r="G11" s="161"/>
      <c r="H11" s="161"/>
    </row>
    <row r="12" spans="1:8" ht="22" customHeight="1">
      <c r="A12" s="1"/>
      <c r="B12" s="44" t="s">
        <v>15</v>
      </c>
      <c r="C12" s="161" t="s">
        <v>16</v>
      </c>
      <c r="D12" s="161"/>
      <c r="E12" s="161"/>
      <c r="F12" s="161"/>
      <c r="G12" s="161"/>
      <c r="H12" s="161"/>
    </row>
    <row r="13" spans="1:8" ht="22" customHeight="1">
      <c r="A13" s="1"/>
      <c r="B13" s="44" t="s">
        <v>17</v>
      </c>
      <c r="C13" s="161" t="s">
        <v>18</v>
      </c>
      <c r="D13" s="161"/>
      <c r="E13" s="161"/>
      <c r="F13" s="161"/>
      <c r="G13" s="161"/>
      <c r="H13" s="161"/>
    </row>
    <row r="14" spans="1:8" ht="22" customHeight="1">
      <c r="A14" s="1"/>
      <c r="B14" s="44" t="s">
        <v>19</v>
      </c>
      <c r="C14" s="161" t="s">
        <v>20</v>
      </c>
      <c r="D14" s="161"/>
      <c r="E14" s="161"/>
      <c r="F14" s="161"/>
      <c r="G14" s="161"/>
      <c r="H14" s="161"/>
    </row>
    <row r="15" spans="1:8" ht="22" customHeight="1">
      <c r="A15" s="1"/>
      <c r="B15" s="44" t="s">
        <v>21</v>
      </c>
      <c r="C15" s="161" t="s">
        <v>22</v>
      </c>
      <c r="D15" s="161"/>
      <c r="E15" s="161"/>
      <c r="F15" s="161"/>
      <c r="G15" s="161"/>
      <c r="H15" s="161"/>
    </row>
    <row r="16" spans="1:8" ht="22" customHeight="1">
      <c r="A16" s="1"/>
      <c r="B16" s="44" t="s">
        <v>23</v>
      </c>
      <c r="C16" s="161" t="s">
        <v>24</v>
      </c>
      <c r="D16" s="161"/>
      <c r="E16" s="161"/>
      <c r="F16" s="161"/>
      <c r="G16" s="161"/>
      <c r="H16" s="161"/>
    </row>
    <row r="17" spans="1:8" ht="22" customHeight="1">
      <c r="A17" s="1"/>
      <c r="B17" s="44" t="s">
        <v>25</v>
      </c>
      <c r="C17" s="161" t="s">
        <v>26</v>
      </c>
      <c r="D17" s="161"/>
      <c r="E17" s="161"/>
      <c r="F17" s="161"/>
      <c r="G17" s="161"/>
      <c r="H17" s="161"/>
    </row>
    <row r="18" spans="1:8" ht="22" customHeight="1">
      <c r="A18" s="1"/>
      <c r="B18" s="44" t="s">
        <v>27</v>
      </c>
      <c r="C18" s="161" t="s">
        <v>28</v>
      </c>
      <c r="D18" s="161"/>
      <c r="E18" s="161"/>
      <c r="F18" s="161"/>
      <c r="G18" s="161"/>
      <c r="H18" s="161"/>
    </row>
    <row r="19" spans="1:8" ht="22" customHeight="1">
      <c r="A19" s="1"/>
      <c r="B19" s="44" t="s">
        <v>29</v>
      </c>
      <c r="C19" s="161" t="s">
        <v>30</v>
      </c>
      <c r="D19" s="161"/>
      <c r="E19" s="161"/>
      <c r="F19" s="161"/>
      <c r="G19" s="161"/>
      <c r="H19" s="161"/>
    </row>
    <row r="20" spans="1:8" ht="22" customHeight="1">
      <c r="A20" s="1"/>
      <c r="B20" s="1"/>
      <c r="C20" s="1"/>
      <c r="D20" s="1"/>
      <c r="E20" s="1"/>
      <c r="F20" s="1"/>
      <c r="G20" s="1"/>
      <c r="H20" s="1"/>
    </row>
    <row r="21" spans="1:8" ht="22" customHeight="1">
      <c r="A21" s="1"/>
      <c r="B21" s="1"/>
      <c r="C21" s="1"/>
      <c r="D21" s="1"/>
      <c r="E21" s="1"/>
      <c r="F21" s="1"/>
      <c r="G21" s="1"/>
      <c r="H21" s="1"/>
    </row>
    <row r="22" spans="1:8" ht="22" customHeight="1">
      <c r="A22" s="1"/>
      <c r="B22" s="162" t="s">
        <v>31</v>
      </c>
      <c r="C22" s="163"/>
      <c r="D22" s="163"/>
      <c r="E22" s="163"/>
      <c r="F22" s="163"/>
      <c r="G22" s="163"/>
      <c r="H22" s="163"/>
    </row>
    <row r="23" spans="1:8" ht="22" customHeight="1">
      <c r="A23" s="1"/>
      <c r="B23" s="163"/>
      <c r="C23" s="163"/>
      <c r="D23" s="163"/>
      <c r="E23" s="163"/>
      <c r="F23" s="163"/>
      <c r="G23" s="163"/>
      <c r="H23" s="163"/>
    </row>
    <row r="24" spans="1:8" ht="22" customHeight="1">
      <c r="A24" s="1"/>
      <c r="B24" s="163"/>
      <c r="C24" s="163"/>
      <c r="D24" s="163"/>
      <c r="E24" s="163"/>
      <c r="F24" s="163"/>
      <c r="G24" s="163"/>
      <c r="H24" s="163"/>
    </row>
    <row r="25" spans="1:8" ht="22" customHeight="1">
      <c r="A25" s="1"/>
      <c r="B25" s="1"/>
      <c r="C25" s="1"/>
      <c r="D25" s="1"/>
      <c r="E25" s="1"/>
      <c r="F25" s="1"/>
      <c r="G25" s="1"/>
      <c r="H25" s="1"/>
    </row>
  </sheetData>
  <mergeCells count="18">
    <mergeCell ref="C18:H18"/>
    <mergeCell ref="C19:H19"/>
    <mergeCell ref="B22:H24"/>
    <mergeCell ref="C13:H13"/>
    <mergeCell ref="C14:H14"/>
    <mergeCell ref="C15:H15"/>
    <mergeCell ref="C16:H16"/>
    <mergeCell ref="C17:H17"/>
    <mergeCell ref="C8:H8"/>
    <mergeCell ref="C9:H9"/>
    <mergeCell ref="C10:H10"/>
    <mergeCell ref="C11:H11"/>
    <mergeCell ref="C12:H12"/>
    <mergeCell ref="A1:H1"/>
    <mergeCell ref="B3:H3"/>
    <mergeCell ref="B4:H4"/>
    <mergeCell ref="C6:H6"/>
    <mergeCell ref="C7:H7"/>
  </mergeCells>
  <phoneticPr fontId="44" type="noConversion"/>
  <hyperlinks>
    <hyperlink ref="B7" location="'Segments'!A1" display="Segments" xr:uid="{00000000-0004-0000-0000-000000000000}"/>
    <hyperlink ref="B8" location="'Operating Metrics'!A1" display="Operating Metrics" xr:uid="{00000000-0004-0000-0000-000001000000}"/>
    <hyperlink ref="B9" location="'Products &amp; Geography'!A1" display="Products &amp; Geography" xr:uid="{00000000-0004-0000-0000-000002000000}"/>
    <hyperlink ref="B10" location="'Income Statement'!A1" display="Income Statement" xr:uid="{00000000-0004-0000-0000-000003000000}"/>
    <hyperlink ref="B11" location="'Balance Sheet'!A1" display="Balance Sheet" xr:uid="{00000000-0004-0000-0000-000004000000}"/>
    <hyperlink ref="B12" location="'Cash Flow'!A1" display="Cash Flow" xr:uid="{00000000-0004-0000-0000-000005000000}"/>
    <hyperlink ref="B13" location="'Derived Metrics'!A1" display="Derived Metrics" xr:uid="{00000000-0004-0000-0000-000006000000}"/>
    <hyperlink ref="B14" location="'Note Schedules'!A1" display="Note Schedules" xr:uid="{00000000-0004-0000-0000-000007000000}"/>
    <hyperlink ref="B15" location="'Debt &amp; Leases'!A1" display="Debt &amp; Leases" xr:uid="{00000000-0004-0000-0000-000008000000}"/>
    <hyperlink ref="B16" location="'Investments'!A1" display="Investments" xr:uid="{00000000-0004-0000-0000-000009000000}"/>
    <hyperlink ref="B17" location="'Acquisitions &amp; Intangibles'!A1" display="Acquisitions &amp; Intangibles" xr:uid="{00000000-0004-0000-0000-00000A000000}"/>
    <hyperlink ref="B18" location="'Pension &amp; Retiree Medical'!A1" display="Pension &amp; Retiree Medical" xr:uid="{00000000-0004-0000-0000-00000B000000}"/>
    <hyperlink ref="B19" location="'Core Reconciliations'!A1" display="Core Reconciliations"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0746C"/>
  </sheetPr>
  <dimension ref="A1:X211"/>
  <sheetViews>
    <sheetView showGridLines="0" workbookViewId="0">
      <pane xSplit="2" ySplit="5" topLeftCell="C7" activePane="bottomRight" state="frozen"/>
      <selection pane="topRight"/>
      <selection pane="bottomLeft"/>
      <selection pane="bottomRight" activeCell="A6" sqref="A6:X6"/>
    </sheetView>
  </sheetViews>
  <sheetFormatPr baseColWidth="10" defaultColWidth="8.83203125" defaultRowHeight="14"/>
  <cols>
    <col min="1" max="1" width="44" customWidth="1"/>
    <col min="2" max="2" width="2.1640625" customWidth="1"/>
    <col min="3" max="12" width="12.1640625" customWidth="1"/>
    <col min="13" max="13" width="3" customWidth="1"/>
    <col min="14" max="24" width="12.1640625" customWidth="1"/>
    <col min="25" max="25" width="3" customWidth="1"/>
    <col min="26" max="28" width="12.1640625" customWidth="1"/>
  </cols>
  <sheetData>
    <row r="1" spans="1:24" ht="28" customHeight="1">
      <c r="A1" s="164" t="s">
        <v>32</v>
      </c>
      <c r="B1" s="164"/>
      <c r="C1" s="164"/>
      <c r="D1" s="164"/>
      <c r="E1" s="164"/>
      <c r="F1" s="164"/>
      <c r="G1" s="164"/>
      <c r="H1" s="164"/>
      <c r="I1" s="164"/>
      <c r="J1" s="164"/>
      <c r="K1" s="164"/>
      <c r="L1" s="164"/>
      <c r="M1" s="164"/>
      <c r="N1" s="164"/>
      <c r="O1" s="164"/>
      <c r="P1" s="164"/>
      <c r="Q1" s="164"/>
      <c r="R1" s="164"/>
      <c r="S1" s="164"/>
      <c r="T1" s="164"/>
      <c r="U1" s="164"/>
      <c r="V1" s="164"/>
      <c r="W1" s="164"/>
      <c r="X1" s="164"/>
    </row>
    <row r="2" spans="1:24" ht="24" customHeight="1">
      <c r="A2" s="162" t="s">
        <v>33</v>
      </c>
      <c r="B2" s="162"/>
      <c r="C2" s="162"/>
      <c r="D2" s="162"/>
      <c r="E2" s="162"/>
      <c r="F2" s="162"/>
      <c r="G2" s="162"/>
      <c r="H2" s="162"/>
      <c r="I2" s="162"/>
      <c r="J2" s="162"/>
      <c r="K2" s="162"/>
      <c r="L2" s="162"/>
      <c r="M2" s="162"/>
      <c r="N2" s="162"/>
      <c r="O2" s="162"/>
      <c r="P2" s="162"/>
      <c r="Q2" s="162"/>
      <c r="R2" s="162"/>
      <c r="S2" s="162"/>
      <c r="T2" s="162"/>
      <c r="U2" s="162"/>
      <c r="V2" s="162"/>
      <c r="W2" s="162"/>
      <c r="X2" s="162"/>
    </row>
    <row r="3" spans="1:24" ht="24" customHeight="1">
      <c r="A3" s="67" t="s">
        <v>34</v>
      </c>
      <c r="B3" s="65"/>
      <c r="C3" s="69" t="s">
        <v>35</v>
      </c>
      <c r="D3" s="69" t="s">
        <v>36</v>
      </c>
      <c r="E3" s="69" t="s">
        <v>37</v>
      </c>
      <c r="F3" s="69" t="s">
        <v>38</v>
      </c>
      <c r="G3" s="69" t="s">
        <v>39</v>
      </c>
      <c r="H3" s="69" t="s">
        <v>40</v>
      </c>
      <c r="I3" s="69" t="s">
        <v>41</v>
      </c>
      <c r="J3" s="69" t="s">
        <v>42</v>
      </c>
      <c r="K3" s="69" t="s">
        <v>43</v>
      </c>
      <c r="L3" s="69" t="s">
        <v>44</v>
      </c>
      <c r="M3" s="65"/>
      <c r="N3" s="71" t="s">
        <v>45</v>
      </c>
      <c r="O3" s="71" t="s">
        <v>46</v>
      </c>
      <c r="P3" s="71" t="s">
        <v>47</v>
      </c>
      <c r="Q3" s="71" t="s">
        <v>48</v>
      </c>
      <c r="R3" s="71" t="s">
        <v>49</v>
      </c>
      <c r="S3" s="71" t="s">
        <v>50</v>
      </c>
      <c r="T3" s="71" t="s">
        <v>51</v>
      </c>
      <c r="U3" s="71" t="s">
        <v>52</v>
      </c>
      <c r="V3" s="71" t="s">
        <v>53</v>
      </c>
      <c r="W3" s="71" t="s">
        <v>54</v>
      </c>
      <c r="X3" s="71" t="s">
        <v>55</v>
      </c>
    </row>
    <row r="4" spans="1:24" ht="18" customHeight="1">
      <c r="A4" s="68" t="s">
        <v>56</v>
      </c>
      <c r="B4" s="65"/>
      <c r="C4" s="70">
        <v>42735</v>
      </c>
      <c r="D4" s="70">
        <v>43099</v>
      </c>
      <c r="E4" s="70">
        <v>43463</v>
      </c>
      <c r="F4" s="70">
        <v>43827</v>
      </c>
      <c r="G4" s="70">
        <v>44191</v>
      </c>
      <c r="H4" s="70">
        <v>44555</v>
      </c>
      <c r="I4" s="70">
        <v>44926</v>
      </c>
      <c r="J4" s="70">
        <v>45290</v>
      </c>
      <c r="K4" s="70">
        <v>45654</v>
      </c>
      <c r="L4" s="70">
        <v>46018</v>
      </c>
      <c r="M4" s="65"/>
      <c r="N4" s="70">
        <v>45374</v>
      </c>
      <c r="O4" s="70">
        <v>45458</v>
      </c>
      <c r="P4" s="70">
        <v>45542</v>
      </c>
      <c r="Q4" s="70">
        <v>45654</v>
      </c>
      <c r="R4" s="70">
        <v>45738</v>
      </c>
      <c r="S4" s="70">
        <v>45822</v>
      </c>
      <c r="T4" s="70">
        <v>45906</v>
      </c>
      <c r="U4" s="70">
        <v>46018</v>
      </c>
      <c r="V4" s="70">
        <v>46102</v>
      </c>
      <c r="W4" s="70">
        <v>46186</v>
      </c>
      <c r="X4" s="70">
        <v>46270</v>
      </c>
    </row>
    <row r="5" spans="1:24" ht="22" customHeight="1">
      <c r="A5" s="66" t="s">
        <v>57</v>
      </c>
      <c r="B5" s="65"/>
      <c r="C5" s="76" t="s">
        <v>58</v>
      </c>
      <c r="D5" s="76" t="s">
        <v>58</v>
      </c>
      <c r="E5" s="76" t="s">
        <v>58</v>
      </c>
      <c r="F5" s="76" t="s">
        <v>58</v>
      </c>
      <c r="G5" s="76" t="s">
        <v>58</v>
      </c>
      <c r="H5" s="76" t="s">
        <v>58</v>
      </c>
      <c r="I5" s="76" t="s">
        <v>58</v>
      </c>
      <c r="J5" s="76" t="s">
        <v>58</v>
      </c>
      <c r="K5" s="76" t="s">
        <v>58</v>
      </c>
      <c r="L5" s="76" t="s">
        <v>58</v>
      </c>
      <c r="M5" s="65"/>
      <c r="N5" s="76" t="s">
        <v>59</v>
      </c>
      <c r="O5" s="76" t="s">
        <v>59</v>
      </c>
      <c r="P5" s="76" t="s">
        <v>59</v>
      </c>
      <c r="Q5" s="76" t="s">
        <v>59</v>
      </c>
      <c r="R5" s="76" t="s">
        <v>59</v>
      </c>
      <c r="S5" s="76" t="s">
        <v>59</v>
      </c>
      <c r="T5" s="76" t="s">
        <v>59</v>
      </c>
      <c r="U5" s="76" t="s">
        <v>59</v>
      </c>
      <c r="V5" s="76" t="s">
        <v>59</v>
      </c>
      <c r="W5" s="76" t="s">
        <v>59</v>
      </c>
      <c r="X5" s="76" t="s">
        <v>59</v>
      </c>
    </row>
    <row r="6" spans="1:24" ht="24" customHeight="1">
      <c r="A6" s="162" t="s">
        <v>60</v>
      </c>
      <c r="B6" s="162"/>
      <c r="C6" s="162"/>
      <c r="D6" s="162"/>
      <c r="E6" s="162"/>
      <c r="F6" s="162"/>
      <c r="G6" s="162"/>
      <c r="H6" s="162"/>
      <c r="I6" s="162"/>
      <c r="J6" s="162"/>
      <c r="K6" s="162"/>
      <c r="L6" s="162"/>
      <c r="M6" s="162"/>
      <c r="N6" s="162"/>
      <c r="O6" s="162"/>
      <c r="P6" s="162"/>
      <c r="Q6" s="162"/>
      <c r="R6" s="162"/>
      <c r="S6" s="162"/>
      <c r="T6" s="162"/>
      <c r="U6" s="162"/>
      <c r="V6" s="162"/>
      <c r="W6" s="162"/>
      <c r="X6" s="162"/>
    </row>
    <row r="7" spans="1:24" ht="24" customHeight="1">
      <c r="A7" s="165" t="s">
        <v>61</v>
      </c>
      <c r="B7" s="165"/>
      <c r="C7" s="165"/>
      <c r="D7" s="165"/>
      <c r="E7" s="165"/>
      <c r="F7" s="165"/>
      <c r="G7" s="165"/>
      <c r="H7" s="165"/>
      <c r="I7" s="165"/>
      <c r="J7" s="165"/>
      <c r="K7" s="165"/>
      <c r="L7" s="165"/>
      <c r="M7" s="165"/>
      <c r="N7" s="165"/>
      <c r="O7" s="165"/>
      <c r="P7" s="165"/>
      <c r="Q7" s="165"/>
      <c r="R7" s="165"/>
      <c r="S7" s="165"/>
      <c r="T7" s="165"/>
      <c r="U7" s="165"/>
      <c r="V7" s="165"/>
      <c r="W7" s="165"/>
      <c r="X7" s="165"/>
    </row>
    <row r="8" spans="1:24" ht="24" customHeight="1">
      <c r="A8" s="162" t="s">
        <v>62</v>
      </c>
      <c r="B8" s="162"/>
      <c r="C8" s="162"/>
      <c r="D8" s="162"/>
      <c r="E8" s="162"/>
      <c r="F8" s="162"/>
      <c r="G8" s="162"/>
      <c r="H8" s="162"/>
      <c r="I8" s="162"/>
      <c r="J8" s="162"/>
      <c r="K8" s="162"/>
      <c r="L8" s="162"/>
      <c r="M8" s="162"/>
      <c r="N8" s="162"/>
      <c r="O8" s="162"/>
      <c r="P8" s="162"/>
      <c r="Q8" s="162"/>
      <c r="R8" s="162"/>
      <c r="S8" s="162"/>
      <c r="T8" s="162"/>
      <c r="U8" s="162"/>
      <c r="V8" s="162"/>
      <c r="W8" s="162"/>
      <c r="X8" s="162"/>
    </row>
    <row r="9" spans="1:24" ht="22" customHeight="1">
      <c r="A9" s="77" t="s">
        <v>63</v>
      </c>
      <c r="B9" s="75"/>
      <c r="C9" s="85">
        <f>'Operating Metrics'!C19</f>
        <v>62799</v>
      </c>
      <c r="D9" s="85">
        <f>'Operating Metrics'!D19</f>
        <v>63525</v>
      </c>
      <c r="E9" s="85">
        <f>'Operating Metrics'!E19</f>
        <v>64661</v>
      </c>
      <c r="F9" s="85">
        <f>'Operating Metrics'!F19</f>
        <v>67161</v>
      </c>
      <c r="G9" s="85">
        <f>'Operating Metrics'!G19</f>
        <v>70372</v>
      </c>
      <c r="H9" s="85">
        <f>'Operating Metrics'!H19</f>
        <v>79474</v>
      </c>
      <c r="I9" s="85">
        <f>'Operating Metrics'!I19</f>
        <v>86392</v>
      </c>
      <c r="J9" s="85">
        <f>'Operating Metrics'!J19</f>
        <v>91471</v>
      </c>
      <c r="K9" s="85">
        <f>'Operating Metrics'!K19</f>
        <v>91854</v>
      </c>
      <c r="L9" s="85">
        <f>'Operating Metrics'!L19</f>
        <v>93925</v>
      </c>
      <c r="M9" s="73"/>
      <c r="N9" s="85">
        <f>'Operating Metrics'!N19</f>
        <v>18250</v>
      </c>
      <c r="O9" s="85">
        <f>'Operating Metrics'!O19</f>
        <v>22501</v>
      </c>
      <c r="P9" s="85">
        <f>'Operating Metrics'!P19</f>
        <v>23319</v>
      </c>
      <c r="Q9" s="85">
        <f>'Operating Metrics'!Q19</f>
        <v>27784</v>
      </c>
      <c r="R9" s="85">
        <f>'Operating Metrics'!R19</f>
        <v>17919</v>
      </c>
      <c r="S9" s="85">
        <f>'Operating Metrics'!S19</f>
        <v>22726</v>
      </c>
      <c r="T9" s="85">
        <f>'Operating Metrics'!T19</f>
        <v>23937</v>
      </c>
      <c r="U9" s="85">
        <f>'Operating Metrics'!U19</f>
        <v>29343</v>
      </c>
      <c r="V9" s="85">
        <f>'Operating Metrics'!V19</f>
        <v>19443</v>
      </c>
      <c r="W9" s="85">
        <f>'Operating Metrics'!W19</f>
        <v>24181</v>
      </c>
      <c r="X9" s="85">
        <f>'Operating Metrics'!X19</f>
        <v>25274</v>
      </c>
    </row>
    <row r="10" spans="1:24" ht="22" customHeight="1">
      <c r="A10" s="72" t="s">
        <v>64</v>
      </c>
      <c r="B10" s="65"/>
      <c r="C10" s="60">
        <v>63056</v>
      </c>
      <c r="D10" s="57">
        <f>'Operating Metrics'!C19</f>
        <v>62799</v>
      </c>
      <c r="E10" s="57">
        <f>'Operating Metrics'!D19</f>
        <v>63525</v>
      </c>
      <c r="F10" s="57">
        <f>'Operating Metrics'!E19</f>
        <v>64661</v>
      </c>
      <c r="G10" s="57">
        <f>'Operating Metrics'!F19</f>
        <v>67161</v>
      </c>
      <c r="H10" s="57">
        <f>'Operating Metrics'!G19</f>
        <v>70372</v>
      </c>
      <c r="I10" s="57">
        <f>'Operating Metrics'!H19</f>
        <v>79474</v>
      </c>
      <c r="J10" s="57">
        <f>'Operating Metrics'!I19</f>
        <v>86392</v>
      </c>
      <c r="K10" s="57">
        <f>'Operating Metrics'!J19</f>
        <v>91471</v>
      </c>
      <c r="L10" s="57">
        <f>'Operating Metrics'!K19</f>
        <v>91854</v>
      </c>
      <c r="M10" s="73"/>
      <c r="N10" s="60">
        <v>17846</v>
      </c>
      <c r="O10" s="60">
        <v>22322</v>
      </c>
      <c r="P10" s="60">
        <v>23453</v>
      </c>
      <c r="Q10" s="57">
        <f>'Operating Metrics'!J19-SUM(N10:P10)</f>
        <v>27850</v>
      </c>
      <c r="R10" s="57">
        <f>'Operating Metrics'!N19</f>
        <v>18250</v>
      </c>
      <c r="S10" s="57">
        <f>'Operating Metrics'!O19</f>
        <v>22501</v>
      </c>
      <c r="T10" s="57">
        <f>'Operating Metrics'!P19</f>
        <v>23319</v>
      </c>
      <c r="U10" s="57">
        <f>'Operating Metrics'!Q19</f>
        <v>27784</v>
      </c>
      <c r="V10" s="57">
        <f>'Operating Metrics'!R19</f>
        <v>17919</v>
      </c>
      <c r="W10" s="57">
        <f>'Operating Metrics'!S19</f>
        <v>22726</v>
      </c>
      <c r="X10" s="57">
        <f>'Operating Metrics'!T19</f>
        <v>23937</v>
      </c>
    </row>
    <row r="11" spans="1:24" ht="20" customHeight="1">
      <c r="A11" s="79" t="s">
        <v>65</v>
      </c>
      <c r="B11" s="75"/>
      <c r="C11" s="81">
        <f t="shared" ref="C11:L11" si="0">IF(COUNT(C9:C10)=2,C9/C10-1,"")</f>
        <v>-4.0757421974118024E-3</v>
      </c>
      <c r="D11" s="81">
        <f t="shared" si="0"/>
        <v>1.1560693641618602E-2</v>
      </c>
      <c r="E11" s="81">
        <f t="shared" si="0"/>
        <v>1.7882723337268702E-2</v>
      </c>
      <c r="F11" s="81">
        <f t="shared" si="0"/>
        <v>3.8663181825211446E-2</v>
      </c>
      <c r="G11" s="81">
        <f t="shared" si="0"/>
        <v>4.7810485251857493E-2</v>
      </c>
      <c r="H11" s="81">
        <f t="shared" si="0"/>
        <v>0.12934121525606779</v>
      </c>
      <c r="I11" s="81">
        <f t="shared" si="0"/>
        <v>8.7047336235750006E-2</v>
      </c>
      <c r="J11" s="81">
        <f t="shared" si="0"/>
        <v>5.879016575608853E-2</v>
      </c>
      <c r="K11" s="81">
        <f t="shared" si="0"/>
        <v>4.1871194148965785E-3</v>
      </c>
      <c r="L11" s="81">
        <f t="shared" si="0"/>
        <v>2.2546650118666633E-2</v>
      </c>
      <c r="M11" s="78"/>
      <c r="N11" s="81">
        <f t="shared" ref="N11:X11" si="1">IF(COUNT(N9:N10)=2,N9/N10-1,"")</f>
        <v>2.2638126190743124E-2</v>
      </c>
      <c r="O11" s="81">
        <f t="shared" si="1"/>
        <v>8.0189947137352391E-3</v>
      </c>
      <c r="P11" s="81">
        <f t="shared" si="1"/>
        <v>-5.7135547691127275E-3</v>
      </c>
      <c r="Q11" s="81">
        <f t="shared" si="1"/>
        <v>-2.3698384201077394E-3</v>
      </c>
      <c r="R11" s="81">
        <f t="shared" si="1"/>
        <v>-1.813698630136984E-2</v>
      </c>
      <c r="S11" s="81">
        <f t="shared" si="1"/>
        <v>9.9995555753078502E-3</v>
      </c>
      <c r="T11" s="81">
        <f t="shared" si="1"/>
        <v>2.6501994082078983E-2</v>
      </c>
      <c r="U11" s="81">
        <f t="shared" si="1"/>
        <v>5.6111431039447268E-2</v>
      </c>
      <c r="V11" s="81">
        <f t="shared" si="1"/>
        <v>8.5049388916792257E-2</v>
      </c>
      <c r="W11" s="81">
        <f t="shared" si="1"/>
        <v>6.4023585320778009E-2</v>
      </c>
      <c r="X11" s="81">
        <f t="shared" si="1"/>
        <v>5.585495258386608E-2</v>
      </c>
    </row>
    <row r="12" spans="1:24" ht="20" customHeight="1">
      <c r="A12" s="79" t="s">
        <v>66</v>
      </c>
      <c r="B12" s="75"/>
      <c r="C12" s="86">
        <f>'Operating Metrics'!C27</f>
        <v>3.7000000000000005E-2</v>
      </c>
      <c r="D12" s="86">
        <f>'Operating Metrics'!D27</f>
        <v>2.3E-2</v>
      </c>
      <c r="E12" s="86">
        <f>'Operating Metrics'!E27</f>
        <v>3.7000000000000005E-2</v>
      </c>
      <c r="F12" s="86">
        <f>'Operating Metrics'!F27</f>
        <v>4.4999999999999998E-2</v>
      </c>
      <c r="G12" s="86">
        <f>'Operating Metrics'!G27</f>
        <v>4.2999999999999997E-2</v>
      </c>
      <c r="H12" s="86">
        <f>'Operating Metrics'!H27</f>
        <v>9.5000000000000001E-2</v>
      </c>
      <c r="I12" s="86">
        <f>'Operating Metrics'!I27</f>
        <v>0.14400000000000002</v>
      </c>
      <c r="J12" s="86">
        <f>'Operating Metrics'!J27</f>
        <v>9.5000000000000001E-2</v>
      </c>
      <c r="K12" s="86">
        <f>'Operating Metrics'!K27</f>
        <v>0.02</v>
      </c>
      <c r="L12" s="86">
        <f>'Operating Metrics'!L27</f>
        <v>1.7000000000000001E-2</v>
      </c>
      <c r="M12" s="78"/>
      <c r="N12" s="86">
        <f>'Operating Metrics'!N27</f>
        <v>2.7000000000000003E-2</v>
      </c>
      <c r="O12" s="86">
        <f>'Operating Metrics'!O27</f>
        <v>1.9E-2</v>
      </c>
      <c r="P12" s="86">
        <f>'Operating Metrics'!P27</f>
        <v>1.3000000000000001E-2</v>
      </c>
      <c r="Q12" s="86">
        <f>'Operating Metrics'!Q27</f>
        <v>2.1000000000000001E-2</v>
      </c>
      <c r="R12" s="86">
        <f>'Operating Metrics'!R27</f>
        <v>1.2E-2</v>
      </c>
      <c r="S12" s="86">
        <f>'Operating Metrics'!S27</f>
        <v>2.1000000000000001E-2</v>
      </c>
      <c r="T12" s="86">
        <f>'Operating Metrics'!T27</f>
        <v>1.3000000000000001E-2</v>
      </c>
      <c r="U12" s="86">
        <f>'Operating Metrics'!U27</f>
        <v>2.1000000000000001E-2</v>
      </c>
      <c r="V12" s="86">
        <f>'Operating Metrics'!V27</f>
        <v>2.6000000000000002E-2</v>
      </c>
      <c r="W12" s="86">
        <f>'Operating Metrics'!W27</f>
        <v>2.4E-2</v>
      </c>
      <c r="X12" s="86">
        <f>'Operating Metrics'!X27</f>
        <v>3.1000000000000003E-2</v>
      </c>
    </row>
    <row r="13" spans="1:24" ht="20" customHeight="1">
      <c r="A13" s="74" t="s">
        <v>67</v>
      </c>
      <c r="B13" s="65"/>
      <c r="C13" s="87">
        <v>2</v>
      </c>
      <c r="D13" s="87">
        <v>0</v>
      </c>
      <c r="E13" s="87">
        <v>1</v>
      </c>
      <c r="F13" s="87">
        <v>0.5</v>
      </c>
      <c r="G13" s="87">
        <v>2</v>
      </c>
      <c r="H13" s="87">
        <v>4</v>
      </c>
      <c r="I13" s="87">
        <v>0</v>
      </c>
      <c r="J13" s="87">
        <v>-3</v>
      </c>
      <c r="K13" s="87">
        <v>-2</v>
      </c>
      <c r="L13" s="87">
        <v>-2</v>
      </c>
      <c r="M13" s="84"/>
      <c r="N13" s="87">
        <v>-2</v>
      </c>
      <c r="O13" s="87">
        <v>-3</v>
      </c>
      <c r="P13" s="87">
        <v>-2</v>
      </c>
      <c r="Q13" s="87">
        <v>-1</v>
      </c>
      <c r="R13" s="87">
        <v>-2</v>
      </c>
      <c r="S13" s="87">
        <v>-1.5</v>
      </c>
      <c r="T13" s="87">
        <v>-3</v>
      </c>
      <c r="U13" s="87">
        <v>-2</v>
      </c>
      <c r="V13" s="87">
        <v>0</v>
      </c>
      <c r="W13" s="87">
        <v>1</v>
      </c>
      <c r="X13" s="87">
        <v>0.5</v>
      </c>
    </row>
    <row r="14" spans="1:24" ht="20" customHeight="1">
      <c r="A14" s="74" t="s">
        <v>68</v>
      </c>
      <c r="B14" s="65"/>
      <c r="C14" s="88">
        <f>'Operating Metrics'!C30*100</f>
        <v>2</v>
      </c>
      <c r="D14" s="88">
        <f>'Operating Metrics'!D30*100</f>
        <v>3</v>
      </c>
      <c r="E14" s="88">
        <f>'Operating Metrics'!E30*100</f>
        <v>3</v>
      </c>
      <c r="F14" s="88">
        <f>'Operating Metrics'!F30*100</f>
        <v>4</v>
      </c>
      <c r="G14" s="88">
        <f>'Operating Metrics'!G30*100</f>
        <v>2</v>
      </c>
      <c r="H14" s="88">
        <f>'Operating Metrics'!H30*100</f>
        <v>5</v>
      </c>
      <c r="I14" s="88">
        <f>'Operating Metrics'!I30*100</f>
        <v>14.000000000000002</v>
      </c>
      <c r="J14" s="88">
        <f>'Operating Metrics'!J30*100</f>
        <v>13</v>
      </c>
      <c r="K14" s="88">
        <f>'Operating Metrics'!K30*100</f>
        <v>4</v>
      </c>
      <c r="L14" s="88">
        <f>'Operating Metrics'!L30*100</f>
        <v>4</v>
      </c>
      <c r="M14" s="84"/>
      <c r="N14" s="88">
        <f>'Operating Metrics'!N30*100</f>
        <v>5</v>
      </c>
      <c r="O14" s="88">
        <f>'Operating Metrics'!O30*100</f>
        <v>5</v>
      </c>
      <c r="P14" s="88">
        <f>'Operating Metrics'!P30*100</f>
        <v>3</v>
      </c>
      <c r="Q14" s="88">
        <f>'Operating Metrics'!Q30*100</f>
        <v>3</v>
      </c>
      <c r="R14" s="88">
        <f>'Operating Metrics'!R30*100</f>
        <v>3</v>
      </c>
      <c r="S14" s="88">
        <f>'Operating Metrics'!S30*100</f>
        <v>4</v>
      </c>
      <c r="T14" s="88">
        <f>'Operating Metrics'!T30*100</f>
        <v>4</v>
      </c>
      <c r="U14" s="88">
        <f>'Operating Metrics'!U30*100</f>
        <v>4.5</v>
      </c>
      <c r="V14" s="88">
        <f>'Operating Metrics'!V30*100</f>
        <v>2</v>
      </c>
      <c r="W14" s="88">
        <f>'Operating Metrics'!W30*100</f>
        <v>2</v>
      </c>
      <c r="X14" s="88">
        <f>'Operating Metrics'!X30*100</f>
        <v>3</v>
      </c>
    </row>
    <row r="15" spans="1:24" ht="20" customHeight="1">
      <c r="A15" s="74" t="s">
        <v>69</v>
      </c>
      <c r="B15" s="65"/>
      <c r="C15" s="88">
        <f>-'Operating Metrics'!C31*100</f>
        <v>-3</v>
      </c>
      <c r="D15" s="88">
        <f>-'Operating Metrics'!D31*100</f>
        <v>0</v>
      </c>
      <c r="E15" s="88">
        <f>-'Operating Metrics'!E31*100</f>
        <v>-1</v>
      </c>
      <c r="F15" s="88">
        <f>-'Operating Metrics'!F31*100</f>
        <v>-2</v>
      </c>
      <c r="G15" s="88">
        <f>-'Operating Metrics'!G31*100</f>
        <v>-2</v>
      </c>
      <c r="H15" s="88">
        <f>-'Operating Metrics'!H31*100</f>
        <v>1</v>
      </c>
      <c r="I15" s="88">
        <f>-'Operating Metrics'!I31*100</f>
        <v>-3</v>
      </c>
      <c r="J15" s="88">
        <f>-'Operating Metrics'!J31*100</f>
        <v>-2</v>
      </c>
      <c r="K15" s="88">
        <f>-'Operating Metrics'!K31*100</f>
        <v>-1.5</v>
      </c>
      <c r="L15" s="88">
        <f>-'Operating Metrics'!L31*100</f>
        <v>0</v>
      </c>
      <c r="M15" s="84"/>
      <c r="N15" s="88">
        <f>-'Operating Metrics'!N31*100</f>
        <v>-0.5</v>
      </c>
      <c r="O15" s="88">
        <f>-'Operating Metrics'!O31*100</f>
        <v>-1</v>
      </c>
      <c r="P15" s="88">
        <f>-'Operating Metrics'!P31*100</f>
        <v>-2</v>
      </c>
      <c r="Q15" s="88">
        <f>-'Operating Metrics'!Q31*100</f>
        <v>-2</v>
      </c>
      <c r="R15" s="88">
        <f>-'Operating Metrics'!R31*100</f>
        <v>-3</v>
      </c>
      <c r="S15" s="88">
        <f>-'Operating Metrics'!S31*100</f>
        <v>-1.5</v>
      </c>
      <c r="T15" s="88">
        <f>-'Operating Metrics'!T31*100</f>
        <v>0.5</v>
      </c>
      <c r="U15" s="88">
        <f>-'Operating Metrics'!U31*100</f>
        <v>2</v>
      </c>
      <c r="V15" s="88">
        <f>-'Operating Metrics'!V31*100</f>
        <v>3</v>
      </c>
      <c r="W15" s="88">
        <f>-'Operating Metrics'!W31*100</f>
        <v>2</v>
      </c>
      <c r="X15" s="88">
        <f>-'Operating Metrics'!X31*100</f>
        <v>1</v>
      </c>
    </row>
    <row r="16" spans="1:24" ht="20" customHeight="1">
      <c r="A16" s="74" t="s">
        <v>70</v>
      </c>
      <c r="B16" s="65"/>
      <c r="C16" s="88">
        <f>-'Operating Metrics'!C32*100</f>
        <v>0</v>
      </c>
      <c r="D16" s="88">
        <f>-'Operating Metrics'!D32*100</f>
        <v>0</v>
      </c>
      <c r="E16" s="88">
        <f>-'Operating Metrics'!E32*100</f>
        <v>-1</v>
      </c>
      <c r="F16" s="88">
        <f>-'Operating Metrics'!F32*100</f>
        <v>1</v>
      </c>
      <c r="G16" s="88">
        <f>-'Operating Metrics'!G32*100</f>
        <v>3</v>
      </c>
      <c r="H16" s="88">
        <f>-'Operating Metrics'!H32*100</f>
        <v>2</v>
      </c>
      <c r="I16" s="88">
        <f>-'Operating Metrics'!I32*100</f>
        <v>-4</v>
      </c>
      <c r="J16" s="88">
        <f>-'Operating Metrics'!J32*100</f>
        <v>0</v>
      </c>
      <c r="K16" s="88">
        <f>-'Operating Metrics'!K32*100</f>
        <v>0</v>
      </c>
      <c r="L16" s="88">
        <f>-'Operating Metrics'!L32*100</f>
        <v>1</v>
      </c>
      <c r="M16" s="84"/>
      <c r="N16" s="88">
        <f>-'Operating Metrics'!N32*100</f>
        <v>0</v>
      </c>
      <c r="O16" s="88">
        <f>-'Operating Metrics'!O32*100</f>
        <v>0</v>
      </c>
      <c r="P16" s="88">
        <f>-'Operating Metrics'!P32*100</f>
        <v>0</v>
      </c>
      <c r="Q16" s="88">
        <f>-'Operating Metrics'!Q32*100</f>
        <v>0</v>
      </c>
      <c r="R16" s="88">
        <f>-'Operating Metrics'!R32*100</f>
        <v>0</v>
      </c>
      <c r="S16" s="88">
        <f>-'Operating Metrics'!S32*100</f>
        <v>0</v>
      </c>
      <c r="T16" s="88">
        <f>-'Operating Metrics'!T32*100</f>
        <v>1</v>
      </c>
      <c r="U16" s="88">
        <f>-'Operating Metrics'!U32*100</f>
        <v>1</v>
      </c>
      <c r="V16" s="88">
        <f>-'Operating Metrics'!V32*100</f>
        <v>2.5</v>
      </c>
      <c r="W16" s="88">
        <f>-'Operating Metrics'!W32*100</f>
        <v>2</v>
      </c>
      <c r="X16" s="88">
        <f>-'Operating Metrics'!X32*100</f>
        <v>2</v>
      </c>
    </row>
    <row r="17" spans="1:24" ht="20" customHeight="1">
      <c r="A17" s="74" t="s">
        <v>71</v>
      </c>
      <c r="B17" s="65"/>
      <c r="C17" s="87">
        <v>1</v>
      </c>
      <c r="D17" s="87">
        <v>-1</v>
      </c>
      <c r="E17" s="87">
        <v>0</v>
      </c>
      <c r="F17" s="87">
        <v>0</v>
      </c>
      <c r="G17" s="87">
        <v>0</v>
      </c>
      <c r="H17" s="87">
        <v>0</v>
      </c>
      <c r="I17" s="87">
        <v>1</v>
      </c>
      <c r="J17" s="87">
        <v>-1</v>
      </c>
      <c r="K17" s="87">
        <v>0</v>
      </c>
      <c r="L17" s="87">
        <v>0</v>
      </c>
      <c r="M17" s="84"/>
      <c r="N17" s="87">
        <v>0</v>
      </c>
      <c r="O17" s="87">
        <v>0</v>
      </c>
      <c r="P17" s="87">
        <v>0</v>
      </c>
      <c r="Q17" s="87">
        <v>0</v>
      </c>
      <c r="R17" s="87">
        <v>0</v>
      </c>
      <c r="S17" s="87">
        <v>0</v>
      </c>
      <c r="T17" s="87">
        <v>0</v>
      </c>
      <c r="U17" s="87">
        <v>0</v>
      </c>
      <c r="V17" s="87">
        <v>0</v>
      </c>
      <c r="W17" s="87">
        <v>0</v>
      </c>
      <c r="X17" s="87">
        <v>0</v>
      </c>
    </row>
    <row r="18" spans="1:24" ht="20" customHeight="1">
      <c r="A18" s="74" t="s">
        <v>72</v>
      </c>
      <c r="B18" s="65"/>
      <c r="C18" s="87">
        <v>-2</v>
      </c>
      <c r="D18" s="87">
        <v>0</v>
      </c>
      <c r="E18" s="87">
        <v>0</v>
      </c>
      <c r="F18" s="87">
        <v>0</v>
      </c>
      <c r="G18" s="87">
        <v>0</v>
      </c>
      <c r="H18" s="87">
        <v>0</v>
      </c>
      <c r="I18" s="87">
        <v>0</v>
      </c>
      <c r="J18" s="87">
        <v>0</v>
      </c>
      <c r="K18" s="87">
        <v>0</v>
      </c>
      <c r="L18" s="87">
        <v>0</v>
      </c>
      <c r="M18" s="84"/>
      <c r="N18" s="87">
        <v>0</v>
      </c>
      <c r="O18" s="87">
        <v>0</v>
      </c>
      <c r="P18" s="87">
        <v>0</v>
      </c>
      <c r="Q18" s="87">
        <v>0</v>
      </c>
      <c r="R18" s="87">
        <v>0</v>
      </c>
      <c r="S18" s="87">
        <v>0</v>
      </c>
      <c r="T18" s="87">
        <v>0</v>
      </c>
      <c r="U18" s="87">
        <v>0</v>
      </c>
      <c r="V18" s="87">
        <v>0</v>
      </c>
      <c r="W18" s="87">
        <v>0</v>
      </c>
      <c r="X18" s="87">
        <v>0</v>
      </c>
    </row>
    <row r="19" spans="1:24" ht="20" customHeight="1">
      <c r="A19" s="79" t="s">
        <v>73</v>
      </c>
      <c r="B19" s="75"/>
      <c r="C19" s="89">
        <f t="shared" ref="C19:L19" si="2">IF(COUNT(C13:C18)=6,SUM(C13:C18),"")</f>
        <v>0</v>
      </c>
      <c r="D19" s="89">
        <f t="shared" si="2"/>
        <v>2</v>
      </c>
      <c r="E19" s="89">
        <f t="shared" si="2"/>
        <v>2</v>
      </c>
      <c r="F19" s="89">
        <f t="shared" si="2"/>
        <v>3.5</v>
      </c>
      <c r="G19" s="89">
        <f t="shared" si="2"/>
        <v>5</v>
      </c>
      <c r="H19" s="89">
        <f t="shared" si="2"/>
        <v>12</v>
      </c>
      <c r="I19" s="89">
        <f t="shared" si="2"/>
        <v>8.0000000000000018</v>
      </c>
      <c r="J19" s="89">
        <f t="shared" si="2"/>
        <v>7</v>
      </c>
      <c r="K19" s="89">
        <f t="shared" si="2"/>
        <v>0.5</v>
      </c>
      <c r="L19" s="89">
        <f t="shared" si="2"/>
        <v>3</v>
      </c>
      <c r="M19" s="84"/>
      <c r="N19" s="89">
        <f t="shared" ref="N19:X19" si="3">IF(COUNT(N13:N18)=6,SUM(N13:N18),"")</f>
        <v>2.5</v>
      </c>
      <c r="O19" s="89">
        <f t="shared" si="3"/>
        <v>1</v>
      </c>
      <c r="P19" s="89">
        <f t="shared" si="3"/>
        <v>-1</v>
      </c>
      <c r="Q19" s="89">
        <f t="shared" si="3"/>
        <v>0</v>
      </c>
      <c r="R19" s="89">
        <f t="shared" si="3"/>
        <v>-2</v>
      </c>
      <c r="S19" s="89">
        <f t="shared" si="3"/>
        <v>1</v>
      </c>
      <c r="T19" s="89">
        <f t="shared" si="3"/>
        <v>2.5</v>
      </c>
      <c r="U19" s="89">
        <f t="shared" si="3"/>
        <v>5.5</v>
      </c>
      <c r="V19" s="89">
        <f t="shared" si="3"/>
        <v>7.5</v>
      </c>
      <c r="W19" s="89">
        <f t="shared" si="3"/>
        <v>7</v>
      </c>
      <c r="X19" s="89">
        <f t="shared" si="3"/>
        <v>6.5</v>
      </c>
    </row>
    <row r="20" spans="1:24" ht="20" customHeight="1">
      <c r="A20" s="74" t="s">
        <v>74</v>
      </c>
      <c r="B20" s="65"/>
      <c r="C20" s="90">
        <f t="shared" ref="C20:L20" si="4">IF(COUNT(C11,C19)=2,C11*100-C19,"")</f>
        <v>-0.40757421974118024</v>
      </c>
      <c r="D20" s="90">
        <f t="shared" si="4"/>
        <v>-0.84393063583813976</v>
      </c>
      <c r="E20" s="90">
        <f t="shared" si="4"/>
        <v>-0.21172766627312978</v>
      </c>
      <c r="F20" s="90">
        <f t="shared" si="4"/>
        <v>0.36631818252114456</v>
      </c>
      <c r="G20" s="90">
        <f t="shared" si="4"/>
        <v>-0.2189514748142507</v>
      </c>
      <c r="H20" s="90">
        <f t="shared" si="4"/>
        <v>0.93412152560677875</v>
      </c>
      <c r="I20" s="90">
        <f t="shared" si="4"/>
        <v>0.7047336235749988</v>
      </c>
      <c r="J20" s="90">
        <f t="shared" si="4"/>
        <v>-1.120983424391147</v>
      </c>
      <c r="K20" s="90">
        <f t="shared" si="4"/>
        <v>-8.1288058510342154E-2</v>
      </c>
      <c r="L20" s="90">
        <f t="shared" si="4"/>
        <v>-0.74533498813333665</v>
      </c>
      <c r="M20" s="84"/>
      <c r="N20" s="90">
        <f t="shared" ref="N20:X20" si="5">IF(COUNT(N11,N19)=2,N11*100-N19,"")</f>
        <v>-0.23618738092568758</v>
      </c>
      <c r="O20" s="90">
        <f t="shared" si="5"/>
        <v>-0.19810052862647609</v>
      </c>
      <c r="P20" s="90">
        <f t="shared" si="5"/>
        <v>0.42864452308872725</v>
      </c>
      <c r="Q20" s="90">
        <f t="shared" si="5"/>
        <v>-0.23698384201077394</v>
      </c>
      <c r="R20" s="90">
        <f t="shared" si="5"/>
        <v>0.18630136986301604</v>
      </c>
      <c r="S20" s="90">
        <f t="shared" si="5"/>
        <v>-4.4442469214978075E-5</v>
      </c>
      <c r="T20" s="90">
        <f t="shared" si="5"/>
        <v>0.15019940820789834</v>
      </c>
      <c r="U20" s="90">
        <f t="shared" si="5"/>
        <v>0.11114310394472682</v>
      </c>
      <c r="V20" s="90">
        <f t="shared" si="5"/>
        <v>1.0049388916792257</v>
      </c>
      <c r="W20" s="90">
        <f t="shared" si="5"/>
        <v>-0.59764146792219908</v>
      </c>
      <c r="X20" s="90">
        <f t="shared" si="5"/>
        <v>-0.91450474161339201</v>
      </c>
    </row>
    <row r="21" spans="1:24" ht="20" customHeight="1">
      <c r="A21" s="74" t="s">
        <v>75</v>
      </c>
      <c r="B21" s="65"/>
      <c r="C21" s="90">
        <f t="shared" ref="C21:L21" si="6">IF(COUNT(C12:C14)=3,C12*100-SUM(C13:C14),"")</f>
        <v>-0.29999999999999938</v>
      </c>
      <c r="D21" s="90">
        <f t="shared" si="6"/>
        <v>-0.70000000000000018</v>
      </c>
      <c r="E21" s="90">
        <f t="shared" si="6"/>
        <v>-0.29999999999999938</v>
      </c>
      <c r="F21" s="90">
        <f t="shared" si="6"/>
        <v>0</v>
      </c>
      <c r="G21" s="90">
        <f t="shared" si="6"/>
        <v>0.29999999999999982</v>
      </c>
      <c r="H21" s="90">
        <f t="shared" si="6"/>
        <v>0.5</v>
      </c>
      <c r="I21" s="90">
        <f t="shared" si="6"/>
        <v>0.40000000000000036</v>
      </c>
      <c r="J21" s="90">
        <f t="shared" si="6"/>
        <v>-0.5</v>
      </c>
      <c r="K21" s="90">
        <f t="shared" si="6"/>
        <v>0</v>
      </c>
      <c r="L21" s="90">
        <f t="shared" si="6"/>
        <v>-0.29999999999999982</v>
      </c>
      <c r="M21" s="84"/>
      <c r="N21" s="90">
        <f t="shared" ref="N21:X21" si="7">IF(COUNT(N12:N14)=3,N12*100-SUM(N13:N14),"")</f>
        <v>-0.29999999999999982</v>
      </c>
      <c r="O21" s="90">
        <f t="shared" si="7"/>
        <v>-0.10000000000000009</v>
      </c>
      <c r="P21" s="90">
        <f t="shared" si="7"/>
        <v>0.30000000000000004</v>
      </c>
      <c r="Q21" s="90">
        <f t="shared" si="7"/>
        <v>0.10000000000000009</v>
      </c>
      <c r="R21" s="90">
        <f t="shared" si="7"/>
        <v>0.19999999999999996</v>
      </c>
      <c r="S21" s="90">
        <f t="shared" si="7"/>
        <v>-0.39999999999999991</v>
      </c>
      <c r="T21" s="90">
        <f t="shared" si="7"/>
        <v>0.30000000000000004</v>
      </c>
      <c r="U21" s="90">
        <f t="shared" si="7"/>
        <v>-0.39999999999999991</v>
      </c>
      <c r="V21" s="90">
        <f t="shared" si="7"/>
        <v>0.60000000000000009</v>
      </c>
      <c r="W21" s="90">
        <f t="shared" si="7"/>
        <v>-0.60000000000000009</v>
      </c>
      <c r="X21" s="90">
        <f t="shared" si="7"/>
        <v>-0.39999999999999947</v>
      </c>
    </row>
    <row r="22" spans="1:24" ht="22" customHeight="1">
      <c r="A22" s="65"/>
      <c r="B22" s="65"/>
      <c r="C22" s="65"/>
      <c r="D22" s="65"/>
      <c r="E22" s="65"/>
      <c r="F22" s="65"/>
      <c r="G22" s="65"/>
      <c r="H22" s="65"/>
      <c r="I22" s="65"/>
      <c r="J22" s="65"/>
      <c r="K22" s="65"/>
      <c r="L22" s="65"/>
      <c r="M22" s="65"/>
      <c r="N22" s="65"/>
      <c r="O22" s="65"/>
      <c r="P22" s="65"/>
      <c r="Q22" s="65"/>
      <c r="R22" s="65"/>
      <c r="S22" s="65"/>
      <c r="T22" s="65"/>
      <c r="U22" s="65"/>
      <c r="V22" s="65"/>
      <c r="W22" s="65"/>
      <c r="X22" s="65"/>
    </row>
    <row r="23" spans="1:24" ht="24" customHeight="1">
      <c r="A23" s="165" t="s">
        <v>76</v>
      </c>
      <c r="B23" s="165"/>
      <c r="C23" s="165"/>
      <c r="D23" s="165"/>
      <c r="E23" s="165"/>
      <c r="F23" s="165"/>
      <c r="G23" s="165"/>
      <c r="H23" s="165"/>
      <c r="I23" s="165"/>
      <c r="J23" s="165"/>
      <c r="K23" s="165"/>
      <c r="L23" s="165"/>
      <c r="M23" s="165"/>
      <c r="N23" s="165"/>
      <c r="O23" s="165"/>
      <c r="P23" s="165"/>
      <c r="Q23" s="165"/>
      <c r="R23" s="165"/>
      <c r="S23" s="165"/>
      <c r="T23" s="165"/>
      <c r="U23" s="165"/>
      <c r="V23" s="165"/>
      <c r="W23" s="165"/>
      <c r="X23" s="165"/>
    </row>
    <row r="24" spans="1:24" ht="20" customHeight="1">
      <c r="A24" s="74" t="s">
        <v>77</v>
      </c>
      <c r="B24" s="65"/>
      <c r="C24" s="32">
        <f>'Operating Metrics'!C28</f>
        <v>0.03</v>
      </c>
      <c r="D24" s="32">
        <f>'Operating Metrics'!D28</f>
        <v>0.02</v>
      </c>
      <c r="E24" s="32">
        <f>'Operating Metrics'!E28</f>
        <v>0.02</v>
      </c>
      <c r="F24" s="32">
        <f>'Operating Metrics'!F28</f>
        <v>0.02</v>
      </c>
      <c r="G24" s="32">
        <f>'Operating Metrics'!G28</f>
        <v>0.04</v>
      </c>
      <c r="H24" s="32">
        <f>'Operating Metrics'!H28</f>
        <v>2.5000000000000001E-2</v>
      </c>
      <c r="I24" s="32">
        <f>'Operating Metrics'!I28</f>
        <v>0</v>
      </c>
      <c r="J24" s="32">
        <f>'Operating Metrics'!J28</f>
        <v>-0.02</v>
      </c>
      <c r="K24" s="32">
        <f>'Operating Metrics'!K28</f>
        <v>-0.01</v>
      </c>
      <c r="L24" s="32">
        <f>'Operating Metrics'!L28</f>
        <v>-0.02</v>
      </c>
      <c r="M24" s="78"/>
      <c r="N24" s="32">
        <f>'Operating Metrics'!N28</f>
        <v>-5.0000000000000001E-3</v>
      </c>
      <c r="O24" s="32">
        <f>'Operating Metrics'!O28</f>
        <v>-0.02</v>
      </c>
      <c r="P24" s="32">
        <f>'Operating Metrics'!P28</f>
        <v>-0.02</v>
      </c>
      <c r="Q24" s="32">
        <f>'Operating Metrics'!Q28</f>
        <v>0.01</v>
      </c>
      <c r="R24" s="32">
        <f>'Operating Metrics'!R28</f>
        <v>-0.03</v>
      </c>
      <c r="S24" s="32">
        <f>'Operating Metrics'!S28</f>
        <v>-1.4999999999999999E-2</v>
      </c>
      <c r="T24" s="32">
        <f>'Operating Metrics'!T28</f>
        <v>-0.01</v>
      </c>
      <c r="U24" s="32">
        <f>'Operating Metrics'!U28</f>
        <v>-0.02</v>
      </c>
      <c r="V24" s="32">
        <f>'Operating Metrics'!V28</f>
        <v>0.04</v>
      </c>
      <c r="W24" s="32">
        <f>'Operating Metrics'!W28</f>
        <v>0.03</v>
      </c>
      <c r="X24" s="32">
        <f>'Operating Metrics'!X28</f>
        <v>0.01</v>
      </c>
    </row>
    <row r="25" spans="1:24" ht="20" customHeight="1">
      <c r="A25" s="74" t="s">
        <v>78</v>
      </c>
      <c r="B25" s="65"/>
      <c r="C25" s="32">
        <f>'Operating Metrics'!C29</f>
        <v>0.02</v>
      </c>
      <c r="D25" s="32">
        <f>'Operating Metrics'!D29</f>
        <v>-0.01</v>
      </c>
      <c r="E25" s="32">
        <f>'Operating Metrics'!E29</f>
        <v>0.01</v>
      </c>
      <c r="F25" s="32">
        <f>'Operating Metrics'!F29</f>
        <v>0.02</v>
      </c>
      <c r="G25" s="32">
        <f>'Operating Metrics'!G29</f>
        <v>0</v>
      </c>
      <c r="H25" s="32">
        <f>'Operating Metrics'!H29</f>
        <v>0.1</v>
      </c>
      <c r="I25" s="32">
        <f>'Operating Metrics'!I29</f>
        <v>3.5000000000000003E-2</v>
      </c>
      <c r="J25" s="32">
        <f>'Operating Metrics'!J29</f>
        <v>-0.01</v>
      </c>
      <c r="K25" s="32">
        <f>'Operating Metrics'!K29</f>
        <v>0</v>
      </c>
      <c r="L25" s="32">
        <f>'Operating Metrics'!L29</f>
        <v>0</v>
      </c>
      <c r="M25" s="78"/>
      <c r="N25" s="32">
        <f>'Operating Metrics'!N29</f>
        <v>0</v>
      </c>
      <c r="O25" s="32">
        <f>'Operating Metrics'!O29</f>
        <v>0</v>
      </c>
      <c r="P25" s="32">
        <f>'Operating Metrics'!P29</f>
        <v>-0.02</v>
      </c>
      <c r="Q25" s="32">
        <f>'Operating Metrics'!Q29</f>
        <v>0.01</v>
      </c>
      <c r="R25" s="32">
        <f>'Operating Metrics'!R29</f>
        <v>0</v>
      </c>
      <c r="S25" s="32">
        <f>'Operating Metrics'!S29</f>
        <v>0</v>
      </c>
      <c r="T25" s="32">
        <f>'Operating Metrics'!T29</f>
        <v>-0.01</v>
      </c>
      <c r="U25" s="32">
        <f>'Operating Metrics'!U29</f>
        <v>0.01</v>
      </c>
      <c r="V25" s="32">
        <f>'Operating Metrics'!V29</f>
        <v>0</v>
      </c>
      <c r="W25" s="32">
        <f>'Operating Metrics'!W29</f>
        <v>0.02</v>
      </c>
      <c r="X25" s="32">
        <f>'Operating Metrics'!X29</f>
        <v>0.03</v>
      </c>
    </row>
    <row r="26" spans="1:24" ht="24" customHeight="1">
      <c r="A26" s="162" t="s">
        <v>79</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row>
    <row r="27" spans="1:24" ht="22" customHeight="1">
      <c r="A27" s="65"/>
      <c r="B27" s="65"/>
      <c r="C27" s="65"/>
      <c r="D27" s="65"/>
      <c r="E27" s="65"/>
      <c r="F27" s="65"/>
      <c r="G27" s="65"/>
      <c r="H27" s="65"/>
      <c r="I27" s="65"/>
      <c r="J27" s="65"/>
      <c r="K27" s="65"/>
      <c r="L27" s="65"/>
      <c r="M27" s="65"/>
      <c r="N27" s="65"/>
      <c r="O27" s="65"/>
      <c r="P27" s="65"/>
      <c r="Q27" s="65"/>
      <c r="R27" s="65"/>
      <c r="S27" s="65"/>
      <c r="T27" s="65"/>
      <c r="U27" s="65"/>
      <c r="V27" s="65"/>
      <c r="W27" s="65"/>
      <c r="X27" s="65"/>
    </row>
    <row r="28" spans="1:24" ht="24" customHeight="1">
      <c r="A28" s="165" t="s">
        <v>80</v>
      </c>
      <c r="B28" s="165"/>
      <c r="C28" s="165"/>
      <c r="D28" s="165"/>
      <c r="E28" s="165"/>
      <c r="F28" s="165"/>
      <c r="G28" s="165"/>
      <c r="H28" s="165"/>
      <c r="I28" s="165"/>
      <c r="J28" s="165"/>
      <c r="K28" s="165"/>
      <c r="L28" s="165"/>
      <c r="M28" s="165"/>
      <c r="N28" s="165"/>
      <c r="O28" s="165"/>
      <c r="P28" s="165"/>
      <c r="Q28" s="165"/>
      <c r="R28" s="165"/>
      <c r="S28" s="165"/>
      <c r="T28" s="165"/>
      <c r="U28" s="165"/>
      <c r="V28" s="165"/>
      <c r="W28" s="165"/>
      <c r="X28" s="165"/>
    </row>
    <row r="29" spans="1:24" ht="24" customHeight="1">
      <c r="A29" s="162" t="s">
        <v>81</v>
      </c>
      <c r="B29" s="162"/>
      <c r="C29" s="162"/>
      <c r="D29" s="162"/>
      <c r="E29" s="162"/>
      <c r="F29" s="162"/>
      <c r="G29" s="162"/>
      <c r="H29" s="162"/>
      <c r="I29" s="162"/>
      <c r="J29" s="162"/>
      <c r="K29" s="162"/>
      <c r="L29" s="162"/>
      <c r="M29" s="162"/>
      <c r="N29" s="162"/>
      <c r="O29" s="162"/>
      <c r="P29" s="162"/>
      <c r="Q29" s="162"/>
      <c r="R29" s="162"/>
      <c r="S29" s="162"/>
      <c r="T29" s="162"/>
      <c r="U29" s="162"/>
      <c r="V29" s="162"/>
      <c r="W29" s="162"/>
      <c r="X29" s="162"/>
    </row>
    <row r="30" spans="1:24" ht="24" customHeight="1">
      <c r="A30" s="166" t="s">
        <v>82</v>
      </c>
      <c r="B30" s="166"/>
      <c r="C30" s="166"/>
      <c r="D30" s="166"/>
      <c r="E30" s="166"/>
      <c r="F30" s="166"/>
      <c r="G30" s="166"/>
      <c r="H30" s="166"/>
      <c r="I30" s="166"/>
      <c r="J30" s="166"/>
      <c r="K30" s="166"/>
      <c r="L30" s="166"/>
      <c r="M30" s="166"/>
      <c r="N30" s="166"/>
      <c r="O30" s="166"/>
      <c r="P30" s="166"/>
      <c r="Q30" s="166"/>
      <c r="R30" s="166"/>
      <c r="S30" s="166"/>
      <c r="T30" s="166"/>
      <c r="U30" s="166"/>
      <c r="V30" s="166"/>
      <c r="W30" s="166"/>
      <c r="X30" s="166"/>
    </row>
    <row r="31" spans="1:24" ht="22" customHeight="1">
      <c r="A31" s="72" t="s">
        <v>63</v>
      </c>
      <c r="B31" s="65"/>
      <c r="C31" s="73"/>
      <c r="D31" s="73"/>
      <c r="E31" s="73"/>
      <c r="F31" s="73"/>
      <c r="G31" s="73"/>
      <c r="H31" s="73"/>
      <c r="I31" s="57">
        <f>'Operating Metrics'!C44</f>
        <v>26451</v>
      </c>
      <c r="J31" s="57">
        <f>'Operating Metrics'!D44</f>
        <v>28015</v>
      </c>
      <c r="K31" s="57">
        <f>'Operating Metrics'!E44</f>
        <v>27431</v>
      </c>
      <c r="L31" s="57">
        <f>'Operating Metrics'!F44</f>
        <v>27528</v>
      </c>
      <c r="M31" s="73"/>
      <c r="N31" s="57">
        <f>'Operating Metrics'!H44</f>
        <v>6269</v>
      </c>
      <c r="O31" s="57">
        <f>'Operating Metrics'!I44</f>
        <v>6435</v>
      </c>
      <c r="P31" s="57">
        <f>'Operating Metrics'!J44</f>
        <v>6536</v>
      </c>
      <c r="Q31" s="57">
        <f>'Operating Metrics'!K44</f>
        <v>8191</v>
      </c>
      <c r="R31" s="57">
        <f>'Operating Metrics'!L44</f>
        <v>6213</v>
      </c>
      <c r="S31" s="57">
        <f>'Operating Metrics'!M44</f>
        <v>6476</v>
      </c>
      <c r="T31" s="57">
        <f>'Operating Metrics'!N44</f>
        <v>6526</v>
      </c>
      <c r="U31" s="57">
        <f>'Operating Metrics'!O44</f>
        <v>8313</v>
      </c>
      <c r="V31" s="57">
        <f>'Operating Metrics'!P44</f>
        <v>6332</v>
      </c>
      <c r="W31" s="57">
        <f>'Operating Metrics'!Q44</f>
        <v>6368</v>
      </c>
      <c r="X31" s="57">
        <f>'Operating Metrics'!R44</f>
        <v>6504</v>
      </c>
    </row>
    <row r="32" spans="1:24" ht="20" customHeight="1">
      <c r="A32" s="74" t="s">
        <v>83</v>
      </c>
      <c r="B32" s="65"/>
      <c r="C32" s="78"/>
      <c r="D32" s="78"/>
      <c r="E32" s="78"/>
      <c r="F32" s="78"/>
      <c r="G32" s="78"/>
      <c r="H32" s="78"/>
      <c r="I32" s="78"/>
      <c r="J32" s="32">
        <f>'Operating Metrics'!D45</f>
        <v>5.9128199311935248E-2</v>
      </c>
      <c r="K32" s="32">
        <f>'Operating Metrics'!E45</f>
        <v>-2.0845975370337277E-2</v>
      </c>
      <c r="L32" s="32">
        <f>'Operating Metrics'!F45</f>
        <v>3.53614523714052E-3</v>
      </c>
      <c r="M32" s="78"/>
      <c r="N32" s="78"/>
      <c r="O32" s="78"/>
      <c r="P32" s="78"/>
      <c r="Q32" s="78"/>
      <c r="R32" s="32">
        <f>'Operating Metrics'!L45</f>
        <v>-8.9328441537724901E-3</v>
      </c>
      <c r="S32" s="32">
        <f>'Operating Metrics'!M45</f>
        <v>6.3714063714064295E-3</v>
      </c>
      <c r="T32" s="32">
        <f>'Operating Metrics'!N45</f>
        <v>-1.5299877600979395E-3</v>
      </c>
      <c r="U32" s="32">
        <f>'Operating Metrics'!O45</f>
        <v>1.4894396288609446E-2</v>
      </c>
      <c r="V32" s="32">
        <f>'Operating Metrics'!P45</f>
        <v>1.9153388057299159E-2</v>
      </c>
      <c r="W32" s="32">
        <f>'Operating Metrics'!Q45</f>
        <v>-1.6676961087090825E-2</v>
      </c>
      <c r="X32" s="32">
        <f>'Operating Metrics'!R45</f>
        <v>-3.3711308611706903E-3</v>
      </c>
    </row>
    <row r="33" spans="1:24" ht="22" customHeight="1">
      <c r="A33" s="72" t="s">
        <v>84</v>
      </c>
      <c r="B33" s="65"/>
      <c r="C33" s="73"/>
      <c r="D33" s="73"/>
      <c r="E33" s="73"/>
      <c r="F33" s="73"/>
      <c r="G33" s="73"/>
      <c r="H33" s="73"/>
      <c r="I33" s="73"/>
      <c r="J33" s="57">
        <f>'Operating Metrics'!D47</f>
        <v>7425</v>
      </c>
      <c r="K33" s="57">
        <f>'Operating Metrics'!E47</f>
        <v>6982</v>
      </c>
      <c r="L33" s="57">
        <f>'Operating Metrics'!F47</f>
        <v>6545</v>
      </c>
      <c r="M33" s="73"/>
      <c r="N33" s="57">
        <f>'Operating Metrics'!H47</f>
        <v>1698</v>
      </c>
      <c r="O33" s="57">
        <f>'Operating Metrics'!I47</f>
        <v>1705</v>
      </c>
      <c r="P33" s="57">
        <f>'Operating Metrics'!J47</f>
        <v>1627</v>
      </c>
      <c r="Q33" s="57">
        <f>'Operating Metrics'!K47</f>
        <v>1952</v>
      </c>
      <c r="R33" s="57">
        <f>'Operating Metrics'!L47</f>
        <v>1575</v>
      </c>
      <c r="S33" s="57">
        <f>'Operating Metrics'!M47</f>
        <v>1488</v>
      </c>
      <c r="T33" s="57">
        <f>'Operating Metrics'!N47</f>
        <v>1570</v>
      </c>
      <c r="U33" s="57">
        <f>'Operating Metrics'!O47</f>
        <v>1912</v>
      </c>
      <c r="V33" s="57">
        <f>'Operating Metrics'!P47</f>
        <v>1505</v>
      </c>
      <c r="W33" s="57">
        <f>'Operating Metrics'!Q47</f>
        <v>1369</v>
      </c>
      <c r="X33" s="57">
        <f>'Operating Metrics'!R47</f>
        <v>1382</v>
      </c>
    </row>
    <row r="34" spans="1:24" ht="20" customHeight="1">
      <c r="A34" s="74" t="s">
        <v>85</v>
      </c>
      <c r="B34" s="65"/>
      <c r="C34" s="78"/>
      <c r="D34" s="78"/>
      <c r="E34" s="78"/>
      <c r="F34" s="78"/>
      <c r="G34" s="78"/>
      <c r="H34" s="78"/>
      <c r="I34" s="78"/>
      <c r="J34" s="78"/>
      <c r="K34" s="32">
        <f>'Operating Metrics'!E48</f>
        <v>-5.966329966329964E-2</v>
      </c>
      <c r="L34" s="32">
        <f>'Operating Metrics'!F48</f>
        <v>-6.2589515898023529E-2</v>
      </c>
      <c r="M34" s="78"/>
      <c r="N34" s="78"/>
      <c r="O34" s="78"/>
      <c r="P34" s="78"/>
      <c r="Q34" s="78"/>
      <c r="R34" s="32">
        <f>'Operating Metrics'!L48</f>
        <v>-7.2438162544169571E-2</v>
      </c>
      <c r="S34" s="32">
        <f>'Operating Metrics'!M48</f>
        <v>-0.12727272727272732</v>
      </c>
      <c r="T34" s="32">
        <f>'Operating Metrics'!N48</f>
        <v>-3.5033804548248337E-2</v>
      </c>
      <c r="U34" s="32">
        <f>'Operating Metrics'!O48</f>
        <v>-2.0491803278688492E-2</v>
      </c>
      <c r="V34" s="32">
        <f>'Operating Metrics'!P48</f>
        <v>-4.4444444444444398E-2</v>
      </c>
      <c r="W34" s="32">
        <f>'Operating Metrics'!Q48</f>
        <v>-7.9973118279569877E-2</v>
      </c>
      <c r="X34" s="32">
        <f>'Operating Metrics'!R48</f>
        <v>-0.11974522292993628</v>
      </c>
    </row>
    <row r="35" spans="1:24" ht="20" customHeight="1">
      <c r="A35" s="74" t="s">
        <v>86</v>
      </c>
      <c r="B35" s="65"/>
      <c r="C35" s="78"/>
      <c r="D35" s="78"/>
      <c r="E35" s="78"/>
      <c r="F35" s="78"/>
      <c r="G35" s="78"/>
      <c r="H35" s="78"/>
      <c r="I35" s="78"/>
      <c r="J35" s="32">
        <f>'Operating Metrics'!D49</f>
        <v>0.26503658754238801</v>
      </c>
      <c r="K35" s="32">
        <f>'Operating Metrics'!E49</f>
        <v>0.25452954686303819</v>
      </c>
      <c r="L35" s="32">
        <f>'Operating Metrics'!F49</f>
        <v>0.23775791920953213</v>
      </c>
      <c r="M35" s="78"/>
      <c r="N35" s="32">
        <f>'Operating Metrics'!H49</f>
        <v>0.27085659594831712</v>
      </c>
      <c r="O35" s="32">
        <f>'Operating Metrics'!I49</f>
        <v>0.26495726495726496</v>
      </c>
      <c r="P35" s="32">
        <f>'Operating Metrics'!J49</f>
        <v>0.24892900856793146</v>
      </c>
      <c r="Q35" s="32">
        <f>'Operating Metrics'!K49</f>
        <v>0.23831034061775119</v>
      </c>
      <c r="R35" s="32">
        <f>'Operating Metrics'!L49</f>
        <v>0.2535007242877837</v>
      </c>
      <c r="S35" s="32">
        <f>'Operating Metrics'!M49</f>
        <v>0.22977146386658431</v>
      </c>
      <c r="T35" s="32">
        <f>'Operating Metrics'!N49</f>
        <v>0.24057615691081827</v>
      </c>
      <c r="U35" s="32">
        <f>'Operating Metrics'!O49</f>
        <v>0.2300012029351618</v>
      </c>
      <c r="V35" s="32">
        <f>'Operating Metrics'!P49</f>
        <v>0.23768161718256475</v>
      </c>
      <c r="W35" s="32">
        <f>'Operating Metrics'!Q49</f>
        <v>0.21498115577889448</v>
      </c>
      <c r="X35" s="32">
        <f>'Operating Metrics'!R49</f>
        <v>0.21248462484624847</v>
      </c>
    </row>
    <row r="36" spans="1:24" ht="22" customHeight="1">
      <c r="A36" s="72" t="s">
        <v>87</v>
      </c>
      <c r="B36" s="65"/>
      <c r="C36" s="73"/>
      <c r="D36" s="73"/>
      <c r="E36" s="73"/>
      <c r="F36" s="73"/>
      <c r="G36" s="73"/>
      <c r="H36" s="73"/>
      <c r="I36" s="57">
        <f>'Operating Metrics'!C46</f>
        <v>6739</v>
      </c>
      <c r="J36" s="57">
        <f>'Operating Metrics'!D46</f>
        <v>7247</v>
      </c>
      <c r="K36" s="57">
        <f>'Operating Metrics'!E46</f>
        <v>6619</v>
      </c>
      <c r="L36" s="57">
        <f>'Operating Metrics'!F46</f>
        <v>6173</v>
      </c>
      <c r="M36" s="73"/>
      <c r="N36" s="57">
        <f>'Operating Metrics'!H46</f>
        <v>1505</v>
      </c>
      <c r="O36" s="57">
        <f>'Operating Metrics'!I46</f>
        <v>1677</v>
      </c>
      <c r="P36" s="57">
        <f>'Operating Metrics'!J46</f>
        <v>1620</v>
      </c>
      <c r="Q36" s="57">
        <f>'Operating Metrics'!K46</f>
        <v>1817</v>
      </c>
      <c r="R36" s="57">
        <f>'Operating Metrics'!L46</f>
        <v>1536</v>
      </c>
      <c r="S36" s="57">
        <f>'Operating Metrics'!M46</f>
        <v>1391</v>
      </c>
      <c r="T36" s="57">
        <f>'Operating Metrics'!N46</f>
        <v>1536</v>
      </c>
      <c r="U36" s="57">
        <f>'Operating Metrics'!O46</f>
        <v>1710</v>
      </c>
      <c r="V36" s="57">
        <f>'Operating Metrics'!P46</f>
        <v>1429</v>
      </c>
      <c r="W36" s="57">
        <f>'Operating Metrics'!Q46</f>
        <v>1342</v>
      </c>
      <c r="X36" s="57">
        <f>'Operating Metrics'!R46</f>
        <v>1333</v>
      </c>
    </row>
    <row r="37" spans="1:24" ht="24" customHeight="1">
      <c r="A37" s="166" t="s">
        <v>88</v>
      </c>
      <c r="B37" s="166"/>
      <c r="C37" s="166"/>
      <c r="D37" s="166"/>
      <c r="E37" s="166"/>
      <c r="F37" s="166"/>
      <c r="G37" s="166"/>
      <c r="H37" s="166"/>
      <c r="I37" s="166"/>
      <c r="J37" s="166"/>
      <c r="K37" s="166"/>
      <c r="L37" s="166"/>
      <c r="M37" s="166"/>
      <c r="N37" s="166"/>
      <c r="O37" s="166"/>
      <c r="P37" s="166"/>
      <c r="Q37" s="166"/>
      <c r="R37" s="166"/>
      <c r="S37" s="166"/>
      <c r="T37" s="166"/>
      <c r="U37" s="166"/>
      <c r="V37" s="166"/>
      <c r="W37" s="166"/>
      <c r="X37" s="166"/>
    </row>
    <row r="38" spans="1:24" ht="22" customHeight="1">
      <c r="A38" s="72" t="s">
        <v>63</v>
      </c>
      <c r="B38" s="65"/>
      <c r="C38" s="73"/>
      <c r="D38" s="73"/>
      <c r="E38" s="73"/>
      <c r="F38" s="73"/>
      <c r="G38" s="73"/>
      <c r="H38" s="73"/>
      <c r="I38" s="57">
        <f>'Operating Metrics'!C60</f>
        <v>26213</v>
      </c>
      <c r="J38" s="57">
        <f>'Operating Metrics'!D60</f>
        <v>27626</v>
      </c>
      <c r="K38" s="57">
        <f>'Operating Metrics'!E60</f>
        <v>27769</v>
      </c>
      <c r="L38" s="57">
        <f>'Operating Metrics'!F60</f>
        <v>28197</v>
      </c>
      <c r="M38" s="73"/>
      <c r="N38" s="57">
        <f>'Operating Metrics'!H60</f>
        <v>5874</v>
      </c>
      <c r="O38" s="57">
        <f>'Operating Metrics'!I60</f>
        <v>6811</v>
      </c>
      <c r="P38" s="57">
        <f>'Operating Metrics'!J60</f>
        <v>7175</v>
      </c>
      <c r="Q38" s="57">
        <f>'Operating Metrics'!K60</f>
        <v>7909</v>
      </c>
      <c r="R38" s="57">
        <f>'Operating Metrics'!L60</f>
        <v>5876</v>
      </c>
      <c r="S38" s="57">
        <f>'Operating Metrics'!M60</f>
        <v>6796</v>
      </c>
      <c r="T38" s="57">
        <f>'Operating Metrics'!N60</f>
        <v>7327</v>
      </c>
      <c r="U38" s="57">
        <f>'Operating Metrics'!O60</f>
        <v>8198</v>
      </c>
      <c r="V38" s="57">
        <f>'Operating Metrics'!P60</f>
        <v>6391</v>
      </c>
      <c r="W38" s="57">
        <f>'Operating Metrics'!Q60</f>
        <v>7243</v>
      </c>
      <c r="X38" s="57">
        <f>'Operating Metrics'!R60</f>
        <v>7706</v>
      </c>
    </row>
    <row r="39" spans="1:24" ht="20" customHeight="1">
      <c r="A39" s="74" t="s">
        <v>83</v>
      </c>
      <c r="B39" s="65"/>
      <c r="C39" s="78"/>
      <c r="D39" s="78"/>
      <c r="E39" s="78"/>
      <c r="F39" s="78"/>
      <c r="G39" s="78"/>
      <c r="H39" s="78"/>
      <c r="I39" s="78"/>
      <c r="J39" s="32">
        <f>'Operating Metrics'!D61</f>
        <v>5.3904551176896964E-2</v>
      </c>
      <c r="K39" s="32">
        <f>'Operating Metrics'!E61</f>
        <v>5.1762832114674584E-3</v>
      </c>
      <c r="L39" s="32">
        <f>'Operating Metrics'!F61</f>
        <v>1.5412870467067519E-2</v>
      </c>
      <c r="M39" s="78"/>
      <c r="N39" s="78"/>
      <c r="O39" s="78"/>
      <c r="P39" s="78"/>
      <c r="Q39" s="78"/>
      <c r="R39" s="32">
        <f>'Operating Metrics'!L61</f>
        <v>3.4048348655080218E-4</v>
      </c>
      <c r="S39" s="32">
        <f>'Operating Metrics'!M61</f>
        <v>-2.2023197768316072E-3</v>
      </c>
      <c r="T39" s="32">
        <f>'Operating Metrics'!N61</f>
        <v>2.1184668989546962E-2</v>
      </c>
      <c r="U39" s="32">
        <f>'Operating Metrics'!O61</f>
        <v>3.6540649892527588E-2</v>
      </c>
      <c r="V39" s="32">
        <f>'Operating Metrics'!P61</f>
        <v>8.7644656228726969E-2</v>
      </c>
      <c r="W39" s="32">
        <f>'Operating Metrics'!Q61</f>
        <v>6.5773984696880561E-2</v>
      </c>
      <c r="X39" s="32">
        <f>'Operating Metrics'!R61</f>
        <v>5.1726491060461344E-2</v>
      </c>
    </row>
    <row r="40" spans="1:24" ht="22" customHeight="1">
      <c r="A40" s="72" t="s">
        <v>84</v>
      </c>
      <c r="B40" s="65"/>
      <c r="C40" s="73"/>
      <c r="D40" s="73"/>
      <c r="E40" s="73"/>
      <c r="F40" s="73"/>
      <c r="G40" s="73"/>
      <c r="H40" s="73"/>
      <c r="I40" s="73"/>
      <c r="J40" s="57">
        <f>'Operating Metrics'!D63</f>
        <v>2962</v>
      </c>
      <c r="K40" s="57">
        <f>'Operating Metrics'!E63</f>
        <v>3104</v>
      </c>
      <c r="L40" s="57">
        <f>'Operating Metrics'!F63</f>
        <v>3285</v>
      </c>
      <c r="M40" s="73"/>
      <c r="N40" s="57">
        <f>'Operating Metrics'!H63</f>
        <v>522</v>
      </c>
      <c r="O40" s="57">
        <f>'Operating Metrics'!I63</f>
        <v>992</v>
      </c>
      <c r="P40" s="57">
        <f>'Operating Metrics'!J63</f>
        <v>1047</v>
      </c>
      <c r="Q40" s="57">
        <f>'Operating Metrics'!K63</f>
        <v>543</v>
      </c>
      <c r="R40" s="57">
        <f>'Operating Metrics'!L63</f>
        <v>595</v>
      </c>
      <c r="S40" s="57">
        <f>'Operating Metrics'!M63</f>
        <v>994</v>
      </c>
      <c r="T40" s="57">
        <f>'Operating Metrics'!N63</f>
        <v>975</v>
      </c>
      <c r="U40" s="57">
        <f>'Operating Metrics'!O63</f>
        <v>721</v>
      </c>
      <c r="V40" s="57">
        <f>'Operating Metrics'!P63</f>
        <v>639</v>
      </c>
      <c r="W40" s="57">
        <f>'Operating Metrics'!Q63</f>
        <v>992</v>
      </c>
      <c r="X40" s="57">
        <f>'Operating Metrics'!R63</f>
        <v>1012</v>
      </c>
    </row>
    <row r="41" spans="1:24" ht="20" customHeight="1">
      <c r="A41" s="74" t="s">
        <v>85</v>
      </c>
      <c r="B41" s="65"/>
      <c r="C41" s="78"/>
      <c r="D41" s="78"/>
      <c r="E41" s="78"/>
      <c r="F41" s="78"/>
      <c r="G41" s="78"/>
      <c r="H41" s="78"/>
      <c r="I41" s="78"/>
      <c r="J41" s="78"/>
      <c r="K41" s="32">
        <f>'Operating Metrics'!E64</f>
        <v>4.7940580688723866E-2</v>
      </c>
      <c r="L41" s="32">
        <f>'Operating Metrics'!F64</f>
        <v>5.8311855670102997E-2</v>
      </c>
      <c r="M41" s="78"/>
      <c r="N41" s="78"/>
      <c r="O41" s="78"/>
      <c r="P41" s="78"/>
      <c r="Q41" s="78"/>
      <c r="R41" s="32">
        <f>'Operating Metrics'!L64</f>
        <v>0.13984674329501923</v>
      </c>
      <c r="S41" s="32">
        <f>'Operating Metrics'!M64</f>
        <v>2.0161290322580072E-3</v>
      </c>
      <c r="T41" s="32">
        <f>'Operating Metrics'!N64</f>
        <v>-6.8767908309455561E-2</v>
      </c>
      <c r="U41" s="32">
        <f>'Operating Metrics'!O64</f>
        <v>0.32780847145488035</v>
      </c>
      <c r="V41" s="32">
        <f>'Operating Metrics'!P64</f>
        <v>7.3949579831932732E-2</v>
      </c>
      <c r="W41" s="32">
        <f>'Operating Metrics'!Q64</f>
        <v>-2.0120724346076591E-3</v>
      </c>
      <c r="X41" s="32">
        <f>'Operating Metrics'!R64</f>
        <v>3.7948717948717903E-2</v>
      </c>
    </row>
    <row r="42" spans="1:24" ht="20" customHeight="1">
      <c r="A42" s="74" t="s">
        <v>86</v>
      </c>
      <c r="B42" s="65"/>
      <c r="C42" s="78"/>
      <c r="D42" s="78"/>
      <c r="E42" s="78"/>
      <c r="F42" s="78"/>
      <c r="G42" s="78"/>
      <c r="H42" s="78"/>
      <c r="I42" s="78"/>
      <c r="J42" s="32">
        <f>'Operating Metrics'!D65</f>
        <v>0.10721783826829798</v>
      </c>
      <c r="K42" s="32">
        <f>'Operating Metrics'!E65</f>
        <v>0.11177932226583601</v>
      </c>
      <c r="L42" s="32">
        <f>'Operating Metrics'!F65</f>
        <v>0.11650175550590489</v>
      </c>
      <c r="M42" s="78"/>
      <c r="N42" s="32">
        <f>'Operating Metrics'!H65</f>
        <v>8.8866189989785502E-2</v>
      </c>
      <c r="O42" s="32">
        <f>'Operating Metrics'!I65</f>
        <v>0.14564674790779622</v>
      </c>
      <c r="P42" s="32">
        <f>'Operating Metrics'!J65</f>
        <v>0.14592334494773518</v>
      </c>
      <c r="Q42" s="32">
        <f>'Operating Metrics'!K65</f>
        <v>6.8655961562776577E-2</v>
      </c>
      <c r="R42" s="32">
        <f>'Operating Metrics'!L65</f>
        <v>0.10125936010891763</v>
      </c>
      <c r="S42" s="32">
        <f>'Operating Metrics'!M65</f>
        <v>0.14626250735726898</v>
      </c>
      <c r="T42" s="32">
        <f>'Operating Metrics'!N65</f>
        <v>0.13306946908693873</v>
      </c>
      <c r="U42" s="32">
        <f>'Operating Metrics'!O65</f>
        <v>8.7948280068309348E-2</v>
      </c>
      <c r="V42" s="32">
        <f>'Operating Metrics'!P65</f>
        <v>9.9984352996401182E-2</v>
      </c>
      <c r="W42" s="32">
        <f>'Operating Metrics'!Q65</f>
        <v>0.13695982327764739</v>
      </c>
      <c r="X42" s="32">
        <f>'Operating Metrics'!R65</f>
        <v>0.13132623929405657</v>
      </c>
    </row>
    <row r="43" spans="1:24" ht="22" customHeight="1">
      <c r="A43" s="72" t="s">
        <v>87</v>
      </c>
      <c r="B43" s="65"/>
      <c r="C43" s="73"/>
      <c r="D43" s="73"/>
      <c r="E43" s="73"/>
      <c r="F43" s="73"/>
      <c r="G43" s="73"/>
      <c r="H43" s="73"/>
      <c r="I43" s="57">
        <f>'Operating Metrics'!C62</f>
        <v>5426</v>
      </c>
      <c r="J43" s="57">
        <f>'Operating Metrics'!D62</f>
        <v>2584</v>
      </c>
      <c r="K43" s="57">
        <f>'Operating Metrics'!E62</f>
        <v>2302</v>
      </c>
      <c r="L43" s="57">
        <f>'Operating Metrics'!F62</f>
        <v>1089</v>
      </c>
      <c r="M43" s="73"/>
      <c r="N43" s="57">
        <f>'Operating Metrics'!H62</f>
        <v>510</v>
      </c>
      <c r="O43" s="57">
        <f>'Operating Metrics'!I62</f>
        <v>987</v>
      </c>
      <c r="P43" s="57">
        <f>'Operating Metrics'!J62</f>
        <v>914</v>
      </c>
      <c r="Q43" s="57">
        <f>'Operating Metrics'!K62</f>
        <v>-109</v>
      </c>
      <c r="R43" s="57">
        <f>'Operating Metrics'!L62</f>
        <v>460</v>
      </c>
      <c r="S43" s="57">
        <f>'Operating Metrics'!M62</f>
        <v>-639</v>
      </c>
      <c r="T43" s="57">
        <f>'Operating Metrics'!N62</f>
        <v>729</v>
      </c>
      <c r="U43" s="57">
        <f>'Operating Metrics'!O62</f>
        <v>539</v>
      </c>
      <c r="V43" s="57">
        <f>'Operating Metrics'!P62</f>
        <v>736</v>
      </c>
      <c r="W43" s="57">
        <f>'Operating Metrics'!Q62</f>
        <v>1053</v>
      </c>
      <c r="X43" s="57">
        <f>'Operating Metrics'!R62</f>
        <v>1056</v>
      </c>
    </row>
    <row r="44" spans="1:24" ht="24" customHeight="1">
      <c r="A44" s="166" t="s">
        <v>89</v>
      </c>
      <c r="B44" s="166"/>
      <c r="C44" s="166"/>
      <c r="D44" s="166"/>
      <c r="E44" s="166"/>
      <c r="F44" s="166"/>
      <c r="G44" s="166"/>
      <c r="H44" s="166"/>
      <c r="I44" s="166"/>
      <c r="J44" s="166"/>
      <c r="K44" s="166"/>
      <c r="L44" s="166"/>
      <c r="M44" s="166"/>
      <c r="N44" s="166"/>
      <c r="O44" s="166"/>
      <c r="P44" s="166"/>
      <c r="Q44" s="166"/>
      <c r="R44" s="166"/>
      <c r="S44" s="166"/>
      <c r="T44" s="166"/>
      <c r="U44" s="166"/>
      <c r="V44" s="166"/>
      <c r="W44" s="166"/>
      <c r="X44" s="166"/>
    </row>
    <row r="45" spans="1:24" ht="22" customHeight="1">
      <c r="A45" s="72" t="s">
        <v>63</v>
      </c>
      <c r="B45" s="65"/>
      <c r="C45" s="73"/>
      <c r="D45" s="73"/>
      <c r="E45" s="73"/>
      <c r="F45" s="73"/>
      <c r="G45" s="73"/>
      <c r="H45" s="73"/>
      <c r="I45" s="57">
        <f>'Operating Metrics'!C76</f>
        <v>4328</v>
      </c>
      <c r="J45" s="57">
        <f>'Operating Metrics'!D76</f>
        <v>4559</v>
      </c>
      <c r="K45" s="57">
        <f>'Operating Metrics'!E76</f>
        <v>4879</v>
      </c>
      <c r="L45" s="57">
        <f>'Operating Metrics'!F76</f>
        <v>4997</v>
      </c>
      <c r="M45" s="73"/>
      <c r="N45" s="57">
        <f>'Operating Metrics'!H76</f>
        <v>739</v>
      </c>
      <c r="O45" s="57">
        <f>'Operating Metrics'!I76</f>
        <v>1326</v>
      </c>
      <c r="P45" s="57">
        <f>'Operating Metrics'!J76</f>
        <v>1290</v>
      </c>
      <c r="Q45" s="57">
        <f>'Operating Metrics'!K76</f>
        <v>1524</v>
      </c>
      <c r="R45" s="57">
        <f>'Operating Metrics'!L76</f>
        <v>759</v>
      </c>
      <c r="S45" s="57">
        <f>'Operating Metrics'!M76</f>
        <v>1368</v>
      </c>
      <c r="T45" s="57">
        <f>'Operating Metrics'!N76</f>
        <v>1291</v>
      </c>
      <c r="U45" s="57">
        <f>'Operating Metrics'!O76</f>
        <v>1579</v>
      </c>
      <c r="V45" s="57">
        <f>'Operating Metrics'!P76</f>
        <v>824</v>
      </c>
      <c r="W45" s="57">
        <f>'Operating Metrics'!Q76</f>
        <v>1523</v>
      </c>
      <c r="X45" s="57">
        <f>'Operating Metrics'!R76</f>
        <v>1401</v>
      </c>
    </row>
    <row r="46" spans="1:24" ht="20" customHeight="1">
      <c r="A46" s="74" t="s">
        <v>83</v>
      </c>
      <c r="B46" s="65"/>
      <c r="C46" s="78"/>
      <c r="D46" s="78"/>
      <c r="E46" s="78"/>
      <c r="F46" s="78"/>
      <c r="G46" s="78"/>
      <c r="H46" s="78"/>
      <c r="I46" s="78"/>
      <c r="J46" s="32">
        <f>'Operating Metrics'!D77</f>
        <v>5.3373382624768873E-2</v>
      </c>
      <c r="K46" s="32">
        <f>'Operating Metrics'!E77</f>
        <v>7.0190831322658465E-2</v>
      </c>
      <c r="L46" s="32">
        <f>'Operating Metrics'!F77</f>
        <v>2.4185283869645469E-2</v>
      </c>
      <c r="M46" s="78"/>
      <c r="N46" s="78"/>
      <c r="O46" s="78"/>
      <c r="P46" s="78"/>
      <c r="Q46" s="78"/>
      <c r="R46" s="32">
        <f>'Operating Metrics'!L77</f>
        <v>2.7063599458728049E-2</v>
      </c>
      <c r="S46" s="32">
        <f>'Operating Metrics'!M77</f>
        <v>3.167420814479649E-2</v>
      </c>
      <c r="T46" s="32">
        <f>'Operating Metrics'!N77</f>
        <v>7.751937984497026E-4</v>
      </c>
      <c r="U46" s="32">
        <f>'Operating Metrics'!O77</f>
        <v>3.6089238845144367E-2</v>
      </c>
      <c r="V46" s="32">
        <f>'Operating Metrics'!P77</f>
        <v>8.5638998682477041E-2</v>
      </c>
      <c r="W46" s="32">
        <f>'Operating Metrics'!Q77</f>
        <v>0.11330409356725135</v>
      </c>
      <c r="X46" s="32">
        <f>'Operating Metrics'!R77</f>
        <v>8.5205267234701676E-2</v>
      </c>
    </row>
    <row r="47" spans="1:24" ht="22" customHeight="1">
      <c r="A47" s="72" t="s">
        <v>84</v>
      </c>
      <c r="B47" s="65"/>
      <c r="C47" s="73"/>
      <c r="D47" s="73"/>
      <c r="E47" s="73"/>
      <c r="F47" s="73"/>
      <c r="G47" s="73"/>
      <c r="H47" s="73"/>
      <c r="I47" s="73"/>
      <c r="J47" s="57">
        <f>'Operating Metrics'!D79</f>
        <v>1440</v>
      </c>
      <c r="K47" s="57">
        <f>'Operating Metrics'!E79</f>
        <v>1708</v>
      </c>
      <c r="L47" s="57">
        <f>'Operating Metrics'!F79</f>
        <v>1856</v>
      </c>
      <c r="M47" s="73"/>
      <c r="N47" s="57">
        <f>'Operating Metrics'!H79</f>
        <v>261</v>
      </c>
      <c r="O47" s="57">
        <f>'Operating Metrics'!I79</f>
        <v>502</v>
      </c>
      <c r="P47" s="57">
        <f>'Operating Metrics'!J79</f>
        <v>473</v>
      </c>
      <c r="Q47" s="57">
        <f>'Operating Metrics'!K79</f>
        <v>472</v>
      </c>
      <c r="R47" s="57">
        <f>'Operating Metrics'!L79</f>
        <v>279</v>
      </c>
      <c r="S47" s="57">
        <f>'Operating Metrics'!M79</f>
        <v>538</v>
      </c>
      <c r="T47" s="57">
        <f>'Operating Metrics'!N79</f>
        <v>511</v>
      </c>
      <c r="U47" s="57">
        <f>'Operating Metrics'!O79</f>
        <v>528</v>
      </c>
      <c r="V47" s="57">
        <f>'Operating Metrics'!P79</f>
        <v>328</v>
      </c>
      <c r="W47" s="57">
        <f>'Operating Metrics'!Q79</f>
        <v>638</v>
      </c>
      <c r="X47" s="57">
        <f>'Operating Metrics'!R79</f>
        <v>564</v>
      </c>
    </row>
    <row r="48" spans="1:24" ht="20" customHeight="1">
      <c r="A48" s="74" t="s">
        <v>85</v>
      </c>
      <c r="B48" s="65"/>
      <c r="C48" s="78"/>
      <c r="D48" s="78"/>
      <c r="E48" s="78"/>
      <c r="F48" s="78"/>
      <c r="G48" s="78"/>
      <c r="H48" s="78"/>
      <c r="I48" s="78"/>
      <c r="J48" s="78"/>
      <c r="K48" s="32">
        <f>'Operating Metrics'!E80</f>
        <v>0.18611111111111112</v>
      </c>
      <c r="L48" s="32">
        <f>'Operating Metrics'!F80</f>
        <v>8.6651053864168714E-2</v>
      </c>
      <c r="M48" s="78"/>
      <c r="N48" s="78"/>
      <c r="O48" s="78"/>
      <c r="P48" s="78"/>
      <c r="Q48" s="78"/>
      <c r="R48" s="32">
        <f>'Operating Metrics'!L80</f>
        <v>6.8965517241379226E-2</v>
      </c>
      <c r="S48" s="32">
        <f>'Operating Metrics'!M80</f>
        <v>7.1713147410358502E-2</v>
      </c>
      <c r="T48" s="32">
        <f>'Operating Metrics'!N80</f>
        <v>8.0338266384778034E-2</v>
      </c>
      <c r="U48" s="32">
        <f>'Operating Metrics'!O80</f>
        <v>0.11864406779661008</v>
      </c>
      <c r="V48" s="32">
        <f>'Operating Metrics'!P80</f>
        <v>0.17562724014336917</v>
      </c>
      <c r="W48" s="32">
        <f>'Operating Metrics'!Q80</f>
        <v>0.18587360594795532</v>
      </c>
      <c r="X48" s="32">
        <f>'Operating Metrics'!R80</f>
        <v>0.10371819960861051</v>
      </c>
    </row>
    <row r="49" spans="1:24" ht="20" customHeight="1">
      <c r="A49" s="74" t="s">
        <v>86</v>
      </c>
      <c r="B49" s="65"/>
      <c r="C49" s="78"/>
      <c r="D49" s="78"/>
      <c r="E49" s="78"/>
      <c r="F49" s="78"/>
      <c r="G49" s="78"/>
      <c r="H49" s="78"/>
      <c r="I49" s="78"/>
      <c r="J49" s="32">
        <f>'Operating Metrics'!D81</f>
        <v>0.31585874095196315</v>
      </c>
      <c r="K49" s="32">
        <f>'Operating Metrics'!E81</f>
        <v>0.35007173601147779</v>
      </c>
      <c r="L49" s="32">
        <f>'Operating Metrics'!F81</f>
        <v>0.37142285371222733</v>
      </c>
      <c r="M49" s="78"/>
      <c r="N49" s="32">
        <f>'Operating Metrics'!H81</f>
        <v>0.35317997293640052</v>
      </c>
      <c r="O49" s="32">
        <f>'Operating Metrics'!I81</f>
        <v>0.37858220211161386</v>
      </c>
      <c r="P49" s="32">
        <f>'Operating Metrics'!J81</f>
        <v>0.36666666666666664</v>
      </c>
      <c r="Q49" s="32">
        <f>'Operating Metrics'!K81</f>
        <v>0.30971128608923887</v>
      </c>
      <c r="R49" s="32">
        <f>'Operating Metrics'!L81</f>
        <v>0.3675889328063241</v>
      </c>
      <c r="S49" s="32">
        <f>'Operating Metrics'!M81</f>
        <v>0.39327485380116961</v>
      </c>
      <c r="T49" s="32">
        <f>'Operating Metrics'!N81</f>
        <v>0.39581719597211462</v>
      </c>
      <c r="U49" s="32">
        <f>'Operating Metrics'!O81</f>
        <v>0.33438885370487648</v>
      </c>
      <c r="V49" s="32">
        <f>'Operating Metrics'!P81</f>
        <v>0.39805825242718446</v>
      </c>
      <c r="W49" s="32">
        <f>'Operating Metrics'!Q81</f>
        <v>0.41891004596191728</v>
      </c>
      <c r="X49" s="32">
        <f>'Operating Metrics'!R81</f>
        <v>0.40256959314775159</v>
      </c>
    </row>
    <row r="50" spans="1:24" ht="22" customHeight="1">
      <c r="A50" s="72" t="s">
        <v>87</v>
      </c>
      <c r="B50" s="65"/>
      <c r="C50" s="73"/>
      <c r="D50" s="73"/>
      <c r="E50" s="73"/>
      <c r="F50" s="73"/>
      <c r="G50" s="73"/>
      <c r="H50" s="73"/>
      <c r="I50" s="57">
        <f>'Operating Metrics'!C78</f>
        <v>-12</v>
      </c>
      <c r="J50" s="57">
        <f>'Operating Metrics'!D78</f>
        <v>567</v>
      </c>
      <c r="K50" s="57">
        <f>'Operating Metrics'!E78</f>
        <v>1462</v>
      </c>
      <c r="L50" s="57">
        <f>'Operating Metrics'!F78</f>
        <v>1769</v>
      </c>
      <c r="M50" s="73"/>
      <c r="N50" s="57">
        <f>'Operating Metrics'!H78</f>
        <v>261</v>
      </c>
      <c r="O50" s="57">
        <f>'Operating Metrics'!I78</f>
        <v>502</v>
      </c>
      <c r="P50" s="57">
        <f>'Operating Metrics'!J78</f>
        <v>458</v>
      </c>
      <c r="Q50" s="57">
        <f>'Operating Metrics'!K78</f>
        <v>241</v>
      </c>
      <c r="R50" s="57">
        <f>'Operating Metrics'!L78</f>
        <v>277</v>
      </c>
      <c r="S50" s="57">
        <f>'Operating Metrics'!M78</f>
        <v>535</v>
      </c>
      <c r="T50" s="57">
        <f>'Operating Metrics'!N78</f>
        <v>436</v>
      </c>
      <c r="U50" s="57">
        <f>'Operating Metrics'!O78</f>
        <v>521</v>
      </c>
      <c r="V50" s="57">
        <f>'Operating Metrics'!P78</f>
        <v>321</v>
      </c>
      <c r="W50" s="57">
        <f>'Operating Metrics'!Q78</f>
        <v>637</v>
      </c>
      <c r="X50" s="57">
        <f>'Operating Metrics'!R78</f>
        <v>562</v>
      </c>
    </row>
    <row r="51" spans="1:24" ht="24" customHeight="1">
      <c r="A51" s="166" t="s">
        <v>90</v>
      </c>
      <c r="B51" s="166"/>
      <c r="C51" s="166"/>
      <c r="D51" s="166"/>
      <c r="E51" s="166"/>
      <c r="F51" s="166"/>
      <c r="G51" s="166"/>
      <c r="H51" s="166"/>
      <c r="I51" s="166"/>
      <c r="J51" s="166"/>
      <c r="K51" s="166"/>
      <c r="L51" s="166"/>
      <c r="M51" s="166"/>
      <c r="N51" s="166"/>
      <c r="O51" s="166"/>
      <c r="P51" s="166"/>
      <c r="Q51" s="166"/>
      <c r="R51" s="166"/>
      <c r="S51" s="166"/>
      <c r="T51" s="166"/>
      <c r="U51" s="166"/>
      <c r="V51" s="166"/>
      <c r="W51" s="166"/>
      <c r="X51" s="166"/>
    </row>
    <row r="52" spans="1:24" ht="22" customHeight="1">
      <c r="A52" s="72" t="s">
        <v>63</v>
      </c>
      <c r="B52" s="65"/>
      <c r="C52" s="73"/>
      <c r="D52" s="73"/>
      <c r="E52" s="73"/>
      <c r="F52" s="73"/>
      <c r="G52" s="73"/>
      <c r="H52" s="73"/>
      <c r="I52" s="57">
        <f>'Operating Metrics'!C92</f>
        <v>16032</v>
      </c>
      <c r="J52" s="57">
        <f>'Operating Metrics'!D92</f>
        <v>16210</v>
      </c>
      <c r="K52" s="57">
        <f>'Operating Metrics'!E92</f>
        <v>16658</v>
      </c>
      <c r="L52" s="57">
        <f>'Operating Metrics'!F92</f>
        <v>18025</v>
      </c>
      <c r="M52" s="73"/>
      <c r="N52" s="57">
        <f>'Operating Metrics'!H92</f>
        <v>2433</v>
      </c>
      <c r="O52" s="57">
        <f>'Operating Metrics'!I92</f>
        <v>4183</v>
      </c>
      <c r="P52" s="57">
        <f>'Operating Metrics'!J92</f>
        <v>4612</v>
      </c>
      <c r="Q52" s="57">
        <f>'Operating Metrics'!K92</f>
        <v>5430</v>
      </c>
      <c r="R52" s="57">
        <f>'Operating Metrics'!L92</f>
        <v>2388</v>
      </c>
      <c r="S52" s="57">
        <f>'Operating Metrics'!M92</f>
        <v>4536</v>
      </c>
      <c r="T52" s="57">
        <f>'Operating Metrics'!N92</f>
        <v>5022</v>
      </c>
      <c r="U52" s="57">
        <f>'Operating Metrics'!O92</f>
        <v>6079</v>
      </c>
      <c r="V52" s="57">
        <f>'Operating Metrics'!P92</f>
        <v>2823</v>
      </c>
      <c r="W52" s="57">
        <f>'Operating Metrics'!Q92</f>
        <v>4983</v>
      </c>
      <c r="X52" s="57">
        <f>'Operating Metrics'!R92</f>
        <v>5413</v>
      </c>
    </row>
    <row r="53" spans="1:24" ht="20" customHeight="1">
      <c r="A53" s="74" t="s">
        <v>83</v>
      </c>
      <c r="B53" s="65"/>
      <c r="C53" s="78"/>
      <c r="D53" s="78"/>
      <c r="E53" s="78"/>
      <c r="F53" s="78"/>
      <c r="G53" s="78"/>
      <c r="H53" s="78"/>
      <c r="I53" s="78"/>
      <c r="J53" s="32">
        <f>'Operating Metrics'!D93</f>
        <v>1.1102794411177674E-2</v>
      </c>
      <c r="K53" s="32">
        <f>'Operating Metrics'!E93</f>
        <v>2.7637260950030829E-2</v>
      </c>
      <c r="L53" s="32">
        <f>'Operating Metrics'!F93</f>
        <v>8.2062672589746644E-2</v>
      </c>
      <c r="M53" s="78"/>
      <c r="N53" s="78"/>
      <c r="O53" s="78"/>
      <c r="P53" s="78"/>
      <c r="Q53" s="78"/>
      <c r="R53" s="32">
        <f>'Operating Metrics'!L93</f>
        <v>-1.8495684340320562E-2</v>
      </c>
      <c r="S53" s="32">
        <f>'Operating Metrics'!M93</f>
        <v>8.4389194358116093E-2</v>
      </c>
      <c r="T53" s="32">
        <f>'Operating Metrics'!N93</f>
        <v>8.8898525585429322E-2</v>
      </c>
      <c r="U53" s="32">
        <f>'Operating Metrics'!O93</f>
        <v>0.1195211786372008</v>
      </c>
      <c r="V53" s="32">
        <f>'Operating Metrics'!P93</f>
        <v>0.1821608040201006</v>
      </c>
      <c r="W53" s="32">
        <f>'Operating Metrics'!Q93</f>
        <v>9.8544973544973491E-2</v>
      </c>
      <c r="X53" s="32">
        <f>'Operating Metrics'!R93</f>
        <v>7.7857427319792949E-2</v>
      </c>
    </row>
    <row r="54" spans="1:24" ht="22" customHeight="1">
      <c r="A54" s="72" t="s">
        <v>84</v>
      </c>
      <c r="B54" s="65"/>
      <c r="C54" s="73"/>
      <c r="D54" s="73"/>
      <c r="E54" s="73"/>
      <c r="F54" s="73"/>
      <c r="G54" s="73"/>
      <c r="H54" s="73"/>
      <c r="I54" s="73"/>
      <c r="J54" s="57">
        <f>'Operating Metrics'!D95</f>
        <v>1975</v>
      </c>
      <c r="K54" s="57">
        <f>'Operating Metrics'!E95</f>
        <v>2232</v>
      </c>
      <c r="L54" s="57">
        <f>'Operating Metrics'!F95</f>
        <v>2571</v>
      </c>
      <c r="M54" s="73"/>
      <c r="N54" s="57">
        <f>'Operating Metrics'!H95</f>
        <v>232</v>
      </c>
      <c r="O54" s="57">
        <f>'Operating Metrics'!I95</f>
        <v>604</v>
      </c>
      <c r="P54" s="57">
        <f>'Operating Metrics'!J95</f>
        <v>758</v>
      </c>
      <c r="Q54" s="57">
        <f>'Operating Metrics'!K95</f>
        <v>638</v>
      </c>
      <c r="R54" s="57">
        <f>'Operating Metrics'!L95</f>
        <v>233</v>
      </c>
      <c r="S54" s="57">
        <f>'Operating Metrics'!M95</f>
        <v>657</v>
      </c>
      <c r="T54" s="57">
        <f>'Operating Metrics'!N95</f>
        <v>808</v>
      </c>
      <c r="U54" s="57">
        <f>'Operating Metrics'!O95</f>
        <v>873</v>
      </c>
      <c r="V54" s="57">
        <f>'Operating Metrics'!P95</f>
        <v>301</v>
      </c>
      <c r="W54" s="57">
        <f>'Operating Metrics'!Q95</f>
        <v>767</v>
      </c>
      <c r="X54" s="57">
        <f>'Operating Metrics'!R95</f>
        <v>940</v>
      </c>
    </row>
    <row r="55" spans="1:24" ht="20" customHeight="1">
      <c r="A55" s="74" t="s">
        <v>85</v>
      </c>
      <c r="B55" s="65"/>
      <c r="C55" s="78"/>
      <c r="D55" s="78"/>
      <c r="E55" s="78"/>
      <c r="F55" s="78"/>
      <c r="G55" s="78"/>
      <c r="H55" s="78"/>
      <c r="I55" s="78"/>
      <c r="J55" s="78"/>
      <c r="K55" s="32">
        <f>'Operating Metrics'!E96</f>
        <v>0.13012658227848095</v>
      </c>
      <c r="L55" s="32">
        <f>'Operating Metrics'!F96</f>
        <v>0.1518817204301075</v>
      </c>
      <c r="M55" s="78"/>
      <c r="N55" s="78"/>
      <c r="O55" s="78"/>
      <c r="P55" s="78"/>
      <c r="Q55" s="78"/>
      <c r="R55" s="32">
        <f>'Operating Metrics'!L96</f>
        <v>4.3103448275862988E-3</v>
      </c>
      <c r="S55" s="32">
        <f>'Operating Metrics'!M96</f>
        <v>8.7748344370860876E-2</v>
      </c>
      <c r="T55" s="32">
        <f>'Operating Metrics'!N96</f>
        <v>6.5963060686015762E-2</v>
      </c>
      <c r="U55" s="32">
        <f>'Operating Metrics'!O96</f>
        <v>0.36833855799373039</v>
      </c>
      <c r="V55" s="32">
        <f>'Operating Metrics'!P96</f>
        <v>0.29184549356223166</v>
      </c>
      <c r="W55" s="32">
        <f>'Operating Metrics'!Q96</f>
        <v>0.16742770167427712</v>
      </c>
      <c r="X55" s="32">
        <f>'Operating Metrics'!R96</f>
        <v>0.16336633663366329</v>
      </c>
    </row>
    <row r="56" spans="1:24" ht="20" customHeight="1">
      <c r="A56" s="74" t="s">
        <v>86</v>
      </c>
      <c r="B56" s="65"/>
      <c r="C56" s="78"/>
      <c r="D56" s="78"/>
      <c r="E56" s="78"/>
      <c r="F56" s="78"/>
      <c r="G56" s="78"/>
      <c r="H56" s="78"/>
      <c r="I56" s="78"/>
      <c r="J56" s="32">
        <f>'Operating Metrics'!D97</f>
        <v>0.12183837137569402</v>
      </c>
      <c r="K56" s="32">
        <f>'Operating Metrics'!E97</f>
        <v>0.13398967463080802</v>
      </c>
      <c r="L56" s="32">
        <f>'Operating Metrics'!F97</f>
        <v>0.14263522884882107</v>
      </c>
      <c r="M56" s="78"/>
      <c r="N56" s="32">
        <f>'Operating Metrics'!H97</f>
        <v>9.5355528154541722E-2</v>
      </c>
      <c r="O56" s="32">
        <f>'Operating Metrics'!I97</f>
        <v>0.14439397561558689</v>
      </c>
      <c r="P56" s="32">
        <f>'Operating Metrics'!J97</f>
        <v>0.16435385949696443</v>
      </c>
      <c r="Q56" s="32">
        <f>'Operating Metrics'!K97</f>
        <v>0.11749539594843462</v>
      </c>
      <c r="R56" s="32">
        <f>'Operating Metrics'!L97</f>
        <v>9.757118927973199E-2</v>
      </c>
      <c r="S56" s="32">
        <f>'Operating Metrics'!M97</f>
        <v>0.14484126984126985</v>
      </c>
      <c r="T56" s="32">
        <f>'Operating Metrics'!N97</f>
        <v>0.1608920748705695</v>
      </c>
      <c r="U56" s="32">
        <f>'Operating Metrics'!O97</f>
        <v>0.14360914624115809</v>
      </c>
      <c r="V56" s="32">
        <f>'Operating Metrics'!P97</f>
        <v>0.10662415869642225</v>
      </c>
      <c r="W56" s="32">
        <f>'Operating Metrics'!Q97</f>
        <v>0.15392333935380292</v>
      </c>
      <c r="X56" s="32">
        <f>'Operating Metrics'!R97</f>
        <v>0.17365601330131167</v>
      </c>
    </row>
    <row r="57" spans="1:24" ht="22" customHeight="1">
      <c r="A57" s="72" t="s">
        <v>87</v>
      </c>
      <c r="B57" s="65"/>
      <c r="C57" s="73"/>
      <c r="D57" s="73"/>
      <c r="E57" s="73"/>
      <c r="F57" s="73"/>
      <c r="G57" s="73"/>
      <c r="H57" s="73"/>
      <c r="I57" s="57">
        <f>'Operating Metrics'!C94</f>
        <v>22</v>
      </c>
      <c r="J57" s="57">
        <f>'Operating Metrics'!D94</f>
        <v>1764</v>
      </c>
      <c r="K57" s="57">
        <f>'Operating Metrics'!E94</f>
        <v>1971</v>
      </c>
      <c r="L57" s="57">
        <f>'Operating Metrics'!F94</f>
        <v>2106</v>
      </c>
      <c r="M57" s="73"/>
      <c r="N57" s="57">
        <f>'Operating Metrics'!H94</f>
        <v>214</v>
      </c>
      <c r="O57" s="57">
        <f>'Operating Metrics'!I94</f>
        <v>582</v>
      </c>
      <c r="P57" s="57">
        <f>'Operating Metrics'!J94</f>
        <v>713</v>
      </c>
      <c r="Q57" s="57">
        <f>'Operating Metrics'!K94</f>
        <v>462</v>
      </c>
      <c r="R57" s="57">
        <f>'Operating Metrics'!L94</f>
        <v>220</v>
      </c>
      <c r="S57" s="57">
        <f>'Operating Metrics'!M94</f>
        <v>370</v>
      </c>
      <c r="T57" s="57">
        <f>'Operating Metrics'!N94</f>
        <v>720</v>
      </c>
      <c r="U57" s="57">
        <f>'Operating Metrics'!O94</f>
        <v>796</v>
      </c>
      <c r="V57" s="57">
        <f>'Operating Metrics'!P94</f>
        <v>278</v>
      </c>
      <c r="W57" s="57">
        <f>'Operating Metrics'!Q94</f>
        <v>751</v>
      </c>
      <c r="X57" s="57">
        <f>'Operating Metrics'!R94</f>
        <v>897</v>
      </c>
    </row>
    <row r="58" spans="1:24" ht="24" customHeight="1">
      <c r="A58" s="166" t="s">
        <v>91</v>
      </c>
      <c r="B58" s="166"/>
      <c r="C58" s="166"/>
      <c r="D58" s="166"/>
      <c r="E58" s="166"/>
      <c r="F58" s="166"/>
      <c r="G58" s="166"/>
      <c r="H58" s="166"/>
      <c r="I58" s="166"/>
      <c r="J58" s="166"/>
      <c r="K58" s="166"/>
      <c r="L58" s="166"/>
      <c r="M58" s="166"/>
      <c r="N58" s="166"/>
      <c r="O58" s="166"/>
      <c r="P58" s="166"/>
      <c r="Q58" s="166"/>
      <c r="R58" s="166"/>
      <c r="S58" s="166"/>
      <c r="T58" s="166"/>
      <c r="U58" s="166"/>
      <c r="V58" s="166"/>
      <c r="W58" s="166"/>
      <c r="X58" s="166"/>
    </row>
    <row r="59" spans="1:24" ht="22" customHeight="1">
      <c r="A59" s="72" t="s">
        <v>63</v>
      </c>
      <c r="B59" s="65"/>
      <c r="C59" s="73"/>
      <c r="D59" s="73"/>
      <c r="E59" s="73"/>
      <c r="F59" s="73"/>
      <c r="G59" s="73"/>
      <c r="H59" s="73"/>
      <c r="I59" s="57">
        <f>'Operating Metrics'!C109</f>
        <v>8867</v>
      </c>
      <c r="J59" s="57">
        <f>'Operating Metrics'!D109</f>
        <v>10576</v>
      </c>
      <c r="K59" s="57">
        <f>'Operating Metrics'!E109</f>
        <v>10568</v>
      </c>
      <c r="L59" s="57">
        <f>'Operating Metrics'!F109</f>
        <v>10549</v>
      </c>
      <c r="M59" s="73"/>
      <c r="N59" s="57">
        <f>'Operating Metrics'!H109</f>
        <v>1890</v>
      </c>
      <c r="O59" s="57">
        <f>'Operating Metrics'!I109</f>
        <v>2749</v>
      </c>
      <c r="P59" s="57">
        <f>'Operating Metrics'!J109</f>
        <v>2615</v>
      </c>
      <c r="Q59" s="57">
        <f>'Operating Metrics'!K109</f>
        <v>3314</v>
      </c>
      <c r="R59" s="57">
        <f>'Operating Metrics'!L109</f>
        <v>1661</v>
      </c>
      <c r="S59" s="57">
        <f>'Operating Metrics'!M109</f>
        <v>2548</v>
      </c>
      <c r="T59" s="57">
        <f>'Operating Metrics'!N109</f>
        <v>2656</v>
      </c>
      <c r="U59" s="57">
        <f>'Operating Metrics'!O109</f>
        <v>3684</v>
      </c>
      <c r="V59" s="57">
        <f>'Operating Metrics'!P109</f>
        <v>1934</v>
      </c>
      <c r="W59" s="57">
        <f>'Operating Metrics'!Q109</f>
        <v>2940</v>
      </c>
      <c r="X59" s="57">
        <f>'Operating Metrics'!R109</f>
        <v>3021</v>
      </c>
    </row>
    <row r="60" spans="1:24" ht="20" customHeight="1">
      <c r="A60" s="74" t="s">
        <v>83</v>
      </c>
      <c r="B60" s="65"/>
      <c r="C60" s="78"/>
      <c r="D60" s="78"/>
      <c r="E60" s="78"/>
      <c r="F60" s="78"/>
      <c r="G60" s="78"/>
      <c r="H60" s="78"/>
      <c r="I60" s="78"/>
      <c r="J60" s="32">
        <f>'Operating Metrics'!D110</f>
        <v>0.19273711514604708</v>
      </c>
      <c r="K60" s="32">
        <f>'Operating Metrics'!E110</f>
        <v>-7.5642965204236745E-4</v>
      </c>
      <c r="L60" s="32">
        <f>'Operating Metrics'!F110</f>
        <v>-1.7978803936411492E-3</v>
      </c>
      <c r="M60" s="78"/>
      <c r="N60" s="78"/>
      <c r="O60" s="78"/>
      <c r="P60" s="78"/>
      <c r="Q60" s="78"/>
      <c r="R60" s="32">
        <f>'Operating Metrics'!L110</f>
        <v>-0.12116402116402114</v>
      </c>
      <c r="S60" s="32">
        <f>'Operating Metrics'!M110</f>
        <v>-7.3117497271735221E-2</v>
      </c>
      <c r="T60" s="32">
        <f>'Operating Metrics'!N110</f>
        <v>1.5678776290630969E-2</v>
      </c>
      <c r="U60" s="32">
        <f>'Operating Metrics'!O110</f>
        <v>0.11164755582377794</v>
      </c>
      <c r="V60" s="32">
        <f>'Operating Metrics'!P110</f>
        <v>0.16435881998795909</v>
      </c>
      <c r="W60" s="32">
        <f>'Operating Metrics'!Q110</f>
        <v>0.15384615384615374</v>
      </c>
      <c r="X60" s="32">
        <f>'Operating Metrics'!R110</f>
        <v>0.13742469879518082</v>
      </c>
    </row>
    <row r="61" spans="1:24" ht="22" customHeight="1">
      <c r="A61" s="72" t="s">
        <v>84</v>
      </c>
      <c r="B61" s="65"/>
      <c r="C61" s="73"/>
      <c r="D61" s="73"/>
      <c r="E61" s="73"/>
      <c r="F61" s="73"/>
      <c r="G61" s="73"/>
      <c r="H61" s="73"/>
      <c r="I61" s="73"/>
      <c r="J61" s="57">
        <f>'Operating Metrics'!D112</f>
        <v>1929</v>
      </c>
      <c r="K61" s="57">
        <f>'Operating Metrics'!E112</f>
        <v>2101</v>
      </c>
      <c r="L61" s="57">
        <f>'Operating Metrics'!F112</f>
        <v>2144</v>
      </c>
      <c r="M61" s="73"/>
      <c r="N61" s="57">
        <f>'Operating Metrics'!H112</f>
        <v>427</v>
      </c>
      <c r="O61" s="57">
        <f>'Operating Metrics'!I112</f>
        <v>550</v>
      </c>
      <c r="P61" s="57">
        <f>'Operating Metrics'!J112</f>
        <v>491</v>
      </c>
      <c r="Q61" s="57">
        <f>'Operating Metrics'!K112</f>
        <v>633</v>
      </c>
      <c r="R61" s="57">
        <f>'Operating Metrics'!L112</f>
        <v>351</v>
      </c>
      <c r="S61" s="57">
        <f>'Operating Metrics'!M112</f>
        <v>545</v>
      </c>
      <c r="T61" s="57">
        <f>'Operating Metrics'!N112</f>
        <v>523</v>
      </c>
      <c r="U61" s="57">
        <f>'Operating Metrics'!O112</f>
        <v>725</v>
      </c>
      <c r="V61" s="57">
        <f>'Operating Metrics'!P112</f>
        <v>431</v>
      </c>
      <c r="W61" s="57">
        <f>'Operating Metrics'!Q112</f>
        <v>620</v>
      </c>
      <c r="X61" s="57">
        <f>'Operating Metrics'!R112</f>
        <v>626</v>
      </c>
    </row>
    <row r="62" spans="1:24" ht="20" customHeight="1">
      <c r="A62" s="74" t="s">
        <v>85</v>
      </c>
      <c r="B62" s="65"/>
      <c r="C62" s="78"/>
      <c r="D62" s="78"/>
      <c r="E62" s="78"/>
      <c r="F62" s="78"/>
      <c r="G62" s="78"/>
      <c r="H62" s="78"/>
      <c r="I62" s="78"/>
      <c r="J62" s="78"/>
      <c r="K62" s="32">
        <f>'Operating Metrics'!E113</f>
        <v>8.9165370658372156E-2</v>
      </c>
      <c r="L62" s="32">
        <f>'Operating Metrics'!F113</f>
        <v>2.0466444550214291E-2</v>
      </c>
      <c r="M62" s="78"/>
      <c r="N62" s="78"/>
      <c r="O62" s="78"/>
      <c r="P62" s="78"/>
      <c r="Q62" s="78"/>
      <c r="R62" s="32">
        <f>'Operating Metrics'!L113</f>
        <v>-0.17798594847775173</v>
      </c>
      <c r="S62" s="32">
        <f>'Operating Metrics'!M113</f>
        <v>-9.0909090909090384E-3</v>
      </c>
      <c r="T62" s="32">
        <f>'Operating Metrics'!N113</f>
        <v>6.5173116089612959E-2</v>
      </c>
      <c r="U62" s="32">
        <f>'Operating Metrics'!O113</f>
        <v>0.14533965244865721</v>
      </c>
      <c r="V62" s="32">
        <f>'Operating Metrics'!P113</f>
        <v>0.22792022792022792</v>
      </c>
      <c r="W62" s="32">
        <f>'Operating Metrics'!Q113</f>
        <v>0.13761467889908263</v>
      </c>
      <c r="X62" s="32">
        <f>'Operating Metrics'!R113</f>
        <v>0.19694072657743789</v>
      </c>
    </row>
    <row r="63" spans="1:24" ht="20" customHeight="1">
      <c r="A63" s="74" t="s">
        <v>86</v>
      </c>
      <c r="B63" s="65"/>
      <c r="C63" s="78"/>
      <c r="D63" s="78"/>
      <c r="E63" s="78"/>
      <c r="F63" s="78"/>
      <c r="G63" s="78"/>
      <c r="H63" s="78"/>
      <c r="I63" s="78"/>
      <c r="J63" s="32">
        <f>'Operating Metrics'!D114</f>
        <v>0.18239409984871408</v>
      </c>
      <c r="K63" s="32">
        <f>'Operating Metrics'!E114</f>
        <v>0.19880772142316427</v>
      </c>
      <c r="L63" s="32">
        <f>'Operating Metrics'!F114</f>
        <v>0.20324201346099155</v>
      </c>
      <c r="M63" s="78"/>
      <c r="N63" s="32">
        <f>'Operating Metrics'!H114</f>
        <v>0.22592592592592592</v>
      </c>
      <c r="O63" s="32">
        <f>'Operating Metrics'!I114</f>
        <v>0.20007275372862859</v>
      </c>
      <c r="P63" s="32">
        <f>'Operating Metrics'!J114</f>
        <v>0.18776290630975143</v>
      </c>
      <c r="Q63" s="32">
        <f>'Operating Metrics'!K114</f>
        <v>0.19100784550392275</v>
      </c>
      <c r="R63" s="32">
        <f>'Operating Metrics'!L114</f>
        <v>0.21131848284166166</v>
      </c>
      <c r="S63" s="32">
        <f>'Operating Metrics'!M114</f>
        <v>0.21389324960753534</v>
      </c>
      <c r="T63" s="32">
        <f>'Operating Metrics'!N114</f>
        <v>0.19691265060240964</v>
      </c>
      <c r="U63" s="32">
        <f>'Operating Metrics'!O114</f>
        <v>0.19679695982627579</v>
      </c>
      <c r="V63" s="32">
        <f>'Operating Metrics'!P114</f>
        <v>0.22285418821096173</v>
      </c>
      <c r="W63" s="32">
        <f>'Operating Metrics'!Q114</f>
        <v>0.21088435374149661</v>
      </c>
      <c r="X63" s="32">
        <f>'Operating Metrics'!R114</f>
        <v>0.20721615359152598</v>
      </c>
    </row>
    <row r="64" spans="1:24" ht="22" customHeight="1">
      <c r="A64" s="72" t="s">
        <v>87</v>
      </c>
      <c r="B64" s="65"/>
      <c r="C64" s="73"/>
      <c r="D64" s="73"/>
      <c r="E64" s="73"/>
      <c r="F64" s="73"/>
      <c r="G64" s="73"/>
      <c r="H64" s="73"/>
      <c r="I64" s="57">
        <f>'Operating Metrics'!C111</f>
        <v>1353</v>
      </c>
      <c r="J64" s="57">
        <f>'Operating Metrics'!D111</f>
        <v>1898</v>
      </c>
      <c r="K64" s="57">
        <f>'Operating Metrics'!E111</f>
        <v>2052</v>
      </c>
      <c r="L64" s="57">
        <f>'Operating Metrics'!F111</f>
        <v>2010</v>
      </c>
      <c r="M64" s="73"/>
      <c r="N64" s="57">
        <f>'Operating Metrics'!H111</f>
        <v>422</v>
      </c>
      <c r="O64" s="57">
        <f>'Operating Metrics'!I111</f>
        <v>534</v>
      </c>
      <c r="P64" s="57">
        <f>'Operating Metrics'!J111</f>
        <v>480</v>
      </c>
      <c r="Q64" s="57">
        <f>'Operating Metrics'!K111</f>
        <v>616</v>
      </c>
      <c r="R64" s="57">
        <f>'Operating Metrics'!L111</f>
        <v>344</v>
      </c>
      <c r="S64" s="57">
        <f>'Operating Metrics'!M111</f>
        <v>533</v>
      </c>
      <c r="T64" s="57">
        <f>'Operating Metrics'!N111</f>
        <v>424</v>
      </c>
      <c r="U64" s="57">
        <f>'Operating Metrics'!O111</f>
        <v>709</v>
      </c>
      <c r="V64" s="57">
        <f>'Operating Metrics'!P111</f>
        <v>428</v>
      </c>
      <c r="W64" s="57">
        <f>'Operating Metrics'!Q111</f>
        <v>616</v>
      </c>
      <c r="X64" s="57">
        <f>'Operating Metrics'!R111</f>
        <v>624</v>
      </c>
    </row>
    <row r="65" spans="1:24" ht="24" customHeight="1">
      <c r="A65" s="166" t="s">
        <v>92</v>
      </c>
      <c r="B65" s="166"/>
      <c r="C65" s="166"/>
      <c r="D65" s="166"/>
      <c r="E65" s="166"/>
      <c r="F65" s="166"/>
      <c r="G65" s="166"/>
      <c r="H65" s="166"/>
      <c r="I65" s="166"/>
      <c r="J65" s="166"/>
      <c r="K65" s="166"/>
      <c r="L65" s="166"/>
      <c r="M65" s="166"/>
      <c r="N65" s="166"/>
      <c r="O65" s="166"/>
      <c r="P65" s="166"/>
      <c r="Q65" s="166"/>
      <c r="R65" s="166"/>
      <c r="S65" s="166"/>
      <c r="T65" s="166"/>
      <c r="U65" s="166"/>
      <c r="V65" s="166"/>
      <c r="W65" s="166"/>
      <c r="X65" s="166"/>
    </row>
    <row r="66" spans="1:24" ht="22" customHeight="1">
      <c r="A66" s="72" t="s">
        <v>63</v>
      </c>
      <c r="B66" s="65"/>
      <c r="C66" s="73"/>
      <c r="D66" s="73"/>
      <c r="E66" s="73"/>
      <c r="F66" s="73"/>
      <c r="G66" s="73"/>
      <c r="H66" s="73"/>
      <c r="I66" s="57">
        <f>'Operating Metrics'!C125</f>
        <v>4501</v>
      </c>
      <c r="J66" s="57">
        <f>'Operating Metrics'!D125</f>
        <v>4485</v>
      </c>
      <c r="K66" s="57">
        <f>'Operating Metrics'!E125</f>
        <v>4549</v>
      </c>
      <c r="L66" s="57">
        <f>'Operating Metrics'!F125</f>
        <v>4629</v>
      </c>
      <c r="M66" s="73"/>
      <c r="N66" s="57">
        <f>'Operating Metrics'!H125</f>
        <v>1045</v>
      </c>
      <c r="O66" s="57">
        <f>'Operating Metrics'!I125</f>
        <v>997</v>
      </c>
      <c r="P66" s="57">
        <f>'Operating Metrics'!J125</f>
        <v>1091</v>
      </c>
      <c r="Q66" s="57">
        <f>'Operating Metrics'!K125</f>
        <v>1416</v>
      </c>
      <c r="R66" s="57">
        <f>'Operating Metrics'!L125</f>
        <v>1022</v>
      </c>
      <c r="S66" s="57">
        <f>'Operating Metrics'!M125</f>
        <v>1002</v>
      </c>
      <c r="T66" s="57">
        <f>'Operating Metrics'!N125</f>
        <v>1115</v>
      </c>
      <c r="U66" s="57">
        <f>'Operating Metrics'!O125</f>
        <v>1490</v>
      </c>
      <c r="V66" s="57">
        <f>'Operating Metrics'!P125</f>
        <v>1139</v>
      </c>
      <c r="W66" s="57">
        <f>'Operating Metrics'!Q125</f>
        <v>1124</v>
      </c>
      <c r="X66" s="57">
        <f>'Operating Metrics'!R125</f>
        <v>1229</v>
      </c>
    </row>
    <row r="67" spans="1:24" ht="20" customHeight="1">
      <c r="A67" s="74" t="s">
        <v>83</v>
      </c>
      <c r="B67" s="65"/>
      <c r="C67" s="78"/>
      <c r="D67" s="78"/>
      <c r="E67" s="78"/>
      <c r="F67" s="78"/>
      <c r="G67" s="78"/>
      <c r="H67" s="78"/>
      <c r="I67" s="78"/>
      <c r="J67" s="32">
        <f>'Operating Metrics'!D126</f>
        <v>-3.5547656076427847E-3</v>
      </c>
      <c r="K67" s="32">
        <f>'Operating Metrics'!E126</f>
        <v>1.4269788182831755E-2</v>
      </c>
      <c r="L67" s="32">
        <f>'Operating Metrics'!F126</f>
        <v>1.758628269949436E-2</v>
      </c>
      <c r="M67" s="78"/>
      <c r="N67" s="78"/>
      <c r="O67" s="78"/>
      <c r="P67" s="78"/>
      <c r="Q67" s="78"/>
      <c r="R67" s="32">
        <f>'Operating Metrics'!L126</f>
        <v>-2.2009569377990479E-2</v>
      </c>
      <c r="S67" s="32">
        <f>'Operating Metrics'!M126</f>
        <v>5.015045135406293E-3</v>
      </c>
      <c r="T67" s="32">
        <f>'Operating Metrics'!N126</f>
        <v>2.1998166819431786E-2</v>
      </c>
      <c r="U67" s="32">
        <f>'Operating Metrics'!O126</f>
        <v>5.2259887005649652E-2</v>
      </c>
      <c r="V67" s="32">
        <f>'Operating Metrics'!P126</f>
        <v>0.11448140900195702</v>
      </c>
      <c r="W67" s="32">
        <f>'Operating Metrics'!Q126</f>
        <v>0.12175648702594821</v>
      </c>
      <c r="X67" s="32">
        <f>'Operating Metrics'!R126</f>
        <v>0.1022421524663677</v>
      </c>
    </row>
    <row r="68" spans="1:24" ht="22" customHeight="1">
      <c r="A68" s="72" t="s">
        <v>84</v>
      </c>
      <c r="B68" s="65"/>
      <c r="C68" s="73"/>
      <c r="D68" s="73"/>
      <c r="E68" s="73"/>
      <c r="F68" s="73"/>
      <c r="G68" s="73"/>
      <c r="H68" s="73"/>
      <c r="I68" s="73"/>
      <c r="J68" s="57">
        <f>'Operating Metrics'!D128</f>
        <v>370</v>
      </c>
      <c r="K68" s="57">
        <f>'Operating Metrics'!E128</f>
        <v>391</v>
      </c>
      <c r="L68" s="57">
        <f>'Operating Metrics'!F128</f>
        <v>464</v>
      </c>
      <c r="M68" s="73"/>
      <c r="N68" s="57">
        <f>'Operating Metrics'!H128</f>
        <v>175</v>
      </c>
      <c r="O68" s="57">
        <f>'Operating Metrics'!I128</f>
        <v>107</v>
      </c>
      <c r="P68" s="57">
        <f>'Operating Metrics'!J128</f>
        <v>131</v>
      </c>
      <c r="Q68" s="57">
        <f>'Operating Metrics'!K128</f>
        <v>-22</v>
      </c>
      <c r="R68" s="57">
        <f>'Operating Metrics'!L128</f>
        <v>161</v>
      </c>
      <c r="S68" s="57">
        <f>'Operating Metrics'!M128</f>
        <v>93</v>
      </c>
      <c r="T68" s="57">
        <f>'Operating Metrics'!N128</f>
        <v>156</v>
      </c>
      <c r="U68" s="57">
        <f>'Operating Metrics'!O128</f>
        <v>54</v>
      </c>
      <c r="V68" s="57">
        <f>'Operating Metrics'!P128</f>
        <v>218</v>
      </c>
      <c r="W68" s="57">
        <f>'Operating Metrics'!Q128</f>
        <v>134</v>
      </c>
      <c r="X68" s="57">
        <f>'Operating Metrics'!R128</f>
        <v>179</v>
      </c>
    </row>
    <row r="69" spans="1:24" ht="20" customHeight="1">
      <c r="A69" s="74" t="s">
        <v>85</v>
      </c>
      <c r="B69" s="65"/>
      <c r="C69" s="78"/>
      <c r="D69" s="78"/>
      <c r="E69" s="78"/>
      <c r="F69" s="78"/>
      <c r="G69" s="78"/>
      <c r="H69" s="78"/>
      <c r="I69" s="78"/>
      <c r="J69" s="78"/>
      <c r="K69" s="32">
        <f>'Operating Metrics'!E129</f>
        <v>5.6756756756756843E-2</v>
      </c>
      <c r="L69" s="32">
        <f>'Operating Metrics'!F129</f>
        <v>0.1867007672634271</v>
      </c>
      <c r="M69" s="78"/>
      <c r="N69" s="78"/>
      <c r="O69" s="78"/>
      <c r="P69" s="78"/>
      <c r="Q69" s="78"/>
      <c r="R69" s="32">
        <f>'Operating Metrics'!L129</f>
        <v>-7.999999999999996E-2</v>
      </c>
      <c r="S69" s="32">
        <f>'Operating Metrics'!M129</f>
        <v>-0.13084112149532712</v>
      </c>
      <c r="T69" s="32">
        <f>'Operating Metrics'!N129</f>
        <v>0.19083969465648853</v>
      </c>
      <c r="U69" s="32" t="str">
        <f>'Operating Metrics'!O129</f>
        <v/>
      </c>
      <c r="V69" s="32">
        <f>'Operating Metrics'!P129</f>
        <v>0.35403726708074523</v>
      </c>
      <c r="W69" s="32">
        <f>'Operating Metrics'!Q129</f>
        <v>0.44086021505376349</v>
      </c>
      <c r="X69" s="32">
        <f>'Operating Metrics'!R129</f>
        <v>0.14743589743589736</v>
      </c>
    </row>
    <row r="70" spans="1:24" ht="20" customHeight="1">
      <c r="A70" s="74" t="s">
        <v>86</v>
      </c>
      <c r="B70" s="65"/>
      <c r="C70" s="78"/>
      <c r="D70" s="78"/>
      <c r="E70" s="78"/>
      <c r="F70" s="78"/>
      <c r="G70" s="78"/>
      <c r="H70" s="78"/>
      <c r="I70" s="78"/>
      <c r="J70" s="32">
        <f>'Operating Metrics'!D130</f>
        <v>8.2497212931995537E-2</v>
      </c>
      <c r="K70" s="32">
        <f>'Operating Metrics'!E130</f>
        <v>8.5952956693778851E-2</v>
      </c>
      <c r="L70" s="32">
        <f>'Operating Metrics'!F130</f>
        <v>0.10023763231799525</v>
      </c>
      <c r="M70" s="78"/>
      <c r="N70" s="32">
        <f>'Operating Metrics'!H130</f>
        <v>0.1674641148325359</v>
      </c>
      <c r="O70" s="32">
        <f>'Operating Metrics'!I130</f>
        <v>0.10732196589769308</v>
      </c>
      <c r="P70" s="32">
        <f>'Operating Metrics'!J130</f>
        <v>0.12007332722273144</v>
      </c>
      <c r="Q70" s="32">
        <f>'Operating Metrics'!K130</f>
        <v>-1.5536723163841809E-2</v>
      </c>
      <c r="R70" s="32">
        <f>'Operating Metrics'!L130</f>
        <v>0.15753424657534246</v>
      </c>
      <c r="S70" s="32">
        <f>'Operating Metrics'!M130</f>
        <v>9.2814371257485026E-2</v>
      </c>
      <c r="T70" s="32">
        <f>'Operating Metrics'!N130</f>
        <v>0.13991031390134528</v>
      </c>
      <c r="U70" s="32">
        <f>'Operating Metrics'!O130</f>
        <v>3.6241610738255034E-2</v>
      </c>
      <c r="V70" s="32">
        <f>'Operating Metrics'!P130</f>
        <v>0.19139596136962247</v>
      </c>
      <c r="W70" s="32">
        <f>'Operating Metrics'!Q130</f>
        <v>0.11921708185053381</v>
      </c>
      <c r="X70" s="32">
        <f>'Operating Metrics'!R130</f>
        <v>0.14564686737184704</v>
      </c>
    </row>
    <row r="71" spans="1:24" ht="22" customHeight="1">
      <c r="A71" s="72" t="s">
        <v>87</v>
      </c>
      <c r="B71" s="65"/>
      <c r="C71" s="73"/>
      <c r="D71" s="73"/>
      <c r="E71" s="73"/>
      <c r="F71" s="73"/>
      <c r="G71" s="73"/>
      <c r="H71" s="73"/>
      <c r="I71" s="57">
        <f>'Operating Metrics'!C127</f>
        <v>78</v>
      </c>
      <c r="J71" s="57">
        <f>'Operating Metrics'!D127</f>
        <v>301</v>
      </c>
      <c r="K71" s="57">
        <f>'Operating Metrics'!E127</f>
        <v>377</v>
      </c>
      <c r="L71" s="57">
        <f>'Operating Metrics'!F127</f>
        <v>369</v>
      </c>
      <c r="M71" s="73"/>
      <c r="N71" s="57">
        <f>'Operating Metrics'!H127</f>
        <v>175</v>
      </c>
      <c r="O71" s="57">
        <f>'Operating Metrics'!I127</f>
        <v>103</v>
      </c>
      <c r="P71" s="57">
        <f>'Operating Metrics'!J127</f>
        <v>129</v>
      </c>
      <c r="Q71" s="57">
        <f>'Operating Metrics'!K127</f>
        <v>-30</v>
      </c>
      <c r="R71" s="57">
        <f>'Operating Metrics'!L127</f>
        <v>160</v>
      </c>
      <c r="S71" s="57">
        <f>'Operating Metrics'!M127</f>
        <v>10</v>
      </c>
      <c r="T71" s="57">
        <f>'Operating Metrics'!N127</f>
        <v>151</v>
      </c>
      <c r="U71" s="57">
        <f>'Operating Metrics'!O127</f>
        <v>48</v>
      </c>
      <c r="V71" s="57">
        <f>'Operating Metrics'!P127</f>
        <v>217</v>
      </c>
      <c r="W71" s="57">
        <f>'Operating Metrics'!Q127</f>
        <v>127</v>
      </c>
      <c r="X71" s="57">
        <f>'Operating Metrics'!R127</f>
        <v>174</v>
      </c>
    </row>
    <row r="72" spans="1:24" ht="24" customHeight="1">
      <c r="A72" s="166" t="s">
        <v>93</v>
      </c>
      <c r="B72" s="166"/>
      <c r="C72" s="166"/>
      <c r="D72" s="166"/>
      <c r="E72" s="166"/>
      <c r="F72" s="166"/>
      <c r="G72" s="166"/>
      <c r="H72" s="166"/>
      <c r="I72" s="166"/>
      <c r="J72" s="166"/>
      <c r="K72" s="166"/>
      <c r="L72" s="166"/>
      <c r="M72" s="166"/>
      <c r="N72" s="166"/>
      <c r="O72" s="166"/>
      <c r="P72" s="166"/>
      <c r="Q72" s="166"/>
      <c r="R72" s="166"/>
      <c r="S72" s="166"/>
      <c r="T72" s="166"/>
      <c r="U72" s="166"/>
      <c r="V72" s="166"/>
      <c r="W72" s="166"/>
      <c r="X72" s="166"/>
    </row>
    <row r="73" spans="1:24" ht="22" customHeight="1">
      <c r="A73" s="72" t="s">
        <v>94</v>
      </c>
      <c r="B73" s="65"/>
      <c r="C73" s="73"/>
      <c r="D73" s="73"/>
      <c r="E73" s="73"/>
      <c r="F73" s="73"/>
      <c r="G73" s="73"/>
      <c r="H73" s="73"/>
      <c r="I73" s="73"/>
      <c r="J73" s="57">
        <f>'Operating Metrics'!D142</f>
        <v>-2226</v>
      </c>
      <c r="K73" s="57">
        <f>'Operating Metrics'!E142</f>
        <v>-1820</v>
      </c>
      <c r="L73" s="57">
        <f>'Operating Metrics'!F142</f>
        <v>-1953</v>
      </c>
      <c r="M73" s="73"/>
      <c r="N73" s="57">
        <f>'Operating Metrics'!H142</f>
        <v>-376</v>
      </c>
      <c r="O73" s="57">
        <f>'Operating Metrics'!I142</f>
        <v>-339</v>
      </c>
      <c r="P73" s="57">
        <f>'Operating Metrics'!J142</f>
        <v>-351</v>
      </c>
      <c r="Q73" s="57">
        <f>'Operating Metrics'!K142</f>
        <v>-754</v>
      </c>
      <c r="R73" s="57">
        <f>'Operating Metrics'!L142</f>
        <v>-405</v>
      </c>
      <c r="S73" s="57">
        <f>'Operating Metrics'!M142</f>
        <v>-404</v>
      </c>
      <c r="T73" s="57">
        <f>'Operating Metrics'!N142</f>
        <v>-406</v>
      </c>
      <c r="U73" s="57">
        <f>'Operating Metrics'!O142</f>
        <v>-738</v>
      </c>
      <c r="V73" s="57">
        <f>'Operating Metrics'!P142</f>
        <v>-372</v>
      </c>
      <c r="W73" s="57">
        <f>'Operating Metrics'!Q142</f>
        <v>-453</v>
      </c>
      <c r="X73" s="57">
        <f>'Operating Metrics'!R142</f>
        <v>-426</v>
      </c>
    </row>
    <row r="74" spans="1:24" ht="22" customHeight="1">
      <c r="A74" s="72" t="s">
        <v>95</v>
      </c>
      <c r="B74" s="65"/>
      <c r="C74" s="73"/>
      <c r="D74" s="73"/>
      <c r="E74" s="73"/>
      <c r="F74" s="73"/>
      <c r="G74" s="73"/>
      <c r="H74" s="73"/>
      <c r="I74" s="57">
        <f>'Operating Metrics'!C141</f>
        <v>-2094</v>
      </c>
      <c r="J74" s="57">
        <f>'Operating Metrics'!D141</f>
        <v>-2375</v>
      </c>
      <c r="K74" s="57">
        <f>'Operating Metrics'!E141</f>
        <v>-1896</v>
      </c>
      <c r="L74" s="57">
        <f>'Operating Metrics'!F141</f>
        <v>-2018</v>
      </c>
      <c r="M74" s="73"/>
      <c r="N74" s="57">
        <f>'Operating Metrics'!H141</f>
        <v>-370</v>
      </c>
      <c r="O74" s="57">
        <f>'Operating Metrics'!I141</f>
        <v>-337</v>
      </c>
      <c r="P74" s="57">
        <f>'Operating Metrics'!J141</f>
        <v>-442</v>
      </c>
      <c r="Q74" s="57">
        <f>'Operating Metrics'!K141</f>
        <v>-747</v>
      </c>
      <c r="R74" s="57">
        <f>'Operating Metrics'!L141</f>
        <v>-414</v>
      </c>
      <c r="S74" s="57">
        <f>'Operating Metrics'!M141</f>
        <v>-411</v>
      </c>
      <c r="T74" s="57">
        <f>'Operating Metrics'!N141</f>
        <v>-427</v>
      </c>
      <c r="U74" s="57">
        <f>'Operating Metrics'!O141</f>
        <v>-766</v>
      </c>
      <c r="V74" s="57">
        <f>'Operating Metrics'!P141</f>
        <v>-196</v>
      </c>
      <c r="W74" s="57">
        <f>'Operating Metrics'!Q141</f>
        <v>-503</v>
      </c>
      <c r="X74" s="57">
        <f>'Operating Metrics'!R141</f>
        <v>-386</v>
      </c>
    </row>
    <row r="75" spans="1:24" ht="24" customHeight="1">
      <c r="A75" s="166" t="s">
        <v>96</v>
      </c>
      <c r="B75" s="166"/>
      <c r="C75" s="166"/>
      <c r="D75" s="166"/>
      <c r="E75" s="166"/>
      <c r="F75" s="166"/>
      <c r="G75" s="166"/>
      <c r="H75" s="166"/>
      <c r="I75" s="166"/>
      <c r="J75" s="166"/>
      <c r="K75" s="166"/>
      <c r="L75" s="166"/>
      <c r="M75" s="166"/>
      <c r="N75" s="166"/>
      <c r="O75" s="166"/>
      <c r="P75" s="166"/>
      <c r="Q75" s="166"/>
      <c r="R75" s="166"/>
      <c r="S75" s="166"/>
      <c r="T75" s="166"/>
      <c r="U75" s="166"/>
      <c r="V75" s="166"/>
      <c r="W75" s="166"/>
      <c r="X75" s="166"/>
    </row>
    <row r="76" spans="1:24" ht="22" customHeight="1">
      <c r="A76" s="77" t="s">
        <v>63</v>
      </c>
      <c r="B76" s="75"/>
      <c r="C76" s="82"/>
      <c r="D76" s="82"/>
      <c r="E76" s="82"/>
      <c r="F76" s="82"/>
      <c r="G76" s="82"/>
      <c r="H76" s="82"/>
      <c r="I76" s="85">
        <f>'Operating Metrics'!I19</f>
        <v>86392</v>
      </c>
      <c r="J76" s="85">
        <f>'Operating Metrics'!J19</f>
        <v>91471</v>
      </c>
      <c r="K76" s="85">
        <f>'Operating Metrics'!K19</f>
        <v>91854</v>
      </c>
      <c r="L76" s="85">
        <f>'Operating Metrics'!L19</f>
        <v>93925</v>
      </c>
      <c r="M76" s="73"/>
      <c r="N76" s="85">
        <f>'Operating Metrics'!N19</f>
        <v>18250</v>
      </c>
      <c r="O76" s="85">
        <f>'Operating Metrics'!O19</f>
        <v>22501</v>
      </c>
      <c r="P76" s="85">
        <f>'Operating Metrics'!P19</f>
        <v>23319</v>
      </c>
      <c r="Q76" s="85">
        <f>'Operating Metrics'!Q19</f>
        <v>27784</v>
      </c>
      <c r="R76" s="85">
        <f>'Operating Metrics'!R19</f>
        <v>17919</v>
      </c>
      <c r="S76" s="85">
        <f>'Operating Metrics'!S19</f>
        <v>22726</v>
      </c>
      <c r="T76" s="85">
        <f>'Operating Metrics'!T19</f>
        <v>23937</v>
      </c>
      <c r="U76" s="85">
        <f>'Operating Metrics'!U19</f>
        <v>29343</v>
      </c>
      <c r="V76" s="85">
        <f>'Operating Metrics'!V19</f>
        <v>19443</v>
      </c>
      <c r="W76" s="85">
        <f>'Operating Metrics'!W19</f>
        <v>24181</v>
      </c>
      <c r="X76" s="85">
        <f>'Operating Metrics'!X19</f>
        <v>25274</v>
      </c>
    </row>
    <row r="77" spans="1:24" ht="20" customHeight="1">
      <c r="A77" s="79" t="s">
        <v>83</v>
      </c>
      <c r="B77" s="75"/>
      <c r="C77" s="83"/>
      <c r="D77" s="83"/>
      <c r="E77" s="83"/>
      <c r="F77" s="83"/>
      <c r="G77" s="83"/>
      <c r="H77" s="83"/>
      <c r="I77" s="86">
        <f>'Operating Metrics'!I20</f>
        <v>8.7047336235750006E-2</v>
      </c>
      <c r="J77" s="86">
        <f>'Operating Metrics'!J20</f>
        <v>5.879016575608853E-2</v>
      </c>
      <c r="K77" s="86">
        <f>'Operating Metrics'!K20</f>
        <v>4.1871194148965785E-3</v>
      </c>
      <c r="L77" s="86">
        <f>'Operating Metrics'!L20</f>
        <v>2.2546650118666633E-2</v>
      </c>
      <c r="M77" s="78"/>
      <c r="N77" s="83"/>
      <c r="O77" s="83"/>
      <c r="P77" s="83"/>
      <c r="Q77" s="83"/>
      <c r="R77" s="86">
        <f>'Operating Metrics'!R20</f>
        <v>-1.813698630136984E-2</v>
      </c>
      <c r="S77" s="86">
        <f>'Operating Metrics'!S20</f>
        <v>9.9995555753078502E-3</v>
      </c>
      <c r="T77" s="86">
        <f>'Operating Metrics'!T20</f>
        <v>2.6501994082078983E-2</v>
      </c>
      <c r="U77" s="86">
        <f>'Operating Metrics'!U20</f>
        <v>5.6111431039447268E-2</v>
      </c>
      <c r="V77" s="86">
        <f>'Operating Metrics'!V20</f>
        <v>8.5049388916792257E-2</v>
      </c>
      <c r="W77" s="86">
        <f>'Operating Metrics'!W20</f>
        <v>6.4023585320778009E-2</v>
      </c>
      <c r="X77" s="86">
        <f>'Operating Metrics'!X20</f>
        <v>5.585495258386608E-2</v>
      </c>
    </row>
    <row r="78" spans="1:24" ht="22" customHeight="1">
      <c r="A78" s="77" t="s">
        <v>84</v>
      </c>
      <c r="B78" s="75"/>
      <c r="C78" s="82"/>
      <c r="D78" s="82"/>
      <c r="E78" s="82"/>
      <c r="F78" s="82"/>
      <c r="G78" s="82"/>
      <c r="H78" s="82"/>
      <c r="I78" s="85">
        <f>'Operating Metrics'!I24</f>
        <v>12325</v>
      </c>
      <c r="J78" s="85">
        <f>'Operating Metrics'!J24</f>
        <v>13875</v>
      </c>
      <c r="K78" s="85">
        <f>'Operating Metrics'!K24</f>
        <v>14698</v>
      </c>
      <c r="L78" s="85">
        <f>'Operating Metrics'!L24</f>
        <v>14912</v>
      </c>
      <c r="M78" s="73"/>
      <c r="N78" s="85">
        <f>'Operating Metrics'!N24</f>
        <v>2939</v>
      </c>
      <c r="O78" s="85">
        <f>'Operating Metrics'!O24</f>
        <v>4121</v>
      </c>
      <c r="P78" s="85">
        <f>'Operating Metrics'!P24</f>
        <v>4176</v>
      </c>
      <c r="Q78" s="85">
        <f>'Operating Metrics'!Q24</f>
        <v>3462</v>
      </c>
      <c r="R78" s="85">
        <f>'Operating Metrics'!R24</f>
        <v>2789</v>
      </c>
      <c r="S78" s="85">
        <f>'Operating Metrics'!S24</f>
        <v>3911</v>
      </c>
      <c r="T78" s="85">
        <f>'Operating Metrics'!T24</f>
        <v>4137</v>
      </c>
      <c r="U78" s="85">
        <f>'Operating Metrics'!U24</f>
        <v>4075</v>
      </c>
      <c r="V78" s="85">
        <f>'Operating Metrics'!V24</f>
        <v>3050</v>
      </c>
      <c r="W78" s="85">
        <f>'Operating Metrics'!W24</f>
        <v>4067</v>
      </c>
      <c r="X78" s="85">
        <f>'Operating Metrics'!X24</f>
        <v>4277</v>
      </c>
    </row>
    <row r="79" spans="1:24" ht="20" customHeight="1">
      <c r="A79" s="79" t="s">
        <v>85</v>
      </c>
      <c r="B79" s="75"/>
      <c r="C79" s="83"/>
      <c r="D79" s="83"/>
      <c r="E79" s="83"/>
      <c r="F79" s="83"/>
      <c r="G79" s="83"/>
      <c r="H79" s="83"/>
      <c r="I79" s="86">
        <f>'Operating Metrics'!I25</f>
        <v>7.9814263185561618E-2</v>
      </c>
      <c r="J79" s="86">
        <f>'Operating Metrics'!J25</f>
        <v>0.12576064908722118</v>
      </c>
      <c r="K79" s="86">
        <f>'Operating Metrics'!K25</f>
        <v>5.931531531531542E-2</v>
      </c>
      <c r="L79" s="86">
        <f>'Operating Metrics'!L25</f>
        <v>1.455980405497348E-2</v>
      </c>
      <c r="M79" s="78"/>
      <c r="N79" s="83"/>
      <c r="O79" s="83"/>
      <c r="P79" s="83"/>
      <c r="Q79" s="83"/>
      <c r="R79" s="86">
        <f>'Operating Metrics'!R25</f>
        <v>-5.1037767948281743E-2</v>
      </c>
      <c r="S79" s="86">
        <f>'Operating Metrics'!S25</f>
        <v>-5.0958505217180261E-2</v>
      </c>
      <c r="T79" s="86">
        <f>'Operating Metrics'!T25</f>
        <v>-9.339080459770166E-3</v>
      </c>
      <c r="U79" s="86">
        <f>'Operating Metrics'!U25</f>
        <v>0.17706528018486423</v>
      </c>
      <c r="V79" s="86">
        <f>'Operating Metrics'!V25</f>
        <v>9.3581929006812503E-2</v>
      </c>
      <c r="W79" s="86">
        <f>'Operating Metrics'!W25</f>
        <v>3.988749680388648E-2</v>
      </c>
      <c r="X79" s="86">
        <f>'Operating Metrics'!X25</f>
        <v>3.384094754653133E-2</v>
      </c>
    </row>
    <row r="80" spans="1:24" ht="20" customHeight="1">
      <c r="A80" s="79" t="s">
        <v>86</v>
      </c>
      <c r="B80" s="75"/>
      <c r="C80" s="83"/>
      <c r="D80" s="83"/>
      <c r="E80" s="83"/>
      <c r="F80" s="83"/>
      <c r="G80" s="83"/>
      <c r="H80" s="83"/>
      <c r="I80" s="86">
        <f>'Operating Metrics'!I26</f>
        <v>0.14266367256227427</v>
      </c>
      <c r="J80" s="86">
        <f>'Operating Metrics'!J26</f>
        <v>0.15168742005662997</v>
      </c>
      <c r="K80" s="86">
        <f>'Operating Metrics'!K26</f>
        <v>0.16001480610534108</v>
      </c>
      <c r="L80" s="86">
        <f>'Operating Metrics'!L26</f>
        <v>0.15876497205216927</v>
      </c>
      <c r="M80" s="78"/>
      <c r="N80" s="86">
        <f>'Operating Metrics'!N26</f>
        <v>0.16104109589041096</v>
      </c>
      <c r="O80" s="86">
        <f>'Operating Metrics'!O26</f>
        <v>0.18314741567041465</v>
      </c>
      <c r="P80" s="86">
        <f>'Operating Metrics'!P26</f>
        <v>0.17908143573909688</v>
      </c>
      <c r="Q80" s="86">
        <f>'Operating Metrics'!Q26</f>
        <v>0.12460408868413475</v>
      </c>
      <c r="R80" s="86">
        <f>'Operating Metrics'!R26</f>
        <v>0.15564484625258107</v>
      </c>
      <c r="S80" s="86">
        <f>'Operating Metrics'!S26</f>
        <v>0.17209363724368565</v>
      </c>
      <c r="T80" s="86">
        <f>'Operating Metrics'!T26</f>
        <v>0.17282867527259055</v>
      </c>
      <c r="U80" s="86">
        <f>'Operating Metrics'!U26</f>
        <v>0.13887468902293562</v>
      </c>
      <c r="V80" s="86">
        <f>'Operating Metrics'!V26</f>
        <v>0.15686879596770045</v>
      </c>
      <c r="W80" s="86">
        <f>'Operating Metrics'!W26</f>
        <v>0.16818990116206939</v>
      </c>
      <c r="X80" s="86">
        <f>'Operating Metrics'!X26</f>
        <v>0.16922529081269289</v>
      </c>
    </row>
    <row r="81" spans="1:24" ht="22" customHeight="1">
      <c r="A81" s="77" t="s">
        <v>87</v>
      </c>
      <c r="B81" s="75"/>
      <c r="C81" s="82"/>
      <c r="D81" s="82"/>
      <c r="E81" s="82"/>
      <c r="F81" s="82"/>
      <c r="G81" s="82"/>
      <c r="H81" s="82"/>
      <c r="I81" s="85">
        <f>'Operating Metrics'!I21</f>
        <v>11512</v>
      </c>
      <c r="J81" s="85">
        <f>'Operating Metrics'!J21</f>
        <v>11986</v>
      </c>
      <c r="K81" s="85">
        <f>'Operating Metrics'!K21</f>
        <v>12887</v>
      </c>
      <c r="L81" s="85">
        <f>'Operating Metrics'!L21</f>
        <v>11498</v>
      </c>
      <c r="M81" s="73"/>
      <c r="N81" s="85">
        <f>'Operating Metrics'!N21</f>
        <v>2717</v>
      </c>
      <c r="O81" s="85">
        <f>'Operating Metrics'!O21</f>
        <v>4048</v>
      </c>
      <c r="P81" s="85">
        <f>'Operating Metrics'!P21</f>
        <v>3872</v>
      </c>
      <c r="Q81" s="85">
        <f>'Operating Metrics'!Q21</f>
        <v>2250</v>
      </c>
      <c r="R81" s="85">
        <f>'Operating Metrics'!R21</f>
        <v>2583</v>
      </c>
      <c r="S81" s="85">
        <f>'Operating Metrics'!S21</f>
        <v>1789</v>
      </c>
      <c r="T81" s="85">
        <f>'Operating Metrics'!T21</f>
        <v>3569</v>
      </c>
      <c r="U81" s="85">
        <f>'Operating Metrics'!U21</f>
        <v>3557</v>
      </c>
      <c r="V81" s="85">
        <f>'Operating Metrics'!V21</f>
        <v>3213</v>
      </c>
      <c r="W81" s="85">
        <f>'Operating Metrics'!W21</f>
        <v>4023</v>
      </c>
      <c r="X81" s="85">
        <f>'Operating Metrics'!X21</f>
        <v>4260</v>
      </c>
    </row>
    <row r="82" spans="1:24" ht="22" customHeight="1">
      <c r="A82" s="65"/>
      <c r="B82" s="65"/>
      <c r="C82" s="65"/>
      <c r="D82" s="65"/>
      <c r="E82" s="65"/>
      <c r="F82" s="65"/>
      <c r="G82" s="65"/>
      <c r="H82" s="65"/>
      <c r="I82" s="65"/>
      <c r="J82" s="65"/>
      <c r="K82" s="65"/>
      <c r="L82" s="65"/>
      <c r="M82" s="65"/>
      <c r="N82" s="65"/>
      <c r="O82" s="65"/>
      <c r="P82" s="65"/>
      <c r="Q82" s="65"/>
      <c r="R82" s="65"/>
      <c r="S82" s="65"/>
      <c r="T82" s="65"/>
      <c r="U82" s="65"/>
      <c r="V82" s="65"/>
      <c r="W82" s="65"/>
      <c r="X82" s="65"/>
    </row>
    <row r="83" spans="1:24" ht="22" customHeight="1">
      <c r="A83" s="65"/>
      <c r="B83" s="65"/>
      <c r="C83" s="65"/>
      <c r="D83" s="65"/>
      <c r="E83" s="65"/>
      <c r="F83" s="65"/>
      <c r="G83" s="65"/>
      <c r="H83" s="65"/>
      <c r="I83" s="65"/>
      <c r="J83" s="65"/>
      <c r="K83" s="65"/>
      <c r="L83" s="65"/>
      <c r="M83" s="65"/>
      <c r="N83" s="65"/>
      <c r="O83" s="65"/>
      <c r="P83" s="65"/>
      <c r="Q83" s="65"/>
      <c r="R83" s="65"/>
      <c r="S83" s="65"/>
      <c r="T83" s="65"/>
      <c r="U83" s="65"/>
      <c r="V83" s="65"/>
      <c r="W83" s="65"/>
      <c r="X83" s="65"/>
    </row>
    <row r="84" spans="1:24" ht="24" customHeight="1">
      <c r="A84" s="165" t="s">
        <v>97</v>
      </c>
      <c r="B84" s="165"/>
      <c r="C84" s="165"/>
      <c r="D84" s="165"/>
      <c r="E84" s="165"/>
      <c r="F84" s="165"/>
      <c r="G84" s="165"/>
      <c r="H84" s="165"/>
      <c r="I84" s="165"/>
      <c r="J84" s="165"/>
      <c r="K84" s="165"/>
      <c r="L84" s="165"/>
      <c r="M84" s="165"/>
      <c r="N84" s="165"/>
      <c r="O84" s="165"/>
      <c r="P84" s="165"/>
      <c r="Q84" s="165"/>
      <c r="R84" s="165"/>
      <c r="S84" s="165"/>
      <c r="T84" s="165"/>
      <c r="U84" s="165"/>
      <c r="V84" s="165"/>
      <c r="W84" s="165"/>
      <c r="X84" s="165"/>
    </row>
    <row r="85" spans="1:24" ht="24" customHeight="1">
      <c r="A85" s="162" t="s">
        <v>98</v>
      </c>
      <c r="B85" s="162"/>
      <c r="C85" s="162"/>
      <c r="D85" s="162"/>
      <c r="E85" s="162"/>
      <c r="F85" s="162"/>
      <c r="G85" s="162"/>
      <c r="H85" s="162"/>
      <c r="I85" s="162"/>
      <c r="J85" s="162"/>
      <c r="K85" s="162"/>
      <c r="L85" s="162"/>
      <c r="M85" s="162"/>
      <c r="N85" s="162"/>
      <c r="O85" s="162"/>
      <c r="P85" s="162"/>
      <c r="Q85" s="162"/>
      <c r="R85" s="162"/>
      <c r="S85" s="162"/>
      <c r="T85" s="162"/>
      <c r="U85" s="162"/>
      <c r="V85" s="162"/>
      <c r="W85" s="162"/>
      <c r="X85" s="162"/>
    </row>
    <row r="86" spans="1:24" ht="24" customHeight="1">
      <c r="A86" s="166" t="s">
        <v>82</v>
      </c>
      <c r="B86" s="166"/>
      <c r="C86" s="166"/>
      <c r="D86" s="166"/>
      <c r="E86" s="166"/>
      <c r="F86" s="166"/>
      <c r="G86" s="166"/>
      <c r="H86" s="166"/>
      <c r="I86" s="166"/>
      <c r="J86" s="166"/>
      <c r="K86" s="166"/>
      <c r="L86" s="166"/>
      <c r="M86" s="166"/>
      <c r="N86" s="166"/>
      <c r="O86" s="166"/>
      <c r="P86" s="166"/>
      <c r="Q86" s="166"/>
      <c r="R86" s="166"/>
      <c r="S86" s="166"/>
      <c r="T86" s="166"/>
      <c r="U86" s="166"/>
      <c r="V86" s="166"/>
      <c r="W86" s="166"/>
      <c r="X86" s="166"/>
    </row>
    <row r="87" spans="1:24" ht="20" customHeight="1">
      <c r="A87" s="74" t="s">
        <v>66</v>
      </c>
      <c r="B87" s="65"/>
      <c r="C87" s="78"/>
      <c r="D87" s="78"/>
      <c r="E87" s="78"/>
      <c r="F87" s="78"/>
      <c r="G87" s="78"/>
      <c r="H87" s="78"/>
      <c r="I87" s="78"/>
      <c r="J87" s="32">
        <f>'Operating Metrics'!D50</f>
        <v>0.08</v>
      </c>
      <c r="K87" s="32">
        <f>'Operating Metrics'!E50</f>
        <v>-0.02</v>
      </c>
      <c r="L87" s="32">
        <f>'Operating Metrics'!F50</f>
        <v>-0.02</v>
      </c>
      <c r="M87" s="78"/>
      <c r="N87" s="32">
        <f>'Operating Metrics'!H50</f>
        <v>-1.4999999999999999E-2</v>
      </c>
      <c r="O87" s="32">
        <f>'Operating Metrics'!I50</f>
        <v>-0.02</v>
      </c>
      <c r="P87" s="32">
        <f>'Operating Metrics'!J50</f>
        <v>-0.02</v>
      </c>
      <c r="Q87" s="32">
        <f>'Operating Metrics'!K50</f>
        <v>-0.02</v>
      </c>
      <c r="R87" s="32">
        <f>'Operating Metrics'!L50</f>
        <v>-0.02</v>
      </c>
      <c r="S87" s="32">
        <f>'Operating Metrics'!M50</f>
        <v>-0.02</v>
      </c>
      <c r="T87" s="32">
        <f>'Operating Metrics'!N50</f>
        <v>-0.03</v>
      </c>
      <c r="U87" s="32">
        <f>'Operating Metrics'!O50</f>
        <v>-0.01</v>
      </c>
      <c r="V87" s="32">
        <f>'Operating Metrics'!P50</f>
        <v>0.01</v>
      </c>
      <c r="W87" s="32">
        <f>'Operating Metrics'!Q50</f>
        <v>-0.02</v>
      </c>
      <c r="X87" s="32">
        <f>'Operating Metrics'!R50</f>
        <v>0</v>
      </c>
    </row>
    <row r="88" spans="1:24" ht="20" customHeight="1">
      <c r="A88" s="74" t="s">
        <v>67</v>
      </c>
      <c r="B88" s="65"/>
      <c r="C88" s="84"/>
      <c r="D88" s="84"/>
      <c r="E88" s="84"/>
      <c r="F88" s="84"/>
      <c r="G88" s="84"/>
      <c r="H88" s="84"/>
      <c r="I88" s="84"/>
      <c r="J88" s="87">
        <v>-1</v>
      </c>
      <c r="K88" s="87">
        <v>-4</v>
      </c>
      <c r="L88" s="87">
        <v>-2</v>
      </c>
      <c r="M88" s="84"/>
      <c r="N88" s="87">
        <v>-4</v>
      </c>
      <c r="O88" s="87">
        <v>-5</v>
      </c>
      <c r="P88" s="87">
        <v>-3</v>
      </c>
      <c r="Q88" s="87">
        <v>-3</v>
      </c>
      <c r="R88" s="87">
        <v>-3</v>
      </c>
      <c r="S88" s="87">
        <v>-1.5</v>
      </c>
      <c r="T88" s="87">
        <v>-4</v>
      </c>
      <c r="U88" s="87">
        <v>-2</v>
      </c>
      <c r="V88" s="87">
        <v>2</v>
      </c>
      <c r="W88" s="87">
        <v>0</v>
      </c>
      <c r="X88" s="87">
        <v>0.5</v>
      </c>
    </row>
    <row r="89" spans="1:24" ht="20" customHeight="1">
      <c r="A89" s="74" t="s">
        <v>68</v>
      </c>
      <c r="B89" s="65"/>
      <c r="C89" s="84"/>
      <c r="D89" s="84"/>
      <c r="E89" s="84"/>
      <c r="F89" s="84"/>
      <c r="G89" s="84"/>
      <c r="H89" s="84"/>
      <c r="I89" s="84"/>
      <c r="J89" s="88">
        <f>'Operating Metrics'!D52*100</f>
        <v>9</v>
      </c>
      <c r="K89" s="88">
        <f>'Operating Metrics'!E52*100</f>
        <v>2</v>
      </c>
      <c r="L89" s="88">
        <f>'Operating Metrics'!F52*100</f>
        <v>1</v>
      </c>
      <c r="M89" s="84"/>
      <c r="N89" s="88">
        <f>'Operating Metrics'!H52*100</f>
        <v>3</v>
      </c>
      <c r="O89" s="88">
        <f>'Operating Metrics'!I52*100</f>
        <v>3</v>
      </c>
      <c r="P89" s="88">
        <f>'Operating Metrics'!J52*100</f>
        <v>0.5</v>
      </c>
      <c r="Q89" s="88">
        <f>'Operating Metrics'!K52*100</f>
        <v>1.5</v>
      </c>
      <c r="R89" s="88">
        <f>'Operating Metrics'!L52*100</f>
        <v>1</v>
      </c>
      <c r="S89" s="88">
        <f>'Operating Metrics'!M52*100</f>
        <v>0</v>
      </c>
      <c r="T89" s="88">
        <f>'Operating Metrics'!N52*100</f>
        <v>2</v>
      </c>
      <c r="U89" s="88">
        <f>'Operating Metrics'!O52*100</f>
        <v>1</v>
      </c>
      <c r="V89" s="88">
        <f>'Operating Metrics'!P52*100</f>
        <v>-1</v>
      </c>
      <c r="W89" s="88">
        <f>'Operating Metrics'!Q52*100</f>
        <v>-2</v>
      </c>
      <c r="X89" s="88">
        <f>'Operating Metrics'!R52*100</f>
        <v>-1</v>
      </c>
    </row>
    <row r="90" spans="1:24" ht="20" customHeight="1">
      <c r="A90" s="74" t="s">
        <v>77</v>
      </c>
      <c r="B90" s="65"/>
      <c r="C90" s="78"/>
      <c r="D90" s="78"/>
      <c r="E90" s="78"/>
      <c r="F90" s="78"/>
      <c r="G90" s="78"/>
      <c r="H90" s="78"/>
      <c r="I90" s="78"/>
      <c r="J90" s="32">
        <f>'Operating Metrics'!D51</f>
        <v>-0.02</v>
      </c>
      <c r="K90" s="32">
        <f>'Operating Metrics'!E51</f>
        <v>-0.05</v>
      </c>
      <c r="L90" s="32">
        <f>'Operating Metrics'!F51</f>
        <v>-0.02</v>
      </c>
      <c r="M90" s="78"/>
      <c r="N90" s="32">
        <f>'Operating Metrics'!H51</f>
        <v>-7.0000000000000007E-2</v>
      </c>
      <c r="O90" s="32">
        <f>'Operating Metrics'!I51</f>
        <v>-7.0000000000000007E-2</v>
      </c>
      <c r="P90" s="32">
        <f>'Operating Metrics'!J51</f>
        <v>-0.04</v>
      </c>
      <c r="Q90" s="32">
        <f>'Operating Metrics'!K51</f>
        <v>-0.04</v>
      </c>
      <c r="R90" s="32">
        <f>'Operating Metrics'!L51</f>
        <v>-0.01</v>
      </c>
      <c r="S90" s="32">
        <f>'Operating Metrics'!M51</f>
        <v>-0.01</v>
      </c>
      <c r="T90" s="32">
        <f>'Operating Metrics'!N51</f>
        <v>-0.04</v>
      </c>
      <c r="U90" s="32">
        <f>'Operating Metrics'!O51</f>
        <v>-0.01</v>
      </c>
      <c r="V90" s="32">
        <f>'Operating Metrics'!P51</f>
        <v>0.02</v>
      </c>
      <c r="W90" s="32">
        <f>'Operating Metrics'!Q51</f>
        <v>0</v>
      </c>
      <c r="X90" s="32">
        <f>'Operating Metrics'!R51</f>
        <v>0</v>
      </c>
    </row>
    <row r="91" spans="1:24" ht="24" customHeight="1">
      <c r="A91" s="166" t="s">
        <v>88</v>
      </c>
      <c r="B91" s="166"/>
      <c r="C91" s="166"/>
      <c r="D91" s="166"/>
      <c r="E91" s="166"/>
      <c r="F91" s="166"/>
      <c r="G91" s="166"/>
      <c r="H91" s="166"/>
      <c r="I91" s="166"/>
      <c r="J91" s="166"/>
      <c r="K91" s="166"/>
      <c r="L91" s="166"/>
      <c r="M91" s="166"/>
      <c r="N91" s="166"/>
      <c r="O91" s="166"/>
      <c r="P91" s="166"/>
      <c r="Q91" s="166"/>
      <c r="R91" s="166"/>
      <c r="S91" s="166"/>
      <c r="T91" s="166"/>
      <c r="U91" s="166"/>
      <c r="V91" s="166"/>
      <c r="W91" s="166"/>
      <c r="X91" s="166"/>
    </row>
    <row r="92" spans="1:24" ht="20" customHeight="1">
      <c r="A92" s="74" t="s">
        <v>66</v>
      </c>
      <c r="B92" s="65"/>
      <c r="C92" s="78"/>
      <c r="D92" s="78"/>
      <c r="E92" s="78"/>
      <c r="F92" s="78"/>
      <c r="G92" s="78"/>
      <c r="H92" s="78"/>
      <c r="I92" s="78"/>
      <c r="J92" s="32">
        <f>'Operating Metrics'!D66</f>
        <v>7.0000000000000007E-2</v>
      </c>
      <c r="K92" s="32">
        <f>'Operating Metrics'!E66</f>
        <v>0.01</v>
      </c>
      <c r="L92" s="32">
        <f>'Operating Metrics'!F66</f>
        <v>0.01</v>
      </c>
      <c r="M92" s="78"/>
      <c r="N92" s="32">
        <f>'Operating Metrics'!H66</f>
        <v>0.01</v>
      </c>
      <c r="O92" s="32">
        <f>'Operating Metrics'!I66</f>
        <v>0.01</v>
      </c>
      <c r="P92" s="32">
        <f>'Operating Metrics'!J66</f>
        <v>0.01</v>
      </c>
      <c r="Q92" s="32">
        <f>'Operating Metrics'!K66</f>
        <v>0</v>
      </c>
      <c r="R92" s="32">
        <f>'Operating Metrics'!L66</f>
        <v>0.01</v>
      </c>
      <c r="S92" s="32">
        <f>'Operating Metrics'!M66</f>
        <v>0.01</v>
      </c>
      <c r="T92" s="32">
        <f>'Operating Metrics'!N66</f>
        <v>0.02</v>
      </c>
      <c r="U92" s="32">
        <f>'Operating Metrics'!O66</f>
        <v>0.02</v>
      </c>
      <c r="V92" s="32">
        <f>'Operating Metrics'!P66</f>
        <v>0.02</v>
      </c>
      <c r="W92" s="32">
        <f>'Operating Metrics'!Q66</f>
        <v>0.01</v>
      </c>
      <c r="X92" s="32">
        <f>'Operating Metrics'!R66</f>
        <v>0</v>
      </c>
    </row>
    <row r="93" spans="1:24" ht="20" customHeight="1">
      <c r="A93" s="74" t="s">
        <v>67</v>
      </c>
      <c r="B93" s="65"/>
      <c r="C93" s="84"/>
      <c r="D93" s="84"/>
      <c r="E93" s="84"/>
      <c r="F93" s="84"/>
      <c r="G93" s="84"/>
      <c r="H93" s="84"/>
      <c r="I93" s="84"/>
      <c r="J93" s="87">
        <v>-5</v>
      </c>
      <c r="K93" s="87">
        <v>-3.5000000000000004</v>
      </c>
      <c r="L93" s="87">
        <v>-3.5000000000000004</v>
      </c>
      <c r="M93" s="84"/>
      <c r="N93" s="87">
        <v>-5</v>
      </c>
      <c r="O93" s="87">
        <v>-3.5000000000000004</v>
      </c>
      <c r="P93" s="87">
        <v>-3</v>
      </c>
      <c r="Q93" s="87">
        <v>-3</v>
      </c>
      <c r="R93" s="87">
        <v>-1</v>
      </c>
      <c r="S93" s="87">
        <v>-4</v>
      </c>
      <c r="T93" s="87">
        <v>-4</v>
      </c>
      <c r="U93" s="87">
        <v>-5</v>
      </c>
      <c r="V93" s="87">
        <v>-4</v>
      </c>
      <c r="W93" s="87">
        <v>-2</v>
      </c>
      <c r="X93" s="87">
        <v>-3</v>
      </c>
    </row>
    <row r="94" spans="1:24" ht="20" customHeight="1">
      <c r="A94" s="74" t="s">
        <v>68</v>
      </c>
      <c r="B94" s="65"/>
      <c r="C94" s="84"/>
      <c r="D94" s="84"/>
      <c r="E94" s="84"/>
      <c r="F94" s="84"/>
      <c r="G94" s="84"/>
      <c r="H94" s="84"/>
      <c r="I94" s="84"/>
      <c r="J94" s="88">
        <f>'Operating Metrics'!D68*100</f>
        <v>12</v>
      </c>
      <c r="K94" s="88">
        <f>'Operating Metrics'!E68*100</f>
        <v>4</v>
      </c>
      <c r="L94" s="88">
        <f>'Operating Metrics'!F68*100</f>
        <v>5</v>
      </c>
      <c r="M94" s="84"/>
      <c r="N94" s="88">
        <f>'Operating Metrics'!H68*100</f>
        <v>6</v>
      </c>
      <c r="O94" s="88">
        <f>'Operating Metrics'!I68*100</f>
        <v>5</v>
      </c>
      <c r="P94" s="88">
        <f>'Operating Metrics'!J68*100</f>
        <v>3</v>
      </c>
      <c r="Q94" s="88">
        <f>'Operating Metrics'!K68*100</f>
        <v>3</v>
      </c>
      <c r="R94" s="88">
        <f>'Operating Metrics'!L68*100</f>
        <v>2</v>
      </c>
      <c r="S94" s="88">
        <f>'Operating Metrics'!M68*100</f>
        <v>4.5</v>
      </c>
      <c r="T94" s="88">
        <f>'Operating Metrics'!N68*100</f>
        <v>6</v>
      </c>
      <c r="U94" s="88">
        <f>'Operating Metrics'!O68*100</f>
        <v>7.0000000000000009</v>
      </c>
      <c r="V94" s="88">
        <f>'Operating Metrics'!P68*100</f>
        <v>6</v>
      </c>
      <c r="W94" s="88">
        <f>'Operating Metrics'!Q68*100</f>
        <v>3</v>
      </c>
      <c r="X94" s="88">
        <f>'Operating Metrics'!R68*100</f>
        <v>3</v>
      </c>
    </row>
    <row r="95" spans="1:24" ht="20" customHeight="1">
      <c r="A95" s="74" t="s">
        <v>78</v>
      </c>
      <c r="B95" s="65"/>
      <c r="C95" s="78"/>
      <c r="D95" s="78"/>
      <c r="E95" s="78"/>
      <c r="F95" s="78"/>
      <c r="G95" s="78"/>
      <c r="H95" s="78"/>
      <c r="I95" s="78"/>
      <c r="J95" s="32">
        <f>'Operating Metrics'!D67</f>
        <v>-0.05</v>
      </c>
      <c r="K95" s="32">
        <f>'Operating Metrics'!E67</f>
        <v>-0.03</v>
      </c>
      <c r="L95" s="32">
        <f>'Operating Metrics'!F67</f>
        <v>-0.03</v>
      </c>
      <c r="M95" s="78"/>
      <c r="N95" s="32">
        <f>'Operating Metrics'!H67</f>
        <v>-0.05</v>
      </c>
      <c r="O95" s="32">
        <f>'Operating Metrics'!I67</f>
        <v>-0.03</v>
      </c>
      <c r="P95" s="32">
        <f>'Operating Metrics'!J67</f>
        <v>-0.03</v>
      </c>
      <c r="Q95" s="32">
        <f>'Operating Metrics'!K67</f>
        <v>-0.03</v>
      </c>
      <c r="R95" s="32">
        <f>'Operating Metrics'!L67</f>
        <v>-0.03</v>
      </c>
      <c r="S95" s="32">
        <f>'Operating Metrics'!M67</f>
        <v>-0.02</v>
      </c>
      <c r="T95" s="32">
        <f>'Operating Metrics'!N67</f>
        <v>-0.03</v>
      </c>
      <c r="U95" s="32">
        <f>'Operating Metrics'!O67</f>
        <v>-0.04</v>
      </c>
      <c r="V95" s="32">
        <f>'Operating Metrics'!P67</f>
        <v>-2.5000000000000001E-2</v>
      </c>
      <c r="W95" s="32">
        <f>'Operating Metrics'!Q67</f>
        <v>-0.04</v>
      </c>
      <c r="X95" s="32">
        <f>'Operating Metrics'!R67</f>
        <v>-0.02</v>
      </c>
    </row>
    <row r="96" spans="1:24" ht="24" customHeight="1">
      <c r="A96" s="166" t="s">
        <v>89</v>
      </c>
      <c r="B96" s="166"/>
      <c r="C96" s="166"/>
      <c r="D96" s="166"/>
      <c r="E96" s="166"/>
      <c r="F96" s="166"/>
      <c r="G96" s="166"/>
      <c r="H96" s="166"/>
      <c r="I96" s="166"/>
      <c r="J96" s="166"/>
      <c r="K96" s="166"/>
      <c r="L96" s="166"/>
      <c r="M96" s="166"/>
      <c r="N96" s="166"/>
      <c r="O96" s="166"/>
      <c r="P96" s="166"/>
      <c r="Q96" s="166"/>
      <c r="R96" s="166"/>
      <c r="S96" s="166"/>
      <c r="T96" s="166"/>
      <c r="U96" s="166"/>
      <c r="V96" s="166"/>
      <c r="W96" s="166"/>
      <c r="X96" s="166"/>
    </row>
    <row r="97" spans="1:24" ht="20" customHeight="1">
      <c r="A97" s="74" t="s">
        <v>66</v>
      </c>
      <c r="B97" s="65"/>
      <c r="C97" s="78"/>
      <c r="D97" s="78"/>
      <c r="E97" s="78"/>
      <c r="F97" s="78"/>
      <c r="G97" s="78"/>
      <c r="H97" s="78"/>
      <c r="I97" s="78"/>
      <c r="J97" s="32">
        <f>'Operating Metrics'!D82</f>
        <v>0.06</v>
      </c>
      <c r="K97" s="32">
        <f>'Operating Metrics'!E82</f>
        <v>0.08</v>
      </c>
      <c r="L97" s="32">
        <f>'Operating Metrics'!F82</f>
        <v>0.03</v>
      </c>
      <c r="M97" s="78"/>
      <c r="N97" s="32">
        <f>'Operating Metrics'!H82</f>
        <v>7.0000000000000007E-2</v>
      </c>
      <c r="O97" s="32">
        <f>'Operating Metrics'!I82</f>
        <v>0.08</v>
      </c>
      <c r="P97" s="32">
        <f>'Operating Metrics'!J82</f>
        <v>0.06</v>
      </c>
      <c r="Q97" s="32">
        <f>'Operating Metrics'!K82</f>
        <v>0.11</v>
      </c>
      <c r="R97" s="32">
        <f>'Operating Metrics'!L82</f>
        <v>7.0000000000000007E-2</v>
      </c>
      <c r="S97" s="32">
        <f>'Operating Metrics'!M82</f>
        <v>0.05</v>
      </c>
      <c r="T97" s="32">
        <f>'Operating Metrics'!N82</f>
        <v>-0.01</v>
      </c>
      <c r="U97" s="32">
        <f>'Operating Metrics'!O82</f>
        <v>0.02</v>
      </c>
      <c r="V97" s="32">
        <f>'Operating Metrics'!P82</f>
        <v>0.05</v>
      </c>
      <c r="W97" s="32">
        <f>'Operating Metrics'!Q82</f>
        <v>0.09</v>
      </c>
      <c r="X97" s="32">
        <f>'Operating Metrics'!R82</f>
        <v>7.0000000000000007E-2</v>
      </c>
    </row>
    <row r="98" spans="1:24" ht="20" customHeight="1">
      <c r="A98" s="74" t="s">
        <v>67</v>
      </c>
      <c r="B98" s="65"/>
      <c r="C98" s="84"/>
      <c r="D98" s="84"/>
      <c r="E98" s="84"/>
      <c r="F98" s="84"/>
      <c r="G98" s="84"/>
      <c r="H98" s="84"/>
      <c r="I98" s="84"/>
      <c r="J98" s="87">
        <v>0</v>
      </c>
      <c r="K98" s="87">
        <v>3</v>
      </c>
      <c r="L98" s="87">
        <v>0</v>
      </c>
      <c r="M98" s="84"/>
      <c r="N98" s="87">
        <v>3</v>
      </c>
      <c r="O98" s="87">
        <v>1</v>
      </c>
      <c r="P98" s="87">
        <v>1</v>
      </c>
      <c r="Q98" s="87">
        <v>6</v>
      </c>
      <c r="R98" s="87">
        <v>5</v>
      </c>
      <c r="S98" s="87">
        <v>1</v>
      </c>
      <c r="T98" s="87">
        <v>-5</v>
      </c>
      <c r="U98" s="87">
        <v>1</v>
      </c>
      <c r="V98" s="87">
        <v>-3</v>
      </c>
      <c r="W98" s="87">
        <v>6</v>
      </c>
      <c r="X98" s="87">
        <v>5.5</v>
      </c>
    </row>
    <row r="99" spans="1:24" ht="20" customHeight="1">
      <c r="A99" s="74" t="s">
        <v>68</v>
      </c>
      <c r="B99" s="65"/>
      <c r="C99" s="84"/>
      <c r="D99" s="84"/>
      <c r="E99" s="84"/>
      <c r="F99" s="84"/>
      <c r="G99" s="84"/>
      <c r="H99" s="84"/>
      <c r="I99" s="84"/>
      <c r="J99" s="88">
        <f>'Operating Metrics'!D84*100</f>
        <v>7.0000000000000009</v>
      </c>
      <c r="K99" s="88">
        <f>'Operating Metrics'!E84*100</f>
        <v>5</v>
      </c>
      <c r="L99" s="88">
        <f>'Operating Metrics'!F84*100</f>
        <v>2</v>
      </c>
      <c r="M99" s="84"/>
      <c r="N99" s="88">
        <f>'Operating Metrics'!H84*100</f>
        <v>3</v>
      </c>
      <c r="O99" s="88">
        <f>'Operating Metrics'!I84*100</f>
        <v>7.0000000000000009</v>
      </c>
      <c r="P99" s="88">
        <f>'Operating Metrics'!J84*100</f>
        <v>5</v>
      </c>
      <c r="Q99" s="88">
        <f>'Operating Metrics'!K84*100</f>
        <v>5.5</v>
      </c>
      <c r="R99" s="88">
        <f>'Operating Metrics'!L84*100</f>
        <v>2</v>
      </c>
      <c r="S99" s="88">
        <f>'Operating Metrics'!M84*100</f>
        <v>4</v>
      </c>
      <c r="T99" s="88">
        <f>'Operating Metrics'!N84*100</f>
        <v>4</v>
      </c>
      <c r="U99" s="88">
        <f>'Operating Metrics'!O84*100</f>
        <v>0</v>
      </c>
      <c r="V99" s="88">
        <f>'Operating Metrics'!P84*100</f>
        <v>8</v>
      </c>
      <c r="W99" s="88">
        <f>'Operating Metrics'!Q84*100</f>
        <v>3</v>
      </c>
      <c r="X99" s="88">
        <f>'Operating Metrics'!R84*100</f>
        <v>2</v>
      </c>
    </row>
    <row r="100" spans="1:24" ht="20" customHeight="1">
      <c r="A100" s="74" t="s">
        <v>78</v>
      </c>
      <c r="B100" s="65"/>
      <c r="C100" s="78"/>
      <c r="D100" s="78"/>
      <c r="E100" s="78"/>
      <c r="F100" s="78"/>
      <c r="G100" s="78"/>
      <c r="H100" s="78"/>
      <c r="I100" s="78"/>
      <c r="J100" s="32">
        <f>'Operating Metrics'!D83</f>
        <v>0.02</v>
      </c>
      <c r="K100" s="32">
        <f>'Operating Metrics'!E83</f>
        <v>0.01</v>
      </c>
      <c r="L100" s="32">
        <f>'Operating Metrics'!F83</f>
        <v>1.4999999999999999E-2</v>
      </c>
      <c r="M100" s="78"/>
      <c r="N100" s="32">
        <f>'Operating Metrics'!H83</f>
        <v>0.02</v>
      </c>
      <c r="O100" s="32">
        <f>'Operating Metrics'!I83</f>
        <v>0.02</v>
      </c>
      <c r="P100" s="32">
        <f>'Operating Metrics'!J83</f>
        <v>-0.01</v>
      </c>
      <c r="Q100" s="32">
        <f>'Operating Metrics'!K83</f>
        <v>0.03</v>
      </c>
      <c r="R100" s="32">
        <f>'Operating Metrics'!L83</f>
        <v>0.03</v>
      </c>
      <c r="S100" s="32">
        <f>'Operating Metrics'!M83</f>
        <v>0.01</v>
      </c>
      <c r="T100" s="32">
        <f>'Operating Metrics'!N83</f>
        <v>-0.01</v>
      </c>
      <c r="U100" s="32">
        <f>'Operating Metrics'!O83</f>
        <v>0.03</v>
      </c>
      <c r="V100" s="32">
        <f>'Operating Metrics'!P83</f>
        <v>5.0000000000000001E-3</v>
      </c>
      <c r="W100" s="32">
        <f>'Operating Metrics'!Q83</f>
        <v>0.05</v>
      </c>
      <c r="X100" s="32">
        <f>'Operating Metrics'!R83</f>
        <v>0.05</v>
      </c>
    </row>
    <row r="101" spans="1:24" ht="24" customHeight="1">
      <c r="A101" s="166" t="s">
        <v>90</v>
      </c>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row>
    <row r="102" spans="1:24" ht="20" customHeight="1">
      <c r="A102" s="74" t="s">
        <v>66</v>
      </c>
      <c r="B102" s="65"/>
      <c r="C102" s="78"/>
      <c r="D102" s="78"/>
      <c r="E102" s="78"/>
      <c r="F102" s="78"/>
      <c r="G102" s="78"/>
      <c r="H102" s="78"/>
      <c r="I102" s="78"/>
      <c r="J102" s="32">
        <f>'Operating Metrics'!D98</f>
        <v>0.17</v>
      </c>
      <c r="K102" s="32">
        <f>'Operating Metrics'!E98</f>
        <v>0.08</v>
      </c>
      <c r="L102" s="32">
        <f>'Operating Metrics'!F98</f>
        <v>0.06</v>
      </c>
      <c r="M102" s="78"/>
      <c r="N102" s="32">
        <f>'Operating Metrics'!H98</f>
        <v>0.09</v>
      </c>
      <c r="O102" s="32">
        <f>'Operating Metrics'!I98</f>
        <v>0.09</v>
      </c>
      <c r="P102" s="32">
        <f>'Operating Metrics'!J98</f>
        <v>0.06</v>
      </c>
      <c r="Q102" s="32">
        <f>'Operating Metrics'!K98</f>
        <v>0.09</v>
      </c>
      <c r="R102" s="32">
        <f>'Operating Metrics'!L98</f>
        <v>0.08</v>
      </c>
      <c r="S102" s="32">
        <f>'Operating Metrics'!M98</f>
        <v>7.0000000000000007E-2</v>
      </c>
      <c r="T102" s="32">
        <f>'Operating Metrics'!N98</f>
        <v>5.5E-2</v>
      </c>
      <c r="U102" s="32">
        <f>'Operating Metrics'!O98</f>
        <v>0.05</v>
      </c>
      <c r="V102" s="32">
        <f>'Operating Metrics'!P98</f>
        <v>7.0000000000000007E-2</v>
      </c>
      <c r="W102" s="32">
        <f>'Operating Metrics'!Q98</f>
        <v>0.06</v>
      </c>
      <c r="X102" s="32">
        <f>'Operating Metrics'!R98</f>
        <v>0.09</v>
      </c>
    </row>
    <row r="103" spans="1:24" ht="20" customHeight="1">
      <c r="A103" s="74" t="s">
        <v>67</v>
      </c>
      <c r="B103" s="65"/>
      <c r="C103" s="84"/>
      <c r="D103" s="84"/>
      <c r="E103" s="84"/>
      <c r="F103" s="84"/>
      <c r="G103" s="84"/>
      <c r="H103" s="84"/>
      <c r="I103" s="84"/>
      <c r="J103" s="87">
        <v>-3</v>
      </c>
      <c r="K103" s="87">
        <v>0</v>
      </c>
      <c r="L103" s="87">
        <v>-3</v>
      </c>
      <c r="M103" s="84"/>
      <c r="N103" s="87">
        <v>4</v>
      </c>
      <c r="O103" s="87">
        <v>1</v>
      </c>
      <c r="P103" s="87">
        <v>-3</v>
      </c>
      <c r="Q103" s="87">
        <v>1</v>
      </c>
      <c r="R103" s="87">
        <v>-8</v>
      </c>
      <c r="S103" s="87">
        <v>-4</v>
      </c>
      <c r="T103" s="87">
        <v>0</v>
      </c>
      <c r="U103" s="87">
        <v>-3</v>
      </c>
      <c r="V103" s="87">
        <v>6</v>
      </c>
      <c r="W103" s="87">
        <v>3</v>
      </c>
      <c r="X103" s="87">
        <v>1</v>
      </c>
    </row>
    <row r="104" spans="1:24" ht="20" customHeight="1">
      <c r="A104" s="74" t="s">
        <v>68</v>
      </c>
      <c r="B104" s="65"/>
      <c r="C104" s="84"/>
      <c r="D104" s="84"/>
      <c r="E104" s="84"/>
      <c r="F104" s="84"/>
      <c r="G104" s="84"/>
      <c r="H104" s="84"/>
      <c r="I104" s="84"/>
      <c r="J104" s="88">
        <f>'Operating Metrics'!D101*100</f>
        <v>20</v>
      </c>
      <c r="K104" s="88">
        <f>'Operating Metrics'!E101*100</f>
        <v>8</v>
      </c>
      <c r="L104" s="88">
        <f>'Operating Metrics'!F101*100</f>
        <v>9</v>
      </c>
      <c r="M104" s="84"/>
      <c r="N104" s="88">
        <f>'Operating Metrics'!H101*100</f>
        <v>5</v>
      </c>
      <c r="O104" s="88">
        <f>'Operating Metrics'!I101*100</f>
        <v>8</v>
      </c>
      <c r="P104" s="88">
        <f>'Operating Metrics'!J101*100</f>
        <v>9</v>
      </c>
      <c r="Q104" s="88">
        <f>'Operating Metrics'!K101*100</f>
        <v>8</v>
      </c>
      <c r="R104" s="88">
        <f>'Operating Metrics'!L101*100</f>
        <v>16</v>
      </c>
      <c r="S104" s="88">
        <f>'Operating Metrics'!M101*100</f>
        <v>11</v>
      </c>
      <c r="T104" s="88">
        <f>'Operating Metrics'!N101*100</f>
        <v>6</v>
      </c>
      <c r="U104" s="88">
        <f>'Operating Metrics'!O101*100</f>
        <v>8</v>
      </c>
      <c r="V104" s="88">
        <f>'Operating Metrics'!P101*100</f>
        <v>0</v>
      </c>
      <c r="W104" s="88">
        <f>'Operating Metrics'!Q101*100</f>
        <v>3</v>
      </c>
      <c r="X104" s="88">
        <f>'Operating Metrics'!R101*100</f>
        <v>7.0000000000000009</v>
      </c>
    </row>
    <row r="105" spans="1:24" ht="20" customHeight="1">
      <c r="A105" s="74" t="s">
        <v>77</v>
      </c>
      <c r="B105" s="65"/>
      <c r="C105" s="78"/>
      <c r="D105" s="78"/>
      <c r="E105" s="78"/>
      <c r="F105" s="78"/>
      <c r="G105" s="78"/>
      <c r="H105" s="78"/>
      <c r="I105" s="78"/>
      <c r="J105" s="32">
        <f>'Operating Metrics'!D99</f>
        <v>-2.5000000000000001E-2</v>
      </c>
      <c r="K105" s="32">
        <f>'Operating Metrics'!E99</f>
        <v>0.01</v>
      </c>
      <c r="L105" s="32">
        <f>'Operating Metrics'!F99</f>
        <v>-0.05</v>
      </c>
      <c r="M105" s="78"/>
      <c r="N105" s="32">
        <f>'Operating Metrics'!H99</f>
        <v>0.03</v>
      </c>
      <c r="O105" s="32">
        <f>'Operating Metrics'!I99</f>
        <v>1.4999999999999999E-2</v>
      </c>
      <c r="P105" s="32">
        <f>'Operating Metrics'!J99</f>
        <v>-2.5000000000000001E-2</v>
      </c>
      <c r="Q105" s="32">
        <f>'Operating Metrics'!K99</f>
        <v>0.03</v>
      </c>
      <c r="R105" s="32">
        <f>'Operating Metrics'!L99</f>
        <v>-0.09</v>
      </c>
      <c r="S105" s="32">
        <f>'Operating Metrics'!M99</f>
        <v>-0.06</v>
      </c>
      <c r="T105" s="32">
        <f>'Operating Metrics'!N99</f>
        <v>-0.01</v>
      </c>
      <c r="U105" s="32">
        <f>'Operating Metrics'!O99</f>
        <v>-0.05</v>
      </c>
      <c r="V105" s="32">
        <f>'Operating Metrics'!P99</f>
        <v>0.09</v>
      </c>
      <c r="W105" s="32">
        <f>'Operating Metrics'!Q99</f>
        <v>0.04</v>
      </c>
      <c r="X105" s="32">
        <f>'Operating Metrics'!R99</f>
        <v>-0.01</v>
      </c>
    </row>
    <row r="106" spans="1:24" ht="20" customHeight="1">
      <c r="A106" s="74" t="s">
        <v>78</v>
      </c>
      <c r="B106" s="65"/>
      <c r="C106" s="78"/>
      <c r="D106" s="78"/>
      <c r="E106" s="78"/>
      <c r="F106" s="78"/>
      <c r="G106" s="78"/>
      <c r="H106" s="78"/>
      <c r="I106" s="78"/>
      <c r="J106" s="32">
        <f>'Operating Metrics'!D100</f>
        <v>-0.04</v>
      </c>
      <c r="K106" s="32">
        <f>'Operating Metrics'!E100</f>
        <v>-0.01</v>
      </c>
      <c r="L106" s="32">
        <f>'Operating Metrics'!F100</f>
        <v>0</v>
      </c>
      <c r="M106" s="78"/>
      <c r="N106" s="32">
        <f>'Operating Metrics'!H100</f>
        <v>0.04</v>
      </c>
      <c r="O106" s="32">
        <f>'Operating Metrics'!I100</f>
        <v>0</v>
      </c>
      <c r="P106" s="32">
        <f>'Operating Metrics'!J100</f>
        <v>-3.5000000000000003E-2</v>
      </c>
      <c r="Q106" s="32">
        <f>'Operating Metrics'!K100</f>
        <v>-0.01</v>
      </c>
      <c r="R106" s="32">
        <f>'Operating Metrics'!L100</f>
        <v>-0.04</v>
      </c>
      <c r="S106" s="32">
        <f>'Operating Metrics'!M100</f>
        <v>0.01</v>
      </c>
      <c r="T106" s="32">
        <f>'Operating Metrics'!N100</f>
        <v>1.4999999999999999E-2</v>
      </c>
      <c r="U106" s="32">
        <f>'Operating Metrics'!O100</f>
        <v>0.01</v>
      </c>
      <c r="V106" s="32">
        <f>'Operating Metrics'!P100</f>
        <v>0.02</v>
      </c>
      <c r="W106" s="32">
        <f>'Operating Metrics'!Q100</f>
        <v>0.01</v>
      </c>
      <c r="X106" s="32">
        <f>'Operating Metrics'!R100</f>
        <v>0.04</v>
      </c>
    </row>
    <row r="107" spans="1:24" ht="24" customHeight="1">
      <c r="A107" s="166" t="s">
        <v>91</v>
      </c>
      <c r="B107" s="166"/>
      <c r="C107" s="166"/>
      <c r="D107" s="166"/>
      <c r="E107" s="166"/>
      <c r="F107" s="166"/>
      <c r="G107" s="166"/>
      <c r="H107" s="166"/>
      <c r="I107" s="166"/>
      <c r="J107" s="166"/>
      <c r="K107" s="166"/>
      <c r="L107" s="166"/>
      <c r="M107" s="166"/>
      <c r="N107" s="166"/>
      <c r="O107" s="166"/>
      <c r="P107" s="166"/>
      <c r="Q107" s="166"/>
      <c r="R107" s="166"/>
      <c r="S107" s="166"/>
      <c r="T107" s="166"/>
      <c r="U107" s="166"/>
      <c r="V107" s="166"/>
      <c r="W107" s="166"/>
      <c r="X107" s="166"/>
    </row>
    <row r="108" spans="1:24" ht="20" customHeight="1">
      <c r="A108" s="74" t="s">
        <v>66</v>
      </c>
      <c r="B108" s="65"/>
      <c r="C108" s="78"/>
      <c r="D108" s="78"/>
      <c r="E108" s="78"/>
      <c r="F108" s="78"/>
      <c r="G108" s="78"/>
      <c r="H108" s="78"/>
      <c r="I108" s="78"/>
      <c r="J108" s="32">
        <f>'Operating Metrics'!D115</f>
        <v>0.11</v>
      </c>
      <c r="K108" s="32">
        <f>'Operating Metrics'!E115</f>
        <v>0.03</v>
      </c>
      <c r="L108" s="32">
        <f>'Operating Metrics'!F115</f>
        <v>4.4999999999999998E-2</v>
      </c>
      <c r="M108" s="78"/>
      <c r="N108" s="32">
        <f>'Operating Metrics'!H115</f>
        <v>0.09</v>
      </c>
      <c r="O108" s="32">
        <f>'Operating Metrics'!I115</f>
        <v>0.01</v>
      </c>
      <c r="P108" s="32">
        <f>'Operating Metrics'!J115</f>
        <v>0.02</v>
      </c>
      <c r="Q108" s="32">
        <f>'Operating Metrics'!K115</f>
        <v>0.03</v>
      </c>
      <c r="R108" s="32">
        <f>'Operating Metrics'!L115</f>
        <v>0.03</v>
      </c>
      <c r="S108" s="32">
        <f>'Operating Metrics'!M115</f>
        <v>0.06</v>
      </c>
      <c r="T108" s="32">
        <f>'Operating Metrics'!N115</f>
        <v>0.04</v>
      </c>
      <c r="U108" s="32">
        <f>'Operating Metrics'!O115</f>
        <v>0.05</v>
      </c>
      <c r="V108" s="32">
        <f>'Operating Metrics'!P115</f>
        <v>0.03</v>
      </c>
      <c r="W108" s="32">
        <f>'Operating Metrics'!Q115</f>
        <v>0.04</v>
      </c>
      <c r="X108" s="32">
        <f>'Operating Metrics'!R115</f>
        <v>0.06</v>
      </c>
    </row>
    <row r="109" spans="1:24" ht="20" customHeight="1">
      <c r="A109" s="74" t="s">
        <v>67</v>
      </c>
      <c r="B109" s="65"/>
      <c r="C109" s="84"/>
      <c r="D109" s="84"/>
      <c r="E109" s="84"/>
      <c r="F109" s="84"/>
      <c r="G109" s="84"/>
      <c r="H109" s="84"/>
      <c r="I109" s="84"/>
      <c r="J109" s="87">
        <v>-4</v>
      </c>
      <c r="K109" s="87">
        <v>-2</v>
      </c>
      <c r="L109" s="87">
        <v>0</v>
      </c>
      <c r="M109" s="84"/>
      <c r="N109" s="87">
        <v>-0.5</v>
      </c>
      <c r="O109" s="87">
        <v>-6</v>
      </c>
      <c r="P109" s="87">
        <v>-2</v>
      </c>
      <c r="Q109" s="87">
        <v>0</v>
      </c>
      <c r="R109" s="87">
        <v>-0.5</v>
      </c>
      <c r="S109" s="87">
        <v>4</v>
      </c>
      <c r="T109" s="87">
        <v>0</v>
      </c>
      <c r="U109" s="87">
        <v>-1</v>
      </c>
      <c r="V109" s="87">
        <v>-2</v>
      </c>
      <c r="W109" s="87">
        <v>0</v>
      </c>
      <c r="X109" s="87">
        <v>2.5</v>
      </c>
    </row>
    <row r="110" spans="1:24" ht="20" customHeight="1">
      <c r="A110" s="74" t="s">
        <v>68</v>
      </c>
      <c r="B110" s="65"/>
      <c r="C110" s="84"/>
      <c r="D110" s="84"/>
      <c r="E110" s="84"/>
      <c r="F110" s="84"/>
      <c r="G110" s="84"/>
      <c r="H110" s="84"/>
      <c r="I110" s="84"/>
      <c r="J110" s="88">
        <f>'Operating Metrics'!D117*100</f>
        <v>14.000000000000002</v>
      </c>
      <c r="K110" s="88">
        <f>'Operating Metrics'!E117*100</f>
        <v>5</v>
      </c>
      <c r="L110" s="88">
        <f>'Operating Metrics'!F117*100</f>
        <v>4</v>
      </c>
      <c r="M110" s="84"/>
      <c r="N110" s="88">
        <f>'Operating Metrics'!H117*100</f>
        <v>9</v>
      </c>
      <c r="O110" s="88">
        <f>'Operating Metrics'!I117*100</f>
        <v>7.0000000000000009</v>
      </c>
      <c r="P110" s="88">
        <f>'Operating Metrics'!J117*100</f>
        <v>4</v>
      </c>
      <c r="Q110" s="88">
        <f>'Operating Metrics'!K117*100</f>
        <v>3</v>
      </c>
      <c r="R110" s="88">
        <f>'Operating Metrics'!L117*100</f>
        <v>3</v>
      </c>
      <c r="S110" s="88">
        <f>'Operating Metrics'!M117*100</f>
        <v>2</v>
      </c>
      <c r="T110" s="88">
        <f>'Operating Metrics'!N117*100</f>
        <v>4</v>
      </c>
      <c r="U110" s="88">
        <f>'Operating Metrics'!O117*100</f>
        <v>6</v>
      </c>
      <c r="V110" s="88">
        <f>'Operating Metrics'!P117*100</f>
        <v>5.5</v>
      </c>
      <c r="W110" s="88">
        <f>'Operating Metrics'!Q117*100</f>
        <v>4</v>
      </c>
      <c r="X110" s="88">
        <f>'Operating Metrics'!R117*100</f>
        <v>3</v>
      </c>
    </row>
    <row r="111" spans="1:24" ht="20" customHeight="1">
      <c r="A111" s="74" t="s">
        <v>77</v>
      </c>
      <c r="B111" s="65"/>
      <c r="C111" s="78"/>
      <c r="D111" s="78"/>
      <c r="E111" s="78"/>
      <c r="F111" s="78"/>
      <c r="G111" s="78"/>
      <c r="H111" s="78"/>
      <c r="I111" s="78"/>
      <c r="J111" s="32">
        <f>'Operating Metrics'!D116</f>
        <v>-0.04</v>
      </c>
      <c r="K111" s="32">
        <f>'Operating Metrics'!E116</f>
        <v>-0.02</v>
      </c>
      <c r="L111" s="32">
        <f>'Operating Metrics'!F116</f>
        <v>0.01</v>
      </c>
      <c r="M111" s="78"/>
      <c r="N111" s="32">
        <f>'Operating Metrics'!H116</f>
        <v>-5.0000000000000001E-3</v>
      </c>
      <c r="O111" s="32">
        <f>'Operating Metrics'!I116</f>
        <v>-0.06</v>
      </c>
      <c r="P111" s="32">
        <f>'Operating Metrics'!J116</f>
        <v>-0.02</v>
      </c>
      <c r="Q111" s="32">
        <f>'Operating Metrics'!K116</f>
        <v>0</v>
      </c>
      <c r="R111" s="32">
        <f>'Operating Metrics'!L116</f>
        <v>-5.0000000000000001E-3</v>
      </c>
      <c r="S111" s="32">
        <f>'Operating Metrics'!M116</f>
        <v>0.04</v>
      </c>
      <c r="T111" s="32">
        <f>'Operating Metrics'!N116</f>
        <v>0</v>
      </c>
      <c r="U111" s="32">
        <f>'Operating Metrics'!O116</f>
        <v>-0.01</v>
      </c>
      <c r="V111" s="32">
        <f>'Operating Metrics'!P116</f>
        <v>-0.02</v>
      </c>
      <c r="W111" s="32">
        <f>'Operating Metrics'!Q116</f>
        <v>0</v>
      </c>
      <c r="X111" s="32">
        <f>'Operating Metrics'!R116</f>
        <v>0.03</v>
      </c>
    </row>
    <row r="112" spans="1:24" ht="24" customHeight="1">
      <c r="A112" s="166" t="s">
        <v>92</v>
      </c>
      <c r="B112" s="166"/>
      <c r="C112" s="166"/>
      <c r="D112" s="166"/>
      <c r="E112" s="166"/>
      <c r="F112" s="166"/>
      <c r="G112" s="166"/>
      <c r="H112" s="166"/>
      <c r="I112" s="166"/>
      <c r="J112" s="166"/>
      <c r="K112" s="166"/>
      <c r="L112" s="166"/>
      <c r="M112" s="166"/>
      <c r="N112" s="166"/>
      <c r="O112" s="166"/>
      <c r="P112" s="166"/>
      <c r="Q112" s="166"/>
      <c r="R112" s="166"/>
      <c r="S112" s="166"/>
      <c r="T112" s="166"/>
      <c r="U112" s="166"/>
      <c r="V112" s="166"/>
      <c r="W112" s="166"/>
      <c r="X112" s="166"/>
    </row>
    <row r="113" spans="1:24" ht="20" customHeight="1">
      <c r="A113" s="74" t="s">
        <v>66</v>
      </c>
      <c r="B113" s="65"/>
      <c r="C113" s="78"/>
      <c r="D113" s="78"/>
      <c r="E113" s="78"/>
      <c r="F113" s="78"/>
      <c r="G113" s="78"/>
      <c r="H113" s="78"/>
      <c r="I113" s="78"/>
      <c r="J113" s="32">
        <f>'Operating Metrics'!D131</f>
        <v>0.04</v>
      </c>
      <c r="K113" s="32">
        <f>'Operating Metrics'!E131</f>
        <v>0.03</v>
      </c>
      <c r="L113" s="32">
        <f>'Operating Metrics'!F131</f>
        <v>1.4999999999999999E-2</v>
      </c>
      <c r="M113" s="78"/>
      <c r="N113" s="32">
        <f>'Operating Metrics'!H131</f>
        <v>0.1</v>
      </c>
      <c r="O113" s="32">
        <f>'Operating Metrics'!I131</f>
        <v>0.01</v>
      </c>
      <c r="P113" s="32">
        <f>'Operating Metrics'!J131</f>
        <v>1.4999999999999999E-2</v>
      </c>
      <c r="Q113" s="32">
        <f>'Operating Metrics'!K131</f>
        <v>0.02</v>
      </c>
      <c r="R113" s="32">
        <f>'Operating Metrics'!L131</f>
        <v>-0.01</v>
      </c>
      <c r="S113" s="32">
        <f>'Operating Metrics'!M131</f>
        <v>0</v>
      </c>
      <c r="T113" s="32">
        <f>'Operating Metrics'!N131</f>
        <v>0.01</v>
      </c>
      <c r="U113" s="32">
        <f>'Operating Metrics'!O131</f>
        <v>0.04</v>
      </c>
      <c r="V113" s="32">
        <f>'Operating Metrics'!P131</f>
        <v>7.0000000000000007E-2</v>
      </c>
      <c r="W113" s="32">
        <f>'Operating Metrics'!Q131</f>
        <v>0.09</v>
      </c>
      <c r="X113" s="32">
        <f>'Operating Metrics'!R131</f>
        <v>0.09</v>
      </c>
    </row>
    <row r="114" spans="1:24" ht="20" customHeight="1">
      <c r="A114" s="74" t="s">
        <v>67</v>
      </c>
      <c r="B114" s="65"/>
      <c r="C114" s="84"/>
      <c r="D114" s="84"/>
      <c r="E114" s="84"/>
      <c r="F114" s="84"/>
      <c r="G114" s="84"/>
      <c r="H114" s="84"/>
      <c r="I114" s="84"/>
      <c r="J114" s="87">
        <v>-2</v>
      </c>
      <c r="K114" s="87">
        <v>6</v>
      </c>
      <c r="L114" s="87">
        <v>5</v>
      </c>
      <c r="M114" s="84"/>
      <c r="N114" s="87">
        <v>12</v>
      </c>
      <c r="O114" s="87">
        <v>3</v>
      </c>
      <c r="P114" s="87">
        <v>4</v>
      </c>
      <c r="Q114" s="87">
        <v>6</v>
      </c>
      <c r="R114" s="87">
        <v>3.5000000000000004</v>
      </c>
      <c r="S114" s="87">
        <v>6</v>
      </c>
      <c r="T114" s="87">
        <v>4</v>
      </c>
      <c r="U114" s="87">
        <v>5</v>
      </c>
      <c r="V114" s="87">
        <v>10</v>
      </c>
      <c r="W114" s="87">
        <v>10</v>
      </c>
      <c r="X114" s="87">
        <v>11</v>
      </c>
    </row>
    <row r="115" spans="1:24" ht="20" customHeight="1">
      <c r="A115" s="74" t="s">
        <v>68</v>
      </c>
      <c r="B115" s="65"/>
      <c r="C115" s="84"/>
      <c r="D115" s="84"/>
      <c r="E115" s="84"/>
      <c r="F115" s="84"/>
      <c r="G115" s="84"/>
      <c r="H115" s="84"/>
      <c r="I115" s="84"/>
      <c r="J115" s="88">
        <f>'Operating Metrics'!D133*100</f>
        <v>6</v>
      </c>
      <c r="K115" s="88">
        <f>'Operating Metrics'!E133*100</f>
        <v>-3</v>
      </c>
      <c r="L115" s="88">
        <f>'Operating Metrics'!F133*100</f>
        <v>-3</v>
      </c>
      <c r="M115" s="84"/>
      <c r="N115" s="88">
        <f>'Operating Metrics'!H133*100</f>
        <v>-2</v>
      </c>
      <c r="O115" s="88">
        <f>'Operating Metrics'!I133*100</f>
        <v>-3</v>
      </c>
      <c r="P115" s="88">
        <f>'Operating Metrics'!J133*100</f>
        <v>-2</v>
      </c>
      <c r="Q115" s="88">
        <f>'Operating Metrics'!K133*100</f>
        <v>-5</v>
      </c>
      <c r="R115" s="88">
        <f>'Operating Metrics'!L133*100</f>
        <v>-4</v>
      </c>
      <c r="S115" s="88">
        <f>'Operating Metrics'!M133*100</f>
        <v>-6</v>
      </c>
      <c r="T115" s="88">
        <f>'Operating Metrics'!N133*100</f>
        <v>-3</v>
      </c>
      <c r="U115" s="88">
        <f>'Operating Metrics'!O133*100</f>
        <v>0</v>
      </c>
      <c r="V115" s="88">
        <f>'Operating Metrics'!P133*100</f>
        <v>-2</v>
      </c>
      <c r="W115" s="88">
        <f>'Operating Metrics'!Q133*100</f>
        <v>-1</v>
      </c>
      <c r="X115" s="88">
        <f>'Operating Metrics'!R133*100</f>
        <v>-2</v>
      </c>
    </row>
    <row r="116" spans="1:24" ht="20" customHeight="1">
      <c r="A116" s="74" t="s">
        <v>77</v>
      </c>
      <c r="B116" s="65"/>
      <c r="C116" s="78"/>
      <c r="D116" s="78"/>
      <c r="E116" s="78"/>
      <c r="F116" s="78"/>
      <c r="G116" s="78"/>
      <c r="H116" s="78"/>
      <c r="I116" s="78"/>
      <c r="J116" s="32">
        <f>'Operating Metrics'!D132</f>
        <v>-0.02</v>
      </c>
      <c r="K116" s="32">
        <f>'Operating Metrics'!E132</f>
        <v>0.06</v>
      </c>
      <c r="L116" s="32">
        <f>'Operating Metrics'!F132</f>
        <v>0.04</v>
      </c>
      <c r="M116" s="78"/>
      <c r="N116" s="32">
        <f>'Operating Metrics'!H132</f>
        <v>0.12</v>
      </c>
      <c r="O116" s="32">
        <f>'Operating Metrics'!I132</f>
        <v>0.03</v>
      </c>
      <c r="P116" s="32">
        <f>'Operating Metrics'!J132</f>
        <v>3.5000000000000003E-2</v>
      </c>
      <c r="Q116" s="32">
        <f>'Operating Metrics'!K132</f>
        <v>0.06</v>
      </c>
      <c r="R116" s="32">
        <f>'Operating Metrics'!L132</f>
        <v>0.03</v>
      </c>
      <c r="S116" s="32">
        <f>'Operating Metrics'!M132</f>
        <v>0.05</v>
      </c>
      <c r="T116" s="32">
        <f>'Operating Metrics'!N132</f>
        <v>0.03</v>
      </c>
      <c r="U116" s="32">
        <f>'Operating Metrics'!O132</f>
        <v>0.04</v>
      </c>
      <c r="V116" s="32">
        <f>'Operating Metrics'!P132</f>
        <v>0.09</v>
      </c>
      <c r="W116" s="32">
        <f>'Operating Metrics'!Q132</f>
        <v>0.1</v>
      </c>
      <c r="X116" s="32">
        <f>'Operating Metrics'!R132</f>
        <v>0.11</v>
      </c>
    </row>
    <row r="117" spans="1:24" ht="22" customHeight="1">
      <c r="A117" s="65"/>
      <c r="B117" s="65"/>
      <c r="C117" s="65"/>
      <c r="D117" s="65"/>
      <c r="E117" s="65"/>
      <c r="F117" s="65"/>
      <c r="G117" s="65"/>
      <c r="H117" s="65"/>
      <c r="I117" s="65"/>
      <c r="J117" s="65"/>
      <c r="K117" s="65"/>
      <c r="L117" s="65"/>
      <c r="M117" s="65"/>
      <c r="N117" s="65"/>
      <c r="O117" s="65"/>
      <c r="P117" s="65"/>
      <c r="Q117" s="65"/>
      <c r="R117" s="65"/>
      <c r="S117" s="65"/>
      <c r="T117" s="65"/>
      <c r="U117" s="65"/>
      <c r="V117" s="65"/>
      <c r="W117" s="65"/>
      <c r="X117" s="65"/>
    </row>
    <row r="118" spans="1:24" ht="22" customHeight="1">
      <c r="A118" s="65"/>
      <c r="B118" s="65"/>
      <c r="C118" s="65"/>
      <c r="D118" s="65"/>
      <c r="E118" s="65"/>
      <c r="F118" s="65"/>
      <c r="G118" s="65"/>
      <c r="H118" s="65"/>
      <c r="I118" s="65"/>
      <c r="J118" s="65"/>
      <c r="K118" s="65"/>
      <c r="L118" s="65"/>
      <c r="M118" s="65"/>
      <c r="N118" s="65"/>
      <c r="O118" s="65"/>
      <c r="P118" s="65"/>
      <c r="Q118" s="65"/>
      <c r="R118" s="65"/>
      <c r="S118" s="65"/>
      <c r="T118" s="65"/>
      <c r="U118" s="65"/>
      <c r="V118" s="65"/>
      <c r="W118" s="65"/>
      <c r="X118" s="65"/>
    </row>
    <row r="119" spans="1:24" ht="24" customHeight="1">
      <c r="A119" s="165" t="s">
        <v>99</v>
      </c>
      <c r="B119" s="165"/>
      <c r="C119" s="165"/>
      <c r="D119" s="165"/>
      <c r="E119" s="165"/>
      <c r="F119" s="165"/>
      <c r="G119" s="165"/>
      <c r="H119" s="165"/>
      <c r="I119" s="165"/>
      <c r="J119" s="165"/>
      <c r="K119" s="165"/>
      <c r="L119" s="165"/>
      <c r="M119" s="165"/>
      <c r="N119" s="165"/>
      <c r="O119" s="165"/>
      <c r="P119" s="165"/>
      <c r="Q119" s="165"/>
      <c r="R119" s="165"/>
      <c r="S119" s="165"/>
      <c r="T119" s="165"/>
      <c r="U119" s="165"/>
      <c r="V119" s="165"/>
      <c r="W119" s="165"/>
      <c r="X119" s="165"/>
    </row>
    <row r="120" spans="1:24" ht="24" customHeight="1">
      <c r="A120" s="162" t="s">
        <v>100</v>
      </c>
      <c r="B120" s="162"/>
      <c r="C120" s="162"/>
      <c r="D120" s="162"/>
      <c r="E120" s="162"/>
      <c r="F120" s="162"/>
      <c r="G120" s="162"/>
      <c r="H120" s="162"/>
      <c r="I120" s="162"/>
      <c r="J120" s="162"/>
      <c r="K120" s="162"/>
      <c r="L120" s="162"/>
      <c r="M120" s="162"/>
      <c r="N120" s="162"/>
      <c r="O120" s="162"/>
      <c r="P120" s="162"/>
      <c r="Q120" s="162"/>
      <c r="R120" s="162"/>
      <c r="S120" s="162"/>
      <c r="T120" s="162"/>
      <c r="U120" s="162"/>
      <c r="V120" s="162"/>
      <c r="W120" s="162"/>
      <c r="X120" s="162"/>
    </row>
    <row r="121" spans="1:24" ht="24" customHeight="1">
      <c r="A121" s="166" t="s">
        <v>82</v>
      </c>
      <c r="B121" s="166"/>
      <c r="C121" s="166"/>
      <c r="D121" s="166"/>
      <c r="E121" s="166"/>
      <c r="F121" s="166"/>
      <c r="G121" s="166"/>
      <c r="H121" s="166"/>
      <c r="I121" s="166"/>
      <c r="J121" s="166"/>
      <c r="K121" s="166"/>
      <c r="L121" s="166"/>
      <c r="M121" s="166"/>
      <c r="N121" s="166"/>
      <c r="O121" s="166"/>
      <c r="P121" s="166"/>
      <c r="Q121" s="166"/>
      <c r="R121" s="166"/>
      <c r="S121" s="166"/>
      <c r="T121" s="166"/>
      <c r="U121" s="166"/>
      <c r="V121" s="166"/>
      <c r="W121" s="166"/>
      <c r="X121" s="166"/>
    </row>
    <row r="122" spans="1:24" ht="22" customHeight="1">
      <c r="A122" s="72" t="s">
        <v>101</v>
      </c>
      <c r="B122" s="65"/>
      <c r="C122" s="73"/>
      <c r="D122" s="73"/>
      <c r="E122" s="73"/>
      <c r="F122" s="73"/>
      <c r="G122" s="73"/>
      <c r="H122" s="73"/>
      <c r="I122" s="57">
        <f>'Operating Metrics'!C53</f>
        <v>1557</v>
      </c>
      <c r="J122" s="57">
        <f>'Operating Metrics'!D53</f>
        <v>1444</v>
      </c>
      <c r="K122" s="57">
        <f>'Operating Metrics'!E53</f>
        <v>1306</v>
      </c>
      <c r="L122" s="57">
        <f>'Operating Metrics'!F53</f>
        <v>1051</v>
      </c>
      <c r="M122" s="73"/>
      <c r="N122" s="57">
        <f>'Operating Metrics'!H53</f>
        <v>237</v>
      </c>
      <c r="O122" s="57">
        <f>'Operating Metrics'!I53</f>
        <v>298</v>
      </c>
      <c r="P122" s="57">
        <f>'Operating Metrics'!J53</f>
        <v>253</v>
      </c>
      <c r="Q122" s="57">
        <f>'Operating Metrics'!K53</f>
        <v>518</v>
      </c>
      <c r="R122" s="57">
        <f>'Operating Metrics'!L53</f>
        <v>195</v>
      </c>
      <c r="S122" s="57">
        <f>'Operating Metrics'!M53</f>
        <v>230</v>
      </c>
      <c r="T122" s="57">
        <f>'Operating Metrics'!N53</f>
        <v>220</v>
      </c>
      <c r="U122" s="57">
        <f>'Operating Metrics'!O53</f>
        <v>406</v>
      </c>
      <c r="V122" s="57">
        <f>'Operating Metrics'!P53</f>
        <v>110</v>
      </c>
      <c r="W122" s="57">
        <f>'Operating Metrics'!Q53</f>
        <v>211</v>
      </c>
      <c r="X122" s="57">
        <f>'Operating Metrics'!R53</f>
        <v>214</v>
      </c>
    </row>
    <row r="123" spans="1:24" ht="20" customHeight="1">
      <c r="A123" s="74" t="s">
        <v>102</v>
      </c>
      <c r="B123" s="65"/>
      <c r="C123" s="78"/>
      <c r="D123" s="78"/>
      <c r="E123" s="78"/>
      <c r="F123" s="78"/>
      <c r="G123" s="78"/>
      <c r="H123" s="78"/>
      <c r="I123" s="32">
        <f>'Operating Metrics'!C54</f>
        <v>5.8863559033684926E-2</v>
      </c>
      <c r="J123" s="32">
        <f>'Operating Metrics'!D54</f>
        <v>5.1543815812957347E-2</v>
      </c>
      <c r="K123" s="32">
        <f>'Operating Metrics'!E54</f>
        <v>4.7610367832014874E-2</v>
      </c>
      <c r="L123" s="32">
        <f>'Operating Metrics'!F54</f>
        <v>3.8179308340598662E-2</v>
      </c>
      <c r="M123" s="78"/>
      <c r="N123" s="32">
        <f>'Operating Metrics'!H54</f>
        <v>3.7805072579358751E-2</v>
      </c>
      <c r="O123" s="32">
        <f>'Operating Metrics'!I54</f>
        <v>4.6309246309246307E-2</v>
      </c>
      <c r="P123" s="32">
        <f>'Operating Metrics'!J54</f>
        <v>3.8708690330477358E-2</v>
      </c>
      <c r="Q123" s="32">
        <f>'Operating Metrics'!K54</f>
        <v>6.3240141618849957E-2</v>
      </c>
      <c r="R123" s="32">
        <f>'Operating Metrics'!L54</f>
        <v>3.1385803959439885E-2</v>
      </c>
      <c r="S123" s="32">
        <f>'Operating Metrics'!M54</f>
        <v>3.5515750463248917E-2</v>
      </c>
      <c r="T123" s="32">
        <f>'Operating Metrics'!N54</f>
        <v>3.3711308611707021E-2</v>
      </c>
      <c r="U123" s="32">
        <f>'Operating Metrics'!O54</f>
        <v>4.8839167568868039E-2</v>
      </c>
      <c r="V123" s="32">
        <f>'Operating Metrics'!P54</f>
        <v>1.737207833228048E-2</v>
      </c>
      <c r="W123" s="32">
        <f>'Operating Metrics'!Q54</f>
        <v>3.3134422110552765E-2</v>
      </c>
      <c r="X123" s="32">
        <f>'Operating Metrics'!R54</f>
        <v>3.2902829028290281E-2</v>
      </c>
    </row>
    <row r="124" spans="1:24" ht="20" customHeight="1">
      <c r="A124" s="74" t="s">
        <v>103</v>
      </c>
      <c r="B124" s="65"/>
      <c r="C124" s="80"/>
      <c r="D124" s="80"/>
      <c r="E124" s="80"/>
      <c r="F124" s="80"/>
      <c r="G124" s="80"/>
      <c r="H124" s="80"/>
      <c r="I124" s="36">
        <f>'Operating Metrics'!C58</f>
        <v>2.1898734177215191</v>
      </c>
      <c r="J124" s="36">
        <f>'Operating Metrics'!D58</f>
        <v>1.8095238095238095</v>
      </c>
      <c r="K124" s="36">
        <f>'Operating Metrics'!E58</f>
        <v>1.5150812064965198</v>
      </c>
      <c r="L124" s="36">
        <f>'Operating Metrics'!F58</f>
        <v>1.0846233230134159</v>
      </c>
      <c r="M124" s="80"/>
      <c r="N124" s="36">
        <f>'Operating Metrics'!H58</f>
        <v>1.234375</v>
      </c>
      <c r="O124" s="36">
        <f>'Operating Metrics'!I58</f>
        <v>1.5851063829787233</v>
      </c>
      <c r="P124" s="36">
        <f>'Operating Metrics'!J58</f>
        <v>1.3177083333333333</v>
      </c>
      <c r="Q124" s="36">
        <f>'Operating Metrics'!K58</f>
        <v>1.7862068965517242</v>
      </c>
      <c r="R124" s="36">
        <f>'Operating Metrics'!L58</f>
        <v>0.9285714285714286</v>
      </c>
      <c r="S124" s="36">
        <f>'Operating Metrics'!M58</f>
        <v>1</v>
      </c>
      <c r="T124" s="36">
        <f>'Operating Metrics'!N58</f>
        <v>0.92827004219409281</v>
      </c>
      <c r="U124" s="36">
        <f>'Operating Metrics'!O58</f>
        <v>1.3904109589041096</v>
      </c>
      <c r="V124" s="36">
        <f>'Operating Metrics'!P58</f>
        <v>0.48458149779735682</v>
      </c>
      <c r="W124" s="36">
        <f>'Operating Metrics'!Q58</f>
        <v>0.92139737991266379</v>
      </c>
      <c r="X124" s="36">
        <f>'Operating Metrics'!R58</f>
        <v>0.9553571428571429</v>
      </c>
    </row>
    <row r="125" spans="1:24" ht="24" customHeight="1">
      <c r="A125" s="166" t="s">
        <v>88</v>
      </c>
      <c r="B125" s="166"/>
      <c r="C125" s="166"/>
      <c r="D125" s="166"/>
      <c r="E125" s="166"/>
      <c r="F125" s="166"/>
      <c r="G125" s="166"/>
      <c r="H125" s="166"/>
      <c r="I125" s="166"/>
      <c r="J125" s="166"/>
      <c r="K125" s="166"/>
      <c r="L125" s="166"/>
      <c r="M125" s="166"/>
      <c r="N125" s="166"/>
      <c r="O125" s="166"/>
      <c r="P125" s="166"/>
      <c r="Q125" s="166"/>
      <c r="R125" s="166"/>
      <c r="S125" s="166"/>
      <c r="T125" s="166"/>
      <c r="U125" s="166"/>
      <c r="V125" s="166"/>
      <c r="W125" s="166"/>
      <c r="X125" s="166"/>
    </row>
    <row r="126" spans="1:24" ht="22" customHeight="1">
      <c r="A126" s="72" t="s">
        <v>101</v>
      </c>
      <c r="B126" s="65"/>
      <c r="C126" s="73"/>
      <c r="D126" s="73"/>
      <c r="E126" s="73"/>
      <c r="F126" s="73"/>
      <c r="G126" s="73"/>
      <c r="H126" s="73"/>
      <c r="I126" s="57">
        <f>'Operating Metrics'!C69</f>
        <v>1714</v>
      </c>
      <c r="J126" s="57">
        <f>'Operating Metrics'!D69</f>
        <v>1723</v>
      </c>
      <c r="K126" s="57">
        <f>'Operating Metrics'!E69</f>
        <v>1541</v>
      </c>
      <c r="L126" s="57">
        <f>'Operating Metrics'!F69</f>
        <v>1344</v>
      </c>
      <c r="M126" s="73"/>
      <c r="N126" s="57">
        <f>'Operating Metrics'!H69</f>
        <v>180</v>
      </c>
      <c r="O126" s="57">
        <f>'Operating Metrics'!I69</f>
        <v>298</v>
      </c>
      <c r="P126" s="57">
        <f>'Operating Metrics'!J69</f>
        <v>313</v>
      </c>
      <c r="Q126" s="57">
        <f>'Operating Metrics'!K69</f>
        <v>750</v>
      </c>
      <c r="R126" s="57">
        <f>'Operating Metrics'!L69</f>
        <v>248</v>
      </c>
      <c r="S126" s="57">
        <f>'Operating Metrics'!M69</f>
        <v>283</v>
      </c>
      <c r="T126" s="57">
        <f>'Operating Metrics'!N69</f>
        <v>278</v>
      </c>
      <c r="U126" s="57">
        <f>'Operating Metrics'!O69</f>
        <v>535</v>
      </c>
      <c r="V126" s="57">
        <f>'Operating Metrics'!P69</f>
        <v>183</v>
      </c>
      <c r="W126" s="57">
        <f>'Operating Metrics'!Q69</f>
        <v>261</v>
      </c>
      <c r="X126" s="57">
        <f>'Operating Metrics'!R69</f>
        <v>321</v>
      </c>
    </row>
    <row r="127" spans="1:24" ht="20" customHeight="1">
      <c r="A127" s="74" t="s">
        <v>102</v>
      </c>
      <c r="B127" s="65"/>
      <c r="C127" s="78"/>
      <c r="D127" s="78"/>
      <c r="E127" s="78"/>
      <c r="F127" s="78"/>
      <c r="G127" s="78"/>
      <c r="H127" s="78"/>
      <c r="I127" s="32">
        <f>'Operating Metrics'!C70</f>
        <v>6.5387403196887045E-2</v>
      </c>
      <c r="J127" s="32">
        <f>'Operating Metrics'!D70</f>
        <v>6.2368783030478533E-2</v>
      </c>
      <c r="K127" s="32">
        <f>'Operating Metrics'!E70</f>
        <v>5.5493535957362526E-2</v>
      </c>
      <c r="L127" s="32">
        <f>'Operating Metrics'!F70</f>
        <v>4.7664645175018616E-2</v>
      </c>
      <c r="M127" s="78"/>
      <c r="N127" s="32">
        <f>'Operating Metrics'!H70</f>
        <v>3.0643513789581207E-2</v>
      </c>
      <c r="O127" s="32">
        <f>'Operating Metrics'!I70</f>
        <v>4.375275289972104E-2</v>
      </c>
      <c r="P127" s="32">
        <f>'Operating Metrics'!J70</f>
        <v>4.362369337979094E-2</v>
      </c>
      <c r="Q127" s="32">
        <f>'Operating Metrics'!K70</f>
        <v>9.4828676191680367E-2</v>
      </c>
      <c r="R127" s="32">
        <f>'Operating Metrics'!L70</f>
        <v>4.2205582028590878E-2</v>
      </c>
      <c r="S127" s="32">
        <f>'Operating Metrics'!M70</f>
        <v>4.1642142436727488E-2</v>
      </c>
      <c r="T127" s="32">
        <f>'Operating Metrics'!N70</f>
        <v>3.7941858878122015E-2</v>
      </c>
      <c r="U127" s="32">
        <f>'Operating Metrics'!O70</f>
        <v>6.5259819468162963E-2</v>
      </c>
      <c r="V127" s="32">
        <f>'Operating Metrics'!P70</f>
        <v>2.8634016585823815E-2</v>
      </c>
      <c r="W127" s="32">
        <f>'Operating Metrics'!Q70</f>
        <v>3.6034792213171338E-2</v>
      </c>
      <c r="X127" s="32">
        <f>'Operating Metrics'!R70</f>
        <v>4.165585258240332E-2</v>
      </c>
    </row>
    <row r="128" spans="1:24" ht="20" customHeight="1">
      <c r="A128" s="74" t="s">
        <v>103</v>
      </c>
      <c r="B128" s="65"/>
      <c r="C128" s="80"/>
      <c r="D128" s="80"/>
      <c r="E128" s="80"/>
      <c r="F128" s="80"/>
      <c r="G128" s="80"/>
      <c r="H128" s="80"/>
      <c r="I128" s="36">
        <f>'Operating Metrics'!C74</f>
        <v>1.8004201680672269</v>
      </c>
      <c r="J128" s="36">
        <f>'Operating Metrics'!D74</f>
        <v>1.6809756097560975</v>
      </c>
      <c r="K128" s="36">
        <f>'Operating Metrics'!E74</f>
        <v>1.441534144059869</v>
      </c>
      <c r="L128" s="36">
        <f>'Operating Metrics'!F74</f>
        <v>1.2296431838975297</v>
      </c>
      <c r="M128" s="80"/>
      <c r="N128" s="36">
        <f>'Operating Metrics'!H74</f>
        <v>0.74688796680497926</v>
      </c>
      <c r="O128" s="36">
        <f>'Operating Metrics'!I74</f>
        <v>1.2016129032258065</v>
      </c>
      <c r="P128" s="36">
        <f>'Operating Metrics'!J74</f>
        <v>1.3096234309623431</v>
      </c>
      <c r="Q128" s="36">
        <f>'Operating Metrics'!K74</f>
        <v>2.1994134897360702</v>
      </c>
      <c r="R128" s="36">
        <f>'Operating Metrics'!L74</f>
        <v>0.98023715415019763</v>
      </c>
      <c r="S128" s="36">
        <f>'Operating Metrics'!M74</f>
        <v>1.1742738589211619</v>
      </c>
      <c r="T128" s="36">
        <f>'Operating Metrics'!N74</f>
        <v>1.1779661016949152</v>
      </c>
      <c r="U128" s="36">
        <f>'Operating Metrics'!O74</f>
        <v>1.4738292011019283</v>
      </c>
      <c r="V128" s="36">
        <f>'Operating Metrics'!P74</f>
        <v>0.72619047619047616</v>
      </c>
      <c r="W128" s="36">
        <f>'Operating Metrics'!Q74</f>
        <v>0.9490909090909091</v>
      </c>
      <c r="X128" s="36">
        <f>'Operating Metrics'!R74</f>
        <v>1.1588447653429603</v>
      </c>
    </row>
    <row r="129" spans="1:24" ht="24" customHeight="1">
      <c r="A129" s="166" t="s">
        <v>89</v>
      </c>
      <c r="B129" s="166"/>
      <c r="C129" s="166"/>
      <c r="D129" s="166"/>
      <c r="E129" s="166"/>
      <c r="F129" s="166"/>
      <c r="G129" s="166"/>
      <c r="H129" s="166"/>
      <c r="I129" s="166"/>
      <c r="J129" s="166"/>
      <c r="K129" s="166"/>
      <c r="L129" s="166"/>
      <c r="M129" s="166"/>
      <c r="N129" s="166"/>
      <c r="O129" s="166"/>
      <c r="P129" s="166"/>
      <c r="Q129" s="166"/>
      <c r="R129" s="166"/>
      <c r="S129" s="166"/>
      <c r="T129" s="166"/>
      <c r="U129" s="166"/>
      <c r="V129" s="166"/>
      <c r="W129" s="166"/>
      <c r="X129" s="166"/>
    </row>
    <row r="130" spans="1:24" ht="22" customHeight="1">
      <c r="A130" s="72" t="s">
        <v>101</v>
      </c>
      <c r="B130" s="65"/>
      <c r="C130" s="73"/>
      <c r="D130" s="73"/>
      <c r="E130" s="73"/>
      <c r="F130" s="73"/>
      <c r="G130" s="73"/>
      <c r="H130" s="73"/>
      <c r="I130" s="57">
        <f>'Operating Metrics'!C85</f>
        <v>128</v>
      </c>
      <c r="J130" s="57">
        <f>'Operating Metrics'!D85</f>
        <v>110</v>
      </c>
      <c r="K130" s="57">
        <f>'Operating Metrics'!E85</f>
        <v>148</v>
      </c>
      <c r="L130" s="57">
        <f>'Operating Metrics'!F85</f>
        <v>124</v>
      </c>
      <c r="M130" s="73"/>
      <c r="N130" s="57">
        <f>'Operating Metrics'!H85</f>
        <v>11</v>
      </c>
      <c r="O130" s="57">
        <f>'Operating Metrics'!I85</f>
        <v>33</v>
      </c>
      <c r="P130" s="57">
        <f>'Operating Metrics'!J85</f>
        <v>33</v>
      </c>
      <c r="Q130" s="57">
        <f>'Operating Metrics'!K85</f>
        <v>71</v>
      </c>
      <c r="R130" s="57">
        <f>'Operating Metrics'!L85</f>
        <v>16</v>
      </c>
      <c r="S130" s="57">
        <f>'Operating Metrics'!M85</f>
        <v>30</v>
      </c>
      <c r="T130" s="57">
        <f>'Operating Metrics'!N85</f>
        <v>31</v>
      </c>
      <c r="U130" s="57">
        <f>'Operating Metrics'!O85</f>
        <v>47</v>
      </c>
      <c r="V130" s="57">
        <f>'Operating Metrics'!P85</f>
        <v>9</v>
      </c>
      <c r="W130" s="57">
        <f>'Operating Metrics'!Q85</f>
        <v>20</v>
      </c>
      <c r="X130" s="57">
        <f>'Operating Metrics'!R85</f>
        <v>22</v>
      </c>
    </row>
    <row r="131" spans="1:24" ht="20" customHeight="1">
      <c r="A131" s="74" t="s">
        <v>102</v>
      </c>
      <c r="B131" s="65"/>
      <c r="C131" s="78"/>
      <c r="D131" s="78"/>
      <c r="E131" s="78"/>
      <c r="F131" s="78"/>
      <c r="G131" s="78"/>
      <c r="H131" s="78"/>
      <c r="I131" s="32">
        <f>'Operating Metrics'!C86</f>
        <v>2.9574861367837338E-2</v>
      </c>
      <c r="J131" s="32">
        <f>'Operating Metrics'!D86</f>
        <v>2.4128098267163851E-2</v>
      </c>
      <c r="K131" s="32">
        <f>'Operating Metrics'!E86</f>
        <v>3.0334084853453576E-2</v>
      </c>
      <c r="L131" s="32">
        <f>'Operating Metrics'!F86</f>
        <v>2.4814888933360015E-2</v>
      </c>
      <c r="M131" s="78"/>
      <c r="N131" s="32">
        <f>'Operating Metrics'!H86</f>
        <v>1.4884979702300407E-2</v>
      </c>
      <c r="O131" s="32">
        <f>'Operating Metrics'!I86</f>
        <v>2.4886877828054297E-2</v>
      </c>
      <c r="P131" s="32">
        <f>'Operating Metrics'!J86</f>
        <v>2.5581395348837209E-2</v>
      </c>
      <c r="Q131" s="32">
        <f>'Operating Metrics'!K86</f>
        <v>4.6587926509186355E-2</v>
      </c>
      <c r="R131" s="32">
        <f>'Operating Metrics'!L86</f>
        <v>2.1080368906455864E-2</v>
      </c>
      <c r="S131" s="32">
        <f>'Operating Metrics'!M86</f>
        <v>2.1929824561403508E-2</v>
      </c>
      <c r="T131" s="32">
        <f>'Operating Metrics'!N86</f>
        <v>2.4012393493415957E-2</v>
      </c>
      <c r="U131" s="32">
        <f>'Operating Metrics'!O86</f>
        <v>2.9765674477517417E-2</v>
      </c>
      <c r="V131" s="32">
        <f>'Operating Metrics'!P86</f>
        <v>1.0922330097087379E-2</v>
      </c>
      <c r="W131" s="32">
        <f>'Operating Metrics'!Q86</f>
        <v>1.3131976362442548E-2</v>
      </c>
      <c r="X131" s="32">
        <f>'Operating Metrics'!R86</f>
        <v>1.5703069236259814E-2</v>
      </c>
    </row>
    <row r="132" spans="1:24" ht="20" customHeight="1">
      <c r="A132" s="74" t="s">
        <v>103</v>
      </c>
      <c r="B132" s="65"/>
      <c r="C132" s="80"/>
      <c r="D132" s="80"/>
      <c r="E132" s="80"/>
      <c r="F132" s="80"/>
      <c r="G132" s="80"/>
      <c r="H132" s="80"/>
      <c r="I132" s="36">
        <f>'Operating Metrics'!C90</f>
        <v>1.3195876288659794</v>
      </c>
      <c r="J132" s="36">
        <f>'Operating Metrics'!D90</f>
        <v>1.1111111111111112</v>
      </c>
      <c r="K132" s="36">
        <f>'Operating Metrics'!E90</f>
        <v>1.3577981651376148</v>
      </c>
      <c r="L132" s="36">
        <f>'Operating Metrics'!F90</f>
        <v>1.1376146788990826</v>
      </c>
      <c r="M132" s="80"/>
      <c r="N132" s="36">
        <f>'Operating Metrics'!H90</f>
        <v>0.61111111111111116</v>
      </c>
      <c r="O132" s="36">
        <f>'Operating Metrics'!I90</f>
        <v>1.2692307692307692</v>
      </c>
      <c r="P132" s="36">
        <f>'Operating Metrics'!J90</f>
        <v>1.1785714285714286</v>
      </c>
      <c r="Q132" s="36">
        <f>'Operating Metrics'!K90</f>
        <v>1.9189189189189189</v>
      </c>
      <c r="R132" s="36">
        <f>'Operating Metrics'!L90</f>
        <v>0.84210526315789469</v>
      </c>
      <c r="S132" s="36">
        <f>'Operating Metrics'!M90</f>
        <v>1.1111111111111112</v>
      </c>
      <c r="T132" s="36">
        <f>'Operating Metrics'!N90</f>
        <v>1.0689655172413792</v>
      </c>
      <c r="U132" s="36">
        <f>'Operating Metrics'!O90</f>
        <v>1.3823529411764706</v>
      </c>
      <c r="V132" s="36">
        <f>'Operating Metrics'!P90</f>
        <v>0.5</v>
      </c>
      <c r="W132" s="36">
        <f>'Operating Metrics'!Q90</f>
        <v>0.7142857142857143</v>
      </c>
      <c r="X132" s="36">
        <f>'Operating Metrics'!R90</f>
        <v>0.88</v>
      </c>
    </row>
    <row r="133" spans="1:24" ht="24" customHeight="1">
      <c r="A133" s="166" t="s">
        <v>90</v>
      </c>
      <c r="B133" s="166"/>
      <c r="C133" s="166"/>
      <c r="D133" s="166"/>
      <c r="E133" s="166"/>
      <c r="F133" s="166"/>
      <c r="G133" s="166"/>
      <c r="H133" s="166"/>
      <c r="I133" s="166"/>
      <c r="J133" s="166"/>
      <c r="K133" s="166"/>
      <c r="L133" s="166"/>
      <c r="M133" s="166"/>
      <c r="N133" s="166"/>
      <c r="O133" s="166"/>
      <c r="P133" s="166"/>
      <c r="Q133" s="166"/>
      <c r="R133" s="166"/>
      <c r="S133" s="166"/>
      <c r="T133" s="166"/>
      <c r="U133" s="166"/>
      <c r="V133" s="166"/>
      <c r="W133" s="166"/>
      <c r="X133" s="166"/>
    </row>
    <row r="134" spans="1:24" ht="22" customHeight="1">
      <c r="A134" s="72" t="s">
        <v>101</v>
      </c>
      <c r="B134" s="65"/>
      <c r="C134" s="73"/>
      <c r="D134" s="73"/>
      <c r="E134" s="73"/>
      <c r="F134" s="73"/>
      <c r="G134" s="73"/>
      <c r="H134" s="73"/>
      <c r="I134" s="57">
        <f>'Operating Metrics'!C102</f>
        <v>857</v>
      </c>
      <c r="J134" s="57">
        <f>'Operating Metrics'!D102</f>
        <v>831</v>
      </c>
      <c r="K134" s="57">
        <f>'Operating Metrics'!E102</f>
        <v>880</v>
      </c>
      <c r="L134" s="57">
        <f>'Operating Metrics'!F102</f>
        <v>744</v>
      </c>
      <c r="M134" s="73"/>
      <c r="N134" s="57">
        <f>'Operating Metrics'!H102</f>
        <v>70</v>
      </c>
      <c r="O134" s="57">
        <f>'Operating Metrics'!I102</f>
        <v>177</v>
      </c>
      <c r="P134" s="57">
        <f>'Operating Metrics'!J102</f>
        <v>189</v>
      </c>
      <c r="Q134" s="57">
        <f>'Operating Metrics'!K102</f>
        <v>444</v>
      </c>
      <c r="R134" s="57">
        <f>'Operating Metrics'!L102</f>
        <v>50</v>
      </c>
      <c r="S134" s="57">
        <f>'Operating Metrics'!M102</f>
        <v>137</v>
      </c>
      <c r="T134" s="57">
        <f>'Operating Metrics'!N102</f>
        <v>167</v>
      </c>
      <c r="U134" s="57">
        <f>'Operating Metrics'!O102</f>
        <v>390</v>
      </c>
      <c r="V134" s="57">
        <f>'Operating Metrics'!P102</f>
        <v>66</v>
      </c>
      <c r="W134" s="57">
        <f>'Operating Metrics'!Q102</f>
        <v>151</v>
      </c>
      <c r="X134" s="57">
        <f>'Operating Metrics'!R102</f>
        <v>159</v>
      </c>
    </row>
    <row r="135" spans="1:24" ht="20" customHeight="1">
      <c r="A135" s="74" t="s">
        <v>102</v>
      </c>
      <c r="B135" s="65"/>
      <c r="C135" s="78"/>
      <c r="D135" s="78"/>
      <c r="E135" s="78"/>
      <c r="F135" s="78"/>
      <c r="G135" s="78"/>
      <c r="H135" s="78"/>
      <c r="I135" s="32">
        <f>'Operating Metrics'!C103</f>
        <v>5.3455588822355286E-2</v>
      </c>
      <c r="J135" s="32">
        <f>'Operating Metrics'!D103</f>
        <v>5.1264651449722393E-2</v>
      </c>
      <c r="K135" s="32">
        <f>'Operating Metrics'!E103</f>
        <v>5.2827470284547963E-2</v>
      </c>
      <c r="L135" s="32">
        <f>'Operating Metrics'!F103</f>
        <v>4.1276005547850207E-2</v>
      </c>
      <c r="M135" s="78"/>
      <c r="N135" s="32">
        <f>'Operating Metrics'!H103</f>
        <v>2.8771064529387588E-2</v>
      </c>
      <c r="O135" s="32">
        <f>'Operating Metrics'!I103</f>
        <v>4.2314128615825959E-2</v>
      </c>
      <c r="P135" s="32">
        <f>'Operating Metrics'!J103</f>
        <v>4.0980052038161317E-2</v>
      </c>
      <c r="Q135" s="32">
        <f>'Operating Metrics'!K103</f>
        <v>8.1767955801104977E-2</v>
      </c>
      <c r="R135" s="32">
        <f>'Operating Metrics'!L103</f>
        <v>2.0938023450586266E-2</v>
      </c>
      <c r="S135" s="32">
        <f>'Operating Metrics'!M103</f>
        <v>3.0202821869488534E-2</v>
      </c>
      <c r="T135" s="32">
        <f>'Operating Metrics'!N103</f>
        <v>3.3253683791318198E-2</v>
      </c>
      <c r="U135" s="32">
        <f>'Operating Metrics'!O103</f>
        <v>6.4155288698799148E-2</v>
      </c>
      <c r="V135" s="32">
        <f>'Operating Metrics'!P103</f>
        <v>2.3379383634431455E-2</v>
      </c>
      <c r="W135" s="32">
        <f>'Operating Metrics'!Q103</f>
        <v>3.0303030303030304E-2</v>
      </c>
      <c r="X135" s="32">
        <f>'Operating Metrics'!R103</f>
        <v>2.9373729909477186E-2</v>
      </c>
    </row>
    <row r="136" spans="1:24" ht="20" customHeight="1">
      <c r="A136" s="74" t="s">
        <v>103</v>
      </c>
      <c r="B136" s="65"/>
      <c r="C136" s="80"/>
      <c r="D136" s="80"/>
      <c r="E136" s="80"/>
      <c r="F136" s="80"/>
      <c r="G136" s="80"/>
      <c r="H136" s="80"/>
      <c r="I136" s="36">
        <f>'Operating Metrics'!C107</f>
        <v>1.7966457023060796</v>
      </c>
      <c r="J136" s="36">
        <f>'Operating Metrics'!D107</f>
        <v>1.8549107142857142</v>
      </c>
      <c r="K136" s="36">
        <f>'Operating Metrics'!E107</f>
        <v>1.8448637316561844</v>
      </c>
      <c r="L136" s="36">
        <f>'Operating Metrics'!F107</f>
        <v>1.355191256830601</v>
      </c>
      <c r="M136" s="80"/>
      <c r="N136" s="36">
        <f>'Operating Metrics'!H107</f>
        <v>0.88607594936708856</v>
      </c>
      <c r="O136" s="36">
        <f>'Operating Metrics'!I107</f>
        <v>1.5526315789473684</v>
      </c>
      <c r="P136" s="36">
        <f>'Operating Metrics'!J107</f>
        <v>1.5619834710743801</v>
      </c>
      <c r="Q136" s="36">
        <f>'Operating Metrics'!K107</f>
        <v>2.723926380368098</v>
      </c>
      <c r="R136" s="36">
        <f>'Operating Metrics'!L107</f>
        <v>0.61728395061728392</v>
      </c>
      <c r="S136" s="36">
        <f>'Operating Metrics'!M107</f>
        <v>1.0148148148148148</v>
      </c>
      <c r="T136" s="36">
        <f>'Operating Metrics'!N107</f>
        <v>1.176056338028169</v>
      </c>
      <c r="U136" s="36">
        <f>'Operating Metrics'!O107</f>
        <v>2.0418848167539267</v>
      </c>
      <c r="V136" s="36">
        <f>'Operating Metrics'!P107</f>
        <v>0.65346534653465349</v>
      </c>
      <c r="W136" s="36">
        <f>'Operating Metrics'!Q107</f>
        <v>0.94374999999999998</v>
      </c>
      <c r="X136" s="36">
        <f>'Operating Metrics'!R107</f>
        <v>1.0529801324503312</v>
      </c>
    </row>
    <row r="137" spans="1:24" ht="24" customHeight="1">
      <c r="A137" s="166" t="s">
        <v>91</v>
      </c>
      <c r="B137" s="166"/>
      <c r="C137" s="166"/>
      <c r="D137" s="166"/>
      <c r="E137" s="166"/>
      <c r="F137" s="166"/>
      <c r="G137" s="166"/>
      <c r="H137" s="166"/>
      <c r="I137" s="166"/>
      <c r="J137" s="166"/>
      <c r="K137" s="166"/>
      <c r="L137" s="166"/>
      <c r="M137" s="166"/>
      <c r="N137" s="166"/>
      <c r="O137" s="166"/>
      <c r="P137" s="166"/>
      <c r="Q137" s="166"/>
      <c r="R137" s="166"/>
      <c r="S137" s="166"/>
      <c r="T137" s="166"/>
      <c r="U137" s="166"/>
      <c r="V137" s="166"/>
      <c r="W137" s="166"/>
      <c r="X137" s="166"/>
    </row>
    <row r="138" spans="1:24" ht="22" customHeight="1">
      <c r="A138" s="72" t="s">
        <v>101</v>
      </c>
      <c r="B138" s="65"/>
      <c r="C138" s="73"/>
      <c r="D138" s="73"/>
      <c r="E138" s="73"/>
      <c r="F138" s="73"/>
      <c r="G138" s="73"/>
      <c r="H138" s="73"/>
      <c r="I138" s="57">
        <f>'Operating Metrics'!C118</f>
        <v>551</v>
      </c>
      <c r="J138" s="57">
        <f>'Operating Metrics'!D118</f>
        <v>814</v>
      </c>
      <c r="K138" s="57">
        <f>'Operating Metrics'!E118</f>
        <v>809</v>
      </c>
      <c r="L138" s="57">
        <f>'Operating Metrics'!F118</f>
        <v>672</v>
      </c>
      <c r="M138" s="73"/>
      <c r="N138" s="57">
        <f>'Operating Metrics'!H118</f>
        <v>61</v>
      </c>
      <c r="O138" s="57">
        <f>'Operating Metrics'!I118</f>
        <v>145</v>
      </c>
      <c r="P138" s="57">
        <f>'Operating Metrics'!J118</f>
        <v>207</v>
      </c>
      <c r="Q138" s="57">
        <f>'Operating Metrics'!K118</f>
        <v>396</v>
      </c>
      <c r="R138" s="57">
        <f>'Operating Metrics'!L118</f>
        <v>46</v>
      </c>
      <c r="S138" s="57">
        <f>'Operating Metrics'!M118</f>
        <v>115</v>
      </c>
      <c r="T138" s="57">
        <f>'Operating Metrics'!N118</f>
        <v>178</v>
      </c>
      <c r="U138" s="57">
        <f>'Operating Metrics'!O118</f>
        <v>333</v>
      </c>
      <c r="V138" s="57">
        <f>'Operating Metrics'!P118</f>
        <v>41</v>
      </c>
      <c r="W138" s="57">
        <f>'Operating Metrics'!Q118</f>
        <v>107</v>
      </c>
      <c r="X138" s="57">
        <f>'Operating Metrics'!R118</f>
        <v>110</v>
      </c>
    </row>
    <row r="139" spans="1:24" ht="20" customHeight="1">
      <c r="A139" s="74" t="s">
        <v>102</v>
      </c>
      <c r="B139" s="65"/>
      <c r="C139" s="78"/>
      <c r="D139" s="78"/>
      <c r="E139" s="78"/>
      <c r="F139" s="78"/>
      <c r="G139" s="78"/>
      <c r="H139" s="78"/>
      <c r="I139" s="32">
        <f>'Operating Metrics'!C119</f>
        <v>6.214052103304387E-2</v>
      </c>
      <c r="J139" s="32">
        <f>'Operating Metrics'!D119</f>
        <v>7.6966717095310139E-2</v>
      </c>
      <c r="K139" s="32">
        <f>'Operating Metrics'!E119</f>
        <v>7.6551854655563967E-2</v>
      </c>
      <c r="L139" s="32">
        <f>'Operating Metrics'!F119</f>
        <v>6.3702720637027213E-2</v>
      </c>
      <c r="M139" s="78"/>
      <c r="N139" s="32">
        <f>'Operating Metrics'!H119</f>
        <v>3.2275132275132276E-2</v>
      </c>
      <c r="O139" s="32">
        <f>'Operating Metrics'!I119</f>
        <v>5.2746453255729353E-2</v>
      </c>
      <c r="P139" s="32">
        <f>'Operating Metrics'!J119</f>
        <v>7.9158699808795405E-2</v>
      </c>
      <c r="Q139" s="32">
        <f>'Operating Metrics'!K119</f>
        <v>0.11949305974652988</v>
      </c>
      <c r="R139" s="32">
        <f>'Operating Metrics'!L119</f>
        <v>2.7694160144491272E-2</v>
      </c>
      <c r="S139" s="32">
        <f>'Operating Metrics'!M119</f>
        <v>4.5133437990580845E-2</v>
      </c>
      <c r="T139" s="32">
        <f>'Operating Metrics'!N119</f>
        <v>6.7018072289156627E-2</v>
      </c>
      <c r="U139" s="32">
        <f>'Operating Metrics'!O119</f>
        <v>9.039087947882736E-2</v>
      </c>
      <c r="V139" s="32">
        <f>'Operating Metrics'!P119</f>
        <v>2.1199586349534644E-2</v>
      </c>
      <c r="W139" s="32">
        <f>'Operating Metrics'!Q119</f>
        <v>3.6394557823129253E-2</v>
      </c>
      <c r="X139" s="32">
        <f>'Operating Metrics'!R119</f>
        <v>3.6411784177424696E-2</v>
      </c>
    </row>
    <row r="140" spans="1:24" ht="20" customHeight="1">
      <c r="A140" s="74" t="s">
        <v>103</v>
      </c>
      <c r="B140" s="65"/>
      <c r="C140" s="80"/>
      <c r="D140" s="80"/>
      <c r="E140" s="80"/>
      <c r="F140" s="80"/>
      <c r="G140" s="80"/>
      <c r="H140" s="80"/>
      <c r="I140" s="36">
        <f>'Operating Metrics'!C123</f>
        <v>1.8552188552188553</v>
      </c>
      <c r="J140" s="36">
        <f>'Operating Metrics'!D123</f>
        <v>2.2486187845303869</v>
      </c>
      <c r="K140" s="36">
        <f>'Operating Metrics'!E123</f>
        <v>2.1178010471204187</v>
      </c>
      <c r="L140" s="36">
        <f>'Operating Metrics'!F123</f>
        <v>1.6115107913669064</v>
      </c>
      <c r="M140" s="80"/>
      <c r="N140" s="36">
        <f>'Operating Metrics'!H123</f>
        <v>0.953125</v>
      </c>
      <c r="O140" s="36">
        <f>'Operating Metrics'!I123</f>
        <v>1.4077669902912622</v>
      </c>
      <c r="P140" s="36">
        <f>'Operating Metrics'!J123</f>
        <v>2.15625</v>
      </c>
      <c r="Q140" s="36">
        <f>'Operating Metrics'!K123</f>
        <v>3.327731092436975</v>
      </c>
      <c r="R140" s="36">
        <f>'Operating Metrics'!L123</f>
        <v>0.74193548387096775</v>
      </c>
      <c r="S140" s="36">
        <f>'Operating Metrics'!M123</f>
        <v>1.1499999999999999</v>
      </c>
      <c r="T140" s="36">
        <f>'Operating Metrics'!N123</f>
        <v>1.6952380952380952</v>
      </c>
      <c r="U140" s="36">
        <f>'Operating Metrics'!O123</f>
        <v>2.2200000000000002</v>
      </c>
      <c r="V140" s="36">
        <f>'Operating Metrics'!P123</f>
        <v>0.51249999999999996</v>
      </c>
      <c r="W140" s="36">
        <f>'Operating Metrics'!Q123</f>
        <v>0.86991869918699183</v>
      </c>
      <c r="X140" s="36">
        <f>'Operating Metrics'!R123</f>
        <v>0.86614173228346458</v>
      </c>
    </row>
    <row r="141" spans="1:24" ht="24" customHeight="1">
      <c r="A141" s="166" t="s">
        <v>92</v>
      </c>
      <c r="B141" s="166"/>
      <c r="C141" s="166"/>
      <c r="D141" s="166"/>
      <c r="E141" s="166"/>
      <c r="F141" s="166"/>
      <c r="G141" s="166"/>
      <c r="H141" s="166"/>
      <c r="I141" s="166"/>
      <c r="J141" s="166"/>
      <c r="K141" s="166"/>
      <c r="L141" s="166"/>
      <c r="M141" s="166"/>
      <c r="N141" s="166"/>
      <c r="O141" s="166"/>
      <c r="P141" s="166"/>
      <c r="Q141" s="166"/>
      <c r="R141" s="166"/>
      <c r="S141" s="166"/>
      <c r="T141" s="166"/>
      <c r="U141" s="166"/>
      <c r="V141" s="166"/>
      <c r="W141" s="166"/>
      <c r="X141" s="166"/>
    </row>
    <row r="142" spans="1:24" ht="22" customHeight="1">
      <c r="A142" s="72" t="s">
        <v>101</v>
      </c>
      <c r="B142" s="65"/>
      <c r="C142" s="73"/>
      <c r="D142" s="73"/>
      <c r="E142" s="73"/>
      <c r="F142" s="73"/>
      <c r="G142" s="73"/>
      <c r="H142" s="73"/>
      <c r="I142" s="57">
        <f>'Operating Metrics'!C134</f>
        <v>261</v>
      </c>
      <c r="J142" s="57">
        <f>'Operating Metrics'!D134</f>
        <v>312</v>
      </c>
      <c r="K142" s="57">
        <f>'Operating Metrics'!E134</f>
        <v>312</v>
      </c>
      <c r="L142" s="57">
        <f>'Operating Metrics'!F134</f>
        <v>257</v>
      </c>
      <c r="M142" s="73"/>
      <c r="N142" s="57">
        <f>'Operating Metrics'!H134</f>
        <v>19</v>
      </c>
      <c r="O142" s="57">
        <f>'Operating Metrics'!I134</f>
        <v>52</v>
      </c>
      <c r="P142" s="57">
        <f>'Operating Metrics'!J134</f>
        <v>96</v>
      </c>
      <c r="Q142" s="57">
        <f>'Operating Metrics'!K134</f>
        <v>145</v>
      </c>
      <c r="R142" s="57">
        <f>'Operating Metrics'!L134</f>
        <v>24</v>
      </c>
      <c r="S142" s="57">
        <f>'Operating Metrics'!M134</f>
        <v>68</v>
      </c>
      <c r="T142" s="57">
        <f>'Operating Metrics'!N134</f>
        <v>60</v>
      </c>
      <c r="U142" s="57">
        <f>'Operating Metrics'!O134</f>
        <v>105</v>
      </c>
      <c r="V142" s="57">
        <f>'Operating Metrics'!P134</f>
        <v>16</v>
      </c>
      <c r="W142" s="57">
        <f>'Operating Metrics'!Q134</f>
        <v>35</v>
      </c>
      <c r="X142" s="57">
        <f>'Operating Metrics'!R134</f>
        <v>43</v>
      </c>
    </row>
    <row r="143" spans="1:24" ht="20" customHeight="1">
      <c r="A143" s="74" t="s">
        <v>102</v>
      </c>
      <c r="B143" s="65"/>
      <c r="C143" s="78"/>
      <c r="D143" s="78"/>
      <c r="E143" s="78"/>
      <c r="F143" s="78"/>
      <c r="G143" s="78"/>
      <c r="H143" s="78"/>
      <c r="I143" s="32">
        <f>'Operating Metrics'!C135</f>
        <v>5.7987113974672294E-2</v>
      </c>
      <c r="J143" s="32">
        <f>'Operating Metrics'!D135</f>
        <v>6.9565217391304349E-2</v>
      </c>
      <c r="K143" s="32">
        <f>'Operating Metrics'!E135</f>
        <v>6.8586502528028143E-2</v>
      </c>
      <c r="L143" s="32">
        <f>'Operating Metrics'!F135</f>
        <v>5.551955065888961E-2</v>
      </c>
      <c r="M143" s="78"/>
      <c r="N143" s="32">
        <f>'Operating Metrics'!H135</f>
        <v>1.8181818181818181E-2</v>
      </c>
      <c r="O143" s="32">
        <f>'Operating Metrics'!I135</f>
        <v>5.2156469408224673E-2</v>
      </c>
      <c r="P143" s="32">
        <f>'Operating Metrics'!J135</f>
        <v>8.7992667277726852E-2</v>
      </c>
      <c r="Q143" s="32">
        <f>'Operating Metrics'!K135</f>
        <v>0.10240112994350282</v>
      </c>
      <c r="R143" s="32">
        <f>'Operating Metrics'!L135</f>
        <v>2.3483365949119372E-2</v>
      </c>
      <c r="S143" s="32">
        <f>'Operating Metrics'!M135</f>
        <v>6.7864271457085831E-2</v>
      </c>
      <c r="T143" s="32">
        <f>'Operating Metrics'!N135</f>
        <v>5.3811659192825115E-2</v>
      </c>
      <c r="U143" s="32">
        <f>'Operating Metrics'!O135</f>
        <v>7.0469798657718116E-2</v>
      </c>
      <c r="V143" s="32">
        <f>'Operating Metrics'!P135</f>
        <v>1.4047410008779631E-2</v>
      </c>
      <c r="W143" s="32">
        <f>'Operating Metrics'!Q135</f>
        <v>3.1138790035587189E-2</v>
      </c>
      <c r="X143" s="32">
        <f>'Operating Metrics'!R135</f>
        <v>3.4987794955248168E-2</v>
      </c>
    </row>
    <row r="144" spans="1:24" ht="20" customHeight="1">
      <c r="A144" s="74" t="s">
        <v>103</v>
      </c>
      <c r="B144" s="65"/>
      <c r="C144" s="80"/>
      <c r="D144" s="80"/>
      <c r="E144" s="80"/>
      <c r="F144" s="80"/>
      <c r="G144" s="80"/>
      <c r="H144" s="80"/>
      <c r="I144" s="36">
        <f>'Operating Metrics'!C139</f>
        <v>2.4166666666666665</v>
      </c>
      <c r="J144" s="36">
        <f>'Operating Metrics'!D139</f>
        <v>2.6440677966101696</v>
      </c>
      <c r="K144" s="36">
        <f>'Operating Metrics'!E139</f>
        <v>2.3458646616541352</v>
      </c>
      <c r="L144" s="36">
        <f>'Operating Metrics'!F139</f>
        <v>1.6797385620915033</v>
      </c>
      <c r="M144" s="80"/>
      <c r="N144" s="36">
        <f>'Operating Metrics'!H139</f>
        <v>0.90476190476190477</v>
      </c>
      <c r="O144" s="36">
        <f>'Operating Metrics'!I139</f>
        <v>1.6774193548387097</v>
      </c>
      <c r="P144" s="36">
        <f>'Operating Metrics'!J139</f>
        <v>2.8235294117647061</v>
      </c>
      <c r="Q144" s="36">
        <f>'Operating Metrics'!K139</f>
        <v>3.0851063829787235</v>
      </c>
      <c r="R144" s="36">
        <f>'Operating Metrics'!L139</f>
        <v>1.0434782608695652</v>
      </c>
      <c r="S144" s="36">
        <f>'Operating Metrics'!M139</f>
        <v>1.7894736842105263</v>
      </c>
      <c r="T144" s="36">
        <f>'Operating Metrics'!N139</f>
        <v>1.5789473684210527</v>
      </c>
      <c r="U144" s="36">
        <f>'Operating Metrics'!O139</f>
        <v>1.9444444444444444</v>
      </c>
      <c r="V144" s="36">
        <f>'Operating Metrics'!P139</f>
        <v>0.5714285714285714</v>
      </c>
      <c r="W144" s="36">
        <f>'Operating Metrics'!Q139</f>
        <v>0.83333333333333337</v>
      </c>
      <c r="X144" s="36">
        <f>'Operating Metrics'!R139</f>
        <v>0.97727272727272729</v>
      </c>
    </row>
    <row r="145" spans="1:24" ht="24" customHeight="1">
      <c r="A145" s="166" t="s">
        <v>93</v>
      </c>
      <c r="B145" s="166"/>
      <c r="C145" s="166"/>
      <c r="D145" s="166"/>
      <c r="E145" s="166"/>
      <c r="F145" s="166"/>
      <c r="G145" s="166"/>
      <c r="H145" s="166"/>
      <c r="I145" s="166"/>
      <c r="J145" s="166"/>
      <c r="K145" s="166"/>
      <c r="L145" s="166"/>
      <c r="M145" s="166"/>
      <c r="N145" s="166"/>
      <c r="O145" s="166"/>
      <c r="P145" s="166"/>
      <c r="Q145" s="166"/>
      <c r="R145" s="166"/>
      <c r="S145" s="166"/>
      <c r="T145" s="166"/>
      <c r="U145" s="166"/>
      <c r="V145" s="166"/>
      <c r="W145" s="166"/>
      <c r="X145" s="166"/>
    </row>
    <row r="146" spans="1:24" ht="22" customHeight="1">
      <c r="A146" s="72" t="s">
        <v>104</v>
      </c>
      <c r="B146" s="65"/>
      <c r="C146" s="73"/>
      <c r="D146" s="73"/>
      <c r="E146" s="73"/>
      <c r="F146" s="73"/>
      <c r="G146" s="73"/>
      <c r="H146" s="73"/>
      <c r="I146" s="57">
        <f>'Operating Metrics'!C143</f>
        <v>139</v>
      </c>
      <c r="J146" s="57">
        <f>'Operating Metrics'!D143</f>
        <v>284</v>
      </c>
      <c r="K146" s="57">
        <f>'Operating Metrics'!E143</f>
        <v>322</v>
      </c>
      <c r="L146" s="57">
        <f>'Operating Metrics'!F143</f>
        <v>223</v>
      </c>
      <c r="M146" s="73"/>
      <c r="N146" s="57">
        <f>'Operating Metrics'!H143</f>
        <v>36</v>
      </c>
      <c r="O146" s="57">
        <f>'Operating Metrics'!I143</f>
        <v>84</v>
      </c>
      <c r="P146" s="57">
        <f>'Operating Metrics'!J143</f>
        <v>58</v>
      </c>
      <c r="Q146" s="57">
        <f>'Operating Metrics'!K143</f>
        <v>144</v>
      </c>
      <c r="R146" s="57">
        <f>'Operating Metrics'!L143</f>
        <v>24</v>
      </c>
      <c r="S146" s="57">
        <f>'Operating Metrics'!M143</f>
        <v>41</v>
      </c>
      <c r="T146" s="57">
        <f>'Operating Metrics'!N143</f>
        <v>58</v>
      </c>
      <c r="U146" s="57">
        <f>'Operating Metrics'!O143</f>
        <v>100</v>
      </c>
      <c r="V146" s="57">
        <f>'Operating Metrics'!P143</f>
        <v>22</v>
      </c>
      <c r="W146" s="57">
        <f>'Operating Metrics'!Q143</f>
        <v>34</v>
      </c>
      <c r="X146" s="57">
        <f>'Operating Metrics'!R143</f>
        <v>47</v>
      </c>
    </row>
    <row r="147" spans="1:24" ht="20" customHeight="1">
      <c r="A147" s="74" t="s">
        <v>103</v>
      </c>
      <c r="B147" s="65"/>
      <c r="C147" s="80"/>
      <c r="D147" s="80"/>
      <c r="E147" s="80"/>
      <c r="F147" s="80"/>
      <c r="G147" s="80"/>
      <c r="H147" s="80"/>
      <c r="I147" s="36">
        <f>'Operating Metrics'!C147</f>
        <v>1.1487603305785123</v>
      </c>
      <c r="J147" s="36">
        <f>'Operating Metrics'!D147</f>
        <v>2.8979591836734695</v>
      </c>
      <c r="K147" s="36">
        <f>'Operating Metrics'!E147</f>
        <v>2.515625</v>
      </c>
      <c r="L147" s="36">
        <f>'Operating Metrics'!F147</f>
        <v>1.3850931677018634</v>
      </c>
      <c r="M147" s="80"/>
      <c r="N147" s="36">
        <f>'Operating Metrics'!H147</f>
        <v>1.3846153846153846</v>
      </c>
      <c r="O147" s="36">
        <f>'Operating Metrics'!I147</f>
        <v>3</v>
      </c>
      <c r="P147" s="36">
        <f>'Operating Metrics'!J147</f>
        <v>2</v>
      </c>
      <c r="Q147" s="36">
        <f>'Operating Metrics'!K147</f>
        <v>3.2</v>
      </c>
      <c r="R147" s="36">
        <f>'Operating Metrics'!L147</f>
        <v>0.66666666666666663</v>
      </c>
      <c r="S147" s="36">
        <f>'Operating Metrics'!M147</f>
        <v>1.1388888888888888</v>
      </c>
      <c r="T147" s="36">
        <f>'Operating Metrics'!N147</f>
        <v>1.5675675675675675</v>
      </c>
      <c r="U147" s="36">
        <f>'Operating Metrics'!O147</f>
        <v>1.9230769230769231</v>
      </c>
      <c r="V147" s="36">
        <f>'Operating Metrics'!P147</f>
        <v>0.61111111111111116</v>
      </c>
      <c r="W147" s="36">
        <f>'Operating Metrics'!Q147</f>
        <v>0.85</v>
      </c>
      <c r="X147" s="36">
        <f>'Operating Metrics'!R147</f>
        <v>1.0681818181818181</v>
      </c>
    </row>
    <row r="148" spans="1:24" ht="24" customHeight="1">
      <c r="A148" s="166" t="s">
        <v>96</v>
      </c>
      <c r="B148" s="166"/>
      <c r="C148" s="166"/>
      <c r="D148" s="166"/>
      <c r="E148" s="166"/>
      <c r="F148" s="166"/>
      <c r="G148" s="166"/>
      <c r="H148" s="166"/>
      <c r="I148" s="166"/>
      <c r="J148" s="166"/>
      <c r="K148" s="166"/>
      <c r="L148" s="166"/>
      <c r="M148" s="166"/>
      <c r="N148" s="166"/>
      <c r="O148" s="166"/>
      <c r="P148" s="166"/>
      <c r="Q148" s="166"/>
      <c r="R148" s="166"/>
      <c r="S148" s="166"/>
      <c r="T148" s="166"/>
      <c r="U148" s="166"/>
      <c r="V148" s="166"/>
      <c r="W148" s="166"/>
      <c r="X148" s="166"/>
    </row>
    <row r="149" spans="1:24" ht="22" customHeight="1">
      <c r="A149" s="72" t="s">
        <v>101</v>
      </c>
      <c r="B149" s="65"/>
      <c r="C149" s="73"/>
      <c r="D149" s="73"/>
      <c r="E149" s="73"/>
      <c r="F149" s="73"/>
      <c r="G149" s="73"/>
      <c r="H149" s="73"/>
      <c r="I149" s="57">
        <f>'Operating Metrics'!I33</f>
        <v>5207</v>
      </c>
      <c r="J149" s="57">
        <f>'Operating Metrics'!J33</f>
        <v>5518</v>
      </c>
      <c r="K149" s="57">
        <f>'Operating Metrics'!K33</f>
        <v>5318</v>
      </c>
      <c r="L149" s="57">
        <f>'Operating Metrics'!L33</f>
        <v>4415</v>
      </c>
      <c r="M149" s="73"/>
      <c r="N149" s="57">
        <f>'Operating Metrics'!N33</f>
        <v>614</v>
      </c>
      <c r="O149" s="57">
        <f>'Operating Metrics'!O33</f>
        <v>1087</v>
      </c>
      <c r="P149" s="57">
        <f>'Operating Metrics'!P33</f>
        <v>1149</v>
      </c>
      <c r="Q149" s="57">
        <f>'Operating Metrics'!Q33</f>
        <v>2468</v>
      </c>
      <c r="R149" s="57">
        <f>'Operating Metrics'!R33</f>
        <v>603</v>
      </c>
      <c r="S149" s="57">
        <f>'Operating Metrics'!S33</f>
        <v>904</v>
      </c>
      <c r="T149" s="57">
        <f>'Operating Metrics'!T33</f>
        <v>992</v>
      </c>
      <c r="U149" s="57">
        <f>'Operating Metrics'!U33</f>
        <v>1916</v>
      </c>
      <c r="V149" s="57">
        <f>'Operating Metrics'!V33</f>
        <v>447</v>
      </c>
      <c r="W149" s="57">
        <f>'Operating Metrics'!W33</f>
        <v>819</v>
      </c>
      <c r="X149" s="57">
        <f>'Operating Metrics'!X33</f>
        <v>916</v>
      </c>
    </row>
    <row r="150" spans="1:24" ht="20" customHeight="1">
      <c r="A150" s="74" t="s">
        <v>102</v>
      </c>
      <c r="B150" s="65"/>
      <c r="C150" s="78"/>
      <c r="D150" s="78"/>
      <c r="E150" s="78"/>
      <c r="F150" s="78"/>
      <c r="G150" s="78"/>
      <c r="H150" s="78"/>
      <c r="I150" s="32">
        <f>'Operating Metrics'!I35</f>
        <v>6.0271784424483749E-2</v>
      </c>
      <c r="J150" s="32">
        <f>'Operating Metrics'!J35</f>
        <v>6.0325130369188046E-2</v>
      </c>
      <c r="K150" s="32">
        <f>'Operating Metrics'!K35</f>
        <v>5.7896226620506454E-2</v>
      </c>
      <c r="L150" s="32">
        <f>'Operating Metrics'!L35</f>
        <v>4.7005589566143202E-2</v>
      </c>
      <c r="M150" s="78"/>
      <c r="N150" s="32">
        <f>'Operating Metrics'!N35</f>
        <v>3.3643835616438356E-2</v>
      </c>
      <c r="O150" s="32">
        <f>'Operating Metrics'!O35</f>
        <v>4.8308964046042395E-2</v>
      </c>
      <c r="P150" s="32">
        <f>'Operating Metrics'!P35</f>
        <v>4.9273124919593465E-2</v>
      </c>
      <c r="Q150" s="32">
        <f>'Operating Metrics'!Q35</f>
        <v>8.8828102505038878E-2</v>
      </c>
      <c r="R150" s="32">
        <f>'Operating Metrics'!R35</f>
        <v>3.365143144148669E-2</v>
      </c>
      <c r="S150" s="32">
        <f>'Operating Metrics'!S35</f>
        <v>3.9778227580744521E-2</v>
      </c>
      <c r="T150" s="32">
        <f>'Operating Metrics'!T35</f>
        <v>4.1442118895433845E-2</v>
      </c>
      <c r="U150" s="32">
        <f>'Operating Metrics'!U35</f>
        <v>6.5296663599495625E-2</v>
      </c>
      <c r="V150" s="32">
        <f>'Operating Metrics'!V35</f>
        <v>2.2990279277889214E-2</v>
      </c>
      <c r="W150" s="32">
        <f>'Operating Metrics'!W35</f>
        <v>3.3869567015425331E-2</v>
      </c>
      <c r="X150" s="32">
        <f>'Operating Metrics'!X35</f>
        <v>3.6242779140618818E-2</v>
      </c>
    </row>
    <row r="151" spans="1:24" ht="20" customHeight="1">
      <c r="A151" s="74" t="s">
        <v>103</v>
      </c>
      <c r="B151" s="65"/>
      <c r="C151" s="80"/>
      <c r="D151" s="80"/>
      <c r="E151" s="80"/>
      <c r="F151" s="80"/>
      <c r="G151" s="80"/>
      <c r="H151" s="80"/>
      <c r="I151" s="36">
        <f>'Operating Metrics'!I36</f>
        <v>1.8845457835685848</v>
      </c>
      <c r="J151" s="36">
        <f>'Operating Metrics'!J36</f>
        <v>1.8717774762550883</v>
      </c>
      <c r="K151" s="36">
        <f>'Operating Metrics'!K36</f>
        <v>1.6829113924050634</v>
      </c>
      <c r="L151" s="36">
        <f>'Operating Metrics'!L36</f>
        <v>1.2793393219356708</v>
      </c>
      <c r="M151" s="80"/>
      <c r="N151" s="36">
        <f>'Operating Metrics'!N36</f>
        <v>0.95787831513260535</v>
      </c>
      <c r="O151" s="36">
        <f>'Operating Metrics'!O36</f>
        <v>1.47289972899729</v>
      </c>
      <c r="P151" s="36">
        <f>'Operating Metrics'!P36</f>
        <v>1.5548037889039241</v>
      </c>
      <c r="Q151" s="36">
        <f>'Operating Metrics'!Q36</f>
        <v>2.3685220729366603</v>
      </c>
      <c r="R151" s="36">
        <f>'Operating Metrics'!R36</f>
        <v>0.88157894736842102</v>
      </c>
      <c r="S151" s="36">
        <f>'Operating Metrics'!S36</f>
        <v>1.1201982651796778</v>
      </c>
      <c r="T151" s="36">
        <f>'Operating Metrics'!T36</f>
        <v>1.203883495145631</v>
      </c>
      <c r="U151" s="36">
        <f>'Operating Metrics'!U36</f>
        <v>1.6866197183098592</v>
      </c>
      <c r="V151" s="36">
        <f>'Operating Metrics'!V36</f>
        <v>0.60242587601078168</v>
      </c>
      <c r="W151" s="36">
        <f>'Operating Metrics'!W36</f>
        <v>0.91304347826086951</v>
      </c>
      <c r="X151" s="36">
        <f>'Operating Metrics'!X36</f>
        <v>1.0269058295964126</v>
      </c>
    </row>
    <row r="152" spans="1:24" ht="22" customHeight="1">
      <c r="A152" s="65"/>
      <c r="B152" s="65"/>
      <c r="C152" s="65"/>
      <c r="D152" s="65"/>
      <c r="E152" s="65"/>
      <c r="F152" s="65"/>
      <c r="G152" s="65"/>
      <c r="H152" s="65"/>
      <c r="I152" s="65"/>
      <c r="J152" s="65"/>
      <c r="K152" s="65"/>
      <c r="L152" s="65"/>
      <c r="M152" s="65"/>
      <c r="N152" s="65"/>
      <c r="O152" s="65"/>
      <c r="P152" s="65"/>
      <c r="Q152" s="65"/>
      <c r="R152" s="65"/>
      <c r="S152" s="65"/>
      <c r="T152" s="65"/>
      <c r="U152" s="65"/>
      <c r="V152" s="65"/>
      <c r="W152" s="65"/>
      <c r="X152" s="65"/>
    </row>
    <row r="153" spans="1:24" ht="22" customHeight="1">
      <c r="A153" s="65"/>
      <c r="B153" s="65"/>
      <c r="C153" s="65"/>
      <c r="D153" s="65"/>
      <c r="E153" s="65"/>
      <c r="F153" s="65"/>
      <c r="G153" s="65"/>
      <c r="H153" s="65"/>
      <c r="I153" s="65"/>
      <c r="J153" s="65"/>
      <c r="K153" s="65"/>
      <c r="L153" s="65"/>
      <c r="M153" s="65"/>
      <c r="N153" s="65"/>
      <c r="O153" s="65"/>
      <c r="P153" s="65"/>
      <c r="Q153" s="65"/>
      <c r="R153" s="65"/>
      <c r="S153" s="65"/>
      <c r="T153" s="65"/>
      <c r="U153" s="65"/>
      <c r="V153" s="65"/>
      <c r="W153" s="65"/>
      <c r="X153" s="65"/>
    </row>
    <row r="154" spans="1:24" ht="24" customHeight="1">
      <c r="A154" s="165" t="s">
        <v>105</v>
      </c>
      <c r="B154" s="165"/>
      <c r="C154" s="165"/>
      <c r="D154" s="165"/>
      <c r="E154" s="165"/>
      <c r="F154" s="165"/>
      <c r="G154" s="165"/>
      <c r="H154" s="165"/>
      <c r="I154" s="165"/>
      <c r="J154" s="165"/>
      <c r="K154" s="165"/>
      <c r="L154" s="165"/>
      <c r="M154" s="165"/>
      <c r="N154" s="165"/>
      <c r="O154" s="165"/>
      <c r="P154" s="165"/>
      <c r="Q154" s="165"/>
      <c r="R154" s="165"/>
      <c r="S154" s="165"/>
      <c r="T154" s="165"/>
      <c r="U154" s="165"/>
      <c r="V154" s="165"/>
      <c r="W154" s="165"/>
      <c r="X154" s="165"/>
    </row>
    <row r="155" spans="1:24" ht="24" customHeight="1">
      <c r="A155" s="162" t="s">
        <v>106</v>
      </c>
      <c r="B155" s="162"/>
      <c r="C155" s="162"/>
      <c r="D155" s="162"/>
      <c r="E155" s="162"/>
      <c r="F155" s="162"/>
      <c r="G155" s="162"/>
      <c r="H155" s="162"/>
      <c r="I155" s="162"/>
      <c r="J155" s="162"/>
      <c r="K155" s="162"/>
      <c r="L155" s="162"/>
      <c r="M155" s="162"/>
      <c r="N155" s="162"/>
      <c r="O155" s="162"/>
      <c r="P155" s="162"/>
      <c r="Q155" s="162"/>
      <c r="R155" s="162"/>
      <c r="S155" s="162"/>
      <c r="T155" s="162"/>
      <c r="U155" s="162"/>
      <c r="V155" s="162"/>
      <c r="W155" s="162"/>
      <c r="X155" s="162"/>
    </row>
    <row r="156" spans="1:24" ht="24" customHeight="1">
      <c r="A156" s="166" t="s">
        <v>107</v>
      </c>
      <c r="B156" s="166"/>
      <c r="C156" s="166"/>
      <c r="D156" s="166"/>
      <c r="E156" s="166"/>
      <c r="F156" s="166"/>
      <c r="G156" s="166"/>
      <c r="H156" s="166"/>
      <c r="I156" s="166"/>
      <c r="J156" s="166"/>
      <c r="K156" s="166"/>
      <c r="L156" s="166"/>
      <c r="M156" s="166"/>
      <c r="N156" s="166"/>
      <c r="O156" s="166"/>
      <c r="P156" s="166"/>
      <c r="Q156" s="166"/>
      <c r="R156" s="166"/>
      <c r="S156" s="166"/>
      <c r="T156" s="166"/>
      <c r="U156" s="166"/>
      <c r="V156" s="166"/>
      <c r="W156" s="166"/>
      <c r="X156" s="166"/>
    </row>
    <row r="157" spans="1:24" ht="20" customHeight="1">
      <c r="A157" s="74" t="s">
        <v>66</v>
      </c>
      <c r="B157" s="65"/>
      <c r="C157" s="61">
        <v>3.5000000000000003E-2</v>
      </c>
      <c r="D157" s="61">
        <v>0.03</v>
      </c>
      <c r="E157" s="61">
        <v>0.03</v>
      </c>
      <c r="F157" s="78"/>
      <c r="G157" s="78"/>
      <c r="H157" s="78"/>
      <c r="I157" s="78"/>
      <c r="J157" s="78"/>
      <c r="K157" s="78"/>
      <c r="L157" s="78"/>
      <c r="M157" s="78"/>
      <c r="N157" s="78"/>
      <c r="O157" s="78"/>
      <c r="P157" s="78"/>
      <c r="Q157" s="78"/>
      <c r="R157" s="78"/>
      <c r="S157" s="78"/>
      <c r="T157" s="78"/>
      <c r="U157" s="78"/>
      <c r="V157" s="78"/>
      <c r="W157" s="78"/>
      <c r="X157" s="78"/>
    </row>
    <row r="158" spans="1:24" ht="20" customHeight="1">
      <c r="A158" s="74" t="s">
        <v>67</v>
      </c>
      <c r="B158" s="65"/>
      <c r="C158" s="87">
        <v>2</v>
      </c>
      <c r="D158" s="87">
        <v>1</v>
      </c>
      <c r="E158" s="87">
        <v>1</v>
      </c>
      <c r="F158" s="84"/>
      <c r="G158" s="84"/>
      <c r="H158" s="84"/>
      <c r="I158" s="84"/>
      <c r="J158" s="84"/>
      <c r="K158" s="84"/>
      <c r="L158" s="84"/>
      <c r="M158" s="84"/>
      <c r="N158" s="84"/>
      <c r="O158" s="84"/>
      <c r="P158" s="84"/>
      <c r="Q158" s="84"/>
      <c r="R158" s="84"/>
      <c r="S158" s="84"/>
      <c r="T158" s="84"/>
      <c r="U158" s="84"/>
      <c r="V158" s="84"/>
      <c r="W158" s="84"/>
      <c r="X158" s="84"/>
    </row>
    <row r="159" spans="1:24" ht="20" customHeight="1">
      <c r="A159" s="74" t="s">
        <v>68</v>
      </c>
      <c r="B159" s="65"/>
      <c r="C159" s="87">
        <v>2</v>
      </c>
      <c r="D159" s="87">
        <v>2.5</v>
      </c>
      <c r="E159" s="87">
        <v>2</v>
      </c>
      <c r="F159" s="84"/>
      <c r="G159" s="84"/>
      <c r="H159" s="84"/>
      <c r="I159" s="84"/>
      <c r="J159" s="84"/>
      <c r="K159" s="84"/>
      <c r="L159" s="84"/>
      <c r="M159" s="84"/>
      <c r="N159" s="84"/>
      <c r="O159" s="84"/>
      <c r="P159" s="84"/>
      <c r="Q159" s="84"/>
      <c r="R159" s="84"/>
      <c r="S159" s="84"/>
      <c r="T159" s="84"/>
      <c r="U159" s="84"/>
      <c r="V159" s="84"/>
      <c r="W159" s="84"/>
      <c r="X159" s="84"/>
    </row>
    <row r="160" spans="1:24" ht="24" customHeight="1">
      <c r="A160" s="166" t="s">
        <v>108</v>
      </c>
      <c r="B160" s="166"/>
      <c r="C160" s="166"/>
      <c r="D160" s="166"/>
      <c r="E160" s="166"/>
      <c r="F160" s="166"/>
      <c r="G160" s="166"/>
      <c r="H160" s="166"/>
      <c r="I160" s="166"/>
      <c r="J160" s="166"/>
      <c r="K160" s="166"/>
      <c r="L160" s="166"/>
      <c r="M160" s="166"/>
      <c r="N160" s="166"/>
      <c r="O160" s="166"/>
      <c r="P160" s="166"/>
      <c r="Q160" s="166"/>
      <c r="R160" s="166"/>
      <c r="S160" s="166"/>
      <c r="T160" s="166"/>
      <c r="U160" s="166"/>
      <c r="V160" s="166"/>
      <c r="W160" s="166"/>
      <c r="X160" s="166"/>
    </row>
    <row r="161" spans="1:24" ht="20" customHeight="1">
      <c r="A161" s="74" t="s">
        <v>66</v>
      </c>
      <c r="B161" s="65"/>
      <c r="C161" s="61">
        <v>0</v>
      </c>
      <c r="D161" s="61">
        <v>-0.01</v>
      </c>
      <c r="E161" s="61">
        <v>-0.02</v>
      </c>
      <c r="F161" s="78"/>
      <c r="G161" s="78"/>
      <c r="H161" s="78"/>
      <c r="I161" s="78"/>
      <c r="J161" s="78"/>
      <c r="K161" s="78"/>
      <c r="L161" s="78"/>
      <c r="M161" s="78"/>
      <c r="N161" s="78"/>
      <c r="O161" s="78"/>
      <c r="P161" s="78"/>
      <c r="Q161" s="78"/>
      <c r="R161" s="78"/>
      <c r="S161" s="78"/>
      <c r="T161" s="78"/>
      <c r="U161" s="78"/>
      <c r="V161" s="78"/>
      <c r="W161" s="78"/>
      <c r="X161" s="78"/>
    </row>
    <row r="162" spans="1:24" ht="20" customHeight="1">
      <c r="A162" s="74" t="s">
        <v>67</v>
      </c>
      <c r="B162" s="65"/>
      <c r="C162" s="87">
        <v>0</v>
      </c>
      <c r="D162" s="87">
        <v>0</v>
      </c>
      <c r="E162" s="87">
        <v>-0.5</v>
      </c>
      <c r="F162" s="84"/>
      <c r="G162" s="84"/>
      <c r="H162" s="84"/>
      <c r="I162" s="84"/>
      <c r="J162" s="84"/>
      <c r="K162" s="84"/>
      <c r="L162" s="84"/>
      <c r="M162" s="84"/>
      <c r="N162" s="84"/>
      <c r="O162" s="84"/>
      <c r="P162" s="84"/>
      <c r="Q162" s="84"/>
      <c r="R162" s="84"/>
      <c r="S162" s="84"/>
      <c r="T162" s="84"/>
      <c r="U162" s="84"/>
      <c r="V162" s="84"/>
      <c r="W162" s="84"/>
      <c r="X162" s="84"/>
    </row>
    <row r="163" spans="1:24" ht="20" customHeight="1">
      <c r="A163" s="74" t="s">
        <v>68</v>
      </c>
      <c r="B163" s="65"/>
      <c r="C163" s="87">
        <v>-1</v>
      </c>
      <c r="D163" s="87">
        <v>-1</v>
      </c>
      <c r="E163" s="87">
        <v>-1</v>
      </c>
      <c r="F163" s="84"/>
      <c r="G163" s="84"/>
      <c r="H163" s="84"/>
      <c r="I163" s="84"/>
      <c r="J163" s="84"/>
      <c r="K163" s="84"/>
      <c r="L163" s="84"/>
      <c r="M163" s="84"/>
      <c r="N163" s="84"/>
      <c r="O163" s="84"/>
      <c r="P163" s="84"/>
      <c r="Q163" s="84"/>
      <c r="R163" s="84"/>
      <c r="S163" s="84"/>
      <c r="T163" s="84"/>
      <c r="U163" s="84"/>
      <c r="V163" s="84"/>
      <c r="W163" s="84"/>
      <c r="X163" s="84"/>
    </row>
    <row r="164" spans="1:24" ht="24" customHeight="1">
      <c r="A164" s="166" t="s">
        <v>109</v>
      </c>
      <c r="B164" s="166"/>
      <c r="C164" s="166"/>
      <c r="D164" s="166"/>
      <c r="E164" s="166"/>
      <c r="F164" s="166"/>
      <c r="G164" s="166"/>
      <c r="H164" s="166"/>
      <c r="I164" s="166"/>
      <c r="J164" s="166"/>
      <c r="K164" s="166"/>
      <c r="L164" s="166"/>
      <c r="M164" s="166"/>
      <c r="N164" s="166"/>
      <c r="O164" s="166"/>
      <c r="P164" s="166"/>
      <c r="Q164" s="166"/>
      <c r="R164" s="166"/>
      <c r="S164" s="166"/>
      <c r="T164" s="166"/>
      <c r="U164" s="166"/>
      <c r="V164" s="166"/>
      <c r="W164" s="166"/>
      <c r="X164" s="166"/>
    </row>
    <row r="165" spans="1:24" ht="20" customHeight="1">
      <c r="A165" s="74" t="s">
        <v>66</v>
      </c>
      <c r="B165" s="65"/>
      <c r="C165" s="61">
        <v>0.02</v>
      </c>
      <c r="D165" s="61">
        <v>-0.02</v>
      </c>
      <c r="E165" s="61">
        <v>5.0000000000000001E-3</v>
      </c>
      <c r="F165" s="78"/>
      <c r="G165" s="78"/>
      <c r="H165" s="78"/>
      <c r="I165" s="78"/>
      <c r="J165" s="78"/>
      <c r="K165" s="78"/>
      <c r="L165" s="78"/>
      <c r="M165" s="78"/>
      <c r="N165" s="78"/>
      <c r="O165" s="78"/>
      <c r="P165" s="78"/>
      <c r="Q165" s="78"/>
      <c r="R165" s="78"/>
      <c r="S165" s="78"/>
      <c r="T165" s="78"/>
      <c r="U165" s="78"/>
      <c r="V165" s="78"/>
      <c r="W165" s="78"/>
      <c r="X165" s="78"/>
    </row>
    <row r="166" spans="1:24" ht="20" customHeight="1">
      <c r="A166" s="74" t="s">
        <v>67</v>
      </c>
      <c r="B166" s="65"/>
      <c r="C166" s="87">
        <v>1</v>
      </c>
      <c r="D166" s="87">
        <v>-2.5</v>
      </c>
      <c r="E166" s="87">
        <v>-1</v>
      </c>
      <c r="F166" s="84"/>
      <c r="G166" s="84"/>
      <c r="H166" s="84"/>
      <c r="I166" s="84"/>
      <c r="J166" s="84"/>
      <c r="K166" s="84"/>
      <c r="L166" s="84"/>
      <c r="M166" s="84"/>
      <c r="N166" s="84"/>
      <c r="O166" s="84"/>
      <c r="P166" s="84"/>
      <c r="Q166" s="84"/>
      <c r="R166" s="84"/>
      <c r="S166" s="84"/>
      <c r="T166" s="84"/>
      <c r="U166" s="84"/>
      <c r="V166" s="84"/>
      <c r="W166" s="84"/>
      <c r="X166" s="84"/>
    </row>
    <row r="167" spans="1:24" ht="20" customHeight="1">
      <c r="A167" s="74" t="s">
        <v>68</v>
      </c>
      <c r="B167" s="65"/>
      <c r="C167" s="87">
        <v>1</v>
      </c>
      <c r="D167" s="87">
        <v>1</v>
      </c>
      <c r="E167" s="87">
        <v>2</v>
      </c>
      <c r="F167" s="84"/>
      <c r="G167" s="84"/>
      <c r="H167" s="84"/>
      <c r="I167" s="84"/>
      <c r="J167" s="84"/>
      <c r="K167" s="84"/>
      <c r="L167" s="84"/>
      <c r="M167" s="84"/>
      <c r="N167" s="84"/>
      <c r="O167" s="84"/>
      <c r="P167" s="84"/>
      <c r="Q167" s="84"/>
      <c r="R167" s="84"/>
      <c r="S167" s="84"/>
      <c r="T167" s="84"/>
      <c r="U167" s="84"/>
      <c r="V167" s="84"/>
      <c r="W167" s="84"/>
      <c r="X167" s="84"/>
    </row>
    <row r="168" spans="1:24" ht="24" customHeight="1">
      <c r="A168" s="166" t="s">
        <v>110</v>
      </c>
      <c r="B168" s="166"/>
      <c r="C168" s="166"/>
      <c r="D168" s="166"/>
      <c r="E168" s="166"/>
      <c r="F168" s="166"/>
      <c r="G168" s="166"/>
      <c r="H168" s="166"/>
      <c r="I168" s="166"/>
      <c r="J168" s="166"/>
      <c r="K168" s="166"/>
      <c r="L168" s="166"/>
      <c r="M168" s="166"/>
      <c r="N168" s="166"/>
      <c r="O168" s="166"/>
      <c r="P168" s="166"/>
      <c r="Q168" s="166"/>
      <c r="R168" s="166"/>
      <c r="S168" s="166"/>
      <c r="T168" s="166"/>
      <c r="U168" s="166"/>
      <c r="V168" s="166"/>
      <c r="W168" s="166"/>
      <c r="X168" s="166"/>
    </row>
    <row r="169" spans="1:24" ht="20" customHeight="1">
      <c r="A169" s="74" t="s">
        <v>66</v>
      </c>
      <c r="B169" s="65"/>
      <c r="C169" s="61">
        <v>0.09</v>
      </c>
      <c r="D169" s="61">
        <v>0.05</v>
      </c>
      <c r="E169" s="61">
        <v>0.08</v>
      </c>
      <c r="F169" s="78"/>
      <c r="G169" s="78"/>
      <c r="H169" s="78"/>
      <c r="I169" s="78"/>
      <c r="J169" s="78"/>
      <c r="K169" s="78"/>
      <c r="L169" s="78"/>
      <c r="M169" s="78"/>
      <c r="N169" s="78"/>
      <c r="O169" s="78"/>
      <c r="P169" s="78"/>
      <c r="Q169" s="78"/>
      <c r="R169" s="78"/>
      <c r="S169" s="78"/>
      <c r="T169" s="78"/>
      <c r="U169" s="78"/>
      <c r="V169" s="78"/>
      <c r="W169" s="78"/>
      <c r="X169" s="78"/>
    </row>
    <row r="170" spans="1:24" ht="20" customHeight="1">
      <c r="A170" s="74" t="s">
        <v>67</v>
      </c>
      <c r="B170" s="65"/>
      <c r="C170" s="87">
        <v>3</v>
      </c>
      <c r="D170" s="87">
        <v>-2</v>
      </c>
      <c r="E170" s="87">
        <v>1</v>
      </c>
      <c r="F170" s="84"/>
      <c r="G170" s="84"/>
      <c r="H170" s="84"/>
      <c r="I170" s="84"/>
      <c r="J170" s="84"/>
      <c r="K170" s="84"/>
      <c r="L170" s="84"/>
      <c r="M170" s="84"/>
      <c r="N170" s="84"/>
      <c r="O170" s="84"/>
      <c r="P170" s="84"/>
      <c r="Q170" s="84"/>
      <c r="R170" s="84"/>
      <c r="S170" s="84"/>
      <c r="T170" s="84"/>
      <c r="U170" s="84"/>
      <c r="V170" s="84"/>
      <c r="W170" s="84"/>
      <c r="X170" s="84"/>
    </row>
    <row r="171" spans="1:24" ht="20" customHeight="1">
      <c r="A171" s="74" t="s">
        <v>68</v>
      </c>
      <c r="B171" s="65"/>
      <c r="C171" s="87">
        <v>7.0000000000000009</v>
      </c>
      <c r="D171" s="87">
        <v>7.0000000000000009</v>
      </c>
      <c r="E171" s="87">
        <v>7.0000000000000009</v>
      </c>
      <c r="F171" s="84"/>
      <c r="G171" s="84"/>
      <c r="H171" s="84"/>
      <c r="I171" s="84"/>
      <c r="J171" s="84"/>
      <c r="K171" s="84"/>
      <c r="L171" s="84"/>
      <c r="M171" s="84"/>
      <c r="N171" s="84"/>
      <c r="O171" s="84"/>
      <c r="P171" s="84"/>
      <c r="Q171" s="84"/>
      <c r="R171" s="84"/>
      <c r="S171" s="84"/>
      <c r="T171" s="84"/>
      <c r="U171" s="84"/>
      <c r="V171" s="84"/>
      <c r="W171" s="84"/>
      <c r="X171" s="84"/>
    </row>
    <row r="172" spans="1:24" ht="24" customHeight="1">
      <c r="A172" s="166" t="s">
        <v>111</v>
      </c>
      <c r="B172" s="166"/>
      <c r="C172" s="166"/>
      <c r="D172" s="166"/>
      <c r="E172" s="166"/>
      <c r="F172" s="166"/>
      <c r="G172" s="166"/>
      <c r="H172" s="166"/>
      <c r="I172" s="166"/>
      <c r="J172" s="166"/>
      <c r="K172" s="166"/>
      <c r="L172" s="166"/>
      <c r="M172" s="166"/>
      <c r="N172" s="166"/>
      <c r="O172" s="166"/>
      <c r="P172" s="166"/>
      <c r="Q172" s="166"/>
      <c r="R172" s="166"/>
      <c r="S172" s="166"/>
      <c r="T172" s="166"/>
      <c r="U172" s="166"/>
      <c r="V172" s="166"/>
      <c r="W172" s="166"/>
      <c r="X172" s="166"/>
    </row>
    <row r="173" spans="1:24" ht="20" customHeight="1">
      <c r="A173" s="74" t="s">
        <v>66</v>
      </c>
      <c r="B173" s="65"/>
      <c r="C173" s="61">
        <v>0.04</v>
      </c>
      <c r="D173" s="61">
        <v>0.06</v>
      </c>
      <c r="E173" s="61">
        <v>7.0000000000000007E-2</v>
      </c>
      <c r="F173" s="78"/>
      <c r="G173" s="78"/>
      <c r="H173" s="78"/>
      <c r="I173" s="78"/>
      <c r="J173" s="78"/>
      <c r="K173" s="78"/>
      <c r="L173" s="78"/>
      <c r="M173" s="78"/>
      <c r="N173" s="78"/>
      <c r="O173" s="78"/>
      <c r="P173" s="78"/>
      <c r="Q173" s="78"/>
      <c r="R173" s="78"/>
      <c r="S173" s="78"/>
      <c r="T173" s="78"/>
      <c r="U173" s="78"/>
      <c r="V173" s="78"/>
      <c r="W173" s="78"/>
      <c r="X173" s="78"/>
    </row>
    <row r="174" spans="1:24" ht="20" customHeight="1">
      <c r="A174" s="74" t="s">
        <v>67</v>
      </c>
      <c r="B174" s="65"/>
      <c r="C174" s="87">
        <v>1.5</v>
      </c>
      <c r="D174" s="87">
        <v>3</v>
      </c>
      <c r="E174" s="87">
        <v>4</v>
      </c>
      <c r="F174" s="84"/>
      <c r="G174" s="84"/>
      <c r="H174" s="84"/>
      <c r="I174" s="84"/>
      <c r="J174" s="84"/>
      <c r="K174" s="84"/>
      <c r="L174" s="84"/>
      <c r="M174" s="84"/>
      <c r="N174" s="84"/>
      <c r="O174" s="84"/>
      <c r="P174" s="84"/>
      <c r="Q174" s="84"/>
      <c r="R174" s="84"/>
      <c r="S174" s="84"/>
      <c r="T174" s="84"/>
      <c r="U174" s="84"/>
      <c r="V174" s="84"/>
      <c r="W174" s="84"/>
      <c r="X174" s="84"/>
    </row>
    <row r="175" spans="1:24" ht="20" customHeight="1">
      <c r="A175" s="74" t="s">
        <v>68</v>
      </c>
      <c r="B175" s="65"/>
      <c r="C175" s="87">
        <v>2.5</v>
      </c>
      <c r="D175" s="87">
        <v>2</v>
      </c>
      <c r="E175" s="87">
        <v>3</v>
      </c>
      <c r="F175" s="84"/>
      <c r="G175" s="84"/>
      <c r="H175" s="84"/>
      <c r="I175" s="84"/>
      <c r="J175" s="84"/>
      <c r="K175" s="84"/>
      <c r="L175" s="84"/>
      <c r="M175" s="84"/>
      <c r="N175" s="84"/>
      <c r="O175" s="84"/>
      <c r="P175" s="84"/>
      <c r="Q175" s="84"/>
      <c r="R175" s="84"/>
      <c r="S175" s="84"/>
      <c r="T175" s="84"/>
      <c r="U175" s="84"/>
      <c r="V175" s="84"/>
      <c r="W175" s="84"/>
      <c r="X175" s="84"/>
    </row>
    <row r="176" spans="1:24" ht="24" customHeight="1">
      <c r="A176" s="166" t="s">
        <v>112</v>
      </c>
      <c r="B176" s="166"/>
      <c r="C176" s="166"/>
      <c r="D176" s="166"/>
      <c r="E176" s="166"/>
      <c r="F176" s="166"/>
      <c r="G176" s="166"/>
      <c r="H176" s="166"/>
      <c r="I176" s="166"/>
      <c r="J176" s="166"/>
      <c r="K176" s="166"/>
      <c r="L176" s="166"/>
      <c r="M176" s="166"/>
      <c r="N176" s="166"/>
      <c r="O176" s="166"/>
      <c r="P176" s="166"/>
      <c r="Q176" s="166"/>
      <c r="R176" s="166"/>
      <c r="S176" s="166"/>
      <c r="T176" s="166"/>
      <c r="U176" s="166"/>
      <c r="V176" s="166"/>
      <c r="W176" s="166"/>
      <c r="X176" s="166"/>
    </row>
    <row r="177" spans="1:24" ht="20" customHeight="1">
      <c r="A177" s="74" t="s">
        <v>66</v>
      </c>
      <c r="B177" s="65"/>
      <c r="C177" s="61">
        <v>0.05</v>
      </c>
      <c r="D177" s="61">
        <v>0.05</v>
      </c>
      <c r="E177" s="61">
        <v>7.0000000000000007E-2</v>
      </c>
      <c r="F177" s="78"/>
      <c r="G177" s="78"/>
      <c r="H177" s="78"/>
      <c r="I177" s="78"/>
      <c r="J177" s="78"/>
      <c r="K177" s="78"/>
      <c r="L177" s="78"/>
      <c r="M177" s="78"/>
      <c r="N177" s="78"/>
      <c r="O177" s="78"/>
      <c r="P177" s="78"/>
      <c r="Q177" s="78"/>
      <c r="R177" s="78"/>
      <c r="S177" s="78"/>
      <c r="T177" s="78"/>
      <c r="U177" s="78"/>
      <c r="V177" s="78"/>
      <c r="W177" s="78"/>
      <c r="X177" s="78"/>
    </row>
    <row r="178" spans="1:24" ht="20" customHeight="1">
      <c r="A178" s="74" t="s">
        <v>67</v>
      </c>
      <c r="B178" s="65"/>
      <c r="C178" s="87">
        <v>6</v>
      </c>
      <c r="D178" s="87">
        <v>0</v>
      </c>
      <c r="E178" s="87">
        <v>3</v>
      </c>
      <c r="F178" s="84"/>
      <c r="G178" s="84"/>
      <c r="H178" s="84"/>
      <c r="I178" s="84"/>
      <c r="J178" s="84"/>
      <c r="K178" s="84"/>
      <c r="L178" s="84"/>
      <c r="M178" s="84"/>
      <c r="N178" s="84"/>
      <c r="O178" s="84"/>
      <c r="P178" s="84"/>
      <c r="Q178" s="84"/>
      <c r="R178" s="84"/>
      <c r="S178" s="84"/>
      <c r="T178" s="84"/>
      <c r="U178" s="84"/>
      <c r="V178" s="84"/>
      <c r="W178" s="84"/>
      <c r="X178" s="84"/>
    </row>
    <row r="179" spans="1:24" ht="20" customHeight="1">
      <c r="A179" s="74" t="s">
        <v>68</v>
      </c>
      <c r="B179" s="65"/>
      <c r="C179" s="87">
        <v>-1</v>
      </c>
      <c r="D179" s="87">
        <v>5</v>
      </c>
      <c r="E179" s="87">
        <v>3</v>
      </c>
      <c r="F179" s="84"/>
      <c r="G179" s="84"/>
      <c r="H179" s="84"/>
      <c r="I179" s="84"/>
      <c r="J179" s="84"/>
      <c r="K179" s="84"/>
      <c r="L179" s="84"/>
      <c r="M179" s="84"/>
      <c r="N179" s="84"/>
      <c r="O179" s="84"/>
      <c r="P179" s="84"/>
      <c r="Q179" s="84"/>
      <c r="R179" s="84"/>
      <c r="S179" s="84"/>
      <c r="T179" s="84"/>
      <c r="U179" s="84"/>
      <c r="V179" s="84"/>
      <c r="W179" s="84"/>
      <c r="X179" s="84"/>
    </row>
    <row r="180" spans="1:24" ht="22" customHeight="1">
      <c r="A180" s="65"/>
      <c r="B180" s="65"/>
      <c r="C180" s="65"/>
      <c r="D180" s="65"/>
      <c r="E180" s="65"/>
      <c r="F180" s="65"/>
      <c r="G180" s="65"/>
      <c r="H180" s="65"/>
      <c r="I180" s="65"/>
      <c r="J180" s="65"/>
      <c r="K180" s="65"/>
      <c r="L180" s="65"/>
      <c r="M180" s="65"/>
      <c r="N180" s="65"/>
      <c r="O180" s="65"/>
      <c r="P180" s="65"/>
      <c r="Q180" s="65"/>
      <c r="R180" s="65"/>
      <c r="S180" s="65"/>
      <c r="T180" s="65"/>
      <c r="U180" s="65"/>
      <c r="V180" s="65"/>
      <c r="W180" s="65"/>
      <c r="X180" s="65"/>
    </row>
    <row r="181" spans="1:24" ht="24" customHeight="1">
      <c r="A181" s="165" t="s">
        <v>113</v>
      </c>
      <c r="B181" s="165"/>
      <c r="C181" s="165"/>
      <c r="D181" s="165"/>
      <c r="E181" s="165"/>
      <c r="F181" s="165"/>
      <c r="G181" s="165"/>
      <c r="H181" s="165"/>
      <c r="I181" s="165"/>
      <c r="J181" s="165"/>
      <c r="K181" s="165"/>
      <c r="L181" s="165"/>
      <c r="M181" s="165"/>
      <c r="N181" s="165"/>
      <c r="O181" s="165"/>
      <c r="P181" s="165"/>
      <c r="Q181" s="165"/>
      <c r="R181" s="165"/>
      <c r="S181" s="165"/>
      <c r="T181" s="165"/>
      <c r="U181" s="165"/>
      <c r="V181" s="165"/>
      <c r="W181" s="165"/>
      <c r="X181" s="165"/>
    </row>
    <row r="182" spans="1:24" ht="24" customHeight="1">
      <c r="A182" s="162" t="s">
        <v>114</v>
      </c>
      <c r="B182" s="162"/>
      <c r="C182" s="162"/>
      <c r="D182" s="162"/>
      <c r="E182" s="162"/>
      <c r="F182" s="162"/>
      <c r="G182" s="162"/>
      <c r="H182" s="162"/>
      <c r="I182" s="162"/>
      <c r="J182" s="162"/>
      <c r="K182" s="162"/>
      <c r="L182" s="162"/>
      <c r="M182" s="162"/>
      <c r="N182" s="162"/>
      <c r="O182" s="162"/>
      <c r="P182" s="162"/>
      <c r="Q182" s="162"/>
      <c r="R182" s="162"/>
      <c r="S182" s="162"/>
      <c r="T182" s="162"/>
      <c r="U182" s="162"/>
      <c r="V182" s="162"/>
      <c r="W182" s="162"/>
      <c r="X182" s="162"/>
    </row>
    <row r="183" spans="1:24" ht="24" customHeight="1">
      <c r="A183" s="166" t="s">
        <v>107</v>
      </c>
      <c r="B183" s="166"/>
      <c r="C183" s="166"/>
      <c r="D183" s="166"/>
      <c r="E183" s="166"/>
      <c r="F183" s="166"/>
      <c r="G183" s="166"/>
      <c r="H183" s="166"/>
      <c r="I183" s="166"/>
      <c r="J183" s="166"/>
      <c r="K183" s="166"/>
      <c r="L183" s="166"/>
      <c r="M183" s="166"/>
      <c r="N183" s="166"/>
      <c r="O183" s="166"/>
      <c r="P183" s="166"/>
      <c r="Q183" s="166"/>
      <c r="R183" s="166"/>
      <c r="S183" s="166"/>
      <c r="T183" s="166"/>
      <c r="U183" s="166"/>
      <c r="V183" s="166"/>
      <c r="W183" s="166"/>
      <c r="X183" s="166"/>
    </row>
    <row r="184" spans="1:24" ht="20" customHeight="1">
      <c r="A184" s="74" t="s">
        <v>66</v>
      </c>
      <c r="B184" s="65"/>
      <c r="C184" s="78"/>
      <c r="D184" s="78"/>
      <c r="E184" s="78"/>
      <c r="F184" s="61">
        <v>4.4999999999999998E-2</v>
      </c>
      <c r="G184" s="61">
        <v>0.06</v>
      </c>
      <c r="H184" s="61">
        <v>7.0000000000000007E-2</v>
      </c>
      <c r="I184" s="61">
        <v>0.17</v>
      </c>
      <c r="J184" s="78"/>
      <c r="K184" s="78"/>
      <c r="L184" s="78"/>
      <c r="M184" s="78"/>
      <c r="N184" s="78"/>
      <c r="O184" s="78"/>
      <c r="P184" s="78"/>
      <c r="Q184" s="78"/>
      <c r="R184" s="78"/>
      <c r="S184" s="78"/>
      <c r="T184" s="78"/>
      <c r="U184" s="78"/>
      <c r="V184" s="78"/>
      <c r="W184" s="78"/>
      <c r="X184" s="78"/>
    </row>
    <row r="185" spans="1:24" ht="20" customHeight="1">
      <c r="A185" s="74" t="s">
        <v>67</v>
      </c>
      <c r="B185" s="65"/>
      <c r="C185" s="84"/>
      <c r="D185" s="84"/>
      <c r="E185" s="84"/>
      <c r="F185" s="87">
        <v>2</v>
      </c>
      <c r="G185" s="87">
        <v>3</v>
      </c>
      <c r="H185" s="87">
        <v>2</v>
      </c>
      <c r="I185" s="87">
        <v>0</v>
      </c>
      <c r="J185" s="84"/>
      <c r="K185" s="84"/>
      <c r="L185" s="84"/>
      <c r="M185" s="84"/>
      <c r="N185" s="84"/>
      <c r="O185" s="84"/>
      <c r="P185" s="84"/>
      <c r="Q185" s="84"/>
      <c r="R185" s="84"/>
      <c r="S185" s="84"/>
      <c r="T185" s="84"/>
      <c r="U185" s="84"/>
      <c r="V185" s="84"/>
      <c r="W185" s="84"/>
      <c r="X185" s="84"/>
    </row>
    <row r="186" spans="1:24" ht="20" customHeight="1">
      <c r="A186" s="74" t="s">
        <v>68</v>
      </c>
      <c r="B186" s="65"/>
      <c r="C186" s="84"/>
      <c r="D186" s="84"/>
      <c r="E186" s="84"/>
      <c r="F186" s="87">
        <v>3</v>
      </c>
      <c r="G186" s="87">
        <v>3</v>
      </c>
      <c r="H186" s="87">
        <v>5</v>
      </c>
      <c r="I186" s="87">
        <v>17</v>
      </c>
      <c r="J186" s="84"/>
      <c r="K186" s="84"/>
      <c r="L186" s="84"/>
      <c r="M186" s="84"/>
      <c r="N186" s="84"/>
      <c r="O186" s="84"/>
      <c r="P186" s="84"/>
      <c r="Q186" s="84"/>
      <c r="R186" s="84"/>
      <c r="S186" s="84"/>
      <c r="T186" s="84"/>
      <c r="U186" s="84"/>
      <c r="V186" s="84"/>
      <c r="W186" s="84"/>
      <c r="X186" s="84"/>
    </row>
    <row r="187" spans="1:24" ht="24" customHeight="1">
      <c r="A187" s="166" t="s">
        <v>108</v>
      </c>
      <c r="B187" s="166"/>
      <c r="C187" s="166"/>
      <c r="D187" s="166"/>
      <c r="E187" s="166"/>
      <c r="F187" s="166"/>
      <c r="G187" s="166"/>
      <c r="H187" s="166"/>
      <c r="I187" s="166"/>
      <c r="J187" s="166"/>
      <c r="K187" s="166"/>
      <c r="L187" s="166"/>
      <c r="M187" s="166"/>
      <c r="N187" s="166"/>
      <c r="O187" s="166"/>
      <c r="P187" s="166"/>
      <c r="Q187" s="166"/>
      <c r="R187" s="166"/>
      <c r="S187" s="166"/>
      <c r="T187" s="166"/>
      <c r="U187" s="166"/>
      <c r="V187" s="166"/>
      <c r="W187" s="166"/>
      <c r="X187" s="166"/>
    </row>
    <row r="188" spans="1:24" ht="20" customHeight="1">
      <c r="A188" s="74" t="s">
        <v>66</v>
      </c>
      <c r="B188" s="65"/>
      <c r="C188" s="78"/>
      <c r="D188" s="78"/>
      <c r="E188" s="78"/>
      <c r="F188" s="61">
        <v>0.01</v>
      </c>
      <c r="G188" s="61">
        <v>0.11</v>
      </c>
      <c r="H188" s="61">
        <v>0</v>
      </c>
      <c r="I188" s="61">
        <v>0.13</v>
      </c>
      <c r="J188" s="78"/>
      <c r="K188" s="78"/>
      <c r="L188" s="78"/>
      <c r="M188" s="78"/>
      <c r="N188" s="78"/>
      <c r="O188" s="78"/>
      <c r="P188" s="78"/>
      <c r="Q188" s="78"/>
      <c r="R188" s="78"/>
      <c r="S188" s="78"/>
      <c r="T188" s="78"/>
      <c r="U188" s="78"/>
      <c r="V188" s="78"/>
      <c r="W188" s="78"/>
      <c r="X188" s="78"/>
    </row>
    <row r="189" spans="1:24" ht="20" customHeight="1">
      <c r="A189" s="74" t="s">
        <v>67</v>
      </c>
      <c r="B189" s="65"/>
      <c r="C189" s="84"/>
      <c r="D189" s="84"/>
      <c r="E189" s="84"/>
      <c r="F189" s="87">
        <v>0</v>
      </c>
      <c r="G189" s="87">
        <v>10</v>
      </c>
      <c r="H189" s="87">
        <v>-7.0000000000000009</v>
      </c>
      <c r="I189" s="87">
        <v>-3</v>
      </c>
      <c r="J189" s="84"/>
      <c r="K189" s="84"/>
      <c r="L189" s="84"/>
      <c r="M189" s="84"/>
      <c r="N189" s="84"/>
      <c r="O189" s="84"/>
      <c r="P189" s="84"/>
      <c r="Q189" s="84"/>
      <c r="R189" s="84"/>
      <c r="S189" s="84"/>
      <c r="T189" s="84"/>
      <c r="U189" s="84"/>
      <c r="V189" s="84"/>
      <c r="W189" s="84"/>
      <c r="X189" s="84"/>
    </row>
    <row r="190" spans="1:24" ht="20" customHeight="1">
      <c r="A190" s="74" t="s">
        <v>68</v>
      </c>
      <c r="B190" s="65"/>
      <c r="C190" s="84"/>
      <c r="D190" s="84"/>
      <c r="E190" s="84"/>
      <c r="F190" s="87">
        <v>1</v>
      </c>
      <c r="G190" s="87">
        <v>0</v>
      </c>
      <c r="H190" s="87">
        <v>7.0000000000000009</v>
      </c>
      <c r="I190" s="87">
        <v>16</v>
      </c>
      <c r="J190" s="84"/>
      <c r="K190" s="84"/>
      <c r="L190" s="84"/>
      <c r="M190" s="84"/>
      <c r="N190" s="84"/>
      <c r="O190" s="84"/>
      <c r="P190" s="84"/>
      <c r="Q190" s="84"/>
      <c r="R190" s="84"/>
      <c r="S190" s="84"/>
      <c r="T190" s="84"/>
      <c r="U190" s="84"/>
      <c r="V190" s="84"/>
      <c r="W190" s="84"/>
      <c r="X190" s="84"/>
    </row>
    <row r="191" spans="1:24" ht="24" customHeight="1">
      <c r="A191" s="166" t="s">
        <v>88</v>
      </c>
      <c r="B191" s="166"/>
      <c r="C191" s="166"/>
      <c r="D191" s="166"/>
      <c r="E191" s="166"/>
      <c r="F191" s="166"/>
      <c r="G191" s="166"/>
      <c r="H191" s="166"/>
      <c r="I191" s="166"/>
      <c r="J191" s="166"/>
      <c r="K191" s="166"/>
      <c r="L191" s="166"/>
      <c r="M191" s="166"/>
      <c r="N191" s="166"/>
      <c r="O191" s="166"/>
      <c r="P191" s="166"/>
      <c r="Q191" s="166"/>
      <c r="R191" s="166"/>
      <c r="S191" s="166"/>
      <c r="T191" s="166"/>
      <c r="U191" s="166"/>
      <c r="V191" s="166"/>
      <c r="W191" s="166"/>
      <c r="X191" s="166"/>
    </row>
    <row r="192" spans="1:24" ht="20" customHeight="1">
      <c r="A192" s="74" t="s">
        <v>66</v>
      </c>
      <c r="B192" s="65"/>
      <c r="C192" s="78"/>
      <c r="D192" s="78"/>
      <c r="E192" s="78"/>
      <c r="F192" s="61">
        <v>0.03</v>
      </c>
      <c r="G192" s="61">
        <v>0.02</v>
      </c>
      <c r="H192" s="61">
        <v>0.1</v>
      </c>
      <c r="I192" s="61">
        <v>0.11</v>
      </c>
      <c r="J192" s="78"/>
      <c r="K192" s="78"/>
      <c r="L192" s="78"/>
      <c r="M192" s="78"/>
      <c r="N192" s="78"/>
      <c r="O192" s="78"/>
      <c r="P192" s="78"/>
      <c r="Q192" s="78"/>
      <c r="R192" s="78"/>
      <c r="S192" s="78"/>
      <c r="T192" s="78"/>
      <c r="U192" s="78"/>
      <c r="V192" s="78"/>
      <c r="W192" s="78"/>
      <c r="X192" s="78"/>
    </row>
    <row r="193" spans="1:24" ht="20" customHeight="1">
      <c r="A193" s="74" t="s">
        <v>67</v>
      </c>
      <c r="B193" s="65"/>
      <c r="C193" s="84"/>
      <c r="D193" s="84"/>
      <c r="E193" s="84"/>
      <c r="F193" s="87">
        <v>-1</v>
      </c>
      <c r="G193" s="87">
        <v>-1</v>
      </c>
      <c r="H193" s="87">
        <v>5</v>
      </c>
      <c r="I193" s="87">
        <v>1</v>
      </c>
      <c r="J193" s="84"/>
      <c r="K193" s="84"/>
      <c r="L193" s="84"/>
      <c r="M193" s="84"/>
      <c r="N193" s="84"/>
      <c r="O193" s="84"/>
      <c r="P193" s="84"/>
      <c r="Q193" s="84"/>
      <c r="R193" s="84"/>
      <c r="S193" s="84"/>
      <c r="T193" s="84"/>
      <c r="U193" s="84"/>
      <c r="V193" s="84"/>
      <c r="W193" s="84"/>
      <c r="X193" s="84"/>
    </row>
    <row r="194" spans="1:24" ht="20" customHeight="1">
      <c r="A194" s="74" t="s">
        <v>68</v>
      </c>
      <c r="B194" s="65"/>
      <c r="C194" s="84"/>
      <c r="D194" s="84"/>
      <c r="E194" s="84"/>
      <c r="F194" s="87">
        <v>4</v>
      </c>
      <c r="G194" s="87">
        <v>3</v>
      </c>
      <c r="H194" s="87">
        <v>5</v>
      </c>
      <c r="I194" s="87">
        <v>10</v>
      </c>
      <c r="J194" s="84"/>
      <c r="K194" s="84"/>
      <c r="L194" s="84"/>
      <c r="M194" s="84"/>
      <c r="N194" s="84"/>
      <c r="O194" s="84"/>
      <c r="P194" s="84"/>
      <c r="Q194" s="84"/>
      <c r="R194" s="84"/>
      <c r="S194" s="84"/>
      <c r="T194" s="84"/>
      <c r="U194" s="84"/>
      <c r="V194" s="84"/>
      <c r="W194" s="84"/>
      <c r="X194" s="84"/>
    </row>
    <row r="195" spans="1:24" ht="24" customHeight="1">
      <c r="A195" s="166" t="s">
        <v>115</v>
      </c>
      <c r="B195" s="166"/>
      <c r="C195" s="166"/>
      <c r="D195" s="166"/>
      <c r="E195" s="166"/>
      <c r="F195" s="166"/>
      <c r="G195" s="166"/>
      <c r="H195" s="166"/>
      <c r="I195" s="166"/>
      <c r="J195" s="166"/>
      <c r="K195" s="166"/>
      <c r="L195" s="166"/>
      <c r="M195" s="166"/>
      <c r="N195" s="166"/>
      <c r="O195" s="166"/>
      <c r="P195" s="166"/>
      <c r="Q195" s="166"/>
      <c r="R195" s="166"/>
      <c r="S195" s="166"/>
      <c r="T195" s="166"/>
      <c r="U195" s="166"/>
      <c r="V195" s="166"/>
      <c r="W195" s="166"/>
      <c r="X195" s="166"/>
    </row>
    <row r="196" spans="1:24" ht="20" customHeight="1">
      <c r="A196" s="74" t="s">
        <v>66</v>
      </c>
      <c r="B196" s="65"/>
      <c r="C196" s="78"/>
      <c r="D196" s="78"/>
      <c r="E196" s="78"/>
      <c r="F196" s="61">
        <v>7.0000000000000007E-2</v>
      </c>
      <c r="G196" s="61">
        <v>0.03</v>
      </c>
      <c r="H196" s="61">
        <v>0.15</v>
      </c>
      <c r="I196" s="61">
        <v>0.21</v>
      </c>
      <c r="J196" s="78"/>
      <c r="K196" s="78"/>
      <c r="L196" s="78"/>
      <c r="M196" s="78"/>
      <c r="N196" s="78"/>
      <c r="O196" s="78"/>
      <c r="P196" s="78"/>
      <c r="Q196" s="78"/>
      <c r="R196" s="78"/>
      <c r="S196" s="78"/>
      <c r="T196" s="78"/>
      <c r="U196" s="78"/>
      <c r="V196" s="78"/>
      <c r="W196" s="78"/>
      <c r="X196" s="78"/>
    </row>
    <row r="197" spans="1:24" ht="20" customHeight="1">
      <c r="A197" s="74" t="s">
        <v>67</v>
      </c>
      <c r="B197" s="65"/>
      <c r="C197" s="84"/>
      <c r="D197" s="84"/>
      <c r="E197" s="84"/>
      <c r="F197" s="87">
        <v>0</v>
      </c>
      <c r="G197" s="87">
        <v>0</v>
      </c>
      <c r="H197" s="87">
        <v>4</v>
      </c>
      <c r="I197" s="87">
        <v>5</v>
      </c>
      <c r="J197" s="84"/>
      <c r="K197" s="84"/>
      <c r="L197" s="84"/>
      <c r="M197" s="84"/>
      <c r="N197" s="84"/>
      <c r="O197" s="84"/>
      <c r="P197" s="84"/>
      <c r="Q197" s="84"/>
      <c r="R197" s="84"/>
      <c r="S197" s="84"/>
      <c r="T197" s="84"/>
      <c r="U197" s="84"/>
      <c r="V197" s="84"/>
      <c r="W197" s="84"/>
      <c r="X197" s="84"/>
    </row>
    <row r="198" spans="1:24" ht="20" customHeight="1">
      <c r="A198" s="74" t="s">
        <v>68</v>
      </c>
      <c r="B198" s="65"/>
      <c r="C198" s="84"/>
      <c r="D198" s="84"/>
      <c r="E198" s="84"/>
      <c r="F198" s="87">
        <v>7.0000000000000009</v>
      </c>
      <c r="G198" s="87">
        <v>3</v>
      </c>
      <c r="H198" s="87">
        <v>10</v>
      </c>
      <c r="I198" s="87">
        <v>16</v>
      </c>
      <c r="J198" s="84"/>
      <c r="K198" s="84"/>
      <c r="L198" s="84"/>
      <c r="M198" s="84"/>
      <c r="N198" s="84"/>
      <c r="O198" s="84"/>
      <c r="P198" s="84"/>
      <c r="Q198" s="84"/>
      <c r="R198" s="84"/>
      <c r="S198" s="84"/>
      <c r="T198" s="84"/>
      <c r="U198" s="84"/>
      <c r="V198" s="84"/>
      <c r="W198" s="84"/>
      <c r="X198" s="84"/>
    </row>
    <row r="199" spans="1:24" ht="24" customHeight="1">
      <c r="A199" s="166" t="s">
        <v>116</v>
      </c>
      <c r="B199" s="166"/>
      <c r="C199" s="166"/>
      <c r="D199" s="166"/>
      <c r="E199" s="166"/>
      <c r="F199" s="166"/>
      <c r="G199" s="166"/>
      <c r="H199" s="166"/>
      <c r="I199" s="166"/>
      <c r="J199" s="166"/>
      <c r="K199" s="166"/>
      <c r="L199" s="166"/>
      <c r="M199" s="166"/>
      <c r="N199" s="166"/>
      <c r="O199" s="166"/>
      <c r="P199" s="166"/>
      <c r="Q199" s="166"/>
      <c r="R199" s="166"/>
      <c r="S199" s="166"/>
      <c r="T199" s="166"/>
      <c r="U199" s="166"/>
      <c r="V199" s="166"/>
      <c r="W199" s="166"/>
      <c r="X199" s="166"/>
    </row>
    <row r="200" spans="1:24" ht="20" customHeight="1">
      <c r="A200" s="74" t="s">
        <v>66</v>
      </c>
      <c r="B200" s="65"/>
      <c r="C200" s="78"/>
      <c r="D200" s="78"/>
      <c r="E200" s="78"/>
      <c r="F200" s="61">
        <v>5.5E-2</v>
      </c>
      <c r="G200" s="61">
        <v>0.06</v>
      </c>
      <c r="H200" s="61">
        <v>0.09</v>
      </c>
      <c r="I200" s="61">
        <v>0.12</v>
      </c>
      <c r="J200" s="78"/>
      <c r="K200" s="78"/>
      <c r="L200" s="78"/>
      <c r="M200" s="78"/>
      <c r="N200" s="78"/>
      <c r="O200" s="78"/>
      <c r="P200" s="78"/>
      <c r="Q200" s="78"/>
      <c r="R200" s="78"/>
      <c r="S200" s="78"/>
      <c r="T200" s="78"/>
      <c r="U200" s="78"/>
      <c r="V200" s="78"/>
      <c r="W200" s="78"/>
      <c r="X200" s="78"/>
    </row>
    <row r="201" spans="1:24" ht="20" customHeight="1">
      <c r="A201" s="74" t="s">
        <v>67</v>
      </c>
      <c r="B201" s="65"/>
      <c r="C201" s="84"/>
      <c r="D201" s="84"/>
      <c r="E201" s="84"/>
      <c r="F201" s="87">
        <v>-1</v>
      </c>
      <c r="G201" s="87">
        <v>6</v>
      </c>
      <c r="H201" s="87">
        <v>4.5</v>
      </c>
      <c r="I201" s="87">
        <v>-7.0000000000000009</v>
      </c>
      <c r="J201" s="84"/>
      <c r="K201" s="84"/>
      <c r="L201" s="84"/>
      <c r="M201" s="84"/>
      <c r="N201" s="84"/>
      <c r="O201" s="84"/>
      <c r="P201" s="84"/>
      <c r="Q201" s="84"/>
      <c r="R201" s="84"/>
      <c r="S201" s="84"/>
      <c r="T201" s="84"/>
      <c r="U201" s="84"/>
      <c r="V201" s="84"/>
      <c r="W201" s="84"/>
      <c r="X201" s="84"/>
    </row>
    <row r="202" spans="1:24" ht="20" customHeight="1">
      <c r="A202" s="74" t="s">
        <v>68</v>
      </c>
      <c r="B202" s="65"/>
      <c r="C202" s="84"/>
      <c r="D202" s="84"/>
      <c r="E202" s="84"/>
      <c r="F202" s="87">
        <v>6</v>
      </c>
      <c r="G202" s="87">
        <v>0</v>
      </c>
      <c r="H202" s="87">
        <v>4</v>
      </c>
      <c r="I202" s="87">
        <v>19</v>
      </c>
      <c r="J202" s="84"/>
      <c r="K202" s="84"/>
      <c r="L202" s="84"/>
      <c r="M202" s="84"/>
      <c r="N202" s="84"/>
      <c r="O202" s="84"/>
      <c r="P202" s="84"/>
      <c r="Q202" s="84"/>
      <c r="R202" s="84"/>
      <c r="S202" s="84"/>
      <c r="T202" s="84"/>
      <c r="U202" s="84"/>
      <c r="V202" s="84"/>
      <c r="W202" s="84"/>
      <c r="X202" s="84"/>
    </row>
    <row r="203" spans="1:24" ht="24" customHeight="1">
      <c r="A203" s="166" t="s">
        <v>117</v>
      </c>
      <c r="B203" s="166"/>
      <c r="C203" s="166"/>
      <c r="D203" s="166"/>
      <c r="E203" s="166"/>
      <c r="F203" s="166"/>
      <c r="G203" s="166"/>
      <c r="H203" s="166"/>
      <c r="I203" s="166"/>
      <c r="J203" s="166"/>
      <c r="K203" s="166"/>
      <c r="L203" s="166"/>
      <c r="M203" s="166"/>
      <c r="N203" s="166"/>
      <c r="O203" s="166"/>
      <c r="P203" s="166"/>
      <c r="Q203" s="166"/>
      <c r="R203" s="166"/>
      <c r="S203" s="166"/>
      <c r="T203" s="166"/>
      <c r="U203" s="166"/>
      <c r="V203" s="166"/>
      <c r="W203" s="166"/>
      <c r="X203" s="166"/>
    </row>
    <row r="204" spans="1:24" ht="20" customHeight="1">
      <c r="A204" s="74" t="s">
        <v>66</v>
      </c>
      <c r="B204" s="65"/>
      <c r="C204" s="78"/>
      <c r="D204" s="78"/>
      <c r="E204" s="78"/>
      <c r="F204" s="61">
        <v>0.06</v>
      </c>
      <c r="G204" s="61">
        <v>0.01</v>
      </c>
      <c r="H204" s="61">
        <v>0.12</v>
      </c>
      <c r="I204" s="61">
        <v>0.2</v>
      </c>
      <c r="J204" s="78"/>
      <c r="K204" s="78"/>
      <c r="L204" s="78"/>
      <c r="M204" s="78"/>
      <c r="N204" s="78"/>
      <c r="O204" s="78"/>
      <c r="P204" s="78"/>
      <c r="Q204" s="78"/>
      <c r="R204" s="78"/>
      <c r="S204" s="78"/>
      <c r="T204" s="78"/>
      <c r="U204" s="78"/>
      <c r="V204" s="78"/>
      <c r="W204" s="78"/>
      <c r="X204" s="78"/>
    </row>
    <row r="205" spans="1:24" ht="20" customHeight="1">
      <c r="A205" s="74" t="s">
        <v>67</v>
      </c>
      <c r="B205" s="65"/>
      <c r="C205" s="84"/>
      <c r="D205" s="84"/>
      <c r="E205" s="84"/>
      <c r="F205" s="87">
        <v>4</v>
      </c>
      <c r="G205" s="87">
        <v>1</v>
      </c>
      <c r="H205" s="87">
        <v>7.0000000000000009</v>
      </c>
      <c r="I205" s="87">
        <v>4</v>
      </c>
      <c r="J205" s="84"/>
      <c r="K205" s="84"/>
      <c r="L205" s="84"/>
      <c r="M205" s="84"/>
      <c r="N205" s="84"/>
      <c r="O205" s="84"/>
      <c r="P205" s="84"/>
      <c r="Q205" s="84"/>
      <c r="R205" s="84"/>
      <c r="S205" s="84"/>
      <c r="T205" s="84"/>
      <c r="U205" s="84"/>
      <c r="V205" s="84"/>
      <c r="W205" s="84"/>
      <c r="X205" s="84"/>
    </row>
    <row r="206" spans="1:24" ht="20" customHeight="1">
      <c r="A206" s="74" t="s">
        <v>68</v>
      </c>
      <c r="B206" s="65"/>
      <c r="C206" s="84"/>
      <c r="D206" s="84"/>
      <c r="E206" s="84"/>
      <c r="F206" s="87">
        <v>2.5</v>
      </c>
      <c r="G206" s="87">
        <v>0</v>
      </c>
      <c r="H206" s="87">
        <v>4</v>
      </c>
      <c r="I206" s="87">
        <v>16</v>
      </c>
      <c r="J206" s="84"/>
      <c r="K206" s="84"/>
      <c r="L206" s="84"/>
      <c r="M206" s="84"/>
      <c r="N206" s="84"/>
      <c r="O206" s="84"/>
      <c r="P206" s="84"/>
      <c r="Q206" s="84"/>
      <c r="R206" s="84"/>
      <c r="S206" s="84"/>
      <c r="T206" s="84"/>
      <c r="U206" s="84"/>
      <c r="V206" s="84"/>
      <c r="W206" s="84"/>
      <c r="X206" s="84"/>
    </row>
    <row r="207" spans="1:24" ht="24" customHeight="1">
      <c r="A207" s="166" t="s">
        <v>118</v>
      </c>
      <c r="B207" s="166"/>
      <c r="C207" s="166"/>
      <c r="D207" s="166"/>
      <c r="E207" s="166"/>
      <c r="F207" s="166"/>
      <c r="G207" s="166"/>
      <c r="H207" s="166"/>
      <c r="I207" s="166"/>
      <c r="J207" s="166"/>
      <c r="K207" s="166"/>
      <c r="L207" s="166"/>
      <c r="M207" s="166"/>
      <c r="N207" s="166"/>
      <c r="O207" s="166"/>
      <c r="P207" s="166"/>
      <c r="Q207" s="166"/>
      <c r="R207" s="166"/>
      <c r="S207" s="166"/>
      <c r="T207" s="166"/>
      <c r="U207" s="166"/>
      <c r="V207" s="166"/>
      <c r="W207" s="166"/>
      <c r="X207" s="166"/>
    </row>
    <row r="208" spans="1:24" ht="20" customHeight="1">
      <c r="A208" s="74" t="s">
        <v>66</v>
      </c>
      <c r="B208" s="65"/>
      <c r="C208" s="78"/>
      <c r="D208" s="78"/>
      <c r="E208" s="78"/>
      <c r="F208" s="61">
        <v>0.09</v>
      </c>
      <c r="G208" s="61">
        <v>0.08</v>
      </c>
      <c r="H208" s="61">
        <v>0.13</v>
      </c>
      <c r="I208" s="61">
        <v>0.11</v>
      </c>
      <c r="J208" s="78"/>
      <c r="K208" s="78"/>
      <c r="L208" s="78"/>
      <c r="M208" s="78"/>
      <c r="N208" s="78"/>
      <c r="O208" s="78"/>
      <c r="P208" s="78"/>
      <c r="Q208" s="78"/>
      <c r="R208" s="78"/>
      <c r="S208" s="78"/>
      <c r="T208" s="78"/>
      <c r="U208" s="78"/>
      <c r="V208" s="78"/>
      <c r="W208" s="78"/>
      <c r="X208" s="78"/>
    </row>
    <row r="209" spans="1:24" ht="20" customHeight="1">
      <c r="A209" s="74" t="s">
        <v>67</v>
      </c>
      <c r="B209" s="65"/>
      <c r="C209" s="84"/>
      <c r="D209" s="84"/>
      <c r="E209" s="84"/>
      <c r="F209" s="87">
        <v>7.0000000000000009</v>
      </c>
      <c r="G209" s="87">
        <v>5</v>
      </c>
      <c r="H209" s="87">
        <v>12</v>
      </c>
      <c r="I209" s="87">
        <v>4</v>
      </c>
      <c r="J209" s="84"/>
      <c r="K209" s="84"/>
      <c r="L209" s="84"/>
      <c r="M209" s="84"/>
      <c r="N209" s="84"/>
      <c r="O209" s="84"/>
      <c r="P209" s="84"/>
      <c r="Q209" s="84"/>
      <c r="R209" s="84"/>
      <c r="S209" s="84"/>
      <c r="T209" s="84"/>
      <c r="U209" s="84"/>
      <c r="V209" s="84"/>
      <c r="W209" s="84"/>
      <c r="X209" s="84"/>
    </row>
    <row r="210" spans="1:24" ht="20" customHeight="1">
      <c r="A210" s="74" t="s">
        <v>68</v>
      </c>
      <c r="B210" s="65"/>
      <c r="C210" s="84"/>
      <c r="D210" s="84"/>
      <c r="E210" s="84"/>
      <c r="F210" s="87">
        <v>2</v>
      </c>
      <c r="G210" s="87">
        <v>3</v>
      </c>
      <c r="H210" s="87">
        <v>1</v>
      </c>
      <c r="I210" s="87">
        <v>6</v>
      </c>
      <c r="J210" s="84"/>
      <c r="K210" s="84"/>
      <c r="L210" s="84"/>
      <c r="M210" s="84"/>
      <c r="N210" s="84"/>
      <c r="O210" s="84"/>
      <c r="P210" s="84"/>
      <c r="Q210" s="84"/>
      <c r="R210" s="84"/>
      <c r="S210" s="84"/>
      <c r="T210" s="84"/>
      <c r="U210" s="84"/>
      <c r="V210" s="84"/>
      <c r="W210" s="84"/>
      <c r="X210" s="84"/>
    </row>
    <row r="211" spans="1:24" ht="22" customHeight="1">
      <c r="A211" s="65"/>
      <c r="B211" s="65"/>
      <c r="C211" s="65"/>
      <c r="D211" s="65"/>
      <c r="E211" s="65"/>
      <c r="F211" s="65"/>
      <c r="G211" s="65"/>
      <c r="H211" s="65"/>
      <c r="I211" s="65"/>
      <c r="J211" s="65"/>
      <c r="K211" s="65"/>
      <c r="L211" s="65"/>
      <c r="M211" s="65"/>
      <c r="N211" s="65"/>
      <c r="O211" s="65"/>
      <c r="P211" s="65"/>
      <c r="Q211" s="65"/>
      <c r="R211" s="65"/>
      <c r="S211" s="65"/>
      <c r="T211" s="65"/>
      <c r="U211" s="65"/>
      <c r="V211" s="65"/>
      <c r="W211" s="65"/>
      <c r="X211" s="65"/>
    </row>
  </sheetData>
  <mergeCells count="52">
    <mergeCell ref="A203:X203"/>
    <mergeCell ref="A207:X207"/>
    <mergeCell ref="A183:X183"/>
    <mergeCell ref="A187:X187"/>
    <mergeCell ref="A191:X191"/>
    <mergeCell ref="A195:X195"/>
    <mergeCell ref="A199:X199"/>
    <mergeCell ref="A168:X168"/>
    <mergeCell ref="A172:X172"/>
    <mergeCell ref="A176:X176"/>
    <mergeCell ref="A181:X181"/>
    <mergeCell ref="A182:X182"/>
    <mergeCell ref="A154:X154"/>
    <mergeCell ref="A155:X155"/>
    <mergeCell ref="A156:X156"/>
    <mergeCell ref="A160:X160"/>
    <mergeCell ref="A164:X164"/>
    <mergeCell ref="A133:X133"/>
    <mergeCell ref="A137:X137"/>
    <mergeCell ref="A141:X141"/>
    <mergeCell ref="A145:X145"/>
    <mergeCell ref="A148:X148"/>
    <mergeCell ref="A119:X119"/>
    <mergeCell ref="A120:X120"/>
    <mergeCell ref="A121:X121"/>
    <mergeCell ref="A125:X125"/>
    <mergeCell ref="A129:X129"/>
    <mergeCell ref="A91:X91"/>
    <mergeCell ref="A96:X96"/>
    <mergeCell ref="A101:X101"/>
    <mergeCell ref="A107:X107"/>
    <mergeCell ref="A112:X112"/>
    <mergeCell ref="A72:X72"/>
    <mergeCell ref="A75:X75"/>
    <mergeCell ref="A84:X84"/>
    <mergeCell ref="A85:X85"/>
    <mergeCell ref="A86:X86"/>
    <mergeCell ref="A37:X37"/>
    <mergeCell ref="A44:X44"/>
    <mergeCell ref="A51:X51"/>
    <mergeCell ref="A58:X58"/>
    <mergeCell ref="A65:X65"/>
    <mergeCell ref="A23:X23"/>
    <mergeCell ref="A26:X26"/>
    <mergeCell ref="A28:X28"/>
    <mergeCell ref="A29:X29"/>
    <mergeCell ref="A30:X30"/>
    <mergeCell ref="A1:X1"/>
    <mergeCell ref="A2:X2"/>
    <mergeCell ref="A6:X6"/>
    <mergeCell ref="A7:X7"/>
    <mergeCell ref="A8:X8"/>
  </mergeCells>
  <phoneticPr fontId="44" type="noConversion"/>
  <hyperlinks>
    <hyperlink ref="A3" location="'Contents'!A1" display="Return to Content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0746C"/>
  </sheetPr>
  <dimension ref="A1:X392"/>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24" width="12.1640625" customWidth="1"/>
    <col min="25" max="25" width="3" customWidth="1"/>
    <col min="26" max="28" width="12.1640625" customWidth="1"/>
  </cols>
  <sheetData>
    <row r="1" spans="1:24" ht="28" customHeight="1">
      <c r="A1" s="167" t="s">
        <v>119</v>
      </c>
      <c r="B1" s="167"/>
      <c r="C1" s="167"/>
      <c r="D1" s="167"/>
      <c r="E1" s="167"/>
      <c r="F1" s="167"/>
      <c r="G1" s="167"/>
      <c r="H1" s="167"/>
      <c r="I1" s="167"/>
      <c r="J1" s="167"/>
      <c r="K1" s="167"/>
      <c r="L1" s="167"/>
      <c r="M1" s="167"/>
      <c r="N1" s="167"/>
      <c r="O1" s="167"/>
      <c r="P1" s="167"/>
      <c r="Q1" s="167"/>
      <c r="R1" s="167"/>
      <c r="S1" s="167"/>
      <c r="T1" s="167"/>
      <c r="U1" s="167"/>
      <c r="V1" s="167"/>
      <c r="W1" s="167"/>
      <c r="X1" s="167"/>
    </row>
    <row r="2" spans="1:24" ht="18" customHeight="1">
      <c r="A2" s="168" t="s">
        <v>120</v>
      </c>
      <c r="B2" s="168"/>
      <c r="C2" s="168"/>
      <c r="D2" s="168"/>
      <c r="E2" s="168"/>
      <c r="F2" s="168"/>
      <c r="G2" s="168"/>
      <c r="H2" s="168"/>
      <c r="I2" s="168"/>
      <c r="J2" s="168"/>
      <c r="K2" s="168"/>
      <c r="L2" s="168"/>
      <c r="M2" s="168"/>
      <c r="N2" s="168"/>
      <c r="O2" s="168"/>
      <c r="P2" s="168"/>
      <c r="Q2" s="168"/>
      <c r="R2" s="168"/>
      <c r="S2" s="168"/>
      <c r="T2" s="168"/>
      <c r="U2" s="168"/>
      <c r="V2" s="168"/>
      <c r="W2" s="168"/>
      <c r="X2" s="168"/>
    </row>
    <row r="3" spans="1:24" ht="22" customHeight="1">
      <c r="A3" s="46" t="s">
        <v>34</v>
      </c>
      <c r="B3" s="45"/>
      <c r="C3" s="45"/>
      <c r="D3" s="45"/>
      <c r="E3" s="45"/>
      <c r="F3" s="45"/>
      <c r="G3" s="45"/>
      <c r="H3" s="45"/>
      <c r="I3" s="45"/>
      <c r="J3" s="45"/>
      <c r="K3" s="45"/>
      <c r="L3" s="45"/>
      <c r="M3" s="45"/>
      <c r="N3" s="45"/>
      <c r="O3" s="45"/>
      <c r="P3" s="45"/>
      <c r="Q3" s="45"/>
      <c r="R3" s="45"/>
      <c r="S3" s="45"/>
      <c r="T3" s="45"/>
      <c r="U3" s="45"/>
      <c r="V3" s="45"/>
      <c r="W3" s="45"/>
      <c r="X3" s="45"/>
    </row>
    <row r="4" spans="1:24" ht="22" customHeight="1">
      <c r="A4" s="45"/>
      <c r="B4" s="45"/>
      <c r="C4" s="45"/>
      <c r="D4" s="45"/>
      <c r="E4" s="45"/>
      <c r="F4" s="45"/>
      <c r="G4" s="45"/>
      <c r="H4" s="45"/>
      <c r="I4" s="45"/>
      <c r="J4" s="45"/>
      <c r="K4" s="45"/>
      <c r="L4" s="45"/>
      <c r="M4" s="45"/>
      <c r="N4" s="45"/>
      <c r="O4" s="45"/>
      <c r="P4" s="45"/>
      <c r="Q4" s="45"/>
      <c r="R4" s="45"/>
      <c r="S4" s="45"/>
      <c r="T4" s="45"/>
      <c r="U4" s="45"/>
      <c r="V4" s="45"/>
      <c r="W4" s="45"/>
      <c r="X4" s="45"/>
    </row>
    <row r="5" spans="1:24" ht="22" customHeight="1">
      <c r="A5" s="45"/>
      <c r="B5" s="45"/>
      <c r="C5" s="45"/>
      <c r="D5" s="45"/>
      <c r="E5" s="45"/>
      <c r="F5" s="45"/>
      <c r="G5" s="45"/>
      <c r="H5" s="45"/>
      <c r="I5" s="45"/>
      <c r="J5" s="45"/>
      <c r="K5" s="45"/>
      <c r="L5" s="45"/>
      <c r="M5" s="45"/>
      <c r="N5" s="45"/>
      <c r="O5" s="45"/>
      <c r="P5" s="45"/>
      <c r="Q5" s="45"/>
      <c r="R5" s="45"/>
      <c r="S5" s="45"/>
      <c r="T5" s="45"/>
      <c r="U5" s="45"/>
      <c r="V5" s="45"/>
      <c r="W5" s="45"/>
      <c r="X5" s="45"/>
    </row>
    <row r="6" spans="1:24" ht="22" customHeight="1">
      <c r="A6" s="45"/>
      <c r="B6" s="45"/>
      <c r="C6" s="45"/>
      <c r="D6" s="45"/>
      <c r="E6" s="45"/>
      <c r="F6" s="45"/>
      <c r="G6" s="45"/>
      <c r="H6" s="45"/>
      <c r="I6" s="45"/>
      <c r="J6" s="45"/>
      <c r="K6" s="45"/>
      <c r="L6" s="45"/>
      <c r="M6" s="45"/>
      <c r="N6" s="45"/>
      <c r="O6" s="45"/>
      <c r="P6" s="45"/>
      <c r="Q6" s="45"/>
      <c r="R6" s="45"/>
      <c r="S6" s="45"/>
      <c r="T6" s="45"/>
      <c r="U6" s="45"/>
      <c r="V6" s="45"/>
      <c r="W6" s="45"/>
      <c r="X6" s="45"/>
    </row>
    <row r="7" spans="1:24" ht="22" customHeight="1">
      <c r="A7" s="45"/>
      <c r="B7" s="45"/>
      <c r="C7" s="169" t="s">
        <v>121</v>
      </c>
      <c r="D7" s="169"/>
      <c r="E7" s="169"/>
      <c r="F7" s="169"/>
      <c r="G7" s="169"/>
      <c r="H7" s="169"/>
      <c r="I7" s="169"/>
      <c r="J7" s="169"/>
      <c r="K7" s="169"/>
      <c r="L7" s="169"/>
      <c r="M7" s="45"/>
      <c r="N7" s="169" t="s">
        <v>122</v>
      </c>
      <c r="O7" s="169"/>
      <c r="P7" s="169"/>
      <c r="Q7" s="169"/>
      <c r="R7" s="169"/>
      <c r="S7" s="169"/>
      <c r="T7" s="169"/>
      <c r="U7" s="169"/>
      <c r="V7" s="169"/>
      <c r="W7" s="169"/>
      <c r="X7" s="169"/>
    </row>
    <row r="8" spans="1:24" ht="22" customHeight="1">
      <c r="A8" s="45"/>
      <c r="B8" s="45"/>
      <c r="C8" s="169" t="s">
        <v>123</v>
      </c>
      <c r="D8" s="169"/>
      <c r="E8" s="169"/>
      <c r="F8" s="169"/>
      <c r="G8" s="169"/>
      <c r="H8" s="169"/>
      <c r="I8" s="169"/>
      <c r="J8" s="169"/>
      <c r="K8" s="169"/>
      <c r="L8" s="169"/>
      <c r="M8" s="45"/>
      <c r="N8" s="169" t="s">
        <v>124</v>
      </c>
      <c r="O8" s="169"/>
      <c r="P8" s="169"/>
      <c r="Q8" s="169"/>
      <c r="R8" s="169"/>
      <c r="S8" s="169"/>
      <c r="T8" s="169"/>
      <c r="U8" s="169"/>
      <c r="V8" s="169"/>
      <c r="W8" s="169"/>
      <c r="X8" s="169"/>
    </row>
    <row r="9" spans="1:24" ht="22" customHeight="1">
      <c r="A9" s="45"/>
      <c r="B9" s="45"/>
      <c r="C9" s="169" t="s">
        <v>125</v>
      </c>
      <c r="D9" s="169"/>
      <c r="E9" s="169"/>
      <c r="F9" s="169"/>
      <c r="G9" s="169"/>
      <c r="H9" s="169"/>
      <c r="I9" s="169"/>
      <c r="J9" s="169"/>
      <c r="K9" s="169"/>
      <c r="L9" s="169"/>
      <c r="M9" s="45"/>
      <c r="N9" s="169" t="s">
        <v>126</v>
      </c>
      <c r="O9" s="169"/>
      <c r="P9" s="169"/>
      <c r="Q9" s="169"/>
      <c r="R9" s="169"/>
      <c r="S9" s="169"/>
      <c r="T9" s="169"/>
      <c r="U9" s="169"/>
      <c r="V9" s="169"/>
      <c r="W9" s="169"/>
      <c r="X9" s="169"/>
    </row>
    <row r="10" spans="1:24" ht="22" customHeight="1">
      <c r="A10" s="45"/>
      <c r="B10" s="45"/>
      <c r="C10" s="169" t="s">
        <v>127</v>
      </c>
      <c r="D10" s="169"/>
      <c r="E10" s="169"/>
      <c r="F10" s="169"/>
      <c r="G10" s="169"/>
      <c r="H10" s="169"/>
      <c r="I10" s="169"/>
      <c r="J10" s="169"/>
      <c r="K10" s="169"/>
      <c r="L10" s="169"/>
      <c r="M10" s="45"/>
      <c r="N10" s="169" t="s">
        <v>128</v>
      </c>
      <c r="O10" s="169"/>
      <c r="P10" s="169"/>
      <c r="Q10" s="169"/>
      <c r="R10" s="169"/>
      <c r="S10" s="169"/>
      <c r="T10" s="169"/>
      <c r="U10" s="169"/>
      <c r="V10" s="169"/>
      <c r="W10" s="169"/>
      <c r="X10" s="169"/>
    </row>
    <row r="11" spans="1:24" ht="22" customHeight="1">
      <c r="A11" s="45"/>
      <c r="B11" s="45"/>
      <c r="C11" s="169" t="s">
        <v>129</v>
      </c>
      <c r="D11" s="169"/>
      <c r="E11" s="169"/>
      <c r="F11" s="169"/>
      <c r="G11" s="169"/>
      <c r="H11" s="169"/>
      <c r="I11" s="169"/>
      <c r="J11" s="169"/>
      <c r="K11" s="169"/>
      <c r="L11" s="169"/>
      <c r="M11" s="45"/>
      <c r="N11" s="45"/>
      <c r="O11" s="45"/>
      <c r="P11" s="45"/>
      <c r="Q11" s="45"/>
      <c r="R11" s="45"/>
      <c r="S11" s="45"/>
      <c r="T11" s="45"/>
      <c r="U11" s="45"/>
      <c r="V11" s="45"/>
      <c r="W11" s="45"/>
      <c r="X11" s="45"/>
    </row>
    <row r="12" spans="1:24" ht="22" customHeight="1">
      <c r="A12" s="45"/>
      <c r="B12" s="45"/>
      <c r="C12" s="45"/>
      <c r="D12" s="45"/>
      <c r="E12" s="45"/>
      <c r="F12" s="45"/>
      <c r="G12" s="45"/>
      <c r="H12" s="45"/>
      <c r="I12" s="45"/>
      <c r="J12" s="45"/>
      <c r="K12" s="45"/>
      <c r="L12" s="45"/>
      <c r="M12" s="45"/>
      <c r="N12" s="45"/>
      <c r="O12" s="45"/>
      <c r="P12" s="45"/>
      <c r="Q12" s="45"/>
      <c r="R12" s="45"/>
      <c r="S12" s="45"/>
      <c r="T12" s="45"/>
      <c r="U12" s="45"/>
      <c r="V12" s="45"/>
      <c r="W12" s="45"/>
      <c r="X12" s="45"/>
    </row>
    <row r="13" spans="1:24" ht="22" customHeight="1">
      <c r="A13" s="45"/>
      <c r="B13" s="45"/>
      <c r="C13" s="45"/>
      <c r="D13" s="45"/>
      <c r="E13" s="45"/>
      <c r="F13" s="45"/>
      <c r="G13" s="45"/>
      <c r="H13" s="45"/>
      <c r="I13" s="45"/>
      <c r="J13" s="45"/>
      <c r="K13" s="45"/>
      <c r="L13" s="45"/>
      <c r="M13" s="45"/>
      <c r="N13" s="45"/>
      <c r="O13" s="45"/>
      <c r="P13" s="45"/>
      <c r="Q13" s="45"/>
      <c r="R13" s="45"/>
      <c r="S13" s="45"/>
      <c r="T13" s="45"/>
      <c r="U13" s="45"/>
      <c r="V13" s="45"/>
      <c r="W13" s="45"/>
      <c r="X13" s="45"/>
    </row>
    <row r="14" spans="1:24" ht="22" customHeight="1">
      <c r="A14" s="45"/>
      <c r="B14" s="45"/>
      <c r="C14" s="45"/>
      <c r="D14" s="45"/>
      <c r="E14" s="45"/>
      <c r="F14" s="45"/>
      <c r="G14" s="45"/>
      <c r="H14" s="45"/>
      <c r="I14" s="45"/>
      <c r="J14" s="45"/>
      <c r="K14" s="45"/>
      <c r="L14" s="45"/>
      <c r="M14" s="45"/>
      <c r="N14" s="45"/>
      <c r="O14" s="45"/>
      <c r="P14" s="45"/>
      <c r="Q14" s="45"/>
      <c r="R14" s="45"/>
      <c r="S14" s="45"/>
      <c r="T14" s="45"/>
      <c r="U14" s="45"/>
      <c r="V14" s="45"/>
      <c r="W14" s="45"/>
      <c r="X14" s="45"/>
    </row>
    <row r="15" spans="1:24" ht="22" customHeight="1">
      <c r="A15" s="170" t="s">
        <v>121</v>
      </c>
      <c r="B15" s="170"/>
      <c r="C15" s="170"/>
      <c r="D15" s="170"/>
      <c r="E15" s="170"/>
      <c r="F15" s="170"/>
      <c r="G15" s="170"/>
      <c r="H15" s="170"/>
      <c r="I15" s="170"/>
      <c r="J15" s="170"/>
      <c r="K15" s="170"/>
      <c r="L15" s="170"/>
      <c r="M15" s="170"/>
      <c r="N15" s="170"/>
      <c r="O15" s="170"/>
      <c r="P15" s="170"/>
      <c r="Q15" s="170"/>
      <c r="R15" s="170"/>
      <c r="S15" s="170"/>
      <c r="T15" s="170"/>
      <c r="U15" s="170"/>
      <c r="V15" s="170"/>
      <c r="W15" s="170"/>
      <c r="X15" s="170"/>
    </row>
    <row r="16" spans="1:24" ht="24" customHeight="1">
      <c r="A16" s="162" t="s">
        <v>130</v>
      </c>
      <c r="B16" s="171"/>
      <c r="C16" s="171"/>
      <c r="D16" s="171"/>
      <c r="E16" s="171"/>
      <c r="F16" s="171"/>
      <c r="G16" s="171"/>
      <c r="H16" s="171"/>
      <c r="I16" s="171"/>
      <c r="J16" s="171"/>
      <c r="K16" s="171"/>
      <c r="L16" s="171"/>
      <c r="M16" s="171"/>
      <c r="N16" s="171"/>
      <c r="O16" s="171"/>
      <c r="P16" s="171"/>
      <c r="Q16" s="171"/>
      <c r="R16" s="171"/>
      <c r="S16" s="171"/>
      <c r="T16" s="171"/>
      <c r="U16" s="171"/>
      <c r="V16" s="171"/>
      <c r="W16" s="171"/>
      <c r="X16" s="171"/>
    </row>
    <row r="17" spans="1:24" ht="24" customHeight="1">
      <c r="A17" s="47" t="s">
        <v>56</v>
      </c>
      <c r="B17" s="45"/>
      <c r="C17" s="48" t="s">
        <v>35</v>
      </c>
      <c r="D17" s="48" t="s">
        <v>36</v>
      </c>
      <c r="E17" s="48" t="s">
        <v>37</v>
      </c>
      <c r="F17" s="48" t="s">
        <v>38</v>
      </c>
      <c r="G17" s="48" t="s">
        <v>39</v>
      </c>
      <c r="H17" s="48" t="s">
        <v>40</v>
      </c>
      <c r="I17" s="48" t="s">
        <v>41</v>
      </c>
      <c r="J17" s="48" t="s">
        <v>42</v>
      </c>
      <c r="K17" s="48" t="s">
        <v>43</v>
      </c>
      <c r="L17" s="48" t="s">
        <v>44</v>
      </c>
      <c r="M17" s="45"/>
      <c r="N17" s="49" t="s">
        <v>45</v>
      </c>
      <c r="O17" s="49" t="s">
        <v>46</v>
      </c>
      <c r="P17" s="49" t="s">
        <v>47</v>
      </c>
      <c r="Q17" s="49" t="s">
        <v>48</v>
      </c>
      <c r="R17" s="49" t="s">
        <v>49</v>
      </c>
      <c r="S17" s="49" t="s">
        <v>50</v>
      </c>
      <c r="T17" s="49" t="s">
        <v>51</v>
      </c>
      <c r="U17" s="49" t="s">
        <v>52</v>
      </c>
      <c r="V17" s="49" t="s">
        <v>53</v>
      </c>
      <c r="W17" s="49" t="s">
        <v>54</v>
      </c>
      <c r="X17" s="49" t="s">
        <v>55</v>
      </c>
    </row>
    <row r="18" spans="1:24" ht="18" customHeight="1">
      <c r="A18" s="45"/>
      <c r="B18" s="45"/>
      <c r="C18" s="55">
        <v>42735</v>
      </c>
      <c r="D18" s="55">
        <v>43099</v>
      </c>
      <c r="E18" s="55">
        <v>43463</v>
      </c>
      <c r="F18" s="55">
        <v>43827</v>
      </c>
      <c r="G18" s="55">
        <v>44191</v>
      </c>
      <c r="H18" s="55">
        <v>44555</v>
      </c>
      <c r="I18" s="55">
        <v>44926</v>
      </c>
      <c r="J18" s="55">
        <v>45290</v>
      </c>
      <c r="K18" s="55">
        <v>45654</v>
      </c>
      <c r="L18" s="55">
        <v>46018</v>
      </c>
      <c r="M18" s="45"/>
      <c r="N18" s="55">
        <v>45374</v>
      </c>
      <c r="O18" s="55">
        <v>45458</v>
      </c>
      <c r="P18" s="55">
        <v>45542</v>
      </c>
      <c r="Q18" s="55">
        <v>45654</v>
      </c>
      <c r="R18" s="55">
        <v>45738</v>
      </c>
      <c r="S18" s="55">
        <v>45822</v>
      </c>
      <c r="T18" s="55">
        <v>45906</v>
      </c>
      <c r="U18" s="55">
        <v>46018</v>
      </c>
      <c r="V18" s="55">
        <v>46102</v>
      </c>
      <c r="W18" s="55">
        <v>46186</v>
      </c>
      <c r="X18" s="55">
        <v>46270</v>
      </c>
    </row>
    <row r="19" spans="1:24" ht="22" customHeight="1">
      <c r="A19" s="56" t="s">
        <v>63</v>
      </c>
      <c r="B19" s="45"/>
      <c r="C19" s="57">
        <f>'Income Statement'!C13</f>
        <v>62799</v>
      </c>
      <c r="D19" s="57">
        <f>'Income Statement'!D13</f>
        <v>63525</v>
      </c>
      <c r="E19" s="57">
        <f>'Income Statement'!E13</f>
        <v>64661</v>
      </c>
      <c r="F19" s="57">
        <f>'Income Statement'!F13</f>
        <v>67161</v>
      </c>
      <c r="G19" s="57">
        <f>'Income Statement'!G13</f>
        <v>70372</v>
      </c>
      <c r="H19" s="57">
        <f>'Income Statement'!H13</f>
        <v>79474</v>
      </c>
      <c r="I19" s="57">
        <f>'Income Statement'!I13</f>
        <v>86392</v>
      </c>
      <c r="J19" s="57">
        <f>'Income Statement'!J13</f>
        <v>91471</v>
      </c>
      <c r="K19" s="57">
        <f>'Income Statement'!K13</f>
        <v>91854</v>
      </c>
      <c r="L19" s="57">
        <f>'Income Statement'!L13</f>
        <v>93925</v>
      </c>
      <c r="M19" s="50"/>
      <c r="N19" s="57">
        <f>'Income Statement'!N13</f>
        <v>18250</v>
      </c>
      <c r="O19" s="57">
        <f>'Income Statement'!O13</f>
        <v>22501</v>
      </c>
      <c r="P19" s="57">
        <f>'Income Statement'!P13</f>
        <v>23319</v>
      </c>
      <c r="Q19" s="57">
        <f>'Income Statement'!Q13</f>
        <v>27784</v>
      </c>
      <c r="R19" s="57">
        <f>'Income Statement'!R13</f>
        <v>17919</v>
      </c>
      <c r="S19" s="57">
        <f>'Income Statement'!S13</f>
        <v>22726</v>
      </c>
      <c r="T19" s="57">
        <f>'Income Statement'!T13</f>
        <v>23937</v>
      </c>
      <c r="U19" s="57">
        <f>'Income Statement'!U13</f>
        <v>29343</v>
      </c>
      <c r="V19" s="57">
        <f>'Income Statement'!V13</f>
        <v>19443</v>
      </c>
      <c r="W19" s="57">
        <f>'Income Statement'!W13</f>
        <v>24181</v>
      </c>
      <c r="X19" s="57">
        <f>'Income Statement'!X13</f>
        <v>25274</v>
      </c>
    </row>
    <row r="20" spans="1:24" ht="20" customHeight="1">
      <c r="A20" s="58" t="s">
        <v>83</v>
      </c>
      <c r="B20" s="45"/>
      <c r="C20" s="59"/>
      <c r="D20" s="51">
        <f>IF(OR('Operating Metrics'!C19&lt;=0,'Operating Metrics'!D19&lt;0),"",'Operating Metrics'!D19/'Operating Metrics'!C19-1)</f>
        <v>1.1560693641618602E-2</v>
      </c>
      <c r="E20" s="51">
        <f>IF(OR('Operating Metrics'!D19&lt;=0,'Operating Metrics'!E19&lt;0),"",'Operating Metrics'!E19/'Operating Metrics'!D19-1)</f>
        <v>1.7882723337268702E-2</v>
      </c>
      <c r="F20" s="51">
        <f>IF(OR('Operating Metrics'!E19&lt;=0,'Operating Metrics'!F19&lt;0),"",'Operating Metrics'!F19/'Operating Metrics'!E19-1)</f>
        <v>3.8663181825211446E-2</v>
      </c>
      <c r="G20" s="51">
        <f>IF(OR('Operating Metrics'!F19&lt;=0,'Operating Metrics'!G19&lt;0),"",'Operating Metrics'!G19/'Operating Metrics'!F19-1)</f>
        <v>4.7810485251857493E-2</v>
      </c>
      <c r="H20" s="51">
        <f>IF(OR('Operating Metrics'!G19&lt;=0,'Operating Metrics'!H19&lt;0),"",'Operating Metrics'!H19/'Operating Metrics'!G19-1)</f>
        <v>0.12934121525606779</v>
      </c>
      <c r="I20" s="51">
        <f>IF(OR('Operating Metrics'!H19&lt;=0,'Operating Metrics'!I19&lt;0),"",'Operating Metrics'!I19/'Operating Metrics'!H19-1)</f>
        <v>8.7047336235750006E-2</v>
      </c>
      <c r="J20" s="51">
        <f>IF(OR('Operating Metrics'!I19&lt;=0,'Operating Metrics'!J19&lt;0),"",'Operating Metrics'!J19/'Operating Metrics'!I19-1)</f>
        <v>5.879016575608853E-2</v>
      </c>
      <c r="K20" s="51">
        <f>IF(OR('Operating Metrics'!J19&lt;=0,'Operating Metrics'!K19&lt;0),"",'Operating Metrics'!K19/'Operating Metrics'!J19-1)</f>
        <v>4.1871194148965785E-3</v>
      </c>
      <c r="L20" s="51">
        <f>IF(OR('Operating Metrics'!K19&lt;=0,'Operating Metrics'!L19&lt;0),"",'Operating Metrics'!L19/'Operating Metrics'!K19-1)</f>
        <v>2.2546650118666633E-2</v>
      </c>
      <c r="M20" s="59"/>
      <c r="N20" s="59"/>
      <c r="O20" s="59"/>
      <c r="P20" s="59"/>
      <c r="Q20" s="59"/>
      <c r="R20" s="51">
        <f>IF(OR('Operating Metrics'!N19&lt;=0,'Operating Metrics'!R19&lt;0),"",'Operating Metrics'!R19/'Operating Metrics'!N19-1)</f>
        <v>-1.813698630136984E-2</v>
      </c>
      <c r="S20" s="51">
        <f>IF(OR('Operating Metrics'!O19&lt;=0,'Operating Metrics'!S19&lt;0),"",'Operating Metrics'!S19/'Operating Metrics'!O19-1)</f>
        <v>9.9995555753078502E-3</v>
      </c>
      <c r="T20" s="51">
        <f>IF(OR('Operating Metrics'!P19&lt;=0,'Operating Metrics'!T19&lt;0),"",'Operating Metrics'!T19/'Operating Metrics'!P19-1)</f>
        <v>2.6501994082078983E-2</v>
      </c>
      <c r="U20" s="51">
        <f>IF(OR('Operating Metrics'!Q19&lt;=0,'Operating Metrics'!U19&lt;0),"",'Operating Metrics'!U19/'Operating Metrics'!Q19-1)</f>
        <v>5.6111431039447268E-2</v>
      </c>
      <c r="V20" s="51">
        <f>IF(OR('Operating Metrics'!R19&lt;=0,'Operating Metrics'!V19&lt;0),"",'Operating Metrics'!V19/'Operating Metrics'!R19-1)</f>
        <v>8.5049388916792257E-2</v>
      </c>
      <c r="W20" s="51">
        <f>IF(OR('Operating Metrics'!S19&lt;=0,'Operating Metrics'!W19&lt;0),"",'Operating Metrics'!W19/'Operating Metrics'!S19-1)</f>
        <v>6.4023585320778009E-2</v>
      </c>
      <c r="X20" s="51">
        <f>IF(OR('Operating Metrics'!T19&lt;=0,'Operating Metrics'!X19&lt;0),"",'Operating Metrics'!X19/'Operating Metrics'!T19-1)</f>
        <v>5.585495258386608E-2</v>
      </c>
    </row>
    <row r="21" spans="1:24" ht="22" customHeight="1">
      <c r="A21" s="56" t="s">
        <v>87</v>
      </c>
      <c r="B21" s="45"/>
      <c r="C21" s="57">
        <f>'Income Statement'!C21</f>
        <v>9804</v>
      </c>
      <c r="D21" s="57">
        <f>'Income Statement'!D21</f>
        <v>10276</v>
      </c>
      <c r="E21" s="57">
        <f>'Income Statement'!E21</f>
        <v>10110</v>
      </c>
      <c r="F21" s="57">
        <f>'Income Statement'!F21</f>
        <v>10291</v>
      </c>
      <c r="G21" s="57">
        <f>'Income Statement'!G21</f>
        <v>10080</v>
      </c>
      <c r="H21" s="57">
        <f>'Income Statement'!H21</f>
        <v>11162</v>
      </c>
      <c r="I21" s="57">
        <f>'Income Statement'!I21</f>
        <v>11512</v>
      </c>
      <c r="J21" s="57">
        <f>'Income Statement'!J21</f>
        <v>11986</v>
      </c>
      <c r="K21" s="57">
        <f>'Income Statement'!K21</f>
        <v>12887</v>
      </c>
      <c r="L21" s="57">
        <f>'Income Statement'!L21</f>
        <v>11498</v>
      </c>
      <c r="M21" s="50"/>
      <c r="N21" s="57">
        <f>'Income Statement'!N21</f>
        <v>2717</v>
      </c>
      <c r="O21" s="57">
        <f>'Income Statement'!O21</f>
        <v>4048</v>
      </c>
      <c r="P21" s="57">
        <f>'Income Statement'!P21</f>
        <v>3872</v>
      </c>
      <c r="Q21" s="57">
        <f>'Income Statement'!Q21</f>
        <v>2250</v>
      </c>
      <c r="R21" s="57">
        <f>'Income Statement'!R21</f>
        <v>2583</v>
      </c>
      <c r="S21" s="57">
        <f>'Income Statement'!S21</f>
        <v>1789</v>
      </c>
      <c r="T21" s="57">
        <f>'Income Statement'!T21</f>
        <v>3569</v>
      </c>
      <c r="U21" s="57">
        <f>'Income Statement'!U21</f>
        <v>3557</v>
      </c>
      <c r="V21" s="57">
        <f>'Income Statement'!V21</f>
        <v>3213</v>
      </c>
      <c r="W21" s="57">
        <f>'Income Statement'!W21</f>
        <v>4023</v>
      </c>
      <c r="X21" s="57">
        <f>'Income Statement'!X21</f>
        <v>4260</v>
      </c>
    </row>
    <row r="22" spans="1:24" ht="20" customHeight="1">
      <c r="A22" s="58" t="s">
        <v>131</v>
      </c>
      <c r="B22" s="45"/>
      <c r="C22" s="59"/>
      <c r="D22" s="51">
        <f>IF(OR('Operating Metrics'!C21&lt;=0,'Operating Metrics'!D21&lt;0),"",'Operating Metrics'!D21/'Operating Metrics'!C21-1)</f>
        <v>4.8143614851081207E-2</v>
      </c>
      <c r="E22" s="51">
        <f>IF(OR('Operating Metrics'!D21&lt;=0,'Operating Metrics'!E21&lt;0),"",'Operating Metrics'!E21/'Operating Metrics'!D21-1)</f>
        <v>-1.6154145581938506E-2</v>
      </c>
      <c r="F22" s="51">
        <f>IF(OR('Operating Metrics'!E21&lt;=0,'Operating Metrics'!F21&lt;0),"",'Operating Metrics'!F21/'Operating Metrics'!E21-1)</f>
        <v>1.7903066271018897E-2</v>
      </c>
      <c r="G22" s="51">
        <f>IF(OR('Operating Metrics'!F21&lt;=0,'Operating Metrics'!G21&lt;0),"",'Operating Metrics'!G21/'Operating Metrics'!F21-1)</f>
        <v>-2.0503352443883016E-2</v>
      </c>
      <c r="H22" s="51">
        <f>IF(OR('Operating Metrics'!G21&lt;=0,'Operating Metrics'!H21&lt;0),"",'Operating Metrics'!H21/'Operating Metrics'!G21-1)</f>
        <v>0.1073412698412699</v>
      </c>
      <c r="I22" s="51">
        <f>IF(OR('Operating Metrics'!H21&lt;=0,'Operating Metrics'!I21&lt;0),"",'Operating Metrics'!I21/'Operating Metrics'!H21-1)</f>
        <v>3.1356387744131853E-2</v>
      </c>
      <c r="J22" s="51">
        <f>IF(OR('Operating Metrics'!I21&lt;=0,'Operating Metrics'!J21&lt;0),"",'Operating Metrics'!J21/'Operating Metrics'!I21-1)</f>
        <v>4.1174426685198107E-2</v>
      </c>
      <c r="K22" s="51">
        <f>IF(OR('Operating Metrics'!J21&lt;=0,'Operating Metrics'!K21&lt;0),"",'Operating Metrics'!K21/'Operating Metrics'!J21-1)</f>
        <v>7.5171032871683696E-2</v>
      </c>
      <c r="L22" s="51">
        <f>IF(OR('Operating Metrics'!K21&lt;=0,'Operating Metrics'!L21&lt;0),"",'Operating Metrics'!L21/'Operating Metrics'!K21-1)</f>
        <v>-0.10778303716924031</v>
      </c>
      <c r="M22" s="59"/>
      <c r="N22" s="59"/>
      <c r="O22" s="59"/>
      <c r="P22" s="59"/>
      <c r="Q22" s="59"/>
      <c r="R22" s="51">
        <f>IF(OR('Operating Metrics'!N21&lt;=0,'Operating Metrics'!R21&lt;0),"",'Operating Metrics'!R21/'Operating Metrics'!N21-1)</f>
        <v>-4.9319101950680899E-2</v>
      </c>
      <c r="S22" s="51">
        <f>IF(OR('Operating Metrics'!O21&lt;=0,'Operating Metrics'!S21&lt;0),"",'Operating Metrics'!S21/'Operating Metrics'!O21-1)</f>
        <v>-0.55805335968379444</v>
      </c>
      <c r="T22" s="51">
        <f>IF(OR('Operating Metrics'!P21&lt;=0,'Operating Metrics'!T21&lt;0),"",'Operating Metrics'!T21/'Operating Metrics'!P21-1)</f>
        <v>-7.8254132231404983E-2</v>
      </c>
      <c r="U22" s="51">
        <f>IF(OR('Operating Metrics'!Q21&lt;=0,'Operating Metrics'!U21&lt;0),"",'Operating Metrics'!U21/'Operating Metrics'!Q21-1)</f>
        <v>0.58088888888888879</v>
      </c>
      <c r="V22" s="51">
        <f>IF(OR('Operating Metrics'!R21&lt;=0,'Operating Metrics'!V21&lt;0),"",'Operating Metrics'!V21/'Operating Metrics'!R21-1)</f>
        <v>0.24390243902439024</v>
      </c>
      <c r="W22" s="51">
        <f>IF(OR('Operating Metrics'!S21&lt;=0,'Operating Metrics'!W21&lt;0),"",'Operating Metrics'!W21/'Operating Metrics'!S21-1)</f>
        <v>1.2487423141419787</v>
      </c>
      <c r="X22" s="51">
        <f>IF(OR('Operating Metrics'!T21&lt;=0,'Operating Metrics'!X21&lt;0),"",'Operating Metrics'!X21/'Operating Metrics'!T21-1)</f>
        <v>0.19361165592602969</v>
      </c>
    </row>
    <row r="23" spans="1:24" ht="20" customHeight="1">
      <c r="A23" s="58" t="s">
        <v>132</v>
      </c>
      <c r="B23" s="45"/>
      <c r="C23" s="51">
        <f>IF('Operating Metrics'!C19=0,"",'Operating Metrics'!C21/'Operating Metrics'!C19)</f>
        <v>0.15611713562317872</v>
      </c>
      <c r="D23" s="51">
        <f>IF('Operating Metrics'!D19=0,"",'Operating Metrics'!D21/'Operating Metrics'!D19)</f>
        <v>0.16176308539944903</v>
      </c>
      <c r="E23" s="51">
        <f>IF('Operating Metrics'!E19=0,"",'Operating Metrics'!E21/'Operating Metrics'!E19)</f>
        <v>0.15635390730115525</v>
      </c>
      <c r="F23" s="51">
        <f>IF('Operating Metrics'!F19=0,"",'Operating Metrics'!F21/'Operating Metrics'!F19)</f>
        <v>0.15322880838581915</v>
      </c>
      <c r="G23" s="51">
        <f>IF('Operating Metrics'!G19=0,"",'Operating Metrics'!G21/'Operating Metrics'!G19)</f>
        <v>0.14323878815437957</v>
      </c>
      <c r="H23" s="51">
        <f>IF('Operating Metrics'!H19=0,"",'Operating Metrics'!H21/'Operating Metrics'!H19)</f>
        <v>0.14044844854921107</v>
      </c>
      <c r="I23" s="51">
        <f>IF('Operating Metrics'!I19=0,"",'Operating Metrics'!I21/'Operating Metrics'!I19)</f>
        <v>0.13325307898879526</v>
      </c>
      <c r="J23" s="51">
        <f>IF('Operating Metrics'!J19=0,"",'Operating Metrics'!J21/'Operating Metrics'!J19)</f>
        <v>0.13103606607558679</v>
      </c>
      <c r="K23" s="51">
        <f>IF('Operating Metrics'!K19=0,"",'Operating Metrics'!K21/'Operating Metrics'!K19)</f>
        <v>0.14029873494894071</v>
      </c>
      <c r="L23" s="51">
        <f>IF('Operating Metrics'!L19=0,"",'Operating Metrics'!L21/'Operating Metrics'!L19)</f>
        <v>0.12241682193239287</v>
      </c>
      <c r="M23" s="59"/>
      <c r="N23" s="51">
        <f>IF('Operating Metrics'!N19=0,"",'Operating Metrics'!N21/'Operating Metrics'!N19)</f>
        <v>0.14887671232876712</v>
      </c>
      <c r="O23" s="51">
        <f>IF('Operating Metrics'!O19=0,"",'Operating Metrics'!O21/'Operating Metrics'!O19)</f>
        <v>0.17990311541709259</v>
      </c>
      <c r="P23" s="51">
        <f>IF('Operating Metrics'!P19=0,"",'Operating Metrics'!P21/'Operating Metrics'!P19)</f>
        <v>0.16604485612590592</v>
      </c>
      <c r="Q23" s="51">
        <f>IF('Operating Metrics'!Q19=0,"",'Operating Metrics'!Q21/'Operating Metrics'!Q19)</f>
        <v>8.0981860063345817E-2</v>
      </c>
      <c r="R23" s="51">
        <f>IF('Operating Metrics'!R19=0,"",'Operating Metrics'!R21/'Operating Metrics'!R19)</f>
        <v>0.14414866901054746</v>
      </c>
      <c r="S23" s="51">
        <f>IF('Operating Metrics'!S19=0,"",'Operating Metrics'!S21/'Operating Metrics'!S19)</f>
        <v>7.8720408342867199E-2</v>
      </c>
      <c r="T23" s="51">
        <f>IF('Operating Metrics'!T19=0,"",'Operating Metrics'!T21/'Operating Metrics'!T19)</f>
        <v>0.14909972009859213</v>
      </c>
      <c r="U23" s="51">
        <f>IF('Operating Metrics'!U19=0,"",'Operating Metrics'!U21/'Operating Metrics'!U19)</f>
        <v>0.12122141566983607</v>
      </c>
      <c r="V23" s="51">
        <f>IF('Operating Metrics'!V19=0,"",'Operating Metrics'!V21/'Operating Metrics'!V19)</f>
        <v>0.16525227588335134</v>
      </c>
      <c r="W23" s="51">
        <f>IF('Operating Metrics'!W19=0,"",'Operating Metrics'!W21/'Operating Metrics'!W19)</f>
        <v>0.16637029072412224</v>
      </c>
      <c r="X23" s="51">
        <f>IF('Operating Metrics'!X19=0,"",'Operating Metrics'!X21/'Operating Metrics'!X19)</f>
        <v>0.16855266281554165</v>
      </c>
    </row>
    <row r="24" spans="1:24" ht="22" customHeight="1">
      <c r="A24" s="56" t="s">
        <v>84</v>
      </c>
      <c r="B24" s="45"/>
      <c r="C24" s="57">
        <f>'Core Reconciliations'!C88</f>
        <v>10165</v>
      </c>
      <c r="D24" s="57">
        <f>'Core Reconciliations'!D88</f>
        <v>10490</v>
      </c>
      <c r="E24" s="60">
        <v>10620</v>
      </c>
      <c r="F24" s="60">
        <v>10602</v>
      </c>
      <c r="G24" s="60">
        <v>10531</v>
      </c>
      <c r="H24" s="60">
        <v>11414</v>
      </c>
      <c r="I24" s="60">
        <v>12325</v>
      </c>
      <c r="J24" s="60">
        <v>13875</v>
      </c>
      <c r="K24" s="60">
        <v>14698</v>
      </c>
      <c r="L24" s="60">
        <v>14912</v>
      </c>
      <c r="M24" s="50"/>
      <c r="N24" s="60">
        <v>2939</v>
      </c>
      <c r="O24" s="60">
        <v>4121</v>
      </c>
      <c r="P24" s="60">
        <v>4176</v>
      </c>
      <c r="Q24" s="60">
        <v>3462</v>
      </c>
      <c r="R24" s="60">
        <v>2789</v>
      </c>
      <c r="S24" s="60">
        <v>3911</v>
      </c>
      <c r="T24" s="60">
        <v>4137</v>
      </c>
      <c r="U24" s="60">
        <v>4075</v>
      </c>
      <c r="V24" s="60">
        <v>3050</v>
      </c>
      <c r="W24" s="60">
        <v>4067</v>
      </c>
      <c r="X24" s="60">
        <v>4277</v>
      </c>
    </row>
    <row r="25" spans="1:24" ht="20" customHeight="1">
      <c r="A25" s="58" t="s">
        <v>85</v>
      </c>
      <c r="B25" s="45"/>
      <c r="C25" s="59"/>
      <c r="D25" s="51">
        <f>IF(OR('Operating Metrics'!C24&lt;=0,'Operating Metrics'!D24&lt;0),"",'Operating Metrics'!D24/'Operating Metrics'!C24-1)</f>
        <v>3.1972454500737824E-2</v>
      </c>
      <c r="E25" s="51">
        <f>IF(OR('Operating Metrics'!D24&lt;=0,'Operating Metrics'!E24&lt;0),"",'Operating Metrics'!E24/'Operating Metrics'!D24-1)</f>
        <v>1.2392755004766443E-2</v>
      </c>
      <c r="F25" s="51">
        <f>IF(OR('Operating Metrics'!E24&lt;=0,'Operating Metrics'!F24&lt;0),"",'Operating Metrics'!F24/'Operating Metrics'!E24-1)</f>
        <v>-1.6949152542372614E-3</v>
      </c>
      <c r="G25" s="51">
        <f>IF(OR('Operating Metrics'!F24&lt;=0,'Operating Metrics'!G24&lt;0),"",'Operating Metrics'!G24/'Operating Metrics'!F24-1)</f>
        <v>-6.6968496510092512E-3</v>
      </c>
      <c r="H25" s="51">
        <f>IF(OR('Operating Metrics'!G24&lt;=0,'Operating Metrics'!H24&lt;0),"",'Operating Metrics'!H24/'Operating Metrics'!G24-1)</f>
        <v>8.3847687778938473E-2</v>
      </c>
      <c r="I25" s="51">
        <f>IF(OR('Operating Metrics'!H24&lt;=0,'Operating Metrics'!I24&lt;0),"",'Operating Metrics'!I24/'Operating Metrics'!H24-1)</f>
        <v>7.9814263185561618E-2</v>
      </c>
      <c r="J25" s="51">
        <f>IF(OR('Operating Metrics'!I24&lt;=0,'Operating Metrics'!J24&lt;0),"",'Operating Metrics'!J24/'Operating Metrics'!I24-1)</f>
        <v>0.12576064908722118</v>
      </c>
      <c r="K25" s="51">
        <f>IF(OR('Operating Metrics'!J24&lt;=0,'Operating Metrics'!K24&lt;0),"",'Operating Metrics'!K24/'Operating Metrics'!J24-1)</f>
        <v>5.931531531531542E-2</v>
      </c>
      <c r="L25" s="51">
        <f>IF(OR('Operating Metrics'!K24&lt;=0,'Operating Metrics'!L24&lt;0),"",'Operating Metrics'!L24/'Operating Metrics'!K24-1)</f>
        <v>1.455980405497348E-2</v>
      </c>
      <c r="M25" s="59"/>
      <c r="N25" s="59"/>
      <c r="O25" s="59"/>
      <c r="P25" s="59"/>
      <c r="Q25" s="59"/>
      <c r="R25" s="51">
        <f>IF(OR('Operating Metrics'!N24&lt;=0,'Operating Metrics'!R24&lt;0),"",'Operating Metrics'!R24/'Operating Metrics'!N24-1)</f>
        <v>-5.1037767948281743E-2</v>
      </c>
      <c r="S25" s="51">
        <f>IF(OR('Operating Metrics'!O24&lt;=0,'Operating Metrics'!S24&lt;0),"",'Operating Metrics'!S24/'Operating Metrics'!O24-1)</f>
        <v>-5.0958505217180261E-2</v>
      </c>
      <c r="T25" s="51">
        <f>IF(OR('Operating Metrics'!P24&lt;=0,'Operating Metrics'!T24&lt;0),"",'Operating Metrics'!T24/'Operating Metrics'!P24-1)</f>
        <v>-9.339080459770166E-3</v>
      </c>
      <c r="U25" s="51">
        <f>IF(OR('Operating Metrics'!Q24&lt;=0,'Operating Metrics'!U24&lt;0),"",'Operating Metrics'!U24/'Operating Metrics'!Q24-1)</f>
        <v>0.17706528018486423</v>
      </c>
      <c r="V25" s="51">
        <f>IF(OR('Operating Metrics'!R24&lt;=0,'Operating Metrics'!V24&lt;0),"",'Operating Metrics'!V24/'Operating Metrics'!R24-1)</f>
        <v>9.3581929006812503E-2</v>
      </c>
      <c r="W25" s="51">
        <f>IF(OR('Operating Metrics'!S24&lt;=0,'Operating Metrics'!W24&lt;0),"",'Operating Metrics'!W24/'Operating Metrics'!S24-1)</f>
        <v>3.988749680388648E-2</v>
      </c>
      <c r="X25" s="51">
        <f>IF(OR('Operating Metrics'!T24&lt;=0,'Operating Metrics'!X24&lt;0),"",'Operating Metrics'!X24/'Operating Metrics'!T24-1)</f>
        <v>3.384094754653133E-2</v>
      </c>
    </row>
    <row r="26" spans="1:24" ht="20" customHeight="1">
      <c r="A26" s="58" t="s">
        <v>86</v>
      </c>
      <c r="B26" s="45"/>
      <c r="C26" s="51">
        <f>IF('Operating Metrics'!C19=0,"",'Operating Metrics'!C24/'Operating Metrics'!C19)</f>
        <v>0.16186563480310195</v>
      </c>
      <c r="D26" s="51">
        <f>IF('Operating Metrics'!D19=0,"",'Operating Metrics'!D24/'Operating Metrics'!D19)</f>
        <v>0.16513183785911059</v>
      </c>
      <c r="E26" s="51">
        <f>IF('Operating Metrics'!E19=0,"",'Operating Metrics'!E24/'Operating Metrics'!E19)</f>
        <v>0.16424119639349841</v>
      </c>
      <c r="F26" s="51">
        <f>IF('Operating Metrics'!F19=0,"",'Operating Metrics'!F24/'Operating Metrics'!F19)</f>
        <v>0.15785947201500872</v>
      </c>
      <c r="G26" s="51">
        <f>IF('Operating Metrics'!G19=0,"",'Operating Metrics'!G24/'Operating Metrics'!G19)</f>
        <v>0.14964758710850906</v>
      </c>
      <c r="H26" s="51">
        <f>IF('Operating Metrics'!H19=0,"",'Operating Metrics'!H24/'Operating Metrics'!H19)</f>
        <v>0.14361929687696606</v>
      </c>
      <c r="I26" s="51">
        <f>IF('Operating Metrics'!I19=0,"",'Operating Metrics'!I24/'Operating Metrics'!I19)</f>
        <v>0.14266367256227427</v>
      </c>
      <c r="J26" s="51">
        <f>IF('Operating Metrics'!J19=0,"",'Operating Metrics'!J24/'Operating Metrics'!J19)</f>
        <v>0.15168742005662997</v>
      </c>
      <c r="K26" s="51">
        <f>IF('Operating Metrics'!K19=0,"",'Operating Metrics'!K24/'Operating Metrics'!K19)</f>
        <v>0.16001480610534108</v>
      </c>
      <c r="L26" s="51">
        <f>IF('Operating Metrics'!L19=0,"",'Operating Metrics'!L24/'Operating Metrics'!L19)</f>
        <v>0.15876497205216927</v>
      </c>
      <c r="M26" s="59"/>
      <c r="N26" s="51">
        <f>IF('Operating Metrics'!N19=0,"",'Operating Metrics'!N24/'Operating Metrics'!N19)</f>
        <v>0.16104109589041096</v>
      </c>
      <c r="O26" s="51">
        <f>IF('Operating Metrics'!O19=0,"",'Operating Metrics'!O24/'Operating Metrics'!O19)</f>
        <v>0.18314741567041465</v>
      </c>
      <c r="P26" s="51">
        <f>IF('Operating Metrics'!P19=0,"",'Operating Metrics'!P24/'Operating Metrics'!P19)</f>
        <v>0.17908143573909688</v>
      </c>
      <c r="Q26" s="51">
        <f>IF('Operating Metrics'!Q19=0,"",'Operating Metrics'!Q24/'Operating Metrics'!Q19)</f>
        <v>0.12460408868413475</v>
      </c>
      <c r="R26" s="51">
        <f>IF('Operating Metrics'!R19=0,"",'Operating Metrics'!R24/'Operating Metrics'!R19)</f>
        <v>0.15564484625258107</v>
      </c>
      <c r="S26" s="51">
        <f>IF('Operating Metrics'!S19=0,"",'Operating Metrics'!S24/'Operating Metrics'!S19)</f>
        <v>0.17209363724368565</v>
      </c>
      <c r="T26" s="51">
        <f>IF('Operating Metrics'!T19=0,"",'Operating Metrics'!T24/'Operating Metrics'!T19)</f>
        <v>0.17282867527259055</v>
      </c>
      <c r="U26" s="51">
        <f>IF('Operating Metrics'!U19=0,"",'Operating Metrics'!U24/'Operating Metrics'!U19)</f>
        <v>0.13887468902293562</v>
      </c>
      <c r="V26" s="51">
        <f>IF('Operating Metrics'!V19=0,"",'Operating Metrics'!V24/'Operating Metrics'!V19)</f>
        <v>0.15686879596770045</v>
      </c>
      <c r="W26" s="51">
        <f>IF('Operating Metrics'!W19=0,"",'Operating Metrics'!W24/'Operating Metrics'!W19)</f>
        <v>0.16818990116206939</v>
      </c>
      <c r="X26" s="51">
        <f>IF('Operating Metrics'!X19=0,"",'Operating Metrics'!X24/'Operating Metrics'!X19)</f>
        <v>0.16922529081269289</v>
      </c>
    </row>
    <row r="27" spans="1:24" ht="20" customHeight="1">
      <c r="A27" s="58" t="s">
        <v>66</v>
      </c>
      <c r="B27" s="45"/>
      <c r="C27" s="61">
        <v>3.7000000000000005E-2</v>
      </c>
      <c r="D27" s="61">
        <v>2.3E-2</v>
      </c>
      <c r="E27" s="61">
        <v>3.7000000000000005E-2</v>
      </c>
      <c r="F27" s="61">
        <v>4.4999999999999998E-2</v>
      </c>
      <c r="G27" s="61">
        <v>4.2999999999999997E-2</v>
      </c>
      <c r="H27" s="61">
        <v>9.5000000000000001E-2</v>
      </c>
      <c r="I27" s="61">
        <v>0.14400000000000002</v>
      </c>
      <c r="J27" s="61">
        <v>9.5000000000000001E-2</v>
      </c>
      <c r="K27" s="61">
        <v>0.02</v>
      </c>
      <c r="L27" s="61">
        <v>1.7000000000000001E-2</v>
      </c>
      <c r="M27" s="59"/>
      <c r="N27" s="61">
        <v>2.7000000000000003E-2</v>
      </c>
      <c r="O27" s="61">
        <v>1.9E-2</v>
      </c>
      <c r="P27" s="61">
        <v>1.3000000000000001E-2</v>
      </c>
      <c r="Q27" s="61">
        <v>2.1000000000000001E-2</v>
      </c>
      <c r="R27" s="61">
        <v>1.2E-2</v>
      </c>
      <c r="S27" s="61">
        <v>2.1000000000000001E-2</v>
      </c>
      <c r="T27" s="61">
        <v>1.3000000000000001E-2</v>
      </c>
      <c r="U27" s="61">
        <v>2.1000000000000001E-2</v>
      </c>
      <c r="V27" s="61">
        <v>2.6000000000000002E-2</v>
      </c>
      <c r="W27" s="61">
        <v>2.4E-2</v>
      </c>
      <c r="X27" s="61">
        <v>3.1000000000000003E-2</v>
      </c>
    </row>
    <row r="28" spans="1:24" ht="20" customHeight="1">
      <c r="A28" s="58" t="s">
        <v>77</v>
      </c>
      <c r="B28" s="45"/>
      <c r="C28" s="61">
        <v>0.03</v>
      </c>
      <c r="D28" s="61">
        <v>0.02</v>
      </c>
      <c r="E28" s="61">
        <v>0.02</v>
      </c>
      <c r="F28" s="61">
        <v>0.02</v>
      </c>
      <c r="G28" s="61">
        <v>0.04</v>
      </c>
      <c r="H28" s="61">
        <v>2.5000000000000001E-2</v>
      </c>
      <c r="I28" s="61">
        <v>0</v>
      </c>
      <c r="J28" s="61">
        <v>-0.02</v>
      </c>
      <c r="K28" s="61">
        <v>-0.01</v>
      </c>
      <c r="L28" s="61">
        <v>-0.02</v>
      </c>
      <c r="M28" s="59"/>
      <c r="N28" s="61">
        <v>-5.0000000000000001E-3</v>
      </c>
      <c r="O28" s="61">
        <v>-0.02</v>
      </c>
      <c r="P28" s="61">
        <v>-0.02</v>
      </c>
      <c r="Q28" s="61">
        <v>0.01</v>
      </c>
      <c r="R28" s="61">
        <v>-0.03</v>
      </c>
      <c r="S28" s="61">
        <v>-1.4999999999999999E-2</v>
      </c>
      <c r="T28" s="61">
        <v>-0.01</v>
      </c>
      <c r="U28" s="61">
        <v>-0.02</v>
      </c>
      <c r="V28" s="61">
        <v>0.04</v>
      </c>
      <c r="W28" s="61">
        <v>0.03</v>
      </c>
      <c r="X28" s="61">
        <v>0.01</v>
      </c>
    </row>
    <row r="29" spans="1:24" ht="20" customHeight="1">
      <c r="A29" s="58" t="s">
        <v>78</v>
      </c>
      <c r="B29" s="45"/>
      <c r="C29" s="61">
        <v>0.02</v>
      </c>
      <c r="D29" s="61">
        <v>-0.01</v>
      </c>
      <c r="E29" s="61">
        <v>0.01</v>
      </c>
      <c r="F29" s="61">
        <v>0.02</v>
      </c>
      <c r="G29" s="61">
        <v>0</v>
      </c>
      <c r="H29" s="61">
        <v>0.1</v>
      </c>
      <c r="I29" s="61">
        <v>3.5000000000000003E-2</v>
      </c>
      <c r="J29" s="61">
        <v>-0.01</v>
      </c>
      <c r="K29" s="61">
        <v>0</v>
      </c>
      <c r="L29" s="61">
        <v>0</v>
      </c>
      <c r="M29" s="59"/>
      <c r="N29" s="61">
        <v>0</v>
      </c>
      <c r="O29" s="61">
        <v>0</v>
      </c>
      <c r="P29" s="61">
        <v>-0.02</v>
      </c>
      <c r="Q29" s="61">
        <v>0.01</v>
      </c>
      <c r="R29" s="61">
        <v>0</v>
      </c>
      <c r="S29" s="61">
        <v>0</v>
      </c>
      <c r="T29" s="61">
        <v>-0.01</v>
      </c>
      <c r="U29" s="61">
        <v>0.01</v>
      </c>
      <c r="V29" s="61">
        <v>0</v>
      </c>
      <c r="W29" s="61">
        <v>0.02</v>
      </c>
      <c r="X29" s="61">
        <v>0.03</v>
      </c>
    </row>
    <row r="30" spans="1:24" ht="20" customHeight="1">
      <c r="A30" s="58" t="s">
        <v>133</v>
      </c>
      <c r="B30" s="45"/>
      <c r="C30" s="61">
        <v>0.02</v>
      </c>
      <c r="D30" s="61">
        <v>0.03</v>
      </c>
      <c r="E30" s="61">
        <v>0.03</v>
      </c>
      <c r="F30" s="61">
        <v>0.04</v>
      </c>
      <c r="G30" s="61">
        <v>0.02</v>
      </c>
      <c r="H30" s="61">
        <v>0.05</v>
      </c>
      <c r="I30" s="61">
        <v>0.14000000000000001</v>
      </c>
      <c r="J30" s="61">
        <v>0.13</v>
      </c>
      <c r="K30" s="61">
        <v>0.04</v>
      </c>
      <c r="L30" s="61">
        <v>0.04</v>
      </c>
      <c r="M30" s="59"/>
      <c r="N30" s="61">
        <v>0.05</v>
      </c>
      <c r="O30" s="61">
        <v>0.05</v>
      </c>
      <c r="P30" s="61">
        <v>0.03</v>
      </c>
      <c r="Q30" s="61">
        <v>0.03</v>
      </c>
      <c r="R30" s="61">
        <v>0.03</v>
      </c>
      <c r="S30" s="61">
        <v>0.04</v>
      </c>
      <c r="T30" s="61">
        <v>0.04</v>
      </c>
      <c r="U30" s="61">
        <v>4.4999999999999998E-2</v>
      </c>
      <c r="V30" s="61">
        <v>0.02</v>
      </c>
      <c r="W30" s="61">
        <v>0.02</v>
      </c>
      <c r="X30" s="61">
        <v>0.03</v>
      </c>
    </row>
    <row r="31" spans="1:24" ht="20" customHeight="1">
      <c r="A31" s="58" t="s">
        <v>134</v>
      </c>
      <c r="B31" s="45"/>
      <c r="C31" s="61">
        <v>0.03</v>
      </c>
      <c r="D31" s="61">
        <v>0</v>
      </c>
      <c r="E31" s="61">
        <v>0.01</v>
      </c>
      <c r="F31" s="61">
        <v>0.02</v>
      </c>
      <c r="G31" s="61">
        <v>0.02</v>
      </c>
      <c r="H31" s="61">
        <v>-0.01</v>
      </c>
      <c r="I31" s="61">
        <v>0.03</v>
      </c>
      <c r="J31" s="61">
        <v>0.02</v>
      </c>
      <c r="K31" s="61">
        <v>1.4999999999999999E-2</v>
      </c>
      <c r="L31" s="61">
        <v>0</v>
      </c>
      <c r="M31" s="59"/>
      <c r="N31" s="61">
        <v>5.0000000000000001E-3</v>
      </c>
      <c r="O31" s="61">
        <v>0.01</v>
      </c>
      <c r="P31" s="61">
        <v>0.02</v>
      </c>
      <c r="Q31" s="61">
        <v>0.02</v>
      </c>
      <c r="R31" s="61">
        <v>0.03</v>
      </c>
      <c r="S31" s="61">
        <v>1.4999999999999999E-2</v>
      </c>
      <c r="T31" s="61">
        <v>-5.0000000000000001E-3</v>
      </c>
      <c r="U31" s="61">
        <v>-0.02</v>
      </c>
      <c r="V31" s="61">
        <v>-0.03</v>
      </c>
      <c r="W31" s="61">
        <v>-0.02</v>
      </c>
      <c r="X31" s="61">
        <v>-0.01</v>
      </c>
    </row>
    <row r="32" spans="1:24" ht="20" customHeight="1">
      <c r="A32" s="58" t="s">
        <v>135</v>
      </c>
      <c r="B32" s="45"/>
      <c r="C32" s="61">
        <v>0</v>
      </c>
      <c r="D32" s="61">
        <v>0</v>
      </c>
      <c r="E32" s="61">
        <v>0.01</v>
      </c>
      <c r="F32" s="61">
        <v>-0.01</v>
      </c>
      <c r="G32" s="61">
        <v>-0.03</v>
      </c>
      <c r="H32" s="61">
        <v>-0.02</v>
      </c>
      <c r="I32" s="61">
        <v>0.04</v>
      </c>
      <c r="J32" s="61">
        <v>0</v>
      </c>
      <c r="K32" s="61">
        <v>0</v>
      </c>
      <c r="L32" s="61">
        <v>-0.01</v>
      </c>
      <c r="M32" s="59"/>
      <c r="N32" s="61">
        <v>0</v>
      </c>
      <c r="O32" s="61">
        <v>0</v>
      </c>
      <c r="P32" s="61">
        <v>0</v>
      </c>
      <c r="Q32" s="61">
        <v>0</v>
      </c>
      <c r="R32" s="61">
        <v>0</v>
      </c>
      <c r="S32" s="61">
        <v>0</v>
      </c>
      <c r="T32" s="61">
        <v>-0.01</v>
      </c>
      <c r="U32" s="61">
        <v>-0.01</v>
      </c>
      <c r="V32" s="61">
        <v>-2.5000000000000001E-2</v>
      </c>
      <c r="W32" s="61">
        <v>-0.02</v>
      </c>
      <c r="X32" s="61">
        <v>-0.02</v>
      </c>
    </row>
    <row r="33" spans="1:24" ht="22" customHeight="1">
      <c r="A33" s="56" t="s">
        <v>101</v>
      </c>
      <c r="B33" s="45"/>
      <c r="C33" s="57">
        <f>(-1)*'Cash Flow'!C48</f>
        <v>3040</v>
      </c>
      <c r="D33" s="57">
        <f>(-1)*'Cash Flow'!D48</f>
        <v>2969</v>
      </c>
      <c r="E33" s="57">
        <f>(-1)*'Cash Flow'!E48</f>
        <v>3282</v>
      </c>
      <c r="F33" s="57">
        <f>(-1)*'Cash Flow'!F48</f>
        <v>4232</v>
      </c>
      <c r="G33" s="57">
        <f>(-1)*'Cash Flow'!G48</f>
        <v>4240</v>
      </c>
      <c r="H33" s="57">
        <f>(-1)*'Cash Flow'!H48</f>
        <v>4625</v>
      </c>
      <c r="I33" s="57">
        <f>(-1)*'Cash Flow'!I48</f>
        <v>5207</v>
      </c>
      <c r="J33" s="57">
        <f>(-1)*'Cash Flow'!J48</f>
        <v>5518</v>
      </c>
      <c r="K33" s="57">
        <f>(-1)*'Cash Flow'!K48</f>
        <v>5318</v>
      </c>
      <c r="L33" s="57">
        <f>(-1)*'Cash Flow'!L48</f>
        <v>4415</v>
      </c>
      <c r="M33" s="50"/>
      <c r="N33" s="57">
        <f>(-1)*'Cash Flow'!N114</f>
        <v>614</v>
      </c>
      <c r="O33" s="57">
        <f>(-1)*'Cash Flow'!O114</f>
        <v>1087</v>
      </c>
      <c r="P33" s="57">
        <f>(-1)*'Cash Flow'!P114</f>
        <v>1149</v>
      </c>
      <c r="Q33" s="57">
        <f>(-1)*'Cash Flow'!Q114</f>
        <v>2468</v>
      </c>
      <c r="R33" s="57">
        <f>(-1)*'Cash Flow'!R114</f>
        <v>603</v>
      </c>
      <c r="S33" s="57">
        <f>(-1)*'Cash Flow'!S114</f>
        <v>904</v>
      </c>
      <c r="T33" s="57">
        <f>(-1)*'Cash Flow'!T114</f>
        <v>992</v>
      </c>
      <c r="U33" s="57">
        <f>(-1)*'Cash Flow'!U114</f>
        <v>1916</v>
      </c>
      <c r="V33" s="57">
        <f>(-1)*'Cash Flow'!V114</f>
        <v>447</v>
      </c>
      <c r="W33" s="57">
        <f>(-1)*'Cash Flow'!W114</f>
        <v>819</v>
      </c>
      <c r="X33" s="57">
        <f>(-1)*'Cash Flow'!X114</f>
        <v>916</v>
      </c>
    </row>
    <row r="34" spans="1:24" ht="22" customHeight="1">
      <c r="A34" s="56" t="s">
        <v>136</v>
      </c>
      <c r="B34" s="45"/>
      <c r="C34" s="57">
        <f>'Cash Flow'!C15</f>
        <v>2368</v>
      </c>
      <c r="D34" s="57">
        <f>'Cash Flow'!D15</f>
        <v>2369</v>
      </c>
      <c r="E34" s="57">
        <f>'Cash Flow'!E15</f>
        <v>2399</v>
      </c>
      <c r="F34" s="57">
        <f>'Cash Flow'!F15</f>
        <v>2432</v>
      </c>
      <c r="G34" s="57">
        <f>'Cash Flow'!G15</f>
        <v>2548</v>
      </c>
      <c r="H34" s="57">
        <f>'Cash Flow'!H15</f>
        <v>2710</v>
      </c>
      <c r="I34" s="57">
        <f>'Cash Flow'!I15</f>
        <v>2763</v>
      </c>
      <c r="J34" s="57">
        <f>'Cash Flow'!J15</f>
        <v>2948</v>
      </c>
      <c r="K34" s="57">
        <f>'Cash Flow'!K15</f>
        <v>3160</v>
      </c>
      <c r="L34" s="57">
        <f>'Cash Flow'!L15</f>
        <v>3451</v>
      </c>
      <c r="M34" s="50"/>
      <c r="N34" s="57">
        <f>'Cash Flow'!N99</f>
        <v>641</v>
      </c>
      <c r="O34" s="57">
        <f>'Cash Flow'!O99</f>
        <v>738</v>
      </c>
      <c r="P34" s="57">
        <f>'Cash Flow'!P99</f>
        <v>739</v>
      </c>
      <c r="Q34" s="57">
        <f>'Cash Flow'!Q99</f>
        <v>1042</v>
      </c>
      <c r="R34" s="57">
        <f>'Cash Flow'!R99</f>
        <v>684</v>
      </c>
      <c r="S34" s="57">
        <f>'Cash Flow'!S99</f>
        <v>807</v>
      </c>
      <c r="T34" s="57">
        <f>'Cash Flow'!T99</f>
        <v>824</v>
      </c>
      <c r="U34" s="57">
        <f>'Cash Flow'!U99</f>
        <v>1136</v>
      </c>
      <c r="V34" s="57">
        <f>'Cash Flow'!V99</f>
        <v>742</v>
      </c>
      <c r="W34" s="57">
        <f>'Cash Flow'!W99</f>
        <v>897</v>
      </c>
      <c r="X34" s="57">
        <f>'Cash Flow'!X99</f>
        <v>892</v>
      </c>
    </row>
    <row r="35" spans="1:24" ht="20" customHeight="1">
      <c r="A35" s="58" t="s">
        <v>102</v>
      </c>
      <c r="B35" s="45"/>
      <c r="C35" s="51">
        <f>IF('Operating Metrics'!C19=0,"",'Operating Metrics'!C33/'Operating Metrics'!C19)</f>
        <v>4.8408414146722083E-2</v>
      </c>
      <c r="D35" s="51">
        <f>IF('Operating Metrics'!D19=0,"",'Operating Metrics'!D33/'Operating Metrics'!D19)</f>
        <v>4.6737504919323103E-2</v>
      </c>
      <c r="E35" s="51">
        <f>IF('Operating Metrics'!E19=0,"",'Operating Metrics'!E33/'Operating Metrics'!E19)</f>
        <v>5.0757025100137639E-2</v>
      </c>
      <c r="F35" s="51">
        <f>IF('Operating Metrics'!F19=0,"",'Operating Metrics'!F33/'Operating Metrics'!F19)</f>
        <v>6.3012760381769187E-2</v>
      </c>
      <c r="G35" s="51">
        <f>IF('Operating Metrics'!G19=0,"",'Operating Metrics'!G33/'Operating Metrics'!G19)</f>
        <v>6.0251236287159664E-2</v>
      </c>
      <c r="H35" s="51">
        <f>IF('Operating Metrics'!H19=0,"",'Operating Metrics'!H33/'Operating Metrics'!H19)</f>
        <v>5.8195132999471523E-2</v>
      </c>
      <c r="I35" s="51">
        <f>IF('Operating Metrics'!I19=0,"",'Operating Metrics'!I33/'Operating Metrics'!I19)</f>
        <v>6.0271784424483749E-2</v>
      </c>
      <c r="J35" s="51">
        <f>IF('Operating Metrics'!J19=0,"",'Operating Metrics'!J33/'Operating Metrics'!J19)</f>
        <v>6.0325130369188046E-2</v>
      </c>
      <c r="K35" s="51">
        <f>IF('Operating Metrics'!K19=0,"",'Operating Metrics'!K33/'Operating Metrics'!K19)</f>
        <v>5.7896226620506454E-2</v>
      </c>
      <c r="L35" s="51">
        <f>IF('Operating Metrics'!L19=0,"",'Operating Metrics'!L33/'Operating Metrics'!L19)</f>
        <v>4.7005589566143202E-2</v>
      </c>
      <c r="M35" s="59"/>
      <c r="N35" s="51">
        <f>IF('Operating Metrics'!N19=0,"",'Operating Metrics'!N33/'Operating Metrics'!N19)</f>
        <v>3.3643835616438356E-2</v>
      </c>
      <c r="O35" s="51">
        <f>IF('Operating Metrics'!O19=0,"",'Operating Metrics'!O33/'Operating Metrics'!O19)</f>
        <v>4.8308964046042395E-2</v>
      </c>
      <c r="P35" s="51">
        <f>IF('Operating Metrics'!P19=0,"",'Operating Metrics'!P33/'Operating Metrics'!P19)</f>
        <v>4.9273124919593465E-2</v>
      </c>
      <c r="Q35" s="51">
        <f>IF('Operating Metrics'!Q19=0,"",'Operating Metrics'!Q33/'Operating Metrics'!Q19)</f>
        <v>8.8828102505038878E-2</v>
      </c>
      <c r="R35" s="51">
        <f>IF('Operating Metrics'!R19=0,"",'Operating Metrics'!R33/'Operating Metrics'!R19)</f>
        <v>3.365143144148669E-2</v>
      </c>
      <c r="S35" s="51">
        <f>IF('Operating Metrics'!S19=0,"",'Operating Metrics'!S33/'Operating Metrics'!S19)</f>
        <v>3.9778227580744521E-2</v>
      </c>
      <c r="T35" s="51">
        <f>IF('Operating Metrics'!T19=0,"",'Operating Metrics'!T33/'Operating Metrics'!T19)</f>
        <v>4.1442118895433845E-2</v>
      </c>
      <c r="U35" s="51">
        <f>IF('Operating Metrics'!U19=0,"",'Operating Metrics'!U33/'Operating Metrics'!U19)</f>
        <v>6.5296663599495625E-2</v>
      </c>
      <c r="V35" s="51">
        <f>IF('Operating Metrics'!V19=0,"",'Operating Metrics'!V33/'Operating Metrics'!V19)</f>
        <v>2.2990279277889214E-2</v>
      </c>
      <c r="W35" s="51">
        <f>IF('Operating Metrics'!W19=0,"",'Operating Metrics'!W33/'Operating Metrics'!W19)</f>
        <v>3.3869567015425331E-2</v>
      </c>
      <c r="X35" s="51">
        <f>IF('Operating Metrics'!X19=0,"",'Operating Metrics'!X33/'Operating Metrics'!X19)</f>
        <v>3.6242779140618818E-2</v>
      </c>
    </row>
    <row r="36" spans="1:24" ht="22" customHeight="1">
      <c r="A36" s="56" t="s">
        <v>103</v>
      </c>
      <c r="B36" s="45"/>
      <c r="C36" s="54">
        <f>IF('Operating Metrics'!C34=0,"",'Operating Metrics'!C33/'Operating Metrics'!C34)</f>
        <v>1.2837837837837838</v>
      </c>
      <c r="D36" s="54">
        <f>IF('Operating Metrics'!D34=0,"",'Operating Metrics'!D33/'Operating Metrics'!D34)</f>
        <v>1.2532714225411565</v>
      </c>
      <c r="E36" s="54">
        <f>IF('Operating Metrics'!E34=0,"",'Operating Metrics'!E33/'Operating Metrics'!E34)</f>
        <v>1.3680700291788246</v>
      </c>
      <c r="F36" s="54">
        <f>IF('Operating Metrics'!F34=0,"",'Operating Metrics'!F33/'Operating Metrics'!F34)</f>
        <v>1.7401315789473684</v>
      </c>
      <c r="G36" s="54">
        <f>IF('Operating Metrics'!G34=0,"",'Operating Metrics'!G33/'Operating Metrics'!G34)</f>
        <v>1.6640502354788069</v>
      </c>
      <c r="H36" s="54">
        <f>IF('Operating Metrics'!H34=0,"",'Operating Metrics'!H33/'Operating Metrics'!H34)</f>
        <v>1.7066420664206643</v>
      </c>
      <c r="I36" s="54">
        <f>IF('Operating Metrics'!I34=0,"",'Operating Metrics'!I33/'Operating Metrics'!I34)</f>
        <v>1.8845457835685848</v>
      </c>
      <c r="J36" s="54">
        <f>IF('Operating Metrics'!J34=0,"",'Operating Metrics'!J33/'Operating Metrics'!J34)</f>
        <v>1.8717774762550883</v>
      </c>
      <c r="K36" s="54">
        <f>IF('Operating Metrics'!K34=0,"",'Operating Metrics'!K33/'Operating Metrics'!K34)</f>
        <v>1.6829113924050634</v>
      </c>
      <c r="L36" s="54">
        <f>IF('Operating Metrics'!L34=0,"",'Operating Metrics'!L33/'Operating Metrics'!L34)</f>
        <v>1.2793393219356708</v>
      </c>
      <c r="M36" s="54"/>
      <c r="N36" s="54">
        <f>IF('Operating Metrics'!N34=0,"",'Operating Metrics'!N33/'Operating Metrics'!N34)</f>
        <v>0.95787831513260535</v>
      </c>
      <c r="O36" s="54">
        <f>IF('Operating Metrics'!O34=0,"",'Operating Metrics'!O33/'Operating Metrics'!O34)</f>
        <v>1.47289972899729</v>
      </c>
      <c r="P36" s="54">
        <f>IF('Operating Metrics'!P34=0,"",'Operating Metrics'!P33/'Operating Metrics'!P34)</f>
        <v>1.5548037889039241</v>
      </c>
      <c r="Q36" s="54">
        <f>IF('Operating Metrics'!Q34=0,"",'Operating Metrics'!Q33/'Operating Metrics'!Q34)</f>
        <v>2.3685220729366603</v>
      </c>
      <c r="R36" s="54">
        <f>IF('Operating Metrics'!R34=0,"",'Operating Metrics'!R33/'Operating Metrics'!R34)</f>
        <v>0.88157894736842102</v>
      </c>
      <c r="S36" s="54">
        <f>IF('Operating Metrics'!S34=0,"",'Operating Metrics'!S33/'Operating Metrics'!S34)</f>
        <v>1.1201982651796778</v>
      </c>
      <c r="T36" s="54">
        <f>IF('Operating Metrics'!T34=0,"",'Operating Metrics'!T33/'Operating Metrics'!T34)</f>
        <v>1.203883495145631</v>
      </c>
      <c r="U36" s="54">
        <f>IF('Operating Metrics'!U34=0,"",'Operating Metrics'!U33/'Operating Metrics'!U34)</f>
        <v>1.6866197183098592</v>
      </c>
      <c r="V36" s="54">
        <f>IF('Operating Metrics'!V34=0,"",'Operating Metrics'!V33/'Operating Metrics'!V34)</f>
        <v>0.60242587601078168</v>
      </c>
      <c r="W36" s="54">
        <f>IF('Operating Metrics'!W34=0,"",'Operating Metrics'!W33/'Operating Metrics'!W34)</f>
        <v>0.91304347826086951</v>
      </c>
      <c r="X36" s="54">
        <f>IF('Operating Metrics'!X34=0,"",'Operating Metrics'!X33/'Operating Metrics'!X34)</f>
        <v>1.0269058295964126</v>
      </c>
    </row>
    <row r="37" spans="1:24" ht="22" customHeight="1">
      <c r="A37" s="45"/>
      <c r="B37" s="45"/>
      <c r="C37" s="45"/>
      <c r="D37" s="45"/>
      <c r="E37" s="45"/>
      <c r="F37" s="45"/>
      <c r="G37" s="45"/>
      <c r="H37" s="45"/>
      <c r="I37" s="45"/>
      <c r="J37" s="45"/>
      <c r="K37" s="45"/>
      <c r="L37" s="45"/>
      <c r="M37" s="45"/>
      <c r="N37" s="45"/>
      <c r="O37" s="45"/>
      <c r="P37" s="45"/>
      <c r="Q37" s="45"/>
      <c r="R37" s="45"/>
      <c r="S37" s="45"/>
      <c r="T37" s="45"/>
      <c r="U37" s="45"/>
      <c r="V37" s="45"/>
      <c r="W37" s="45"/>
      <c r="X37" s="45"/>
    </row>
    <row r="38" spans="1:24" ht="22" customHeight="1">
      <c r="A38" s="45"/>
      <c r="B38" s="45"/>
      <c r="C38" s="45"/>
      <c r="D38" s="45"/>
      <c r="E38" s="45"/>
      <c r="F38" s="45"/>
      <c r="G38" s="45"/>
      <c r="H38" s="45"/>
      <c r="I38" s="45"/>
      <c r="J38" s="45"/>
      <c r="K38" s="45"/>
      <c r="L38" s="45"/>
      <c r="M38" s="45"/>
      <c r="N38" s="45"/>
      <c r="O38" s="45"/>
      <c r="P38" s="45"/>
      <c r="Q38" s="45"/>
      <c r="R38" s="45"/>
      <c r="S38" s="45"/>
      <c r="T38" s="45"/>
      <c r="U38" s="45"/>
      <c r="V38" s="45"/>
      <c r="W38" s="45"/>
      <c r="X38" s="45"/>
    </row>
    <row r="39" spans="1:24" ht="22" customHeight="1">
      <c r="A39" s="170" t="s">
        <v>122</v>
      </c>
      <c r="B39" s="170"/>
      <c r="C39" s="170"/>
      <c r="D39" s="170"/>
      <c r="E39" s="170"/>
      <c r="F39" s="170"/>
      <c r="G39" s="170"/>
      <c r="H39" s="170"/>
      <c r="I39" s="170"/>
      <c r="J39" s="170"/>
      <c r="K39" s="170"/>
      <c r="L39" s="170"/>
      <c r="M39" s="170"/>
      <c r="N39" s="170"/>
      <c r="O39" s="170"/>
      <c r="P39" s="170"/>
      <c r="Q39" s="170"/>
      <c r="R39" s="170"/>
      <c r="S39" s="170"/>
      <c r="T39" s="170"/>
      <c r="U39" s="170"/>
      <c r="V39" s="170"/>
      <c r="W39" s="170"/>
      <c r="X39" s="170"/>
    </row>
    <row r="40" spans="1:24" ht="36" customHeight="1">
      <c r="A40" s="171" t="s">
        <v>137</v>
      </c>
      <c r="B40" s="171"/>
      <c r="C40" s="171"/>
      <c r="D40" s="171"/>
      <c r="E40" s="171"/>
      <c r="F40" s="171"/>
      <c r="G40" s="171"/>
      <c r="H40" s="171"/>
      <c r="I40" s="171"/>
      <c r="J40" s="171"/>
      <c r="K40" s="171"/>
      <c r="L40" s="171"/>
      <c r="M40" s="171"/>
      <c r="N40" s="171"/>
      <c r="O40" s="171"/>
      <c r="P40" s="171"/>
      <c r="Q40" s="171"/>
      <c r="R40" s="171"/>
      <c r="S40" s="171"/>
      <c r="T40" s="171"/>
      <c r="U40" s="171"/>
      <c r="V40" s="171"/>
      <c r="W40" s="171"/>
      <c r="X40" s="171"/>
    </row>
    <row r="41" spans="1:24" ht="24" customHeight="1">
      <c r="A41" s="47" t="s">
        <v>56</v>
      </c>
      <c r="B41" s="45"/>
      <c r="C41" s="48" t="s">
        <v>41</v>
      </c>
      <c r="D41" s="48" t="s">
        <v>42</v>
      </c>
      <c r="E41" s="48" t="s">
        <v>43</v>
      </c>
      <c r="F41" s="48" t="s">
        <v>44</v>
      </c>
      <c r="G41" s="45"/>
      <c r="H41" s="49" t="s">
        <v>45</v>
      </c>
      <c r="I41" s="49" t="s">
        <v>46</v>
      </c>
      <c r="J41" s="49" t="s">
        <v>47</v>
      </c>
      <c r="K41" s="49" t="s">
        <v>48</v>
      </c>
      <c r="L41" s="49" t="s">
        <v>49</v>
      </c>
      <c r="M41" s="49" t="s">
        <v>50</v>
      </c>
      <c r="N41" s="49" t="s">
        <v>51</v>
      </c>
      <c r="O41" s="49" t="s">
        <v>52</v>
      </c>
      <c r="P41" s="49" t="s">
        <v>53</v>
      </c>
      <c r="Q41" s="49" t="s">
        <v>54</v>
      </c>
      <c r="R41" s="49" t="s">
        <v>55</v>
      </c>
      <c r="S41" s="45"/>
      <c r="T41" s="45"/>
      <c r="U41" s="45"/>
      <c r="V41" s="45"/>
      <c r="W41" s="45"/>
      <c r="X41" s="45"/>
    </row>
    <row r="42" spans="1:24" ht="18" customHeight="1">
      <c r="A42" s="45"/>
      <c r="B42" s="45"/>
      <c r="C42" s="55">
        <v>44926</v>
      </c>
      <c r="D42" s="55">
        <v>45290</v>
      </c>
      <c r="E42" s="55">
        <v>45654</v>
      </c>
      <c r="F42" s="55">
        <v>46018</v>
      </c>
      <c r="G42" s="45"/>
      <c r="H42" s="55">
        <v>45374</v>
      </c>
      <c r="I42" s="55">
        <v>45458</v>
      </c>
      <c r="J42" s="55">
        <v>45542</v>
      </c>
      <c r="K42" s="55">
        <v>45654</v>
      </c>
      <c r="L42" s="55">
        <v>45738</v>
      </c>
      <c r="M42" s="55">
        <v>45822</v>
      </c>
      <c r="N42" s="55">
        <v>45906</v>
      </c>
      <c r="O42" s="55">
        <v>46018</v>
      </c>
      <c r="P42" s="55">
        <v>46102</v>
      </c>
      <c r="Q42" s="55">
        <v>46186</v>
      </c>
      <c r="R42" s="55">
        <v>46270</v>
      </c>
      <c r="S42" s="45"/>
      <c r="T42" s="45"/>
      <c r="U42" s="45"/>
      <c r="V42" s="45"/>
      <c r="W42" s="45"/>
      <c r="X42" s="45"/>
    </row>
    <row r="43" spans="1:24" ht="24" customHeight="1">
      <c r="A43" s="172" t="s">
        <v>82</v>
      </c>
      <c r="B43" s="172"/>
      <c r="C43" s="172"/>
      <c r="D43" s="172"/>
      <c r="E43" s="172"/>
      <c r="F43" s="172"/>
      <c r="G43" s="172"/>
      <c r="H43" s="172"/>
      <c r="I43" s="172"/>
      <c r="J43" s="172"/>
      <c r="K43" s="172"/>
      <c r="L43" s="172"/>
      <c r="M43" s="172"/>
      <c r="N43" s="172"/>
      <c r="O43" s="172"/>
      <c r="P43" s="172"/>
      <c r="Q43" s="172"/>
      <c r="R43" s="172"/>
      <c r="S43" s="172"/>
      <c r="T43" s="172"/>
      <c r="U43" s="172"/>
      <c r="V43" s="172"/>
      <c r="W43" s="172"/>
      <c r="X43" s="172"/>
    </row>
    <row r="44" spans="1:24" ht="22" customHeight="1">
      <c r="A44" s="56" t="s">
        <v>63</v>
      </c>
      <c r="B44" s="45"/>
      <c r="C44" s="60">
        <v>26451</v>
      </c>
      <c r="D44" s="60">
        <v>28015</v>
      </c>
      <c r="E44" s="60">
        <v>27431</v>
      </c>
      <c r="F44" s="60">
        <v>27528</v>
      </c>
      <c r="G44" s="50"/>
      <c r="H44" s="60">
        <v>6269</v>
      </c>
      <c r="I44" s="60">
        <v>6435</v>
      </c>
      <c r="J44" s="60">
        <v>6536</v>
      </c>
      <c r="K44" s="60">
        <v>8191</v>
      </c>
      <c r="L44" s="60">
        <v>6213</v>
      </c>
      <c r="M44" s="60">
        <v>6476</v>
      </c>
      <c r="N44" s="60">
        <v>6526</v>
      </c>
      <c r="O44" s="60">
        <v>8313</v>
      </c>
      <c r="P44" s="60">
        <v>6332</v>
      </c>
      <c r="Q44" s="60">
        <v>6368</v>
      </c>
      <c r="R44" s="60">
        <v>6504</v>
      </c>
      <c r="S44" s="50"/>
      <c r="T44" s="50"/>
      <c r="U44" s="50"/>
      <c r="V44" s="50"/>
      <c r="W44" s="50"/>
      <c r="X44" s="50"/>
    </row>
    <row r="45" spans="1:24" ht="20" customHeight="1">
      <c r="A45" s="58" t="s">
        <v>83</v>
      </c>
      <c r="B45" s="45"/>
      <c r="C45" s="59"/>
      <c r="D45" s="51">
        <f>IF(OR('Operating Metrics'!C44&lt;=0,'Operating Metrics'!D44&lt;0),"",'Operating Metrics'!D44/'Operating Metrics'!C44-1)</f>
        <v>5.9128199311935248E-2</v>
      </c>
      <c r="E45" s="51">
        <f>IF(OR('Operating Metrics'!D44&lt;=0,'Operating Metrics'!E44&lt;0),"",'Operating Metrics'!E44/'Operating Metrics'!D44-1)</f>
        <v>-2.0845975370337277E-2</v>
      </c>
      <c r="F45" s="51">
        <f>IF(OR('Operating Metrics'!E44&lt;=0,'Operating Metrics'!F44&lt;0),"",'Operating Metrics'!F44/'Operating Metrics'!E44-1)</f>
        <v>3.53614523714052E-3</v>
      </c>
      <c r="G45" s="59"/>
      <c r="H45" s="59"/>
      <c r="I45" s="59"/>
      <c r="J45" s="59"/>
      <c r="K45" s="59"/>
      <c r="L45" s="51">
        <f>IF(OR('Operating Metrics'!H44&lt;=0,'Operating Metrics'!L44&lt;0),"",'Operating Metrics'!L44/'Operating Metrics'!H44-1)</f>
        <v>-8.9328441537724901E-3</v>
      </c>
      <c r="M45" s="51">
        <f>IF(OR('Operating Metrics'!I44&lt;=0,'Operating Metrics'!M44&lt;0),"",'Operating Metrics'!M44/'Operating Metrics'!I44-1)</f>
        <v>6.3714063714064295E-3</v>
      </c>
      <c r="N45" s="51">
        <f>IF(OR('Operating Metrics'!J44&lt;=0,'Operating Metrics'!N44&lt;0),"",'Operating Metrics'!N44/'Operating Metrics'!J44-1)</f>
        <v>-1.5299877600979395E-3</v>
      </c>
      <c r="O45" s="51">
        <f>IF(OR('Operating Metrics'!K44&lt;=0,'Operating Metrics'!O44&lt;0),"",'Operating Metrics'!O44/'Operating Metrics'!K44-1)</f>
        <v>1.4894396288609446E-2</v>
      </c>
      <c r="P45" s="51">
        <f>IF(OR('Operating Metrics'!L44&lt;=0,'Operating Metrics'!P44&lt;0),"",'Operating Metrics'!P44/'Operating Metrics'!L44-1)</f>
        <v>1.9153388057299159E-2</v>
      </c>
      <c r="Q45" s="51">
        <f>IF(OR('Operating Metrics'!M44&lt;=0,'Operating Metrics'!Q44&lt;0),"",'Operating Metrics'!Q44/'Operating Metrics'!M44-1)</f>
        <v>-1.6676961087090825E-2</v>
      </c>
      <c r="R45" s="51">
        <f>IF(OR('Operating Metrics'!N44&lt;=0,'Operating Metrics'!R44&lt;0),"",'Operating Metrics'!R44/'Operating Metrics'!N44-1)</f>
        <v>-3.3711308611706903E-3</v>
      </c>
      <c r="S45" s="59"/>
      <c r="T45" s="59"/>
      <c r="U45" s="59"/>
      <c r="V45" s="59"/>
      <c r="W45" s="59"/>
      <c r="X45" s="59"/>
    </row>
    <row r="46" spans="1:24" ht="22" customHeight="1">
      <c r="A46" s="56" t="s">
        <v>87</v>
      </c>
      <c r="B46" s="45"/>
      <c r="C46" s="60">
        <v>6739</v>
      </c>
      <c r="D46" s="60">
        <v>7247</v>
      </c>
      <c r="E46" s="60">
        <v>6619</v>
      </c>
      <c r="F46" s="60">
        <v>6173</v>
      </c>
      <c r="G46" s="50"/>
      <c r="H46" s="60">
        <v>1505</v>
      </c>
      <c r="I46" s="60">
        <v>1677</v>
      </c>
      <c r="J46" s="60">
        <v>1620</v>
      </c>
      <c r="K46" s="60">
        <v>1817</v>
      </c>
      <c r="L46" s="60">
        <v>1536</v>
      </c>
      <c r="M46" s="60">
        <v>1391</v>
      </c>
      <c r="N46" s="60">
        <v>1536</v>
      </c>
      <c r="O46" s="60">
        <v>1710</v>
      </c>
      <c r="P46" s="60">
        <v>1429</v>
      </c>
      <c r="Q46" s="60">
        <v>1342</v>
      </c>
      <c r="R46" s="60">
        <v>1333</v>
      </c>
      <c r="S46" s="50"/>
      <c r="T46" s="50"/>
      <c r="U46" s="50"/>
      <c r="V46" s="50"/>
      <c r="W46" s="50"/>
      <c r="X46" s="50"/>
    </row>
    <row r="47" spans="1:24" ht="22" customHeight="1">
      <c r="A47" s="56" t="s">
        <v>84</v>
      </c>
      <c r="B47" s="45"/>
      <c r="C47" s="50"/>
      <c r="D47" s="60">
        <v>7425</v>
      </c>
      <c r="E47" s="60">
        <v>6982</v>
      </c>
      <c r="F47" s="60">
        <v>6545</v>
      </c>
      <c r="G47" s="50"/>
      <c r="H47" s="60">
        <v>1698</v>
      </c>
      <c r="I47" s="60">
        <v>1705</v>
      </c>
      <c r="J47" s="60">
        <v>1627</v>
      </c>
      <c r="K47" s="60">
        <v>1952</v>
      </c>
      <c r="L47" s="60">
        <v>1575</v>
      </c>
      <c r="M47" s="60">
        <v>1488</v>
      </c>
      <c r="N47" s="60">
        <v>1570</v>
      </c>
      <c r="O47" s="60">
        <v>1912</v>
      </c>
      <c r="P47" s="60">
        <v>1505</v>
      </c>
      <c r="Q47" s="60">
        <v>1369</v>
      </c>
      <c r="R47" s="60">
        <v>1382</v>
      </c>
      <c r="S47" s="50"/>
      <c r="T47" s="50"/>
      <c r="U47" s="50"/>
      <c r="V47" s="50"/>
      <c r="W47" s="50"/>
      <c r="X47" s="50"/>
    </row>
    <row r="48" spans="1:24" ht="20" customHeight="1">
      <c r="A48" s="58" t="s">
        <v>85</v>
      </c>
      <c r="B48" s="45"/>
      <c r="C48" s="59"/>
      <c r="D48" s="59"/>
      <c r="E48" s="51">
        <f>IF(OR('Operating Metrics'!D47&lt;=0,'Operating Metrics'!E47&lt;0),"",'Operating Metrics'!E47/'Operating Metrics'!D47-1)</f>
        <v>-5.966329966329964E-2</v>
      </c>
      <c r="F48" s="51">
        <f>IF(OR('Operating Metrics'!E47&lt;=0,'Operating Metrics'!F47&lt;0),"",'Operating Metrics'!F47/'Operating Metrics'!E47-1)</f>
        <v>-6.2589515898023529E-2</v>
      </c>
      <c r="G48" s="59"/>
      <c r="H48" s="59"/>
      <c r="I48" s="59"/>
      <c r="J48" s="59"/>
      <c r="K48" s="59"/>
      <c r="L48" s="51">
        <f>IF(OR('Operating Metrics'!H47&lt;=0,'Operating Metrics'!L47&lt;0),"",'Operating Metrics'!L47/'Operating Metrics'!H47-1)</f>
        <v>-7.2438162544169571E-2</v>
      </c>
      <c r="M48" s="51">
        <f>IF(OR('Operating Metrics'!I47&lt;=0,'Operating Metrics'!M47&lt;0),"",'Operating Metrics'!M47/'Operating Metrics'!I47-1)</f>
        <v>-0.12727272727272732</v>
      </c>
      <c r="N48" s="51">
        <f>IF(OR('Operating Metrics'!J47&lt;=0,'Operating Metrics'!N47&lt;0),"",'Operating Metrics'!N47/'Operating Metrics'!J47-1)</f>
        <v>-3.5033804548248337E-2</v>
      </c>
      <c r="O48" s="51">
        <f>IF(OR('Operating Metrics'!K47&lt;=0,'Operating Metrics'!O47&lt;0),"",'Operating Metrics'!O47/'Operating Metrics'!K47-1)</f>
        <v>-2.0491803278688492E-2</v>
      </c>
      <c r="P48" s="51">
        <f>IF(OR('Operating Metrics'!L47&lt;=0,'Operating Metrics'!P47&lt;0),"",'Operating Metrics'!P47/'Operating Metrics'!L47-1)</f>
        <v>-4.4444444444444398E-2</v>
      </c>
      <c r="Q48" s="51">
        <f>IF(OR('Operating Metrics'!M47&lt;=0,'Operating Metrics'!Q47&lt;0),"",'Operating Metrics'!Q47/'Operating Metrics'!M47-1)</f>
        <v>-7.9973118279569877E-2</v>
      </c>
      <c r="R48" s="51">
        <f>IF(OR('Operating Metrics'!N47&lt;=0,'Operating Metrics'!R47&lt;0),"",'Operating Metrics'!R47/'Operating Metrics'!N47-1)</f>
        <v>-0.11974522292993628</v>
      </c>
      <c r="S48" s="59"/>
      <c r="T48" s="59"/>
      <c r="U48" s="59"/>
      <c r="V48" s="59"/>
      <c r="W48" s="59"/>
      <c r="X48" s="59"/>
    </row>
    <row r="49" spans="1:24" ht="20" customHeight="1">
      <c r="A49" s="58" t="s">
        <v>86</v>
      </c>
      <c r="B49" s="45"/>
      <c r="C49" s="59"/>
      <c r="D49" s="51">
        <f>IF('Operating Metrics'!D44=0,"",'Operating Metrics'!D47/'Operating Metrics'!D44)</f>
        <v>0.26503658754238801</v>
      </c>
      <c r="E49" s="51">
        <f>IF('Operating Metrics'!E44=0,"",'Operating Metrics'!E47/'Operating Metrics'!E44)</f>
        <v>0.25452954686303819</v>
      </c>
      <c r="F49" s="51">
        <f>IF('Operating Metrics'!F44=0,"",'Operating Metrics'!F47/'Operating Metrics'!F44)</f>
        <v>0.23775791920953213</v>
      </c>
      <c r="G49" s="59"/>
      <c r="H49" s="51">
        <f>IF('Operating Metrics'!H44=0,"",'Operating Metrics'!H47/'Operating Metrics'!H44)</f>
        <v>0.27085659594831712</v>
      </c>
      <c r="I49" s="51">
        <f>IF('Operating Metrics'!I44=0,"",'Operating Metrics'!I47/'Operating Metrics'!I44)</f>
        <v>0.26495726495726496</v>
      </c>
      <c r="J49" s="51">
        <f>IF('Operating Metrics'!J44=0,"",'Operating Metrics'!J47/'Operating Metrics'!J44)</f>
        <v>0.24892900856793146</v>
      </c>
      <c r="K49" s="51">
        <f>IF('Operating Metrics'!K44=0,"",'Operating Metrics'!K47/'Operating Metrics'!K44)</f>
        <v>0.23831034061775119</v>
      </c>
      <c r="L49" s="51">
        <f>IF('Operating Metrics'!L44=0,"",'Operating Metrics'!L47/'Operating Metrics'!L44)</f>
        <v>0.2535007242877837</v>
      </c>
      <c r="M49" s="51">
        <f>IF('Operating Metrics'!M44=0,"",'Operating Metrics'!M47/'Operating Metrics'!M44)</f>
        <v>0.22977146386658431</v>
      </c>
      <c r="N49" s="51">
        <f>IF('Operating Metrics'!N44=0,"",'Operating Metrics'!N47/'Operating Metrics'!N44)</f>
        <v>0.24057615691081827</v>
      </c>
      <c r="O49" s="51">
        <f>IF('Operating Metrics'!O44=0,"",'Operating Metrics'!O47/'Operating Metrics'!O44)</f>
        <v>0.2300012029351618</v>
      </c>
      <c r="P49" s="51">
        <f>IF('Operating Metrics'!P44=0,"",'Operating Metrics'!P47/'Operating Metrics'!P44)</f>
        <v>0.23768161718256475</v>
      </c>
      <c r="Q49" s="51">
        <f>IF('Operating Metrics'!Q44=0,"",'Operating Metrics'!Q47/'Operating Metrics'!Q44)</f>
        <v>0.21498115577889448</v>
      </c>
      <c r="R49" s="51">
        <f>IF('Operating Metrics'!R44=0,"",'Operating Metrics'!R47/'Operating Metrics'!R44)</f>
        <v>0.21248462484624847</v>
      </c>
      <c r="S49" s="59"/>
      <c r="T49" s="59"/>
      <c r="U49" s="59"/>
      <c r="V49" s="59"/>
      <c r="W49" s="59"/>
      <c r="X49" s="59"/>
    </row>
    <row r="50" spans="1:24" ht="20" customHeight="1">
      <c r="A50" s="58" t="s">
        <v>66</v>
      </c>
      <c r="B50" s="45"/>
      <c r="C50" s="59"/>
      <c r="D50" s="61">
        <v>0.08</v>
      </c>
      <c r="E50" s="61">
        <v>-0.02</v>
      </c>
      <c r="F50" s="61">
        <v>-0.02</v>
      </c>
      <c r="G50" s="59"/>
      <c r="H50" s="61">
        <v>-1.4999999999999999E-2</v>
      </c>
      <c r="I50" s="61">
        <v>-0.02</v>
      </c>
      <c r="J50" s="61">
        <v>-0.02</v>
      </c>
      <c r="K50" s="61">
        <v>-0.02</v>
      </c>
      <c r="L50" s="61">
        <v>-0.02</v>
      </c>
      <c r="M50" s="61">
        <v>-0.02</v>
      </c>
      <c r="N50" s="61">
        <v>-0.03</v>
      </c>
      <c r="O50" s="61">
        <v>-0.01</v>
      </c>
      <c r="P50" s="61">
        <v>0.01</v>
      </c>
      <c r="Q50" s="61">
        <v>-0.02</v>
      </c>
      <c r="R50" s="61">
        <v>0</v>
      </c>
      <c r="S50" s="59"/>
      <c r="T50" s="59"/>
      <c r="U50" s="59"/>
      <c r="V50" s="59"/>
      <c r="W50" s="59"/>
      <c r="X50" s="59"/>
    </row>
    <row r="51" spans="1:24" ht="20" customHeight="1">
      <c r="A51" s="58" t="s">
        <v>77</v>
      </c>
      <c r="B51" s="45"/>
      <c r="C51" s="59"/>
      <c r="D51" s="61">
        <v>-0.02</v>
      </c>
      <c r="E51" s="61">
        <v>-0.05</v>
      </c>
      <c r="F51" s="61">
        <v>-0.02</v>
      </c>
      <c r="G51" s="59"/>
      <c r="H51" s="61">
        <v>-7.0000000000000007E-2</v>
      </c>
      <c r="I51" s="61">
        <v>-7.0000000000000007E-2</v>
      </c>
      <c r="J51" s="61">
        <v>-0.04</v>
      </c>
      <c r="K51" s="61">
        <v>-0.04</v>
      </c>
      <c r="L51" s="61">
        <v>-0.01</v>
      </c>
      <c r="M51" s="61">
        <v>-0.01</v>
      </c>
      <c r="N51" s="61">
        <v>-0.04</v>
      </c>
      <c r="O51" s="61">
        <v>-0.01</v>
      </c>
      <c r="P51" s="61">
        <v>0.02</v>
      </c>
      <c r="Q51" s="61">
        <v>0</v>
      </c>
      <c r="R51" s="61">
        <v>0</v>
      </c>
      <c r="S51" s="59"/>
      <c r="T51" s="59"/>
      <c r="U51" s="59"/>
      <c r="V51" s="59"/>
      <c r="W51" s="59"/>
      <c r="X51" s="59"/>
    </row>
    <row r="52" spans="1:24" ht="20" customHeight="1">
      <c r="A52" s="58" t="s">
        <v>133</v>
      </c>
      <c r="B52" s="45"/>
      <c r="C52" s="59"/>
      <c r="D52" s="61">
        <v>0.09</v>
      </c>
      <c r="E52" s="61">
        <v>0.02</v>
      </c>
      <c r="F52" s="61">
        <v>0.01</v>
      </c>
      <c r="G52" s="59"/>
      <c r="H52" s="61">
        <v>0.03</v>
      </c>
      <c r="I52" s="61">
        <v>0.03</v>
      </c>
      <c r="J52" s="61">
        <v>5.0000000000000001E-3</v>
      </c>
      <c r="K52" s="61">
        <v>1.4999999999999999E-2</v>
      </c>
      <c r="L52" s="61">
        <v>0.01</v>
      </c>
      <c r="M52" s="61">
        <v>0</v>
      </c>
      <c r="N52" s="61">
        <v>0.02</v>
      </c>
      <c r="O52" s="61">
        <v>0.01</v>
      </c>
      <c r="P52" s="61">
        <v>-0.01</v>
      </c>
      <c r="Q52" s="61">
        <v>-0.02</v>
      </c>
      <c r="R52" s="61">
        <v>-0.01</v>
      </c>
      <c r="S52" s="59"/>
      <c r="T52" s="59"/>
      <c r="U52" s="59"/>
      <c r="V52" s="59"/>
      <c r="W52" s="59"/>
      <c r="X52" s="59"/>
    </row>
    <row r="53" spans="1:24" ht="22" customHeight="1">
      <c r="A53" s="56" t="s">
        <v>101</v>
      </c>
      <c r="B53" s="45"/>
      <c r="C53" s="60">
        <v>1557</v>
      </c>
      <c r="D53" s="60">
        <v>1444</v>
      </c>
      <c r="E53" s="60">
        <v>1306</v>
      </c>
      <c r="F53" s="60">
        <v>1051</v>
      </c>
      <c r="G53" s="50"/>
      <c r="H53" s="60">
        <v>237</v>
      </c>
      <c r="I53" s="60">
        <v>298</v>
      </c>
      <c r="J53" s="60">
        <v>253</v>
      </c>
      <c r="K53" s="50">
        <f>'Operating Metrics'!E53-SUM('Operating Metrics'!H53,'Operating Metrics'!I53,'Operating Metrics'!J53)</f>
        <v>518</v>
      </c>
      <c r="L53" s="60">
        <v>195</v>
      </c>
      <c r="M53" s="60">
        <v>230</v>
      </c>
      <c r="N53" s="60">
        <v>220</v>
      </c>
      <c r="O53" s="50">
        <f>'Operating Metrics'!F53-SUM('Operating Metrics'!L53,'Operating Metrics'!M53,'Operating Metrics'!N53)</f>
        <v>406</v>
      </c>
      <c r="P53" s="60">
        <v>110</v>
      </c>
      <c r="Q53" s="60">
        <v>211</v>
      </c>
      <c r="R53" s="60">
        <v>214</v>
      </c>
      <c r="S53" s="50"/>
      <c r="T53" s="50"/>
      <c r="U53" s="50"/>
      <c r="V53" s="50"/>
      <c r="W53" s="50"/>
      <c r="X53" s="50"/>
    </row>
    <row r="54" spans="1:24" ht="20" customHeight="1">
      <c r="A54" s="58" t="s">
        <v>102</v>
      </c>
      <c r="B54" s="45"/>
      <c r="C54" s="51">
        <f>IF('Operating Metrics'!C44=0,"",'Operating Metrics'!C53/'Operating Metrics'!C44)</f>
        <v>5.8863559033684926E-2</v>
      </c>
      <c r="D54" s="51">
        <f>IF('Operating Metrics'!D44=0,"",'Operating Metrics'!D53/'Operating Metrics'!D44)</f>
        <v>5.1543815812957347E-2</v>
      </c>
      <c r="E54" s="51">
        <f>IF('Operating Metrics'!E44=0,"",'Operating Metrics'!E53/'Operating Metrics'!E44)</f>
        <v>4.7610367832014874E-2</v>
      </c>
      <c r="F54" s="51">
        <f>IF('Operating Metrics'!F44=0,"",'Operating Metrics'!F53/'Operating Metrics'!F44)</f>
        <v>3.8179308340598662E-2</v>
      </c>
      <c r="G54" s="59"/>
      <c r="H54" s="51">
        <f>IF('Operating Metrics'!H44=0,"",'Operating Metrics'!H53/'Operating Metrics'!H44)</f>
        <v>3.7805072579358751E-2</v>
      </c>
      <c r="I54" s="51">
        <f>IF('Operating Metrics'!I44=0,"",'Operating Metrics'!I53/'Operating Metrics'!I44)</f>
        <v>4.6309246309246307E-2</v>
      </c>
      <c r="J54" s="51">
        <f>IF('Operating Metrics'!J44=0,"",'Operating Metrics'!J53/'Operating Metrics'!J44)</f>
        <v>3.8708690330477358E-2</v>
      </c>
      <c r="K54" s="51">
        <f>IF('Operating Metrics'!K44=0,"",'Operating Metrics'!K53/'Operating Metrics'!K44)</f>
        <v>6.3240141618849957E-2</v>
      </c>
      <c r="L54" s="51">
        <f>IF('Operating Metrics'!L44=0,"",'Operating Metrics'!L53/'Operating Metrics'!L44)</f>
        <v>3.1385803959439885E-2</v>
      </c>
      <c r="M54" s="51">
        <f>IF('Operating Metrics'!M44=0,"",'Operating Metrics'!M53/'Operating Metrics'!M44)</f>
        <v>3.5515750463248917E-2</v>
      </c>
      <c r="N54" s="51">
        <f>IF('Operating Metrics'!N44=0,"",'Operating Metrics'!N53/'Operating Metrics'!N44)</f>
        <v>3.3711308611707021E-2</v>
      </c>
      <c r="O54" s="51">
        <f>IF('Operating Metrics'!O44=0,"",'Operating Metrics'!O53/'Operating Metrics'!O44)</f>
        <v>4.8839167568868039E-2</v>
      </c>
      <c r="P54" s="51">
        <f>IF('Operating Metrics'!P44=0,"",'Operating Metrics'!P53/'Operating Metrics'!P44)</f>
        <v>1.737207833228048E-2</v>
      </c>
      <c r="Q54" s="51">
        <f>IF('Operating Metrics'!Q44=0,"",'Operating Metrics'!Q53/'Operating Metrics'!Q44)</f>
        <v>3.3134422110552765E-2</v>
      </c>
      <c r="R54" s="51">
        <f>IF('Operating Metrics'!R44=0,"",'Operating Metrics'!R53/'Operating Metrics'!R44)</f>
        <v>3.2902829028290281E-2</v>
      </c>
      <c r="S54" s="59"/>
      <c r="T54" s="59"/>
      <c r="U54" s="59"/>
      <c r="V54" s="59"/>
      <c r="W54" s="59"/>
      <c r="X54" s="59"/>
    </row>
    <row r="55" spans="1:24" ht="22" customHeight="1">
      <c r="A55" s="56" t="s">
        <v>138</v>
      </c>
      <c r="B55" s="45"/>
      <c r="C55" s="60">
        <v>700</v>
      </c>
      <c r="D55" s="60">
        <v>787</v>
      </c>
      <c r="E55" s="60">
        <v>852</v>
      </c>
      <c r="F55" s="50"/>
      <c r="G55" s="50"/>
      <c r="H55" s="60">
        <v>189</v>
      </c>
      <c r="I55" s="60">
        <v>185</v>
      </c>
      <c r="J55" s="60">
        <v>190</v>
      </c>
      <c r="K55" s="50">
        <f>'Operating Metrics'!E55-SUM('Operating Metrics'!H55,'Operating Metrics'!I55,'Operating Metrics'!J55)</f>
        <v>288</v>
      </c>
      <c r="L55" s="60">
        <v>206</v>
      </c>
      <c r="M55" s="60">
        <v>226</v>
      </c>
      <c r="N55" s="60">
        <v>233</v>
      </c>
      <c r="O55" s="50"/>
      <c r="P55" s="50"/>
      <c r="Q55" s="50"/>
      <c r="R55" s="50"/>
      <c r="S55" s="50"/>
      <c r="T55" s="50"/>
      <c r="U55" s="50"/>
      <c r="V55" s="50"/>
      <c r="W55" s="50"/>
      <c r="X55" s="50"/>
    </row>
    <row r="56" spans="1:24" ht="22" customHeight="1">
      <c r="A56" s="56" t="s">
        <v>139</v>
      </c>
      <c r="B56" s="45"/>
      <c r="C56" s="60">
        <v>11</v>
      </c>
      <c r="D56" s="60">
        <v>11</v>
      </c>
      <c r="E56" s="60">
        <v>10</v>
      </c>
      <c r="F56" s="50"/>
      <c r="G56" s="50"/>
      <c r="H56" s="60">
        <v>3</v>
      </c>
      <c r="I56" s="60">
        <v>3</v>
      </c>
      <c r="J56" s="60">
        <v>2</v>
      </c>
      <c r="K56" s="50">
        <f>'Operating Metrics'!E56-SUM('Operating Metrics'!H56,'Operating Metrics'!I56,'Operating Metrics'!J56)</f>
        <v>2</v>
      </c>
      <c r="L56" s="60">
        <v>4</v>
      </c>
      <c r="M56" s="60">
        <v>4</v>
      </c>
      <c r="N56" s="60">
        <v>4</v>
      </c>
      <c r="O56" s="50"/>
      <c r="P56" s="50"/>
      <c r="Q56" s="50"/>
      <c r="R56" s="50"/>
      <c r="S56" s="50"/>
      <c r="T56" s="50"/>
      <c r="U56" s="50"/>
      <c r="V56" s="50"/>
      <c r="W56" s="50"/>
      <c r="X56" s="50"/>
    </row>
    <row r="57" spans="1:24" ht="22" customHeight="1">
      <c r="A57" s="56" t="s">
        <v>136</v>
      </c>
      <c r="B57" s="45"/>
      <c r="C57" s="50">
        <f>'Operating Metrics'!C55+'Operating Metrics'!C56</f>
        <v>711</v>
      </c>
      <c r="D57" s="60">
        <v>798</v>
      </c>
      <c r="E57" s="60">
        <v>862</v>
      </c>
      <c r="F57" s="60">
        <v>969</v>
      </c>
      <c r="G57" s="50"/>
      <c r="H57" s="50">
        <f>'Operating Metrics'!H55+'Operating Metrics'!H56</f>
        <v>192</v>
      </c>
      <c r="I57" s="50">
        <f>'Operating Metrics'!I55+'Operating Metrics'!I56</f>
        <v>188</v>
      </c>
      <c r="J57" s="50">
        <f>'Operating Metrics'!J55+'Operating Metrics'!J56</f>
        <v>192</v>
      </c>
      <c r="K57" s="50">
        <f>'Operating Metrics'!E57-SUM('Operating Metrics'!H57,'Operating Metrics'!I57,'Operating Metrics'!J57)</f>
        <v>290</v>
      </c>
      <c r="L57" s="60">
        <v>210</v>
      </c>
      <c r="M57" s="60">
        <v>230</v>
      </c>
      <c r="N57" s="60">
        <v>237</v>
      </c>
      <c r="O57" s="50">
        <f>'Operating Metrics'!F57-SUM('Operating Metrics'!L57,'Operating Metrics'!M57,'Operating Metrics'!N57)</f>
        <v>292</v>
      </c>
      <c r="P57" s="60">
        <v>227</v>
      </c>
      <c r="Q57" s="60">
        <v>229</v>
      </c>
      <c r="R57" s="60">
        <v>224</v>
      </c>
      <c r="S57" s="50"/>
      <c r="T57" s="50"/>
      <c r="U57" s="50"/>
      <c r="V57" s="50"/>
      <c r="W57" s="50"/>
      <c r="X57" s="50"/>
    </row>
    <row r="58" spans="1:24" ht="22" customHeight="1">
      <c r="A58" s="56" t="s">
        <v>103</v>
      </c>
      <c r="B58" s="45"/>
      <c r="C58" s="54">
        <f>IF('Operating Metrics'!C57=0,"",'Operating Metrics'!C53/'Operating Metrics'!C57)</f>
        <v>2.1898734177215191</v>
      </c>
      <c r="D58" s="54">
        <f>IF('Operating Metrics'!D57=0,"",'Operating Metrics'!D53/'Operating Metrics'!D57)</f>
        <v>1.8095238095238095</v>
      </c>
      <c r="E58" s="54">
        <f>IF('Operating Metrics'!E57=0,"",'Operating Metrics'!E53/'Operating Metrics'!E57)</f>
        <v>1.5150812064965198</v>
      </c>
      <c r="F58" s="54">
        <f>IF('Operating Metrics'!F57=0,"",'Operating Metrics'!F53/'Operating Metrics'!F57)</f>
        <v>1.0846233230134159</v>
      </c>
      <c r="G58" s="54"/>
      <c r="H58" s="54">
        <f>IF('Operating Metrics'!H57=0,"",'Operating Metrics'!H53/'Operating Metrics'!H57)</f>
        <v>1.234375</v>
      </c>
      <c r="I58" s="54">
        <f>IF('Operating Metrics'!I57=0,"",'Operating Metrics'!I53/'Operating Metrics'!I57)</f>
        <v>1.5851063829787233</v>
      </c>
      <c r="J58" s="54">
        <f>IF('Operating Metrics'!J57=0,"",'Operating Metrics'!J53/'Operating Metrics'!J57)</f>
        <v>1.3177083333333333</v>
      </c>
      <c r="K58" s="54">
        <f>IF('Operating Metrics'!K57=0,"",'Operating Metrics'!K53/'Operating Metrics'!K57)</f>
        <v>1.7862068965517242</v>
      </c>
      <c r="L58" s="54">
        <f>IF('Operating Metrics'!L57=0,"",'Operating Metrics'!L53/'Operating Metrics'!L57)</f>
        <v>0.9285714285714286</v>
      </c>
      <c r="M58" s="54">
        <f>IF('Operating Metrics'!M57=0,"",'Operating Metrics'!M53/'Operating Metrics'!M57)</f>
        <v>1</v>
      </c>
      <c r="N58" s="54">
        <f>IF('Operating Metrics'!N57=0,"",'Operating Metrics'!N53/'Operating Metrics'!N57)</f>
        <v>0.92827004219409281</v>
      </c>
      <c r="O58" s="54">
        <f>IF('Operating Metrics'!O57=0,"",'Operating Metrics'!O53/'Operating Metrics'!O57)</f>
        <v>1.3904109589041096</v>
      </c>
      <c r="P58" s="54">
        <f>IF('Operating Metrics'!P57=0,"",'Operating Metrics'!P53/'Operating Metrics'!P57)</f>
        <v>0.48458149779735682</v>
      </c>
      <c r="Q58" s="54">
        <f>IF('Operating Metrics'!Q57=0,"",'Operating Metrics'!Q53/'Operating Metrics'!Q57)</f>
        <v>0.92139737991266379</v>
      </c>
      <c r="R58" s="54">
        <f>IF('Operating Metrics'!R57=0,"",'Operating Metrics'!R53/'Operating Metrics'!R57)</f>
        <v>0.9553571428571429</v>
      </c>
      <c r="S58" s="54"/>
      <c r="T58" s="54"/>
      <c r="U58" s="54"/>
      <c r="V58" s="54"/>
      <c r="W58" s="54"/>
      <c r="X58" s="54"/>
    </row>
    <row r="59" spans="1:24" ht="24" customHeight="1">
      <c r="A59" s="172" t="s">
        <v>88</v>
      </c>
      <c r="B59" s="172"/>
      <c r="C59" s="172"/>
      <c r="D59" s="172"/>
      <c r="E59" s="172"/>
      <c r="F59" s="172"/>
      <c r="G59" s="172"/>
      <c r="H59" s="172"/>
      <c r="I59" s="172"/>
      <c r="J59" s="172"/>
      <c r="K59" s="172"/>
      <c r="L59" s="172"/>
      <c r="M59" s="172"/>
      <c r="N59" s="172"/>
      <c r="O59" s="172"/>
      <c r="P59" s="172"/>
      <c r="Q59" s="172"/>
      <c r="R59" s="172"/>
      <c r="S59" s="172"/>
      <c r="T59" s="172"/>
      <c r="U59" s="172"/>
      <c r="V59" s="172"/>
      <c r="W59" s="172"/>
      <c r="X59" s="172"/>
    </row>
    <row r="60" spans="1:24" ht="22" customHeight="1">
      <c r="A60" s="56" t="s">
        <v>63</v>
      </c>
      <c r="B60" s="45"/>
      <c r="C60" s="60">
        <v>26213</v>
      </c>
      <c r="D60" s="60">
        <v>27626</v>
      </c>
      <c r="E60" s="60">
        <v>27769</v>
      </c>
      <c r="F60" s="60">
        <v>28197</v>
      </c>
      <c r="G60" s="50"/>
      <c r="H60" s="60">
        <v>5874</v>
      </c>
      <c r="I60" s="60">
        <v>6811</v>
      </c>
      <c r="J60" s="60">
        <v>7175</v>
      </c>
      <c r="K60" s="60">
        <v>7909</v>
      </c>
      <c r="L60" s="60">
        <v>5876</v>
      </c>
      <c r="M60" s="60">
        <v>6796</v>
      </c>
      <c r="N60" s="60">
        <v>7327</v>
      </c>
      <c r="O60" s="60">
        <v>8198</v>
      </c>
      <c r="P60" s="60">
        <v>6391</v>
      </c>
      <c r="Q60" s="60">
        <v>7243</v>
      </c>
      <c r="R60" s="60">
        <v>7706</v>
      </c>
      <c r="S60" s="50"/>
      <c r="T60" s="50"/>
      <c r="U60" s="50"/>
      <c r="V60" s="50"/>
      <c r="W60" s="50"/>
      <c r="X60" s="50"/>
    </row>
    <row r="61" spans="1:24" ht="20" customHeight="1">
      <c r="A61" s="58" t="s">
        <v>83</v>
      </c>
      <c r="B61" s="45"/>
      <c r="C61" s="59"/>
      <c r="D61" s="51">
        <f>IF(OR('Operating Metrics'!C60&lt;=0,'Operating Metrics'!D60&lt;0),"",'Operating Metrics'!D60/'Operating Metrics'!C60-1)</f>
        <v>5.3904551176896964E-2</v>
      </c>
      <c r="E61" s="51">
        <f>IF(OR('Operating Metrics'!D60&lt;=0,'Operating Metrics'!E60&lt;0),"",'Operating Metrics'!E60/'Operating Metrics'!D60-1)</f>
        <v>5.1762832114674584E-3</v>
      </c>
      <c r="F61" s="51">
        <f>IF(OR('Operating Metrics'!E60&lt;=0,'Operating Metrics'!F60&lt;0),"",'Operating Metrics'!F60/'Operating Metrics'!E60-1)</f>
        <v>1.5412870467067519E-2</v>
      </c>
      <c r="G61" s="59"/>
      <c r="H61" s="59"/>
      <c r="I61" s="59"/>
      <c r="J61" s="59"/>
      <c r="K61" s="59"/>
      <c r="L61" s="51">
        <f>IF(OR('Operating Metrics'!H60&lt;=0,'Operating Metrics'!L60&lt;0),"",'Operating Metrics'!L60/'Operating Metrics'!H60-1)</f>
        <v>3.4048348655080218E-4</v>
      </c>
      <c r="M61" s="51">
        <f>IF(OR('Operating Metrics'!I60&lt;=0,'Operating Metrics'!M60&lt;0),"",'Operating Metrics'!M60/'Operating Metrics'!I60-1)</f>
        <v>-2.2023197768316072E-3</v>
      </c>
      <c r="N61" s="51">
        <f>IF(OR('Operating Metrics'!J60&lt;=0,'Operating Metrics'!N60&lt;0),"",'Operating Metrics'!N60/'Operating Metrics'!J60-1)</f>
        <v>2.1184668989546962E-2</v>
      </c>
      <c r="O61" s="51">
        <f>IF(OR('Operating Metrics'!K60&lt;=0,'Operating Metrics'!O60&lt;0),"",'Operating Metrics'!O60/'Operating Metrics'!K60-1)</f>
        <v>3.6540649892527588E-2</v>
      </c>
      <c r="P61" s="51">
        <f>IF(OR('Operating Metrics'!L60&lt;=0,'Operating Metrics'!P60&lt;0),"",'Operating Metrics'!P60/'Operating Metrics'!L60-1)</f>
        <v>8.7644656228726969E-2</v>
      </c>
      <c r="Q61" s="51">
        <f>IF(OR('Operating Metrics'!M60&lt;=0,'Operating Metrics'!Q60&lt;0),"",'Operating Metrics'!Q60/'Operating Metrics'!M60-1)</f>
        <v>6.5773984696880561E-2</v>
      </c>
      <c r="R61" s="51">
        <f>IF(OR('Operating Metrics'!N60&lt;=0,'Operating Metrics'!R60&lt;0),"",'Operating Metrics'!R60/'Operating Metrics'!N60-1)</f>
        <v>5.1726491060461344E-2</v>
      </c>
      <c r="S61" s="59"/>
      <c r="T61" s="59"/>
      <c r="U61" s="59"/>
      <c r="V61" s="59"/>
      <c r="W61" s="59"/>
      <c r="X61" s="59"/>
    </row>
    <row r="62" spans="1:24" ht="22" customHeight="1">
      <c r="A62" s="56" t="s">
        <v>87</v>
      </c>
      <c r="B62" s="45"/>
      <c r="C62" s="60">
        <v>5426</v>
      </c>
      <c r="D62" s="60">
        <v>2584</v>
      </c>
      <c r="E62" s="60">
        <v>2302</v>
      </c>
      <c r="F62" s="60">
        <v>1089</v>
      </c>
      <c r="G62" s="50"/>
      <c r="H62" s="60">
        <v>510</v>
      </c>
      <c r="I62" s="60">
        <v>987</v>
      </c>
      <c r="J62" s="60">
        <v>914</v>
      </c>
      <c r="K62" s="60">
        <v>-109</v>
      </c>
      <c r="L62" s="60">
        <v>460</v>
      </c>
      <c r="M62" s="60">
        <v>-639</v>
      </c>
      <c r="N62" s="60">
        <v>729</v>
      </c>
      <c r="O62" s="60">
        <v>539</v>
      </c>
      <c r="P62" s="60">
        <v>736</v>
      </c>
      <c r="Q62" s="60">
        <v>1053</v>
      </c>
      <c r="R62" s="60">
        <v>1056</v>
      </c>
      <c r="S62" s="50"/>
      <c r="T62" s="50"/>
      <c r="U62" s="50"/>
      <c r="V62" s="50"/>
      <c r="W62" s="50"/>
      <c r="X62" s="50"/>
    </row>
    <row r="63" spans="1:24" ht="22" customHeight="1">
      <c r="A63" s="56" t="s">
        <v>84</v>
      </c>
      <c r="B63" s="45"/>
      <c r="C63" s="50"/>
      <c r="D63" s="60">
        <v>2962</v>
      </c>
      <c r="E63" s="60">
        <v>3104</v>
      </c>
      <c r="F63" s="60">
        <v>3285</v>
      </c>
      <c r="G63" s="50"/>
      <c r="H63" s="60">
        <v>522</v>
      </c>
      <c r="I63" s="60">
        <v>992</v>
      </c>
      <c r="J63" s="60">
        <v>1047</v>
      </c>
      <c r="K63" s="60">
        <v>543</v>
      </c>
      <c r="L63" s="60">
        <v>595</v>
      </c>
      <c r="M63" s="60">
        <v>994</v>
      </c>
      <c r="N63" s="60">
        <v>975</v>
      </c>
      <c r="O63" s="60">
        <v>721</v>
      </c>
      <c r="P63" s="60">
        <v>639</v>
      </c>
      <c r="Q63" s="60">
        <v>992</v>
      </c>
      <c r="R63" s="60">
        <v>1012</v>
      </c>
      <c r="S63" s="50"/>
      <c r="T63" s="50"/>
      <c r="U63" s="50"/>
      <c r="V63" s="50"/>
      <c r="W63" s="50"/>
      <c r="X63" s="50"/>
    </row>
    <row r="64" spans="1:24" ht="20" customHeight="1">
      <c r="A64" s="58" t="s">
        <v>85</v>
      </c>
      <c r="B64" s="45"/>
      <c r="C64" s="59"/>
      <c r="D64" s="59"/>
      <c r="E64" s="51">
        <f>IF(OR('Operating Metrics'!D63&lt;=0,'Operating Metrics'!E63&lt;0),"",'Operating Metrics'!E63/'Operating Metrics'!D63-1)</f>
        <v>4.7940580688723866E-2</v>
      </c>
      <c r="F64" s="51">
        <f>IF(OR('Operating Metrics'!E63&lt;=0,'Operating Metrics'!F63&lt;0),"",'Operating Metrics'!F63/'Operating Metrics'!E63-1)</f>
        <v>5.8311855670102997E-2</v>
      </c>
      <c r="G64" s="59"/>
      <c r="H64" s="59"/>
      <c r="I64" s="59"/>
      <c r="J64" s="59"/>
      <c r="K64" s="59"/>
      <c r="L64" s="51">
        <f>IF(OR('Operating Metrics'!H63&lt;=0,'Operating Metrics'!L63&lt;0),"",'Operating Metrics'!L63/'Operating Metrics'!H63-1)</f>
        <v>0.13984674329501923</v>
      </c>
      <c r="M64" s="51">
        <f>IF(OR('Operating Metrics'!I63&lt;=0,'Operating Metrics'!M63&lt;0),"",'Operating Metrics'!M63/'Operating Metrics'!I63-1)</f>
        <v>2.0161290322580072E-3</v>
      </c>
      <c r="N64" s="51">
        <f>IF(OR('Operating Metrics'!J63&lt;=0,'Operating Metrics'!N63&lt;0),"",'Operating Metrics'!N63/'Operating Metrics'!J63-1)</f>
        <v>-6.8767908309455561E-2</v>
      </c>
      <c r="O64" s="51">
        <f>IF(OR('Operating Metrics'!K63&lt;=0,'Operating Metrics'!O63&lt;0),"",'Operating Metrics'!O63/'Operating Metrics'!K63-1)</f>
        <v>0.32780847145488035</v>
      </c>
      <c r="P64" s="51">
        <f>IF(OR('Operating Metrics'!L63&lt;=0,'Operating Metrics'!P63&lt;0),"",'Operating Metrics'!P63/'Operating Metrics'!L63-1)</f>
        <v>7.3949579831932732E-2</v>
      </c>
      <c r="Q64" s="51">
        <f>IF(OR('Operating Metrics'!M63&lt;=0,'Operating Metrics'!Q63&lt;0),"",'Operating Metrics'!Q63/'Operating Metrics'!M63-1)</f>
        <v>-2.0120724346076591E-3</v>
      </c>
      <c r="R64" s="51">
        <f>IF(OR('Operating Metrics'!N63&lt;=0,'Operating Metrics'!R63&lt;0),"",'Operating Metrics'!R63/'Operating Metrics'!N63-1)</f>
        <v>3.7948717948717903E-2</v>
      </c>
      <c r="S64" s="59"/>
      <c r="T64" s="59"/>
      <c r="U64" s="59"/>
      <c r="V64" s="59"/>
      <c r="W64" s="59"/>
      <c r="X64" s="59"/>
    </row>
    <row r="65" spans="1:24" ht="20" customHeight="1">
      <c r="A65" s="58" t="s">
        <v>86</v>
      </c>
      <c r="B65" s="45"/>
      <c r="C65" s="59"/>
      <c r="D65" s="51">
        <f>IF('Operating Metrics'!D60=0,"",'Operating Metrics'!D63/'Operating Metrics'!D60)</f>
        <v>0.10721783826829798</v>
      </c>
      <c r="E65" s="51">
        <f>IF('Operating Metrics'!E60=0,"",'Operating Metrics'!E63/'Operating Metrics'!E60)</f>
        <v>0.11177932226583601</v>
      </c>
      <c r="F65" s="51">
        <f>IF('Operating Metrics'!F60=0,"",'Operating Metrics'!F63/'Operating Metrics'!F60)</f>
        <v>0.11650175550590489</v>
      </c>
      <c r="G65" s="59"/>
      <c r="H65" s="51">
        <f>IF('Operating Metrics'!H60=0,"",'Operating Metrics'!H63/'Operating Metrics'!H60)</f>
        <v>8.8866189989785502E-2</v>
      </c>
      <c r="I65" s="51">
        <f>IF('Operating Metrics'!I60=0,"",'Operating Metrics'!I63/'Operating Metrics'!I60)</f>
        <v>0.14564674790779622</v>
      </c>
      <c r="J65" s="51">
        <f>IF('Operating Metrics'!J60=0,"",'Operating Metrics'!J63/'Operating Metrics'!J60)</f>
        <v>0.14592334494773518</v>
      </c>
      <c r="K65" s="51">
        <f>IF('Operating Metrics'!K60=0,"",'Operating Metrics'!K63/'Operating Metrics'!K60)</f>
        <v>6.8655961562776577E-2</v>
      </c>
      <c r="L65" s="51">
        <f>IF('Operating Metrics'!L60=0,"",'Operating Metrics'!L63/'Operating Metrics'!L60)</f>
        <v>0.10125936010891763</v>
      </c>
      <c r="M65" s="51">
        <f>IF('Operating Metrics'!M60=0,"",'Operating Metrics'!M63/'Operating Metrics'!M60)</f>
        <v>0.14626250735726898</v>
      </c>
      <c r="N65" s="51">
        <f>IF('Operating Metrics'!N60=0,"",'Operating Metrics'!N63/'Operating Metrics'!N60)</f>
        <v>0.13306946908693873</v>
      </c>
      <c r="O65" s="51">
        <f>IF('Operating Metrics'!O60=0,"",'Operating Metrics'!O63/'Operating Metrics'!O60)</f>
        <v>8.7948280068309348E-2</v>
      </c>
      <c r="P65" s="51">
        <f>IF('Operating Metrics'!P60=0,"",'Operating Metrics'!P63/'Operating Metrics'!P60)</f>
        <v>9.9984352996401182E-2</v>
      </c>
      <c r="Q65" s="51">
        <f>IF('Operating Metrics'!Q60=0,"",'Operating Metrics'!Q63/'Operating Metrics'!Q60)</f>
        <v>0.13695982327764739</v>
      </c>
      <c r="R65" s="51">
        <f>IF('Operating Metrics'!R60=0,"",'Operating Metrics'!R63/'Operating Metrics'!R60)</f>
        <v>0.13132623929405657</v>
      </c>
      <c r="S65" s="59"/>
      <c r="T65" s="59"/>
      <c r="U65" s="59"/>
      <c r="V65" s="59"/>
      <c r="W65" s="59"/>
      <c r="X65" s="59"/>
    </row>
    <row r="66" spans="1:24" ht="20" customHeight="1">
      <c r="A66" s="58" t="s">
        <v>66</v>
      </c>
      <c r="B66" s="45"/>
      <c r="C66" s="59"/>
      <c r="D66" s="61">
        <v>7.0000000000000007E-2</v>
      </c>
      <c r="E66" s="61">
        <v>0.01</v>
      </c>
      <c r="F66" s="61">
        <v>0.01</v>
      </c>
      <c r="G66" s="59"/>
      <c r="H66" s="61">
        <v>0.01</v>
      </c>
      <c r="I66" s="61">
        <v>0.01</v>
      </c>
      <c r="J66" s="61">
        <v>0.01</v>
      </c>
      <c r="K66" s="61">
        <v>0</v>
      </c>
      <c r="L66" s="61">
        <v>0.01</v>
      </c>
      <c r="M66" s="61">
        <v>0.01</v>
      </c>
      <c r="N66" s="61">
        <v>0.02</v>
      </c>
      <c r="O66" s="61">
        <v>0.02</v>
      </c>
      <c r="P66" s="61">
        <v>0.02</v>
      </c>
      <c r="Q66" s="61">
        <v>0.01</v>
      </c>
      <c r="R66" s="61">
        <v>0</v>
      </c>
      <c r="S66" s="59"/>
      <c r="T66" s="59"/>
      <c r="U66" s="59"/>
      <c r="V66" s="59"/>
      <c r="W66" s="59"/>
      <c r="X66" s="59"/>
    </row>
    <row r="67" spans="1:24" ht="20" customHeight="1">
      <c r="A67" s="58" t="s">
        <v>78</v>
      </c>
      <c r="B67" s="45"/>
      <c r="C67" s="59"/>
      <c r="D67" s="61">
        <v>-0.05</v>
      </c>
      <c r="E67" s="61">
        <v>-0.03</v>
      </c>
      <c r="F67" s="61">
        <v>-0.03</v>
      </c>
      <c r="G67" s="59"/>
      <c r="H67" s="61">
        <v>-0.05</v>
      </c>
      <c r="I67" s="61">
        <v>-0.03</v>
      </c>
      <c r="J67" s="61">
        <v>-0.03</v>
      </c>
      <c r="K67" s="61">
        <v>-0.03</v>
      </c>
      <c r="L67" s="61">
        <v>-0.03</v>
      </c>
      <c r="M67" s="61">
        <v>-0.02</v>
      </c>
      <c r="N67" s="61">
        <v>-0.03</v>
      </c>
      <c r="O67" s="61">
        <v>-0.04</v>
      </c>
      <c r="P67" s="61">
        <v>-2.5000000000000001E-2</v>
      </c>
      <c r="Q67" s="61">
        <v>-0.04</v>
      </c>
      <c r="R67" s="61">
        <v>-0.02</v>
      </c>
      <c r="S67" s="59"/>
      <c r="T67" s="59"/>
      <c r="U67" s="59"/>
      <c r="V67" s="59"/>
      <c r="W67" s="59"/>
      <c r="X67" s="59"/>
    </row>
    <row r="68" spans="1:24" ht="20" customHeight="1">
      <c r="A68" s="58" t="s">
        <v>133</v>
      </c>
      <c r="B68" s="45"/>
      <c r="C68" s="59"/>
      <c r="D68" s="61">
        <v>0.12</v>
      </c>
      <c r="E68" s="61">
        <v>0.04</v>
      </c>
      <c r="F68" s="61">
        <v>0.05</v>
      </c>
      <c r="G68" s="59"/>
      <c r="H68" s="61">
        <v>0.06</v>
      </c>
      <c r="I68" s="61">
        <v>0.05</v>
      </c>
      <c r="J68" s="61">
        <v>0.03</v>
      </c>
      <c r="K68" s="61">
        <v>0.03</v>
      </c>
      <c r="L68" s="61">
        <v>0.02</v>
      </c>
      <c r="M68" s="61">
        <v>4.4999999999999998E-2</v>
      </c>
      <c r="N68" s="61">
        <v>0.06</v>
      </c>
      <c r="O68" s="61">
        <v>7.0000000000000007E-2</v>
      </c>
      <c r="P68" s="61">
        <v>0.06</v>
      </c>
      <c r="Q68" s="61">
        <v>0.03</v>
      </c>
      <c r="R68" s="61">
        <v>0.03</v>
      </c>
      <c r="S68" s="59"/>
      <c r="T68" s="59"/>
      <c r="U68" s="59"/>
      <c r="V68" s="59"/>
      <c r="W68" s="59"/>
      <c r="X68" s="59"/>
    </row>
    <row r="69" spans="1:24" ht="22" customHeight="1">
      <c r="A69" s="56" t="s">
        <v>101</v>
      </c>
      <c r="B69" s="45"/>
      <c r="C69" s="60">
        <v>1714</v>
      </c>
      <c r="D69" s="60">
        <v>1723</v>
      </c>
      <c r="E69" s="60">
        <v>1541</v>
      </c>
      <c r="F69" s="60">
        <v>1344</v>
      </c>
      <c r="G69" s="50"/>
      <c r="H69" s="60">
        <v>180</v>
      </c>
      <c r="I69" s="60">
        <v>298</v>
      </c>
      <c r="J69" s="60">
        <v>313</v>
      </c>
      <c r="K69" s="50">
        <f>'Operating Metrics'!E69-SUM('Operating Metrics'!H69,'Operating Metrics'!I69,'Operating Metrics'!J69)</f>
        <v>750</v>
      </c>
      <c r="L69" s="60">
        <v>248</v>
      </c>
      <c r="M69" s="60">
        <v>283</v>
      </c>
      <c r="N69" s="60">
        <v>278</v>
      </c>
      <c r="O69" s="50">
        <f>'Operating Metrics'!F69-SUM('Operating Metrics'!L69,'Operating Metrics'!M69,'Operating Metrics'!N69)</f>
        <v>535</v>
      </c>
      <c r="P69" s="60">
        <v>183</v>
      </c>
      <c r="Q69" s="60">
        <v>261</v>
      </c>
      <c r="R69" s="60">
        <v>321</v>
      </c>
      <c r="S69" s="50"/>
      <c r="T69" s="50"/>
      <c r="U69" s="50"/>
      <c r="V69" s="50"/>
      <c r="W69" s="50"/>
      <c r="X69" s="50"/>
    </row>
    <row r="70" spans="1:24" ht="20" customHeight="1">
      <c r="A70" s="58" t="s">
        <v>102</v>
      </c>
      <c r="B70" s="45"/>
      <c r="C70" s="51">
        <f>IF('Operating Metrics'!C60=0,"",'Operating Metrics'!C69/'Operating Metrics'!C60)</f>
        <v>6.5387403196887045E-2</v>
      </c>
      <c r="D70" s="51">
        <f>IF('Operating Metrics'!D60=0,"",'Operating Metrics'!D69/'Operating Metrics'!D60)</f>
        <v>6.2368783030478533E-2</v>
      </c>
      <c r="E70" s="51">
        <f>IF('Operating Metrics'!E60=0,"",'Operating Metrics'!E69/'Operating Metrics'!E60)</f>
        <v>5.5493535957362526E-2</v>
      </c>
      <c r="F70" s="51">
        <f>IF('Operating Metrics'!F60=0,"",'Operating Metrics'!F69/'Operating Metrics'!F60)</f>
        <v>4.7664645175018616E-2</v>
      </c>
      <c r="G70" s="59"/>
      <c r="H70" s="51">
        <f>IF('Operating Metrics'!H60=0,"",'Operating Metrics'!H69/'Operating Metrics'!H60)</f>
        <v>3.0643513789581207E-2</v>
      </c>
      <c r="I70" s="51">
        <f>IF('Operating Metrics'!I60=0,"",'Operating Metrics'!I69/'Operating Metrics'!I60)</f>
        <v>4.375275289972104E-2</v>
      </c>
      <c r="J70" s="51">
        <f>IF('Operating Metrics'!J60=0,"",'Operating Metrics'!J69/'Operating Metrics'!J60)</f>
        <v>4.362369337979094E-2</v>
      </c>
      <c r="K70" s="51">
        <f>IF('Operating Metrics'!K60=0,"",'Operating Metrics'!K69/'Operating Metrics'!K60)</f>
        <v>9.4828676191680367E-2</v>
      </c>
      <c r="L70" s="51">
        <f>IF('Operating Metrics'!L60=0,"",'Operating Metrics'!L69/'Operating Metrics'!L60)</f>
        <v>4.2205582028590878E-2</v>
      </c>
      <c r="M70" s="51">
        <f>IF('Operating Metrics'!M60=0,"",'Operating Metrics'!M69/'Operating Metrics'!M60)</f>
        <v>4.1642142436727488E-2</v>
      </c>
      <c r="N70" s="51">
        <f>IF('Operating Metrics'!N60=0,"",'Operating Metrics'!N69/'Operating Metrics'!N60)</f>
        <v>3.7941858878122015E-2</v>
      </c>
      <c r="O70" s="51">
        <f>IF('Operating Metrics'!O60=0,"",'Operating Metrics'!O69/'Operating Metrics'!O60)</f>
        <v>6.5259819468162963E-2</v>
      </c>
      <c r="P70" s="51">
        <f>IF('Operating Metrics'!P60=0,"",'Operating Metrics'!P69/'Operating Metrics'!P60)</f>
        <v>2.8634016585823815E-2</v>
      </c>
      <c r="Q70" s="51">
        <f>IF('Operating Metrics'!Q60=0,"",'Operating Metrics'!Q69/'Operating Metrics'!Q60)</f>
        <v>3.6034792213171338E-2</v>
      </c>
      <c r="R70" s="51">
        <f>IF('Operating Metrics'!R60=0,"",'Operating Metrics'!R69/'Operating Metrics'!R60)</f>
        <v>4.165585258240332E-2</v>
      </c>
      <c r="S70" s="59"/>
      <c r="T70" s="59"/>
      <c r="U70" s="59"/>
      <c r="V70" s="59"/>
      <c r="W70" s="59"/>
      <c r="X70" s="59"/>
    </row>
    <row r="71" spans="1:24" ht="22" customHeight="1">
      <c r="A71" s="56" t="s">
        <v>138</v>
      </c>
      <c r="B71" s="45"/>
      <c r="C71" s="60">
        <v>930</v>
      </c>
      <c r="D71" s="60">
        <v>1003</v>
      </c>
      <c r="E71" s="60">
        <v>1047</v>
      </c>
      <c r="F71" s="50"/>
      <c r="G71" s="50"/>
      <c r="H71" s="60">
        <v>236</v>
      </c>
      <c r="I71" s="60">
        <v>243</v>
      </c>
      <c r="J71" s="60">
        <v>234</v>
      </c>
      <c r="K71" s="50">
        <f>'Operating Metrics'!E71-SUM('Operating Metrics'!H71,'Operating Metrics'!I71,'Operating Metrics'!J71)</f>
        <v>334</v>
      </c>
      <c r="L71" s="60">
        <v>248</v>
      </c>
      <c r="M71" s="60">
        <v>236</v>
      </c>
      <c r="N71" s="60">
        <v>229</v>
      </c>
      <c r="O71" s="50"/>
      <c r="P71" s="50"/>
      <c r="Q71" s="50"/>
      <c r="R71" s="50"/>
      <c r="S71" s="50"/>
      <c r="T71" s="50"/>
      <c r="U71" s="50"/>
      <c r="V71" s="50"/>
      <c r="W71" s="50"/>
      <c r="X71" s="50"/>
    </row>
    <row r="72" spans="1:24" ht="22" customHeight="1">
      <c r="A72" s="56" t="s">
        <v>139</v>
      </c>
      <c r="B72" s="45"/>
      <c r="C72" s="60">
        <v>22</v>
      </c>
      <c r="D72" s="60">
        <v>22</v>
      </c>
      <c r="E72" s="60">
        <v>22</v>
      </c>
      <c r="F72" s="50"/>
      <c r="G72" s="50"/>
      <c r="H72" s="60">
        <v>5</v>
      </c>
      <c r="I72" s="60">
        <v>5</v>
      </c>
      <c r="J72" s="60">
        <v>5</v>
      </c>
      <c r="K72" s="50">
        <f>'Operating Metrics'!E72-SUM('Operating Metrics'!H72,'Operating Metrics'!I72,'Operating Metrics'!J72)</f>
        <v>7</v>
      </c>
      <c r="L72" s="60">
        <v>5</v>
      </c>
      <c r="M72" s="60">
        <v>5</v>
      </c>
      <c r="N72" s="60">
        <v>7</v>
      </c>
      <c r="O72" s="50"/>
      <c r="P72" s="50"/>
      <c r="Q72" s="50"/>
      <c r="R72" s="50"/>
      <c r="S72" s="50"/>
      <c r="T72" s="50"/>
      <c r="U72" s="50"/>
      <c r="V72" s="50"/>
      <c r="W72" s="50"/>
      <c r="X72" s="50"/>
    </row>
    <row r="73" spans="1:24" ht="22" customHeight="1">
      <c r="A73" s="56" t="s">
        <v>136</v>
      </c>
      <c r="B73" s="45"/>
      <c r="C73" s="50">
        <f>'Operating Metrics'!C71+'Operating Metrics'!C72</f>
        <v>952</v>
      </c>
      <c r="D73" s="60">
        <v>1025</v>
      </c>
      <c r="E73" s="60">
        <v>1069</v>
      </c>
      <c r="F73" s="60">
        <v>1093</v>
      </c>
      <c r="G73" s="50"/>
      <c r="H73" s="50">
        <f>'Operating Metrics'!H71+'Operating Metrics'!H72</f>
        <v>241</v>
      </c>
      <c r="I73" s="50">
        <f>'Operating Metrics'!I71+'Operating Metrics'!I72</f>
        <v>248</v>
      </c>
      <c r="J73" s="50">
        <f>'Operating Metrics'!J71+'Operating Metrics'!J72</f>
        <v>239</v>
      </c>
      <c r="K73" s="50">
        <f>'Operating Metrics'!E73-SUM('Operating Metrics'!H73,'Operating Metrics'!I73,'Operating Metrics'!J73)</f>
        <v>341</v>
      </c>
      <c r="L73" s="60">
        <v>253</v>
      </c>
      <c r="M73" s="60">
        <v>241</v>
      </c>
      <c r="N73" s="60">
        <v>236</v>
      </c>
      <c r="O73" s="50">
        <f>'Operating Metrics'!F73-SUM('Operating Metrics'!L73,'Operating Metrics'!M73,'Operating Metrics'!N73)</f>
        <v>363</v>
      </c>
      <c r="P73" s="60">
        <v>252</v>
      </c>
      <c r="Q73" s="60">
        <v>275</v>
      </c>
      <c r="R73" s="60">
        <v>277</v>
      </c>
      <c r="S73" s="50"/>
      <c r="T73" s="50"/>
      <c r="U73" s="50"/>
      <c r="V73" s="50"/>
      <c r="W73" s="50"/>
      <c r="X73" s="50"/>
    </row>
    <row r="74" spans="1:24" ht="22" customHeight="1">
      <c r="A74" s="56" t="s">
        <v>103</v>
      </c>
      <c r="B74" s="45"/>
      <c r="C74" s="54">
        <f>IF('Operating Metrics'!C73=0,"",'Operating Metrics'!C69/'Operating Metrics'!C73)</f>
        <v>1.8004201680672269</v>
      </c>
      <c r="D74" s="54">
        <f>IF('Operating Metrics'!D73=0,"",'Operating Metrics'!D69/'Operating Metrics'!D73)</f>
        <v>1.6809756097560975</v>
      </c>
      <c r="E74" s="54">
        <f>IF('Operating Metrics'!E73=0,"",'Operating Metrics'!E69/'Operating Metrics'!E73)</f>
        <v>1.441534144059869</v>
      </c>
      <c r="F74" s="54">
        <f>IF('Operating Metrics'!F73=0,"",'Operating Metrics'!F69/'Operating Metrics'!F73)</f>
        <v>1.2296431838975297</v>
      </c>
      <c r="G74" s="54"/>
      <c r="H74" s="54">
        <f>IF('Operating Metrics'!H73=0,"",'Operating Metrics'!H69/'Operating Metrics'!H73)</f>
        <v>0.74688796680497926</v>
      </c>
      <c r="I74" s="54">
        <f>IF('Operating Metrics'!I73=0,"",'Operating Metrics'!I69/'Operating Metrics'!I73)</f>
        <v>1.2016129032258065</v>
      </c>
      <c r="J74" s="54">
        <f>IF('Operating Metrics'!J73=0,"",'Operating Metrics'!J69/'Operating Metrics'!J73)</f>
        <v>1.3096234309623431</v>
      </c>
      <c r="K74" s="54">
        <f>IF('Operating Metrics'!K73=0,"",'Operating Metrics'!K69/'Operating Metrics'!K73)</f>
        <v>2.1994134897360702</v>
      </c>
      <c r="L74" s="54">
        <f>IF('Operating Metrics'!L73=0,"",'Operating Metrics'!L69/'Operating Metrics'!L73)</f>
        <v>0.98023715415019763</v>
      </c>
      <c r="M74" s="54">
        <f>IF('Operating Metrics'!M73=0,"",'Operating Metrics'!M69/'Operating Metrics'!M73)</f>
        <v>1.1742738589211619</v>
      </c>
      <c r="N74" s="54">
        <f>IF('Operating Metrics'!N73=0,"",'Operating Metrics'!N69/'Operating Metrics'!N73)</f>
        <v>1.1779661016949152</v>
      </c>
      <c r="O74" s="54">
        <f>IF('Operating Metrics'!O73=0,"",'Operating Metrics'!O69/'Operating Metrics'!O73)</f>
        <v>1.4738292011019283</v>
      </c>
      <c r="P74" s="54">
        <f>IF('Operating Metrics'!P73=0,"",'Operating Metrics'!P69/'Operating Metrics'!P73)</f>
        <v>0.72619047619047616</v>
      </c>
      <c r="Q74" s="54">
        <f>IF('Operating Metrics'!Q73=0,"",'Operating Metrics'!Q69/'Operating Metrics'!Q73)</f>
        <v>0.9490909090909091</v>
      </c>
      <c r="R74" s="54">
        <f>IF('Operating Metrics'!R73=0,"",'Operating Metrics'!R69/'Operating Metrics'!R73)</f>
        <v>1.1588447653429603</v>
      </c>
      <c r="S74" s="54"/>
      <c r="T74" s="54"/>
      <c r="U74" s="54"/>
      <c r="V74" s="54"/>
      <c r="W74" s="54"/>
      <c r="X74" s="54"/>
    </row>
    <row r="75" spans="1:24" ht="24" customHeight="1">
      <c r="A75" s="172" t="s">
        <v>89</v>
      </c>
      <c r="B75" s="172"/>
      <c r="C75" s="172"/>
      <c r="D75" s="172"/>
      <c r="E75" s="172"/>
      <c r="F75" s="172"/>
      <c r="G75" s="172"/>
      <c r="H75" s="172"/>
      <c r="I75" s="172"/>
      <c r="J75" s="172"/>
      <c r="K75" s="172"/>
      <c r="L75" s="172"/>
      <c r="M75" s="172"/>
      <c r="N75" s="172"/>
      <c r="O75" s="172"/>
      <c r="P75" s="172"/>
      <c r="Q75" s="172"/>
      <c r="R75" s="172"/>
      <c r="S75" s="172"/>
      <c r="T75" s="172"/>
      <c r="U75" s="172"/>
      <c r="V75" s="172"/>
      <c r="W75" s="172"/>
      <c r="X75" s="172"/>
    </row>
    <row r="76" spans="1:24" ht="22" customHeight="1">
      <c r="A76" s="56" t="s">
        <v>63</v>
      </c>
      <c r="B76" s="45"/>
      <c r="C76" s="60">
        <v>4328</v>
      </c>
      <c r="D76" s="60">
        <v>4559</v>
      </c>
      <c r="E76" s="60">
        <v>4879</v>
      </c>
      <c r="F76" s="60">
        <v>4997</v>
      </c>
      <c r="G76" s="50"/>
      <c r="H76" s="60">
        <v>739</v>
      </c>
      <c r="I76" s="60">
        <v>1326</v>
      </c>
      <c r="J76" s="60">
        <v>1290</v>
      </c>
      <c r="K76" s="60">
        <v>1524</v>
      </c>
      <c r="L76" s="60">
        <v>759</v>
      </c>
      <c r="M76" s="60">
        <v>1368</v>
      </c>
      <c r="N76" s="60">
        <v>1291</v>
      </c>
      <c r="O76" s="60">
        <v>1579</v>
      </c>
      <c r="P76" s="60">
        <v>824</v>
      </c>
      <c r="Q76" s="60">
        <v>1523</v>
      </c>
      <c r="R76" s="60">
        <v>1401</v>
      </c>
      <c r="S76" s="50"/>
      <c r="T76" s="50"/>
      <c r="U76" s="50"/>
      <c r="V76" s="50"/>
      <c r="W76" s="50"/>
      <c r="X76" s="50"/>
    </row>
    <row r="77" spans="1:24" ht="20" customHeight="1">
      <c r="A77" s="58" t="s">
        <v>83</v>
      </c>
      <c r="B77" s="45"/>
      <c r="C77" s="59"/>
      <c r="D77" s="51">
        <f>IF(OR('Operating Metrics'!C76&lt;=0,'Operating Metrics'!D76&lt;0),"",'Operating Metrics'!D76/'Operating Metrics'!C76-1)</f>
        <v>5.3373382624768873E-2</v>
      </c>
      <c r="E77" s="51">
        <f>IF(OR('Operating Metrics'!D76&lt;=0,'Operating Metrics'!E76&lt;0),"",'Operating Metrics'!E76/'Operating Metrics'!D76-1)</f>
        <v>7.0190831322658465E-2</v>
      </c>
      <c r="F77" s="51">
        <f>IF(OR('Operating Metrics'!E76&lt;=0,'Operating Metrics'!F76&lt;0),"",'Operating Metrics'!F76/'Operating Metrics'!E76-1)</f>
        <v>2.4185283869645469E-2</v>
      </c>
      <c r="G77" s="59"/>
      <c r="H77" s="59"/>
      <c r="I77" s="59"/>
      <c r="J77" s="59"/>
      <c r="K77" s="59"/>
      <c r="L77" s="51">
        <f>IF(OR('Operating Metrics'!H76&lt;=0,'Operating Metrics'!L76&lt;0),"",'Operating Metrics'!L76/'Operating Metrics'!H76-1)</f>
        <v>2.7063599458728049E-2</v>
      </c>
      <c r="M77" s="51">
        <f>IF(OR('Operating Metrics'!I76&lt;=0,'Operating Metrics'!M76&lt;0),"",'Operating Metrics'!M76/'Operating Metrics'!I76-1)</f>
        <v>3.167420814479649E-2</v>
      </c>
      <c r="N77" s="51">
        <f>IF(OR('Operating Metrics'!J76&lt;=0,'Operating Metrics'!N76&lt;0),"",'Operating Metrics'!N76/'Operating Metrics'!J76-1)</f>
        <v>7.751937984497026E-4</v>
      </c>
      <c r="O77" s="51">
        <f>IF(OR('Operating Metrics'!K76&lt;=0,'Operating Metrics'!O76&lt;0),"",'Operating Metrics'!O76/'Operating Metrics'!K76-1)</f>
        <v>3.6089238845144367E-2</v>
      </c>
      <c r="P77" s="51">
        <f>IF(OR('Operating Metrics'!L76&lt;=0,'Operating Metrics'!P76&lt;0),"",'Operating Metrics'!P76/'Operating Metrics'!L76-1)</f>
        <v>8.5638998682477041E-2</v>
      </c>
      <c r="Q77" s="51">
        <f>IF(OR('Operating Metrics'!M76&lt;=0,'Operating Metrics'!Q76&lt;0),"",'Operating Metrics'!Q76/'Operating Metrics'!M76-1)</f>
        <v>0.11330409356725135</v>
      </c>
      <c r="R77" s="51">
        <f>IF(OR('Operating Metrics'!N76&lt;=0,'Operating Metrics'!R76&lt;0),"",'Operating Metrics'!R76/'Operating Metrics'!N76-1)</f>
        <v>8.5205267234701676E-2</v>
      </c>
      <c r="S77" s="59"/>
      <c r="T77" s="59"/>
      <c r="U77" s="59"/>
      <c r="V77" s="59"/>
      <c r="W77" s="59"/>
      <c r="X77" s="59"/>
    </row>
    <row r="78" spans="1:24" ht="22" customHeight="1">
      <c r="A78" s="56" t="s">
        <v>87</v>
      </c>
      <c r="B78" s="45"/>
      <c r="C78" s="60">
        <v>-12</v>
      </c>
      <c r="D78" s="60">
        <v>567</v>
      </c>
      <c r="E78" s="60">
        <v>1462</v>
      </c>
      <c r="F78" s="60">
        <v>1769</v>
      </c>
      <c r="G78" s="50"/>
      <c r="H78" s="60">
        <v>261</v>
      </c>
      <c r="I78" s="60">
        <v>502</v>
      </c>
      <c r="J78" s="60">
        <v>458</v>
      </c>
      <c r="K78" s="60">
        <v>241</v>
      </c>
      <c r="L78" s="60">
        <v>277</v>
      </c>
      <c r="M78" s="60">
        <v>535</v>
      </c>
      <c r="N78" s="60">
        <v>436</v>
      </c>
      <c r="O78" s="60">
        <v>521</v>
      </c>
      <c r="P78" s="60">
        <v>321</v>
      </c>
      <c r="Q78" s="60">
        <v>637</v>
      </c>
      <c r="R78" s="60">
        <v>562</v>
      </c>
      <c r="S78" s="50"/>
      <c r="T78" s="50"/>
      <c r="U78" s="50"/>
      <c r="V78" s="50"/>
      <c r="W78" s="50"/>
      <c r="X78" s="50"/>
    </row>
    <row r="79" spans="1:24" ht="22" customHeight="1">
      <c r="A79" s="56" t="s">
        <v>84</v>
      </c>
      <c r="B79" s="45"/>
      <c r="C79" s="50"/>
      <c r="D79" s="60">
        <v>1440</v>
      </c>
      <c r="E79" s="60">
        <v>1708</v>
      </c>
      <c r="F79" s="60">
        <v>1856</v>
      </c>
      <c r="G79" s="50"/>
      <c r="H79" s="60">
        <v>261</v>
      </c>
      <c r="I79" s="60">
        <v>502</v>
      </c>
      <c r="J79" s="60">
        <v>473</v>
      </c>
      <c r="K79" s="60">
        <v>472</v>
      </c>
      <c r="L79" s="60">
        <v>279</v>
      </c>
      <c r="M79" s="60">
        <v>538</v>
      </c>
      <c r="N79" s="60">
        <v>511</v>
      </c>
      <c r="O79" s="60">
        <v>528</v>
      </c>
      <c r="P79" s="60">
        <v>328</v>
      </c>
      <c r="Q79" s="60">
        <v>638</v>
      </c>
      <c r="R79" s="60">
        <v>564</v>
      </c>
      <c r="S79" s="50"/>
      <c r="T79" s="50"/>
      <c r="U79" s="50"/>
      <c r="V79" s="50"/>
      <c r="W79" s="50"/>
      <c r="X79" s="50"/>
    </row>
    <row r="80" spans="1:24" ht="20" customHeight="1">
      <c r="A80" s="58" t="s">
        <v>85</v>
      </c>
      <c r="B80" s="45"/>
      <c r="C80" s="59"/>
      <c r="D80" s="59"/>
      <c r="E80" s="51">
        <f>IF(OR('Operating Metrics'!D79&lt;=0,'Operating Metrics'!E79&lt;0),"",'Operating Metrics'!E79/'Operating Metrics'!D79-1)</f>
        <v>0.18611111111111112</v>
      </c>
      <c r="F80" s="51">
        <f>IF(OR('Operating Metrics'!E79&lt;=0,'Operating Metrics'!F79&lt;0),"",'Operating Metrics'!F79/'Operating Metrics'!E79-1)</f>
        <v>8.6651053864168714E-2</v>
      </c>
      <c r="G80" s="59"/>
      <c r="H80" s="59"/>
      <c r="I80" s="59"/>
      <c r="J80" s="59"/>
      <c r="K80" s="59"/>
      <c r="L80" s="51">
        <f>IF(OR('Operating Metrics'!H79&lt;=0,'Operating Metrics'!L79&lt;0),"",'Operating Metrics'!L79/'Operating Metrics'!H79-1)</f>
        <v>6.8965517241379226E-2</v>
      </c>
      <c r="M80" s="51">
        <f>IF(OR('Operating Metrics'!I79&lt;=0,'Operating Metrics'!M79&lt;0),"",'Operating Metrics'!M79/'Operating Metrics'!I79-1)</f>
        <v>7.1713147410358502E-2</v>
      </c>
      <c r="N80" s="51">
        <f>IF(OR('Operating Metrics'!J79&lt;=0,'Operating Metrics'!N79&lt;0),"",'Operating Metrics'!N79/'Operating Metrics'!J79-1)</f>
        <v>8.0338266384778034E-2</v>
      </c>
      <c r="O80" s="51">
        <f>IF(OR('Operating Metrics'!K79&lt;=0,'Operating Metrics'!O79&lt;0),"",'Operating Metrics'!O79/'Operating Metrics'!K79-1)</f>
        <v>0.11864406779661008</v>
      </c>
      <c r="P80" s="51">
        <f>IF(OR('Operating Metrics'!L79&lt;=0,'Operating Metrics'!P79&lt;0),"",'Operating Metrics'!P79/'Operating Metrics'!L79-1)</f>
        <v>0.17562724014336917</v>
      </c>
      <c r="Q80" s="51">
        <f>IF(OR('Operating Metrics'!M79&lt;=0,'Operating Metrics'!Q79&lt;0),"",'Operating Metrics'!Q79/'Operating Metrics'!M79-1)</f>
        <v>0.18587360594795532</v>
      </c>
      <c r="R80" s="51">
        <f>IF(OR('Operating Metrics'!N79&lt;=0,'Operating Metrics'!R79&lt;0),"",'Operating Metrics'!R79/'Operating Metrics'!N79-1)</f>
        <v>0.10371819960861051</v>
      </c>
      <c r="S80" s="59"/>
      <c r="T80" s="59"/>
      <c r="U80" s="59"/>
      <c r="V80" s="59"/>
      <c r="W80" s="59"/>
      <c r="X80" s="59"/>
    </row>
    <row r="81" spans="1:24" ht="20" customHeight="1">
      <c r="A81" s="58" t="s">
        <v>86</v>
      </c>
      <c r="B81" s="45"/>
      <c r="C81" s="59"/>
      <c r="D81" s="51">
        <f>IF('Operating Metrics'!D76=0,"",'Operating Metrics'!D79/'Operating Metrics'!D76)</f>
        <v>0.31585874095196315</v>
      </c>
      <c r="E81" s="51">
        <f>IF('Operating Metrics'!E76=0,"",'Operating Metrics'!E79/'Operating Metrics'!E76)</f>
        <v>0.35007173601147779</v>
      </c>
      <c r="F81" s="51">
        <f>IF('Operating Metrics'!F76=0,"",'Operating Metrics'!F79/'Operating Metrics'!F76)</f>
        <v>0.37142285371222733</v>
      </c>
      <c r="G81" s="59"/>
      <c r="H81" s="51">
        <f>IF('Operating Metrics'!H76=0,"",'Operating Metrics'!H79/'Operating Metrics'!H76)</f>
        <v>0.35317997293640052</v>
      </c>
      <c r="I81" s="51">
        <f>IF('Operating Metrics'!I76=0,"",'Operating Metrics'!I79/'Operating Metrics'!I76)</f>
        <v>0.37858220211161386</v>
      </c>
      <c r="J81" s="51">
        <f>IF('Operating Metrics'!J76=0,"",'Operating Metrics'!J79/'Operating Metrics'!J76)</f>
        <v>0.36666666666666664</v>
      </c>
      <c r="K81" s="51">
        <f>IF('Operating Metrics'!K76=0,"",'Operating Metrics'!K79/'Operating Metrics'!K76)</f>
        <v>0.30971128608923887</v>
      </c>
      <c r="L81" s="51">
        <f>IF('Operating Metrics'!L76=0,"",'Operating Metrics'!L79/'Operating Metrics'!L76)</f>
        <v>0.3675889328063241</v>
      </c>
      <c r="M81" s="51">
        <f>IF('Operating Metrics'!M76=0,"",'Operating Metrics'!M79/'Operating Metrics'!M76)</f>
        <v>0.39327485380116961</v>
      </c>
      <c r="N81" s="51">
        <f>IF('Operating Metrics'!N76=0,"",'Operating Metrics'!N79/'Operating Metrics'!N76)</f>
        <v>0.39581719597211462</v>
      </c>
      <c r="O81" s="51">
        <f>IF('Operating Metrics'!O76=0,"",'Operating Metrics'!O79/'Operating Metrics'!O76)</f>
        <v>0.33438885370487648</v>
      </c>
      <c r="P81" s="51">
        <f>IF('Operating Metrics'!P76=0,"",'Operating Metrics'!P79/'Operating Metrics'!P76)</f>
        <v>0.39805825242718446</v>
      </c>
      <c r="Q81" s="51">
        <f>IF('Operating Metrics'!Q76=0,"",'Operating Metrics'!Q79/'Operating Metrics'!Q76)</f>
        <v>0.41891004596191728</v>
      </c>
      <c r="R81" s="51">
        <f>IF('Operating Metrics'!R76=0,"",'Operating Metrics'!R79/'Operating Metrics'!R76)</f>
        <v>0.40256959314775159</v>
      </c>
      <c r="S81" s="59"/>
      <c r="T81" s="59"/>
      <c r="U81" s="59"/>
      <c r="V81" s="59"/>
      <c r="W81" s="59"/>
      <c r="X81" s="59"/>
    </row>
    <row r="82" spans="1:24" ht="20" customHeight="1">
      <c r="A82" s="58" t="s">
        <v>66</v>
      </c>
      <c r="B82" s="45"/>
      <c r="C82" s="59"/>
      <c r="D82" s="61">
        <v>0.06</v>
      </c>
      <c r="E82" s="61">
        <v>0.08</v>
      </c>
      <c r="F82" s="61">
        <v>0.03</v>
      </c>
      <c r="G82" s="59"/>
      <c r="H82" s="61">
        <v>7.0000000000000007E-2</v>
      </c>
      <c r="I82" s="61">
        <v>0.08</v>
      </c>
      <c r="J82" s="61">
        <v>0.06</v>
      </c>
      <c r="K82" s="61">
        <v>0.11</v>
      </c>
      <c r="L82" s="61">
        <v>7.0000000000000007E-2</v>
      </c>
      <c r="M82" s="61">
        <v>0.05</v>
      </c>
      <c r="N82" s="61">
        <v>-0.01</v>
      </c>
      <c r="O82" s="61">
        <v>0.02</v>
      </c>
      <c r="P82" s="61">
        <v>0.05</v>
      </c>
      <c r="Q82" s="61">
        <v>0.09</v>
      </c>
      <c r="R82" s="61">
        <v>7.0000000000000007E-2</v>
      </c>
      <c r="S82" s="59"/>
      <c r="T82" s="59"/>
      <c r="U82" s="59"/>
      <c r="V82" s="59"/>
      <c r="W82" s="59"/>
      <c r="X82" s="59"/>
    </row>
    <row r="83" spans="1:24" ht="20" customHeight="1">
      <c r="A83" s="58" t="s">
        <v>78</v>
      </c>
      <c r="B83" s="45"/>
      <c r="C83" s="59"/>
      <c r="D83" s="61">
        <v>0.02</v>
      </c>
      <c r="E83" s="61">
        <v>0.01</v>
      </c>
      <c r="F83" s="61">
        <v>1.4999999999999999E-2</v>
      </c>
      <c r="G83" s="59"/>
      <c r="H83" s="61">
        <v>0.02</v>
      </c>
      <c r="I83" s="61">
        <v>0.02</v>
      </c>
      <c r="J83" s="61">
        <v>-0.01</v>
      </c>
      <c r="K83" s="61">
        <v>0.03</v>
      </c>
      <c r="L83" s="61">
        <v>0.03</v>
      </c>
      <c r="M83" s="61">
        <v>0.01</v>
      </c>
      <c r="N83" s="61">
        <v>-0.01</v>
      </c>
      <c r="O83" s="61">
        <v>0.03</v>
      </c>
      <c r="P83" s="61">
        <v>5.0000000000000001E-3</v>
      </c>
      <c r="Q83" s="61">
        <v>0.05</v>
      </c>
      <c r="R83" s="61">
        <v>0.05</v>
      </c>
      <c r="S83" s="59"/>
      <c r="T83" s="59"/>
      <c r="U83" s="59"/>
      <c r="V83" s="59"/>
      <c r="W83" s="59"/>
      <c r="X83" s="59"/>
    </row>
    <row r="84" spans="1:24" ht="20" customHeight="1">
      <c r="A84" s="58" t="s">
        <v>133</v>
      </c>
      <c r="B84" s="45"/>
      <c r="C84" s="59"/>
      <c r="D84" s="61">
        <v>7.0000000000000007E-2</v>
      </c>
      <c r="E84" s="61">
        <v>0.05</v>
      </c>
      <c r="F84" s="61">
        <v>0.02</v>
      </c>
      <c r="G84" s="59"/>
      <c r="H84" s="61">
        <v>0.03</v>
      </c>
      <c r="I84" s="61">
        <v>7.0000000000000007E-2</v>
      </c>
      <c r="J84" s="61">
        <v>0.05</v>
      </c>
      <c r="K84" s="61">
        <v>5.5E-2</v>
      </c>
      <c r="L84" s="61">
        <v>0.02</v>
      </c>
      <c r="M84" s="61">
        <v>0.04</v>
      </c>
      <c r="N84" s="61">
        <v>0.04</v>
      </c>
      <c r="O84" s="61">
        <v>0</v>
      </c>
      <c r="P84" s="61">
        <v>0.08</v>
      </c>
      <c r="Q84" s="61">
        <v>0.03</v>
      </c>
      <c r="R84" s="61">
        <v>0.02</v>
      </c>
      <c r="S84" s="59"/>
      <c r="T84" s="59"/>
      <c r="U84" s="59"/>
      <c r="V84" s="59"/>
      <c r="W84" s="59"/>
      <c r="X84" s="59"/>
    </row>
    <row r="85" spans="1:24" ht="22" customHeight="1">
      <c r="A85" s="56" t="s">
        <v>101</v>
      </c>
      <c r="B85" s="45"/>
      <c r="C85" s="60">
        <v>128</v>
      </c>
      <c r="D85" s="60">
        <v>110</v>
      </c>
      <c r="E85" s="60">
        <v>148</v>
      </c>
      <c r="F85" s="60">
        <v>124</v>
      </c>
      <c r="G85" s="50"/>
      <c r="H85" s="60">
        <v>11</v>
      </c>
      <c r="I85" s="60">
        <v>33</v>
      </c>
      <c r="J85" s="60">
        <v>33</v>
      </c>
      <c r="K85" s="50">
        <f>'Operating Metrics'!E85-SUM('Operating Metrics'!H85,'Operating Metrics'!I85,'Operating Metrics'!J85)</f>
        <v>71</v>
      </c>
      <c r="L85" s="60">
        <v>16</v>
      </c>
      <c r="M85" s="60">
        <v>30</v>
      </c>
      <c r="N85" s="60">
        <v>31</v>
      </c>
      <c r="O85" s="50">
        <f>'Operating Metrics'!F85-SUM('Operating Metrics'!L85,'Operating Metrics'!M85,'Operating Metrics'!N85)</f>
        <v>47</v>
      </c>
      <c r="P85" s="60">
        <v>9</v>
      </c>
      <c r="Q85" s="60">
        <v>20</v>
      </c>
      <c r="R85" s="60">
        <v>22</v>
      </c>
      <c r="S85" s="50"/>
      <c r="T85" s="50"/>
      <c r="U85" s="50"/>
      <c r="V85" s="50"/>
      <c r="W85" s="50"/>
      <c r="X85" s="50"/>
    </row>
    <row r="86" spans="1:24" ht="20" customHeight="1">
      <c r="A86" s="58" t="s">
        <v>102</v>
      </c>
      <c r="B86" s="45"/>
      <c r="C86" s="51">
        <f>IF('Operating Metrics'!C76=0,"",'Operating Metrics'!C85/'Operating Metrics'!C76)</f>
        <v>2.9574861367837338E-2</v>
      </c>
      <c r="D86" s="51">
        <f>IF('Operating Metrics'!D76=0,"",'Operating Metrics'!D85/'Operating Metrics'!D76)</f>
        <v>2.4128098267163851E-2</v>
      </c>
      <c r="E86" s="51">
        <f>IF('Operating Metrics'!E76=0,"",'Operating Metrics'!E85/'Operating Metrics'!E76)</f>
        <v>3.0334084853453576E-2</v>
      </c>
      <c r="F86" s="51">
        <f>IF('Operating Metrics'!F76=0,"",'Operating Metrics'!F85/'Operating Metrics'!F76)</f>
        <v>2.4814888933360015E-2</v>
      </c>
      <c r="G86" s="59"/>
      <c r="H86" s="51">
        <f>IF('Operating Metrics'!H76=0,"",'Operating Metrics'!H85/'Operating Metrics'!H76)</f>
        <v>1.4884979702300407E-2</v>
      </c>
      <c r="I86" s="51">
        <f>IF('Operating Metrics'!I76=0,"",'Operating Metrics'!I85/'Operating Metrics'!I76)</f>
        <v>2.4886877828054297E-2</v>
      </c>
      <c r="J86" s="51">
        <f>IF('Operating Metrics'!J76=0,"",'Operating Metrics'!J85/'Operating Metrics'!J76)</f>
        <v>2.5581395348837209E-2</v>
      </c>
      <c r="K86" s="51">
        <f>IF('Operating Metrics'!K76=0,"",'Operating Metrics'!K85/'Operating Metrics'!K76)</f>
        <v>4.6587926509186355E-2</v>
      </c>
      <c r="L86" s="51">
        <f>IF('Operating Metrics'!L76=0,"",'Operating Metrics'!L85/'Operating Metrics'!L76)</f>
        <v>2.1080368906455864E-2</v>
      </c>
      <c r="M86" s="51">
        <f>IF('Operating Metrics'!M76=0,"",'Operating Metrics'!M85/'Operating Metrics'!M76)</f>
        <v>2.1929824561403508E-2</v>
      </c>
      <c r="N86" s="51">
        <f>IF('Operating Metrics'!N76=0,"",'Operating Metrics'!N85/'Operating Metrics'!N76)</f>
        <v>2.4012393493415957E-2</v>
      </c>
      <c r="O86" s="51">
        <f>IF('Operating Metrics'!O76=0,"",'Operating Metrics'!O85/'Operating Metrics'!O76)</f>
        <v>2.9765674477517417E-2</v>
      </c>
      <c r="P86" s="51">
        <f>IF('Operating Metrics'!P76=0,"",'Operating Metrics'!P85/'Operating Metrics'!P76)</f>
        <v>1.0922330097087379E-2</v>
      </c>
      <c r="Q86" s="51">
        <f>IF('Operating Metrics'!Q76=0,"",'Operating Metrics'!Q85/'Operating Metrics'!Q76)</f>
        <v>1.3131976362442548E-2</v>
      </c>
      <c r="R86" s="51">
        <f>IF('Operating Metrics'!R76=0,"",'Operating Metrics'!R85/'Operating Metrics'!R76)</f>
        <v>1.5703069236259814E-2</v>
      </c>
      <c r="S86" s="59"/>
      <c r="T86" s="59"/>
      <c r="U86" s="59"/>
      <c r="V86" s="59"/>
      <c r="W86" s="59"/>
      <c r="X86" s="59"/>
    </row>
    <row r="87" spans="1:24" ht="22" customHeight="1">
      <c r="A87" s="56" t="s">
        <v>138</v>
      </c>
      <c r="B87" s="45"/>
      <c r="C87" s="60">
        <v>80</v>
      </c>
      <c r="D87" s="60">
        <v>82</v>
      </c>
      <c r="E87" s="60">
        <v>92</v>
      </c>
      <c r="F87" s="50"/>
      <c r="G87" s="50"/>
      <c r="H87" s="60">
        <v>15</v>
      </c>
      <c r="I87" s="60">
        <v>22</v>
      </c>
      <c r="J87" s="60">
        <v>24</v>
      </c>
      <c r="K87" s="50">
        <f>'Operating Metrics'!E87-SUM('Operating Metrics'!H87,'Operating Metrics'!I87,'Operating Metrics'!J87)</f>
        <v>31</v>
      </c>
      <c r="L87" s="60">
        <v>16</v>
      </c>
      <c r="M87" s="60">
        <v>23</v>
      </c>
      <c r="N87" s="60">
        <v>25</v>
      </c>
      <c r="O87" s="50"/>
      <c r="P87" s="50"/>
      <c r="Q87" s="50"/>
      <c r="R87" s="50"/>
      <c r="S87" s="50"/>
      <c r="T87" s="50"/>
      <c r="U87" s="50"/>
      <c r="V87" s="50"/>
      <c r="W87" s="50"/>
      <c r="X87" s="50"/>
    </row>
    <row r="88" spans="1:24" ht="22" customHeight="1">
      <c r="A88" s="56" t="s">
        <v>139</v>
      </c>
      <c r="B88" s="45"/>
      <c r="C88" s="60">
        <v>17</v>
      </c>
      <c r="D88" s="60">
        <v>17</v>
      </c>
      <c r="E88" s="60">
        <v>17</v>
      </c>
      <c r="F88" s="50"/>
      <c r="G88" s="50"/>
      <c r="H88" s="60">
        <v>3</v>
      </c>
      <c r="I88" s="60">
        <v>4</v>
      </c>
      <c r="J88" s="60">
        <v>4</v>
      </c>
      <c r="K88" s="50">
        <f>'Operating Metrics'!E88-SUM('Operating Metrics'!H88,'Operating Metrics'!I88,'Operating Metrics'!J88)</f>
        <v>6</v>
      </c>
      <c r="L88" s="60">
        <v>3</v>
      </c>
      <c r="M88" s="60">
        <v>4</v>
      </c>
      <c r="N88" s="60">
        <v>4</v>
      </c>
      <c r="O88" s="50"/>
      <c r="P88" s="50"/>
      <c r="Q88" s="50"/>
      <c r="R88" s="50"/>
      <c r="S88" s="50"/>
      <c r="T88" s="50"/>
      <c r="U88" s="50"/>
      <c r="V88" s="50"/>
      <c r="W88" s="50"/>
      <c r="X88" s="50"/>
    </row>
    <row r="89" spans="1:24" ht="22" customHeight="1">
      <c r="A89" s="56" t="s">
        <v>136</v>
      </c>
      <c r="B89" s="45"/>
      <c r="C89" s="50">
        <f>'Operating Metrics'!C87+'Operating Metrics'!C88</f>
        <v>97</v>
      </c>
      <c r="D89" s="60">
        <v>99</v>
      </c>
      <c r="E89" s="60">
        <v>109</v>
      </c>
      <c r="F89" s="60">
        <v>109</v>
      </c>
      <c r="G89" s="50"/>
      <c r="H89" s="50">
        <f>'Operating Metrics'!H87+'Operating Metrics'!H88</f>
        <v>18</v>
      </c>
      <c r="I89" s="50">
        <f>'Operating Metrics'!I87+'Operating Metrics'!I88</f>
        <v>26</v>
      </c>
      <c r="J89" s="50">
        <f>'Operating Metrics'!J87+'Operating Metrics'!J88</f>
        <v>28</v>
      </c>
      <c r="K89" s="50">
        <f>'Operating Metrics'!E89-SUM('Operating Metrics'!H89,'Operating Metrics'!I89,'Operating Metrics'!J89)</f>
        <v>37</v>
      </c>
      <c r="L89" s="60">
        <v>19</v>
      </c>
      <c r="M89" s="60">
        <v>27</v>
      </c>
      <c r="N89" s="60">
        <v>29</v>
      </c>
      <c r="O89" s="50">
        <f>'Operating Metrics'!F89-SUM('Operating Metrics'!L89,'Operating Metrics'!M89,'Operating Metrics'!N89)</f>
        <v>34</v>
      </c>
      <c r="P89" s="60">
        <v>18</v>
      </c>
      <c r="Q89" s="60">
        <v>28</v>
      </c>
      <c r="R89" s="60">
        <v>25</v>
      </c>
      <c r="S89" s="50"/>
      <c r="T89" s="50"/>
      <c r="U89" s="50"/>
      <c r="V89" s="50"/>
      <c r="W89" s="50"/>
      <c r="X89" s="50"/>
    </row>
    <row r="90" spans="1:24" ht="22" customHeight="1">
      <c r="A90" s="56" t="s">
        <v>103</v>
      </c>
      <c r="B90" s="45"/>
      <c r="C90" s="54">
        <f>IF('Operating Metrics'!C89=0,"",'Operating Metrics'!C85/'Operating Metrics'!C89)</f>
        <v>1.3195876288659794</v>
      </c>
      <c r="D90" s="54">
        <f>IF('Operating Metrics'!D89=0,"",'Operating Metrics'!D85/'Operating Metrics'!D89)</f>
        <v>1.1111111111111112</v>
      </c>
      <c r="E90" s="54">
        <f>IF('Operating Metrics'!E89=0,"",'Operating Metrics'!E85/'Operating Metrics'!E89)</f>
        <v>1.3577981651376148</v>
      </c>
      <c r="F90" s="54">
        <f>IF('Operating Metrics'!F89=0,"",'Operating Metrics'!F85/'Operating Metrics'!F89)</f>
        <v>1.1376146788990826</v>
      </c>
      <c r="G90" s="54"/>
      <c r="H90" s="54">
        <f>IF('Operating Metrics'!H89=0,"",'Operating Metrics'!H85/'Operating Metrics'!H89)</f>
        <v>0.61111111111111116</v>
      </c>
      <c r="I90" s="54">
        <f>IF('Operating Metrics'!I89=0,"",'Operating Metrics'!I85/'Operating Metrics'!I89)</f>
        <v>1.2692307692307692</v>
      </c>
      <c r="J90" s="54">
        <f>IF('Operating Metrics'!J89=0,"",'Operating Metrics'!J85/'Operating Metrics'!J89)</f>
        <v>1.1785714285714286</v>
      </c>
      <c r="K90" s="54">
        <f>IF('Operating Metrics'!K89=0,"",'Operating Metrics'!K85/'Operating Metrics'!K89)</f>
        <v>1.9189189189189189</v>
      </c>
      <c r="L90" s="54">
        <f>IF('Operating Metrics'!L89=0,"",'Operating Metrics'!L85/'Operating Metrics'!L89)</f>
        <v>0.84210526315789469</v>
      </c>
      <c r="M90" s="54">
        <f>IF('Operating Metrics'!M89=0,"",'Operating Metrics'!M85/'Operating Metrics'!M89)</f>
        <v>1.1111111111111112</v>
      </c>
      <c r="N90" s="54">
        <f>IF('Operating Metrics'!N89=0,"",'Operating Metrics'!N85/'Operating Metrics'!N89)</f>
        <v>1.0689655172413792</v>
      </c>
      <c r="O90" s="54">
        <f>IF('Operating Metrics'!O89=0,"",'Operating Metrics'!O85/'Operating Metrics'!O89)</f>
        <v>1.3823529411764706</v>
      </c>
      <c r="P90" s="54">
        <f>IF('Operating Metrics'!P89=0,"",'Operating Metrics'!P85/'Operating Metrics'!P89)</f>
        <v>0.5</v>
      </c>
      <c r="Q90" s="54">
        <f>IF('Operating Metrics'!Q89=0,"",'Operating Metrics'!Q85/'Operating Metrics'!Q89)</f>
        <v>0.7142857142857143</v>
      </c>
      <c r="R90" s="54">
        <f>IF('Operating Metrics'!R89=0,"",'Operating Metrics'!R85/'Operating Metrics'!R89)</f>
        <v>0.88</v>
      </c>
      <c r="S90" s="54"/>
      <c r="T90" s="54"/>
      <c r="U90" s="54"/>
      <c r="V90" s="54"/>
      <c r="W90" s="54"/>
      <c r="X90" s="54"/>
    </row>
    <row r="91" spans="1:24" ht="24" customHeight="1">
      <c r="A91" s="172" t="s">
        <v>90</v>
      </c>
      <c r="B91" s="172"/>
      <c r="C91" s="172"/>
      <c r="D91" s="172"/>
      <c r="E91" s="172"/>
      <c r="F91" s="172"/>
      <c r="G91" s="172"/>
      <c r="H91" s="172"/>
      <c r="I91" s="172"/>
      <c r="J91" s="172"/>
      <c r="K91" s="172"/>
      <c r="L91" s="172"/>
      <c r="M91" s="172"/>
      <c r="N91" s="172"/>
      <c r="O91" s="172"/>
      <c r="P91" s="172"/>
      <c r="Q91" s="172"/>
      <c r="R91" s="172"/>
      <c r="S91" s="172"/>
      <c r="T91" s="172"/>
      <c r="U91" s="172"/>
      <c r="V91" s="172"/>
      <c r="W91" s="172"/>
      <c r="X91" s="172"/>
    </row>
    <row r="92" spans="1:24" ht="22" customHeight="1">
      <c r="A92" s="56" t="s">
        <v>63</v>
      </c>
      <c r="B92" s="45"/>
      <c r="C92" s="60">
        <v>16032</v>
      </c>
      <c r="D92" s="60">
        <v>16210</v>
      </c>
      <c r="E92" s="60">
        <v>16658</v>
      </c>
      <c r="F92" s="60">
        <v>18025</v>
      </c>
      <c r="G92" s="50"/>
      <c r="H92" s="60">
        <v>2433</v>
      </c>
      <c r="I92" s="60">
        <v>4183</v>
      </c>
      <c r="J92" s="60">
        <v>4612</v>
      </c>
      <c r="K92" s="60">
        <v>5430</v>
      </c>
      <c r="L92" s="60">
        <v>2388</v>
      </c>
      <c r="M92" s="60">
        <v>4536</v>
      </c>
      <c r="N92" s="60">
        <v>5022</v>
      </c>
      <c r="O92" s="60">
        <v>6079</v>
      </c>
      <c r="P92" s="60">
        <v>2823</v>
      </c>
      <c r="Q92" s="60">
        <v>4983</v>
      </c>
      <c r="R92" s="60">
        <v>5413</v>
      </c>
      <c r="S92" s="50"/>
      <c r="T92" s="50"/>
      <c r="U92" s="50"/>
      <c r="V92" s="50"/>
      <c r="W92" s="50"/>
      <c r="X92" s="50"/>
    </row>
    <row r="93" spans="1:24" ht="20" customHeight="1">
      <c r="A93" s="58" t="s">
        <v>83</v>
      </c>
      <c r="B93" s="45"/>
      <c r="C93" s="59"/>
      <c r="D93" s="51">
        <f>IF(OR('Operating Metrics'!C92&lt;=0,'Operating Metrics'!D92&lt;0),"",'Operating Metrics'!D92/'Operating Metrics'!C92-1)</f>
        <v>1.1102794411177674E-2</v>
      </c>
      <c r="E93" s="51">
        <f>IF(OR('Operating Metrics'!D92&lt;=0,'Operating Metrics'!E92&lt;0),"",'Operating Metrics'!E92/'Operating Metrics'!D92-1)</f>
        <v>2.7637260950030829E-2</v>
      </c>
      <c r="F93" s="51">
        <f>IF(OR('Operating Metrics'!E92&lt;=0,'Operating Metrics'!F92&lt;0),"",'Operating Metrics'!F92/'Operating Metrics'!E92-1)</f>
        <v>8.2062672589746644E-2</v>
      </c>
      <c r="G93" s="59"/>
      <c r="H93" s="59"/>
      <c r="I93" s="59"/>
      <c r="J93" s="59"/>
      <c r="K93" s="59"/>
      <c r="L93" s="51">
        <f>IF(OR('Operating Metrics'!H92&lt;=0,'Operating Metrics'!L92&lt;0),"",'Operating Metrics'!L92/'Operating Metrics'!H92-1)</f>
        <v>-1.8495684340320562E-2</v>
      </c>
      <c r="M93" s="51">
        <f>IF(OR('Operating Metrics'!I92&lt;=0,'Operating Metrics'!M92&lt;0),"",'Operating Metrics'!M92/'Operating Metrics'!I92-1)</f>
        <v>8.4389194358116093E-2</v>
      </c>
      <c r="N93" s="51">
        <f>IF(OR('Operating Metrics'!J92&lt;=0,'Operating Metrics'!N92&lt;0),"",'Operating Metrics'!N92/'Operating Metrics'!J92-1)</f>
        <v>8.8898525585429322E-2</v>
      </c>
      <c r="O93" s="51">
        <f>IF(OR('Operating Metrics'!K92&lt;=0,'Operating Metrics'!O92&lt;0),"",'Operating Metrics'!O92/'Operating Metrics'!K92-1)</f>
        <v>0.1195211786372008</v>
      </c>
      <c r="P93" s="51">
        <f>IF(OR('Operating Metrics'!L92&lt;=0,'Operating Metrics'!P92&lt;0),"",'Operating Metrics'!P92/'Operating Metrics'!L92-1)</f>
        <v>0.1821608040201006</v>
      </c>
      <c r="Q93" s="51">
        <f>IF(OR('Operating Metrics'!M92&lt;=0,'Operating Metrics'!Q92&lt;0),"",'Operating Metrics'!Q92/'Operating Metrics'!M92-1)</f>
        <v>9.8544973544973491E-2</v>
      </c>
      <c r="R93" s="51">
        <f>IF(OR('Operating Metrics'!N92&lt;=0,'Operating Metrics'!R92&lt;0),"",'Operating Metrics'!R92/'Operating Metrics'!N92-1)</f>
        <v>7.7857427319792949E-2</v>
      </c>
      <c r="S93" s="59"/>
      <c r="T93" s="59"/>
      <c r="U93" s="59"/>
      <c r="V93" s="59"/>
      <c r="W93" s="59"/>
      <c r="X93" s="59"/>
    </row>
    <row r="94" spans="1:24" ht="22" customHeight="1">
      <c r="A94" s="56" t="s">
        <v>87</v>
      </c>
      <c r="B94" s="45"/>
      <c r="C94" s="60">
        <v>22</v>
      </c>
      <c r="D94" s="60">
        <v>1764</v>
      </c>
      <c r="E94" s="60">
        <v>1971</v>
      </c>
      <c r="F94" s="60">
        <v>2106</v>
      </c>
      <c r="G94" s="50"/>
      <c r="H94" s="60">
        <v>214</v>
      </c>
      <c r="I94" s="60">
        <v>582</v>
      </c>
      <c r="J94" s="60">
        <v>713</v>
      </c>
      <c r="K94" s="60">
        <v>462</v>
      </c>
      <c r="L94" s="60">
        <v>220</v>
      </c>
      <c r="M94" s="60">
        <v>370</v>
      </c>
      <c r="N94" s="60">
        <v>720</v>
      </c>
      <c r="O94" s="60">
        <v>796</v>
      </c>
      <c r="P94" s="60">
        <v>278</v>
      </c>
      <c r="Q94" s="60">
        <v>751</v>
      </c>
      <c r="R94" s="60">
        <v>897</v>
      </c>
      <c r="S94" s="50"/>
      <c r="T94" s="50"/>
      <c r="U94" s="50"/>
      <c r="V94" s="50"/>
      <c r="W94" s="50"/>
      <c r="X94" s="50"/>
    </row>
    <row r="95" spans="1:24" ht="22" customHeight="1">
      <c r="A95" s="56" t="s">
        <v>84</v>
      </c>
      <c r="B95" s="45"/>
      <c r="C95" s="50"/>
      <c r="D95" s="60">
        <v>1975</v>
      </c>
      <c r="E95" s="60">
        <v>2232</v>
      </c>
      <c r="F95" s="60">
        <v>2571</v>
      </c>
      <c r="G95" s="50"/>
      <c r="H95" s="60">
        <v>232</v>
      </c>
      <c r="I95" s="60">
        <v>604</v>
      </c>
      <c r="J95" s="60">
        <v>758</v>
      </c>
      <c r="K95" s="60">
        <v>638</v>
      </c>
      <c r="L95" s="60">
        <v>233</v>
      </c>
      <c r="M95" s="60">
        <v>657</v>
      </c>
      <c r="N95" s="60">
        <v>808</v>
      </c>
      <c r="O95" s="60">
        <v>873</v>
      </c>
      <c r="P95" s="60">
        <v>301</v>
      </c>
      <c r="Q95" s="60">
        <v>767</v>
      </c>
      <c r="R95" s="60">
        <v>940</v>
      </c>
      <c r="S95" s="50"/>
      <c r="T95" s="50"/>
      <c r="U95" s="50"/>
      <c r="V95" s="50"/>
      <c r="W95" s="50"/>
      <c r="X95" s="50"/>
    </row>
    <row r="96" spans="1:24" ht="20" customHeight="1">
      <c r="A96" s="58" t="s">
        <v>85</v>
      </c>
      <c r="B96" s="45"/>
      <c r="C96" s="59"/>
      <c r="D96" s="59"/>
      <c r="E96" s="51">
        <f>IF(OR('Operating Metrics'!D95&lt;=0,'Operating Metrics'!E95&lt;0),"",'Operating Metrics'!E95/'Operating Metrics'!D95-1)</f>
        <v>0.13012658227848095</v>
      </c>
      <c r="F96" s="51">
        <f>IF(OR('Operating Metrics'!E95&lt;=0,'Operating Metrics'!F95&lt;0),"",'Operating Metrics'!F95/'Operating Metrics'!E95-1)</f>
        <v>0.1518817204301075</v>
      </c>
      <c r="G96" s="59"/>
      <c r="H96" s="59"/>
      <c r="I96" s="59"/>
      <c r="J96" s="59"/>
      <c r="K96" s="59"/>
      <c r="L96" s="51">
        <f>IF(OR('Operating Metrics'!H95&lt;=0,'Operating Metrics'!L95&lt;0),"",'Operating Metrics'!L95/'Operating Metrics'!H95-1)</f>
        <v>4.3103448275862988E-3</v>
      </c>
      <c r="M96" s="51">
        <f>IF(OR('Operating Metrics'!I95&lt;=0,'Operating Metrics'!M95&lt;0),"",'Operating Metrics'!M95/'Operating Metrics'!I95-1)</f>
        <v>8.7748344370860876E-2</v>
      </c>
      <c r="N96" s="51">
        <f>IF(OR('Operating Metrics'!J95&lt;=0,'Operating Metrics'!N95&lt;0),"",'Operating Metrics'!N95/'Operating Metrics'!J95-1)</f>
        <v>6.5963060686015762E-2</v>
      </c>
      <c r="O96" s="51">
        <f>IF(OR('Operating Metrics'!K95&lt;=0,'Operating Metrics'!O95&lt;0),"",'Operating Metrics'!O95/'Operating Metrics'!K95-1)</f>
        <v>0.36833855799373039</v>
      </c>
      <c r="P96" s="51">
        <f>IF(OR('Operating Metrics'!L95&lt;=0,'Operating Metrics'!P95&lt;0),"",'Operating Metrics'!P95/'Operating Metrics'!L95-1)</f>
        <v>0.29184549356223166</v>
      </c>
      <c r="Q96" s="51">
        <f>IF(OR('Operating Metrics'!M95&lt;=0,'Operating Metrics'!Q95&lt;0),"",'Operating Metrics'!Q95/'Operating Metrics'!M95-1)</f>
        <v>0.16742770167427712</v>
      </c>
      <c r="R96" s="51">
        <f>IF(OR('Operating Metrics'!N95&lt;=0,'Operating Metrics'!R95&lt;0),"",'Operating Metrics'!R95/'Operating Metrics'!N95-1)</f>
        <v>0.16336633663366329</v>
      </c>
      <c r="S96" s="59"/>
      <c r="T96" s="59"/>
      <c r="U96" s="59"/>
      <c r="V96" s="59"/>
      <c r="W96" s="59"/>
      <c r="X96" s="59"/>
    </row>
    <row r="97" spans="1:24" ht="20" customHeight="1">
      <c r="A97" s="58" t="s">
        <v>86</v>
      </c>
      <c r="B97" s="45"/>
      <c r="C97" s="59"/>
      <c r="D97" s="51">
        <f>IF('Operating Metrics'!D92=0,"",'Operating Metrics'!D95/'Operating Metrics'!D92)</f>
        <v>0.12183837137569402</v>
      </c>
      <c r="E97" s="51">
        <f>IF('Operating Metrics'!E92=0,"",'Operating Metrics'!E95/'Operating Metrics'!E92)</f>
        <v>0.13398967463080802</v>
      </c>
      <c r="F97" s="51">
        <f>IF('Operating Metrics'!F92=0,"",'Operating Metrics'!F95/'Operating Metrics'!F92)</f>
        <v>0.14263522884882107</v>
      </c>
      <c r="G97" s="59"/>
      <c r="H97" s="51">
        <f>IF('Operating Metrics'!H92=0,"",'Operating Metrics'!H95/'Operating Metrics'!H92)</f>
        <v>9.5355528154541722E-2</v>
      </c>
      <c r="I97" s="51">
        <f>IF('Operating Metrics'!I92=0,"",'Operating Metrics'!I95/'Operating Metrics'!I92)</f>
        <v>0.14439397561558689</v>
      </c>
      <c r="J97" s="51">
        <f>IF('Operating Metrics'!J92=0,"",'Operating Metrics'!J95/'Operating Metrics'!J92)</f>
        <v>0.16435385949696443</v>
      </c>
      <c r="K97" s="51">
        <f>IF('Operating Metrics'!K92=0,"",'Operating Metrics'!K95/'Operating Metrics'!K92)</f>
        <v>0.11749539594843462</v>
      </c>
      <c r="L97" s="51">
        <f>IF('Operating Metrics'!L92=0,"",'Operating Metrics'!L95/'Operating Metrics'!L92)</f>
        <v>9.757118927973199E-2</v>
      </c>
      <c r="M97" s="51">
        <f>IF('Operating Metrics'!M92=0,"",'Operating Metrics'!M95/'Operating Metrics'!M92)</f>
        <v>0.14484126984126985</v>
      </c>
      <c r="N97" s="51">
        <f>IF('Operating Metrics'!N92=0,"",'Operating Metrics'!N95/'Operating Metrics'!N92)</f>
        <v>0.1608920748705695</v>
      </c>
      <c r="O97" s="51">
        <f>IF('Operating Metrics'!O92=0,"",'Operating Metrics'!O95/'Operating Metrics'!O92)</f>
        <v>0.14360914624115809</v>
      </c>
      <c r="P97" s="51">
        <f>IF('Operating Metrics'!P92=0,"",'Operating Metrics'!P95/'Operating Metrics'!P92)</f>
        <v>0.10662415869642225</v>
      </c>
      <c r="Q97" s="51">
        <f>IF('Operating Metrics'!Q92=0,"",'Operating Metrics'!Q95/'Operating Metrics'!Q92)</f>
        <v>0.15392333935380292</v>
      </c>
      <c r="R97" s="51">
        <f>IF('Operating Metrics'!R92=0,"",'Operating Metrics'!R95/'Operating Metrics'!R92)</f>
        <v>0.17365601330131167</v>
      </c>
      <c r="S97" s="59"/>
      <c r="T97" s="59"/>
      <c r="U97" s="59"/>
      <c r="V97" s="59"/>
      <c r="W97" s="59"/>
      <c r="X97" s="59"/>
    </row>
    <row r="98" spans="1:24" ht="20" customHeight="1">
      <c r="A98" s="58" t="s">
        <v>66</v>
      </c>
      <c r="B98" s="45"/>
      <c r="C98" s="59"/>
      <c r="D98" s="61">
        <v>0.17</v>
      </c>
      <c r="E98" s="61">
        <v>0.08</v>
      </c>
      <c r="F98" s="61">
        <v>0.06</v>
      </c>
      <c r="G98" s="59"/>
      <c r="H98" s="61">
        <v>0.09</v>
      </c>
      <c r="I98" s="61">
        <v>0.09</v>
      </c>
      <c r="J98" s="61">
        <v>0.06</v>
      </c>
      <c r="K98" s="61">
        <v>0.09</v>
      </c>
      <c r="L98" s="61">
        <v>0.08</v>
      </c>
      <c r="M98" s="61">
        <v>7.0000000000000007E-2</v>
      </c>
      <c r="N98" s="61">
        <v>5.5E-2</v>
      </c>
      <c r="O98" s="61">
        <v>0.05</v>
      </c>
      <c r="P98" s="61">
        <v>7.0000000000000007E-2</v>
      </c>
      <c r="Q98" s="61">
        <v>0.06</v>
      </c>
      <c r="R98" s="61">
        <v>0.09</v>
      </c>
      <c r="S98" s="59"/>
      <c r="T98" s="59"/>
      <c r="U98" s="59"/>
      <c r="V98" s="59"/>
      <c r="W98" s="59"/>
      <c r="X98" s="59"/>
    </row>
    <row r="99" spans="1:24" ht="20" customHeight="1">
      <c r="A99" s="58" t="s">
        <v>77</v>
      </c>
      <c r="B99" s="45"/>
      <c r="C99" s="59"/>
      <c r="D99" s="61">
        <v>-2.5000000000000001E-2</v>
      </c>
      <c r="E99" s="61">
        <v>0.01</v>
      </c>
      <c r="F99" s="61">
        <v>-0.05</v>
      </c>
      <c r="G99" s="59"/>
      <c r="H99" s="61">
        <v>0.03</v>
      </c>
      <c r="I99" s="61">
        <v>1.4999999999999999E-2</v>
      </c>
      <c r="J99" s="61">
        <v>-2.5000000000000001E-2</v>
      </c>
      <c r="K99" s="61">
        <v>0.03</v>
      </c>
      <c r="L99" s="61">
        <v>-0.09</v>
      </c>
      <c r="M99" s="61">
        <v>-0.06</v>
      </c>
      <c r="N99" s="61">
        <v>-0.01</v>
      </c>
      <c r="O99" s="61">
        <v>-0.05</v>
      </c>
      <c r="P99" s="61">
        <v>0.09</v>
      </c>
      <c r="Q99" s="61">
        <v>0.04</v>
      </c>
      <c r="R99" s="61">
        <v>-0.01</v>
      </c>
      <c r="S99" s="59"/>
      <c r="T99" s="59"/>
      <c r="U99" s="59"/>
      <c r="V99" s="59"/>
      <c r="W99" s="59"/>
      <c r="X99" s="59"/>
    </row>
    <row r="100" spans="1:24" ht="20" customHeight="1">
      <c r="A100" s="58" t="s">
        <v>78</v>
      </c>
      <c r="B100" s="45"/>
      <c r="C100" s="59"/>
      <c r="D100" s="61">
        <v>-0.04</v>
      </c>
      <c r="E100" s="61">
        <v>-0.01</v>
      </c>
      <c r="F100" s="61">
        <v>0</v>
      </c>
      <c r="G100" s="59"/>
      <c r="H100" s="61">
        <v>0.04</v>
      </c>
      <c r="I100" s="61">
        <v>0</v>
      </c>
      <c r="J100" s="61">
        <v>-3.5000000000000003E-2</v>
      </c>
      <c r="K100" s="61">
        <v>-0.01</v>
      </c>
      <c r="L100" s="61">
        <v>-0.04</v>
      </c>
      <c r="M100" s="61">
        <v>0.01</v>
      </c>
      <c r="N100" s="61">
        <v>1.4999999999999999E-2</v>
      </c>
      <c r="O100" s="61">
        <v>0.01</v>
      </c>
      <c r="P100" s="61">
        <v>0.02</v>
      </c>
      <c r="Q100" s="61">
        <v>0.01</v>
      </c>
      <c r="R100" s="61">
        <v>0.04</v>
      </c>
      <c r="S100" s="59"/>
      <c r="T100" s="59"/>
      <c r="U100" s="59"/>
      <c r="V100" s="59"/>
      <c r="W100" s="59"/>
      <c r="X100" s="59"/>
    </row>
    <row r="101" spans="1:24" ht="20" customHeight="1">
      <c r="A101" s="58" t="s">
        <v>133</v>
      </c>
      <c r="B101" s="45"/>
      <c r="C101" s="59"/>
      <c r="D101" s="61">
        <v>0.2</v>
      </c>
      <c r="E101" s="61">
        <v>0.08</v>
      </c>
      <c r="F101" s="61">
        <v>0.09</v>
      </c>
      <c r="G101" s="59"/>
      <c r="H101" s="61">
        <v>0.05</v>
      </c>
      <c r="I101" s="61">
        <v>0.08</v>
      </c>
      <c r="J101" s="61">
        <v>0.09</v>
      </c>
      <c r="K101" s="61">
        <v>0.08</v>
      </c>
      <c r="L101" s="61">
        <v>0.16</v>
      </c>
      <c r="M101" s="61">
        <v>0.11</v>
      </c>
      <c r="N101" s="61">
        <v>0.06</v>
      </c>
      <c r="O101" s="61">
        <v>0.08</v>
      </c>
      <c r="P101" s="61">
        <v>0</v>
      </c>
      <c r="Q101" s="61">
        <v>0.03</v>
      </c>
      <c r="R101" s="61">
        <v>7.0000000000000007E-2</v>
      </c>
      <c r="S101" s="59"/>
      <c r="T101" s="59"/>
      <c r="U101" s="59"/>
      <c r="V101" s="59"/>
      <c r="W101" s="59"/>
      <c r="X101" s="59"/>
    </row>
    <row r="102" spans="1:24" ht="22" customHeight="1">
      <c r="A102" s="56" t="s">
        <v>101</v>
      </c>
      <c r="B102" s="45"/>
      <c r="C102" s="60">
        <v>857</v>
      </c>
      <c r="D102" s="60">
        <v>831</v>
      </c>
      <c r="E102" s="60">
        <v>880</v>
      </c>
      <c r="F102" s="60">
        <v>744</v>
      </c>
      <c r="G102" s="50"/>
      <c r="H102" s="60">
        <v>70</v>
      </c>
      <c r="I102" s="60">
        <v>177</v>
      </c>
      <c r="J102" s="60">
        <v>189</v>
      </c>
      <c r="K102" s="50">
        <f>'Operating Metrics'!E102-SUM('Operating Metrics'!H102,'Operating Metrics'!I102,'Operating Metrics'!J102)</f>
        <v>444</v>
      </c>
      <c r="L102" s="60">
        <v>50</v>
      </c>
      <c r="M102" s="60">
        <v>137</v>
      </c>
      <c r="N102" s="60">
        <v>167</v>
      </c>
      <c r="O102" s="50">
        <f>'Operating Metrics'!F102-SUM('Operating Metrics'!L102,'Operating Metrics'!M102,'Operating Metrics'!N102)</f>
        <v>390</v>
      </c>
      <c r="P102" s="60">
        <v>66</v>
      </c>
      <c r="Q102" s="60">
        <v>151</v>
      </c>
      <c r="R102" s="60">
        <v>159</v>
      </c>
      <c r="S102" s="50"/>
      <c r="T102" s="50"/>
      <c r="U102" s="50"/>
      <c r="V102" s="50"/>
      <c r="W102" s="50"/>
      <c r="X102" s="50"/>
    </row>
    <row r="103" spans="1:24" ht="20" customHeight="1">
      <c r="A103" s="58" t="s">
        <v>102</v>
      </c>
      <c r="B103" s="45"/>
      <c r="C103" s="51">
        <f>IF('Operating Metrics'!C92=0,"",'Operating Metrics'!C102/'Operating Metrics'!C92)</f>
        <v>5.3455588822355286E-2</v>
      </c>
      <c r="D103" s="51">
        <f>IF('Operating Metrics'!D92=0,"",'Operating Metrics'!D102/'Operating Metrics'!D92)</f>
        <v>5.1264651449722393E-2</v>
      </c>
      <c r="E103" s="51">
        <f>IF('Operating Metrics'!E92=0,"",'Operating Metrics'!E102/'Operating Metrics'!E92)</f>
        <v>5.2827470284547963E-2</v>
      </c>
      <c r="F103" s="51">
        <f>IF('Operating Metrics'!F92=0,"",'Operating Metrics'!F102/'Operating Metrics'!F92)</f>
        <v>4.1276005547850207E-2</v>
      </c>
      <c r="G103" s="59"/>
      <c r="H103" s="51">
        <f>IF('Operating Metrics'!H92=0,"",'Operating Metrics'!H102/'Operating Metrics'!H92)</f>
        <v>2.8771064529387588E-2</v>
      </c>
      <c r="I103" s="51">
        <f>IF('Operating Metrics'!I92=0,"",'Operating Metrics'!I102/'Operating Metrics'!I92)</f>
        <v>4.2314128615825959E-2</v>
      </c>
      <c r="J103" s="51">
        <f>IF('Operating Metrics'!J92=0,"",'Operating Metrics'!J102/'Operating Metrics'!J92)</f>
        <v>4.0980052038161317E-2</v>
      </c>
      <c r="K103" s="51">
        <f>IF('Operating Metrics'!K92=0,"",'Operating Metrics'!K102/'Operating Metrics'!K92)</f>
        <v>8.1767955801104977E-2</v>
      </c>
      <c r="L103" s="51">
        <f>IF('Operating Metrics'!L92=0,"",'Operating Metrics'!L102/'Operating Metrics'!L92)</f>
        <v>2.0938023450586266E-2</v>
      </c>
      <c r="M103" s="51">
        <f>IF('Operating Metrics'!M92=0,"",'Operating Metrics'!M102/'Operating Metrics'!M92)</f>
        <v>3.0202821869488534E-2</v>
      </c>
      <c r="N103" s="51">
        <f>IF('Operating Metrics'!N92=0,"",'Operating Metrics'!N102/'Operating Metrics'!N92)</f>
        <v>3.3253683791318198E-2</v>
      </c>
      <c r="O103" s="51">
        <f>IF('Operating Metrics'!O92=0,"",'Operating Metrics'!O102/'Operating Metrics'!O92)</f>
        <v>6.4155288698799148E-2</v>
      </c>
      <c r="P103" s="51">
        <f>IF('Operating Metrics'!P92=0,"",'Operating Metrics'!P102/'Operating Metrics'!P92)</f>
        <v>2.3379383634431455E-2</v>
      </c>
      <c r="Q103" s="51">
        <f>IF('Operating Metrics'!Q92=0,"",'Operating Metrics'!Q102/'Operating Metrics'!Q92)</f>
        <v>3.0303030303030304E-2</v>
      </c>
      <c r="R103" s="51">
        <f>IF('Operating Metrics'!R92=0,"",'Operating Metrics'!R102/'Operating Metrics'!R92)</f>
        <v>2.9373729909477186E-2</v>
      </c>
      <c r="S103" s="59"/>
      <c r="T103" s="59"/>
      <c r="U103" s="59"/>
      <c r="V103" s="59"/>
      <c r="W103" s="59"/>
      <c r="X103" s="59"/>
    </row>
    <row r="104" spans="1:24" ht="22" customHeight="1">
      <c r="A104" s="56" t="s">
        <v>138</v>
      </c>
      <c r="B104" s="45"/>
      <c r="C104" s="60">
        <v>459</v>
      </c>
      <c r="D104" s="60">
        <v>432</v>
      </c>
      <c r="E104" s="60">
        <v>461</v>
      </c>
      <c r="F104" s="50"/>
      <c r="G104" s="50"/>
      <c r="H104" s="60">
        <v>76</v>
      </c>
      <c r="I104" s="60">
        <v>110</v>
      </c>
      <c r="J104" s="60">
        <v>117</v>
      </c>
      <c r="K104" s="50">
        <f>'Operating Metrics'!E104-SUM('Operating Metrics'!H104,'Operating Metrics'!I104,'Operating Metrics'!J104)</f>
        <v>158</v>
      </c>
      <c r="L104" s="60">
        <v>79</v>
      </c>
      <c r="M104" s="60">
        <v>131</v>
      </c>
      <c r="N104" s="60">
        <v>138</v>
      </c>
      <c r="O104" s="50"/>
      <c r="P104" s="50"/>
      <c r="Q104" s="50"/>
      <c r="R104" s="50"/>
      <c r="S104" s="50"/>
      <c r="T104" s="50"/>
      <c r="U104" s="50"/>
      <c r="V104" s="50"/>
      <c r="W104" s="50"/>
      <c r="X104" s="50"/>
    </row>
    <row r="105" spans="1:24" ht="22" customHeight="1">
      <c r="A105" s="56" t="s">
        <v>139</v>
      </c>
      <c r="B105" s="45"/>
      <c r="C105" s="60">
        <v>18</v>
      </c>
      <c r="D105" s="60">
        <v>16</v>
      </c>
      <c r="E105" s="60">
        <v>16</v>
      </c>
      <c r="F105" s="50"/>
      <c r="G105" s="50"/>
      <c r="H105" s="60">
        <v>3</v>
      </c>
      <c r="I105" s="60">
        <v>4</v>
      </c>
      <c r="J105" s="60">
        <v>4</v>
      </c>
      <c r="K105" s="50">
        <f>'Operating Metrics'!E105-SUM('Operating Metrics'!H105,'Operating Metrics'!I105,'Operating Metrics'!J105)</f>
        <v>5</v>
      </c>
      <c r="L105" s="60">
        <v>2</v>
      </c>
      <c r="M105" s="60">
        <v>4</v>
      </c>
      <c r="N105" s="60">
        <v>4</v>
      </c>
      <c r="O105" s="50"/>
      <c r="P105" s="50"/>
      <c r="Q105" s="50"/>
      <c r="R105" s="50"/>
      <c r="S105" s="50"/>
      <c r="T105" s="50"/>
      <c r="U105" s="50"/>
      <c r="V105" s="50"/>
      <c r="W105" s="50"/>
      <c r="X105" s="50"/>
    </row>
    <row r="106" spans="1:24" ht="22" customHeight="1">
      <c r="A106" s="56" t="s">
        <v>136</v>
      </c>
      <c r="B106" s="45"/>
      <c r="C106" s="50">
        <f>'Operating Metrics'!C104+'Operating Metrics'!C105</f>
        <v>477</v>
      </c>
      <c r="D106" s="60">
        <v>448</v>
      </c>
      <c r="E106" s="60">
        <v>477</v>
      </c>
      <c r="F106" s="60">
        <v>549</v>
      </c>
      <c r="G106" s="50"/>
      <c r="H106" s="50">
        <f>'Operating Metrics'!H104+'Operating Metrics'!H105</f>
        <v>79</v>
      </c>
      <c r="I106" s="50">
        <f>'Operating Metrics'!I104+'Operating Metrics'!I105</f>
        <v>114</v>
      </c>
      <c r="J106" s="50">
        <f>'Operating Metrics'!J104+'Operating Metrics'!J105</f>
        <v>121</v>
      </c>
      <c r="K106" s="50">
        <f>'Operating Metrics'!E106-SUM('Operating Metrics'!H106,'Operating Metrics'!I106,'Operating Metrics'!J106)</f>
        <v>163</v>
      </c>
      <c r="L106" s="60">
        <v>81</v>
      </c>
      <c r="M106" s="60">
        <v>135</v>
      </c>
      <c r="N106" s="60">
        <v>142</v>
      </c>
      <c r="O106" s="50">
        <f>'Operating Metrics'!F106-SUM('Operating Metrics'!L106,'Operating Metrics'!M106,'Operating Metrics'!N106)</f>
        <v>191</v>
      </c>
      <c r="P106" s="60">
        <v>101</v>
      </c>
      <c r="Q106" s="60">
        <v>160</v>
      </c>
      <c r="R106" s="60">
        <v>151</v>
      </c>
      <c r="S106" s="50"/>
      <c r="T106" s="50"/>
      <c r="U106" s="50"/>
      <c r="V106" s="50"/>
      <c r="W106" s="50"/>
      <c r="X106" s="50"/>
    </row>
    <row r="107" spans="1:24" ht="22" customHeight="1">
      <c r="A107" s="56" t="s">
        <v>103</v>
      </c>
      <c r="B107" s="45"/>
      <c r="C107" s="54">
        <f>IF('Operating Metrics'!C106=0,"",'Operating Metrics'!C102/'Operating Metrics'!C106)</f>
        <v>1.7966457023060796</v>
      </c>
      <c r="D107" s="54">
        <f>IF('Operating Metrics'!D106=0,"",'Operating Metrics'!D102/'Operating Metrics'!D106)</f>
        <v>1.8549107142857142</v>
      </c>
      <c r="E107" s="54">
        <f>IF('Operating Metrics'!E106=0,"",'Operating Metrics'!E102/'Operating Metrics'!E106)</f>
        <v>1.8448637316561844</v>
      </c>
      <c r="F107" s="54">
        <f>IF('Operating Metrics'!F106=0,"",'Operating Metrics'!F102/'Operating Metrics'!F106)</f>
        <v>1.355191256830601</v>
      </c>
      <c r="G107" s="54"/>
      <c r="H107" s="54">
        <f>IF('Operating Metrics'!H106=0,"",'Operating Metrics'!H102/'Operating Metrics'!H106)</f>
        <v>0.88607594936708856</v>
      </c>
      <c r="I107" s="54">
        <f>IF('Operating Metrics'!I106=0,"",'Operating Metrics'!I102/'Operating Metrics'!I106)</f>
        <v>1.5526315789473684</v>
      </c>
      <c r="J107" s="54">
        <f>IF('Operating Metrics'!J106=0,"",'Operating Metrics'!J102/'Operating Metrics'!J106)</f>
        <v>1.5619834710743801</v>
      </c>
      <c r="K107" s="54">
        <f>IF('Operating Metrics'!K106=0,"",'Operating Metrics'!K102/'Operating Metrics'!K106)</f>
        <v>2.723926380368098</v>
      </c>
      <c r="L107" s="54">
        <f>IF('Operating Metrics'!L106=0,"",'Operating Metrics'!L102/'Operating Metrics'!L106)</f>
        <v>0.61728395061728392</v>
      </c>
      <c r="M107" s="54">
        <f>IF('Operating Metrics'!M106=0,"",'Operating Metrics'!M102/'Operating Metrics'!M106)</f>
        <v>1.0148148148148148</v>
      </c>
      <c r="N107" s="54">
        <f>IF('Operating Metrics'!N106=0,"",'Operating Metrics'!N102/'Operating Metrics'!N106)</f>
        <v>1.176056338028169</v>
      </c>
      <c r="O107" s="54">
        <f>IF('Operating Metrics'!O106=0,"",'Operating Metrics'!O102/'Operating Metrics'!O106)</f>
        <v>2.0418848167539267</v>
      </c>
      <c r="P107" s="54">
        <f>IF('Operating Metrics'!P106=0,"",'Operating Metrics'!P102/'Operating Metrics'!P106)</f>
        <v>0.65346534653465349</v>
      </c>
      <c r="Q107" s="54">
        <f>IF('Operating Metrics'!Q106=0,"",'Operating Metrics'!Q102/'Operating Metrics'!Q106)</f>
        <v>0.94374999999999998</v>
      </c>
      <c r="R107" s="54">
        <f>IF('Operating Metrics'!R106=0,"",'Operating Metrics'!R102/'Operating Metrics'!R106)</f>
        <v>1.0529801324503312</v>
      </c>
      <c r="S107" s="54"/>
      <c r="T107" s="54"/>
      <c r="U107" s="54"/>
      <c r="V107" s="54"/>
      <c r="W107" s="54"/>
      <c r="X107" s="54"/>
    </row>
    <row r="108" spans="1:24" ht="24" customHeight="1">
      <c r="A108" s="172" t="s">
        <v>91</v>
      </c>
      <c r="B108" s="172"/>
      <c r="C108" s="172"/>
      <c r="D108" s="172"/>
      <c r="E108" s="172"/>
      <c r="F108" s="172"/>
      <c r="G108" s="172"/>
      <c r="H108" s="172"/>
      <c r="I108" s="172"/>
      <c r="J108" s="172"/>
      <c r="K108" s="172"/>
      <c r="L108" s="172"/>
      <c r="M108" s="172"/>
      <c r="N108" s="172"/>
      <c r="O108" s="172"/>
      <c r="P108" s="172"/>
      <c r="Q108" s="172"/>
      <c r="R108" s="172"/>
      <c r="S108" s="172"/>
      <c r="T108" s="172"/>
      <c r="U108" s="172"/>
      <c r="V108" s="172"/>
      <c r="W108" s="172"/>
      <c r="X108" s="172"/>
    </row>
    <row r="109" spans="1:24" ht="22" customHeight="1">
      <c r="A109" s="56" t="s">
        <v>63</v>
      </c>
      <c r="B109" s="45"/>
      <c r="C109" s="60">
        <v>8867</v>
      </c>
      <c r="D109" s="60">
        <v>10576</v>
      </c>
      <c r="E109" s="60">
        <v>10568</v>
      </c>
      <c r="F109" s="60">
        <v>10549</v>
      </c>
      <c r="G109" s="50"/>
      <c r="H109" s="60">
        <v>1890</v>
      </c>
      <c r="I109" s="60">
        <v>2749</v>
      </c>
      <c r="J109" s="60">
        <v>2615</v>
      </c>
      <c r="K109" s="60">
        <v>3314</v>
      </c>
      <c r="L109" s="60">
        <v>1661</v>
      </c>
      <c r="M109" s="60">
        <v>2548</v>
      </c>
      <c r="N109" s="60">
        <v>2656</v>
      </c>
      <c r="O109" s="60">
        <v>3684</v>
      </c>
      <c r="P109" s="60">
        <v>1934</v>
      </c>
      <c r="Q109" s="60">
        <v>2940</v>
      </c>
      <c r="R109" s="60">
        <v>3021</v>
      </c>
      <c r="S109" s="50"/>
      <c r="T109" s="50"/>
      <c r="U109" s="50"/>
      <c r="V109" s="50"/>
      <c r="W109" s="50"/>
      <c r="X109" s="50"/>
    </row>
    <row r="110" spans="1:24" ht="20" customHeight="1">
      <c r="A110" s="58" t="s">
        <v>83</v>
      </c>
      <c r="B110" s="45"/>
      <c r="C110" s="59"/>
      <c r="D110" s="51">
        <f>IF(OR('Operating Metrics'!C109&lt;=0,'Operating Metrics'!D109&lt;0),"",'Operating Metrics'!D109/'Operating Metrics'!C109-1)</f>
        <v>0.19273711514604708</v>
      </c>
      <c r="E110" s="51">
        <f>IF(OR('Operating Metrics'!D109&lt;=0,'Operating Metrics'!E109&lt;0),"",'Operating Metrics'!E109/'Operating Metrics'!D109-1)</f>
        <v>-7.5642965204236745E-4</v>
      </c>
      <c r="F110" s="51">
        <f>IF(OR('Operating Metrics'!E109&lt;=0,'Operating Metrics'!F109&lt;0),"",'Operating Metrics'!F109/'Operating Metrics'!E109-1)</f>
        <v>-1.7978803936411492E-3</v>
      </c>
      <c r="G110" s="59"/>
      <c r="H110" s="59"/>
      <c r="I110" s="59"/>
      <c r="J110" s="59"/>
      <c r="K110" s="59"/>
      <c r="L110" s="51">
        <f>IF(OR('Operating Metrics'!H109&lt;=0,'Operating Metrics'!L109&lt;0),"",'Operating Metrics'!L109/'Operating Metrics'!H109-1)</f>
        <v>-0.12116402116402114</v>
      </c>
      <c r="M110" s="51">
        <f>IF(OR('Operating Metrics'!I109&lt;=0,'Operating Metrics'!M109&lt;0),"",'Operating Metrics'!M109/'Operating Metrics'!I109-1)</f>
        <v>-7.3117497271735221E-2</v>
      </c>
      <c r="N110" s="51">
        <f>IF(OR('Operating Metrics'!J109&lt;=0,'Operating Metrics'!N109&lt;0),"",'Operating Metrics'!N109/'Operating Metrics'!J109-1)</f>
        <v>1.5678776290630969E-2</v>
      </c>
      <c r="O110" s="51">
        <f>IF(OR('Operating Metrics'!K109&lt;=0,'Operating Metrics'!O109&lt;0),"",'Operating Metrics'!O109/'Operating Metrics'!K109-1)</f>
        <v>0.11164755582377794</v>
      </c>
      <c r="P110" s="51">
        <f>IF(OR('Operating Metrics'!L109&lt;=0,'Operating Metrics'!P109&lt;0),"",'Operating Metrics'!P109/'Operating Metrics'!L109-1)</f>
        <v>0.16435881998795909</v>
      </c>
      <c r="Q110" s="51">
        <f>IF(OR('Operating Metrics'!M109&lt;=0,'Operating Metrics'!Q109&lt;0),"",'Operating Metrics'!Q109/'Operating Metrics'!M109-1)</f>
        <v>0.15384615384615374</v>
      </c>
      <c r="R110" s="51">
        <f>IF(OR('Operating Metrics'!N109&lt;=0,'Operating Metrics'!R109&lt;0),"",'Operating Metrics'!R109/'Operating Metrics'!N109-1)</f>
        <v>0.13742469879518082</v>
      </c>
      <c r="S110" s="59"/>
      <c r="T110" s="59"/>
      <c r="U110" s="59"/>
      <c r="V110" s="59"/>
      <c r="W110" s="59"/>
      <c r="X110" s="59"/>
    </row>
    <row r="111" spans="1:24" ht="22" customHeight="1">
      <c r="A111" s="56" t="s">
        <v>87</v>
      </c>
      <c r="B111" s="45"/>
      <c r="C111" s="60">
        <v>1353</v>
      </c>
      <c r="D111" s="60">
        <v>1898</v>
      </c>
      <c r="E111" s="60">
        <v>2052</v>
      </c>
      <c r="F111" s="60">
        <v>2010</v>
      </c>
      <c r="G111" s="50"/>
      <c r="H111" s="60">
        <v>422</v>
      </c>
      <c r="I111" s="60">
        <v>534</v>
      </c>
      <c r="J111" s="60">
        <v>480</v>
      </c>
      <c r="K111" s="60">
        <v>616</v>
      </c>
      <c r="L111" s="60">
        <v>344</v>
      </c>
      <c r="M111" s="60">
        <v>533</v>
      </c>
      <c r="N111" s="60">
        <v>424</v>
      </c>
      <c r="O111" s="60">
        <v>709</v>
      </c>
      <c r="P111" s="60">
        <v>428</v>
      </c>
      <c r="Q111" s="60">
        <v>616</v>
      </c>
      <c r="R111" s="60">
        <v>624</v>
      </c>
      <c r="S111" s="50"/>
      <c r="T111" s="50"/>
      <c r="U111" s="50"/>
      <c r="V111" s="50"/>
      <c r="W111" s="50"/>
      <c r="X111" s="50"/>
    </row>
    <row r="112" spans="1:24" ht="22" customHeight="1">
      <c r="A112" s="56" t="s">
        <v>84</v>
      </c>
      <c r="B112" s="45"/>
      <c r="C112" s="50"/>
      <c r="D112" s="60">
        <v>1929</v>
      </c>
      <c r="E112" s="60">
        <v>2101</v>
      </c>
      <c r="F112" s="60">
        <v>2144</v>
      </c>
      <c r="G112" s="50"/>
      <c r="H112" s="60">
        <v>427</v>
      </c>
      <c r="I112" s="60">
        <v>550</v>
      </c>
      <c r="J112" s="60">
        <v>491</v>
      </c>
      <c r="K112" s="60">
        <v>633</v>
      </c>
      <c r="L112" s="60">
        <v>351</v>
      </c>
      <c r="M112" s="60">
        <v>545</v>
      </c>
      <c r="N112" s="60">
        <v>523</v>
      </c>
      <c r="O112" s="60">
        <v>725</v>
      </c>
      <c r="P112" s="60">
        <v>431</v>
      </c>
      <c r="Q112" s="60">
        <v>620</v>
      </c>
      <c r="R112" s="60">
        <v>626</v>
      </c>
      <c r="S112" s="50"/>
      <c r="T112" s="50"/>
      <c r="U112" s="50"/>
      <c r="V112" s="50"/>
      <c r="W112" s="50"/>
      <c r="X112" s="50"/>
    </row>
    <row r="113" spans="1:24" ht="20" customHeight="1">
      <c r="A113" s="58" t="s">
        <v>85</v>
      </c>
      <c r="B113" s="45"/>
      <c r="C113" s="59"/>
      <c r="D113" s="59"/>
      <c r="E113" s="51">
        <f>IF(OR('Operating Metrics'!D112&lt;=0,'Operating Metrics'!E112&lt;0),"",'Operating Metrics'!E112/'Operating Metrics'!D112-1)</f>
        <v>8.9165370658372156E-2</v>
      </c>
      <c r="F113" s="51">
        <f>IF(OR('Operating Metrics'!E112&lt;=0,'Operating Metrics'!F112&lt;0),"",'Operating Metrics'!F112/'Operating Metrics'!E112-1)</f>
        <v>2.0466444550214291E-2</v>
      </c>
      <c r="G113" s="59"/>
      <c r="H113" s="59"/>
      <c r="I113" s="59"/>
      <c r="J113" s="59"/>
      <c r="K113" s="59"/>
      <c r="L113" s="51">
        <f>IF(OR('Operating Metrics'!H112&lt;=0,'Operating Metrics'!L112&lt;0),"",'Operating Metrics'!L112/'Operating Metrics'!H112-1)</f>
        <v>-0.17798594847775173</v>
      </c>
      <c r="M113" s="51">
        <f>IF(OR('Operating Metrics'!I112&lt;=0,'Operating Metrics'!M112&lt;0),"",'Operating Metrics'!M112/'Operating Metrics'!I112-1)</f>
        <v>-9.0909090909090384E-3</v>
      </c>
      <c r="N113" s="51">
        <f>IF(OR('Operating Metrics'!J112&lt;=0,'Operating Metrics'!N112&lt;0),"",'Operating Metrics'!N112/'Operating Metrics'!J112-1)</f>
        <v>6.5173116089612959E-2</v>
      </c>
      <c r="O113" s="51">
        <f>IF(OR('Operating Metrics'!K112&lt;=0,'Operating Metrics'!O112&lt;0),"",'Operating Metrics'!O112/'Operating Metrics'!K112-1)</f>
        <v>0.14533965244865721</v>
      </c>
      <c r="P113" s="51">
        <f>IF(OR('Operating Metrics'!L112&lt;=0,'Operating Metrics'!P112&lt;0),"",'Operating Metrics'!P112/'Operating Metrics'!L112-1)</f>
        <v>0.22792022792022792</v>
      </c>
      <c r="Q113" s="51">
        <f>IF(OR('Operating Metrics'!M112&lt;=0,'Operating Metrics'!Q112&lt;0),"",'Operating Metrics'!Q112/'Operating Metrics'!M112-1)</f>
        <v>0.13761467889908263</v>
      </c>
      <c r="R113" s="51">
        <f>IF(OR('Operating Metrics'!N112&lt;=0,'Operating Metrics'!R112&lt;0),"",'Operating Metrics'!R112/'Operating Metrics'!N112-1)</f>
        <v>0.19694072657743789</v>
      </c>
      <c r="S113" s="59"/>
      <c r="T113" s="59"/>
      <c r="U113" s="59"/>
      <c r="V113" s="59"/>
      <c r="W113" s="59"/>
      <c r="X113" s="59"/>
    </row>
    <row r="114" spans="1:24" ht="20" customHeight="1">
      <c r="A114" s="58" t="s">
        <v>86</v>
      </c>
      <c r="B114" s="45"/>
      <c r="C114" s="59"/>
      <c r="D114" s="51">
        <f>IF('Operating Metrics'!D109=0,"",'Operating Metrics'!D112/'Operating Metrics'!D109)</f>
        <v>0.18239409984871408</v>
      </c>
      <c r="E114" s="51">
        <f>IF('Operating Metrics'!E109=0,"",'Operating Metrics'!E112/'Operating Metrics'!E109)</f>
        <v>0.19880772142316427</v>
      </c>
      <c r="F114" s="51">
        <f>IF('Operating Metrics'!F109=0,"",'Operating Metrics'!F112/'Operating Metrics'!F109)</f>
        <v>0.20324201346099155</v>
      </c>
      <c r="G114" s="59"/>
      <c r="H114" s="51">
        <f>IF('Operating Metrics'!H109=0,"",'Operating Metrics'!H112/'Operating Metrics'!H109)</f>
        <v>0.22592592592592592</v>
      </c>
      <c r="I114" s="51">
        <f>IF('Operating Metrics'!I109=0,"",'Operating Metrics'!I112/'Operating Metrics'!I109)</f>
        <v>0.20007275372862859</v>
      </c>
      <c r="J114" s="51">
        <f>IF('Operating Metrics'!J109=0,"",'Operating Metrics'!J112/'Operating Metrics'!J109)</f>
        <v>0.18776290630975143</v>
      </c>
      <c r="K114" s="51">
        <f>IF('Operating Metrics'!K109=0,"",'Operating Metrics'!K112/'Operating Metrics'!K109)</f>
        <v>0.19100784550392275</v>
      </c>
      <c r="L114" s="51">
        <f>IF('Operating Metrics'!L109=0,"",'Operating Metrics'!L112/'Operating Metrics'!L109)</f>
        <v>0.21131848284166166</v>
      </c>
      <c r="M114" s="51">
        <f>IF('Operating Metrics'!M109=0,"",'Operating Metrics'!M112/'Operating Metrics'!M109)</f>
        <v>0.21389324960753534</v>
      </c>
      <c r="N114" s="51">
        <f>IF('Operating Metrics'!N109=0,"",'Operating Metrics'!N112/'Operating Metrics'!N109)</f>
        <v>0.19691265060240964</v>
      </c>
      <c r="O114" s="51">
        <f>IF('Operating Metrics'!O109=0,"",'Operating Metrics'!O112/'Operating Metrics'!O109)</f>
        <v>0.19679695982627579</v>
      </c>
      <c r="P114" s="51">
        <f>IF('Operating Metrics'!P109=0,"",'Operating Metrics'!P112/'Operating Metrics'!P109)</f>
        <v>0.22285418821096173</v>
      </c>
      <c r="Q114" s="51">
        <f>IF('Operating Metrics'!Q109=0,"",'Operating Metrics'!Q112/'Operating Metrics'!Q109)</f>
        <v>0.21088435374149661</v>
      </c>
      <c r="R114" s="51">
        <f>IF('Operating Metrics'!R109=0,"",'Operating Metrics'!R112/'Operating Metrics'!R109)</f>
        <v>0.20721615359152598</v>
      </c>
      <c r="S114" s="59"/>
      <c r="T114" s="59"/>
      <c r="U114" s="59"/>
      <c r="V114" s="59"/>
      <c r="W114" s="59"/>
      <c r="X114" s="59"/>
    </row>
    <row r="115" spans="1:24" ht="20" customHeight="1">
      <c r="A115" s="58" t="s">
        <v>66</v>
      </c>
      <c r="B115" s="45"/>
      <c r="C115" s="59"/>
      <c r="D115" s="61">
        <v>0.11</v>
      </c>
      <c r="E115" s="61">
        <v>0.03</v>
      </c>
      <c r="F115" s="61">
        <v>4.4999999999999998E-2</v>
      </c>
      <c r="G115" s="59"/>
      <c r="H115" s="61">
        <v>0.09</v>
      </c>
      <c r="I115" s="61">
        <v>0.01</v>
      </c>
      <c r="J115" s="61">
        <v>0.02</v>
      </c>
      <c r="K115" s="61">
        <v>0.03</v>
      </c>
      <c r="L115" s="61">
        <v>0.03</v>
      </c>
      <c r="M115" s="61">
        <v>0.06</v>
      </c>
      <c r="N115" s="61">
        <v>0.04</v>
      </c>
      <c r="O115" s="61">
        <v>0.05</v>
      </c>
      <c r="P115" s="61">
        <v>0.03</v>
      </c>
      <c r="Q115" s="61">
        <v>0.04</v>
      </c>
      <c r="R115" s="61">
        <v>0.06</v>
      </c>
      <c r="S115" s="59"/>
      <c r="T115" s="59"/>
      <c r="U115" s="59"/>
      <c r="V115" s="59"/>
      <c r="W115" s="59"/>
      <c r="X115" s="59"/>
    </row>
    <row r="116" spans="1:24" ht="20" customHeight="1">
      <c r="A116" s="58" t="s">
        <v>77</v>
      </c>
      <c r="B116" s="45"/>
      <c r="C116" s="59"/>
      <c r="D116" s="61">
        <v>-0.04</v>
      </c>
      <c r="E116" s="61">
        <v>-0.02</v>
      </c>
      <c r="F116" s="61">
        <v>0.01</v>
      </c>
      <c r="G116" s="59"/>
      <c r="H116" s="61">
        <v>-5.0000000000000001E-3</v>
      </c>
      <c r="I116" s="61">
        <v>-0.06</v>
      </c>
      <c r="J116" s="61">
        <v>-0.02</v>
      </c>
      <c r="K116" s="61">
        <v>0</v>
      </c>
      <c r="L116" s="61">
        <v>-5.0000000000000001E-3</v>
      </c>
      <c r="M116" s="61">
        <v>0.04</v>
      </c>
      <c r="N116" s="61">
        <v>0</v>
      </c>
      <c r="O116" s="61">
        <v>-0.01</v>
      </c>
      <c r="P116" s="61">
        <v>-0.02</v>
      </c>
      <c r="Q116" s="61">
        <v>0</v>
      </c>
      <c r="R116" s="61">
        <v>0.03</v>
      </c>
      <c r="S116" s="59"/>
      <c r="T116" s="59"/>
      <c r="U116" s="59"/>
      <c r="V116" s="59"/>
      <c r="W116" s="59"/>
      <c r="X116" s="59"/>
    </row>
    <row r="117" spans="1:24" ht="20" customHeight="1">
      <c r="A117" s="58" t="s">
        <v>133</v>
      </c>
      <c r="B117" s="45"/>
      <c r="C117" s="59"/>
      <c r="D117" s="61">
        <v>0.14000000000000001</v>
      </c>
      <c r="E117" s="61">
        <v>0.05</v>
      </c>
      <c r="F117" s="61">
        <v>0.04</v>
      </c>
      <c r="G117" s="59"/>
      <c r="H117" s="61">
        <v>0.09</v>
      </c>
      <c r="I117" s="61">
        <v>7.0000000000000007E-2</v>
      </c>
      <c r="J117" s="61">
        <v>0.04</v>
      </c>
      <c r="K117" s="61">
        <v>0.03</v>
      </c>
      <c r="L117" s="61">
        <v>0.03</v>
      </c>
      <c r="M117" s="61">
        <v>0.02</v>
      </c>
      <c r="N117" s="61">
        <v>0.04</v>
      </c>
      <c r="O117" s="61">
        <v>0.06</v>
      </c>
      <c r="P117" s="61">
        <v>5.5E-2</v>
      </c>
      <c r="Q117" s="61">
        <v>0.04</v>
      </c>
      <c r="R117" s="61">
        <v>0.03</v>
      </c>
      <c r="S117" s="59"/>
      <c r="T117" s="59"/>
      <c r="U117" s="59"/>
      <c r="V117" s="59"/>
      <c r="W117" s="59"/>
      <c r="X117" s="59"/>
    </row>
    <row r="118" spans="1:24" ht="22" customHeight="1">
      <c r="A118" s="56" t="s">
        <v>101</v>
      </c>
      <c r="B118" s="45"/>
      <c r="C118" s="60">
        <v>551</v>
      </c>
      <c r="D118" s="60">
        <v>814</v>
      </c>
      <c r="E118" s="60">
        <v>809</v>
      </c>
      <c r="F118" s="60">
        <v>672</v>
      </c>
      <c r="G118" s="50"/>
      <c r="H118" s="60">
        <v>61</v>
      </c>
      <c r="I118" s="60">
        <v>145</v>
      </c>
      <c r="J118" s="60">
        <v>207</v>
      </c>
      <c r="K118" s="50">
        <f>'Operating Metrics'!E118-SUM('Operating Metrics'!H118,'Operating Metrics'!I118,'Operating Metrics'!J118)</f>
        <v>396</v>
      </c>
      <c r="L118" s="60">
        <v>46</v>
      </c>
      <c r="M118" s="60">
        <v>115</v>
      </c>
      <c r="N118" s="60">
        <v>178</v>
      </c>
      <c r="O118" s="50">
        <f>'Operating Metrics'!F118-SUM('Operating Metrics'!L118,'Operating Metrics'!M118,'Operating Metrics'!N118)</f>
        <v>333</v>
      </c>
      <c r="P118" s="60">
        <v>41</v>
      </c>
      <c r="Q118" s="60">
        <v>107</v>
      </c>
      <c r="R118" s="60">
        <v>110</v>
      </c>
      <c r="S118" s="50"/>
      <c r="T118" s="50"/>
      <c r="U118" s="50"/>
      <c r="V118" s="50"/>
      <c r="W118" s="50"/>
      <c r="X118" s="50"/>
    </row>
    <row r="119" spans="1:24" ht="20" customHeight="1">
      <c r="A119" s="58" t="s">
        <v>102</v>
      </c>
      <c r="B119" s="45"/>
      <c r="C119" s="51">
        <f>IF('Operating Metrics'!C109=0,"",'Operating Metrics'!C118/'Operating Metrics'!C109)</f>
        <v>6.214052103304387E-2</v>
      </c>
      <c r="D119" s="51">
        <f>IF('Operating Metrics'!D109=0,"",'Operating Metrics'!D118/'Operating Metrics'!D109)</f>
        <v>7.6966717095310139E-2</v>
      </c>
      <c r="E119" s="51">
        <f>IF('Operating Metrics'!E109=0,"",'Operating Metrics'!E118/'Operating Metrics'!E109)</f>
        <v>7.6551854655563967E-2</v>
      </c>
      <c r="F119" s="51">
        <f>IF('Operating Metrics'!F109=0,"",'Operating Metrics'!F118/'Operating Metrics'!F109)</f>
        <v>6.3702720637027213E-2</v>
      </c>
      <c r="G119" s="59"/>
      <c r="H119" s="51">
        <f>IF('Operating Metrics'!H109=0,"",'Operating Metrics'!H118/'Operating Metrics'!H109)</f>
        <v>3.2275132275132276E-2</v>
      </c>
      <c r="I119" s="51">
        <f>IF('Operating Metrics'!I109=0,"",'Operating Metrics'!I118/'Operating Metrics'!I109)</f>
        <v>5.2746453255729353E-2</v>
      </c>
      <c r="J119" s="51">
        <f>IF('Operating Metrics'!J109=0,"",'Operating Metrics'!J118/'Operating Metrics'!J109)</f>
        <v>7.9158699808795405E-2</v>
      </c>
      <c r="K119" s="51">
        <f>IF('Operating Metrics'!K109=0,"",'Operating Metrics'!K118/'Operating Metrics'!K109)</f>
        <v>0.11949305974652988</v>
      </c>
      <c r="L119" s="51">
        <f>IF('Operating Metrics'!L109=0,"",'Operating Metrics'!L118/'Operating Metrics'!L109)</f>
        <v>2.7694160144491272E-2</v>
      </c>
      <c r="M119" s="51">
        <f>IF('Operating Metrics'!M109=0,"",'Operating Metrics'!M118/'Operating Metrics'!M109)</f>
        <v>4.5133437990580845E-2</v>
      </c>
      <c r="N119" s="51">
        <f>IF('Operating Metrics'!N109=0,"",'Operating Metrics'!N118/'Operating Metrics'!N109)</f>
        <v>6.7018072289156627E-2</v>
      </c>
      <c r="O119" s="51">
        <f>IF('Operating Metrics'!O109=0,"",'Operating Metrics'!O118/'Operating Metrics'!O109)</f>
        <v>9.039087947882736E-2</v>
      </c>
      <c r="P119" s="51">
        <f>IF('Operating Metrics'!P109=0,"",'Operating Metrics'!P118/'Operating Metrics'!P109)</f>
        <v>2.1199586349534644E-2</v>
      </c>
      <c r="Q119" s="51">
        <f>IF('Operating Metrics'!Q109=0,"",'Operating Metrics'!Q118/'Operating Metrics'!Q109)</f>
        <v>3.6394557823129253E-2</v>
      </c>
      <c r="R119" s="51">
        <f>IF('Operating Metrics'!R109=0,"",'Operating Metrics'!R118/'Operating Metrics'!R109)</f>
        <v>3.6411784177424696E-2</v>
      </c>
      <c r="S119" s="59"/>
      <c r="T119" s="59"/>
      <c r="U119" s="59"/>
      <c r="V119" s="59"/>
      <c r="W119" s="59"/>
      <c r="X119" s="59"/>
    </row>
    <row r="120" spans="1:24" ht="22" customHeight="1">
      <c r="A120" s="56" t="s">
        <v>138</v>
      </c>
      <c r="B120" s="45"/>
      <c r="C120" s="60">
        <v>295</v>
      </c>
      <c r="D120" s="60">
        <v>361</v>
      </c>
      <c r="E120" s="60">
        <v>381</v>
      </c>
      <c r="F120" s="50"/>
      <c r="G120" s="50"/>
      <c r="H120" s="60">
        <v>64</v>
      </c>
      <c r="I120" s="60">
        <v>102</v>
      </c>
      <c r="J120" s="60">
        <v>96</v>
      </c>
      <c r="K120" s="50">
        <f>'Operating Metrics'!E120-SUM('Operating Metrics'!H120,'Operating Metrics'!I120,'Operating Metrics'!J120)</f>
        <v>119</v>
      </c>
      <c r="L120" s="60">
        <v>62</v>
      </c>
      <c r="M120" s="60">
        <v>99</v>
      </c>
      <c r="N120" s="60">
        <v>105</v>
      </c>
      <c r="O120" s="50"/>
      <c r="P120" s="50"/>
      <c r="Q120" s="50"/>
      <c r="R120" s="50"/>
      <c r="S120" s="50"/>
      <c r="T120" s="50"/>
      <c r="U120" s="50"/>
      <c r="V120" s="50"/>
      <c r="W120" s="50"/>
      <c r="X120" s="50"/>
    </row>
    <row r="121" spans="1:24" ht="22" customHeight="1">
      <c r="A121" s="56" t="s">
        <v>139</v>
      </c>
      <c r="B121" s="45"/>
      <c r="C121" s="60">
        <v>2</v>
      </c>
      <c r="D121" s="60">
        <v>1</v>
      </c>
      <c r="E121" s="60">
        <v>1</v>
      </c>
      <c r="F121" s="50"/>
      <c r="G121" s="50"/>
      <c r="H121" s="60">
        <v>0</v>
      </c>
      <c r="I121" s="60">
        <v>1</v>
      </c>
      <c r="J121" s="60">
        <v>0</v>
      </c>
      <c r="K121" s="50">
        <f>'Operating Metrics'!E121-SUM('Operating Metrics'!H121,'Operating Metrics'!I121,'Operating Metrics'!J121)</f>
        <v>0</v>
      </c>
      <c r="L121" s="60">
        <v>0</v>
      </c>
      <c r="M121" s="60">
        <v>1</v>
      </c>
      <c r="N121" s="60">
        <v>0</v>
      </c>
      <c r="O121" s="50"/>
      <c r="P121" s="50"/>
      <c r="Q121" s="50"/>
      <c r="R121" s="50"/>
      <c r="S121" s="50"/>
      <c r="T121" s="50"/>
      <c r="U121" s="50"/>
      <c r="V121" s="50"/>
      <c r="W121" s="50"/>
      <c r="X121" s="50"/>
    </row>
    <row r="122" spans="1:24" ht="22" customHeight="1">
      <c r="A122" s="56" t="s">
        <v>136</v>
      </c>
      <c r="B122" s="45"/>
      <c r="C122" s="50">
        <f>'Operating Metrics'!C120+'Operating Metrics'!C121</f>
        <v>297</v>
      </c>
      <c r="D122" s="60">
        <v>362</v>
      </c>
      <c r="E122" s="60">
        <v>382</v>
      </c>
      <c r="F122" s="60">
        <v>417</v>
      </c>
      <c r="G122" s="50"/>
      <c r="H122" s="50">
        <f>'Operating Metrics'!H120+'Operating Metrics'!H121</f>
        <v>64</v>
      </c>
      <c r="I122" s="50">
        <f>'Operating Metrics'!I120+'Operating Metrics'!I121</f>
        <v>103</v>
      </c>
      <c r="J122" s="50">
        <f>'Operating Metrics'!J120+'Operating Metrics'!J121</f>
        <v>96</v>
      </c>
      <c r="K122" s="50">
        <f>'Operating Metrics'!E122-SUM('Operating Metrics'!H122,'Operating Metrics'!I122,'Operating Metrics'!J122)</f>
        <v>119</v>
      </c>
      <c r="L122" s="60">
        <v>62</v>
      </c>
      <c r="M122" s="60">
        <v>100</v>
      </c>
      <c r="N122" s="60">
        <v>105</v>
      </c>
      <c r="O122" s="50">
        <f>'Operating Metrics'!F122-SUM('Operating Metrics'!L122,'Operating Metrics'!M122,'Operating Metrics'!N122)</f>
        <v>150</v>
      </c>
      <c r="P122" s="60">
        <v>80</v>
      </c>
      <c r="Q122" s="60">
        <v>123</v>
      </c>
      <c r="R122" s="60">
        <v>127</v>
      </c>
      <c r="S122" s="50"/>
      <c r="T122" s="50"/>
      <c r="U122" s="50"/>
      <c r="V122" s="50"/>
      <c r="W122" s="50"/>
      <c r="X122" s="50"/>
    </row>
    <row r="123" spans="1:24" ht="22" customHeight="1">
      <c r="A123" s="56" t="s">
        <v>103</v>
      </c>
      <c r="B123" s="45"/>
      <c r="C123" s="54">
        <f>IF('Operating Metrics'!C122=0,"",'Operating Metrics'!C118/'Operating Metrics'!C122)</f>
        <v>1.8552188552188553</v>
      </c>
      <c r="D123" s="54">
        <f>IF('Operating Metrics'!D122=0,"",'Operating Metrics'!D118/'Operating Metrics'!D122)</f>
        <v>2.2486187845303869</v>
      </c>
      <c r="E123" s="54">
        <f>IF('Operating Metrics'!E122=0,"",'Operating Metrics'!E118/'Operating Metrics'!E122)</f>
        <v>2.1178010471204187</v>
      </c>
      <c r="F123" s="54">
        <f>IF('Operating Metrics'!F122=0,"",'Operating Metrics'!F118/'Operating Metrics'!F122)</f>
        <v>1.6115107913669064</v>
      </c>
      <c r="G123" s="54"/>
      <c r="H123" s="54">
        <f>IF('Operating Metrics'!H122=0,"",'Operating Metrics'!H118/'Operating Metrics'!H122)</f>
        <v>0.953125</v>
      </c>
      <c r="I123" s="54">
        <f>IF('Operating Metrics'!I122=0,"",'Operating Metrics'!I118/'Operating Metrics'!I122)</f>
        <v>1.4077669902912622</v>
      </c>
      <c r="J123" s="54">
        <f>IF('Operating Metrics'!J122=0,"",'Operating Metrics'!J118/'Operating Metrics'!J122)</f>
        <v>2.15625</v>
      </c>
      <c r="K123" s="54">
        <f>IF('Operating Metrics'!K122=0,"",'Operating Metrics'!K118/'Operating Metrics'!K122)</f>
        <v>3.327731092436975</v>
      </c>
      <c r="L123" s="54">
        <f>IF('Operating Metrics'!L122=0,"",'Operating Metrics'!L118/'Operating Metrics'!L122)</f>
        <v>0.74193548387096775</v>
      </c>
      <c r="M123" s="54">
        <f>IF('Operating Metrics'!M122=0,"",'Operating Metrics'!M118/'Operating Metrics'!M122)</f>
        <v>1.1499999999999999</v>
      </c>
      <c r="N123" s="54">
        <f>IF('Operating Metrics'!N122=0,"",'Operating Metrics'!N118/'Operating Metrics'!N122)</f>
        <v>1.6952380952380952</v>
      </c>
      <c r="O123" s="54">
        <f>IF('Operating Metrics'!O122=0,"",'Operating Metrics'!O118/'Operating Metrics'!O122)</f>
        <v>2.2200000000000002</v>
      </c>
      <c r="P123" s="54">
        <f>IF('Operating Metrics'!P122=0,"",'Operating Metrics'!P118/'Operating Metrics'!P122)</f>
        <v>0.51249999999999996</v>
      </c>
      <c r="Q123" s="54">
        <f>IF('Operating Metrics'!Q122=0,"",'Operating Metrics'!Q118/'Operating Metrics'!Q122)</f>
        <v>0.86991869918699183</v>
      </c>
      <c r="R123" s="54">
        <f>IF('Operating Metrics'!R122=0,"",'Operating Metrics'!R118/'Operating Metrics'!R122)</f>
        <v>0.86614173228346458</v>
      </c>
      <c r="S123" s="54"/>
      <c r="T123" s="54"/>
      <c r="U123" s="54"/>
      <c r="V123" s="54"/>
      <c r="W123" s="54"/>
      <c r="X123" s="54"/>
    </row>
    <row r="124" spans="1:24" ht="24" customHeight="1">
      <c r="A124" s="172" t="s">
        <v>92</v>
      </c>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row>
    <row r="125" spans="1:24" ht="22" customHeight="1">
      <c r="A125" s="56" t="s">
        <v>63</v>
      </c>
      <c r="B125" s="45"/>
      <c r="C125" s="60">
        <v>4501</v>
      </c>
      <c r="D125" s="60">
        <v>4485</v>
      </c>
      <c r="E125" s="60">
        <v>4549</v>
      </c>
      <c r="F125" s="60">
        <v>4629</v>
      </c>
      <c r="G125" s="50"/>
      <c r="H125" s="60">
        <v>1045</v>
      </c>
      <c r="I125" s="60">
        <v>997</v>
      </c>
      <c r="J125" s="60">
        <v>1091</v>
      </c>
      <c r="K125" s="60">
        <v>1416</v>
      </c>
      <c r="L125" s="60">
        <v>1022</v>
      </c>
      <c r="M125" s="60">
        <v>1002</v>
      </c>
      <c r="N125" s="60">
        <v>1115</v>
      </c>
      <c r="O125" s="60">
        <v>1490</v>
      </c>
      <c r="P125" s="60">
        <v>1139</v>
      </c>
      <c r="Q125" s="60">
        <v>1124</v>
      </c>
      <c r="R125" s="60">
        <v>1229</v>
      </c>
      <c r="S125" s="50"/>
      <c r="T125" s="50"/>
      <c r="U125" s="50"/>
      <c r="V125" s="50"/>
      <c r="W125" s="50"/>
      <c r="X125" s="50"/>
    </row>
    <row r="126" spans="1:24" ht="20" customHeight="1">
      <c r="A126" s="58" t="s">
        <v>83</v>
      </c>
      <c r="B126" s="45"/>
      <c r="C126" s="59"/>
      <c r="D126" s="51">
        <f>IF(OR('Operating Metrics'!C125&lt;=0,'Operating Metrics'!D125&lt;0),"",'Operating Metrics'!D125/'Operating Metrics'!C125-1)</f>
        <v>-3.5547656076427847E-3</v>
      </c>
      <c r="E126" s="51">
        <f>IF(OR('Operating Metrics'!D125&lt;=0,'Operating Metrics'!E125&lt;0),"",'Operating Metrics'!E125/'Operating Metrics'!D125-1)</f>
        <v>1.4269788182831755E-2</v>
      </c>
      <c r="F126" s="51">
        <f>IF(OR('Operating Metrics'!E125&lt;=0,'Operating Metrics'!F125&lt;0),"",'Operating Metrics'!F125/'Operating Metrics'!E125-1)</f>
        <v>1.758628269949436E-2</v>
      </c>
      <c r="G126" s="59"/>
      <c r="H126" s="59"/>
      <c r="I126" s="59"/>
      <c r="J126" s="59"/>
      <c r="K126" s="59"/>
      <c r="L126" s="51">
        <f>IF(OR('Operating Metrics'!H125&lt;=0,'Operating Metrics'!L125&lt;0),"",'Operating Metrics'!L125/'Operating Metrics'!H125-1)</f>
        <v>-2.2009569377990479E-2</v>
      </c>
      <c r="M126" s="51">
        <f>IF(OR('Operating Metrics'!I125&lt;=0,'Operating Metrics'!M125&lt;0),"",'Operating Metrics'!M125/'Operating Metrics'!I125-1)</f>
        <v>5.015045135406293E-3</v>
      </c>
      <c r="N126" s="51">
        <f>IF(OR('Operating Metrics'!J125&lt;=0,'Operating Metrics'!N125&lt;0),"",'Operating Metrics'!N125/'Operating Metrics'!J125-1)</f>
        <v>2.1998166819431786E-2</v>
      </c>
      <c r="O126" s="51">
        <f>IF(OR('Operating Metrics'!K125&lt;=0,'Operating Metrics'!O125&lt;0),"",'Operating Metrics'!O125/'Operating Metrics'!K125-1)</f>
        <v>5.2259887005649652E-2</v>
      </c>
      <c r="P126" s="51">
        <f>IF(OR('Operating Metrics'!L125&lt;=0,'Operating Metrics'!P125&lt;0),"",'Operating Metrics'!P125/'Operating Metrics'!L125-1)</f>
        <v>0.11448140900195702</v>
      </c>
      <c r="Q126" s="51">
        <f>IF(OR('Operating Metrics'!M125&lt;=0,'Operating Metrics'!Q125&lt;0),"",'Operating Metrics'!Q125/'Operating Metrics'!M125-1)</f>
        <v>0.12175648702594821</v>
      </c>
      <c r="R126" s="51">
        <f>IF(OR('Operating Metrics'!N125&lt;=0,'Operating Metrics'!R125&lt;0),"",'Operating Metrics'!R125/'Operating Metrics'!N125-1)</f>
        <v>0.1022421524663677</v>
      </c>
      <c r="S126" s="59"/>
      <c r="T126" s="59"/>
      <c r="U126" s="59"/>
      <c r="V126" s="59"/>
      <c r="W126" s="59"/>
      <c r="X126" s="59"/>
    </row>
    <row r="127" spans="1:24" ht="22" customHeight="1">
      <c r="A127" s="56" t="s">
        <v>87</v>
      </c>
      <c r="B127" s="45"/>
      <c r="C127" s="60">
        <v>78</v>
      </c>
      <c r="D127" s="60">
        <v>301</v>
      </c>
      <c r="E127" s="60">
        <v>377</v>
      </c>
      <c r="F127" s="60">
        <v>369</v>
      </c>
      <c r="G127" s="50"/>
      <c r="H127" s="60">
        <v>175</v>
      </c>
      <c r="I127" s="60">
        <v>103</v>
      </c>
      <c r="J127" s="60">
        <v>129</v>
      </c>
      <c r="K127" s="60">
        <v>-30</v>
      </c>
      <c r="L127" s="60">
        <v>160</v>
      </c>
      <c r="M127" s="60">
        <v>10</v>
      </c>
      <c r="N127" s="60">
        <v>151</v>
      </c>
      <c r="O127" s="60">
        <v>48</v>
      </c>
      <c r="P127" s="60">
        <v>217</v>
      </c>
      <c r="Q127" s="60">
        <v>127</v>
      </c>
      <c r="R127" s="60">
        <v>174</v>
      </c>
      <c r="S127" s="50"/>
      <c r="T127" s="50"/>
      <c r="U127" s="50"/>
      <c r="V127" s="50"/>
      <c r="W127" s="50"/>
      <c r="X127" s="50"/>
    </row>
    <row r="128" spans="1:24" ht="22" customHeight="1">
      <c r="A128" s="56" t="s">
        <v>84</v>
      </c>
      <c r="B128" s="45"/>
      <c r="C128" s="50"/>
      <c r="D128" s="60">
        <v>370</v>
      </c>
      <c r="E128" s="60">
        <v>391</v>
      </c>
      <c r="F128" s="60">
        <v>464</v>
      </c>
      <c r="G128" s="50"/>
      <c r="H128" s="60">
        <v>175</v>
      </c>
      <c r="I128" s="60">
        <v>107</v>
      </c>
      <c r="J128" s="60">
        <v>131</v>
      </c>
      <c r="K128" s="60">
        <v>-22</v>
      </c>
      <c r="L128" s="60">
        <v>161</v>
      </c>
      <c r="M128" s="60">
        <v>93</v>
      </c>
      <c r="N128" s="60">
        <v>156</v>
      </c>
      <c r="O128" s="60">
        <v>54</v>
      </c>
      <c r="P128" s="60">
        <v>218</v>
      </c>
      <c r="Q128" s="60">
        <v>134</v>
      </c>
      <c r="R128" s="60">
        <v>179</v>
      </c>
      <c r="S128" s="50"/>
      <c r="T128" s="50"/>
      <c r="U128" s="50"/>
      <c r="V128" s="50"/>
      <c r="W128" s="50"/>
      <c r="X128" s="50"/>
    </row>
    <row r="129" spans="1:24" ht="20" customHeight="1">
      <c r="A129" s="58" t="s">
        <v>85</v>
      </c>
      <c r="B129" s="45"/>
      <c r="C129" s="59"/>
      <c r="D129" s="59"/>
      <c r="E129" s="51">
        <f>IF(OR('Operating Metrics'!D128&lt;=0,'Operating Metrics'!E128&lt;0),"",'Operating Metrics'!E128/'Operating Metrics'!D128-1)</f>
        <v>5.6756756756756843E-2</v>
      </c>
      <c r="F129" s="51">
        <f>IF(OR('Operating Metrics'!E128&lt;=0,'Operating Metrics'!F128&lt;0),"",'Operating Metrics'!F128/'Operating Metrics'!E128-1)</f>
        <v>0.1867007672634271</v>
      </c>
      <c r="G129" s="59"/>
      <c r="H129" s="59"/>
      <c r="I129" s="59"/>
      <c r="J129" s="59"/>
      <c r="K129" s="59"/>
      <c r="L129" s="51">
        <f>IF(OR('Operating Metrics'!H128&lt;=0,'Operating Metrics'!L128&lt;0),"",'Operating Metrics'!L128/'Operating Metrics'!H128-1)</f>
        <v>-7.999999999999996E-2</v>
      </c>
      <c r="M129" s="51">
        <f>IF(OR('Operating Metrics'!I128&lt;=0,'Operating Metrics'!M128&lt;0),"",'Operating Metrics'!M128/'Operating Metrics'!I128-1)</f>
        <v>-0.13084112149532712</v>
      </c>
      <c r="N129" s="51">
        <f>IF(OR('Operating Metrics'!J128&lt;=0,'Operating Metrics'!N128&lt;0),"",'Operating Metrics'!N128/'Operating Metrics'!J128-1)</f>
        <v>0.19083969465648853</v>
      </c>
      <c r="O129" s="51" t="str">
        <f>IF(OR('Operating Metrics'!K128&lt;=0,'Operating Metrics'!O128&lt;0),"",'Operating Metrics'!O128/'Operating Metrics'!K128-1)</f>
        <v/>
      </c>
      <c r="P129" s="51">
        <f>IF(OR('Operating Metrics'!L128&lt;=0,'Operating Metrics'!P128&lt;0),"",'Operating Metrics'!P128/'Operating Metrics'!L128-1)</f>
        <v>0.35403726708074523</v>
      </c>
      <c r="Q129" s="51">
        <f>IF(OR('Operating Metrics'!M128&lt;=0,'Operating Metrics'!Q128&lt;0),"",'Operating Metrics'!Q128/'Operating Metrics'!M128-1)</f>
        <v>0.44086021505376349</v>
      </c>
      <c r="R129" s="51">
        <f>IF(OR('Operating Metrics'!N128&lt;=0,'Operating Metrics'!R128&lt;0),"",'Operating Metrics'!R128/'Operating Metrics'!N128-1)</f>
        <v>0.14743589743589736</v>
      </c>
      <c r="S129" s="59"/>
      <c r="T129" s="59"/>
      <c r="U129" s="59"/>
      <c r="V129" s="59"/>
      <c r="W129" s="59"/>
      <c r="X129" s="59"/>
    </row>
    <row r="130" spans="1:24" ht="20" customHeight="1">
      <c r="A130" s="58" t="s">
        <v>86</v>
      </c>
      <c r="B130" s="45"/>
      <c r="C130" s="59"/>
      <c r="D130" s="51">
        <f>IF('Operating Metrics'!D125=0,"",'Operating Metrics'!D128/'Operating Metrics'!D125)</f>
        <v>8.2497212931995537E-2</v>
      </c>
      <c r="E130" s="51">
        <f>IF('Operating Metrics'!E125=0,"",'Operating Metrics'!E128/'Operating Metrics'!E125)</f>
        <v>8.5952956693778851E-2</v>
      </c>
      <c r="F130" s="51">
        <f>IF('Operating Metrics'!F125=0,"",'Operating Metrics'!F128/'Operating Metrics'!F125)</f>
        <v>0.10023763231799525</v>
      </c>
      <c r="G130" s="59"/>
      <c r="H130" s="51">
        <f>IF('Operating Metrics'!H125=0,"",'Operating Metrics'!H128/'Operating Metrics'!H125)</f>
        <v>0.1674641148325359</v>
      </c>
      <c r="I130" s="51">
        <f>IF('Operating Metrics'!I125=0,"",'Operating Metrics'!I128/'Operating Metrics'!I125)</f>
        <v>0.10732196589769308</v>
      </c>
      <c r="J130" s="51">
        <f>IF('Operating Metrics'!J125=0,"",'Operating Metrics'!J128/'Operating Metrics'!J125)</f>
        <v>0.12007332722273144</v>
      </c>
      <c r="K130" s="51">
        <f>IF('Operating Metrics'!K125=0,"",'Operating Metrics'!K128/'Operating Metrics'!K125)</f>
        <v>-1.5536723163841809E-2</v>
      </c>
      <c r="L130" s="51">
        <f>IF('Operating Metrics'!L125=0,"",'Operating Metrics'!L128/'Operating Metrics'!L125)</f>
        <v>0.15753424657534246</v>
      </c>
      <c r="M130" s="51">
        <f>IF('Operating Metrics'!M125=0,"",'Operating Metrics'!M128/'Operating Metrics'!M125)</f>
        <v>9.2814371257485026E-2</v>
      </c>
      <c r="N130" s="51">
        <f>IF('Operating Metrics'!N125=0,"",'Operating Metrics'!N128/'Operating Metrics'!N125)</f>
        <v>0.13991031390134528</v>
      </c>
      <c r="O130" s="51">
        <f>IF('Operating Metrics'!O125=0,"",'Operating Metrics'!O128/'Operating Metrics'!O125)</f>
        <v>3.6241610738255034E-2</v>
      </c>
      <c r="P130" s="51">
        <f>IF('Operating Metrics'!P125=0,"",'Operating Metrics'!P128/'Operating Metrics'!P125)</f>
        <v>0.19139596136962247</v>
      </c>
      <c r="Q130" s="51">
        <f>IF('Operating Metrics'!Q125=0,"",'Operating Metrics'!Q128/'Operating Metrics'!Q125)</f>
        <v>0.11921708185053381</v>
      </c>
      <c r="R130" s="51">
        <f>IF('Operating Metrics'!R125=0,"",'Operating Metrics'!R128/'Operating Metrics'!R125)</f>
        <v>0.14564686737184704</v>
      </c>
      <c r="S130" s="59"/>
      <c r="T130" s="59"/>
      <c r="U130" s="59"/>
      <c r="V130" s="59"/>
      <c r="W130" s="59"/>
      <c r="X130" s="59"/>
    </row>
    <row r="131" spans="1:24" ht="20" customHeight="1">
      <c r="A131" s="58" t="s">
        <v>66</v>
      </c>
      <c r="B131" s="45"/>
      <c r="C131" s="59"/>
      <c r="D131" s="61">
        <v>0.04</v>
      </c>
      <c r="E131" s="61">
        <v>0.03</v>
      </c>
      <c r="F131" s="61">
        <v>1.4999999999999999E-2</v>
      </c>
      <c r="G131" s="59"/>
      <c r="H131" s="61">
        <v>0.1</v>
      </c>
      <c r="I131" s="61">
        <v>0.01</v>
      </c>
      <c r="J131" s="61">
        <v>1.4999999999999999E-2</v>
      </c>
      <c r="K131" s="61">
        <v>0.02</v>
      </c>
      <c r="L131" s="61">
        <v>-0.01</v>
      </c>
      <c r="M131" s="61">
        <v>0</v>
      </c>
      <c r="N131" s="61">
        <v>0.01</v>
      </c>
      <c r="O131" s="61">
        <v>0.04</v>
      </c>
      <c r="P131" s="61">
        <v>7.0000000000000007E-2</v>
      </c>
      <c r="Q131" s="61">
        <v>0.09</v>
      </c>
      <c r="R131" s="61">
        <v>0.09</v>
      </c>
      <c r="S131" s="59"/>
      <c r="T131" s="59"/>
      <c r="U131" s="59"/>
      <c r="V131" s="59"/>
      <c r="W131" s="59"/>
      <c r="X131" s="59"/>
    </row>
    <row r="132" spans="1:24" ht="20" customHeight="1">
      <c r="A132" s="58" t="s">
        <v>77</v>
      </c>
      <c r="B132" s="45"/>
      <c r="C132" s="59"/>
      <c r="D132" s="61">
        <v>-0.02</v>
      </c>
      <c r="E132" s="61">
        <v>0.06</v>
      </c>
      <c r="F132" s="61">
        <v>0.04</v>
      </c>
      <c r="G132" s="59"/>
      <c r="H132" s="61">
        <v>0.12</v>
      </c>
      <c r="I132" s="61">
        <v>0.03</v>
      </c>
      <c r="J132" s="61">
        <v>3.5000000000000003E-2</v>
      </c>
      <c r="K132" s="61">
        <v>0.06</v>
      </c>
      <c r="L132" s="61">
        <v>0.03</v>
      </c>
      <c r="M132" s="61">
        <v>0.05</v>
      </c>
      <c r="N132" s="61">
        <v>0.03</v>
      </c>
      <c r="O132" s="61">
        <v>0.04</v>
      </c>
      <c r="P132" s="61">
        <v>0.09</v>
      </c>
      <c r="Q132" s="61">
        <v>0.1</v>
      </c>
      <c r="R132" s="61">
        <v>0.11</v>
      </c>
      <c r="S132" s="59"/>
      <c r="T132" s="59"/>
      <c r="U132" s="59"/>
      <c r="V132" s="59"/>
      <c r="W132" s="59"/>
      <c r="X132" s="59"/>
    </row>
    <row r="133" spans="1:24" ht="20" customHeight="1">
      <c r="A133" s="58" t="s">
        <v>133</v>
      </c>
      <c r="B133" s="45"/>
      <c r="C133" s="59"/>
      <c r="D133" s="61">
        <v>0.06</v>
      </c>
      <c r="E133" s="61">
        <v>-0.03</v>
      </c>
      <c r="F133" s="61">
        <v>-0.03</v>
      </c>
      <c r="G133" s="59"/>
      <c r="H133" s="61">
        <v>-0.02</v>
      </c>
      <c r="I133" s="61">
        <v>-0.03</v>
      </c>
      <c r="J133" s="61">
        <v>-0.02</v>
      </c>
      <c r="K133" s="61">
        <v>-0.05</v>
      </c>
      <c r="L133" s="61">
        <v>-0.04</v>
      </c>
      <c r="M133" s="61">
        <v>-0.06</v>
      </c>
      <c r="N133" s="61">
        <v>-0.03</v>
      </c>
      <c r="O133" s="61">
        <v>0</v>
      </c>
      <c r="P133" s="61">
        <v>-0.02</v>
      </c>
      <c r="Q133" s="61">
        <v>-0.01</v>
      </c>
      <c r="R133" s="61">
        <v>-0.02</v>
      </c>
      <c r="S133" s="59"/>
      <c r="T133" s="59"/>
      <c r="U133" s="59"/>
      <c r="V133" s="59"/>
      <c r="W133" s="59"/>
      <c r="X133" s="59"/>
    </row>
    <row r="134" spans="1:24" ht="22" customHeight="1">
      <c r="A134" s="56" t="s">
        <v>101</v>
      </c>
      <c r="B134" s="45"/>
      <c r="C134" s="60">
        <v>261</v>
      </c>
      <c r="D134" s="60">
        <v>312</v>
      </c>
      <c r="E134" s="60">
        <v>312</v>
      </c>
      <c r="F134" s="60">
        <v>257</v>
      </c>
      <c r="G134" s="50"/>
      <c r="H134" s="60">
        <v>19</v>
      </c>
      <c r="I134" s="60">
        <v>52</v>
      </c>
      <c r="J134" s="60">
        <v>96</v>
      </c>
      <c r="K134" s="50">
        <f>'Operating Metrics'!E134-SUM('Operating Metrics'!H134,'Operating Metrics'!I134,'Operating Metrics'!J134)</f>
        <v>145</v>
      </c>
      <c r="L134" s="60">
        <v>24</v>
      </c>
      <c r="M134" s="60">
        <v>68</v>
      </c>
      <c r="N134" s="60">
        <v>60</v>
      </c>
      <c r="O134" s="50">
        <f>'Operating Metrics'!F134-SUM('Operating Metrics'!L134,'Operating Metrics'!M134,'Operating Metrics'!N134)</f>
        <v>105</v>
      </c>
      <c r="P134" s="60">
        <v>16</v>
      </c>
      <c r="Q134" s="60">
        <v>35</v>
      </c>
      <c r="R134" s="60">
        <v>43</v>
      </c>
      <c r="S134" s="50"/>
      <c r="T134" s="50"/>
      <c r="U134" s="50"/>
      <c r="V134" s="50"/>
      <c r="W134" s="50"/>
      <c r="X134" s="50"/>
    </row>
    <row r="135" spans="1:24" ht="20" customHeight="1">
      <c r="A135" s="58" t="s">
        <v>102</v>
      </c>
      <c r="B135" s="45"/>
      <c r="C135" s="51">
        <f>IF('Operating Metrics'!C125=0,"",'Operating Metrics'!C134/'Operating Metrics'!C125)</f>
        <v>5.7987113974672294E-2</v>
      </c>
      <c r="D135" s="51">
        <f>IF('Operating Metrics'!D125=0,"",'Operating Metrics'!D134/'Operating Metrics'!D125)</f>
        <v>6.9565217391304349E-2</v>
      </c>
      <c r="E135" s="51">
        <f>IF('Operating Metrics'!E125=0,"",'Operating Metrics'!E134/'Operating Metrics'!E125)</f>
        <v>6.8586502528028143E-2</v>
      </c>
      <c r="F135" s="51">
        <f>IF('Operating Metrics'!F125=0,"",'Operating Metrics'!F134/'Operating Metrics'!F125)</f>
        <v>5.551955065888961E-2</v>
      </c>
      <c r="G135" s="59"/>
      <c r="H135" s="51">
        <f>IF('Operating Metrics'!H125=0,"",'Operating Metrics'!H134/'Operating Metrics'!H125)</f>
        <v>1.8181818181818181E-2</v>
      </c>
      <c r="I135" s="51">
        <f>IF('Operating Metrics'!I125=0,"",'Operating Metrics'!I134/'Operating Metrics'!I125)</f>
        <v>5.2156469408224673E-2</v>
      </c>
      <c r="J135" s="51">
        <f>IF('Operating Metrics'!J125=0,"",'Operating Metrics'!J134/'Operating Metrics'!J125)</f>
        <v>8.7992667277726852E-2</v>
      </c>
      <c r="K135" s="51">
        <f>IF('Operating Metrics'!K125=0,"",'Operating Metrics'!K134/'Operating Metrics'!K125)</f>
        <v>0.10240112994350282</v>
      </c>
      <c r="L135" s="51">
        <f>IF('Operating Metrics'!L125=0,"",'Operating Metrics'!L134/'Operating Metrics'!L125)</f>
        <v>2.3483365949119372E-2</v>
      </c>
      <c r="M135" s="51">
        <f>IF('Operating Metrics'!M125=0,"",'Operating Metrics'!M134/'Operating Metrics'!M125)</f>
        <v>6.7864271457085831E-2</v>
      </c>
      <c r="N135" s="51">
        <f>IF('Operating Metrics'!N125=0,"",'Operating Metrics'!N134/'Operating Metrics'!N125)</f>
        <v>5.3811659192825115E-2</v>
      </c>
      <c r="O135" s="51">
        <f>IF('Operating Metrics'!O125=0,"",'Operating Metrics'!O134/'Operating Metrics'!O125)</f>
        <v>7.0469798657718116E-2</v>
      </c>
      <c r="P135" s="51">
        <f>IF('Operating Metrics'!P125=0,"",'Operating Metrics'!P134/'Operating Metrics'!P125)</f>
        <v>1.4047410008779631E-2</v>
      </c>
      <c r="Q135" s="51">
        <f>IF('Operating Metrics'!Q125=0,"",'Operating Metrics'!Q134/'Operating Metrics'!Q125)</f>
        <v>3.1138790035587189E-2</v>
      </c>
      <c r="R135" s="51">
        <f>IF('Operating Metrics'!R125=0,"",'Operating Metrics'!R134/'Operating Metrics'!R125)</f>
        <v>3.4987794955248168E-2</v>
      </c>
      <c r="S135" s="59"/>
      <c r="T135" s="59"/>
      <c r="U135" s="59"/>
      <c r="V135" s="59"/>
      <c r="W135" s="59"/>
      <c r="X135" s="59"/>
    </row>
    <row r="136" spans="1:24" ht="22" customHeight="1">
      <c r="A136" s="56" t="s">
        <v>138</v>
      </c>
      <c r="B136" s="45"/>
      <c r="C136" s="60">
        <v>100</v>
      </c>
      <c r="D136" s="60">
        <v>110</v>
      </c>
      <c r="E136" s="60">
        <v>125</v>
      </c>
      <c r="F136" s="50"/>
      <c r="G136" s="50"/>
      <c r="H136" s="60">
        <v>20</v>
      </c>
      <c r="I136" s="60">
        <v>29</v>
      </c>
      <c r="J136" s="60">
        <v>32</v>
      </c>
      <c r="K136" s="50">
        <f>'Operating Metrics'!E136-SUM('Operating Metrics'!H136,'Operating Metrics'!I136,'Operating Metrics'!J136)</f>
        <v>44</v>
      </c>
      <c r="L136" s="60">
        <v>22</v>
      </c>
      <c r="M136" s="60">
        <v>36</v>
      </c>
      <c r="N136" s="60">
        <v>36</v>
      </c>
      <c r="O136" s="50"/>
      <c r="P136" s="50"/>
      <c r="Q136" s="50"/>
      <c r="R136" s="50"/>
      <c r="S136" s="50"/>
      <c r="T136" s="50"/>
      <c r="U136" s="50"/>
      <c r="V136" s="50"/>
      <c r="W136" s="50"/>
      <c r="X136" s="50"/>
    </row>
    <row r="137" spans="1:24" ht="22" customHeight="1">
      <c r="A137" s="56" t="s">
        <v>139</v>
      </c>
      <c r="B137" s="45"/>
      <c r="C137" s="60">
        <v>8</v>
      </c>
      <c r="D137" s="60">
        <v>8</v>
      </c>
      <c r="E137" s="60">
        <v>8</v>
      </c>
      <c r="F137" s="50"/>
      <c r="G137" s="50"/>
      <c r="H137" s="60">
        <v>1</v>
      </c>
      <c r="I137" s="60">
        <v>2</v>
      </c>
      <c r="J137" s="60">
        <v>2</v>
      </c>
      <c r="K137" s="50">
        <f>'Operating Metrics'!E137-SUM('Operating Metrics'!H137,'Operating Metrics'!I137,'Operating Metrics'!J137)</f>
        <v>3</v>
      </c>
      <c r="L137" s="60">
        <v>1</v>
      </c>
      <c r="M137" s="60">
        <v>2</v>
      </c>
      <c r="N137" s="60">
        <v>2</v>
      </c>
      <c r="O137" s="50"/>
      <c r="P137" s="50"/>
      <c r="Q137" s="50"/>
      <c r="R137" s="50"/>
      <c r="S137" s="50"/>
      <c r="T137" s="50"/>
      <c r="U137" s="50"/>
      <c r="V137" s="50"/>
      <c r="W137" s="50"/>
      <c r="X137" s="50"/>
    </row>
    <row r="138" spans="1:24" ht="22" customHeight="1">
      <c r="A138" s="56" t="s">
        <v>136</v>
      </c>
      <c r="B138" s="45"/>
      <c r="C138" s="50">
        <f>'Operating Metrics'!C136+'Operating Metrics'!C137</f>
        <v>108</v>
      </c>
      <c r="D138" s="60">
        <v>118</v>
      </c>
      <c r="E138" s="60">
        <v>133</v>
      </c>
      <c r="F138" s="60">
        <v>153</v>
      </c>
      <c r="G138" s="50"/>
      <c r="H138" s="50">
        <f>'Operating Metrics'!H136+'Operating Metrics'!H137</f>
        <v>21</v>
      </c>
      <c r="I138" s="50">
        <f>'Operating Metrics'!I136+'Operating Metrics'!I137</f>
        <v>31</v>
      </c>
      <c r="J138" s="50">
        <f>'Operating Metrics'!J136+'Operating Metrics'!J137</f>
        <v>34</v>
      </c>
      <c r="K138" s="50">
        <f>'Operating Metrics'!E138-SUM('Operating Metrics'!H138,'Operating Metrics'!I138,'Operating Metrics'!J138)</f>
        <v>47</v>
      </c>
      <c r="L138" s="60">
        <v>23</v>
      </c>
      <c r="M138" s="60">
        <v>38</v>
      </c>
      <c r="N138" s="60">
        <v>38</v>
      </c>
      <c r="O138" s="50">
        <f>'Operating Metrics'!F138-SUM('Operating Metrics'!L138,'Operating Metrics'!M138,'Operating Metrics'!N138)</f>
        <v>54</v>
      </c>
      <c r="P138" s="60">
        <v>28</v>
      </c>
      <c r="Q138" s="60">
        <v>42</v>
      </c>
      <c r="R138" s="60">
        <v>44</v>
      </c>
      <c r="S138" s="50"/>
      <c r="T138" s="50"/>
      <c r="U138" s="50"/>
      <c r="V138" s="50"/>
      <c r="W138" s="50"/>
      <c r="X138" s="50"/>
    </row>
    <row r="139" spans="1:24" ht="22" customHeight="1">
      <c r="A139" s="56" t="s">
        <v>103</v>
      </c>
      <c r="B139" s="45"/>
      <c r="C139" s="54">
        <f>IF('Operating Metrics'!C138=0,"",'Operating Metrics'!C134/'Operating Metrics'!C138)</f>
        <v>2.4166666666666665</v>
      </c>
      <c r="D139" s="54">
        <f>IF('Operating Metrics'!D138=0,"",'Operating Metrics'!D134/'Operating Metrics'!D138)</f>
        <v>2.6440677966101696</v>
      </c>
      <c r="E139" s="54">
        <f>IF('Operating Metrics'!E138=0,"",'Operating Metrics'!E134/'Operating Metrics'!E138)</f>
        <v>2.3458646616541352</v>
      </c>
      <c r="F139" s="54">
        <f>IF('Operating Metrics'!F138=0,"",'Operating Metrics'!F134/'Operating Metrics'!F138)</f>
        <v>1.6797385620915033</v>
      </c>
      <c r="G139" s="54"/>
      <c r="H139" s="54">
        <f>IF('Operating Metrics'!H138=0,"",'Operating Metrics'!H134/'Operating Metrics'!H138)</f>
        <v>0.90476190476190477</v>
      </c>
      <c r="I139" s="54">
        <f>IF('Operating Metrics'!I138=0,"",'Operating Metrics'!I134/'Operating Metrics'!I138)</f>
        <v>1.6774193548387097</v>
      </c>
      <c r="J139" s="54">
        <f>IF('Operating Metrics'!J138=0,"",'Operating Metrics'!J134/'Operating Metrics'!J138)</f>
        <v>2.8235294117647061</v>
      </c>
      <c r="K139" s="54">
        <f>IF('Operating Metrics'!K138=0,"",'Operating Metrics'!K134/'Operating Metrics'!K138)</f>
        <v>3.0851063829787235</v>
      </c>
      <c r="L139" s="54">
        <f>IF('Operating Metrics'!L138=0,"",'Operating Metrics'!L134/'Operating Metrics'!L138)</f>
        <v>1.0434782608695652</v>
      </c>
      <c r="M139" s="54">
        <f>IF('Operating Metrics'!M138=0,"",'Operating Metrics'!M134/'Operating Metrics'!M138)</f>
        <v>1.7894736842105263</v>
      </c>
      <c r="N139" s="54">
        <f>IF('Operating Metrics'!N138=0,"",'Operating Metrics'!N134/'Operating Metrics'!N138)</f>
        <v>1.5789473684210527</v>
      </c>
      <c r="O139" s="54">
        <f>IF('Operating Metrics'!O138=0,"",'Operating Metrics'!O134/'Operating Metrics'!O138)</f>
        <v>1.9444444444444444</v>
      </c>
      <c r="P139" s="54">
        <f>IF('Operating Metrics'!P138=0,"",'Operating Metrics'!P134/'Operating Metrics'!P138)</f>
        <v>0.5714285714285714</v>
      </c>
      <c r="Q139" s="54">
        <f>IF('Operating Metrics'!Q138=0,"",'Operating Metrics'!Q134/'Operating Metrics'!Q138)</f>
        <v>0.83333333333333337</v>
      </c>
      <c r="R139" s="54">
        <f>IF('Operating Metrics'!R138=0,"",'Operating Metrics'!R134/'Operating Metrics'!R138)</f>
        <v>0.97727272727272729</v>
      </c>
      <c r="S139" s="54"/>
      <c r="T139" s="54"/>
      <c r="U139" s="54"/>
      <c r="V139" s="54"/>
      <c r="W139" s="54"/>
      <c r="X139" s="54"/>
    </row>
    <row r="140" spans="1:24" ht="24" customHeight="1">
      <c r="A140" s="172" t="s">
        <v>140</v>
      </c>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row>
    <row r="141" spans="1:24" ht="22" customHeight="1">
      <c r="A141" s="56" t="s">
        <v>95</v>
      </c>
      <c r="B141" s="45"/>
      <c r="C141" s="60">
        <v>-2094</v>
      </c>
      <c r="D141" s="60">
        <v>-2375</v>
      </c>
      <c r="E141" s="60">
        <v>-1896</v>
      </c>
      <c r="F141" s="60">
        <v>-2018</v>
      </c>
      <c r="G141" s="50"/>
      <c r="H141" s="60">
        <v>-370</v>
      </c>
      <c r="I141" s="60">
        <v>-337</v>
      </c>
      <c r="J141" s="60">
        <v>-442</v>
      </c>
      <c r="K141" s="60">
        <v>-747</v>
      </c>
      <c r="L141" s="60">
        <v>-414</v>
      </c>
      <c r="M141" s="60">
        <v>-411</v>
      </c>
      <c r="N141" s="60">
        <v>-427</v>
      </c>
      <c r="O141" s="60">
        <v>-766</v>
      </c>
      <c r="P141" s="60">
        <v>-196</v>
      </c>
      <c r="Q141" s="60">
        <v>-503</v>
      </c>
      <c r="R141" s="60">
        <v>-386</v>
      </c>
      <c r="S141" s="50"/>
      <c r="T141" s="50"/>
      <c r="U141" s="50"/>
      <c r="V141" s="50"/>
      <c r="W141" s="50"/>
      <c r="X141" s="50"/>
    </row>
    <row r="142" spans="1:24" ht="22" customHeight="1">
      <c r="A142" s="56" t="s">
        <v>94</v>
      </c>
      <c r="B142" s="45"/>
      <c r="C142" s="50"/>
      <c r="D142" s="60">
        <v>-2226</v>
      </c>
      <c r="E142" s="60">
        <v>-1820</v>
      </c>
      <c r="F142" s="60">
        <v>-1953</v>
      </c>
      <c r="G142" s="50"/>
      <c r="H142" s="60">
        <v>-376</v>
      </c>
      <c r="I142" s="60">
        <v>-339</v>
      </c>
      <c r="J142" s="60">
        <v>-351</v>
      </c>
      <c r="K142" s="60">
        <v>-754</v>
      </c>
      <c r="L142" s="60">
        <v>-405</v>
      </c>
      <c r="M142" s="60">
        <v>-404</v>
      </c>
      <c r="N142" s="60">
        <v>-406</v>
      </c>
      <c r="O142" s="60">
        <v>-738</v>
      </c>
      <c r="P142" s="60">
        <v>-372</v>
      </c>
      <c r="Q142" s="60">
        <v>-453</v>
      </c>
      <c r="R142" s="60">
        <v>-426</v>
      </c>
      <c r="S142" s="50"/>
      <c r="T142" s="50"/>
      <c r="U142" s="50"/>
      <c r="V142" s="50"/>
      <c r="W142" s="50"/>
      <c r="X142" s="50"/>
    </row>
    <row r="143" spans="1:24" ht="22" customHeight="1">
      <c r="A143" s="56" t="s">
        <v>104</v>
      </c>
      <c r="B143" s="45"/>
      <c r="C143" s="60">
        <v>139</v>
      </c>
      <c r="D143" s="60">
        <v>284</v>
      </c>
      <c r="E143" s="60">
        <v>322</v>
      </c>
      <c r="F143" s="60">
        <v>223</v>
      </c>
      <c r="G143" s="50"/>
      <c r="H143" s="60">
        <v>36</v>
      </c>
      <c r="I143" s="60">
        <v>84</v>
      </c>
      <c r="J143" s="60">
        <v>58</v>
      </c>
      <c r="K143" s="50">
        <f>'Operating Metrics'!E143-SUM('Operating Metrics'!H143,'Operating Metrics'!I143,'Operating Metrics'!J143)</f>
        <v>144</v>
      </c>
      <c r="L143" s="60">
        <v>24</v>
      </c>
      <c r="M143" s="60">
        <v>41</v>
      </c>
      <c r="N143" s="60">
        <v>58</v>
      </c>
      <c r="O143" s="50">
        <f>'Operating Metrics'!F143-SUM('Operating Metrics'!L143,'Operating Metrics'!M143,'Operating Metrics'!N143)</f>
        <v>100</v>
      </c>
      <c r="P143" s="60">
        <v>22</v>
      </c>
      <c r="Q143" s="60">
        <v>34</v>
      </c>
      <c r="R143" s="60">
        <v>47</v>
      </c>
      <c r="S143" s="50"/>
      <c r="T143" s="50"/>
      <c r="U143" s="50"/>
      <c r="V143" s="50"/>
      <c r="W143" s="50"/>
      <c r="X143" s="50"/>
    </row>
    <row r="144" spans="1:24" ht="22" customHeight="1">
      <c r="A144" s="56" t="s">
        <v>138</v>
      </c>
      <c r="B144" s="45"/>
      <c r="C144" s="60">
        <v>121</v>
      </c>
      <c r="D144" s="60">
        <v>98</v>
      </c>
      <c r="E144" s="60">
        <v>128</v>
      </c>
      <c r="F144" s="50"/>
      <c r="G144" s="50"/>
      <c r="H144" s="60">
        <v>26</v>
      </c>
      <c r="I144" s="60">
        <v>28</v>
      </c>
      <c r="J144" s="60">
        <v>29</v>
      </c>
      <c r="K144" s="50">
        <f>'Operating Metrics'!E144-SUM('Operating Metrics'!H144,'Operating Metrics'!I144,'Operating Metrics'!J144)</f>
        <v>45</v>
      </c>
      <c r="L144" s="60">
        <v>36</v>
      </c>
      <c r="M144" s="60">
        <v>36</v>
      </c>
      <c r="N144" s="60">
        <v>37</v>
      </c>
      <c r="O144" s="50"/>
      <c r="P144" s="50"/>
      <c r="Q144" s="50"/>
      <c r="R144" s="50"/>
      <c r="S144" s="50"/>
      <c r="T144" s="50"/>
      <c r="U144" s="50"/>
      <c r="V144" s="50"/>
      <c r="W144" s="50"/>
      <c r="X144" s="50"/>
    </row>
    <row r="145" spans="1:24" ht="22" customHeight="1">
      <c r="A145" s="56" t="s">
        <v>139</v>
      </c>
      <c r="B145" s="45"/>
      <c r="C145" s="60">
        <v>0</v>
      </c>
      <c r="D145" s="60">
        <v>0</v>
      </c>
      <c r="E145" s="60">
        <v>0</v>
      </c>
      <c r="F145" s="50"/>
      <c r="G145" s="50"/>
      <c r="H145" s="60">
        <v>0</v>
      </c>
      <c r="I145" s="60">
        <v>0</v>
      </c>
      <c r="J145" s="60">
        <v>0</v>
      </c>
      <c r="K145" s="50">
        <f>'Operating Metrics'!E145-SUM('Operating Metrics'!H145,'Operating Metrics'!I145,'Operating Metrics'!J145)</f>
        <v>0</v>
      </c>
      <c r="L145" s="60">
        <v>0</v>
      </c>
      <c r="M145" s="60">
        <v>0</v>
      </c>
      <c r="N145" s="60">
        <v>0</v>
      </c>
      <c r="O145" s="50"/>
      <c r="P145" s="50"/>
      <c r="Q145" s="50"/>
      <c r="R145" s="50"/>
      <c r="S145" s="50"/>
      <c r="T145" s="50"/>
      <c r="U145" s="50"/>
      <c r="V145" s="50"/>
      <c r="W145" s="50"/>
      <c r="X145" s="50"/>
    </row>
    <row r="146" spans="1:24" ht="22" customHeight="1">
      <c r="A146" s="56" t="s">
        <v>136</v>
      </c>
      <c r="B146" s="45"/>
      <c r="C146" s="50">
        <f>'Operating Metrics'!C144+'Operating Metrics'!C145</f>
        <v>121</v>
      </c>
      <c r="D146" s="60">
        <v>98</v>
      </c>
      <c r="E146" s="60">
        <v>128</v>
      </c>
      <c r="F146" s="60">
        <v>161</v>
      </c>
      <c r="G146" s="50"/>
      <c r="H146" s="50">
        <f>'Operating Metrics'!H144+'Operating Metrics'!H145</f>
        <v>26</v>
      </c>
      <c r="I146" s="50">
        <f>'Operating Metrics'!I144+'Operating Metrics'!I145</f>
        <v>28</v>
      </c>
      <c r="J146" s="50">
        <f>'Operating Metrics'!J144+'Operating Metrics'!J145</f>
        <v>29</v>
      </c>
      <c r="K146" s="50">
        <f>'Operating Metrics'!E146-SUM('Operating Metrics'!H146,'Operating Metrics'!I146,'Operating Metrics'!J146)</f>
        <v>45</v>
      </c>
      <c r="L146" s="60">
        <v>36</v>
      </c>
      <c r="M146" s="60">
        <v>36</v>
      </c>
      <c r="N146" s="60">
        <v>37</v>
      </c>
      <c r="O146" s="50">
        <f>'Operating Metrics'!F146-SUM('Operating Metrics'!L146,'Operating Metrics'!M146,'Operating Metrics'!N146)</f>
        <v>52</v>
      </c>
      <c r="P146" s="60">
        <v>36</v>
      </c>
      <c r="Q146" s="60">
        <v>40</v>
      </c>
      <c r="R146" s="60">
        <v>44</v>
      </c>
      <c r="S146" s="50"/>
      <c r="T146" s="50"/>
      <c r="U146" s="50"/>
      <c r="V146" s="50"/>
      <c r="W146" s="50"/>
      <c r="X146" s="50"/>
    </row>
    <row r="147" spans="1:24" ht="22" customHeight="1">
      <c r="A147" s="56" t="s">
        <v>103</v>
      </c>
      <c r="B147" s="45"/>
      <c r="C147" s="54">
        <f>IF('Operating Metrics'!C146=0,"",'Operating Metrics'!C143/'Operating Metrics'!C146)</f>
        <v>1.1487603305785123</v>
      </c>
      <c r="D147" s="54">
        <f>IF('Operating Metrics'!D146=0,"",'Operating Metrics'!D143/'Operating Metrics'!D146)</f>
        <v>2.8979591836734695</v>
      </c>
      <c r="E147" s="54">
        <f>IF('Operating Metrics'!E146=0,"",'Operating Metrics'!E143/'Operating Metrics'!E146)</f>
        <v>2.515625</v>
      </c>
      <c r="F147" s="54">
        <f>IF('Operating Metrics'!F146=0,"",'Operating Metrics'!F143/'Operating Metrics'!F146)</f>
        <v>1.3850931677018634</v>
      </c>
      <c r="G147" s="54"/>
      <c r="H147" s="54">
        <f>IF('Operating Metrics'!H146=0,"",'Operating Metrics'!H143/'Operating Metrics'!H146)</f>
        <v>1.3846153846153846</v>
      </c>
      <c r="I147" s="54">
        <f>IF('Operating Metrics'!I146=0,"",'Operating Metrics'!I143/'Operating Metrics'!I146)</f>
        <v>3</v>
      </c>
      <c r="J147" s="54">
        <f>IF('Operating Metrics'!J146=0,"",'Operating Metrics'!J143/'Operating Metrics'!J146)</f>
        <v>2</v>
      </c>
      <c r="K147" s="54">
        <f>IF('Operating Metrics'!K146=0,"",'Operating Metrics'!K143/'Operating Metrics'!K146)</f>
        <v>3.2</v>
      </c>
      <c r="L147" s="54">
        <f>IF('Operating Metrics'!L146=0,"",'Operating Metrics'!L143/'Operating Metrics'!L146)</f>
        <v>0.66666666666666663</v>
      </c>
      <c r="M147" s="54">
        <f>IF('Operating Metrics'!M146=0,"",'Operating Metrics'!M143/'Operating Metrics'!M146)</f>
        <v>1.1388888888888888</v>
      </c>
      <c r="N147" s="54">
        <f>IF('Operating Metrics'!N146=0,"",'Operating Metrics'!N143/'Operating Metrics'!N146)</f>
        <v>1.5675675675675675</v>
      </c>
      <c r="O147" s="54">
        <f>IF('Operating Metrics'!O146=0,"",'Operating Metrics'!O143/'Operating Metrics'!O146)</f>
        <v>1.9230769230769231</v>
      </c>
      <c r="P147" s="54">
        <f>IF('Operating Metrics'!P146=0,"",'Operating Metrics'!P143/'Operating Metrics'!P146)</f>
        <v>0.61111111111111116</v>
      </c>
      <c r="Q147" s="54">
        <f>IF('Operating Metrics'!Q146=0,"",'Operating Metrics'!Q143/'Operating Metrics'!Q146)</f>
        <v>0.85</v>
      </c>
      <c r="R147" s="54">
        <f>IF('Operating Metrics'!R146=0,"",'Operating Metrics'!R143/'Operating Metrics'!R146)</f>
        <v>1.0681818181818181</v>
      </c>
      <c r="S147" s="54"/>
      <c r="T147" s="54"/>
      <c r="U147" s="54"/>
      <c r="V147" s="54"/>
      <c r="W147" s="54"/>
      <c r="X147" s="54"/>
    </row>
    <row r="148" spans="1:24" ht="22" customHeight="1">
      <c r="A148" s="45"/>
      <c r="B148" s="45"/>
      <c r="C148" s="45"/>
      <c r="D148" s="45"/>
      <c r="E148" s="45"/>
      <c r="F148" s="45"/>
      <c r="G148" s="45"/>
      <c r="H148" s="45"/>
      <c r="I148" s="45"/>
      <c r="J148" s="45"/>
      <c r="K148" s="45"/>
      <c r="L148" s="45"/>
      <c r="M148" s="45"/>
      <c r="N148" s="45"/>
      <c r="O148" s="45"/>
      <c r="P148" s="45"/>
      <c r="Q148" s="45"/>
      <c r="R148" s="45"/>
      <c r="S148" s="45"/>
      <c r="T148" s="45"/>
      <c r="U148" s="45"/>
      <c r="V148" s="45"/>
      <c r="W148" s="45"/>
      <c r="X148" s="45"/>
    </row>
    <row r="149" spans="1:24" ht="22" customHeight="1">
      <c r="A149" s="45"/>
      <c r="B149" s="45"/>
      <c r="C149" s="45"/>
      <c r="D149" s="45"/>
      <c r="E149" s="45"/>
      <c r="F149" s="45"/>
      <c r="G149" s="45"/>
      <c r="H149" s="45"/>
      <c r="I149" s="45"/>
      <c r="J149" s="45"/>
      <c r="K149" s="45"/>
      <c r="L149" s="45"/>
      <c r="M149" s="45"/>
      <c r="N149" s="45"/>
      <c r="O149" s="45"/>
      <c r="P149" s="45"/>
      <c r="Q149" s="45"/>
      <c r="R149" s="45"/>
      <c r="S149" s="45"/>
      <c r="T149" s="45"/>
      <c r="U149" s="45"/>
      <c r="V149" s="45"/>
      <c r="W149" s="45"/>
      <c r="X149" s="45"/>
    </row>
    <row r="150" spans="1:24" ht="22" customHeight="1">
      <c r="A150" s="170" t="s">
        <v>123</v>
      </c>
      <c r="B150" s="170"/>
      <c r="C150" s="170"/>
      <c r="D150" s="170"/>
      <c r="E150" s="170"/>
      <c r="F150" s="170"/>
      <c r="G150" s="170"/>
      <c r="H150" s="170"/>
      <c r="I150" s="170"/>
      <c r="J150" s="170"/>
      <c r="K150" s="170"/>
      <c r="L150" s="170"/>
      <c r="M150" s="170"/>
      <c r="N150" s="170"/>
      <c r="O150" s="170"/>
      <c r="P150" s="170"/>
      <c r="Q150" s="170"/>
      <c r="R150" s="170"/>
      <c r="S150" s="170"/>
      <c r="T150" s="170"/>
      <c r="U150" s="170"/>
      <c r="V150" s="170"/>
      <c r="W150" s="170"/>
      <c r="X150" s="170"/>
    </row>
    <row r="151" spans="1:24" ht="36" customHeight="1">
      <c r="A151" s="171" t="s">
        <v>141</v>
      </c>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row>
    <row r="152" spans="1:24" ht="24" customHeight="1">
      <c r="A152" s="47" t="s">
        <v>56</v>
      </c>
      <c r="B152" s="45"/>
      <c r="C152" s="48" t="s">
        <v>35</v>
      </c>
      <c r="D152" s="48" t="s">
        <v>36</v>
      </c>
      <c r="E152" s="48" t="s">
        <v>37</v>
      </c>
      <c r="F152" s="48" t="s">
        <v>38</v>
      </c>
      <c r="G152" s="48" t="s">
        <v>39</v>
      </c>
      <c r="H152" s="48" t="s">
        <v>40</v>
      </c>
      <c r="I152" s="48" t="s">
        <v>41</v>
      </c>
      <c r="J152" s="48" t="s">
        <v>42</v>
      </c>
      <c r="K152" s="48" t="s">
        <v>43</v>
      </c>
      <c r="L152" s="45"/>
      <c r="M152" s="49" t="s">
        <v>45</v>
      </c>
      <c r="N152" s="49" t="s">
        <v>46</v>
      </c>
      <c r="O152" s="49" t="s">
        <v>47</v>
      </c>
      <c r="P152" s="49" t="s">
        <v>48</v>
      </c>
      <c r="Q152" s="45"/>
      <c r="R152" s="45"/>
      <c r="S152" s="45"/>
      <c r="T152" s="45"/>
      <c r="U152" s="45"/>
      <c r="V152" s="45"/>
      <c r="W152" s="45"/>
      <c r="X152" s="45"/>
    </row>
    <row r="153" spans="1:24" ht="18" customHeight="1">
      <c r="A153" s="45"/>
      <c r="B153" s="45"/>
      <c r="C153" s="55">
        <v>42735</v>
      </c>
      <c r="D153" s="55">
        <v>43099</v>
      </c>
      <c r="E153" s="55">
        <v>43463</v>
      </c>
      <c r="F153" s="55">
        <v>43827</v>
      </c>
      <c r="G153" s="55">
        <v>44191</v>
      </c>
      <c r="H153" s="55">
        <v>44555</v>
      </c>
      <c r="I153" s="55">
        <v>44926</v>
      </c>
      <c r="J153" s="55">
        <v>45290</v>
      </c>
      <c r="K153" s="55">
        <v>45654</v>
      </c>
      <c r="L153" s="45"/>
      <c r="M153" s="55">
        <v>45374</v>
      </c>
      <c r="N153" s="55">
        <v>45458</v>
      </c>
      <c r="O153" s="55">
        <v>45542</v>
      </c>
      <c r="P153" s="55">
        <v>45654</v>
      </c>
      <c r="Q153" s="45"/>
      <c r="R153" s="45"/>
      <c r="S153" s="45"/>
      <c r="T153" s="45"/>
      <c r="U153" s="45"/>
      <c r="V153" s="45"/>
      <c r="W153" s="45"/>
      <c r="X153" s="45"/>
    </row>
    <row r="154" spans="1:24" ht="24" customHeight="1">
      <c r="A154" s="172" t="s">
        <v>107</v>
      </c>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row>
    <row r="155" spans="1:24" ht="22" customHeight="1">
      <c r="A155" s="56" t="s">
        <v>63</v>
      </c>
      <c r="B155" s="45"/>
      <c r="C155" s="60">
        <v>15549</v>
      </c>
      <c r="D155" s="60">
        <v>15798</v>
      </c>
      <c r="E155" s="60">
        <v>16346</v>
      </c>
      <c r="F155" s="60">
        <v>17078</v>
      </c>
      <c r="G155" s="60">
        <v>18189</v>
      </c>
      <c r="H155" s="60">
        <v>19608</v>
      </c>
      <c r="I155" s="60">
        <v>23291</v>
      </c>
      <c r="J155" s="60">
        <v>24914</v>
      </c>
      <c r="K155" s="60">
        <v>24755</v>
      </c>
      <c r="L155" s="50"/>
      <c r="M155" s="60">
        <v>5676</v>
      </c>
      <c r="N155" s="60">
        <v>5874</v>
      </c>
      <c r="O155" s="60">
        <v>5888</v>
      </c>
      <c r="P155" s="50">
        <f>'Operating Metrics'!K155-SUM('Operating Metrics'!M155,'Operating Metrics'!N155,'Operating Metrics'!O155)</f>
        <v>7317</v>
      </c>
      <c r="Q155" s="50"/>
      <c r="R155" s="50"/>
      <c r="S155" s="50"/>
      <c r="T155" s="50"/>
      <c r="U155" s="50"/>
      <c r="V155" s="50"/>
      <c r="W155" s="50"/>
      <c r="X155" s="50"/>
    </row>
    <row r="156" spans="1:24" ht="20" customHeight="1">
      <c r="A156" s="58" t="s">
        <v>83</v>
      </c>
      <c r="B156" s="45"/>
      <c r="C156" s="59"/>
      <c r="D156" s="51">
        <f>IF(OR('Operating Metrics'!C155&lt;=0,'Operating Metrics'!D155&lt;0),"",'Operating Metrics'!D155/'Operating Metrics'!C155-1)</f>
        <v>1.6013891568589678E-2</v>
      </c>
      <c r="E156" s="51">
        <f>IF(OR('Operating Metrics'!D155&lt;=0,'Operating Metrics'!E155&lt;0),"",'Operating Metrics'!E155/'Operating Metrics'!D155-1)</f>
        <v>3.4687935181668461E-2</v>
      </c>
      <c r="F156" s="51">
        <f>IF(OR('Operating Metrics'!E155&lt;=0,'Operating Metrics'!F155&lt;0),"",'Operating Metrics'!F155/'Operating Metrics'!E155-1)</f>
        <v>4.4781597944451246E-2</v>
      </c>
      <c r="G156" s="51">
        <f>IF(OR('Operating Metrics'!F155&lt;=0,'Operating Metrics'!G155&lt;0),"",'Operating Metrics'!G155/'Operating Metrics'!F155-1)</f>
        <v>6.5054456025295693E-2</v>
      </c>
      <c r="H156" s="51">
        <f>IF(OR('Operating Metrics'!G155&lt;=0,'Operating Metrics'!H155&lt;0),"",'Operating Metrics'!H155/'Operating Metrics'!G155-1)</f>
        <v>7.8014184397163122E-2</v>
      </c>
      <c r="I156" s="51">
        <f>IF(OR('Operating Metrics'!H155&lt;=0,'Operating Metrics'!I155&lt;0),"",'Operating Metrics'!I155/'Operating Metrics'!H155-1)</f>
        <v>0.18783149734802129</v>
      </c>
      <c r="J156" s="51">
        <f>IF(OR('Operating Metrics'!I155&lt;=0,'Operating Metrics'!J155&lt;0),"",'Operating Metrics'!J155/'Operating Metrics'!I155-1)</f>
        <v>6.9683568760465331E-2</v>
      </c>
      <c r="K156" s="51">
        <f>IF(OR('Operating Metrics'!J155&lt;=0,'Operating Metrics'!K155&lt;0),"",'Operating Metrics'!K155/'Operating Metrics'!J155-1)</f>
        <v>-6.3819539214898802E-3</v>
      </c>
      <c r="L156" s="59"/>
      <c r="M156" s="59"/>
      <c r="N156" s="59"/>
      <c r="O156" s="59"/>
      <c r="P156" s="59"/>
      <c r="Q156" s="59"/>
      <c r="R156" s="59"/>
      <c r="S156" s="59"/>
      <c r="T156" s="59"/>
      <c r="U156" s="59"/>
      <c r="V156" s="59"/>
      <c r="W156" s="59"/>
      <c r="X156" s="59"/>
    </row>
    <row r="157" spans="1:24" ht="22" customHeight="1">
      <c r="A157" s="56" t="s">
        <v>87</v>
      </c>
      <c r="B157" s="45"/>
      <c r="C157" s="60">
        <v>4612</v>
      </c>
      <c r="D157" s="60">
        <v>4793</v>
      </c>
      <c r="E157" s="60">
        <v>5008</v>
      </c>
      <c r="F157" s="60">
        <v>5258</v>
      </c>
      <c r="G157" s="60">
        <v>5340</v>
      </c>
      <c r="H157" s="60">
        <v>5633</v>
      </c>
      <c r="I157" s="60">
        <v>6135</v>
      </c>
      <c r="J157" s="60">
        <v>6755</v>
      </c>
      <c r="K157" s="60">
        <v>6316</v>
      </c>
      <c r="L157" s="50"/>
      <c r="M157" s="60">
        <v>1554</v>
      </c>
      <c r="N157" s="60">
        <v>1592</v>
      </c>
      <c r="O157" s="60">
        <v>1523</v>
      </c>
      <c r="P157" s="60">
        <v>1647</v>
      </c>
      <c r="Q157" s="50"/>
      <c r="R157" s="50"/>
      <c r="S157" s="50"/>
      <c r="T157" s="50"/>
      <c r="U157" s="50"/>
      <c r="V157" s="50"/>
      <c r="W157" s="50"/>
      <c r="X157" s="50"/>
    </row>
    <row r="158" spans="1:24" ht="22" customHeight="1">
      <c r="A158" s="56" t="s">
        <v>84</v>
      </c>
      <c r="B158" s="45"/>
      <c r="C158" s="50"/>
      <c r="D158" s="60">
        <v>4847</v>
      </c>
      <c r="E158" s="60">
        <v>5044</v>
      </c>
      <c r="F158" s="60">
        <v>5280</v>
      </c>
      <c r="G158" s="60">
        <v>5452</v>
      </c>
      <c r="H158" s="60">
        <v>5663</v>
      </c>
      <c r="I158" s="60">
        <v>6269</v>
      </c>
      <c r="J158" s="60">
        <v>6797</v>
      </c>
      <c r="K158" s="60">
        <v>6475</v>
      </c>
      <c r="L158" s="50"/>
      <c r="M158" s="60">
        <v>1576</v>
      </c>
      <c r="N158" s="60">
        <v>1605</v>
      </c>
      <c r="O158" s="60">
        <v>1531</v>
      </c>
      <c r="P158" s="60">
        <v>1763</v>
      </c>
      <c r="Q158" s="50"/>
      <c r="R158" s="50"/>
      <c r="S158" s="50"/>
      <c r="T158" s="50"/>
      <c r="U158" s="50"/>
      <c r="V158" s="50"/>
      <c r="W158" s="50"/>
      <c r="X158" s="50"/>
    </row>
    <row r="159" spans="1:24" ht="20" customHeight="1">
      <c r="A159" s="58" t="s">
        <v>85</v>
      </c>
      <c r="B159" s="45"/>
      <c r="C159" s="59"/>
      <c r="D159" s="59"/>
      <c r="E159" s="51">
        <f>IF(OR('Operating Metrics'!D158&lt;=0,'Operating Metrics'!E158&lt;0),"",'Operating Metrics'!E158/'Operating Metrics'!D158-1)</f>
        <v>4.0643697132246803E-2</v>
      </c>
      <c r="F159" s="51">
        <f>IF(OR('Operating Metrics'!E158&lt;=0,'Operating Metrics'!F158&lt;0),"",'Operating Metrics'!F158/'Operating Metrics'!E158-1)</f>
        <v>4.67882632831087E-2</v>
      </c>
      <c r="G159" s="51">
        <f>IF(OR('Operating Metrics'!F158&lt;=0,'Operating Metrics'!G158&lt;0),"",'Operating Metrics'!G158/'Operating Metrics'!F158-1)</f>
        <v>3.257575757575748E-2</v>
      </c>
      <c r="H159" s="51">
        <f>IF(OR('Operating Metrics'!G158&lt;=0,'Operating Metrics'!H158&lt;0),"",'Operating Metrics'!H158/'Operating Metrics'!G158-1)</f>
        <v>3.8701393983859189E-2</v>
      </c>
      <c r="I159" s="51">
        <f>IF(OR('Operating Metrics'!H158&lt;=0,'Operating Metrics'!I158&lt;0),"",'Operating Metrics'!I158/'Operating Metrics'!H158-1)</f>
        <v>0.10701041850609228</v>
      </c>
      <c r="J159" s="51">
        <f>IF(OR('Operating Metrics'!I158&lt;=0,'Operating Metrics'!J158&lt;0),"",'Operating Metrics'!J158/'Operating Metrics'!I158-1)</f>
        <v>8.4223959164140938E-2</v>
      </c>
      <c r="K159" s="51">
        <f>IF(OR('Operating Metrics'!J158&lt;=0,'Operating Metrics'!K158&lt;0),"",'Operating Metrics'!K158/'Operating Metrics'!J158-1)</f>
        <v>-4.7373841400617955E-2</v>
      </c>
      <c r="L159" s="59"/>
      <c r="M159" s="59"/>
      <c r="N159" s="59"/>
      <c r="O159" s="59"/>
      <c r="P159" s="59"/>
      <c r="Q159" s="59"/>
      <c r="R159" s="59"/>
      <c r="S159" s="59"/>
      <c r="T159" s="59"/>
      <c r="U159" s="59"/>
      <c r="V159" s="59"/>
      <c r="W159" s="59"/>
      <c r="X159" s="59"/>
    </row>
    <row r="160" spans="1:24" ht="20" customHeight="1">
      <c r="A160" s="58" t="s">
        <v>86</v>
      </c>
      <c r="B160" s="45"/>
      <c r="C160" s="59"/>
      <c r="D160" s="51">
        <f>IF('Operating Metrics'!D155=0,"",'Operating Metrics'!D158/'Operating Metrics'!D155)</f>
        <v>0.30681098873275098</v>
      </c>
      <c r="E160" s="51">
        <f>IF('Operating Metrics'!E155=0,"",'Operating Metrics'!E158/'Operating Metrics'!E155)</f>
        <v>0.30857702190138259</v>
      </c>
      <c r="F160" s="51">
        <f>IF('Operating Metrics'!F155=0,"",'Operating Metrics'!F158/'Operating Metrics'!F155)</f>
        <v>0.30916969200140532</v>
      </c>
      <c r="G160" s="51">
        <f>IF('Operating Metrics'!G155=0,"",'Operating Metrics'!G158/'Operating Metrics'!G155)</f>
        <v>0.29974160206718348</v>
      </c>
      <c r="H160" s="51">
        <f>IF('Operating Metrics'!H155=0,"",'Operating Metrics'!H158/'Operating Metrics'!H155)</f>
        <v>0.28881068951448391</v>
      </c>
      <c r="I160" s="51">
        <f>IF('Operating Metrics'!I155=0,"",'Operating Metrics'!I158/'Operating Metrics'!I155)</f>
        <v>0.26915976128118158</v>
      </c>
      <c r="J160" s="51">
        <f>IF('Operating Metrics'!J155=0,"",'Operating Metrics'!J158/'Operating Metrics'!J155)</f>
        <v>0.27281849562494981</v>
      </c>
      <c r="K160" s="51">
        <f>IF('Operating Metrics'!K155=0,"",'Operating Metrics'!K158/'Operating Metrics'!K155)</f>
        <v>0.26156332054130477</v>
      </c>
      <c r="L160" s="59"/>
      <c r="M160" s="51">
        <f>IF('Operating Metrics'!M155=0,"",'Operating Metrics'!M158/'Operating Metrics'!M155)</f>
        <v>0.27766032417195208</v>
      </c>
      <c r="N160" s="51">
        <f>IF('Operating Metrics'!N155=0,"",'Operating Metrics'!N158/'Operating Metrics'!N155)</f>
        <v>0.27323799795709908</v>
      </c>
      <c r="O160" s="51">
        <f>IF('Operating Metrics'!O155=0,"",'Operating Metrics'!O158/'Operating Metrics'!O155)</f>
        <v>0.26002038043478259</v>
      </c>
      <c r="P160" s="51">
        <f>IF('Operating Metrics'!P155=0,"",'Operating Metrics'!P158/'Operating Metrics'!P155)</f>
        <v>0.24094574279076125</v>
      </c>
      <c r="Q160" s="59"/>
      <c r="R160" s="59"/>
      <c r="S160" s="59"/>
      <c r="T160" s="59"/>
      <c r="U160" s="59"/>
      <c r="V160" s="59"/>
      <c r="W160" s="59"/>
      <c r="X160" s="59"/>
    </row>
    <row r="161" spans="1:24" ht="20" customHeight="1">
      <c r="A161" s="58" t="s">
        <v>66</v>
      </c>
      <c r="B161" s="45"/>
      <c r="C161" s="61">
        <v>3.5000000000000003E-2</v>
      </c>
      <c r="D161" s="61">
        <v>0.03</v>
      </c>
      <c r="E161" s="61">
        <v>0.03</v>
      </c>
      <c r="F161" s="61">
        <v>4.4999999999999998E-2</v>
      </c>
      <c r="G161" s="61">
        <v>0.06</v>
      </c>
      <c r="H161" s="61">
        <v>7.0000000000000007E-2</v>
      </c>
      <c r="I161" s="61">
        <v>0.17</v>
      </c>
      <c r="J161" s="61">
        <v>0.09</v>
      </c>
      <c r="K161" s="61">
        <v>-5.0000000000000001E-3</v>
      </c>
      <c r="L161" s="59"/>
      <c r="M161" s="61">
        <v>0.02</v>
      </c>
      <c r="N161" s="61">
        <v>0</v>
      </c>
      <c r="O161" s="61">
        <v>-0.01</v>
      </c>
      <c r="P161" s="61">
        <v>-0.02</v>
      </c>
      <c r="Q161" s="59"/>
      <c r="R161" s="59"/>
      <c r="S161" s="59"/>
      <c r="T161" s="59"/>
      <c r="U161" s="59"/>
      <c r="V161" s="59"/>
      <c r="W161" s="59"/>
      <c r="X161" s="59"/>
    </row>
    <row r="162" spans="1:24" ht="20" customHeight="1">
      <c r="A162" s="58" t="s">
        <v>77</v>
      </c>
      <c r="B162" s="45"/>
      <c r="C162" s="61">
        <v>1.4999999999999999E-2</v>
      </c>
      <c r="D162" s="61">
        <v>0.01</v>
      </c>
      <c r="E162" s="61">
        <v>0.01</v>
      </c>
      <c r="F162" s="61">
        <v>0.01</v>
      </c>
      <c r="G162" s="61">
        <v>0.03</v>
      </c>
      <c r="H162" s="61">
        <v>0.02</v>
      </c>
      <c r="I162" s="61">
        <v>-0.01</v>
      </c>
      <c r="J162" s="61">
        <v>-0.01</v>
      </c>
      <c r="K162" s="61">
        <v>-2.5000000000000001E-2</v>
      </c>
      <c r="L162" s="59"/>
      <c r="M162" s="61">
        <v>-0.02</v>
      </c>
      <c r="N162" s="61">
        <v>-0.04</v>
      </c>
      <c r="O162" s="61">
        <v>-1.4999999999999999E-2</v>
      </c>
      <c r="P162" s="61">
        <v>-0.03</v>
      </c>
      <c r="Q162" s="59"/>
      <c r="R162" s="59"/>
      <c r="S162" s="59"/>
      <c r="T162" s="59"/>
      <c r="U162" s="59"/>
      <c r="V162" s="59"/>
      <c r="W162" s="59"/>
      <c r="X162" s="59"/>
    </row>
    <row r="163" spans="1:24" ht="20" customHeight="1">
      <c r="A163" s="58" t="s">
        <v>133</v>
      </c>
      <c r="B163" s="45"/>
      <c r="C163" s="61">
        <v>0.02</v>
      </c>
      <c r="D163" s="61">
        <v>2.5000000000000001E-2</v>
      </c>
      <c r="E163" s="61">
        <v>0.02</v>
      </c>
      <c r="F163" s="61">
        <v>0.03</v>
      </c>
      <c r="G163" s="61">
        <v>0.03</v>
      </c>
      <c r="H163" s="61">
        <v>0.05</v>
      </c>
      <c r="I163" s="61">
        <v>0.17</v>
      </c>
      <c r="J163" s="61">
        <v>0.1</v>
      </c>
      <c r="K163" s="61">
        <v>0.02</v>
      </c>
      <c r="L163" s="59"/>
      <c r="M163" s="61">
        <v>0.03</v>
      </c>
      <c r="N163" s="61">
        <v>0.03</v>
      </c>
      <c r="O163" s="61">
        <v>5.0000000000000001E-3</v>
      </c>
      <c r="P163" s="59"/>
      <c r="Q163" s="59"/>
      <c r="R163" s="59"/>
      <c r="S163" s="59"/>
      <c r="T163" s="59"/>
      <c r="U163" s="59"/>
      <c r="V163" s="59"/>
      <c r="W163" s="59"/>
      <c r="X163" s="59"/>
    </row>
    <row r="164" spans="1:24" ht="22" customHeight="1">
      <c r="A164" s="56" t="s">
        <v>101</v>
      </c>
      <c r="B164" s="45"/>
      <c r="C164" s="60">
        <v>801</v>
      </c>
      <c r="D164" s="60">
        <v>665</v>
      </c>
      <c r="E164" s="60">
        <v>840</v>
      </c>
      <c r="F164" s="60">
        <v>1227</v>
      </c>
      <c r="G164" s="60">
        <v>1189</v>
      </c>
      <c r="H164" s="60">
        <v>1411</v>
      </c>
      <c r="I164" s="60">
        <v>1464</v>
      </c>
      <c r="J164" s="60">
        <v>1341</v>
      </c>
      <c r="K164" s="60">
        <v>1182</v>
      </c>
      <c r="L164" s="50"/>
      <c r="M164" s="50"/>
      <c r="N164" s="50"/>
      <c r="O164" s="50"/>
      <c r="P164" s="50"/>
      <c r="Q164" s="50"/>
      <c r="R164" s="50"/>
      <c r="S164" s="50"/>
      <c r="T164" s="50"/>
      <c r="U164" s="50"/>
      <c r="V164" s="50"/>
      <c r="W164" s="50"/>
      <c r="X164" s="50"/>
    </row>
    <row r="165" spans="1:24" ht="20" customHeight="1">
      <c r="A165" s="58" t="s">
        <v>102</v>
      </c>
      <c r="B165" s="45"/>
      <c r="C165" s="51">
        <f>IF('Operating Metrics'!C155=0,"",'Operating Metrics'!C164/'Operating Metrics'!C155)</f>
        <v>5.1514566853173835E-2</v>
      </c>
      <c r="D165" s="51">
        <f>IF('Operating Metrics'!D155=0,"",'Operating Metrics'!D164/'Operating Metrics'!D155)</f>
        <v>4.209393594125839E-2</v>
      </c>
      <c r="E165" s="51">
        <f>IF('Operating Metrics'!E155=0,"",'Operating Metrics'!E164/'Operating Metrics'!E155)</f>
        <v>5.1388718952648967E-2</v>
      </c>
      <c r="F165" s="51">
        <f>IF('Operating Metrics'!F155=0,"",'Operating Metrics'!F164/'Operating Metrics'!F155)</f>
        <v>7.1846820470781128E-2</v>
      </c>
      <c r="G165" s="51">
        <f>IF('Operating Metrics'!G155=0,"",'Operating Metrics'!G164/'Operating Metrics'!G155)</f>
        <v>6.5369179174226175E-2</v>
      </c>
      <c r="H165" s="51">
        <f>IF('Operating Metrics'!H155=0,"",'Operating Metrics'!H164/'Operating Metrics'!H155)</f>
        <v>7.1960424316605473E-2</v>
      </c>
      <c r="I165" s="51">
        <f>IF('Operating Metrics'!I155=0,"",'Operating Metrics'!I164/'Operating Metrics'!I155)</f>
        <v>6.2856897514061219E-2</v>
      </c>
      <c r="J165" s="51">
        <f>IF('Operating Metrics'!J155=0,"",'Operating Metrics'!J164/'Operating Metrics'!J155)</f>
        <v>5.3825158545396164E-2</v>
      </c>
      <c r="K165" s="51">
        <f>IF('Operating Metrics'!K155=0,"",'Operating Metrics'!K164/'Operating Metrics'!K155)</f>
        <v>4.7747929711169458E-2</v>
      </c>
      <c r="L165" s="59"/>
      <c r="M165" s="59"/>
      <c r="N165" s="59"/>
      <c r="O165" s="59"/>
      <c r="P165" s="59"/>
      <c r="Q165" s="59"/>
      <c r="R165" s="59"/>
      <c r="S165" s="59"/>
      <c r="T165" s="59"/>
      <c r="U165" s="59"/>
      <c r="V165" s="59"/>
      <c r="W165" s="59"/>
      <c r="X165" s="59"/>
    </row>
    <row r="166" spans="1:24" ht="22" customHeight="1">
      <c r="A166" s="56" t="s">
        <v>138</v>
      </c>
      <c r="B166" s="45"/>
      <c r="C166" s="60">
        <v>435</v>
      </c>
      <c r="D166" s="60">
        <v>449</v>
      </c>
      <c r="E166" s="60">
        <v>457</v>
      </c>
      <c r="F166" s="60">
        <v>492</v>
      </c>
      <c r="G166" s="60">
        <v>550</v>
      </c>
      <c r="H166" s="60">
        <v>594</v>
      </c>
      <c r="I166" s="60">
        <v>653</v>
      </c>
      <c r="J166" s="60">
        <v>736</v>
      </c>
      <c r="K166" s="60">
        <v>806</v>
      </c>
      <c r="L166" s="50"/>
      <c r="M166" s="50"/>
      <c r="N166" s="50"/>
      <c r="O166" s="50"/>
      <c r="P166" s="50"/>
      <c r="Q166" s="50"/>
      <c r="R166" s="50"/>
      <c r="S166" s="50"/>
      <c r="T166" s="50"/>
      <c r="U166" s="50"/>
      <c r="V166" s="50"/>
      <c r="W166" s="50"/>
      <c r="X166" s="50"/>
    </row>
    <row r="167" spans="1:24" ht="22" customHeight="1">
      <c r="A167" s="56" t="s">
        <v>139</v>
      </c>
      <c r="B167" s="45"/>
      <c r="C167" s="60">
        <v>7</v>
      </c>
      <c r="D167" s="60">
        <v>7</v>
      </c>
      <c r="E167" s="60">
        <v>7</v>
      </c>
      <c r="F167" s="60">
        <v>7</v>
      </c>
      <c r="G167" s="60">
        <v>10</v>
      </c>
      <c r="H167" s="60">
        <v>11</v>
      </c>
      <c r="I167" s="60">
        <v>11</v>
      </c>
      <c r="J167" s="60">
        <v>11</v>
      </c>
      <c r="K167" s="60">
        <v>10</v>
      </c>
      <c r="L167" s="50"/>
      <c r="M167" s="50"/>
      <c r="N167" s="50"/>
      <c r="O167" s="50"/>
      <c r="P167" s="50"/>
      <c r="Q167" s="50"/>
      <c r="R167" s="50"/>
      <c r="S167" s="50"/>
      <c r="T167" s="50"/>
      <c r="U167" s="50"/>
      <c r="V167" s="50"/>
      <c r="W167" s="50"/>
      <c r="X167" s="50"/>
    </row>
    <row r="168" spans="1:24" ht="22" customHeight="1">
      <c r="A168" s="56" t="s">
        <v>136</v>
      </c>
      <c r="B168" s="45"/>
      <c r="C168" s="50">
        <f>'Operating Metrics'!C166+'Operating Metrics'!C167</f>
        <v>442</v>
      </c>
      <c r="D168" s="50">
        <f>'Operating Metrics'!D166+'Operating Metrics'!D167</f>
        <v>456</v>
      </c>
      <c r="E168" s="50">
        <f>'Operating Metrics'!E166+'Operating Metrics'!E167</f>
        <v>464</v>
      </c>
      <c r="F168" s="50">
        <f>'Operating Metrics'!F166+'Operating Metrics'!F167</f>
        <v>499</v>
      </c>
      <c r="G168" s="50">
        <f>'Operating Metrics'!G166+'Operating Metrics'!G167</f>
        <v>560</v>
      </c>
      <c r="H168" s="50">
        <f>'Operating Metrics'!H166+'Operating Metrics'!H167</f>
        <v>605</v>
      </c>
      <c r="I168" s="50">
        <f>'Operating Metrics'!I166+'Operating Metrics'!I167</f>
        <v>664</v>
      </c>
      <c r="J168" s="50">
        <f>'Operating Metrics'!J166+'Operating Metrics'!J167</f>
        <v>747</v>
      </c>
      <c r="K168" s="50">
        <f>'Operating Metrics'!K166+'Operating Metrics'!K167</f>
        <v>816</v>
      </c>
      <c r="L168" s="50"/>
      <c r="M168" s="50"/>
      <c r="N168" s="50"/>
      <c r="O168" s="50"/>
      <c r="P168" s="50"/>
      <c r="Q168" s="50"/>
      <c r="R168" s="50"/>
      <c r="S168" s="50"/>
      <c r="T168" s="50"/>
      <c r="U168" s="50"/>
      <c r="V168" s="50"/>
      <c r="W168" s="50"/>
      <c r="X168" s="50"/>
    </row>
    <row r="169" spans="1:24" ht="22" customHeight="1">
      <c r="A169" s="56" t="s">
        <v>103</v>
      </c>
      <c r="B169" s="45"/>
      <c r="C169" s="54">
        <f>IF('Operating Metrics'!C168=0,"",'Operating Metrics'!C164/'Operating Metrics'!C168)</f>
        <v>1.8122171945701357</v>
      </c>
      <c r="D169" s="54">
        <f>IF('Operating Metrics'!D168=0,"",'Operating Metrics'!D164/'Operating Metrics'!D168)</f>
        <v>1.4583333333333333</v>
      </c>
      <c r="E169" s="54">
        <f>IF('Operating Metrics'!E168=0,"",'Operating Metrics'!E164/'Operating Metrics'!E168)</f>
        <v>1.8103448275862069</v>
      </c>
      <c r="F169" s="54">
        <f>IF('Operating Metrics'!F168=0,"",'Operating Metrics'!F164/'Operating Metrics'!F168)</f>
        <v>2.4589178356713428</v>
      </c>
      <c r="G169" s="54">
        <f>IF('Operating Metrics'!G168=0,"",'Operating Metrics'!G164/'Operating Metrics'!G168)</f>
        <v>2.1232142857142855</v>
      </c>
      <c r="H169" s="54">
        <f>IF('Operating Metrics'!H168=0,"",'Operating Metrics'!H164/'Operating Metrics'!H168)</f>
        <v>2.3322314049586779</v>
      </c>
      <c r="I169" s="54">
        <f>IF('Operating Metrics'!I168=0,"",'Operating Metrics'!I164/'Operating Metrics'!I168)</f>
        <v>2.2048192771084336</v>
      </c>
      <c r="J169" s="54">
        <f>IF('Operating Metrics'!J168=0,"",'Operating Metrics'!J164/'Operating Metrics'!J168)</f>
        <v>1.7951807228915662</v>
      </c>
      <c r="K169" s="54">
        <f>IF('Operating Metrics'!K168=0,"",'Operating Metrics'!K164/'Operating Metrics'!K168)</f>
        <v>1.4485294117647058</v>
      </c>
      <c r="L169" s="54"/>
      <c r="M169" s="54"/>
      <c r="N169" s="54"/>
      <c r="O169" s="54"/>
      <c r="P169" s="54"/>
      <c r="Q169" s="54"/>
      <c r="R169" s="54"/>
      <c r="S169" s="54"/>
      <c r="T169" s="54"/>
      <c r="U169" s="54"/>
      <c r="V169" s="54"/>
      <c r="W169" s="54"/>
      <c r="X169" s="54"/>
    </row>
    <row r="170" spans="1:24" ht="24" customHeight="1">
      <c r="A170" s="172" t="s">
        <v>108</v>
      </c>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row>
    <row r="171" spans="1:24" ht="22" customHeight="1">
      <c r="A171" s="56" t="s">
        <v>63</v>
      </c>
      <c r="B171" s="45"/>
      <c r="C171" s="60">
        <v>2564</v>
      </c>
      <c r="D171" s="60">
        <v>2503</v>
      </c>
      <c r="E171" s="60">
        <v>2465</v>
      </c>
      <c r="F171" s="60">
        <v>2482</v>
      </c>
      <c r="G171" s="60">
        <v>2742</v>
      </c>
      <c r="H171" s="60">
        <v>2751</v>
      </c>
      <c r="I171" s="60">
        <v>3160</v>
      </c>
      <c r="J171" s="60">
        <v>3101</v>
      </c>
      <c r="K171" s="60">
        <v>2676</v>
      </c>
      <c r="L171" s="50"/>
      <c r="M171" s="60">
        <v>593</v>
      </c>
      <c r="N171" s="60">
        <v>561</v>
      </c>
      <c r="O171" s="60">
        <v>648</v>
      </c>
      <c r="P171" s="50">
        <f>'Operating Metrics'!K171-SUM('Operating Metrics'!M171,'Operating Metrics'!N171,'Operating Metrics'!O171)</f>
        <v>874</v>
      </c>
      <c r="Q171" s="50"/>
      <c r="R171" s="50"/>
      <c r="S171" s="50"/>
      <c r="T171" s="50"/>
      <c r="U171" s="50"/>
      <c r="V171" s="50"/>
      <c r="W171" s="50"/>
      <c r="X171" s="50"/>
    </row>
    <row r="172" spans="1:24" ht="20" customHeight="1">
      <c r="A172" s="58" t="s">
        <v>83</v>
      </c>
      <c r="B172" s="45"/>
      <c r="C172" s="59"/>
      <c r="D172" s="51">
        <f>IF(OR('Operating Metrics'!C171&lt;=0,'Operating Metrics'!D171&lt;0),"",'Operating Metrics'!D171/'Operating Metrics'!C171-1)</f>
        <v>-2.3790951638065549E-2</v>
      </c>
      <c r="E172" s="51">
        <f>IF(OR('Operating Metrics'!D171&lt;=0,'Operating Metrics'!E171&lt;0),"",'Operating Metrics'!E171/'Operating Metrics'!D171-1)</f>
        <v>-1.5181781861765886E-2</v>
      </c>
      <c r="F172" s="51">
        <f>IF(OR('Operating Metrics'!E171&lt;=0,'Operating Metrics'!F171&lt;0),"",'Operating Metrics'!F171/'Operating Metrics'!E171-1)</f>
        <v>6.8965517241379448E-3</v>
      </c>
      <c r="G172" s="51">
        <f>IF(OR('Operating Metrics'!F171&lt;=0,'Operating Metrics'!G171&lt;0),"",'Operating Metrics'!G171/'Operating Metrics'!F171-1)</f>
        <v>0.10475423045930699</v>
      </c>
      <c r="H172" s="51">
        <f>IF(OR('Operating Metrics'!G171&lt;=0,'Operating Metrics'!H171&lt;0),"",'Operating Metrics'!H171/'Operating Metrics'!G171-1)</f>
        <v>3.2822757111596879E-3</v>
      </c>
      <c r="I172" s="51">
        <f>IF(OR('Operating Metrics'!H171&lt;=0,'Operating Metrics'!I171&lt;0),"",'Operating Metrics'!I171/'Operating Metrics'!H171-1)</f>
        <v>0.14867320974191212</v>
      </c>
      <c r="J172" s="51">
        <f>IF(OR('Operating Metrics'!I171&lt;=0,'Operating Metrics'!J171&lt;0),"",'Operating Metrics'!J171/'Operating Metrics'!I171-1)</f>
        <v>-1.8670886075949356E-2</v>
      </c>
      <c r="K172" s="51">
        <f>IF(OR('Operating Metrics'!J171&lt;=0,'Operating Metrics'!K171&lt;0),"",'Operating Metrics'!K171/'Operating Metrics'!J171-1)</f>
        <v>-0.13705256368913254</v>
      </c>
      <c r="L172" s="59"/>
      <c r="M172" s="59"/>
      <c r="N172" s="59"/>
      <c r="O172" s="59"/>
      <c r="P172" s="59"/>
      <c r="Q172" s="59"/>
      <c r="R172" s="59"/>
      <c r="S172" s="59"/>
      <c r="T172" s="59"/>
      <c r="U172" s="59"/>
      <c r="V172" s="59"/>
      <c r="W172" s="59"/>
      <c r="X172" s="59"/>
    </row>
    <row r="173" spans="1:24" ht="22" customHeight="1">
      <c r="A173" s="56" t="s">
        <v>87</v>
      </c>
      <c r="B173" s="45"/>
      <c r="C173" s="60">
        <v>649</v>
      </c>
      <c r="D173" s="60">
        <v>640</v>
      </c>
      <c r="E173" s="60">
        <v>637</v>
      </c>
      <c r="F173" s="60">
        <v>544</v>
      </c>
      <c r="G173" s="60">
        <v>669</v>
      </c>
      <c r="H173" s="60">
        <v>578</v>
      </c>
      <c r="I173" s="60">
        <v>604</v>
      </c>
      <c r="J173" s="60">
        <v>492</v>
      </c>
      <c r="K173" s="60">
        <v>303</v>
      </c>
      <c r="L173" s="50"/>
      <c r="M173" s="60">
        <v>-49</v>
      </c>
      <c r="N173" s="60">
        <v>85</v>
      </c>
      <c r="O173" s="60">
        <v>97</v>
      </c>
      <c r="P173" s="60">
        <v>170</v>
      </c>
      <c r="Q173" s="50"/>
      <c r="R173" s="50"/>
      <c r="S173" s="50"/>
      <c r="T173" s="50"/>
      <c r="U173" s="50"/>
      <c r="V173" s="50"/>
      <c r="W173" s="50"/>
      <c r="X173" s="50"/>
    </row>
    <row r="174" spans="1:24" ht="22" customHeight="1">
      <c r="A174" s="56" t="s">
        <v>84</v>
      </c>
      <c r="B174" s="45"/>
      <c r="C174" s="50"/>
      <c r="D174" s="60">
        <v>649</v>
      </c>
      <c r="E174" s="60">
        <v>644</v>
      </c>
      <c r="F174" s="60">
        <v>546</v>
      </c>
      <c r="G174" s="60">
        <v>674</v>
      </c>
      <c r="H174" s="60">
        <v>578</v>
      </c>
      <c r="I174" s="60">
        <v>611</v>
      </c>
      <c r="J174" s="60">
        <v>628</v>
      </c>
      <c r="K174" s="60">
        <v>507</v>
      </c>
      <c r="L174" s="50"/>
      <c r="M174" s="60">
        <v>122</v>
      </c>
      <c r="N174" s="60">
        <v>100</v>
      </c>
      <c r="O174" s="60">
        <v>96</v>
      </c>
      <c r="P174" s="60">
        <v>189</v>
      </c>
      <c r="Q174" s="50"/>
      <c r="R174" s="50"/>
      <c r="S174" s="50"/>
      <c r="T174" s="50"/>
      <c r="U174" s="50"/>
      <c r="V174" s="50"/>
      <c r="W174" s="50"/>
      <c r="X174" s="50"/>
    </row>
    <row r="175" spans="1:24" ht="20" customHeight="1">
      <c r="A175" s="58" t="s">
        <v>85</v>
      </c>
      <c r="B175" s="45"/>
      <c r="C175" s="59"/>
      <c r="D175" s="59"/>
      <c r="E175" s="51">
        <f>IF(OR('Operating Metrics'!D174&lt;=0,'Operating Metrics'!E174&lt;0),"",'Operating Metrics'!E174/'Operating Metrics'!D174-1)</f>
        <v>-7.7041602465330872E-3</v>
      </c>
      <c r="F175" s="51">
        <f>IF(OR('Operating Metrics'!E174&lt;=0,'Operating Metrics'!F174&lt;0),"",'Operating Metrics'!F174/'Operating Metrics'!E174-1)</f>
        <v>-0.15217391304347827</v>
      </c>
      <c r="G175" s="51">
        <f>IF(OR('Operating Metrics'!F174&lt;=0,'Operating Metrics'!G174&lt;0),"",'Operating Metrics'!G174/'Operating Metrics'!F174-1)</f>
        <v>0.23443223443223449</v>
      </c>
      <c r="H175" s="51">
        <f>IF(OR('Operating Metrics'!G174&lt;=0,'Operating Metrics'!H174&lt;0),"",'Operating Metrics'!H174/'Operating Metrics'!G174-1)</f>
        <v>-0.14243323442136502</v>
      </c>
      <c r="I175" s="51">
        <f>IF(OR('Operating Metrics'!H174&lt;=0,'Operating Metrics'!I174&lt;0),"",'Operating Metrics'!I174/'Operating Metrics'!H174-1)</f>
        <v>5.709342560553643E-2</v>
      </c>
      <c r="J175" s="51">
        <f>IF(OR('Operating Metrics'!I174&lt;=0,'Operating Metrics'!J174&lt;0),"",'Operating Metrics'!J174/'Operating Metrics'!I174-1)</f>
        <v>2.7823240589198051E-2</v>
      </c>
      <c r="K175" s="51">
        <f>IF(OR('Operating Metrics'!J174&lt;=0,'Operating Metrics'!K174&lt;0),"",'Operating Metrics'!K174/'Operating Metrics'!J174-1)</f>
        <v>-0.1926751592356688</v>
      </c>
      <c r="L175" s="59"/>
      <c r="M175" s="59"/>
      <c r="N175" s="59"/>
      <c r="O175" s="59"/>
      <c r="P175" s="59"/>
      <c r="Q175" s="59"/>
      <c r="R175" s="59"/>
      <c r="S175" s="59"/>
      <c r="T175" s="59"/>
      <c r="U175" s="59"/>
      <c r="V175" s="59"/>
      <c r="W175" s="59"/>
      <c r="X175" s="59"/>
    </row>
    <row r="176" spans="1:24" ht="20" customHeight="1">
      <c r="A176" s="58" t="s">
        <v>86</v>
      </c>
      <c r="B176" s="45"/>
      <c r="C176" s="59"/>
      <c r="D176" s="51">
        <f>IF('Operating Metrics'!D171=0,"",'Operating Metrics'!D174/'Operating Metrics'!D171)</f>
        <v>0.25928885337594887</v>
      </c>
      <c r="E176" s="51">
        <f>IF('Operating Metrics'!E171=0,"",'Operating Metrics'!E174/'Operating Metrics'!E171)</f>
        <v>0.26125760649087221</v>
      </c>
      <c r="F176" s="51">
        <f>IF('Operating Metrics'!F171=0,"",'Operating Metrics'!F174/'Operating Metrics'!F171)</f>
        <v>0.21998388396454471</v>
      </c>
      <c r="G176" s="51">
        <f>IF('Operating Metrics'!G171=0,"",'Operating Metrics'!G174/'Operating Metrics'!G171)</f>
        <v>0.24580598103574033</v>
      </c>
      <c r="H176" s="51">
        <f>IF('Operating Metrics'!H171=0,"",'Operating Metrics'!H174/'Operating Metrics'!H171)</f>
        <v>0.21010541621228643</v>
      </c>
      <c r="I176" s="51">
        <f>IF('Operating Metrics'!I171=0,"",'Operating Metrics'!I174/'Operating Metrics'!I171)</f>
        <v>0.19335443037974684</v>
      </c>
      <c r="J176" s="51">
        <f>IF('Operating Metrics'!J171=0,"",'Operating Metrics'!J174/'Operating Metrics'!J171)</f>
        <v>0.20251531763947114</v>
      </c>
      <c r="K176" s="51">
        <f>IF('Operating Metrics'!K171=0,"",'Operating Metrics'!K174/'Operating Metrics'!K171)</f>
        <v>0.18946188340807174</v>
      </c>
      <c r="L176" s="59"/>
      <c r="M176" s="51">
        <f>IF('Operating Metrics'!M171=0,"",'Operating Metrics'!M174/'Operating Metrics'!M171)</f>
        <v>0.20573355817875211</v>
      </c>
      <c r="N176" s="51">
        <f>IF('Operating Metrics'!N171=0,"",'Operating Metrics'!N174/'Operating Metrics'!N171)</f>
        <v>0.17825311942959002</v>
      </c>
      <c r="O176" s="51">
        <f>IF('Operating Metrics'!O171=0,"",'Operating Metrics'!O174/'Operating Metrics'!O171)</f>
        <v>0.14814814814814814</v>
      </c>
      <c r="P176" s="51">
        <f>IF('Operating Metrics'!P171=0,"",'Operating Metrics'!P174/'Operating Metrics'!P171)</f>
        <v>0.21624713958810068</v>
      </c>
      <c r="Q176" s="59"/>
      <c r="R176" s="59"/>
      <c r="S176" s="59"/>
      <c r="T176" s="59"/>
      <c r="U176" s="59"/>
      <c r="V176" s="59"/>
      <c r="W176" s="59"/>
      <c r="X176" s="59"/>
    </row>
    <row r="177" spans="1:24" ht="20" customHeight="1">
      <c r="A177" s="58" t="s">
        <v>66</v>
      </c>
      <c r="B177" s="45"/>
      <c r="C177" s="61">
        <v>0</v>
      </c>
      <c r="D177" s="61">
        <v>-0.01</v>
      </c>
      <c r="E177" s="61">
        <v>-0.02</v>
      </c>
      <c r="F177" s="61">
        <v>0.01</v>
      </c>
      <c r="G177" s="61">
        <v>0.11</v>
      </c>
      <c r="H177" s="61">
        <v>0</v>
      </c>
      <c r="I177" s="61">
        <v>0.13</v>
      </c>
      <c r="J177" s="61">
        <v>0.01</v>
      </c>
      <c r="K177" s="61">
        <v>-0.14000000000000001</v>
      </c>
      <c r="L177" s="59"/>
      <c r="M177" s="61">
        <v>-0.24</v>
      </c>
      <c r="N177" s="61">
        <v>-0.18</v>
      </c>
      <c r="O177" s="61">
        <v>-0.13</v>
      </c>
      <c r="P177" s="61">
        <v>-0.02</v>
      </c>
      <c r="Q177" s="59"/>
      <c r="R177" s="59"/>
      <c r="S177" s="59"/>
      <c r="T177" s="59"/>
      <c r="U177" s="59"/>
      <c r="V177" s="59"/>
      <c r="W177" s="59"/>
      <c r="X177" s="59"/>
    </row>
    <row r="178" spans="1:24" ht="20" customHeight="1">
      <c r="A178" s="58" t="s">
        <v>77</v>
      </c>
      <c r="B178" s="45"/>
      <c r="C178" s="61">
        <v>0</v>
      </c>
      <c r="D178" s="61">
        <v>0</v>
      </c>
      <c r="E178" s="61">
        <v>-5.0000000000000001E-3</v>
      </c>
      <c r="F178" s="61">
        <v>0</v>
      </c>
      <c r="G178" s="61">
        <v>0.1</v>
      </c>
      <c r="H178" s="61">
        <v>-7.0000000000000007E-2</v>
      </c>
      <c r="I178" s="61">
        <v>-0.03</v>
      </c>
      <c r="J178" s="61">
        <v>-0.05</v>
      </c>
      <c r="K178" s="61">
        <v>-0.14000000000000001</v>
      </c>
      <c r="L178" s="59"/>
      <c r="M178" s="61">
        <v>-0.22</v>
      </c>
      <c r="N178" s="61">
        <v>-0.17</v>
      </c>
      <c r="O178" s="61">
        <v>-0.13</v>
      </c>
      <c r="P178" s="61">
        <v>-0.06</v>
      </c>
      <c r="Q178" s="59"/>
      <c r="R178" s="59"/>
      <c r="S178" s="59"/>
      <c r="T178" s="59"/>
      <c r="U178" s="59"/>
      <c r="V178" s="59"/>
      <c r="W178" s="59"/>
      <c r="X178" s="59"/>
    </row>
    <row r="179" spans="1:24" ht="20" customHeight="1">
      <c r="A179" s="58" t="s">
        <v>133</v>
      </c>
      <c r="B179" s="45"/>
      <c r="C179" s="61">
        <v>-0.01</v>
      </c>
      <c r="D179" s="61">
        <v>-0.01</v>
      </c>
      <c r="E179" s="61">
        <v>-0.01</v>
      </c>
      <c r="F179" s="61">
        <v>0.01</v>
      </c>
      <c r="G179" s="61">
        <v>0</v>
      </c>
      <c r="H179" s="61">
        <v>7.0000000000000007E-2</v>
      </c>
      <c r="I179" s="61">
        <v>0.16</v>
      </c>
      <c r="J179" s="61">
        <v>0.05</v>
      </c>
      <c r="K179" s="61">
        <v>5.0000000000000001E-3</v>
      </c>
      <c r="L179" s="59"/>
      <c r="M179" s="61">
        <v>-0.02</v>
      </c>
      <c r="N179" s="61">
        <v>-0.01</v>
      </c>
      <c r="O179" s="61">
        <v>0</v>
      </c>
      <c r="P179" s="59"/>
      <c r="Q179" s="59"/>
      <c r="R179" s="59"/>
      <c r="S179" s="59"/>
      <c r="T179" s="59"/>
      <c r="U179" s="59"/>
      <c r="V179" s="59"/>
      <c r="W179" s="59"/>
      <c r="X179" s="59"/>
    </row>
    <row r="180" spans="1:24" ht="22" customHeight="1">
      <c r="A180" s="56" t="s">
        <v>101</v>
      </c>
      <c r="B180" s="45"/>
      <c r="C180" s="60">
        <v>41</v>
      </c>
      <c r="D180" s="60">
        <v>44</v>
      </c>
      <c r="E180" s="60">
        <v>53</v>
      </c>
      <c r="F180" s="60">
        <v>104</v>
      </c>
      <c r="G180" s="60">
        <v>85</v>
      </c>
      <c r="H180" s="60">
        <v>92</v>
      </c>
      <c r="I180" s="60">
        <v>93</v>
      </c>
      <c r="J180" s="60">
        <v>103</v>
      </c>
      <c r="K180" s="60">
        <v>124</v>
      </c>
      <c r="L180" s="50"/>
      <c r="M180" s="50"/>
      <c r="N180" s="50"/>
      <c r="O180" s="50"/>
      <c r="P180" s="50"/>
      <c r="Q180" s="50"/>
      <c r="R180" s="50"/>
      <c r="S180" s="50"/>
      <c r="T180" s="50"/>
      <c r="U180" s="50"/>
      <c r="V180" s="50"/>
      <c r="W180" s="50"/>
      <c r="X180" s="50"/>
    </row>
    <row r="181" spans="1:24" ht="20" customHeight="1">
      <c r="A181" s="58" t="s">
        <v>102</v>
      </c>
      <c r="B181" s="45"/>
      <c r="C181" s="51">
        <f>IF('Operating Metrics'!C171=0,"",'Operating Metrics'!C180/'Operating Metrics'!C171)</f>
        <v>1.5990639625585022E-2</v>
      </c>
      <c r="D181" s="51">
        <f>IF('Operating Metrics'!D171=0,"",'Operating Metrics'!D180/'Operating Metrics'!D171)</f>
        <v>1.757890531362365E-2</v>
      </c>
      <c r="E181" s="51">
        <f>IF('Operating Metrics'!E171=0,"",'Operating Metrics'!E180/'Operating Metrics'!E171)</f>
        <v>2.1501014198782961E-2</v>
      </c>
      <c r="F181" s="51">
        <f>IF('Operating Metrics'!F171=0,"",'Operating Metrics'!F180/'Operating Metrics'!F171)</f>
        <v>4.1901692183722805E-2</v>
      </c>
      <c r="G181" s="51">
        <f>IF('Operating Metrics'!G171=0,"",'Operating Metrics'!G180/'Operating Metrics'!G171)</f>
        <v>3.0999270605397519E-2</v>
      </c>
      <c r="H181" s="51">
        <f>IF('Operating Metrics'!H171=0,"",'Operating Metrics'!H180/'Operating Metrics'!H171)</f>
        <v>3.3442384587422755E-2</v>
      </c>
      <c r="I181" s="51">
        <f>IF('Operating Metrics'!I171=0,"",'Operating Metrics'!I180/'Operating Metrics'!I171)</f>
        <v>2.9430379746835444E-2</v>
      </c>
      <c r="J181" s="51">
        <f>IF('Operating Metrics'!J171=0,"",'Operating Metrics'!J180/'Operating Metrics'!J171)</f>
        <v>3.3215091905836824E-2</v>
      </c>
      <c r="K181" s="51">
        <f>IF('Operating Metrics'!K171=0,"",'Operating Metrics'!K180/'Operating Metrics'!K171)</f>
        <v>4.6337817638266068E-2</v>
      </c>
      <c r="L181" s="59"/>
      <c r="M181" s="59"/>
      <c r="N181" s="59"/>
      <c r="O181" s="59"/>
      <c r="P181" s="59"/>
      <c r="Q181" s="59"/>
      <c r="R181" s="59"/>
      <c r="S181" s="59"/>
      <c r="T181" s="59"/>
      <c r="U181" s="59"/>
      <c r="V181" s="59"/>
      <c r="W181" s="59"/>
      <c r="X181" s="59"/>
    </row>
    <row r="182" spans="1:24" ht="22" customHeight="1">
      <c r="A182" s="56" t="s">
        <v>138</v>
      </c>
      <c r="B182" s="45"/>
      <c r="C182" s="60">
        <v>50</v>
      </c>
      <c r="D182" s="60">
        <v>47</v>
      </c>
      <c r="E182" s="60">
        <v>45</v>
      </c>
      <c r="F182" s="60">
        <v>44</v>
      </c>
      <c r="G182" s="60">
        <v>41</v>
      </c>
      <c r="H182" s="60">
        <v>46</v>
      </c>
      <c r="I182" s="60">
        <v>47</v>
      </c>
      <c r="J182" s="60">
        <v>51</v>
      </c>
      <c r="K182" s="60">
        <v>46</v>
      </c>
      <c r="L182" s="50"/>
      <c r="M182" s="50"/>
      <c r="N182" s="50"/>
      <c r="O182" s="50"/>
      <c r="P182" s="50"/>
      <c r="Q182" s="50"/>
      <c r="R182" s="50"/>
      <c r="S182" s="50"/>
      <c r="T182" s="50"/>
      <c r="U182" s="50"/>
      <c r="V182" s="50"/>
      <c r="W182" s="50"/>
      <c r="X182" s="50"/>
    </row>
    <row r="183" spans="1:24" ht="22" customHeight="1">
      <c r="A183" s="56" t="s">
        <v>139</v>
      </c>
      <c r="B183" s="45"/>
      <c r="C183" s="60">
        <v>0</v>
      </c>
      <c r="D183" s="60">
        <v>0</v>
      </c>
      <c r="E183" s="60">
        <v>0</v>
      </c>
      <c r="F183" s="60">
        <v>0</v>
      </c>
      <c r="G183" s="60">
        <v>0</v>
      </c>
      <c r="H183" s="60">
        <v>0</v>
      </c>
      <c r="I183" s="60">
        <v>0</v>
      </c>
      <c r="J183" s="60">
        <v>0</v>
      </c>
      <c r="K183" s="60">
        <v>0</v>
      </c>
      <c r="L183" s="50"/>
      <c r="M183" s="50"/>
      <c r="N183" s="50"/>
      <c r="O183" s="50"/>
      <c r="P183" s="50"/>
      <c r="Q183" s="50"/>
      <c r="R183" s="50"/>
      <c r="S183" s="50"/>
      <c r="T183" s="50"/>
      <c r="U183" s="50"/>
      <c r="V183" s="50"/>
      <c r="W183" s="50"/>
      <c r="X183" s="50"/>
    </row>
    <row r="184" spans="1:24" ht="22" customHeight="1">
      <c r="A184" s="56" t="s">
        <v>136</v>
      </c>
      <c r="B184" s="45"/>
      <c r="C184" s="50">
        <f>'Operating Metrics'!C182+'Operating Metrics'!C183</f>
        <v>50</v>
      </c>
      <c r="D184" s="50">
        <f>'Operating Metrics'!D182+'Operating Metrics'!D183</f>
        <v>47</v>
      </c>
      <c r="E184" s="50">
        <f>'Operating Metrics'!E182+'Operating Metrics'!E183</f>
        <v>45</v>
      </c>
      <c r="F184" s="50">
        <f>'Operating Metrics'!F182+'Operating Metrics'!F183</f>
        <v>44</v>
      </c>
      <c r="G184" s="50">
        <f>'Operating Metrics'!G182+'Operating Metrics'!G183</f>
        <v>41</v>
      </c>
      <c r="H184" s="50">
        <f>'Operating Metrics'!H182+'Operating Metrics'!H183</f>
        <v>46</v>
      </c>
      <c r="I184" s="50">
        <f>'Operating Metrics'!I182+'Operating Metrics'!I183</f>
        <v>47</v>
      </c>
      <c r="J184" s="50">
        <f>'Operating Metrics'!J182+'Operating Metrics'!J183</f>
        <v>51</v>
      </c>
      <c r="K184" s="50">
        <f>'Operating Metrics'!K182+'Operating Metrics'!K183</f>
        <v>46</v>
      </c>
      <c r="L184" s="50"/>
      <c r="M184" s="50"/>
      <c r="N184" s="50"/>
      <c r="O184" s="50"/>
      <c r="P184" s="50"/>
      <c r="Q184" s="50"/>
      <c r="R184" s="50"/>
      <c r="S184" s="50"/>
      <c r="T184" s="50"/>
      <c r="U184" s="50"/>
      <c r="V184" s="50"/>
      <c r="W184" s="50"/>
      <c r="X184" s="50"/>
    </row>
    <row r="185" spans="1:24" ht="22" customHeight="1">
      <c r="A185" s="56" t="s">
        <v>103</v>
      </c>
      <c r="B185" s="45"/>
      <c r="C185" s="54">
        <f>IF('Operating Metrics'!C184=0,"",'Operating Metrics'!C180/'Operating Metrics'!C184)</f>
        <v>0.82</v>
      </c>
      <c r="D185" s="54">
        <f>IF('Operating Metrics'!D184=0,"",'Operating Metrics'!D180/'Operating Metrics'!D184)</f>
        <v>0.93617021276595747</v>
      </c>
      <c r="E185" s="54">
        <f>IF('Operating Metrics'!E184=0,"",'Operating Metrics'!E180/'Operating Metrics'!E184)</f>
        <v>1.1777777777777778</v>
      </c>
      <c r="F185" s="54">
        <f>IF('Operating Metrics'!F184=0,"",'Operating Metrics'!F180/'Operating Metrics'!F184)</f>
        <v>2.3636363636363638</v>
      </c>
      <c r="G185" s="54">
        <f>IF('Operating Metrics'!G184=0,"",'Operating Metrics'!G180/'Operating Metrics'!G184)</f>
        <v>2.0731707317073171</v>
      </c>
      <c r="H185" s="54">
        <f>IF('Operating Metrics'!H184=0,"",'Operating Metrics'!H180/'Operating Metrics'!H184)</f>
        <v>2</v>
      </c>
      <c r="I185" s="54">
        <f>IF('Operating Metrics'!I184=0,"",'Operating Metrics'!I180/'Operating Metrics'!I184)</f>
        <v>1.9787234042553192</v>
      </c>
      <c r="J185" s="54">
        <f>IF('Operating Metrics'!J184=0,"",'Operating Metrics'!J180/'Operating Metrics'!J184)</f>
        <v>2.0196078431372548</v>
      </c>
      <c r="K185" s="54">
        <f>IF('Operating Metrics'!K184=0,"",'Operating Metrics'!K180/'Operating Metrics'!K184)</f>
        <v>2.6956521739130435</v>
      </c>
      <c r="L185" s="54"/>
      <c r="M185" s="54"/>
      <c r="N185" s="54"/>
      <c r="O185" s="54"/>
      <c r="P185" s="54"/>
      <c r="Q185" s="54"/>
      <c r="R185" s="54"/>
      <c r="S185" s="54"/>
      <c r="T185" s="54"/>
      <c r="U185" s="54"/>
      <c r="V185" s="54"/>
      <c r="W185" s="54"/>
      <c r="X185" s="54"/>
    </row>
    <row r="186" spans="1:24" ht="22" customHeight="1">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row>
    <row r="187" spans="1:24" ht="22" customHeight="1">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row>
    <row r="188" spans="1:24" ht="22" customHeight="1">
      <c r="A188" s="170" t="s">
        <v>124</v>
      </c>
      <c r="B188" s="170"/>
      <c r="C188" s="170"/>
      <c r="D188" s="170"/>
      <c r="E188" s="170"/>
      <c r="F188" s="170"/>
      <c r="G188" s="170"/>
      <c r="H188" s="170"/>
      <c r="I188" s="170"/>
      <c r="J188" s="170"/>
      <c r="K188" s="170"/>
      <c r="L188" s="170"/>
      <c r="M188" s="170"/>
      <c r="N188" s="170"/>
      <c r="O188" s="170"/>
      <c r="P188" s="170"/>
      <c r="Q188" s="170"/>
      <c r="R188" s="170"/>
      <c r="S188" s="170"/>
      <c r="T188" s="170"/>
      <c r="U188" s="170"/>
      <c r="V188" s="170"/>
      <c r="W188" s="170"/>
      <c r="X188" s="170"/>
    </row>
    <row r="189" spans="1:24" ht="24" customHeight="1">
      <c r="A189" s="171" t="s">
        <v>142</v>
      </c>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row>
    <row r="190" spans="1:24" ht="24" customHeight="1">
      <c r="A190" s="47" t="s">
        <v>56</v>
      </c>
      <c r="B190" s="45"/>
      <c r="C190" s="48" t="s">
        <v>35</v>
      </c>
      <c r="D190" s="48" t="s">
        <v>36</v>
      </c>
      <c r="E190" s="48" t="s">
        <v>37</v>
      </c>
      <c r="F190" s="45"/>
      <c r="G190" s="45"/>
      <c r="H190" s="45"/>
      <c r="I190" s="45"/>
      <c r="J190" s="45"/>
      <c r="K190" s="45"/>
      <c r="L190" s="45"/>
      <c r="M190" s="45"/>
      <c r="N190" s="45"/>
      <c r="O190" s="45"/>
      <c r="P190" s="45"/>
      <c r="Q190" s="45"/>
      <c r="R190" s="45"/>
      <c r="S190" s="45"/>
      <c r="T190" s="45"/>
      <c r="U190" s="45"/>
      <c r="V190" s="45"/>
      <c r="W190" s="45"/>
      <c r="X190" s="45"/>
    </row>
    <row r="191" spans="1:24" ht="18" customHeight="1">
      <c r="A191" s="45"/>
      <c r="B191" s="45"/>
      <c r="C191" s="55">
        <v>42735</v>
      </c>
      <c r="D191" s="55">
        <v>43099</v>
      </c>
      <c r="E191" s="55">
        <v>43463</v>
      </c>
      <c r="F191" s="45"/>
      <c r="G191" s="45"/>
      <c r="H191" s="45"/>
      <c r="I191" s="45"/>
      <c r="J191" s="45"/>
      <c r="K191" s="45"/>
      <c r="L191" s="45"/>
      <c r="M191" s="45"/>
      <c r="N191" s="45"/>
      <c r="O191" s="45"/>
      <c r="P191" s="45"/>
      <c r="Q191" s="45"/>
      <c r="R191" s="45"/>
      <c r="S191" s="45"/>
      <c r="T191" s="45"/>
      <c r="U191" s="45"/>
      <c r="V191" s="45"/>
      <c r="W191" s="45"/>
      <c r="X191" s="45"/>
    </row>
    <row r="192" spans="1:24" ht="24" customHeight="1">
      <c r="A192" s="172" t="s">
        <v>109</v>
      </c>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row>
    <row r="193" spans="1:24" ht="22" customHeight="1">
      <c r="A193" s="56" t="s">
        <v>63</v>
      </c>
      <c r="B193" s="45"/>
      <c r="C193" s="60">
        <v>21312</v>
      </c>
      <c r="D193" s="60">
        <v>20936</v>
      </c>
      <c r="E193" s="60">
        <v>21072</v>
      </c>
      <c r="F193" s="50"/>
      <c r="G193" s="50"/>
      <c r="H193" s="50"/>
      <c r="I193" s="50"/>
      <c r="J193" s="50"/>
      <c r="K193" s="50"/>
      <c r="L193" s="50"/>
      <c r="M193" s="50"/>
      <c r="N193" s="50"/>
      <c r="O193" s="50"/>
      <c r="P193" s="50"/>
      <c r="Q193" s="50"/>
      <c r="R193" s="50"/>
      <c r="S193" s="50"/>
      <c r="T193" s="50"/>
      <c r="U193" s="50"/>
      <c r="V193" s="50"/>
      <c r="W193" s="50"/>
      <c r="X193" s="50"/>
    </row>
    <row r="194" spans="1:24" ht="20" customHeight="1">
      <c r="A194" s="58" t="s">
        <v>83</v>
      </c>
      <c r="B194" s="45"/>
      <c r="C194" s="59"/>
      <c r="D194" s="51">
        <f>IF(OR('Operating Metrics'!C193&lt;=0,'Operating Metrics'!D193&lt;0),"",'Operating Metrics'!D193/'Operating Metrics'!C193-1)</f>
        <v>-1.7642642642642592E-2</v>
      </c>
      <c r="E194" s="51">
        <f>IF(OR('Operating Metrics'!D193&lt;=0,'Operating Metrics'!E193&lt;0),"",'Operating Metrics'!E193/'Operating Metrics'!D193-1)</f>
        <v>6.4959877722583492E-3</v>
      </c>
      <c r="F194" s="59"/>
      <c r="G194" s="59"/>
      <c r="H194" s="59"/>
      <c r="I194" s="59"/>
      <c r="J194" s="59"/>
      <c r="K194" s="59"/>
      <c r="L194" s="59"/>
      <c r="M194" s="59"/>
      <c r="N194" s="59"/>
      <c r="O194" s="59"/>
      <c r="P194" s="59"/>
      <c r="Q194" s="59"/>
      <c r="R194" s="59"/>
      <c r="S194" s="59"/>
      <c r="T194" s="59"/>
      <c r="U194" s="59"/>
      <c r="V194" s="59"/>
      <c r="W194" s="59"/>
      <c r="X194" s="59"/>
    </row>
    <row r="195" spans="1:24" ht="22" customHeight="1">
      <c r="A195" s="56" t="s">
        <v>87</v>
      </c>
      <c r="B195" s="45"/>
      <c r="C195" s="60">
        <v>2947</v>
      </c>
      <c r="D195" s="60">
        <v>2700</v>
      </c>
      <c r="E195" s="60">
        <v>2276</v>
      </c>
      <c r="F195" s="50"/>
      <c r="G195" s="50"/>
      <c r="H195" s="50"/>
      <c r="I195" s="50"/>
      <c r="J195" s="50"/>
      <c r="K195" s="50"/>
      <c r="L195" s="50"/>
      <c r="M195" s="50"/>
      <c r="N195" s="50"/>
      <c r="O195" s="50"/>
      <c r="P195" s="50"/>
      <c r="Q195" s="50"/>
      <c r="R195" s="50"/>
      <c r="S195" s="50"/>
      <c r="T195" s="50"/>
      <c r="U195" s="50"/>
      <c r="V195" s="50"/>
      <c r="W195" s="50"/>
      <c r="X195" s="50"/>
    </row>
    <row r="196" spans="1:24" ht="20" customHeight="1">
      <c r="A196" s="58" t="s">
        <v>132</v>
      </c>
      <c r="B196" s="45"/>
      <c r="C196" s="51">
        <f>IF('Operating Metrics'!C193=0,"",'Operating Metrics'!C195/'Operating Metrics'!C193)</f>
        <v>0.1382789039039039</v>
      </c>
      <c r="D196" s="51">
        <f>IF('Operating Metrics'!D193=0,"",'Operating Metrics'!D195/'Operating Metrics'!D193)</f>
        <v>0.12896446312571647</v>
      </c>
      <c r="E196" s="51">
        <f>IF('Operating Metrics'!E193=0,"",'Operating Metrics'!E195/'Operating Metrics'!E193)</f>
        <v>0.10801063022019741</v>
      </c>
      <c r="F196" s="59"/>
      <c r="G196" s="59"/>
      <c r="H196" s="59"/>
      <c r="I196" s="59"/>
      <c r="J196" s="59"/>
      <c r="K196" s="59"/>
      <c r="L196" s="59"/>
      <c r="M196" s="59"/>
      <c r="N196" s="59"/>
      <c r="O196" s="59"/>
      <c r="P196" s="59"/>
      <c r="Q196" s="59"/>
      <c r="R196" s="59"/>
      <c r="S196" s="59"/>
      <c r="T196" s="59"/>
      <c r="U196" s="59"/>
      <c r="V196" s="59"/>
      <c r="W196" s="59"/>
      <c r="X196" s="59"/>
    </row>
    <row r="197" spans="1:24" ht="20" customHeight="1">
      <c r="A197" s="58" t="s">
        <v>66</v>
      </c>
      <c r="B197" s="45"/>
      <c r="C197" s="61">
        <v>0.02</v>
      </c>
      <c r="D197" s="61">
        <v>-0.02</v>
      </c>
      <c r="E197" s="61">
        <v>5.0000000000000001E-3</v>
      </c>
      <c r="F197" s="59"/>
      <c r="G197" s="59"/>
      <c r="H197" s="59"/>
      <c r="I197" s="59"/>
      <c r="J197" s="59"/>
      <c r="K197" s="59"/>
      <c r="L197" s="59"/>
      <c r="M197" s="59"/>
      <c r="N197" s="59"/>
      <c r="O197" s="59"/>
      <c r="P197" s="59"/>
      <c r="Q197" s="59"/>
      <c r="R197" s="59"/>
      <c r="S197" s="59"/>
      <c r="T197" s="59"/>
      <c r="U197" s="59"/>
      <c r="V197" s="59"/>
      <c r="W197" s="59"/>
      <c r="X197" s="59"/>
    </row>
    <row r="198" spans="1:24" ht="20" customHeight="1">
      <c r="A198" s="58" t="s">
        <v>78</v>
      </c>
      <c r="B198" s="45"/>
      <c r="C198" s="61">
        <v>0.01</v>
      </c>
      <c r="D198" s="61">
        <v>-0.02</v>
      </c>
      <c r="E198" s="61">
        <v>-0.01</v>
      </c>
      <c r="F198" s="59"/>
      <c r="G198" s="59"/>
      <c r="H198" s="59"/>
      <c r="I198" s="59"/>
      <c r="J198" s="59"/>
      <c r="K198" s="59"/>
      <c r="L198" s="59"/>
      <c r="M198" s="59"/>
      <c r="N198" s="59"/>
      <c r="O198" s="59"/>
      <c r="P198" s="59"/>
      <c r="Q198" s="59"/>
      <c r="R198" s="59"/>
      <c r="S198" s="59"/>
      <c r="T198" s="59"/>
      <c r="U198" s="59"/>
      <c r="V198" s="59"/>
      <c r="W198" s="59"/>
      <c r="X198" s="59"/>
    </row>
    <row r="199" spans="1:24" ht="20" customHeight="1">
      <c r="A199" s="58" t="s">
        <v>133</v>
      </c>
      <c r="B199" s="45"/>
      <c r="C199" s="61">
        <v>0.01</v>
      </c>
      <c r="D199" s="61">
        <v>0.01</v>
      </c>
      <c r="E199" s="61">
        <v>0.02</v>
      </c>
      <c r="F199" s="59"/>
      <c r="G199" s="59"/>
      <c r="H199" s="59"/>
      <c r="I199" s="59"/>
      <c r="J199" s="59"/>
      <c r="K199" s="59"/>
      <c r="L199" s="59"/>
      <c r="M199" s="59"/>
      <c r="N199" s="59"/>
      <c r="O199" s="59"/>
      <c r="P199" s="59"/>
      <c r="Q199" s="59"/>
      <c r="R199" s="59"/>
      <c r="S199" s="59"/>
      <c r="T199" s="59"/>
      <c r="U199" s="59"/>
      <c r="V199" s="59"/>
      <c r="W199" s="59"/>
      <c r="X199" s="59"/>
    </row>
    <row r="200" spans="1:24" ht="22" customHeight="1">
      <c r="A200" s="56" t="s">
        <v>101</v>
      </c>
      <c r="B200" s="45"/>
      <c r="C200" s="60">
        <v>769</v>
      </c>
      <c r="D200" s="60">
        <v>904</v>
      </c>
      <c r="E200" s="60">
        <v>945</v>
      </c>
      <c r="F200" s="50"/>
      <c r="G200" s="50"/>
      <c r="H200" s="50"/>
      <c r="I200" s="50"/>
      <c r="J200" s="50"/>
      <c r="K200" s="50"/>
      <c r="L200" s="50"/>
      <c r="M200" s="50"/>
      <c r="N200" s="50"/>
      <c r="O200" s="50"/>
      <c r="P200" s="50"/>
      <c r="Q200" s="50"/>
      <c r="R200" s="50"/>
      <c r="S200" s="50"/>
      <c r="T200" s="50"/>
      <c r="U200" s="50"/>
      <c r="V200" s="50"/>
      <c r="W200" s="50"/>
      <c r="X200" s="50"/>
    </row>
    <row r="201" spans="1:24" ht="20" customHeight="1">
      <c r="A201" s="58" t="s">
        <v>102</v>
      </c>
      <c r="B201" s="45"/>
      <c r="C201" s="51">
        <f>IF('Operating Metrics'!C193=0,"",'Operating Metrics'!C200/'Operating Metrics'!C193)</f>
        <v>3.6082957957957955E-2</v>
      </c>
      <c r="D201" s="51">
        <f>IF('Operating Metrics'!D193=0,"",'Operating Metrics'!D200/'Operating Metrics'!D193)</f>
        <v>4.3179212839128775E-2</v>
      </c>
      <c r="E201" s="51">
        <f>IF('Operating Metrics'!E193=0,"",'Operating Metrics'!E200/'Operating Metrics'!E193)</f>
        <v>4.4846241457858767E-2</v>
      </c>
      <c r="F201" s="59"/>
      <c r="G201" s="59"/>
      <c r="H201" s="59"/>
      <c r="I201" s="59"/>
      <c r="J201" s="59"/>
      <c r="K201" s="59"/>
      <c r="L201" s="59"/>
      <c r="M201" s="59"/>
      <c r="N201" s="59"/>
      <c r="O201" s="59"/>
      <c r="P201" s="59"/>
      <c r="Q201" s="59"/>
      <c r="R201" s="59"/>
      <c r="S201" s="59"/>
      <c r="T201" s="59"/>
      <c r="U201" s="59"/>
      <c r="V201" s="59"/>
      <c r="W201" s="59"/>
      <c r="X201" s="59"/>
    </row>
    <row r="202" spans="1:24" ht="22" customHeight="1">
      <c r="A202" s="56" t="s">
        <v>138</v>
      </c>
      <c r="B202" s="45"/>
      <c r="C202" s="60">
        <v>809</v>
      </c>
      <c r="D202" s="60">
        <v>780</v>
      </c>
      <c r="E202" s="60">
        <v>821</v>
      </c>
      <c r="F202" s="50"/>
      <c r="G202" s="50"/>
      <c r="H202" s="50"/>
      <c r="I202" s="50"/>
      <c r="J202" s="50"/>
      <c r="K202" s="50"/>
      <c r="L202" s="50"/>
      <c r="M202" s="50"/>
      <c r="N202" s="50"/>
      <c r="O202" s="50"/>
      <c r="P202" s="50"/>
      <c r="Q202" s="50"/>
      <c r="R202" s="50"/>
      <c r="S202" s="50"/>
      <c r="T202" s="50"/>
      <c r="U202" s="50"/>
      <c r="V202" s="50"/>
      <c r="W202" s="50"/>
      <c r="X202" s="50"/>
    </row>
    <row r="203" spans="1:24" ht="22" customHeight="1">
      <c r="A203" s="56" t="s">
        <v>139</v>
      </c>
      <c r="B203" s="45"/>
      <c r="C203" s="60">
        <v>37</v>
      </c>
      <c r="D203" s="60">
        <v>31</v>
      </c>
      <c r="E203" s="60">
        <v>31</v>
      </c>
      <c r="F203" s="50"/>
      <c r="G203" s="50"/>
      <c r="H203" s="50"/>
      <c r="I203" s="50"/>
      <c r="J203" s="50"/>
      <c r="K203" s="50"/>
      <c r="L203" s="50"/>
      <c r="M203" s="50"/>
      <c r="N203" s="50"/>
      <c r="O203" s="50"/>
      <c r="P203" s="50"/>
      <c r="Q203" s="50"/>
      <c r="R203" s="50"/>
      <c r="S203" s="50"/>
      <c r="T203" s="50"/>
      <c r="U203" s="50"/>
      <c r="V203" s="50"/>
      <c r="W203" s="50"/>
      <c r="X203" s="50"/>
    </row>
    <row r="204" spans="1:24" ht="22" customHeight="1">
      <c r="A204" s="56" t="s">
        <v>136</v>
      </c>
      <c r="B204" s="45"/>
      <c r="C204" s="50">
        <f>'Operating Metrics'!C202+'Operating Metrics'!C203</f>
        <v>846</v>
      </c>
      <c r="D204" s="50">
        <f>'Operating Metrics'!D202+'Operating Metrics'!D203</f>
        <v>811</v>
      </c>
      <c r="E204" s="50">
        <f>'Operating Metrics'!E202+'Operating Metrics'!E203</f>
        <v>852</v>
      </c>
      <c r="F204" s="50"/>
      <c r="G204" s="50"/>
      <c r="H204" s="50"/>
      <c r="I204" s="50"/>
      <c r="J204" s="50"/>
      <c r="K204" s="50"/>
      <c r="L204" s="50"/>
      <c r="M204" s="50"/>
      <c r="N204" s="50"/>
      <c r="O204" s="50"/>
      <c r="P204" s="50"/>
      <c r="Q204" s="50"/>
      <c r="R204" s="50"/>
      <c r="S204" s="50"/>
      <c r="T204" s="50"/>
      <c r="U204" s="50"/>
      <c r="V204" s="50"/>
      <c r="W204" s="50"/>
      <c r="X204" s="50"/>
    </row>
    <row r="205" spans="1:24" ht="22" customHeight="1">
      <c r="A205" s="56" t="s">
        <v>103</v>
      </c>
      <c r="B205" s="45"/>
      <c r="C205" s="54">
        <f>IF('Operating Metrics'!C204=0,"",'Operating Metrics'!C200/'Operating Metrics'!C204)</f>
        <v>0.90898345153664306</v>
      </c>
      <c r="D205" s="54">
        <f>IF('Operating Metrics'!D204=0,"",'Operating Metrics'!D200/'Operating Metrics'!D204)</f>
        <v>1.1146732429099877</v>
      </c>
      <c r="E205" s="54">
        <f>IF('Operating Metrics'!E204=0,"",'Operating Metrics'!E200/'Operating Metrics'!E204)</f>
        <v>1.1091549295774648</v>
      </c>
      <c r="F205" s="54"/>
      <c r="G205" s="54"/>
      <c r="H205" s="54"/>
      <c r="I205" s="54"/>
      <c r="J205" s="54"/>
      <c r="K205" s="54"/>
      <c r="L205" s="54"/>
      <c r="M205" s="54"/>
      <c r="N205" s="54"/>
      <c r="O205" s="54"/>
      <c r="P205" s="54"/>
      <c r="Q205" s="54"/>
      <c r="R205" s="54"/>
      <c r="S205" s="54"/>
      <c r="T205" s="54"/>
      <c r="U205" s="54"/>
      <c r="V205" s="54"/>
      <c r="W205" s="54"/>
      <c r="X205" s="54"/>
    </row>
    <row r="206" spans="1:24" ht="24" customHeight="1">
      <c r="A206" s="172" t="s">
        <v>110</v>
      </c>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row>
    <row r="207" spans="1:24" ht="22" customHeight="1">
      <c r="A207" s="56" t="s">
        <v>63</v>
      </c>
      <c r="B207" s="45"/>
      <c r="C207" s="60">
        <v>6820</v>
      </c>
      <c r="D207" s="60">
        <v>7208</v>
      </c>
      <c r="E207" s="60">
        <v>7354</v>
      </c>
      <c r="F207" s="50"/>
      <c r="G207" s="50"/>
      <c r="H207" s="50"/>
      <c r="I207" s="50"/>
      <c r="J207" s="50"/>
      <c r="K207" s="50"/>
      <c r="L207" s="50"/>
      <c r="M207" s="50"/>
      <c r="N207" s="50"/>
      <c r="O207" s="50"/>
      <c r="P207" s="50"/>
      <c r="Q207" s="50"/>
      <c r="R207" s="50"/>
      <c r="S207" s="50"/>
      <c r="T207" s="50"/>
      <c r="U207" s="50"/>
      <c r="V207" s="50"/>
      <c r="W207" s="50"/>
      <c r="X207" s="50"/>
    </row>
    <row r="208" spans="1:24" ht="20" customHeight="1">
      <c r="A208" s="58" t="s">
        <v>83</v>
      </c>
      <c r="B208" s="45"/>
      <c r="C208" s="59"/>
      <c r="D208" s="51">
        <f>IF(OR('Operating Metrics'!C207&lt;=0,'Operating Metrics'!D207&lt;0),"",'Operating Metrics'!D207/'Operating Metrics'!C207-1)</f>
        <v>5.6891495601173014E-2</v>
      </c>
      <c r="E208" s="51">
        <f>IF(OR('Operating Metrics'!D207&lt;=0,'Operating Metrics'!E207&lt;0),"",'Operating Metrics'!E207/'Operating Metrics'!D207-1)</f>
        <v>2.0255271920088802E-2</v>
      </c>
      <c r="F208" s="59"/>
      <c r="G208" s="59"/>
      <c r="H208" s="59"/>
      <c r="I208" s="59"/>
      <c r="J208" s="59"/>
      <c r="K208" s="59"/>
      <c r="L208" s="59"/>
      <c r="M208" s="59"/>
      <c r="N208" s="59"/>
      <c r="O208" s="59"/>
      <c r="P208" s="59"/>
      <c r="Q208" s="59"/>
      <c r="R208" s="59"/>
      <c r="S208" s="59"/>
      <c r="T208" s="59"/>
      <c r="U208" s="59"/>
      <c r="V208" s="59"/>
      <c r="W208" s="59"/>
      <c r="X208" s="59"/>
    </row>
    <row r="209" spans="1:24" ht="22" customHeight="1">
      <c r="A209" s="56" t="s">
        <v>87</v>
      </c>
      <c r="B209" s="45"/>
      <c r="C209" s="60">
        <v>904</v>
      </c>
      <c r="D209" s="60">
        <v>924</v>
      </c>
      <c r="E209" s="60">
        <v>1049</v>
      </c>
      <c r="F209" s="50"/>
      <c r="G209" s="50"/>
      <c r="H209" s="50"/>
      <c r="I209" s="50"/>
      <c r="J209" s="50"/>
      <c r="K209" s="50"/>
      <c r="L209" s="50"/>
      <c r="M209" s="50"/>
      <c r="N209" s="50"/>
      <c r="O209" s="50"/>
      <c r="P209" s="50"/>
      <c r="Q209" s="50"/>
      <c r="R209" s="50"/>
      <c r="S209" s="50"/>
      <c r="T209" s="50"/>
      <c r="U209" s="50"/>
      <c r="V209" s="50"/>
      <c r="W209" s="50"/>
      <c r="X209" s="50"/>
    </row>
    <row r="210" spans="1:24" ht="20" customHeight="1">
      <c r="A210" s="58" t="s">
        <v>132</v>
      </c>
      <c r="B210" s="45"/>
      <c r="C210" s="51">
        <f>IF('Operating Metrics'!C207=0,"",'Operating Metrics'!C209/'Operating Metrics'!C207)</f>
        <v>0.13255131964809383</v>
      </c>
      <c r="D210" s="51">
        <f>IF('Operating Metrics'!D207=0,"",'Operating Metrics'!D209/'Operating Metrics'!D207)</f>
        <v>0.12819089900110989</v>
      </c>
      <c r="E210" s="51">
        <f>IF('Operating Metrics'!E207=0,"",'Operating Metrics'!E209/'Operating Metrics'!E207)</f>
        <v>0.14264345934185477</v>
      </c>
      <c r="F210" s="59"/>
      <c r="G210" s="59"/>
      <c r="H210" s="59"/>
      <c r="I210" s="59"/>
      <c r="J210" s="59"/>
      <c r="K210" s="59"/>
      <c r="L210" s="59"/>
      <c r="M210" s="59"/>
      <c r="N210" s="59"/>
      <c r="O210" s="59"/>
      <c r="P210" s="59"/>
      <c r="Q210" s="59"/>
      <c r="R210" s="59"/>
      <c r="S210" s="59"/>
      <c r="T210" s="59"/>
      <c r="U210" s="59"/>
      <c r="V210" s="59"/>
      <c r="W210" s="59"/>
      <c r="X210" s="59"/>
    </row>
    <row r="211" spans="1:24" ht="20" customHeight="1">
      <c r="A211" s="58" t="s">
        <v>66</v>
      </c>
      <c r="B211" s="45"/>
      <c r="C211" s="61">
        <v>0.09</v>
      </c>
      <c r="D211" s="61">
        <v>0.05</v>
      </c>
      <c r="E211" s="61">
        <v>0.08</v>
      </c>
      <c r="F211" s="59"/>
      <c r="G211" s="59"/>
      <c r="H211" s="59"/>
      <c r="I211" s="59"/>
      <c r="J211" s="59"/>
      <c r="K211" s="59"/>
      <c r="L211" s="59"/>
      <c r="M211" s="59"/>
      <c r="N211" s="59"/>
      <c r="O211" s="59"/>
      <c r="P211" s="59"/>
      <c r="Q211" s="59"/>
      <c r="R211" s="59"/>
      <c r="S211" s="59"/>
      <c r="T211" s="59"/>
      <c r="U211" s="59"/>
      <c r="V211" s="59"/>
      <c r="W211" s="59"/>
      <c r="X211" s="59"/>
    </row>
    <row r="212" spans="1:24" ht="20" customHeight="1">
      <c r="A212" s="58" t="s">
        <v>77</v>
      </c>
      <c r="B212" s="45"/>
      <c r="C212" s="61">
        <v>0.03</v>
      </c>
      <c r="D212" s="61">
        <v>-1.4999999999999999E-2</v>
      </c>
      <c r="E212" s="61">
        <v>0.01</v>
      </c>
      <c r="F212" s="59"/>
      <c r="G212" s="59"/>
      <c r="H212" s="59"/>
      <c r="I212" s="59"/>
      <c r="J212" s="59"/>
      <c r="K212" s="59"/>
      <c r="L212" s="59"/>
      <c r="M212" s="59"/>
      <c r="N212" s="59"/>
      <c r="O212" s="59"/>
      <c r="P212" s="59"/>
      <c r="Q212" s="59"/>
      <c r="R212" s="59"/>
      <c r="S212" s="59"/>
      <c r="T212" s="59"/>
      <c r="U212" s="59"/>
      <c r="V212" s="59"/>
      <c r="W212" s="59"/>
      <c r="X212" s="59"/>
    </row>
    <row r="213" spans="1:24" ht="20" customHeight="1">
      <c r="A213" s="58" t="s">
        <v>78</v>
      </c>
      <c r="B213" s="45"/>
      <c r="C213" s="61">
        <v>-0.02</v>
      </c>
      <c r="D213" s="61">
        <v>-0.02</v>
      </c>
      <c r="E213" s="61">
        <v>-0.01</v>
      </c>
      <c r="F213" s="59"/>
      <c r="G213" s="59"/>
      <c r="H213" s="59"/>
      <c r="I213" s="59"/>
      <c r="J213" s="59"/>
      <c r="K213" s="59"/>
      <c r="L213" s="59"/>
      <c r="M213" s="59"/>
      <c r="N213" s="59"/>
      <c r="O213" s="59"/>
      <c r="P213" s="59"/>
      <c r="Q213" s="59"/>
      <c r="R213" s="59"/>
      <c r="S213" s="59"/>
      <c r="T213" s="59"/>
      <c r="U213" s="59"/>
      <c r="V213" s="59"/>
      <c r="W213" s="59"/>
      <c r="X213" s="59"/>
    </row>
    <row r="214" spans="1:24" ht="20" customHeight="1">
      <c r="A214" s="58" t="s">
        <v>133</v>
      </c>
      <c r="B214" s="45"/>
      <c r="C214" s="61">
        <v>7.0000000000000007E-2</v>
      </c>
      <c r="D214" s="61">
        <v>7.0000000000000007E-2</v>
      </c>
      <c r="E214" s="61">
        <v>7.0000000000000007E-2</v>
      </c>
      <c r="F214" s="59"/>
      <c r="G214" s="59"/>
      <c r="H214" s="59"/>
      <c r="I214" s="59"/>
      <c r="J214" s="59"/>
      <c r="K214" s="59"/>
      <c r="L214" s="59"/>
      <c r="M214" s="59"/>
      <c r="N214" s="59"/>
      <c r="O214" s="59"/>
      <c r="P214" s="59"/>
      <c r="Q214" s="59"/>
      <c r="R214" s="59"/>
      <c r="S214" s="59"/>
      <c r="T214" s="59"/>
      <c r="U214" s="59"/>
      <c r="V214" s="59"/>
      <c r="W214" s="59"/>
      <c r="X214" s="59"/>
    </row>
    <row r="215" spans="1:24" ht="22" customHeight="1">
      <c r="A215" s="56" t="s">
        <v>101</v>
      </c>
      <c r="B215" s="45"/>
      <c r="C215" s="60">
        <v>507</v>
      </c>
      <c r="D215" s="60">
        <v>481</v>
      </c>
      <c r="E215" s="60">
        <v>492</v>
      </c>
      <c r="F215" s="50"/>
      <c r="G215" s="50"/>
      <c r="H215" s="50"/>
      <c r="I215" s="50"/>
      <c r="J215" s="50"/>
      <c r="K215" s="50"/>
      <c r="L215" s="50"/>
      <c r="M215" s="50"/>
      <c r="N215" s="50"/>
      <c r="O215" s="50"/>
      <c r="P215" s="50"/>
      <c r="Q215" s="50"/>
      <c r="R215" s="50"/>
      <c r="S215" s="50"/>
      <c r="T215" s="50"/>
      <c r="U215" s="50"/>
      <c r="V215" s="50"/>
      <c r="W215" s="50"/>
      <c r="X215" s="50"/>
    </row>
    <row r="216" spans="1:24" ht="20" customHeight="1">
      <c r="A216" s="58" t="s">
        <v>102</v>
      </c>
      <c r="B216" s="45"/>
      <c r="C216" s="51">
        <f>IF('Operating Metrics'!C207=0,"",'Operating Metrics'!C215/'Operating Metrics'!C207)</f>
        <v>7.4340175953079179E-2</v>
      </c>
      <c r="D216" s="51">
        <f>IF('Operating Metrics'!D207=0,"",'Operating Metrics'!D215/'Operating Metrics'!D207)</f>
        <v>6.6731409544950049E-2</v>
      </c>
      <c r="E216" s="51">
        <f>IF('Operating Metrics'!E207=0,"",'Operating Metrics'!E215/'Operating Metrics'!E207)</f>
        <v>6.6902366059287469E-2</v>
      </c>
      <c r="F216" s="59"/>
      <c r="G216" s="59"/>
      <c r="H216" s="59"/>
      <c r="I216" s="59"/>
      <c r="J216" s="59"/>
      <c r="K216" s="59"/>
      <c r="L216" s="59"/>
      <c r="M216" s="59"/>
      <c r="N216" s="59"/>
      <c r="O216" s="59"/>
      <c r="P216" s="59"/>
      <c r="Q216" s="59"/>
      <c r="R216" s="59"/>
      <c r="S216" s="59"/>
      <c r="T216" s="59"/>
      <c r="U216" s="59"/>
      <c r="V216" s="59"/>
      <c r="W216" s="59"/>
      <c r="X216" s="59"/>
    </row>
    <row r="217" spans="1:24" ht="22" customHeight="1">
      <c r="A217" s="56" t="s">
        <v>138</v>
      </c>
      <c r="B217" s="45"/>
      <c r="C217" s="60">
        <v>211</v>
      </c>
      <c r="D217" s="60">
        <v>245</v>
      </c>
      <c r="E217" s="60">
        <v>253</v>
      </c>
      <c r="F217" s="50"/>
      <c r="G217" s="50"/>
      <c r="H217" s="50"/>
      <c r="I217" s="50"/>
      <c r="J217" s="50"/>
      <c r="K217" s="50"/>
      <c r="L217" s="50"/>
      <c r="M217" s="50"/>
      <c r="N217" s="50"/>
      <c r="O217" s="50"/>
      <c r="P217" s="50"/>
      <c r="Q217" s="50"/>
      <c r="R217" s="50"/>
      <c r="S217" s="50"/>
      <c r="T217" s="50"/>
      <c r="U217" s="50"/>
      <c r="V217" s="50"/>
      <c r="W217" s="50"/>
      <c r="X217" s="50"/>
    </row>
    <row r="218" spans="1:24" ht="22" customHeight="1">
      <c r="A218" s="56" t="s">
        <v>139</v>
      </c>
      <c r="B218" s="45"/>
      <c r="C218" s="60">
        <v>5</v>
      </c>
      <c r="D218" s="60">
        <v>5</v>
      </c>
      <c r="E218" s="60">
        <v>5</v>
      </c>
      <c r="F218" s="50"/>
      <c r="G218" s="50"/>
      <c r="H218" s="50"/>
      <c r="I218" s="50"/>
      <c r="J218" s="50"/>
      <c r="K218" s="50"/>
      <c r="L218" s="50"/>
      <c r="M218" s="50"/>
      <c r="N218" s="50"/>
      <c r="O218" s="50"/>
      <c r="P218" s="50"/>
      <c r="Q218" s="50"/>
      <c r="R218" s="50"/>
      <c r="S218" s="50"/>
      <c r="T218" s="50"/>
      <c r="U218" s="50"/>
      <c r="V218" s="50"/>
      <c r="W218" s="50"/>
      <c r="X218" s="50"/>
    </row>
    <row r="219" spans="1:24" ht="22" customHeight="1">
      <c r="A219" s="56" t="s">
        <v>136</v>
      </c>
      <c r="B219" s="45"/>
      <c r="C219" s="50">
        <f>'Operating Metrics'!C217+'Operating Metrics'!C218</f>
        <v>216</v>
      </c>
      <c r="D219" s="50">
        <f>'Operating Metrics'!D217+'Operating Metrics'!D218</f>
        <v>250</v>
      </c>
      <c r="E219" s="50">
        <f>'Operating Metrics'!E217+'Operating Metrics'!E218</f>
        <v>258</v>
      </c>
      <c r="F219" s="50"/>
      <c r="G219" s="50"/>
      <c r="H219" s="50"/>
      <c r="I219" s="50"/>
      <c r="J219" s="50"/>
      <c r="K219" s="50"/>
      <c r="L219" s="50"/>
      <c r="M219" s="50"/>
      <c r="N219" s="50"/>
      <c r="O219" s="50"/>
      <c r="P219" s="50"/>
      <c r="Q219" s="50"/>
      <c r="R219" s="50"/>
      <c r="S219" s="50"/>
      <c r="T219" s="50"/>
      <c r="U219" s="50"/>
      <c r="V219" s="50"/>
      <c r="W219" s="50"/>
      <c r="X219" s="50"/>
    </row>
    <row r="220" spans="1:24" ht="22" customHeight="1">
      <c r="A220" s="56" t="s">
        <v>103</v>
      </c>
      <c r="B220" s="45"/>
      <c r="C220" s="54">
        <f>IF('Operating Metrics'!C219=0,"",'Operating Metrics'!C215/'Operating Metrics'!C219)</f>
        <v>2.3472222222222223</v>
      </c>
      <c r="D220" s="54">
        <f>IF('Operating Metrics'!D219=0,"",'Operating Metrics'!D215/'Operating Metrics'!D219)</f>
        <v>1.9239999999999999</v>
      </c>
      <c r="E220" s="54">
        <f>IF('Operating Metrics'!E219=0,"",'Operating Metrics'!E215/'Operating Metrics'!E219)</f>
        <v>1.9069767441860466</v>
      </c>
      <c r="F220" s="54"/>
      <c r="G220" s="54"/>
      <c r="H220" s="54"/>
      <c r="I220" s="54"/>
      <c r="J220" s="54"/>
      <c r="K220" s="54"/>
      <c r="L220" s="54"/>
      <c r="M220" s="54"/>
      <c r="N220" s="54"/>
      <c r="O220" s="54"/>
      <c r="P220" s="54"/>
      <c r="Q220" s="54"/>
      <c r="R220" s="54"/>
      <c r="S220" s="54"/>
      <c r="T220" s="54"/>
      <c r="U220" s="54"/>
      <c r="V220" s="54"/>
      <c r="W220" s="54"/>
      <c r="X220" s="54"/>
    </row>
    <row r="221" spans="1:24" ht="24" customHeight="1">
      <c r="A221" s="172" t="s">
        <v>111</v>
      </c>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row>
    <row r="222" spans="1:24" ht="22" customHeight="1">
      <c r="A222" s="56" t="s">
        <v>63</v>
      </c>
      <c r="B222" s="45"/>
      <c r="C222" s="60">
        <v>10216</v>
      </c>
      <c r="D222" s="60">
        <v>11050</v>
      </c>
      <c r="E222" s="60">
        <v>11523</v>
      </c>
      <c r="F222" s="50"/>
      <c r="G222" s="50"/>
      <c r="H222" s="50"/>
      <c r="I222" s="50"/>
      <c r="J222" s="50"/>
      <c r="K222" s="50"/>
      <c r="L222" s="50"/>
      <c r="M222" s="50"/>
      <c r="N222" s="50"/>
      <c r="O222" s="50"/>
      <c r="P222" s="50"/>
      <c r="Q222" s="50"/>
      <c r="R222" s="50"/>
      <c r="S222" s="50"/>
      <c r="T222" s="50"/>
      <c r="U222" s="50"/>
      <c r="V222" s="50"/>
      <c r="W222" s="50"/>
      <c r="X222" s="50"/>
    </row>
    <row r="223" spans="1:24" ht="20" customHeight="1">
      <c r="A223" s="58" t="s">
        <v>83</v>
      </c>
      <c r="B223" s="45"/>
      <c r="C223" s="59"/>
      <c r="D223" s="51">
        <f>IF(OR('Operating Metrics'!C222&lt;=0,'Operating Metrics'!D222&lt;0),"",'Operating Metrics'!D222/'Operating Metrics'!C222-1)</f>
        <v>8.1636648394675104E-2</v>
      </c>
      <c r="E223" s="51">
        <f>IF(OR('Operating Metrics'!D222&lt;=0,'Operating Metrics'!E222&lt;0),"",'Operating Metrics'!E222/'Operating Metrics'!D222-1)</f>
        <v>4.2805429864253286E-2</v>
      </c>
      <c r="F223" s="59"/>
      <c r="G223" s="59"/>
      <c r="H223" s="59"/>
      <c r="I223" s="59"/>
      <c r="J223" s="59"/>
      <c r="K223" s="59"/>
      <c r="L223" s="59"/>
      <c r="M223" s="59"/>
      <c r="N223" s="59"/>
      <c r="O223" s="59"/>
      <c r="P223" s="59"/>
      <c r="Q223" s="59"/>
      <c r="R223" s="59"/>
      <c r="S223" s="59"/>
      <c r="T223" s="59"/>
      <c r="U223" s="59"/>
      <c r="V223" s="59"/>
      <c r="W223" s="59"/>
      <c r="X223" s="59"/>
    </row>
    <row r="224" spans="1:24" ht="22" customHeight="1">
      <c r="A224" s="56" t="s">
        <v>87</v>
      </c>
      <c r="B224" s="45"/>
      <c r="C224" s="60">
        <v>1061</v>
      </c>
      <c r="D224" s="60">
        <v>1316</v>
      </c>
      <c r="E224" s="60">
        <v>1364</v>
      </c>
      <c r="F224" s="50"/>
      <c r="G224" s="50"/>
      <c r="H224" s="50"/>
      <c r="I224" s="50"/>
      <c r="J224" s="50"/>
      <c r="K224" s="50"/>
      <c r="L224" s="50"/>
      <c r="M224" s="50"/>
      <c r="N224" s="50"/>
      <c r="O224" s="50"/>
      <c r="P224" s="50"/>
      <c r="Q224" s="50"/>
      <c r="R224" s="50"/>
      <c r="S224" s="50"/>
      <c r="T224" s="50"/>
      <c r="U224" s="50"/>
      <c r="V224" s="50"/>
      <c r="W224" s="50"/>
      <c r="X224" s="50"/>
    </row>
    <row r="225" spans="1:24" ht="20" customHeight="1">
      <c r="A225" s="58" t="s">
        <v>132</v>
      </c>
      <c r="B225" s="45"/>
      <c r="C225" s="51">
        <f>IF('Operating Metrics'!C222=0,"",'Operating Metrics'!C224/'Operating Metrics'!C222)</f>
        <v>0.1038566953797964</v>
      </c>
      <c r="D225" s="51">
        <f>IF('Operating Metrics'!D222=0,"",'Operating Metrics'!D224/'Operating Metrics'!D222)</f>
        <v>0.11909502262443439</v>
      </c>
      <c r="E225" s="51">
        <f>IF('Operating Metrics'!E222=0,"",'Operating Metrics'!E224/'Operating Metrics'!E222)</f>
        <v>0.11837195174867655</v>
      </c>
      <c r="F225" s="59"/>
      <c r="G225" s="59"/>
      <c r="H225" s="59"/>
      <c r="I225" s="59"/>
      <c r="J225" s="59"/>
      <c r="K225" s="59"/>
      <c r="L225" s="59"/>
      <c r="M225" s="59"/>
      <c r="N225" s="59"/>
      <c r="O225" s="59"/>
      <c r="P225" s="59"/>
      <c r="Q225" s="59"/>
      <c r="R225" s="59"/>
      <c r="S225" s="59"/>
      <c r="T225" s="59"/>
      <c r="U225" s="59"/>
      <c r="V225" s="59"/>
      <c r="W225" s="59"/>
      <c r="X225" s="59"/>
    </row>
    <row r="226" spans="1:24" ht="20" customHeight="1">
      <c r="A226" s="58" t="s">
        <v>66</v>
      </c>
      <c r="B226" s="45"/>
      <c r="C226" s="61">
        <v>0.04</v>
      </c>
      <c r="D226" s="61">
        <v>0.06</v>
      </c>
      <c r="E226" s="61">
        <v>7.0000000000000007E-2</v>
      </c>
      <c r="F226" s="59"/>
      <c r="G226" s="59"/>
      <c r="H226" s="59"/>
      <c r="I226" s="59"/>
      <c r="J226" s="59"/>
      <c r="K226" s="59"/>
      <c r="L226" s="59"/>
      <c r="M226" s="59"/>
      <c r="N226" s="59"/>
      <c r="O226" s="59"/>
      <c r="P226" s="59"/>
      <c r="Q226" s="59"/>
      <c r="R226" s="59"/>
      <c r="S226" s="59"/>
      <c r="T226" s="59"/>
      <c r="U226" s="59"/>
      <c r="V226" s="59"/>
      <c r="W226" s="59"/>
      <c r="X226" s="59"/>
    </row>
    <row r="227" spans="1:24" ht="20" customHeight="1">
      <c r="A227" s="58" t="s">
        <v>77</v>
      </c>
      <c r="B227" s="45"/>
      <c r="C227" s="61">
        <v>0.03</v>
      </c>
      <c r="D227" s="61">
        <v>5.5E-2</v>
      </c>
      <c r="E227" s="61">
        <v>0.03</v>
      </c>
      <c r="F227" s="59"/>
      <c r="G227" s="59"/>
      <c r="H227" s="59"/>
      <c r="I227" s="59"/>
      <c r="J227" s="59"/>
      <c r="K227" s="59"/>
      <c r="L227" s="59"/>
      <c r="M227" s="59"/>
      <c r="N227" s="59"/>
      <c r="O227" s="59"/>
      <c r="P227" s="59"/>
      <c r="Q227" s="59"/>
      <c r="R227" s="59"/>
      <c r="S227" s="59"/>
      <c r="T227" s="59"/>
      <c r="U227" s="59"/>
      <c r="V227" s="59"/>
      <c r="W227" s="59"/>
      <c r="X227" s="59"/>
    </row>
    <row r="228" spans="1:24" ht="20" customHeight="1">
      <c r="A228" s="58" t="s">
        <v>78</v>
      </c>
      <c r="B228" s="45"/>
      <c r="C228" s="61">
        <v>0.02</v>
      </c>
      <c r="D228" s="61">
        <v>0.01</v>
      </c>
      <c r="E228" s="61">
        <v>7.0000000000000007E-2</v>
      </c>
      <c r="F228" s="59"/>
      <c r="G228" s="59"/>
      <c r="H228" s="59"/>
      <c r="I228" s="59"/>
      <c r="J228" s="59"/>
      <c r="K228" s="59"/>
      <c r="L228" s="59"/>
      <c r="M228" s="59"/>
      <c r="N228" s="59"/>
      <c r="O228" s="59"/>
      <c r="P228" s="59"/>
      <c r="Q228" s="59"/>
      <c r="R228" s="59"/>
      <c r="S228" s="59"/>
      <c r="T228" s="59"/>
      <c r="U228" s="59"/>
      <c r="V228" s="59"/>
      <c r="W228" s="59"/>
      <c r="X228" s="59"/>
    </row>
    <row r="229" spans="1:24" ht="20" customHeight="1">
      <c r="A229" s="58" t="s">
        <v>133</v>
      </c>
      <c r="B229" s="45"/>
      <c r="C229" s="61">
        <v>2.5000000000000001E-2</v>
      </c>
      <c r="D229" s="61">
        <v>0.02</v>
      </c>
      <c r="E229" s="61">
        <v>0.03</v>
      </c>
      <c r="F229" s="59"/>
      <c r="G229" s="59"/>
      <c r="H229" s="59"/>
      <c r="I229" s="59"/>
      <c r="J229" s="59"/>
      <c r="K229" s="59"/>
      <c r="L229" s="59"/>
      <c r="M229" s="59"/>
      <c r="N229" s="59"/>
      <c r="O229" s="59"/>
      <c r="P229" s="59"/>
      <c r="Q229" s="59"/>
      <c r="R229" s="59"/>
      <c r="S229" s="59"/>
      <c r="T229" s="59"/>
      <c r="U229" s="59"/>
      <c r="V229" s="59"/>
      <c r="W229" s="59"/>
      <c r="X229" s="59"/>
    </row>
    <row r="230" spans="1:24" ht="22" customHeight="1">
      <c r="A230" s="56" t="s">
        <v>101</v>
      </c>
      <c r="B230" s="45"/>
      <c r="C230" s="60">
        <v>439</v>
      </c>
      <c r="D230" s="60">
        <v>481</v>
      </c>
      <c r="E230" s="60">
        <v>479</v>
      </c>
      <c r="F230" s="50"/>
      <c r="G230" s="50"/>
      <c r="H230" s="50"/>
      <c r="I230" s="50"/>
      <c r="J230" s="50"/>
      <c r="K230" s="50"/>
      <c r="L230" s="50"/>
      <c r="M230" s="50"/>
      <c r="N230" s="50"/>
      <c r="O230" s="50"/>
      <c r="P230" s="50"/>
      <c r="Q230" s="50"/>
      <c r="R230" s="50"/>
      <c r="S230" s="50"/>
      <c r="T230" s="50"/>
      <c r="U230" s="50"/>
      <c r="V230" s="50"/>
      <c r="W230" s="50"/>
      <c r="X230" s="50"/>
    </row>
    <row r="231" spans="1:24" ht="20" customHeight="1">
      <c r="A231" s="58" t="s">
        <v>102</v>
      </c>
      <c r="B231" s="45"/>
      <c r="C231" s="51">
        <f>IF('Operating Metrics'!C222=0,"",'Operating Metrics'!C230/'Operating Metrics'!C222)</f>
        <v>4.2971808927173061E-2</v>
      </c>
      <c r="D231" s="51">
        <f>IF('Operating Metrics'!D222=0,"",'Operating Metrics'!D230/'Operating Metrics'!D222)</f>
        <v>4.3529411764705879E-2</v>
      </c>
      <c r="E231" s="51">
        <f>IF('Operating Metrics'!E222=0,"",'Operating Metrics'!E230/'Operating Metrics'!E222)</f>
        <v>4.1569035841360756E-2</v>
      </c>
      <c r="F231" s="59"/>
      <c r="G231" s="59"/>
      <c r="H231" s="59"/>
      <c r="I231" s="59"/>
      <c r="J231" s="59"/>
      <c r="K231" s="59"/>
      <c r="L231" s="59"/>
      <c r="M231" s="59"/>
      <c r="N231" s="59"/>
      <c r="O231" s="59"/>
      <c r="P231" s="59"/>
      <c r="Q231" s="59"/>
      <c r="R231" s="59"/>
      <c r="S231" s="59"/>
      <c r="T231" s="59"/>
      <c r="U231" s="59"/>
      <c r="V231" s="59"/>
      <c r="W231" s="59"/>
      <c r="X231" s="59"/>
    </row>
    <row r="232" spans="1:24" ht="22" customHeight="1">
      <c r="A232" s="56" t="s">
        <v>138</v>
      </c>
      <c r="B232" s="45"/>
      <c r="C232" s="60">
        <v>321</v>
      </c>
      <c r="D232" s="60">
        <v>329</v>
      </c>
      <c r="E232" s="60">
        <v>331</v>
      </c>
      <c r="F232" s="50"/>
      <c r="G232" s="50"/>
      <c r="H232" s="50"/>
      <c r="I232" s="50"/>
      <c r="J232" s="50"/>
      <c r="K232" s="50"/>
      <c r="L232" s="50"/>
      <c r="M232" s="50"/>
      <c r="N232" s="50"/>
      <c r="O232" s="50"/>
      <c r="P232" s="50"/>
      <c r="Q232" s="50"/>
      <c r="R232" s="50"/>
      <c r="S232" s="50"/>
      <c r="T232" s="50"/>
      <c r="U232" s="50"/>
      <c r="V232" s="50"/>
      <c r="W232" s="50"/>
      <c r="X232" s="50"/>
    </row>
    <row r="233" spans="1:24" ht="22" customHeight="1">
      <c r="A233" s="56" t="s">
        <v>139</v>
      </c>
      <c r="B233" s="45"/>
      <c r="C233" s="60">
        <v>18</v>
      </c>
      <c r="D233" s="60">
        <v>22</v>
      </c>
      <c r="E233" s="60">
        <v>23</v>
      </c>
      <c r="F233" s="50"/>
      <c r="G233" s="50"/>
      <c r="H233" s="50"/>
      <c r="I233" s="50"/>
      <c r="J233" s="50"/>
      <c r="K233" s="50"/>
      <c r="L233" s="50"/>
      <c r="M233" s="50"/>
      <c r="N233" s="50"/>
      <c r="O233" s="50"/>
      <c r="P233" s="50"/>
      <c r="Q233" s="50"/>
      <c r="R233" s="50"/>
      <c r="S233" s="50"/>
      <c r="T233" s="50"/>
      <c r="U233" s="50"/>
      <c r="V233" s="50"/>
      <c r="W233" s="50"/>
      <c r="X233" s="50"/>
    </row>
    <row r="234" spans="1:24" ht="22" customHeight="1">
      <c r="A234" s="56" t="s">
        <v>136</v>
      </c>
      <c r="B234" s="45"/>
      <c r="C234" s="50">
        <f>'Operating Metrics'!C232+'Operating Metrics'!C233</f>
        <v>339</v>
      </c>
      <c r="D234" s="50">
        <f>'Operating Metrics'!D232+'Operating Metrics'!D233</f>
        <v>351</v>
      </c>
      <c r="E234" s="50">
        <f>'Operating Metrics'!E232+'Operating Metrics'!E233</f>
        <v>354</v>
      </c>
      <c r="F234" s="50"/>
      <c r="G234" s="50"/>
      <c r="H234" s="50"/>
      <c r="I234" s="50"/>
      <c r="J234" s="50"/>
      <c r="K234" s="50"/>
      <c r="L234" s="50"/>
      <c r="M234" s="50"/>
      <c r="N234" s="50"/>
      <c r="O234" s="50"/>
      <c r="P234" s="50"/>
      <c r="Q234" s="50"/>
      <c r="R234" s="50"/>
      <c r="S234" s="50"/>
      <c r="T234" s="50"/>
      <c r="U234" s="50"/>
      <c r="V234" s="50"/>
      <c r="W234" s="50"/>
      <c r="X234" s="50"/>
    </row>
    <row r="235" spans="1:24" ht="22" customHeight="1">
      <c r="A235" s="56" t="s">
        <v>103</v>
      </c>
      <c r="B235" s="45"/>
      <c r="C235" s="54">
        <f>IF('Operating Metrics'!C234=0,"",'Operating Metrics'!C230/'Operating Metrics'!C234)</f>
        <v>1.2949852507374631</v>
      </c>
      <c r="D235" s="54">
        <f>IF('Operating Metrics'!D234=0,"",'Operating Metrics'!D230/'Operating Metrics'!D234)</f>
        <v>1.3703703703703705</v>
      </c>
      <c r="E235" s="54">
        <f>IF('Operating Metrics'!E234=0,"",'Operating Metrics'!E230/'Operating Metrics'!E234)</f>
        <v>1.3531073446327684</v>
      </c>
      <c r="F235" s="54"/>
      <c r="G235" s="54"/>
      <c r="H235" s="54"/>
      <c r="I235" s="54"/>
      <c r="J235" s="54"/>
      <c r="K235" s="54"/>
      <c r="L235" s="54"/>
      <c r="M235" s="54"/>
      <c r="N235" s="54"/>
      <c r="O235" s="54"/>
      <c r="P235" s="54"/>
      <c r="Q235" s="54"/>
      <c r="R235" s="54"/>
      <c r="S235" s="54"/>
      <c r="T235" s="54"/>
      <c r="U235" s="54"/>
      <c r="V235" s="54"/>
      <c r="W235" s="54"/>
      <c r="X235" s="54"/>
    </row>
    <row r="236" spans="1:24" ht="24" customHeight="1">
      <c r="A236" s="172" t="s">
        <v>112</v>
      </c>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row>
    <row r="237" spans="1:24" ht="22" customHeight="1">
      <c r="A237" s="56" t="s">
        <v>63</v>
      </c>
      <c r="B237" s="45"/>
      <c r="C237" s="60">
        <v>6338</v>
      </c>
      <c r="D237" s="60">
        <v>6030</v>
      </c>
      <c r="E237" s="60">
        <v>5901</v>
      </c>
      <c r="F237" s="50"/>
      <c r="G237" s="50"/>
      <c r="H237" s="50"/>
      <c r="I237" s="50"/>
      <c r="J237" s="50"/>
      <c r="K237" s="50"/>
      <c r="L237" s="50"/>
      <c r="M237" s="50"/>
      <c r="N237" s="50"/>
      <c r="O237" s="50"/>
      <c r="P237" s="50"/>
      <c r="Q237" s="50"/>
      <c r="R237" s="50"/>
      <c r="S237" s="50"/>
      <c r="T237" s="50"/>
      <c r="U237" s="50"/>
      <c r="V237" s="50"/>
      <c r="W237" s="50"/>
      <c r="X237" s="50"/>
    </row>
    <row r="238" spans="1:24" ht="20" customHeight="1">
      <c r="A238" s="58" t="s">
        <v>83</v>
      </c>
      <c r="B238" s="45"/>
      <c r="C238" s="59"/>
      <c r="D238" s="51">
        <f>IF(OR('Operating Metrics'!C237&lt;=0,'Operating Metrics'!D237&lt;0),"",'Operating Metrics'!D237/'Operating Metrics'!C237-1)</f>
        <v>-4.8595771536762422E-2</v>
      </c>
      <c r="E238" s="51">
        <f>IF(OR('Operating Metrics'!D237&lt;=0,'Operating Metrics'!E237&lt;0),"",'Operating Metrics'!E237/'Operating Metrics'!D237-1)</f>
        <v>-2.1393034825870627E-2</v>
      </c>
      <c r="F238" s="59"/>
      <c r="G238" s="59"/>
      <c r="H238" s="59"/>
      <c r="I238" s="59"/>
      <c r="J238" s="59"/>
      <c r="K238" s="59"/>
      <c r="L238" s="59"/>
      <c r="M238" s="59"/>
      <c r="N238" s="59"/>
      <c r="O238" s="59"/>
      <c r="P238" s="59"/>
      <c r="Q238" s="59"/>
      <c r="R238" s="59"/>
      <c r="S238" s="59"/>
      <c r="T238" s="59"/>
      <c r="U238" s="59"/>
      <c r="V238" s="59"/>
      <c r="W238" s="59"/>
      <c r="X238" s="59"/>
    </row>
    <row r="239" spans="1:24" ht="22" customHeight="1">
      <c r="A239" s="56" t="s">
        <v>87</v>
      </c>
      <c r="B239" s="45"/>
      <c r="C239" s="60">
        <v>619</v>
      </c>
      <c r="D239" s="60">
        <v>1073</v>
      </c>
      <c r="E239" s="60">
        <v>1172</v>
      </c>
      <c r="F239" s="50"/>
      <c r="G239" s="50"/>
      <c r="H239" s="50"/>
      <c r="I239" s="50"/>
      <c r="J239" s="50"/>
      <c r="K239" s="50"/>
      <c r="L239" s="50"/>
      <c r="M239" s="50"/>
      <c r="N239" s="50"/>
      <c r="O239" s="50"/>
      <c r="P239" s="50"/>
      <c r="Q239" s="50"/>
      <c r="R239" s="50"/>
      <c r="S239" s="50"/>
      <c r="T239" s="50"/>
      <c r="U239" s="50"/>
      <c r="V239" s="50"/>
      <c r="W239" s="50"/>
      <c r="X239" s="50"/>
    </row>
    <row r="240" spans="1:24" ht="20" customHeight="1">
      <c r="A240" s="58" t="s">
        <v>132</v>
      </c>
      <c r="B240" s="45"/>
      <c r="C240" s="51">
        <f>IF('Operating Metrics'!C237=0,"",'Operating Metrics'!C239/'Operating Metrics'!C237)</f>
        <v>9.7664878510571151E-2</v>
      </c>
      <c r="D240" s="51">
        <f>IF('Operating Metrics'!D237=0,"",'Operating Metrics'!D239/'Operating Metrics'!D237)</f>
        <v>0.1779436152570481</v>
      </c>
      <c r="E240" s="51">
        <f>IF('Operating Metrics'!E237=0,"",'Operating Metrics'!E239/'Operating Metrics'!E237)</f>
        <v>0.19861040501609897</v>
      </c>
      <c r="F240" s="59"/>
      <c r="G240" s="59"/>
      <c r="H240" s="59"/>
      <c r="I240" s="59"/>
      <c r="J240" s="59"/>
      <c r="K240" s="59"/>
      <c r="L240" s="59"/>
      <c r="M240" s="59"/>
      <c r="N240" s="59"/>
      <c r="O240" s="59"/>
      <c r="P240" s="59"/>
      <c r="Q240" s="59"/>
      <c r="R240" s="59"/>
      <c r="S240" s="59"/>
      <c r="T240" s="59"/>
      <c r="U240" s="59"/>
      <c r="V240" s="59"/>
      <c r="W240" s="59"/>
      <c r="X240" s="59"/>
    </row>
    <row r="241" spans="1:24" ht="20" customHeight="1">
      <c r="A241" s="58" t="s">
        <v>66</v>
      </c>
      <c r="B241" s="45"/>
      <c r="C241" s="61">
        <v>0.05</v>
      </c>
      <c r="D241" s="61">
        <v>0.05</v>
      </c>
      <c r="E241" s="61">
        <v>7.0000000000000007E-2</v>
      </c>
      <c r="F241" s="59"/>
      <c r="G241" s="59"/>
      <c r="H241" s="59"/>
      <c r="I241" s="59"/>
      <c r="J241" s="59"/>
      <c r="K241" s="59"/>
      <c r="L241" s="59"/>
      <c r="M241" s="59"/>
      <c r="N241" s="59"/>
      <c r="O241" s="59"/>
      <c r="P241" s="59"/>
      <c r="Q241" s="59"/>
      <c r="R241" s="59"/>
      <c r="S241" s="59"/>
      <c r="T241" s="59"/>
      <c r="U241" s="59"/>
      <c r="V241" s="59"/>
      <c r="W241" s="59"/>
      <c r="X241" s="59"/>
    </row>
    <row r="242" spans="1:24" ht="20" customHeight="1">
      <c r="A242" s="58" t="s">
        <v>77</v>
      </c>
      <c r="B242" s="45"/>
      <c r="C242" s="61">
        <v>7.0000000000000007E-2</v>
      </c>
      <c r="D242" s="61">
        <v>0.05</v>
      </c>
      <c r="E242" s="61">
        <v>0.05</v>
      </c>
      <c r="F242" s="59"/>
      <c r="G242" s="59"/>
      <c r="H242" s="59"/>
      <c r="I242" s="59"/>
      <c r="J242" s="59"/>
      <c r="K242" s="59"/>
      <c r="L242" s="59"/>
      <c r="M242" s="59"/>
      <c r="N242" s="59"/>
      <c r="O242" s="59"/>
      <c r="P242" s="59"/>
      <c r="Q242" s="59"/>
      <c r="R242" s="59"/>
      <c r="S242" s="59"/>
      <c r="T242" s="59"/>
      <c r="U242" s="59"/>
      <c r="V242" s="59"/>
      <c r="W242" s="59"/>
      <c r="X242" s="59"/>
    </row>
    <row r="243" spans="1:24" ht="20" customHeight="1">
      <c r="A243" s="58" t="s">
        <v>78</v>
      </c>
      <c r="B243" s="45"/>
      <c r="C243" s="61">
        <v>0.04</v>
      </c>
      <c r="D243" s="61">
        <v>-0.01</v>
      </c>
      <c r="E243" s="61">
        <v>0</v>
      </c>
      <c r="F243" s="59"/>
      <c r="G243" s="59"/>
      <c r="H243" s="59"/>
      <c r="I243" s="59"/>
      <c r="J243" s="59"/>
      <c r="K243" s="59"/>
      <c r="L243" s="59"/>
      <c r="M243" s="59"/>
      <c r="N243" s="59"/>
      <c r="O243" s="59"/>
      <c r="P243" s="59"/>
      <c r="Q243" s="59"/>
      <c r="R243" s="59"/>
      <c r="S243" s="59"/>
      <c r="T243" s="59"/>
      <c r="U243" s="59"/>
      <c r="V243" s="59"/>
      <c r="W243" s="59"/>
      <c r="X243" s="59"/>
    </row>
    <row r="244" spans="1:24" ht="20" customHeight="1">
      <c r="A244" s="58" t="s">
        <v>133</v>
      </c>
      <c r="B244" s="45"/>
      <c r="C244" s="61">
        <v>-0.01</v>
      </c>
      <c r="D244" s="61">
        <v>0.05</v>
      </c>
      <c r="E244" s="61">
        <v>0.03</v>
      </c>
      <c r="F244" s="59"/>
      <c r="G244" s="59"/>
      <c r="H244" s="59"/>
      <c r="I244" s="59"/>
      <c r="J244" s="59"/>
      <c r="K244" s="59"/>
      <c r="L244" s="59"/>
      <c r="M244" s="59"/>
      <c r="N244" s="59"/>
      <c r="O244" s="59"/>
      <c r="P244" s="59"/>
      <c r="Q244" s="59"/>
      <c r="R244" s="59"/>
      <c r="S244" s="59"/>
      <c r="T244" s="59"/>
      <c r="U244" s="59"/>
      <c r="V244" s="59"/>
      <c r="W244" s="59"/>
      <c r="X244" s="59"/>
    </row>
    <row r="245" spans="1:24" ht="22" customHeight="1">
      <c r="A245" s="56" t="s">
        <v>101</v>
      </c>
      <c r="B245" s="45"/>
      <c r="C245" s="60">
        <v>381</v>
      </c>
      <c r="D245" s="60">
        <v>308</v>
      </c>
      <c r="E245" s="60">
        <v>323</v>
      </c>
      <c r="F245" s="50"/>
      <c r="G245" s="50"/>
      <c r="H245" s="50"/>
      <c r="I245" s="50"/>
      <c r="J245" s="50"/>
      <c r="K245" s="50"/>
      <c r="L245" s="50"/>
      <c r="M245" s="50"/>
      <c r="N245" s="50"/>
      <c r="O245" s="50"/>
      <c r="P245" s="50"/>
      <c r="Q245" s="50"/>
      <c r="R245" s="50"/>
      <c r="S245" s="50"/>
      <c r="T245" s="50"/>
      <c r="U245" s="50"/>
      <c r="V245" s="50"/>
      <c r="W245" s="50"/>
      <c r="X245" s="50"/>
    </row>
    <row r="246" spans="1:24" ht="20" customHeight="1">
      <c r="A246" s="58" t="s">
        <v>102</v>
      </c>
      <c r="B246" s="45"/>
      <c r="C246" s="51">
        <f>IF('Operating Metrics'!C237=0,"",'Operating Metrics'!C245/'Operating Metrics'!C237)</f>
        <v>6.0113600504891132E-2</v>
      </c>
      <c r="D246" s="51">
        <f>IF('Operating Metrics'!D237=0,"",'Operating Metrics'!D245/'Operating Metrics'!D237)</f>
        <v>5.1077943615257047E-2</v>
      </c>
      <c r="E246" s="51">
        <f>IF('Operating Metrics'!E237=0,"",'Operating Metrics'!E245/'Operating Metrics'!E237)</f>
        <v>5.473648534146755E-2</v>
      </c>
      <c r="F246" s="59"/>
      <c r="G246" s="59"/>
      <c r="H246" s="59"/>
      <c r="I246" s="59"/>
      <c r="J246" s="59"/>
      <c r="K246" s="59"/>
      <c r="L246" s="59"/>
      <c r="M246" s="59"/>
      <c r="N246" s="59"/>
      <c r="O246" s="59"/>
      <c r="P246" s="59"/>
      <c r="Q246" s="59"/>
      <c r="R246" s="59"/>
      <c r="S246" s="59"/>
      <c r="T246" s="59"/>
      <c r="U246" s="59"/>
      <c r="V246" s="59"/>
      <c r="W246" s="59"/>
      <c r="X246" s="59"/>
    </row>
    <row r="247" spans="1:24" ht="22" customHeight="1">
      <c r="A247" s="56" t="s">
        <v>138</v>
      </c>
      <c r="B247" s="45"/>
      <c r="C247" s="60">
        <v>294</v>
      </c>
      <c r="D247" s="60">
        <v>257</v>
      </c>
      <c r="E247" s="60">
        <v>237</v>
      </c>
      <c r="F247" s="50"/>
      <c r="G247" s="50"/>
      <c r="H247" s="50"/>
      <c r="I247" s="50"/>
      <c r="J247" s="50"/>
      <c r="K247" s="50"/>
      <c r="L247" s="50"/>
      <c r="M247" s="50"/>
      <c r="N247" s="50"/>
      <c r="O247" s="50"/>
      <c r="P247" s="50"/>
      <c r="Q247" s="50"/>
      <c r="R247" s="50"/>
      <c r="S247" s="50"/>
      <c r="T247" s="50"/>
      <c r="U247" s="50"/>
      <c r="V247" s="50"/>
      <c r="W247" s="50"/>
      <c r="X247" s="50"/>
    </row>
    <row r="248" spans="1:24" ht="22" customHeight="1">
      <c r="A248" s="56" t="s">
        <v>139</v>
      </c>
      <c r="B248" s="45"/>
      <c r="C248" s="60">
        <v>3</v>
      </c>
      <c r="D248" s="60">
        <v>3</v>
      </c>
      <c r="E248" s="60">
        <v>3</v>
      </c>
      <c r="F248" s="50"/>
      <c r="G248" s="50"/>
      <c r="H248" s="50"/>
      <c r="I248" s="50"/>
      <c r="J248" s="50"/>
      <c r="K248" s="50"/>
      <c r="L248" s="50"/>
      <c r="M248" s="50"/>
      <c r="N248" s="50"/>
      <c r="O248" s="50"/>
      <c r="P248" s="50"/>
      <c r="Q248" s="50"/>
      <c r="R248" s="50"/>
      <c r="S248" s="50"/>
      <c r="T248" s="50"/>
      <c r="U248" s="50"/>
      <c r="V248" s="50"/>
      <c r="W248" s="50"/>
      <c r="X248" s="50"/>
    </row>
    <row r="249" spans="1:24" ht="22" customHeight="1">
      <c r="A249" s="56" t="s">
        <v>136</v>
      </c>
      <c r="B249" s="45"/>
      <c r="C249" s="50">
        <f>'Operating Metrics'!C247+'Operating Metrics'!C248</f>
        <v>297</v>
      </c>
      <c r="D249" s="50">
        <f>'Operating Metrics'!D247+'Operating Metrics'!D248</f>
        <v>260</v>
      </c>
      <c r="E249" s="50">
        <f>'Operating Metrics'!E247+'Operating Metrics'!E248</f>
        <v>240</v>
      </c>
      <c r="F249" s="50"/>
      <c r="G249" s="50"/>
      <c r="H249" s="50"/>
      <c r="I249" s="50"/>
      <c r="J249" s="50"/>
      <c r="K249" s="50"/>
      <c r="L249" s="50"/>
      <c r="M249" s="50"/>
      <c r="N249" s="50"/>
      <c r="O249" s="50"/>
      <c r="P249" s="50"/>
      <c r="Q249" s="50"/>
      <c r="R249" s="50"/>
      <c r="S249" s="50"/>
      <c r="T249" s="50"/>
      <c r="U249" s="50"/>
      <c r="V249" s="50"/>
      <c r="W249" s="50"/>
      <c r="X249" s="50"/>
    </row>
    <row r="250" spans="1:24" ht="22" customHeight="1">
      <c r="A250" s="56" t="s">
        <v>103</v>
      </c>
      <c r="B250" s="45"/>
      <c r="C250" s="54">
        <f>IF('Operating Metrics'!C249=0,"",'Operating Metrics'!C245/'Operating Metrics'!C249)</f>
        <v>1.2828282828282829</v>
      </c>
      <c r="D250" s="54">
        <f>IF('Operating Metrics'!D249=0,"",'Operating Metrics'!D245/'Operating Metrics'!D249)</f>
        <v>1.1846153846153846</v>
      </c>
      <c r="E250" s="54">
        <f>IF('Operating Metrics'!E249=0,"",'Operating Metrics'!E245/'Operating Metrics'!E249)</f>
        <v>1.3458333333333334</v>
      </c>
      <c r="F250" s="54"/>
      <c r="G250" s="54"/>
      <c r="H250" s="54"/>
      <c r="I250" s="54"/>
      <c r="J250" s="54"/>
      <c r="K250" s="54"/>
      <c r="L250" s="54"/>
      <c r="M250" s="54"/>
      <c r="N250" s="54"/>
      <c r="O250" s="54"/>
      <c r="P250" s="54"/>
      <c r="Q250" s="54"/>
      <c r="R250" s="54"/>
      <c r="S250" s="54"/>
      <c r="T250" s="54"/>
      <c r="U250" s="54"/>
      <c r="V250" s="54"/>
      <c r="W250" s="54"/>
      <c r="X250" s="54"/>
    </row>
    <row r="251" spans="1:24" ht="22" customHeight="1">
      <c r="A251" s="45"/>
      <c r="B251" s="45"/>
      <c r="C251" s="45"/>
      <c r="D251" s="45"/>
      <c r="E251" s="45"/>
      <c r="F251" s="45"/>
      <c r="G251" s="45"/>
      <c r="H251" s="45"/>
      <c r="I251" s="45"/>
      <c r="J251" s="45"/>
      <c r="K251" s="45"/>
      <c r="L251" s="45"/>
      <c r="M251" s="45"/>
      <c r="N251" s="45"/>
      <c r="O251" s="45"/>
      <c r="P251" s="45"/>
      <c r="Q251" s="45"/>
      <c r="R251" s="45"/>
      <c r="S251" s="45"/>
      <c r="T251" s="45"/>
      <c r="U251" s="45"/>
      <c r="V251" s="45"/>
      <c r="W251" s="45"/>
      <c r="X251" s="45"/>
    </row>
    <row r="252" spans="1:24" ht="22" customHeight="1">
      <c r="A252" s="45"/>
      <c r="B252" s="45"/>
      <c r="C252" s="45"/>
      <c r="D252" s="45"/>
      <c r="E252" s="45"/>
      <c r="F252" s="45"/>
      <c r="G252" s="45"/>
      <c r="H252" s="45"/>
      <c r="I252" s="45"/>
      <c r="J252" s="45"/>
      <c r="K252" s="45"/>
      <c r="L252" s="45"/>
      <c r="M252" s="45"/>
      <c r="N252" s="45"/>
      <c r="O252" s="45"/>
      <c r="P252" s="45"/>
      <c r="Q252" s="45"/>
      <c r="R252" s="45"/>
      <c r="S252" s="45"/>
      <c r="T252" s="45"/>
      <c r="U252" s="45"/>
      <c r="V252" s="45"/>
      <c r="W252" s="45"/>
      <c r="X252" s="45"/>
    </row>
    <row r="253" spans="1:24" ht="22" customHeight="1">
      <c r="A253" s="170" t="s">
        <v>125</v>
      </c>
      <c r="B253" s="170"/>
      <c r="C253" s="170"/>
      <c r="D253" s="170"/>
      <c r="E253" s="170"/>
      <c r="F253" s="170"/>
      <c r="G253" s="170"/>
      <c r="H253" s="170"/>
      <c r="I253" s="170"/>
      <c r="J253" s="170"/>
      <c r="K253" s="170"/>
      <c r="L253" s="170"/>
      <c r="M253" s="170"/>
      <c r="N253" s="170"/>
      <c r="O253" s="170"/>
      <c r="P253" s="170"/>
      <c r="Q253" s="170"/>
      <c r="R253" s="170"/>
      <c r="S253" s="170"/>
      <c r="T253" s="170"/>
      <c r="U253" s="170"/>
      <c r="V253" s="170"/>
      <c r="W253" s="170"/>
      <c r="X253" s="170"/>
    </row>
    <row r="254" spans="1:24" ht="24" customHeight="1">
      <c r="A254" s="171" t="s">
        <v>143</v>
      </c>
      <c r="B254" s="171"/>
      <c r="C254" s="171"/>
      <c r="D254" s="171"/>
      <c r="E254" s="171"/>
      <c r="F254" s="171"/>
      <c r="G254" s="171"/>
      <c r="H254" s="171"/>
      <c r="I254" s="171"/>
      <c r="J254" s="171"/>
      <c r="K254" s="171"/>
      <c r="L254" s="171"/>
      <c r="M254" s="171"/>
      <c r="N254" s="171"/>
      <c r="O254" s="171"/>
      <c r="P254" s="171"/>
      <c r="Q254" s="171"/>
      <c r="R254" s="171"/>
      <c r="S254" s="171"/>
      <c r="T254" s="171"/>
      <c r="U254" s="171"/>
      <c r="V254" s="171"/>
      <c r="W254" s="171"/>
      <c r="X254" s="171"/>
    </row>
    <row r="255" spans="1:24" ht="24" customHeight="1">
      <c r="A255" s="47" t="s">
        <v>56</v>
      </c>
      <c r="B255" s="45"/>
      <c r="C255" s="48" t="s">
        <v>38</v>
      </c>
      <c r="D255" s="48" t="s">
        <v>39</v>
      </c>
      <c r="E255" s="48" t="s">
        <v>40</v>
      </c>
      <c r="F255" s="45"/>
      <c r="G255" s="45"/>
      <c r="H255" s="45"/>
      <c r="I255" s="45"/>
      <c r="J255" s="45"/>
      <c r="K255" s="45"/>
      <c r="L255" s="45"/>
      <c r="M255" s="45"/>
      <c r="N255" s="45"/>
      <c r="O255" s="45"/>
      <c r="P255" s="45"/>
      <c r="Q255" s="45"/>
      <c r="R255" s="45"/>
      <c r="S255" s="45"/>
      <c r="T255" s="45"/>
      <c r="U255" s="45"/>
      <c r="V255" s="45"/>
      <c r="W255" s="45"/>
      <c r="X255" s="45"/>
    </row>
    <row r="256" spans="1:24" ht="18" customHeight="1">
      <c r="A256" s="45"/>
      <c r="B256" s="45"/>
      <c r="C256" s="55">
        <v>43827</v>
      </c>
      <c r="D256" s="55">
        <v>44191</v>
      </c>
      <c r="E256" s="55">
        <v>44555</v>
      </c>
      <c r="F256" s="45"/>
      <c r="G256" s="45"/>
      <c r="H256" s="45"/>
      <c r="I256" s="45"/>
      <c r="J256" s="45"/>
      <c r="K256" s="45"/>
      <c r="L256" s="45"/>
      <c r="M256" s="45"/>
      <c r="N256" s="45"/>
      <c r="O256" s="45"/>
      <c r="P256" s="45"/>
      <c r="Q256" s="45"/>
      <c r="R256" s="45"/>
      <c r="S256" s="45"/>
      <c r="T256" s="45"/>
      <c r="U256" s="45"/>
      <c r="V256" s="45"/>
      <c r="W256" s="45"/>
      <c r="X256" s="45"/>
    </row>
    <row r="257" spans="1:24" ht="24" customHeight="1">
      <c r="A257" s="172" t="s">
        <v>88</v>
      </c>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row>
    <row r="258" spans="1:24" ht="22" customHeight="1">
      <c r="A258" s="56" t="s">
        <v>63</v>
      </c>
      <c r="B258" s="45"/>
      <c r="C258" s="60">
        <v>21730</v>
      </c>
      <c r="D258" s="60">
        <v>22559</v>
      </c>
      <c r="E258" s="60">
        <v>25276</v>
      </c>
      <c r="F258" s="50"/>
      <c r="G258" s="50"/>
      <c r="H258" s="50"/>
      <c r="I258" s="50"/>
      <c r="J258" s="50"/>
      <c r="K258" s="50"/>
      <c r="L258" s="50"/>
      <c r="M258" s="50"/>
      <c r="N258" s="50"/>
      <c r="O258" s="50"/>
      <c r="P258" s="50"/>
      <c r="Q258" s="50"/>
      <c r="R258" s="50"/>
      <c r="S258" s="50"/>
      <c r="T258" s="50"/>
      <c r="U258" s="50"/>
      <c r="V258" s="50"/>
      <c r="W258" s="50"/>
      <c r="X258" s="50"/>
    </row>
    <row r="259" spans="1:24" ht="20" customHeight="1">
      <c r="A259" s="58" t="s">
        <v>83</v>
      </c>
      <c r="B259" s="45"/>
      <c r="C259" s="59"/>
      <c r="D259" s="51">
        <f>IF(OR('Operating Metrics'!C258&lt;=0,'Operating Metrics'!D258&lt;0),"",'Operating Metrics'!D258/'Operating Metrics'!C258-1)</f>
        <v>3.815002300966408E-2</v>
      </c>
      <c r="E259" s="51">
        <f>IF(OR('Operating Metrics'!D258&lt;=0,'Operating Metrics'!E258&lt;0),"",'Operating Metrics'!E258/'Operating Metrics'!D258-1)</f>
        <v>0.120439735803892</v>
      </c>
      <c r="F259" s="59"/>
      <c r="G259" s="59"/>
      <c r="H259" s="59"/>
      <c r="I259" s="59"/>
      <c r="J259" s="59"/>
      <c r="K259" s="59"/>
      <c r="L259" s="59"/>
      <c r="M259" s="59"/>
      <c r="N259" s="59"/>
      <c r="O259" s="59"/>
      <c r="P259" s="59"/>
      <c r="Q259" s="59"/>
      <c r="R259" s="59"/>
      <c r="S259" s="59"/>
      <c r="T259" s="59"/>
      <c r="U259" s="59"/>
      <c r="V259" s="59"/>
      <c r="W259" s="59"/>
      <c r="X259" s="59"/>
    </row>
    <row r="260" spans="1:24" ht="22" customHeight="1">
      <c r="A260" s="56" t="s">
        <v>87</v>
      </c>
      <c r="B260" s="45"/>
      <c r="C260" s="60">
        <v>2179</v>
      </c>
      <c r="D260" s="60">
        <v>1937</v>
      </c>
      <c r="E260" s="60">
        <v>2442</v>
      </c>
      <c r="F260" s="50"/>
      <c r="G260" s="50"/>
      <c r="H260" s="50"/>
      <c r="I260" s="50"/>
      <c r="J260" s="50"/>
      <c r="K260" s="50"/>
      <c r="L260" s="50"/>
      <c r="M260" s="50"/>
      <c r="N260" s="50"/>
      <c r="O260" s="50"/>
      <c r="P260" s="50"/>
      <c r="Q260" s="50"/>
      <c r="R260" s="50"/>
      <c r="S260" s="50"/>
      <c r="T260" s="50"/>
      <c r="U260" s="50"/>
      <c r="V260" s="50"/>
      <c r="W260" s="50"/>
      <c r="X260" s="50"/>
    </row>
    <row r="261" spans="1:24" ht="22" customHeight="1">
      <c r="A261" s="56" t="s">
        <v>84</v>
      </c>
      <c r="B261" s="45"/>
      <c r="C261" s="60">
        <v>2230</v>
      </c>
      <c r="D261" s="60">
        <v>2050</v>
      </c>
      <c r="E261" s="60">
        <v>2473</v>
      </c>
      <c r="F261" s="50"/>
      <c r="G261" s="50"/>
      <c r="H261" s="50"/>
      <c r="I261" s="50"/>
      <c r="J261" s="50"/>
      <c r="K261" s="50"/>
      <c r="L261" s="50"/>
      <c r="M261" s="50"/>
      <c r="N261" s="50"/>
      <c r="O261" s="50"/>
      <c r="P261" s="50"/>
      <c r="Q261" s="50"/>
      <c r="R261" s="50"/>
      <c r="S261" s="50"/>
      <c r="T261" s="50"/>
      <c r="U261" s="50"/>
      <c r="V261" s="50"/>
      <c r="W261" s="50"/>
      <c r="X261" s="50"/>
    </row>
    <row r="262" spans="1:24" ht="20" customHeight="1">
      <c r="A262" s="58" t="s">
        <v>85</v>
      </c>
      <c r="B262" s="45"/>
      <c r="C262" s="59"/>
      <c r="D262" s="51">
        <f>IF(OR('Operating Metrics'!C261&lt;=0,'Operating Metrics'!D261&lt;0),"",'Operating Metrics'!D261/'Operating Metrics'!C261-1)</f>
        <v>-8.0717488789237679E-2</v>
      </c>
      <c r="E262" s="51">
        <f>IF(OR('Operating Metrics'!D261&lt;=0,'Operating Metrics'!E261&lt;0),"",'Operating Metrics'!E261/'Operating Metrics'!D261-1)</f>
        <v>0.20634146341463411</v>
      </c>
      <c r="F262" s="59"/>
      <c r="G262" s="59"/>
      <c r="H262" s="59"/>
      <c r="I262" s="59"/>
      <c r="J262" s="59"/>
      <c r="K262" s="59"/>
      <c r="L262" s="59"/>
      <c r="M262" s="59"/>
      <c r="N262" s="59"/>
      <c r="O262" s="59"/>
      <c r="P262" s="59"/>
      <c r="Q262" s="59"/>
      <c r="R262" s="59"/>
      <c r="S262" s="59"/>
      <c r="T262" s="59"/>
      <c r="U262" s="59"/>
      <c r="V262" s="59"/>
      <c r="W262" s="59"/>
      <c r="X262" s="59"/>
    </row>
    <row r="263" spans="1:24" ht="20" customHeight="1">
      <c r="A263" s="58" t="s">
        <v>86</v>
      </c>
      <c r="B263" s="45"/>
      <c r="C263" s="51">
        <f>IF('Operating Metrics'!C258=0,"",'Operating Metrics'!C261/'Operating Metrics'!C258)</f>
        <v>0.10262310170271514</v>
      </c>
      <c r="D263" s="51">
        <f>IF('Operating Metrics'!D258=0,"",'Operating Metrics'!D261/'Operating Metrics'!D258)</f>
        <v>9.0872822376878409E-2</v>
      </c>
      <c r="E263" s="51">
        <f>IF('Operating Metrics'!E258=0,"",'Operating Metrics'!E261/'Operating Metrics'!E258)</f>
        <v>9.7839848077227412E-2</v>
      </c>
      <c r="F263" s="59"/>
      <c r="G263" s="59"/>
      <c r="H263" s="59"/>
      <c r="I263" s="59"/>
      <c r="J263" s="59"/>
      <c r="K263" s="59"/>
      <c r="L263" s="59"/>
      <c r="M263" s="59"/>
      <c r="N263" s="59"/>
      <c r="O263" s="59"/>
      <c r="P263" s="59"/>
      <c r="Q263" s="59"/>
      <c r="R263" s="59"/>
      <c r="S263" s="59"/>
      <c r="T263" s="59"/>
      <c r="U263" s="59"/>
      <c r="V263" s="59"/>
      <c r="W263" s="59"/>
      <c r="X263" s="59"/>
    </row>
    <row r="264" spans="1:24" ht="20" customHeight="1">
      <c r="A264" s="58" t="s">
        <v>66</v>
      </c>
      <c r="B264" s="45"/>
      <c r="C264" s="61">
        <v>0.03</v>
      </c>
      <c r="D264" s="61">
        <v>0.02</v>
      </c>
      <c r="E264" s="61">
        <v>0.1</v>
      </c>
      <c r="F264" s="59"/>
      <c r="G264" s="59"/>
      <c r="H264" s="59"/>
      <c r="I264" s="59"/>
      <c r="J264" s="59"/>
      <c r="K264" s="59"/>
      <c r="L264" s="59"/>
      <c r="M264" s="59"/>
      <c r="N264" s="59"/>
      <c r="O264" s="59"/>
      <c r="P264" s="59"/>
      <c r="Q264" s="59"/>
      <c r="R264" s="59"/>
      <c r="S264" s="59"/>
      <c r="T264" s="59"/>
      <c r="U264" s="59"/>
      <c r="V264" s="59"/>
      <c r="W264" s="59"/>
      <c r="X264" s="59"/>
    </row>
    <row r="265" spans="1:24" ht="20" customHeight="1">
      <c r="A265" s="58" t="s">
        <v>78</v>
      </c>
      <c r="B265" s="45"/>
      <c r="C265" s="61">
        <v>-0.01</v>
      </c>
      <c r="D265" s="61">
        <v>-1.4999999999999999E-2</v>
      </c>
      <c r="E265" s="61">
        <v>0.05</v>
      </c>
      <c r="F265" s="59"/>
      <c r="G265" s="59"/>
      <c r="H265" s="59"/>
      <c r="I265" s="59"/>
      <c r="J265" s="59"/>
      <c r="K265" s="59"/>
      <c r="L265" s="59"/>
      <c r="M265" s="59"/>
      <c r="N265" s="59"/>
      <c r="O265" s="59"/>
      <c r="P265" s="59"/>
      <c r="Q265" s="59"/>
      <c r="R265" s="59"/>
      <c r="S265" s="59"/>
      <c r="T265" s="59"/>
      <c r="U265" s="59"/>
      <c r="V265" s="59"/>
      <c r="W265" s="59"/>
      <c r="X265" s="59"/>
    </row>
    <row r="266" spans="1:24" ht="20" customHeight="1">
      <c r="A266" s="58" t="s">
        <v>133</v>
      </c>
      <c r="B266" s="45"/>
      <c r="C266" s="61">
        <v>0.04</v>
      </c>
      <c r="D266" s="61">
        <v>0.03</v>
      </c>
      <c r="E266" s="61">
        <v>0.05</v>
      </c>
      <c r="F266" s="59"/>
      <c r="G266" s="59"/>
      <c r="H266" s="59"/>
      <c r="I266" s="59"/>
      <c r="J266" s="59"/>
      <c r="K266" s="59"/>
      <c r="L266" s="59"/>
      <c r="M266" s="59"/>
      <c r="N266" s="59"/>
      <c r="O266" s="59"/>
      <c r="P266" s="59"/>
      <c r="Q266" s="59"/>
      <c r="R266" s="59"/>
      <c r="S266" s="59"/>
      <c r="T266" s="59"/>
      <c r="U266" s="59"/>
      <c r="V266" s="59"/>
      <c r="W266" s="59"/>
      <c r="X266" s="59"/>
    </row>
    <row r="267" spans="1:24" ht="22" customHeight="1">
      <c r="A267" s="56" t="s">
        <v>101</v>
      </c>
      <c r="B267" s="45"/>
      <c r="C267" s="60">
        <v>1053</v>
      </c>
      <c r="D267" s="60">
        <v>1245</v>
      </c>
      <c r="E267" s="60">
        <v>1275</v>
      </c>
      <c r="F267" s="50"/>
      <c r="G267" s="50"/>
      <c r="H267" s="50"/>
      <c r="I267" s="50"/>
      <c r="J267" s="50"/>
      <c r="K267" s="50"/>
      <c r="L267" s="50"/>
      <c r="M267" s="50"/>
      <c r="N267" s="50"/>
      <c r="O267" s="50"/>
      <c r="P267" s="50"/>
      <c r="Q267" s="50"/>
      <c r="R267" s="50"/>
      <c r="S267" s="50"/>
      <c r="T267" s="50"/>
      <c r="U267" s="50"/>
      <c r="V267" s="50"/>
      <c r="W267" s="50"/>
      <c r="X267" s="50"/>
    </row>
    <row r="268" spans="1:24" ht="20" customHeight="1">
      <c r="A268" s="58" t="s">
        <v>102</v>
      </c>
      <c r="B268" s="45"/>
      <c r="C268" s="51">
        <f>IF('Operating Metrics'!C258=0,"",'Operating Metrics'!C267/'Operating Metrics'!C258)</f>
        <v>4.845835250805338E-2</v>
      </c>
      <c r="D268" s="51">
        <f>IF('Operating Metrics'!D258=0,"",'Operating Metrics'!D267/'Operating Metrics'!D258)</f>
        <v>5.5188616516689569E-2</v>
      </c>
      <c r="E268" s="51">
        <f>IF('Operating Metrics'!E258=0,"",'Operating Metrics'!E267/'Operating Metrics'!E258)</f>
        <v>5.0443108086722581E-2</v>
      </c>
      <c r="F268" s="59"/>
      <c r="G268" s="59"/>
      <c r="H268" s="59"/>
      <c r="I268" s="59"/>
      <c r="J268" s="59"/>
      <c r="K268" s="59"/>
      <c r="L268" s="59"/>
      <c r="M268" s="59"/>
      <c r="N268" s="59"/>
      <c r="O268" s="59"/>
      <c r="P268" s="59"/>
      <c r="Q268" s="59"/>
      <c r="R268" s="59"/>
      <c r="S268" s="59"/>
      <c r="T268" s="59"/>
      <c r="U268" s="59"/>
      <c r="V268" s="59"/>
      <c r="W268" s="59"/>
      <c r="X268" s="59"/>
    </row>
    <row r="269" spans="1:24" ht="22" customHeight="1">
      <c r="A269" s="56" t="s">
        <v>138</v>
      </c>
      <c r="B269" s="45"/>
      <c r="C269" s="60">
        <v>857</v>
      </c>
      <c r="D269" s="60">
        <v>899</v>
      </c>
      <c r="E269" s="60">
        <v>926</v>
      </c>
      <c r="F269" s="50"/>
      <c r="G269" s="50"/>
      <c r="H269" s="50"/>
      <c r="I269" s="50"/>
      <c r="J269" s="50"/>
      <c r="K269" s="50"/>
      <c r="L269" s="50"/>
      <c r="M269" s="50"/>
      <c r="N269" s="50"/>
      <c r="O269" s="50"/>
      <c r="P269" s="50"/>
      <c r="Q269" s="50"/>
      <c r="R269" s="50"/>
      <c r="S269" s="50"/>
      <c r="T269" s="50"/>
      <c r="U269" s="50"/>
      <c r="V269" s="50"/>
      <c r="W269" s="50"/>
      <c r="X269" s="50"/>
    </row>
    <row r="270" spans="1:24" ht="22" customHeight="1">
      <c r="A270" s="56" t="s">
        <v>139</v>
      </c>
      <c r="B270" s="45"/>
      <c r="C270" s="60">
        <v>29</v>
      </c>
      <c r="D270" s="60">
        <v>28</v>
      </c>
      <c r="E270" s="60">
        <v>25</v>
      </c>
      <c r="F270" s="50"/>
      <c r="G270" s="50"/>
      <c r="H270" s="50"/>
      <c r="I270" s="50"/>
      <c r="J270" s="50"/>
      <c r="K270" s="50"/>
      <c r="L270" s="50"/>
      <c r="M270" s="50"/>
      <c r="N270" s="50"/>
      <c r="O270" s="50"/>
      <c r="P270" s="50"/>
      <c r="Q270" s="50"/>
      <c r="R270" s="50"/>
      <c r="S270" s="50"/>
      <c r="T270" s="50"/>
      <c r="U270" s="50"/>
      <c r="V270" s="50"/>
      <c r="W270" s="50"/>
      <c r="X270" s="50"/>
    </row>
    <row r="271" spans="1:24" ht="22" customHeight="1">
      <c r="A271" s="56" t="s">
        <v>136</v>
      </c>
      <c r="B271" s="45"/>
      <c r="C271" s="50">
        <f>'Operating Metrics'!C269+'Operating Metrics'!C270</f>
        <v>886</v>
      </c>
      <c r="D271" s="50">
        <f>'Operating Metrics'!D269+'Operating Metrics'!D270</f>
        <v>927</v>
      </c>
      <c r="E271" s="50">
        <f>'Operating Metrics'!E269+'Operating Metrics'!E270</f>
        <v>951</v>
      </c>
      <c r="F271" s="50"/>
      <c r="G271" s="50"/>
      <c r="H271" s="50"/>
      <c r="I271" s="50"/>
      <c r="J271" s="50"/>
      <c r="K271" s="50"/>
      <c r="L271" s="50"/>
      <c r="M271" s="50"/>
      <c r="N271" s="50"/>
      <c r="O271" s="50"/>
      <c r="P271" s="50"/>
      <c r="Q271" s="50"/>
      <c r="R271" s="50"/>
      <c r="S271" s="50"/>
      <c r="T271" s="50"/>
      <c r="U271" s="50"/>
      <c r="V271" s="50"/>
      <c r="W271" s="50"/>
      <c r="X271" s="50"/>
    </row>
    <row r="272" spans="1:24" ht="22" customHeight="1">
      <c r="A272" s="56" t="s">
        <v>103</v>
      </c>
      <c r="B272" s="45"/>
      <c r="C272" s="54">
        <f>IF('Operating Metrics'!C271=0,"",'Operating Metrics'!C267/'Operating Metrics'!C271)</f>
        <v>1.1884875846501128</v>
      </c>
      <c r="D272" s="54">
        <f>IF('Operating Metrics'!D271=0,"",'Operating Metrics'!D267/'Operating Metrics'!D271)</f>
        <v>1.3430420711974109</v>
      </c>
      <c r="E272" s="54">
        <f>IF('Operating Metrics'!E271=0,"",'Operating Metrics'!E267/'Operating Metrics'!E271)</f>
        <v>1.3406940063091484</v>
      </c>
      <c r="F272" s="54"/>
      <c r="G272" s="54"/>
      <c r="H272" s="54"/>
      <c r="I272" s="54"/>
      <c r="J272" s="54"/>
      <c r="K272" s="54"/>
      <c r="L272" s="54"/>
      <c r="M272" s="54"/>
      <c r="N272" s="54"/>
      <c r="O272" s="54"/>
      <c r="P272" s="54"/>
      <c r="Q272" s="54"/>
      <c r="R272" s="54"/>
      <c r="S272" s="54"/>
      <c r="T272" s="54"/>
      <c r="U272" s="54"/>
      <c r="V272" s="54"/>
      <c r="W272" s="54"/>
      <c r="X272" s="54"/>
    </row>
    <row r="273" spans="1:24" ht="22" customHeight="1">
      <c r="A273" s="45"/>
      <c r="B273" s="45"/>
      <c r="C273" s="45"/>
      <c r="D273" s="45"/>
      <c r="E273" s="45"/>
      <c r="F273" s="45"/>
      <c r="G273" s="45"/>
      <c r="H273" s="45"/>
      <c r="I273" s="45"/>
      <c r="J273" s="45"/>
      <c r="K273" s="45"/>
      <c r="L273" s="45"/>
      <c r="M273" s="45"/>
      <c r="N273" s="45"/>
      <c r="O273" s="45"/>
      <c r="P273" s="45"/>
      <c r="Q273" s="45"/>
      <c r="R273" s="45"/>
      <c r="S273" s="45"/>
      <c r="T273" s="45"/>
      <c r="U273" s="45"/>
      <c r="V273" s="45"/>
      <c r="W273" s="45"/>
      <c r="X273" s="45"/>
    </row>
    <row r="274" spans="1:24" ht="22" customHeight="1">
      <c r="A274" s="45"/>
      <c r="B274" s="45"/>
      <c r="C274" s="45"/>
      <c r="D274" s="45"/>
      <c r="E274" s="45"/>
      <c r="F274" s="45"/>
      <c r="G274" s="45"/>
      <c r="H274" s="45"/>
      <c r="I274" s="45"/>
      <c r="J274" s="45"/>
      <c r="K274" s="45"/>
      <c r="L274" s="45"/>
      <c r="M274" s="45"/>
      <c r="N274" s="45"/>
      <c r="O274" s="45"/>
      <c r="P274" s="45"/>
      <c r="Q274" s="45"/>
      <c r="R274" s="45"/>
      <c r="S274" s="45"/>
      <c r="T274" s="45"/>
      <c r="U274" s="45"/>
      <c r="V274" s="45"/>
      <c r="W274" s="45"/>
      <c r="X274" s="45"/>
    </row>
    <row r="275" spans="1:24" ht="22" customHeight="1">
      <c r="A275" s="170" t="s">
        <v>126</v>
      </c>
      <c r="B275" s="170"/>
      <c r="C275" s="170"/>
      <c r="D275" s="170"/>
      <c r="E275" s="170"/>
      <c r="F275" s="170"/>
      <c r="G275" s="170"/>
      <c r="H275" s="170"/>
      <c r="I275" s="170"/>
      <c r="J275" s="170"/>
      <c r="K275" s="170"/>
      <c r="L275" s="170"/>
      <c r="M275" s="170"/>
      <c r="N275" s="170"/>
      <c r="O275" s="170"/>
      <c r="P275" s="170"/>
      <c r="Q275" s="170"/>
      <c r="R275" s="170"/>
      <c r="S275" s="170"/>
      <c r="T275" s="170"/>
      <c r="U275" s="170"/>
      <c r="V275" s="170"/>
      <c r="W275" s="170"/>
      <c r="X275" s="170"/>
    </row>
    <row r="276" spans="1:24" ht="24" customHeight="1">
      <c r="A276" s="171" t="s">
        <v>144</v>
      </c>
      <c r="B276" s="171"/>
      <c r="C276" s="171"/>
      <c r="D276" s="171"/>
      <c r="E276" s="171"/>
      <c r="F276" s="171"/>
      <c r="G276" s="171"/>
      <c r="H276" s="171"/>
      <c r="I276" s="171"/>
      <c r="J276" s="171"/>
      <c r="K276" s="171"/>
      <c r="L276" s="171"/>
      <c r="M276" s="171"/>
      <c r="N276" s="171"/>
      <c r="O276" s="171"/>
      <c r="P276" s="171"/>
      <c r="Q276" s="171"/>
      <c r="R276" s="171"/>
      <c r="S276" s="171"/>
      <c r="T276" s="171"/>
      <c r="U276" s="171"/>
      <c r="V276" s="171"/>
      <c r="W276" s="171"/>
      <c r="X276" s="171"/>
    </row>
    <row r="277" spans="1:24" ht="24" customHeight="1">
      <c r="A277" s="47" t="s">
        <v>56</v>
      </c>
      <c r="B277" s="45"/>
      <c r="C277" s="48" t="s">
        <v>38</v>
      </c>
      <c r="D277" s="48" t="s">
        <v>39</v>
      </c>
      <c r="E277" s="48" t="s">
        <v>40</v>
      </c>
      <c r="F277" s="48" t="s">
        <v>41</v>
      </c>
      <c r="G277" s="48" t="s">
        <v>42</v>
      </c>
      <c r="H277" s="48" t="s">
        <v>43</v>
      </c>
      <c r="I277" s="45"/>
      <c r="J277" s="45"/>
      <c r="K277" s="45"/>
      <c r="L277" s="45"/>
      <c r="M277" s="45"/>
      <c r="N277" s="45"/>
      <c r="O277" s="45"/>
      <c r="P277" s="45"/>
      <c r="Q277" s="45"/>
      <c r="R277" s="45"/>
      <c r="S277" s="45"/>
      <c r="T277" s="45"/>
      <c r="U277" s="45"/>
      <c r="V277" s="45"/>
      <c r="W277" s="45"/>
      <c r="X277" s="45"/>
    </row>
    <row r="278" spans="1:24" ht="18" customHeight="1">
      <c r="A278" s="45"/>
      <c r="B278" s="45"/>
      <c r="C278" s="55">
        <v>43827</v>
      </c>
      <c r="D278" s="55">
        <v>44191</v>
      </c>
      <c r="E278" s="55">
        <v>44555</v>
      </c>
      <c r="F278" s="55">
        <v>44926</v>
      </c>
      <c r="G278" s="55">
        <v>45290</v>
      </c>
      <c r="H278" s="55">
        <v>45654</v>
      </c>
      <c r="I278" s="45"/>
      <c r="J278" s="45"/>
      <c r="K278" s="45"/>
      <c r="L278" s="45"/>
      <c r="M278" s="45"/>
      <c r="N278" s="45"/>
      <c r="O278" s="45"/>
      <c r="P278" s="45"/>
      <c r="Q278" s="45"/>
      <c r="R278" s="45"/>
      <c r="S278" s="45"/>
      <c r="T278" s="45"/>
      <c r="U278" s="45"/>
      <c r="V278" s="45"/>
      <c r="W278" s="45"/>
      <c r="X278" s="45"/>
    </row>
    <row r="279" spans="1:24" ht="24" customHeight="1">
      <c r="A279" s="172" t="s">
        <v>115</v>
      </c>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row>
    <row r="280" spans="1:24" ht="22" customHeight="1">
      <c r="A280" s="56" t="s">
        <v>63</v>
      </c>
      <c r="B280" s="45"/>
      <c r="C280" s="60">
        <v>7573</v>
      </c>
      <c r="D280" s="60">
        <v>6942</v>
      </c>
      <c r="E280" s="60">
        <v>8108</v>
      </c>
      <c r="F280" s="60">
        <v>9779</v>
      </c>
      <c r="G280" s="60">
        <v>11654</v>
      </c>
      <c r="H280" s="60">
        <v>11718</v>
      </c>
      <c r="I280" s="50"/>
      <c r="J280" s="50"/>
      <c r="K280" s="50"/>
      <c r="L280" s="50"/>
      <c r="M280" s="50"/>
      <c r="N280" s="50"/>
      <c r="O280" s="50"/>
      <c r="P280" s="50"/>
      <c r="Q280" s="50"/>
      <c r="R280" s="50"/>
      <c r="S280" s="50"/>
      <c r="T280" s="50"/>
      <c r="U280" s="50"/>
      <c r="V280" s="50"/>
      <c r="W280" s="50"/>
      <c r="X280" s="50"/>
    </row>
    <row r="281" spans="1:24" ht="20" customHeight="1">
      <c r="A281" s="58" t="s">
        <v>83</v>
      </c>
      <c r="B281" s="45"/>
      <c r="C281" s="59"/>
      <c r="D281" s="51">
        <f>IF(OR('Operating Metrics'!C280&lt;=0,'Operating Metrics'!D280&lt;0),"",'Operating Metrics'!D280/'Operating Metrics'!C280-1)</f>
        <v>-8.3322329327875311E-2</v>
      </c>
      <c r="E281" s="51">
        <f>IF(OR('Operating Metrics'!D280&lt;=0,'Operating Metrics'!E280&lt;0),"",'Operating Metrics'!E280/'Operating Metrics'!D280-1)</f>
        <v>0.16796312301930283</v>
      </c>
      <c r="F281" s="51">
        <f>IF(OR('Operating Metrics'!E280&lt;=0,'Operating Metrics'!F280&lt;0),"",'Operating Metrics'!F280/'Operating Metrics'!E280-1)</f>
        <v>0.20609274790330545</v>
      </c>
      <c r="G281" s="51">
        <f>IF(OR('Operating Metrics'!F280&lt;=0,'Operating Metrics'!G280&lt;0),"",'Operating Metrics'!G280/'Operating Metrics'!F280-1)</f>
        <v>0.19173739646180588</v>
      </c>
      <c r="H281" s="51">
        <f>IF(OR('Operating Metrics'!G280&lt;=0,'Operating Metrics'!H280&lt;0),"",'Operating Metrics'!H280/'Operating Metrics'!G280-1)</f>
        <v>5.4916766775356951E-3</v>
      </c>
      <c r="I281" s="59"/>
      <c r="J281" s="59"/>
      <c r="K281" s="59"/>
      <c r="L281" s="59"/>
      <c r="M281" s="59"/>
      <c r="N281" s="59"/>
      <c r="O281" s="59"/>
      <c r="P281" s="59"/>
      <c r="Q281" s="59"/>
      <c r="R281" s="59"/>
      <c r="S281" s="59"/>
      <c r="T281" s="59"/>
      <c r="U281" s="59"/>
      <c r="V281" s="59"/>
      <c r="W281" s="59"/>
      <c r="X281" s="59"/>
    </row>
    <row r="282" spans="1:24" ht="22" customHeight="1">
      <c r="A282" s="56" t="s">
        <v>87</v>
      </c>
      <c r="B282" s="45"/>
      <c r="C282" s="60">
        <v>1141</v>
      </c>
      <c r="D282" s="60">
        <v>1033</v>
      </c>
      <c r="E282" s="60">
        <v>1369</v>
      </c>
      <c r="F282" s="60">
        <v>1627</v>
      </c>
      <c r="G282" s="60">
        <v>2252</v>
      </c>
      <c r="H282" s="60">
        <v>2245</v>
      </c>
      <c r="I282" s="50"/>
      <c r="J282" s="50"/>
      <c r="K282" s="50"/>
      <c r="L282" s="50"/>
      <c r="M282" s="50"/>
      <c r="N282" s="50"/>
      <c r="O282" s="50"/>
      <c r="P282" s="50"/>
      <c r="Q282" s="50"/>
      <c r="R282" s="50"/>
      <c r="S282" s="50"/>
      <c r="T282" s="50"/>
      <c r="U282" s="50"/>
      <c r="V282" s="50"/>
      <c r="W282" s="50"/>
      <c r="X282" s="50"/>
    </row>
    <row r="283" spans="1:24" ht="22" customHeight="1">
      <c r="A283" s="56" t="s">
        <v>84</v>
      </c>
      <c r="B283" s="45"/>
      <c r="C283" s="60">
        <v>1203</v>
      </c>
      <c r="D283" s="60">
        <v>1064</v>
      </c>
      <c r="E283" s="60">
        <v>1406</v>
      </c>
      <c r="F283" s="60">
        <v>1730</v>
      </c>
      <c r="G283" s="60">
        <v>2283</v>
      </c>
      <c r="H283" s="60">
        <v>2514</v>
      </c>
      <c r="I283" s="50"/>
      <c r="J283" s="50"/>
      <c r="K283" s="50"/>
      <c r="L283" s="50"/>
      <c r="M283" s="50"/>
      <c r="N283" s="50"/>
      <c r="O283" s="50"/>
      <c r="P283" s="50"/>
      <c r="Q283" s="50"/>
      <c r="R283" s="50"/>
      <c r="S283" s="50"/>
      <c r="T283" s="50"/>
      <c r="U283" s="50"/>
      <c r="V283" s="50"/>
      <c r="W283" s="50"/>
      <c r="X283" s="50"/>
    </row>
    <row r="284" spans="1:24" ht="20" customHeight="1">
      <c r="A284" s="58" t="s">
        <v>85</v>
      </c>
      <c r="B284" s="45"/>
      <c r="C284" s="59"/>
      <c r="D284" s="51">
        <f>IF(OR('Operating Metrics'!C283&lt;=0,'Operating Metrics'!D283&lt;0),"",'Operating Metrics'!D283/'Operating Metrics'!C283-1)</f>
        <v>-0.11554447215295094</v>
      </c>
      <c r="E284" s="51">
        <f>IF(OR('Operating Metrics'!D283&lt;=0,'Operating Metrics'!E283&lt;0),"",'Operating Metrics'!E283/'Operating Metrics'!D283-1)</f>
        <v>0.3214285714285714</v>
      </c>
      <c r="F284" s="51">
        <f>IF(OR('Operating Metrics'!E283&lt;=0,'Operating Metrics'!F283&lt;0),"",'Operating Metrics'!F283/'Operating Metrics'!E283-1)</f>
        <v>0.23044096728307251</v>
      </c>
      <c r="G284" s="51">
        <f>IF(OR('Operating Metrics'!F283&lt;=0,'Operating Metrics'!G283&lt;0),"",'Operating Metrics'!G283/'Operating Metrics'!F283-1)</f>
        <v>0.31965317919075154</v>
      </c>
      <c r="H284" s="51">
        <f>IF(OR('Operating Metrics'!G283&lt;=0,'Operating Metrics'!H283&lt;0),"",'Operating Metrics'!H283/'Operating Metrics'!G283-1)</f>
        <v>0.10118265440210239</v>
      </c>
      <c r="I284" s="59"/>
      <c r="J284" s="59"/>
      <c r="K284" s="59"/>
      <c r="L284" s="59"/>
      <c r="M284" s="59"/>
      <c r="N284" s="59"/>
      <c r="O284" s="59"/>
      <c r="P284" s="59"/>
      <c r="Q284" s="59"/>
      <c r="R284" s="59"/>
      <c r="S284" s="59"/>
      <c r="T284" s="59"/>
      <c r="U284" s="59"/>
      <c r="V284" s="59"/>
      <c r="W284" s="59"/>
      <c r="X284" s="59"/>
    </row>
    <row r="285" spans="1:24" ht="20" customHeight="1">
      <c r="A285" s="58" t="s">
        <v>86</v>
      </c>
      <c r="B285" s="45"/>
      <c r="C285" s="51">
        <f>IF('Operating Metrics'!C280=0,"",'Operating Metrics'!C283/'Operating Metrics'!C280)</f>
        <v>0.1588538227914961</v>
      </c>
      <c r="D285" s="51">
        <f>IF('Operating Metrics'!D280=0,"",'Operating Metrics'!D283/'Operating Metrics'!D280)</f>
        <v>0.15326995102276</v>
      </c>
      <c r="E285" s="51">
        <f>IF('Operating Metrics'!E280=0,"",'Operating Metrics'!E283/'Operating Metrics'!E280)</f>
        <v>0.17340897878638381</v>
      </c>
      <c r="F285" s="51">
        <f>IF('Operating Metrics'!F280=0,"",'Operating Metrics'!F283/'Operating Metrics'!F280)</f>
        <v>0.17690970446875959</v>
      </c>
      <c r="G285" s="51">
        <f>IF('Operating Metrics'!G280=0,"",'Operating Metrics'!G283/'Operating Metrics'!G280)</f>
        <v>0.1958984039814656</v>
      </c>
      <c r="H285" s="51">
        <f>IF('Operating Metrics'!H280=0,"",'Operating Metrics'!H283/'Operating Metrics'!H280)</f>
        <v>0.21454173067076293</v>
      </c>
      <c r="I285" s="59"/>
      <c r="J285" s="59"/>
      <c r="K285" s="59"/>
      <c r="L285" s="59"/>
      <c r="M285" s="59"/>
      <c r="N285" s="59"/>
      <c r="O285" s="59"/>
      <c r="P285" s="59"/>
      <c r="Q285" s="59"/>
      <c r="R285" s="59"/>
      <c r="S285" s="59"/>
      <c r="T285" s="59"/>
      <c r="U285" s="59"/>
      <c r="V285" s="59"/>
      <c r="W285" s="59"/>
      <c r="X285" s="59"/>
    </row>
    <row r="286" spans="1:24" ht="20" customHeight="1">
      <c r="A286" s="58" t="s">
        <v>66</v>
      </c>
      <c r="B286" s="45"/>
      <c r="C286" s="61">
        <v>7.0000000000000007E-2</v>
      </c>
      <c r="D286" s="61">
        <v>0.03</v>
      </c>
      <c r="E286" s="61">
        <v>0.15</v>
      </c>
      <c r="F286" s="61">
        <v>0.21</v>
      </c>
      <c r="G286" s="61">
        <v>0.11</v>
      </c>
      <c r="H286" s="61">
        <v>0.04</v>
      </c>
      <c r="I286" s="59"/>
      <c r="J286" s="59"/>
      <c r="K286" s="59"/>
      <c r="L286" s="59"/>
      <c r="M286" s="59"/>
      <c r="N286" s="59"/>
      <c r="O286" s="59"/>
      <c r="P286" s="59"/>
      <c r="Q286" s="59"/>
      <c r="R286" s="59"/>
      <c r="S286" s="59"/>
      <c r="T286" s="59"/>
      <c r="U286" s="59"/>
      <c r="V286" s="59"/>
      <c r="W286" s="59"/>
      <c r="X286" s="59"/>
    </row>
    <row r="287" spans="1:24" ht="20" customHeight="1">
      <c r="A287" s="58" t="s">
        <v>77</v>
      </c>
      <c r="B287" s="45"/>
      <c r="C287" s="61">
        <v>0</v>
      </c>
      <c r="D287" s="61">
        <v>0</v>
      </c>
      <c r="E287" s="61">
        <v>0.04</v>
      </c>
      <c r="F287" s="61">
        <v>3.5000000000000003E-2</v>
      </c>
      <c r="G287" s="61">
        <v>-0.04</v>
      </c>
      <c r="H287" s="61">
        <v>-0.02</v>
      </c>
      <c r="I287" s="59"/>
      <c r="J287" s="59"/>
      <c r="K287" s="59"/>
      <c r="L287" s="59"/>
      <c r="M287" s="59"/>
      <c r="N287" s="59"/>
      <c r="O287" s="59"/>
      <c r="P287" s="59"/>
      <c r="Q287" s="59"/>
      <c r="R287" s="59"/>
      <c r="S287" s="59"/>
      <c r="T287" s="59"/>
      <c r="U287" s="59"/>
      <c r="V287" s="59"/>
      <c r="W287" s="59"/>
      <c r="X287" s="59"/>
    </row>
    <row r="288" spans="1:24" ht="20" customHeight="1">
      <c r="A288" s="58" t="s">
        <v>78</v>
      </c>
      <c r="B288" s="45"/>
      <c r="C288" s="61">
        <v>0.04</v>
      </c>
      <c r="D288" s="61">
        <v>-0.01</v>
      </c>
      <c r="E288" s="61">
        <v>0.08</v>
      </c>
      <c r="F288" s="61">
        <v>0.06</v>
      </c>
      <c r="G288" s="61">
        <v>0.03</v>
      </c>
      <c r="H288" s="61">
        <v>0</v>
      </c>
      <c r="I288" s="59"/>
      <c r="J288" s="59"/>
      <c r="K288" s="59"/>
      <c r="L288" s="59"/>
      <c r="M288" s="59"/>
      <c r="N288" s="59"/>
      <c r="O288" s="59"/>
      <c r="P288" s="59"/>
      <c r="Q288" s="59"/>
      <c r="R288" s="59"/>
      <c r="S288" s="59"/>
      <c r="T288" s="59"/>
      <c r="U288" s="59"/>
      <c r="V288" s="59"/>
      <c r="W288" s="59"/>
      <c r="X288" s="59"/>
    </row>
    <row r="289" spans="1:24" ht="20" customHeight="1">
      <c r="A289" s="58" t="s">
        <v>133</v>
      </c>
      <c r="B289" s="45"/>
      <c r="C289" s="61">
        <v>7.0000000000000007E-2</v>
      </c>
      <c r="D289" s="61">
        <v>0.03</v>
      </c>
      <c r="E289" s="61">
        <v>0.1</v>
      </c>
      <c r="F289" s="61">
        <v>0.16</v>
      </c>
      <c r="G289" s="61">
        <v>0.16</v>
      </c>
      <c r="H289" s="61">
        <v>0.05</v>
      </c>
      <c r="I289" s="59"/>
      <c r="J289" s="59"/>
      <c r="K289" s="59"/>
      <c r="L289" s="59"/>
      <c r="M289" s="59"/>
      <c r="N289" s="59"/>
      <c r="O289" s="59"/>
      <c r="P289" s="59"/>
      <c r="Q289" s="59"/>
      <c r="R289" s="59"/>
      <c r="S289" s="59"/>
      <c r="T289" s="59"/>
      <c r="U289" s="59"/>
      <c r="V289" s="59"/>
      <c r="W289" s="59"/>
      <c r="X289" s="59"/>
    </row>
    <row r="290" spans="1:24" ht="22" customHeight="1">
      <c r="A290" s="56" t="s">
        <v>101</v>
      </c>
      <c r="B290" s="45"/>
      <c r="C290" s="60">
        <v>557</v>
      </c>
      <c r="D290" s="60">
        <v>390</v>
      </c>
      <c r="E290" s="60">
        <v>461</v>
      </c>
      <c r="F290" s="60">
        <v>581</v>
      </c>
      <c r="G290" s="60">
        <v>841</v>
      </c>
      <c r="H290" s="60">
        <v>837</v>
      </c>
      <c r="I290" s="50"/>
      <c r="J290" s="50"/>
      <c r="K290" s="50"/>
      <c r="L290" s="50"/>
      <c r="M290" s="50"/>
      <c r="N290" s="50"/>
      <c r="O290" s="50"/>
      <c r="P290" s="50"/>
      <c r="Q290" s="50"/>
      <c r="R290" s="50"/>
      <c r="S290" s="50"/>
      <c r="T290" s="50"/>
      <c r="U290" s="50"/>
      <c r="V290" s="50"/>
      <c r="W290" s="50"/>
      <c r="X290" s="50"/>
    </row>
    <row r="291" spans="1:24" ht="20" customHeight="1">
      <c r="A291" s="58" t="s">
        <v>102</v>
      </c>
      <c r="B291" s="45"/>
      <c r="C291" s="51">
        <f>IF('Operating Metrics'!C280=0,"",'Operating Metrics'!C290/'Operating Metrics'!C280)</f>
        <v>7.3550772481183149E-2</v>
      </c>
      <c r="D291" s="51">
        <f>IF('Operating Metrics'!D280=0,"",'Operating Metrics'!D290/'Operating Metrics'!D280)</f>
        <v>5.6179775280898875E-2</v>
      </c>
      <c r="E291" s="51">
        <f>IF('Operating Metrics'!E280=0,"",'Operating Metrics'!E290/'Operating Metrics'!E280)</f>
        <v>5.6857424765663543E-2</v>
      </c>
      <c r="F291" s="51">
        <f>IF('Operating Metrics'!F280=0,"",'Operating Metrics'!F290/'Operating Metrics'!F280)</f>
        <v>5.9413027916964928E-2</v>
      </c>
      <c r="G291" s="51">
        <f>IF('Operating Metrics'!G280=0,"",'Operating Metrics'!G290/'Operating Metrics'!G280)</f>
        <v>7.216406384074138E-2</v>
      </c>
      <c r="H291" s="51">
        <f>IF('Operating Metrics'!H280=0,"",'Operating Metrics'!H290/'Operating Metrics'!H280)</f>
        <v>7.1428571428571425E-2</v>
      </c>
      <c r="I291" s="59"/>
      <c r="J291" s="59"/>
      <c r="K291" s="59"/>
      <c r="L291" s="59"/>
      <c r="M291" s="59"/>
      <c r="N291" s="59"/>
      <c r="O291" s="59"/>
      <c r="P291" s="59"/>
      <c r="Q291" s="59"/>
      <c r="R291" s="59"/>
      <c r="S291" s="59"/>
      <c r="T291" s="59"/>
      <c r="U291" s="59"/>
      <c r="V291" s="59"/>
      <c r="W291" s="59"/>
      <c r="X291" s="59"/>
    </row>
    <row r="292" spans="1:24" ht="22" customHeight="1">
      <c r="A292" s="56" t="s">
        <v>138</v>
      </c>
      <c r="B292" s="45"/>
      <c r="C292" s="60">
        <v>270</v>
      </c>
      <c r="D292" s="60">
        <v>251</v>
      </c>
      <c r="E292" s="60">
        <v>283</v>
      </c>
      <c r="F292" s="60">
        <v>306</v>
      </c>
      <c r="G292" s="60">
        <v>372</v>
      </c>
      <c r="H292" s="60">
        <v>394</v>
      </c>
      <c r="I292" s="50"/>
      <c r="J292" s="50"/>
      <c r="K292" s="50"/>
      <c r="L292" s="50"/>
      <c r="M292" s="50"/>
      <c r="N292" s="50"/>
      <c r="O292" s="50"/>
      <c r="P292" s="50"/>
      <c r="Q292" s="50"/>
      <c r="R292" s="50"/>
      <c r="S292" s="50"/>
      <c r="T292" s="50"/>
      <c r="U292" s="50"/>
      <c r="V292" s="50"/>
      <c r="W292" s="50"/>
      <c r="X292" s="50"/>
    </row>
    <row r="293" spans="1:24" ht="22" customHeight="1">
      <c r="A293" s="56" t="s">
        <v>139</v>
      </c>
      <c r="B293" s="45"/>
      <c r="C293" s="60">
        <v>5</v>
      </c>
      <c r="D293" s="60">
        <v>4</v>
      </c>
      <c r="E293" s="60">
        <v>4</v>
      </c>
      <c r="F293" s="60">
        <v>3</v>
      </c>
      <c r="G293" s="60">
        <v>2</v>
      </c>
      <c r="H293" s="60">
        <v>2</v>
      </c>
      <c r="I293" s="50"/>
      <c r="J293" s="50"/>
      <c r="K293" s="50"/>
      <c r="L293" s="50"/>
      <c r="M293" s="50"/>
      <c r="N293" s="50"/>
      <c r="O293" s="50"/>
      <c r="P293" s="50"/>
      <c r="Q293" s="50"/>
      <c r="R293" s="50"/>
      <c r="S293" s="50"/>
      <c r="T293" s="50"/>
      <c r="U293" s="50"/>
      <c r="V293" s="50"/>
      <c r="W293" s="50"/>
      <c r="X293" s="50"/>
    </row>
    <row r="294" spans="1:24" ht="22" customHeight="1">
      <c r="A294" s="56" t="s">
        <v>136</v>
      </c>
      <c r="B294" s="45"/>
      <c r="C294" s="50">
        <f>'Operating Metrics'!C292+'Operating Metrics'!C293</f>
        <v>275</v>
      </c>
      <c r="D294" s="50">
        <f>'Operating Metrics'!D292+'Operating Metrics'!D293</f>
        <v>255</v>
      </c>
      <c r="E294" s="50">
        <f>'Operating Metrics'!E292+'Operating Metrics'!E293</f>
        <v>287</v>
      </c>
      <c r="F294" s="50">
        <f>'Operating Metrics'!F292+'Operating Metrics'!F293</f>
        <v>309</v>
      </c>
      <c r="G294" s="50">
        <f>'Operating Metrics'!G292+'Operating Metrics'!G293</f>
        <v>374</v>
      </c>
      <c r="H294" s="50">
        <f>'Operating Metrics'!H292+'Operating Metrics'!H293</f>
        <v>396</v>
      </c>
      <c r="I294" s="50"/>
      <c r="J294" s="50"/>
      <c r="K294" s="50"/>
      <c r="L294" s="50"/>
      <c r="M294" s="50"/>
      <c r="N294" s="50"/>
      <c r="O294" s="50"/>
      <c r="P294" s="50"/>
      <c r="Q294" s="50"/>
      <c r="R294" s="50"/>
      <c r="S294" s="50"/>
      <c r="T294" s="50"/>
      <c r="U294" s="50"/>
      <c r="V294" s="50"/>
      <c r="W294" s="50"/>
      <c r="X294" s="50"/>
    </row>
    <row r="295" spans="1:24" ht="22" customHeight="1">
      <c r="A295" s="56" t="s">
        <v>103</v>
      </c>
      <c r="B295" s="45"/>
      <c r="C295" s="54">
        <f>IF('Operating Metrics'!C294=0,"",'Operating Metrics'!C290/'Operating Metrics'!C294)</f>
        <v>2.0254545454545454</v>
      </c>
      <c r="D295" s="54">
        <f>IF('Operating Metrics'!D294=0,"",'Operating Metrics'!D290/'Operating Metrics'!D294)</f>
        <v>1.5294117647058822</v>
      </c>
      <c r="E295" s="54">
        <f>IF('Operating Metrics'!E294=0,"",'Operating Metrics'!E290/'Operating Metrics'!E294)</f>
        <v>1.6062717770034842</v>
      </c>
      <c r="F295" s="54">
        <f>IF('Operating Metrics'!F294=0,"",'Operating Metrics'!F290/'Operating Metrics'!F294)</f>
        <v>1.8802588996763754</v>
      </c>
      <c r="G295" s="54">
        <f>IF('Operating Metrics'!G294=0,"",'Operating Metrics'!G290/'Operating Metrics'!G294)</f>
        <v>2.248663101604278</v>
      </c>
      <c r="H295" s="54">
        <f>IF('Operating Metrics'!H294=0,"",'Operating Metrics'!H290/'Operating Metrics'!H294)</f>
        <v>2.1136363636363638</v>
      </c>
      <c r="I295" s="54"/>
      <c r="J295" s="54"/>
      <c r="K295" s="54"/>
      <c r="L295" s="54"/>
      <c r="M295" s="54"/>
      <c r="N295" s="54"/>
      <c r="O295" s="54"/>
      <c r="P295" s="54"/>
      <c r="Q295" s="54"/>
      <c r="R295" s="54"/>
      <c r="S295" s="54"/>
      <c r="T295" s="54"/>
      <c r="U295" s="54"/>
      <c r="V295" s="54"/>
      <c r="W295" s="54"/>
      <c r="X295" s="54"/>
    </row>
    <row r="296" spans="1:24" ht="24" customHeight="1">
      <c r="A296" s="172" t="s">
        <v>116</v>
      </c>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row>
    <row r="297" spans="1:24" ht="22" customHeight="1">
      <c r="A297" s="56" t="s">
        <v>63</v>
      </c>
      <c r="B297" s="45"/>
      <c r="C297" s="60">
        <v>11728</v>
      </c>
      <c r="D297" s="60">
        <v>11922</v>
      </c>
      <c r="E297" s="60">
        <v>13038</v>
      </c>
      <c r="F297" s="60">
        <v>12724</v>
      </c>
      <c r="G297" s="60">
        <v>13234</v>
      </c>
      <c r="H297" s="60">
        <v>13874</v>
      </c>
      <c r="I297" s="50"/>
      <c r="J297" s="50"/>
      <c r="K297" s="50"/>
      <c r="L297" s="50"/>
      <c r="M297" s="50"/>
      <c r="N297" s="50"/>
      <c r="O297" s="50"/>
      <c r="P297" s="50"/>
      <c r="Q297" s="50"/>
      <c r="R297" s="50"/>
      <c r="S297" s="50"/>
      <c r="T297" s="50"/>
      <c r="U297" s="50"/>
      <c r="V297" s="50"/>
      <c r="W297" s="50"/>
      <c r="X297" s="50"/>
    </row>
    <row r="298" spans="1:24" ht="20" customHeight="1">
      <c r="A298" s="58" t="s">
        <v>83</v>
      </c>
      <c r="B298" s="45"/>
      <c r="C298" s="59"/>
      <c r="D298" s="51">
        <f>IF(OR('Operating Metrics'!C297&lt;=0,'Operating Metrics'!D297&lt;0),"",'Operating Metrics'!D297/'Operating Metrics'!C297-1)</f>
        <v>1.6541609822646741E-2</v>
      </c>
      <c r="E298" s="51">
        <f>IF(OR('Operating Metrics'!D297&lt;=0,'Operating Metrics'!E297&lt;0),"",'Operating Metrics'!E297/'Operating Metrics'!D297-1)</f>
        <v>9.3608454957222031E-2</v>
      </c>
      <c r="F298" s="51">
        <f>IF(OR('Operating Metrics'!E297&lt;=0,'Operating Metrics'!F297&lt;0),"",'Operating Metrics'!F297/'Operating Metrics'!E297-1)</f>
        <v>-2.408344838165366E-2</v>
      </c>
      <c r="G298" s="51">
        <f>IF(OR('Operating Metrics'!F297&lt;=0,'Operating Metrics'!G297&lt;0),"",'Operating Metrics'!G297/'Operating Metrics'!F297-1)</f>
        <v>4.0081735303363786E-2</v>
      </c>
      <c r="H298" s="51">
        <f>IF(OR('Operating Metrics'!G297&lt;=0,'Operating Metrics'!H297&lt;0),"",'Operating Metrics'!H297/'Operating Metrics'!G297-1)</f>
        <v>4.8360284116669261E-2</v>
      </c>
      <c r="I298" s="59"/>
      <c r="J298" s="59"/>
      <c r="K298" s="59"/>
      <c r="L298" s="59"/>
      <c r="M298" s="59"/>
      <c r="N298" s="59"/>
      <c r="O298" s="59"/>
      <c r="P298" s="59"/>
      <c r="Q298" s="59"/>
      <c r="R298" s="59"/>
      <c r="S298" s="59"/>
      <c r="T298" s="59"/>
      <c r="U298" s="59"/>
      <c r="V298" s="59"/>
      <c r="W298" s="59"/>
      <c r="X298" s="59"/>
    </row>
    <row r="299" spans="1:24" ht="22" customHeight="1">
      <c r="A299" s="56" t="s">
        <v>87</v>
      </c>
      <c r="B299" s="45"/>
      <c r="C299" s="60">
        <v>1327</v>
      </c>
      <c r="D299" s="60">
        <v>1353</v>
      </c>
      <c r="E299" s="60">
        <v>1292</v>
      </c>
      <c r="F299" s="60">
        <v>-1380</v>
      </c>
      <c r="G299" s="60">
        <v>767</v>
      </c>
      <c r="H299" s="60">
        <v>2019</v>
      </c>
      <c r="I299" s="50"/>
      <c r="J299" s="50"/>
      <c r="K299" s="50"/>
      <c r="L299" s="50"/>
      <c r="M299" s="50"/>
      <c r="N299" s="50"/>
      <c r="O299" s="50"/>
      <c r="P299" s="50"/>
      <c r="Q299" s="50"/>
      <c r="R299" s="50"/>
      <c r="S299" s="50"/>
      <c r="T299" s="50"/>
      <c r="U299" s="50"/>
      <c r="V299" s="50"/>
      <c r="W299" s="50"/>
      <c r="X299" s="50"/>
    </row>
    <row r="300" spans="1:24" ht="22" customHeight="1">
      <c r="A300" s="56" t="s">
        <v>84</v>
      </c>
      <c r="B300" s="45"/>
      <c r="C300" s="60">
        <v>1472</v>
      </c>
      <c r="D300" s="60">
        <v>1401</v>
      </c>
      <c r="E300" s="60">
        <v>1381</v>
      </c>
      <c r="F300" s="60">
        <v>1383</v>
      </c>
      <c r="G300" s="60">
        <v>1843</v>
      </c>
      <c r="H300" s="60">
        <v>2287</v>
      </c>
      <c r="I300" s="50"/>
      <c r="J300" s="50"/>
      <c r="K300" s="50"/>
      <c r="L300" s="50"/>
      <c r="M300" s="50"/>
      <c r="N300" s="50"/>
      <c r="O300" s="50"/>
      <c r="P300" s="50"/>
      <c r="Q300" s="50"/>
      <c r="R300" s="50"/>
      <c r="S300" s="50"/>
      <c r="T300" s="50"/>
      <c r="U300" s="50"/>
      <c r="V300" s="50"/>
      <c r="W300" s="50"/>
      <c r="X300" s="50"/>
    </row>
    <row r="301" spans="1:24" ht="20" customHeight="1">
      <c r="A301" s="58" t="s">
        <v>85</v>
      </c>
      <c r="B301" s="45"/>
      <c r="C301" s="59"/>
      <c r="D301" s="51">
        <f>IF(OR('Operating Metrics'!C300&lt;=0,'Operating Metrics'!D300&lt;0),"",'Operating Metrics'!D300/'Operating Metrics'!C300-1)</f>
        <v>-4.8233695652173947E-2</v>
      </c>
      <c r="E301" s="51">
        <f>IF(OR('Operating Metrics'!D300&lt;=0,'Operating Metrics'!E300&lt;0),"",'Operating Metrics'!E300/'Operating Metrics'!D300-1)</f>
        <v>-1.4275517487508882E-2</v>
      </c>
      <c r="F301" s="51">
        <f>IF(OR('Operating Metrics'!E300&lt;=0,'Operating Metrics'!F300&lt;0),"",'Operating Metrics'!F300/'Operating Metrics'!E300-1)</f>
        <v>1.4482259232440065E-3</v>
      </c>
      <c r="G301" s="51">
        <f>IF(OR('Operating Metrics'!F300&lt;=0,'Operating Metrics'!G300&lt;0),"",'Operating Metrics'!G300/'Operating Metrics'!F300-1)</f>
        <v>0.33261026753434564</v>
      </c>
      <c r="H301" s="51">
        <f>IF(OR('Operating Metrics'!G300&lt;=0,'Operating Metrics'!H300&lt;0),"",'Operating Metrics'!H300/'Operating Metrics'!G300-1)</f>
        <v>0.24091155724362445</v>
      </c>
      <c r="I301" s="59"/>
      <c r="J301" s="59"/>
      <c r="K301" s="59"/>
      <c r="L301" s="59"/>
      <c r="M301" s="59"/>
      <c r="N301" s="59"/>
      <c r="O301" s="59"/>
      <c r="P301" s="59"/>
      <c r="Q301" s="59"/>
      <c r="R301" s="59"/>
      <c r="S301" s="59"/>
      <c r="T301" s="59"/>
      <c r="U301" s="59"/>
      <c r="V301" s="59"/>
      <c r="W301" s="59"/>
      <c r="X301" s="59"/>
    </row>
    <row r="302" spans="1:24" ht="20" customHeight="1">
      <c r="A302" s="58" t="s">
        <v>86</v>
      </c>
      <c r="B302" s="45"/>
      <c r="C302" s="51">
        <f>IF('Operating Metrics'!C297=0,"",'Operating Metrics'!C300/'Operating Metrics'!C297)</f>
        <v>0.12551159618008187</v>
      </c>
      <c r="D302" s="51">
        <f>IF('Operating Metrics'!D297=0,"",'Operating Metrics'!D300/'Operating Metrics'!D297)</f>
        <v>0.1175138399597383</v>
      </c>
      <c r="E302" s="51">
        <f>IF('Operating Metrics'!E297=0,"",'Operating Metrics'!E300/'Operating Metrics'!E297)</f>
        <v>0.10592115355115815</v>
      </c>
      <c r="F302" s="51">
        <f>IF('Operating Metrics'!F297=0,"",'Operating Metrics'!F300/'Operating Metrics'!F297)</f>
        <v>0.10869223514618044</v>
      </c>
      <c r="G302" s="51">
        <f>IF('Operating Metrics'!G297=0,"",'Operating Metrics'!G300/'Operating Metrics'!G297)</f>
        <v>0.13926250566722079</v>
      </c>
      <c r="H302" s="51">
        <f>IF('Operating Metrics'!H297=0,"",'Operating Metrics'!H300/'Operating Metrics'!H297)</f>
        <v>0.16484070924030561</v>
      </c>
      <c r="I302" s="59"/>
      <c r="J302" s="59"/>
      <c r="K302" s="59"/>
      <c r="L302" s="59"/>
      <c r="M302" s="59"/>
      <c r="N302" s="59"/>
      <c r="O302" s="59"/>
      <c r="P302" s="59"/>
      <c r="Q302" s="59"/>
      <c r="R302" s="59"/>
      <c r="S302" s="59"/>
      <c r="T302" s="59"/>
      <c r="U302" s="59"/>
      <c r="V302" s="59"/>
      <c r="W302" s="59"/>
      <c r="X302" s="59"/>
    </row>
    <row r="303" spans="1:24" ht="20" customHeight="1">
      <c r="A303" s="58" t="s">
        <v>66</v>
      </c>
      <c r="B303" s="45"/>
      <c r="C303" s="61">
        <v>5.5E-2</v>
      </c>
      <c r="D303" s="61">
        <v>0.06</v>
      </c>
      <c r="E303" s="61">
        <v>0.09</v>
      </c>
      <c r="F303" s="61">
        <v>0.12</v>
      </c>
      <c r="G303" s="61">
        <v>0.14000000000000001</v>
      </c>
      <c r="H303" s="61">
        <v>7.0000000000000007E-2</v>
      </c>
      <c r="I303" s="59"/>
      <c r="J303" s="59"/>
      <c r="K303" s="59"/>
      <c r="L303" s="59"/>
      <c r="M303" s="59"/>
      <c r="N303" s="59"/>
      <c r="O303" s="59"/>
      <c r="P303" s="59"/>
      <c r="Q303" s="59"/>
      <c r="R303" s="59"/>
      <c r="S303" s="59"/>
      <c r="T303" s="59"/>
      <c r="U303" s="59"/>
      <c r="V303" s="59"/>
      <c r="W303" s="59"/>
      <c r="X303" s="59"/>
    </row>
    <row r="304" spans="1:24" ht="20" customHeight="1">
      <c r="A304" s="58" t="s">
        <v>77</v>
      </c>
      <c r="B304" s="45"/>
      <c r="C304" s="61">
        <v>0.01</v>
      </c>
      <c r="D304" s="61">
        <v>0.04</v>
      </c>
      <c r="E304" s="61">
        <v>0.04</v>
      </c>
      <c r="F304" s="61">
        <v>-0.04</v>
      </c>
      <c r="G304" s="61">
        <v>0</v>
      </c>
      <c r="H304" s="61">
        <v>0.02</v>
      </c>
      <c r="I304" s="59"/>
      <c r="J304" s="59"/>
      <c r="K304" s="59"/>
      <c r="L304" s="59"/>
      <c r="M304" s="59"/>
      <c r="N304" s="59"/>
      <c r="O304" s="59"/>
      <c r="P304" s="59"/>
      <c r="Q304" s="59"/>
      <c r="R304" s="59"/>
      <c r="S304" s="59"/>
      <c r="T304" s="59"/>
      <c r="U304" s="59"/>
      <c r="V304" s="59"/>
      <c r="W304" s="59"/>
      <c r="X304" s="59"/>
    </row>
    <row r="305" spans="1:24" ht="20" customHeight="1">
      <c r="A305" s="58" t="s">
        <v>78</v>
      </c>
      <c r="B305" s="45"/>
      <c r="C305" s="61">
        <v>0</v>
      </c>
      <c r="D305" s="61">
        <v>0.1</v>
      </c>
      <c r="E305" s="61">
        <v>0.08</v>
      </c>
      <c r="F305" s="61">
        <v>-7.0000000000000007E-2</v>
      </c>
      <c r="G305" s="61">
        <v>-0.03</v>
      </c>
      <c r="H305" s="61">
        <v>0.02</v>
      </c>
      <c r="I305" s="59"/>
      <c r="J305" s="59"/>
      <c r="K305" s="59"/>
      <c r="L305" s="59"/>
      <c r="M305" s="59"/>
      <c r="N305" s="59"/>
      <c r="O305" s="59"/>
      <c r="P305" s="59"/>
      <c r="Q305" s="59"/>
      <c r="R305" s="59"/>
      <c r="S305" s="59"/>
      <c r="T305" s="59"/>
      <c r="U305" s="59"/>
      <c r="V305" s="59"/>
      <c r="W305" s="59"/>
      <c r="X305" s="59"/>
    </row>
    <row r="306" spans="1:24" ht="20" customHeight="1">
      <c r="A306" s="58" t="s">
        <v>133</v>
      </c>
      <c r="B306" s="45"/>
      <c r="C306" s="61">
        <v>0.06</v>
      </c>
      <c r="D306" s="61">
        <v>0</v>
      </c>
      <c r="E306" s="61">
        <v>0.04</v>
      </c>
      <c r="F306" s="61">
        <v>0.19</v>
      </c>
      <c r="G306" s="61">
        <v>0.16</v>
      </c>
      <c r="H306" s="61">
        <v>0.06</v>
      </c>
      <c r="I306" s="59"/>
      <c r="J306" s="59"/>
      <c r="K306" s="59"/>
      <c r="L306" s="59"/>
      <c r="M306" s="59"/>
      <c r="N306" s="59"/>
      <c r="O306" s="59"/>
      <c r="P306" s="59"/>
      <c r="Q306" s="59"/>
      <c r="R306" s="59"/>
      <c r="S306" s="59"/>
      <c r="T306" s="59"/>
      <c r="U306" s="59"/>
      <c r="V306" s="59"/>
      <c r="W306" s="59"/>
      <c r="X306" s="59"/>
    </row>
    <row r="307" spans="1:24" ht="22" customHeight="1">
      <c r="A307" s="56" t="s">
        <v>101</v>
      </c>
      <c r="B307" s="45"/>
      <c r="C307" s="60">
        <v>613</v>
      </c>
      <c r="D307" s="60">
        <v>730</v>
      </c>
      <c r="E307" s="60">
        <v>752</v>
      </c>
      <c r="F307" s="60">
        <v>668</v>
      </c>
      <c r="G307" s="60">
        <v>551</v>
      </c>
      <c r="H307" s="60">
        <v>568</v>
      </c>
      <c r="I307" s="50"/>
      <c r="J307" s="50"/>
      <c r="K307" s="50"/>
      <c r="L307" s="50"/>
      <c r="M307" s="50"/>
      <c r="N307" s="50"/>
      <c r="O307" s="50"/>
      <c r="P307" s="50"/>
      <c r="Q307" s="50"/>
      <c r="R307" s="50"/>
      <c r="S307" s="50"/>
      <c r="T307" s="50"/>
      <c r="U307" s="50"/>
      <c r="V307" s="50"/>
      <c r="W307" s="50"/>
      <c r="X307" s="50"/>
    </row>
    <row r="308" spans="1:24" ht="20" customHeight="1">
      <c r="A308" s="58" t="s">
        <v>102</v>
      </c>
      <c r="B308" s="45"/>
      <c r="C308" s="51">
        <f>IF('Operating Metrics'!C297=0,"",'Operating Metrics'!C307/'Operating Metrics'!C297)</f>
        <v>5.2268076398362895E-2</v>
      </c>
      <c r="D308" s="51">
        <f>IF('Operating Metrics'!D297=0,"",'Operating Metrics'!D307/'Operating Metrics'!D297)</f>
        <v>6.1231337023989266E-2</v>
      </c>
      <c r="E308" s="51">
        <f>IF('Operating Metrics'!E297=0,"",'Operating Metrics'!E307/'Operating Metrics'!E297)</f>
        <v>5.7677557907654546E-2</v>
      </c>
      <c r="F308" s="51">
        <f>IF('Operating Metrics'!F297=0,"",'Operating Metrics'!F307/'Operating Metrics'!F297)</f>
        <v>5.2499214083621501E-2</v>
      </c>
      <c r="G308" s="51">
        <f>IF('Operating Metrics'!G297=0,"",'Operating Metrics'!G307/'Operating Metrics'!G297)</f>
        <v>4.1635182106694875E-2</v>
      </c>
      <c r="H308" s="51">
        <f>IF('Operating Metrics'!H297=0,"",'Operating Metrics'!H307/'Operating Metrics'!H297)</f>
        <v>4.0939887559463747E-2</v>
      </c>
      <c r="I308" s="59"/>
      <c r="J308" s="59"/>
      <c r="K308" s="59"/>
      <c r="L308" s="59"/>
      <c r="M308" s="59"/>
      <c r="N308" s="59"/>
      <c r="O308" s="59"/>
      <c r="P308" s="59"/>
      <c r="Q308" s="59"/>
      <c r="R308" s="59"/>
      <c r="S308" s="59"/>
      <c r="T308" s="59"/>
      <c r="U308" s="59"/>
      <c r="V308" s="59"/>
      <c r="W308" s="59"/>
      <c r="X308" s="59"/>
    </row>
    <row r="309" spans="1:24" ht="22" customHeight="1">
      <c r="A309" s="56" t="s">
        <v>138</v>
      </c>
      <c r="B309" s="45"/>
      <c r="C309" s="60">
        <v>341</v>
      </c>
      <c r="D309" s="60">
        <v>350</v>
      </c>
      <c r="E309" s="60">
        <v>364</v>
      </c>
      <c r="F309" s="60">
        <v>357</v>
      </c>
      <c r="G309" s="60">
        <v>347</v>
      </c>
      <c r="H309" s="60">
        <v>377</v>
      </c>
      <c r="I309" s="50"/>
      <c r="J309" s="50"/>
      <c r="K309" s="50"/>
      <c r="L309" s="50"/>
      <c r="M309" s="50"/>
      <c r="N309" s="50"/>
      <c r="O309" s="50"/>
      <c r="P309" s="50"/>
      <c r="Q309" s="50"/>
      <c r="R309" s="50"/>
      <c r="S309" s="50"/>
      <c r="T309" s="50"/>
      <c r="U309" s="50"/>
      <c r="V309" s="50"/>
      <c r="W309" s="50"/>
      <c r="X309" s="50"/>
    </row>
    <row r="310" spans="1:24" ht="22" customHeight="1">
      <c r="A310" s="56" t="s">
        <v>139</v>
      </c>
      <c r="B310" s="45"/>
      <c r="C310" s="60">
        <v>37</v>
      </c>
      <c r="D310" s="60">
        <v>40</v>
      </c>
      <c r="E310" s="60">
        <v>37</v>
      </c>
      <c r="F310" s="60">
        <v>30</v>
      </c>
      <c r="G310" s="60">
        <v>29</v>
      </c>
      <c r="H310" s="60">
        <v>29</v>
      </c>
      <c r="I310" s="50"/>
      <c r="J310" s="50"/>
      <c r="K310" s="50"/>
      <c r="L310" s="50"/>
      <c r="M310" s="50"/>
      <c r="N310" s="50"/>
      <c r="O310" s="50"/>
      <c r="P310" s="50"/>
      <c r="Q310" s="50"/>
      <c r="R310" s="50"/>
      <c r="S310" s="50"/>
      <c r="T310" s="50"/>
      <c r="U310" s="50"/>
      <c r="V310" s="50"/>
      <c r="W310" s="50"/>
      <c r="X310" s="50"/>
    </row>
    <row r="311" spans="1:24" ht="22" customHeight="1">
      <c r="A311" s="56" t="s">
        <v>136</v>
      </c>
      <c r="B311" s="45"/>
      <c r="C311" s="50">
        <f>'Operating Metrics'!C309+'Operating Metrics'!C310</f>
        <v>378</v>
      </c>
      <c r="D311" s="50">
        <f>'Operating Metrics'!D309+'Operating Metrics'!D310</f>
        <v>390</v>
      </c>
      <c r="E311" s="50">
        <f>'Operating Metrics'!E309+'Operating Metrics'!E310</f>
        <v>401</v>
      </c>
      <c r="F311" s="50">
        <f>'Operating Metrics'!F309+'Operating Metrics'!F310</f>
        <v>387</v>
      </c>
      <c r="G311" s="50">
        <f>'Operating Metrics'!G309+'Operating Metrics'!G310</f>
        <v>376</v>
      </c>
      <c r="H311" s="50">
        <f>'Operating Metrics'!H309+'Operating Metrics'!H310</f>
        <v>406</v>
      </c>
      <c r="I311" s="50"/>
      <c r="J311" s="50"/>
      <c r="K311" s="50"/>
      <c r="L311" s="50"/>
      <c r="M311" s="50"/>
      <c r="N311" s="50"/>
      <c r="O311" s="50"/>
      <c r="P311" s="50"/>
      <c r="Q311" s="50"/>
      <c r="R311" s="50"/>
      <c r="S311" s="50"/>
      <c r="T311" s="50"/>
      <c r="U311" s="50"/>
      <c r="V311" s="50"/>
      <c r="W311" s="50"/>
      <c r="X311" s="50"/>
    </row>
    <row r="312" spans="1:24" ht="22" customHeight="1">
      <c r="A312" s="56" t="s">
        <v>103</v>
      </c>
      <c r="B312" s="45"/>
      <c r="C312" s="54">
        <f>IF('Operating Metrics'!C311=0,"",'Operating Metrics'!C307/'Operating Metrics'!C311)</f>
        <v>1.6216931216931216</v>
      </c>
      <c r="D312" s="54">
        <f>IF('Operating Metrics'!D311=0,"",'Operating Metrics'!D307/'Operating Metrics'!D311)</f>
        <v>1.8717948717948718</v>
      </c>
      <c r="E312" s="54">
        <f>IF('Operating Metrics'!E311=0,"",'Operating Metrics'!E307/'Operating Metrics'!E311)</f>
        <v>1.8753117206982544</v>
      </c>
      <c r="F312" s="54">
        <f>IF('Operating Metrics'!F311=0,"",'Operating Metrics'!F307/'Operating Metrics'!F311)</f>
        <v>1.7260981912144704</v>
      </c>
      <c r="G312" s="54">
        <f>IF('Operating Metrics'!G311=0,"",'Operating Metrics'!G307/'Operating Metrics'!G311)</f>
        <v>1.4654255319148937</v>
      </c>
      <c r="H312" s="54">
        <f>IF('Operating Metrics'!H311=0,"",'Operating Metrics'!H307/'Operating Metrics'!H311)</f>
        <v>1.3990147783251232</v>
      </c>
      <c r="I312" s="54"/>
      <c r="J312" s="54"/>
      <c r="K312" s="54"/>
      <c r="L312" s="54"/>
      <c r="M312" s="54"/>
      <c r="N312" s="54"/>
      <c r="O312" s="54"/>
      <c r="P312" s="54"/>
      <c r="Q312" s="54"/>
      <c r="R312" s="54"/>
      <c r="S312" s="54"/>
      <c r="T312" s="54"/>
      <c r="U312" s="54"/>
      <c r="V312" s="54"/>
      <c r="W312" s="54"/>
      <c r="X312" s="54"/>
    </row>
    <row r="313" spans="1:24" ht="24" customHeight="1">
      <c r="A313" s="172" t="s">
        <v>117</v>
      </c>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row>
    <row r="314" spans="1:24" ht="22" customHeight="1">
      <c r="A314" s="56" t="s">
        <v>63</v>
      </c>
      <c r="B314" s="45"/>
      <c r="C314" s="60">
        <v>3651</v>
      </c>
      <c r="D314" s="60">
        <v>4573</v>
      </c>
      <c r="E314" s="60">
        <v>6078</v>
      </c>
      <c r="F314" s="60">
        <v>6438</v>
      </c>
      <c r="G314" s="60">
        <v>6139</v>
      </c>
      <c r="H314" s="60">
        <v>6217</v>
      </c>
      <c r="I314" s="50"/>
      <c r="J314" s="50"/>
      <c r="K314" s="50"/>
      <c r="L314" s="50"/>
      <c r="M314" s="50"/>
      <c r="N314" s="50"/>
      <c r="O314" s="50"/>
      <c r="P314" s="50"/>
      <c r="Q314" s="50"/>
      <c r="R314" s="50"/>
      <c r="S314" s="50"/>
      <c r="T314" s="50"/>
      <c r="U314" s="50"/>
      <c r="V314" s="50"/>
      <c r="W314" s="50"/>
      <c r="X314" s="50"/>
    </row>
    <row r="315" spans="1:24" ht="20" customHeight="1">
      <c r="A315" s="58" t="s">
        <v>83</v>
      </c>
      <c r="B315" s="45"/>
      <c r="C315" s="59"/>
      <c r="D315" s="51">
        <f>IF(OR('Operating Metrics'!C314&lt;=0,'Operating Metrics'!D314&lt;0),"",'Operating Metrics'!D314/'Operating Metrics'!C314-1)</f>
        <v>0.2525335524513832</v>
      </c>
      <c r="E315" s="51">
        <f>IF(OR('Operating Metrics'!D314&lt;=0,'Operating Metrics'!E314&lt;0),"",'Operating Metrics'!E314/'Operating Metrics'!D314-1)</f>
        <v>0.32910561994314458</v>
      </c>
      <c r="F315" s="51">
        <f>IF(OR('Operating Metrics'!E314&lt;=0,'Operating Metrics'!F314&lt;0),"",'Operating Metrics'!F314/'Operating Metrics'!E314-1)</f>
        <v>5.9230009871668265E-2</v>
      </c>
      <c r="G315" s="51">
        <f>IF(OR('Operating Metrics'!F314&lt;=0,'Operating Metrics'!G314&lt;0),"",'Operating Metrics'!G314/'Operating Metrics'!F314-1)</f>
        <v>-4.6442994718856823E-2</v>
      </c>
      <c r="H315" s="51">
        <f>IF(OR('Operating Metrics'!G314&lt;=0,'Operating Metrics'!H314&lt;0),"",'Operating Metrics'!H314/'Operating Metrics'!G314-1)</f>
        <v>1.2705652386382216E-2</v>
      </c>
      <c r="I315" s="59"/>
      <c r="J315" s="59"/>
      <c r="K315" s="59"/>
      <c r="L315" s="59"/>
      <c r="M315" s="59"/>
      <c r="N315" s="59"/>
      <c r="O315" s="59"/>
      <c r="P315" s="59"/>
      <c r="Q315" s="59"/>
      <c r="R315" s="59"/>
      <c r="S315" s="59"/>
      <c r="T315" s="59"/>
      <c r="U315" s="59"/>
      <c r="V315" s="59"/>
      <c r="W315" s="59"/>
      <c r="X315" s="59"/>
    </row>
    <row r="316" spans="1:24" ht="22" customHeight="1">
      <c r="A316" s="56" t="s">
        <v>87</v>
      </c>
      <c r="B316" s="45"/>
      <c r="C316" s="60">
        <v>671</v>
      </c>
      <c r="D316" s="60">
        <v>600</v>
      </c>
      <c r="E316" s="60">
        <v>858</v>
      </c>
      <c r="F316" s="60">
        <v>666</v>
      </c>
      <c r="G316" s="60">
        <v>807</v>
      </c>
      <c r="H316" s="60">
        <v>798</v>
      </c>
      <c r="I316" s="50"/>
      <c r="J316" s="50"/>
      <c r="K316" s="50"/>
      <c r="L316" s="50"/>
      <c r="M316" s="50"/>
      <c r="N316" s="50"/>
      <c r="O316" s="50"/>
      <c r="P316" s="50"/>
      <c r="Q316" s="50"/>
      <c r="R316" s="50"/>
      <c r="S316" s="50"/>
      <c r="T316" s="50"/>
      <c r="U316" s="50"/>
      <c r="V316" s="50"/>
      <c r="W316" s="50"/>
      <c r="X316" s="50"/>
    </row>
    <row r="317" spans="1:24" ht="22" customHeight="1">
      <c r="A317" s="56" t="s">
        <v>84</v>
      </c>
      <c r="B317" s="45"/>
      <c r="C317" s="60">
        <v>716</v>
      </c>
      <c r="D317" s="60">
        <v>787</v>
      </c>
      <c r="E317" s="60">
        <v>883</v>
      </c>
      <c r="F317" s="60">
        <v>871</v>
      </c>
      <c r="G317" s="60">
        <v>817</v>
      </c>
      <c r="H317" s="60">
        <v>817</v>
      </c>
      <c r="I317" s="50"/>
      <c r="J317" s="50"/>
      <c r="K317" s="50"/>
      <c r="L317" s="50"/>
      <c r="M317" s="50"/>
      <c r="N317" s="50"/>
      <c r="O317" s="50"/>
      <c r="P317" s="50"/>
      <c r="Q317" s="50"/>
      <c r="R317" s="50"/>
      <c r="S317" s="50"/>
      <c r="T317" s="50"/>
      <c r="U317" s="50"/>
      <c r="V317" s="50"/>
      <c r="W317" s="50"/>
      <c r="X317" s="50"/>
    </row>
    <row r="318" spans="1:24" ht="20" customHeight="1">
      <c r="A318" s="58" t="s">
        <v>85</v>
      </c>
      <c r="B318" s="45"/>
      <c r="C318" s="59"/>
      <c r="D318" s="51">
        <f>IF(OR('Operating Metrics'!C317&lt;=0,'Operating Metrics'!D317&lt;0),"",'Operating Metrics'!D317/'Operating Metrics'!C317-1)</f>
        <v>9.916201117318435E-2</v>
      </c>
      <c r="E318" s="51">
        <f>IF(OR('Operating Metrics'!D317&lt;=0,'Operating Metrics'!E317&lt;0),"",'Operating Metrics'!E317/'Operating Metrics'!D317-1)</f>
        <v>0.121982210927573</v>
      </c>
      <c r="F318" s="51">
        <f>IF(OR('Operating Metrics'!E317&lt;=0,'Operating Metrics'!F317&lt;0),"",'Operating Metrics'!F317/'Operating Metrics'!E317-1)</f>
        <v>-1.3590033975084959E-2</v>
      </c>
      <c r="G318" s="51">
        <f>IF(OR('Operating Metrics'!F317&lt;=0,'Operating Metrics'!G317&lt;0),"",'Operating Metrics'!G317/'Operating Metrics'!F317-1)</f>
        <v>-6.1997703788748582E-2</v>
      </c>
      <c r="H318" s="51">
        <f>IF(OR('Operating Metrics'!G317&lt;=0,'Operating Metrics'!H317&lt;0),"",'Operating Metrics'!H317/'Operating Metrics'!G317-1)</f>
        <v>0</v>
      </c>
      <c r="I318" s="59"/>
      <c r="J318" s="59"/>
      <c r="K318" s="59"/>
      <c r="L318" s="59"/>
      <c r="M318" s="59"/>
      <c r="N318" s="59"/>
      <c r="O318" s="59"/>
      <c r="P318" s="59"/>
      <c r="Q318" s="59"/>
      <c r="R318" s="59"/>
      <c r="S318" s="59"/>
      <c r="T318" s="59"/>
      <c r="U318" s="59"/>
      <c r="V318" s="59"/>
      <c r="W318" s="59"/>
      <c r="X318" s="59"/>
    </row>
    <row r="319" spans="1:24" ht="20" customHeight="1">
      <c r="A319" s="58" t="s">
        <v>86</v>
      </c>
      <c r="B319" s="45"/>
      <c r="C319" s="51">
        <f>IF('Operating Metrics'!C314=0,"",'Operating Metrics'!C317/'Operating Metrics'!C314)</f>
        <v>0.19611065461517393</v>
      </c>
      <c r="D319" s="51">
        <f>IF('Operating Metrics'!D314=0,"",'Operating Metrics'!D317/'Operating Metrics'!D314)</f>
        <v>0.17209709162475398</v>
      </c>
      <c r="E319" s="51">
        <f>IF('Operating Metrics'!E314=0,"",'Operating Metrics'!E317/'Operating Metrics'!E314)</f>
        <v>0.14527805199078644</v>
      </c>
      <c r="F319" s="51">
        <f>IF('Operating Metrics'!F314=0,"",'Operating Metrics'!F317/'Operating Metrics'!F314)</f>
        <v>0.13529046287666976</v>
      </c>
      <c r="G319" s="51">
        <f>IF('Operating Metrics'!G314=0,"",'Operating Metrics'!G317/'Operating Metrics'!G314)</f>
        <v>0.13308356409838737</v>
      </c>
      <c r="H319" s="51">
        <f>IF('Operating Metrics'!H314=0,"",'Operating Metrics'!H317/'Operating Metrics'!H314)</f>
        <v>0.13141386520829981</v>
      </c>
      <c r="I319" s="59"/>
      <c r="J319" s="59"/>
      <c r="K319" s="59"/>
      <c r="L319" s="59"/>
      <c r="M319" s="59"/>
      <c r="N319" s="59"/>
      <c r="O319" s="59"/>
      <c r="P319" s="59"/>
      <c r="Q319" s="59"/>
      <c r="R319" s="59"/>
      <c r="S319" s="59"/>
      <c r="T319" s="59"/>
      <c r="U319" s="59"/>
      <c r="V319" s="59"/>
      <c r="W319" s="59"/>
      <c r="X319" s="59"/>
    </row>
    <row r="320" spans="1:24" ht="20" customHeight="1">
      <c r="A320" s="58" t="s">
        <v>66</v>
      </c>
      <c r="B320" s="45"/>
      <c r="C320" s="61">
        <v>0.06</v>
      </c>
      <c r="D320" s="61">
        <v>0.01</v>
      </c>
      <c r="E320" s="61">
        <v>0.12</v>
      </c>
      <c r="F320" s="61">
        <v>0.2</v>
      </c>
      <c r="G320" s="61">
        <v>0.17</v>
      </c>
      <c r="H320" s="61">
        <v>0.1</v>
      </c>
      <c r="I320" s="59"/>
      <c r="J320" s="59"/>
      <c r="K320" s="59"/>
      <c r="L320" s="59"/>
      <c r="M320" s="59"/>
      <c r="N320" s="59"/>
      <c r="O320" s="59"/>
      <c r="P320" s="59"/>
      <c r="Q320" s="59"/>
      <c r="R320" s="59"/>
      <c r="S320" s="59"/>
      <c r="T320" s="59"/>
      <c r="U320" s="59"/>
      <c r="V320" s="59"/>
      <c r="W320" s="59"/>
      <c r="X320" s="59"/>
    </row>
    <row r="321" spans="1:24" ht="20" customHeight="1">
      <c r="A321" s="58" t="s">
        <v>77</v>
      </c>
      <c r="B321" s="45"/>
      <c r="C321" s="61">
        <v>7.0000000000000007E-2</v>
      </c>
      <c r="D321" s="61">
        <v>0.04</v>
      </c>
      <c r="E321" s="61">
        <v>0.03</v>
      </c>
      <c r="F321" s="61">
        <v>0.02</v>
      </c>
      <c r="G321" s="61">
        <v>-3.5000000000000003E-2</v>
      </c>
      <c r="H321" s="61">
        <v>0.02</v>
      </c>
      <c r="I321" s="59"/>
      <c r="J321" s="59"/>
      <c r="K321" s="59"/>
      <c r="L321" s="59"/>
      <c r="M321" s="59"/>
      <c r="N321" s="59"/>
      <c r="O321" s="59"/>
      <c r="P321" s="59"/>
      <c r="Q321" s="59"/>
      <c r="R321" s="59"/>
      <c r="S321" s="59"/>
      <c r="T321" s="59"/>
      <c r="U321" s="59"/>
      <c r="V321" s="59"/>
      <c r="W321" s="59"/>
      <c r="X321" s="59"/>
    </row>
    <row r="322" spans="1:24" ht="20" customHeight="1">
      <c r="A322" s="58" t="s">
        <v>78</v>
      </c>
      <c r="B322" s="45"/>
      <c r="C322" s="61">
        <v>0.04</v>
      </c>
      <c r="D322" s="61">
        <v>-7.0000000000000007E-2</v>
      </c>
      <c r="E322" s="61">
        <v>0.17</v>
      </c>
      <c r="F322" s="61">
        <v>0.14000000000000001</v>
      </c>
      <c r="G322" s="61">
        <v>0.02</v>
      </c>
      <c r="H322" s="61">
        <v>0.01</v>
      </c>
      <c r="I322" s="59"/>
      <c r="J322" s="59"/>
      <c r="K322" s="59"/>
      <c r="L322" s="59"/>
      <c r="M322" s="59"/>
      <c r="N322" s="59"/>
      <c r="O322" s="59"/>
      <c r="P322" s="59"/>
      <c r="Q322" s="59"/>
      <c r="R322" s="59"/>
      <c r="S322" s="59"/>
      <c r="T322" s="59"/>
      <c r="U322" s="59"/>
      <c r="V322" s="59"/>
      <c r="W322" s="59"/>
      <c r="X322" s="59"/>
    </row>
    <row r="323" spans="1:24" ht="20" customHeight="1">
      <c r="A323" s="58" t="s">
        <v>133</v>
      </c>
      <c r="B323" s="45"/>
      <c r="C323" s="61">
        <v>2.5000000000000001E-2</v>
      </c>
      <c r="D323" s="61">
        <v>0</v>
      </c>
      <c r="E323" s="61">
        <v>0.04</v>
      </c>
      <c r="F323" s="61">
        <v>0.16</v>
      </c>
      <c r="G323" s="61">
        <v>0.2</v>
      </c>
      <c r="H323" s="61">
        <v>0.09</v>
      </c>
      <c r="I323" s="59"/>
      <c r="J323" s="59"/>
      <c r="K323" s="59"/>
      <c r="L323" s="59"/>
      <c r="M323" s="59"/>
      <c r="N323" s="59"/>
      <c r="O323" s="59"/>
      <c r="P323" s="59"/>
      <c r="Q323" s="59"/>
      <c r="R323" s="59"/>
      <c r="S323" s="59"/>
      <c r="T323" s="59"/>
      <c r="U323" s="59"/>
      <c r="V323" s="59"/>
      <c r="W323" s="59"/>
      <c r="X323" s="59"/>
    </row>
    <row r="324" spans="1:24" ht="22" customHeight="1">
      <c r="A324" s="56" t="s">
        <v>101</v>
      </c>
      <c r="B324" s="45"/>
      <c r="C324" s="60">
        <v>267</v>
      </c>
      <c r="D324" s="60">
        <v>252</v>
      </c>
      <c r="E324" s="60">
        <v>325</v>
      </c>
      <c r="F324" s="60">
        <v>307</v>
      </c>
      <c r="G324" s="60">
        <v>391</v>
      </c>
      <c r="H324" s="60">
        <v>450</v>
      </c>
      <c r="I324" s="50"/>
      <c r="J324" s="50"/>
      <c r="K324" s="50"/>
      <c r="L324" s="50"/>
      <c r="M324" s="50"/>
      <c r="N324" s="50"/>
      <c r="O324" s="50"/>
      <c r="P324" s="50"/>
      <c r="Q324" s="50"/>
      <c r="R324" s="50"/>
      <c r="S324" s="50"/>
      <c r="T324" s="50"/>
      <c r="U324" s="50"/>
      <c r="V324" s="50"/>
      <c r="W324" s="50"/>
      <c r="X324" s="50"/>
    </row>
    <row r="325" spans="1:24" ht="20" customHeight="1">
      <c r="A325" s="58" t="s">
        <v>102</v>
      </c>
      <c r="B325" s="45"/>
      <c r="C325" s="51">
        <f>IF('Operating Metrics'!C314=0,"",'Operating Metrics'!C324/'Operating Metrics'!C314)</f>
        <v>7.3130649137222684E-2</v>
      </c>
      <c r="D325" s="51">
        <f>IF('Operating Metrics'!D314=0,"",'Operating Metrics'!D324/'Operating Metrics'!D314)</f>
        <v>5.5106057292805599E-2</v>
      </c>
      <c r="E325" s="51">
        <f>IF('Operating Metrics'!E314=0,"",'Operating Metrics'!E324/'Operating Metrics'!E314)</f>
        <v>5.3471536689700561E-2</v>
      </c>
      <c r="F325" s="51">
        <f>IF('Operating Metrics'!F314=0,"",'Operating Metrics'!F324/'Operating Metrics'!F314)</f>
        <v>4.768561665113389E-2</v>
      </c>
      <c r="G325" s="51">
        <f>IF('Operating Metrics'!G314=0,"",'Operating Metrics'!G324/'Operating Metrics'!G314)</f>
        <v>6.3691154911223333E-2</v>
      </c>
      <c r="H325" s="51">
        <f>IF('Operating Metrics'!H314=0,"",'Operating Metrics'!H324/'Operating Metrics'!H314)</f>
        <v>7.2382177899308342E-2</v>
      </c>
      <c r="I325" s="59"/>
      <c r="J325" s="59"/>
      <c r="K325" s="59"/>
      <c r="L325" s="59"/>
      <c r="M325" s="59"/>
      <c r="N325" s="59"/>
      <c r="O325" s="59"/>
      <c r="P325" s="59"/>
      <c r="Q325" s="59"/>
      <c r="R325" s="59"/>
      <c r="S325" s="59"/>
      <c r="T325" s="59"/>
      <c r="U325" s="59"/>
      <c r="V325" s="59"/>
      <c r="W325" s="59"/>
      <c r="X325" s="59"/>
    </row>
    <row r="326" spans="1:24" ht="22" customHeight="1">
      <c r="A326" s="56" t="s">
        <v>138</v>
      </c>
      <c r="B326" s="45"/>
      <c r="C326" s="60">
        <v>116</v>
      </c>
      <c r="D326" s="60">
        <v>149</v>
      </c>
      <c r="E326" s="60">
        <v>181</v>
      </c>
      <c r="F326" s="60">
        <v>179</v>
      </c>
      <c r="G326" s="60">
        <v>167</v>
      </c>
      <c r="H326" s="60">
        <v>172</v>
      </c>
      <c r="I326" s="50"/>
      <c r="J326" s="50"/>
      <c r="K326" s="50"/>
      <c r="L326" s="50"/>
      <c r="M326" s="50"/>
      <c r="N326" s="50"/>
      <c r="O326" s="50"/>
      <c r="P326" s="50"/>
      <c r="Q326" s="50"/>
      <c r="R326" s="50"/>
      <c r="S326" s="50"/>
      <c r="T326" s="50"/>
      <c r="U326" s="50"/>
      <c r="V326" s="50"/>
      <c r="W326" s="50"/>
      <c r="X326" s="50"/>
    </row>
    <row r="327" spans="1:24" ht="22" customHeight="1">
      <c r="A327" s="56" t="s">
        <v>139</v>
      </c>
      <c r="B327" s="45"/>
      <c r="C327" s="60">
        <v>2</v>
      </c>
      <c r="D327" s="60">
        <v>3</v>
      </c>
      <c r="E327" s="60">
        <v>5</v>
      </c>
      <c r="F327" s="60">
        <v>4</v>
      </c>
      <c r="G327" s="60">
        <v>3</v>
      </c>
      <c r="H327" s="60">
        <v>3</v>
      </c>
      <c r="I327" s="50"/>
      <c r="J327" s="50"/>
      <c r="K327" s="50"/>
      <c r="L327" s="50"/>
      <c r="M327" s="50"/>
      <c r="N327" s="50"/>
      <c r="O327" s="50"/>
      <c r="P327" s="50"/>
      <c r="Q327" s="50"/>
      <c r="R327" s="50"/>
      <c r="S327" s="50"/>
      <c r="T327" s="50"/>
      <c r="U327" s="50"/>
      <c r="V327" s="50"/>
      <c r="W327" s="50"/>
      <c r="X327" s="50"/>
    </row>
    <row r="328" spans="1:24" ht="22" customHeight="1">
      <c r="A328" s="56" t="s">
        <v>136</v>
      </c>
      <c r="B328" s="45"/>
      <c r="C328" s="50">
        <f>'Operating Metrics'!C326+'Operating Metrics'!C327</f>
        <v>118</v>
      </c>
      <c r="D328" s="50">
        <f>'Operating Metrics'!D326+'Operating Metrics'!D327</f>
        <v>152</v>
      </c>
      <c r="E328" s="50">
        <f>'Operating Metrics'!E326+'Operating Metrics'!E327</f>
        <v>186</v>
      </c>
      <c r="F328" s="50">
        <f>'Operating Metrics'!F326+'Operating Metrics'!F327</f>
        <v>183</v>
      </c>
      <c r="G328" s="50">
        <f>'Operating Metrics'!G326+'Operating Metrics'!G327</f>
        <v>170</v>
      </c>
      <c r="H328" s="50">
        <f>'Operating Metrics'!H326+'Operating Metrics'!H327</f>
        <v>175</v>
      </c>
      <c r="I328" s="50"/>
      <c r="J328" s="50"/>
      <c r="K328" s="50"/>
      <c r="L328" s="50"/>
      <c r="M328" s="50"/>
      <c r="N328" s="50"/>
      <c r="O328" s="50"/>
      <c r="P328" s="50"/>
      <c r="Q328" s="50"/>
      <c r="R328" s="50"/>
      <c r="S328" s="50"/>
      <c r="T328" s="50"/>
      <c r="U328" s="50"/>
      <c r="V328" s="50"/>
      <c r="W328" s="50"/>
      <c r="X328" s="50"/>
    </row>
    <row r="329" spans="1:24" ht="22" customHeight="1">
      <c r="A329" s="56" t="s">
        <v>103</v>
      </c>
      <c r="B329" s="45"/>
      <c r="C329" s="54">
        <f>IF('Operating Metrics'!C328=0,"",'Operating Metrics'!C324/'Operating Metrics'!C328)</f>
        <v>2.2627118644067798</v>
      </c>
      <c r="D329" s="54">
        <f>IF('Operating Metrics'!D328=0,"",'Operating Metrics'!D324/'Operating Metrics'!D328)</f>
        <v>1.6578947368421053</v>
      </c>
      <c r="E329" s="54">
        <f>IF('Operating Metrics'!E328=0,"",'Operating Metrics'!E324/'Operating Metrics'!E328)</f>
        <v>1.7473118279569892</v>
      </c>
      <c r="F329" s="54">
        <f>IF('Operating Metrics'!F328=0,"",'Operating Metrics'!F324/'Operating Metrics'!F328)</f>
        <v>1.6775956284153006</v>
      </c>
      <c r="G329" s="54">
        <f>IF('Operating Metrics'!G328=0,"",'Operating Metrics'!G324/'Operating Metrics'!G328)</f>
        <v>2.2999999999999998</v>
      </c>
      <c r="H329" s="54">
        <f>IF('Operating Metrics'!H328=0,"",'Operating Metrics'!H324/'Operating Metrics'!H328)</f>
        <v>2.5714285714285716</v>
      </c>
      <c r="I329" s="54"/>
      <c r="J329" s="54"/>
      <c r="K329" s="54"/>
      <c r="L329" s="54"/>
      <c r="M329" s="54"/>
      <c r="N329" s="54"/>
      <c r="O329" s="54"/>
      <c r="P329" s="54"/>
      <c r="Q329" s="54"/>
      <c r="R329" s="54"/>
      <c r="S329" s="54"/>
      <c r="T329" s="54"/>
      <c r="U329" s="54"/>
      <c r="V329" s="54"/>
      <c r="W329" s="54"/>
      <c r="X329" s="54"/>
    </row>
    <row r="330" spans="1:24" ht="24" customHeight="1">
      <c r="A330" s="172" t="s">
        <v>118</v>
      </c>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row>
    <row r="331" spans="1:24" ht="22" customHeight="1">
      <c r="A331" s="56" t="s">
        <v>63</v>
      </c>
      <c r="B331" s="45"/>
      <c r="C331" s="60">
        <v>2919</v>
      </c>
      <c r="D331" s="60">
        <v>3445</v>
      </c>
      <c r="E331" s="60">
        <v>4615</v>
      </c>
      <c r="F331" s="60">
        <v>4787</v>
      </c>
      <c r="G331" s="60">
        <v>4803</v>
      </c>
      <c r="H331" s="60">
        <v>4845</v>
      </c>
      <c r="I331" s="50"/>
      <c r="J331" s="50"/>
      <c r="K331" s="50"/>
      <c r="L331" s="50"/>
      <c r="M331" s="50"/>
      <c r="N331" s="50"/>
      <c r="O331" s="50"/>
      <c r="P331" s="50"/>
      <c r="Q331" s="50"/>
      <c r="R331" s="50"/>
      <c r="S331" s="50"/>
      <c r="T331" s="50"/>
      <c r="U331" s="50"/>
      <c r="V331" s="50"/>
      <c r="W331" s="50"/>
      <c r="X331" s="50"/>
    </row>
    <row r="332" spans="1:24" ht="20" customHeight="1">
      <c r="A332" s="58" t="s">
        <v>83</v>
      </c>
      <c r="B332" s="45"/>
      <c r="C332" s="59"/>
      <c r="D332" s="51">
        <f>IF(OR('Operating Metrics'!C331&lt;=0,'Operating Metrics'!D331&lt;0),"",'Operating Metrics'!D331/'Operating Metrics'!C331-1)</f>
        <v>0.18019869818430978</v>
      </c>
      <c r="E332" s="51">
        <f>IF(OR('Operating Metrics'!D331&lt;=0,'Operating Metrics'!E331&lt;0),"",'Operating Metrics'!E331/'Operating Metrics'!D331-1)</f>
        <v>0.33962264150943389</v>
      </c>
      <c r="F332" s="51">
        <f>IF(OR('Operating Metrics'!E331&lt;=0,'Operating Metrics'!F331&lt;0),"",'Operating Metrics'!F331/'Operating Metrics'!E331-1)</f>
        <v>3.726977248104002E-2</v>
      </c>
      <c r="G332" s="51">
        <f>IF(OR('Operating Metrics'!F331&lt;=0,'Operating Metrics'!G331&lt;0),"",'Operating Metrics'!G331/'Operating Metrics'!F331-1)</f>
        <v>3.3423856277416952E-3</v>
      </c>
      <c r="H332" s="51">
        <f>IF(OR('Operating Metrics'!G331&lt;=0,'Operating Metrics'!H331&lt;0),"",'Operating Metrics'!H331/'Operating Metrics'!G331-1)</f>
        <v>8.744534665833914E-3</v>
      </c>
      <c r="I332" s="59"/>
      <c r="J332" s="59"/>
      <c r="K332" s="59"/>
      <c r="L332" s="59"/>
      <c r="M332" s="59"/>
      <c r="N332" s="59"/>
      <c r="O332" s="59"/>
      <c r="P332" s="59"/>
      <c r="Q332" s="59"/>
      <c r="R332" s="59"/>
      <c r="S332" s="59"/>
      <c r="T332" s="59"/>
      <c r="U332" s="59"/>
      <c r="V332" s="59"/>
      <c r="W332" s="59"/>
      <c r="X332" s="59"/>
    </row>
    <row r="333" spans="1:24" ht="22" customHeight="1">
      <c r="A333" s="56" t="s">
        <v>87</v>
      </c>
      <c r="B333" s="45"/>
      <c r="C333" s="60">
        <v>477</v>
      </c>
      <c r="D333" s="60">
        <v>590</v>
      </c>
      <c r="E333" s="60">
        <v>673</v>
      </c>
      <c r="F333" s="60">
        <v>537</v>
      </c>
      <c r="G333" s="60">
        <v>713</v>
      </c>
      <c r="H333" s="60">
        <v>811</v>
      </c>
      <c r="I333" s="50"/>
      <c r="J333" s="50"/>
      <c r="K333" s="50"/>
      <c r="L333" s="50"/>
      <c r="M333" s="50"/>
      <c r="N333" s="50"/>
      <c r="O333" s="50"/>
      <c r="P333" s="50"/>
      <c r="Q333" s="50"/>
      <c r="R333" s="50"/>
      <c r="S333" s="50"/>
      <c r="T333" s="50"/>
      <c r="U333" s="50"/>
      <c r="V333" s="50"/>
      <c r="W333" s="50"/>
      <c r="X333" s="50"/>
    </row>
    <row r="334" spans="1:24" ht="22" customHeight="1">
      <c r="A334" s="56" t="s">
        <v>84</v>
      </c>
      <c r="B334" s="45"/>
      <c r="C334" s="60">
        <v>524</v>
      </c>
      <c r="D334" s="60">
        <v>602</v>
      </c>
      <c r="E334" s="60">
        <v>684</v>
      </c>
      <c r="F334" s="60">
        <v>730</v>
      </c>
      <c r="G334" s="60">
        <v>780</v>
      </c>
      <c r="H334" s="60">
        <v>825</v>
      </c>
      <c r="I334" s="50"/>
      <c r="J334" s="50"/>
      <c r="K334" s="50"/>
      <c r="L334" s="50"/>
      <c r="M334" s="50"/>
      <c r="N334" s="50"/>
      <c r="O334" s="50"/>
      <c r="P334" s="50"/>
      <c r="Q334" s="50"/>
      <c r="R334" s="50"/>
      <c r="S334" s="50"/>
      <c r="T334" s="50"/>
      <c r="U334" s="50"/>
      <c r="V334" s="50"/>
      <c r="W334" s="50"/>
      <c r="X334" s="50"/>
    </row>
    <row r="335" spans="1:24" ht="20" customHeight="1">
      <c r="A335" s="58" t="s">
        <v>85</v>
      </c>
      <c r="B335" s="45"/>
      <c r="C335" s="59"/>
      <c r="D335" s="51">
        <f>IF(OR('Operating Metrics'!C334&lt;=0,'Operating Metrics'!D334&lt;0),"",'Operating Metrics'!D334/'Operating Metrics'!C334-1)</f>
        <v>0.14885496183206115</v>
      </c>
      <c r="E335" s="51">
        <f>IF(OR('Operating Metrics'!D334&lt;=0,'Operating Metrics'!E334&lt;0),"",'Operating Metrics'!E334/'Operating Metrics'!D334-1)</f>
        <v>0.1362126245847175</v>
      </c>
      <c r="F335" s="51">
        <f>IF(OR('Operating Metrics'!E334&lt;=0,'Operating Metrics'!F334&lt;0),"",'Operating Metrics'!F334/'Operating Metrics'!E334-1)</f>
        <v>6.7251461988304007E-2</v>
      </c>
      <c r="G335" s="51">
        <f>IF(OR('Operating Metrics'!F334&lt;=0,'Operating Metrics'!G334&lt;0),"",'Operating Metrics'!G334/'Operating Metrics'!F334-1)</f>
        <v>6.8493150684931559E-2</v>
      </c>
      <c r="H335" s="51">
        <f>IF(OR('Operating Metrics'!G334&lt;=0,'Operating Metrics'!H334&lt;0),"",'Operating Metrics'!H334/'Operating Metrics'!G334-1)</f>
        <v>5.7692307692307709E-2</v>
      </c>
      <c r="I335" s="59"/>
      <c r="J335" s="59"/>
      <c r="K335" s="59"/>
      <c r="L335" s="59"/>
      <c r="M335" s="59"/>
      <c r="N335" s="59"/>
      <c r="O335" s="59"/>
      <c r="P335" s="59"/>
      <c r="Q335" s="59"/>
      <c r="R335" s="59"/>
      <c r="S335" s="59"/>
      <c r="T335" s="59"/>
      <c r="U335" s="59"/>
      <c r="V335" s="59"/>
      <c r="W335" s="59"/>
      <c r="X335" s="59"/>
    </row>
    <row r="336" spans="1:24" ht="20" customHeight="1">
      <c r="A336" s="58" t="s">
        <v>86</v>
      </c>
      <c r="B336" s="45"/>
      <c r="C336" s="51">
        <f>IF('Operating Metrics'!C331=0,"",'Operating Metrics'!C334/'Operating Metrics'!C331)</f>
        <v>0.17951353203151765</v>
      </c>
      <c r="D336" s="51">
        <f>IF('Operating Metrics'!D331=0,"",'Operating Metrics'!D334/'Operating Metrics'!D331)</f>
        <v>0.17474600870827287</v>
      </c>
      <c r="E336" s="51">
        <f>IF('Operating Metrics'!E331=0,"",'Operating Metrics'!E334/'Operating Metrics'!E331)</f>
        <v>0.14821235102925243</v>
      </c>
      <c r="F336" s="51">
        <f>IF('Operating Metrics'!F331=0,"",'Operating Metrics'!F334/'Operating Metrics'!F331)</f>
        <v>0.15249634426571965</v>
      </c>
      <c r="G336" s="51">
        <f>IF('Operating Metrics'!G331=0,"",'Operating Metrics'!G334/'Operating Metrics'!G331)</f>
        <v>0.16239850093691444</v>
      </c>
      <c r="H336" s="51">
        <f>IF('Operating Metrics'!H331=0,"",'Operating Metrics'!H334/'Operating Metrics'!H331)</f>
        <v>0.17027863777089783</v>
      </c>
      <c r="I336" s="59"/>
      <c r="J336" s="59"/>
      <c r="K336" s="59"/>
      <c r="L336" s="59"/>
      <c r="M336" s="59"/>
      <c r="N336" s="59"/>
      <c r="O336" s="59"/>
      <c r="P336" s="59"/>
      <c r="Q336" s="59"/>
      <c r="R336" s="59"/>
      <c r="S336" s="59"/>
      <c r="T336" s="59"/>
      <c r="U336" s="59"/>
      <c r="V336" s="59"/>
      <c r="W336" s="59"/>
      <c r="X336" s="59"/>
    </row>
    <row r="337" spans="1:24" ht="20" customHeight="1">
      <c r="A337" s="58" t="s">
        <v>66</v>
      </c>
      <c r="B337" s="45"/>
      <c r="C337" s="61">
        <v>0.09</v>
      </c>
      <c r="D337" s="61">
        <v>0.08</v>
      </c>
      <c r="E337" s="61">
        <v>0.13</v>
      </c>
      <c r="F337" s="61">
        <v>0.11</v>
      </c>
      <c r="G337" s="61">
        <v>0.04</v>
      </c>
      <c r="H337" s="61">
        <v>0.03</v>
      </c>
      <c r="I337" s="59"/>
      <c r="J337" s="59"/>
      <c r="K337" s="59"/>
      <c r="L337" s="59"/>
      <c r="M337" s="59"/>
      <c r="N337" s="59"/>
      <c r="O337" s="59"/>
      <c r="P337" s="59"/>
      <c r="Q337" s="59"/>
      <c r="R337" s="59"/>
      <c r="S337" s="59"/>
      <c r="T337" s="59"/>
      <c r="U337" s="59"/>
      <c r="V337" s="59"/>
      <c r="W337" s="59"/>
      <c r="X337" s="59"/>
    </row>
    <row r="338" spans="1:24" ht="20" customHeight="1">
      <c r="A338" s="58" t="s">
        <v>77</v>
      </c>
      <c r="B338" s="45"/>
      <c r="C338" s="61">
        <v>0.06</v>
      </c>
      <c r="D338" s="61">
        <v>7.0000000000000007E-2</v>
      </c>
      <c r="E338" s="61">
        <v>0.11</v>
      </c>
      <c r="F338" s="61">
        <v>0.03</v>
      </c>
      <c r="G338" s="61">
        <v>-0.02</v>
      </c>
      <c r="H338" s="61">
        <v>0.04</v>
      </c>
      <c r="I338" s="59"/>
      <c r="J338" s="59"/>
      <c r="K338" s="59"/>
      <c r="L338" s="59"/>
      <c r="M338" s="59"/>
      <c r="N338" s="59"/>
      <c r="O338" s="59"/>
      <c r="P338" s="59"/>
      <c r="Q338" s="59"/>
      <c r="R338" s="59"/>
      <c r="S338" s="59"/>
      <c r="T338" s="59"/>
      <c r="U338" s="59"/>
      <c r="V338" s="59"/>
      <c r="W338" s="59"/>
      <c r="X338" s="59"/>
    </row>
    <row r="339" spans="1:24" ht="20" customHeight="1">
      <c r="A339" s="58" t="s">
        <v>78</v>
      </c>
      <c r="B339" s="45"/>
      <c r="C339" s="61">
        <v>0.04</v>
      </c>
      <c r="D339" s="61">
        <v>0.01</v>
      </c>
      <c r="E339" s="61">
        <v>0.13</v>
      </c>
      <c r="F339" s="61">
        <v>0.08</v>
      </c>
      <c r="G339" s="61">
        <v>2.5000000000000001E-2</v>
      </c>
      <c r="H339" s="61">
        <v>0.01</v>
      </c>
      <c r="I339" s="59"/>
      <c r="J339" s="59"/>
      <c r="K339" s="59"/>
      <c r="L339" s="59"/>
      <c r="M339" s="59"/>
      <c r="N339" s="59"/>
      <c r="O339" s="59"/>
      <c r="P339" s="59"/>
      <c r="Q339" s="59"/>
      <c r="R339" s="59"/>
      <c r="S339" s="59"/>
      <c r="T339" s="59"/>
      <c r="U339" s="59"/>
      <c r="V339" s="59"/>
      <c r="W339" s="59"/>
      <c r="X339" s="59"/>
    </row>
    <row r="340" spans="1:24" ht="20" customHeight="1">
      <c r="A340" s="58" t="s">
        <v>133</v>
      </c>
      <c r="B340" s="45"/>
      <c r="C340" s="61">
        <v>0.02</v>
      </c>
      <c r="D340" s="61">
        <v>0.03</v>
      </c>
      <c r="E340" s="61">
        <v>0.01</v>
      </c>
      <c r="F340" s="61">
        <v>0.06</v>
      </c>
      <c r="G340" s="61">
        <v>0.06</v>
      </c>
      <c r="H340" s="61">
        <v>-0.01</v>
      </c>
      <c r="I340" s="59"/>
      <c r="J340" s="59"/>
      <c r="K340" s="59"/>
      <c r="L340" s="59"/>
      <c r="M340" s="59"/>
      <c r="N340" s="59"/>
      <c r="O340" s="59"/>
      <c r="P340" s="59"/>
      <c r="Q340" s="59"/>
      <c r="R340" s="59"/>
      <c r="S340" s="59"/>
      <c r="T340" s="59"/>
      <c r="U340" s="59"/>
      <c r="V340" s="59"/>
      <c r="W340" s="59"/>
      <c r="X340" s="59"/>
    </row>
    <row r="341" spans="1:24" ht="22" customHeight="1">
      <c r="A341" s="56" t="s">
        <v>101</v>
      </c>
      <c r="B341" s="45"/>
      <c r="C341" s="60">
        <v>195</v>
      </c>
      <c r="D341" s="60">
        <v>230</v>
      </c>
      <c r="E341" s="60">
        <v>203</v>
      </c>
      <c r="F341" s="60">
        <v>241</v>
      </c>
      <c r="G341" s="60">
        <v>284</v>
      </c>
      <c r="H341" s="60">
        <v>294</v>
      </c>
      <c r="I341" s="50"/>
      <c r="J341" s="50"/>
      <c r="K341" s="50"/>
      <c r="L341" s="50"/>
      <c r="M341" s="50"/>
      <c r="N341" s="50"/>
      <c r="O341" s="50"/>
      <c r="P341" s="50"/>
      <c r="Q341" s="50"/>
      <c r="R341" s="50"/>
      <c r="S341" s="50"/>
      <c r="T341" s="50"/>
      <c r="U341" s="50"/>
      <c r="V341" s="50"/>
      <c r="W341" s="50"/>
      <c r="X341" s="50"/>
    </row>
    <row r="342" spans="1:24" ht="20" customHeight="1">
      <c r="A342" s="58" t="s">
        <v>102</v>
      </c>
      <c r="B342" s="45"/>
      <c r="C342" s="51">
        <f>IF('Operating Metrics'!C331=0,"",'Operating Metrics'!C341/'Operating Metrics'!C331)</f>
        <v>6.680369989722508E-2</v>
      </c>
      <c r="D342" s="51">
        <f>IF('Operating Metrics'!D331=0,"",'Operating Metrics'!D341/'Operating Metrics'!D331)</f>
        <v>6.6763425253991288E-2</v>
      </c>
      <c r="E342" s="51">
        <f>IF('Operating Metrics'!E331=0,"",'Operating Metrics'!E341/'Operating Metrics'!E331)</f>
        <v>4.3986998916576384E-2</v>
      </c>
      <c r="F342" s="51">
        <f>IF('Operating Metrics'!F331=0,"",'Operating Metrics'!F341/'Operating Metrics'!F331)</f>
        <v>5.0344683517860873E-2</v>
      </c>
      <c r="G342" s="51">
        <f>IF('Operating Metrics'!G331=0,"",'Operating Metrics'!G341/'Operating Metrics'!G331)</f>
        <v>5.9129710597543204E-2</v>
      </c>
      <c r="H342" s="51">
        <f>IF('Operating Metrics'!H331=0,"",'Operating Metrics'!H341/'Operating Metrics'!H331)</f>
        <v>6.068111455108359E-2</v>
      </c>
      <c r="I342" s="59"/>
      <c r="J342" s="59"/>
      <c r="K342" s="59"/>
      <c r="L342" s="59"/>
      <c r="M342" s="59"/>
      <c r="N342" s="59"/>
      <c r="O342" s="59"/>
      <c r="P342" s="59"/>
      <c r="Q342" s="59"/>
      <c r="R342" s="59"/>
      <c r="S342" s="59"/>
      <c r="T342" s="59"/>
      <c r="U342" s="59"/>
      <c r="V342" s="59"/>
      <c r="W342" s="59"/>
      <c r="X342" s="59"/>
    </row>
    <row r="343" spans="1:24" ht="22" customHeight="1">
      <c r="A343" s="56" t="s">
        <v>138</v>
      </c>
      <c r="B343" s="45"/>
      <c r="C343" s="60">
        <v>76</v>
      </c>
      <c r="D343" s="60">
        <v>91</v>
      </c>
      <c r="E343" s="60">
        <v>102</v>
      </c>
      <c r="F343" s="60">
        <v>92</v>
      </c>
      <c r="G343" s="60">
        <v>99</v>
      </c>
      <c r="H343" s="60">
        <v>116</v>
      </c>
      <c r="I343" s="50"/>
      <c r="J343" s="50"/>
      <c r="K343" s="50"/>
      <c r="L343" s="50"/>
      <c r="M343" s="50"/>
      <c r="N343" s="50"/>
      <c r="O343" s="50"/>
      <c r="P343" s="50"/>
      <c r="Q343" s="50"/>
      <c r="R343" s="50"/>
      <c r="S343" s="50"/>
      <c r="T343" s="50"/>
      <c r="U343" s="50"/>
      <c r="V343" s="50"/>
      <c r="W343" s="50"/>
      <c r="X343" s="50"/>
    </row>
    <row r="344" spans="1:24" ht="22" customHeight="1">
      <c r="A344" s="56" t="s">
        <v>139</v>
      </c>
      <c r="B344" s="45"/>
      <c r="C344" s="60">
        <v>1</v>
      </c>
      <c r="D344" s="60">
        <v>5</v>
      </c>
      <c r="E344" s="60">
        <v>9</v>
      </c>
      <c r="F344" s="60">
        <v>8</v>
      </c>
      <c r="G344" s="60">
        <v>8</v>
      </c>
      <c r="H344" s="60">
        <v>8</v>
      </c>
      <c r="I344" s="50"/>
      <c r="J344" s="50"/>
      <c r="K344" s="50"/>
      <c r="L344" s="50"/>
      <c r="M344" s="50"/>
      <c r="N344" s="50"/>
      <c r="O344" s="50"/>
      <c r="P344" s="50"/>
      <c r="Q344" s="50"/>
      <c r="R344" s="50"/>
      <c r="S344" s="50"/>
      <c r="T344" s="50"/>
      <c r="U344" s="50"/>
      <c r="V344" s="50"/>
      <c r="W344" s="50"/>
      <c r="X344" s="50"/>
    </row>
    <row r="345" spans="1:24" ht="22" customHeight="1">
      <c r="A345" s="56" t="s">
        <v>136</v>
      </c>
      <c r="B345" s="45"/>
      <c r="C345" s="50">
        <f>'Operating Metrics'!C343+'Operating Metrics'!C344</f>
        <v>77</v>
      </c>
      <c r="D345" s="50">
        <f>'Operating Metrics'!D343+'Operating Metrics'!D344</f>
        <v>96</v>
      </c>
      <c r="E345" s="50">
        <f>'Operating Metrics'!E343+'Operating Metrics'!E344</f>
        <v>111</v>
      </c>
      <c r="F345" s="50">
        <f>'Operating Metrics'!F343+'Operating Metrics'!F344</f>
        <v>100</v>
      </c>
      <c r="G345" s="50">
        <f>'Operating Metrics'!G343+'Operating Metrics'!G344</f>
        <v>107</v>
      </c>
      <c r="H345" s="50">
        <f>'Operating Metrics'!H343+'Operating Metrics'!H344</f>
        <v>124</v>
      </c>
      <c r="I345" s="50"/>
      <c r="J345" s="50"/>
      <c r="K345" s="50"/>
      <c r="L345" s="50"/>
      <c r="M345" s="50"/>
      <c r="N345" s="50"/>
      <c r="O345" s="50"/>
      <c r="P345" s="50"/>
      <c r="Q345" s="50"/>
      <c r="R345" s="50"/>
      <c r="S345" s="50"/>
      <c r="T345" s="50"/>
      <c r="U345" s="50"/>
      <c r="V345" s="50"/>
      <c r="W345" s="50"/>
      <c r="X345" s="50"/>
    </row>
    <row r="346" spans="1:24" ht="22" customHeight="1">
      <c r="A346" s="56" t="s">
        <v>103</v>
      </c>
      <c r="B346" s="45"/>
      <c r="C346" s="54">
        <f>IF('Operating Metrics'!C345=0,"",'Operating Metrics'!C341/'Operating Metrics'!C345)</f>
        <v>2.5324675324675323</v>
      </c>
      <c r="D346" s="54">
        <f>IF('Operating Metrics'!D345=0,"",'Operating Metrics'!D341/'Operating Metrics'!D345)</f>
        <v>2.3958333333333335</v>
      </c>
      <c r="E346" s="54">
        <f>IF('Operating Metrics'!E345=0,"",'Operating Metrics'!E341/'Operating Metrics'!E345)</f>
        <v>1.8288288288288288</v>
      </c>
      <c r="F346" s="54">
        <f>IF('Operating Metrics'!F345=0,"",'Operating Metrics'!F341/'Operating Metrics'!F345)</f>
        <v>2.41</v>
      </c>
      <c r="G346" s="54">
        <f>IF('Operating Metrics'!G345=0,"",'Operating Metrics'!G341/'Operating Metrics'!G345)</f>
        <v>2.6542056074766354</v>
      </c>
      <c r="H346" s="54">
        <f>IF('Operating Metrics'!H345=0,"",'Operating Metrics'!H341/'Operating Metrics'!H345)</f>
        <v>2.370967741935484</v>
      </c>
      <c r="I346" s="54"/>
      <c r="J346" s="54"/>
      <c r="K346" s="54"/>
      <c r="L346" s="54"/>
      <c r="M346" s="54"/>
      <c r="N346" s="54"/>
      <c r="O346" s="54"/>
      <c r="P346" s="54"/>
      <c r="Q346" s="54"/>
      <c r="R346" s="54"/>
      <c r="S346" s="54"/>
      <c r="T346" s="54"/>
      <c r="U346" s="54"/>
      <c r="V346" s="54"/>
      <c r="W346" s="54"/>
      <c r="X346" s="54"/>
    </row>
    <row r="347" spans="1:24" ht="22" customHeight="1">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row>
    <row r="348" spans="1:24" ht="22" customHeight="1">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row>
    <row r="349" spans="1:24" ht="22" customHeight="1">
      <c r="A349" s="170" t="s">
        <v>127</v>
      </c>
      <c r="B349" s="170"/>
      <c r="C349" s="170"/>
      <c r="D349" s="170"/>
      <c r="E349" s="170"/>
      <c r="F349" s="170"/>
      <c r="G349" s="170"/>
      <c r="H349" s="170"/>
      <c r="I349" s="170"/>
      <c r="J349" s="170"/>
      <c r="K349" s="170"/>
      <c r="L349" s="170"/>
      <c r="M349" s="170"/>
      <c r="N349" s="170"/>
      <c r="O349" s="170"/>
      <c r="P349" s="170"/>
      <c r="Q349" s="170"/>
      <c r="R349" s="170"/>
      <c r="S349" s="170"/>
      <c r="T349" s="170"/>
      <c r="U349" s="170"/>
      <c r="V349" s="170"/>
      <c r="W349" s="170"/>
      <c r="X349" s="170"/>
    </row>
    <row r="350" spans="1:24" ht="36" customHeight="1">
      <c r="A350" s="171" t="s">
        <v>145</v>
      </c>
      <c r="B350" s="171"/>
      <c r="C350" s="171"/>
      <c r="D350" s="171"/>
      <c r="E350" s="171"/>
      <c r="F350" s="171"/>
      <c r="G350" s="171"/>
      <c r="H350" s="171"/>
      <c r="I350" s="171"/>
      <c r="J350" s="171"/>
      <c r="K350" s="171"/>
      <c r="L350" s="171"/>
      <c r="M350" s="171"/>
      <c r="N350" s="171"/>
      <c r="O350" s="171"/>
      <c r="P350" s="171"/>
      <c r="Q350" s="171"/>
      <c r="R350" s="171"/>
      <c r="S350" s="171"/>
      <c r="T350" s="171"/>
      <c r="U350" s="171"/>
      <c r="V350" s="171"/>
      <c r="W350" s="171"/>
      <c r="X350" s="171"/>
    </row>
    <row r="351" spans="1:24" ht="24" customHeight="1">
      <c r="A351" s="47" t="s">
        <v>56</v>
      </c>
      <c r="B351" s="45"/>
      <c r="C351" s="48" t="s">
        <v>35</v>
      </c>
      <c r="D351" s="48" t="s">
        <v>36</v>
      </c>
      <c r="E351" s="48" t="s">
        <v>37</v>
      </c>
      <c r="F351" s="48" t="s">
        <v>38</v>
      </c>
      <c r="G351" s="48" t="s">
        <v>39</v>
      </c>
      <c r="H351" s="48" t="s">
        <v>40</v>
      </c>
      <c r="I351" s="48" t="s">
        <v>41</v>
      </c>
      <c r="J351" s="48" t="s">
        <v>42</v>
      </c>
      <c r="K351" s="48" t="s">
        <v>43</v>
      </c>
      <c r="L351" s="48" t="s">
        <v>44</v>
      </c>
      <c r="M351" s="45"/>
      <c r="N351" s="49" t="s">
        <v>45</v>
      </c>
      <c r="O351" s="49" t="s">
        <v>46</v>
      </c>
      <c r="P351" s="49" t="s">
        <v>47</v>
      </c>
      <c r="Q351" s="49" t="s">
        <v>48</v>
      </c>
      <c r="R351" s="49" t="s">
        <v>49</v>
      </c>
      <c r="S351" s="49" t="s">
        <v>50</v>
      </c>
      <c r="T351" s="49" t="s">
        <v>51</v>
      </c>
      <c r="U351" s="49" t="s">
        <v>52</v>
      </c>
      <c r="V351" s="49" t="s">
        <v>53</v>
      </c>
      <c r="W351" s="49" t="s">
        <v>54</v>
      </c>
      <c r="X351" s="49" t="s">
        <v>55</v>
      </c>
    </row>
    <row r="352" spans="1:24" ht="18" customHeight="1">
      <c r="A352" s="45"/>
      <c r="B352" s="45"/>
      <c r="C352" s="55">
        <v>42735</v>
      </c>
      <c r="D352" s="55">
        <v>43099</v>
      </c>
      <c r="E352" s="55">
        <v>43463</v>
      </c>
      <c r="F352" s="55">
        <v>43827</v>
      </c>
      <c r="G352" s="55">
        <v>44191</v>
      </c>
      <c r="H352" s="55">
        <v>44555</v>
      </c>
      <c r="I352" s="55">
        <v>44926</v>
      </c>
      <c r="J352" s="55">
        <v>45290</v>
      </c>
      <c r="K352" s="55">
        <v>45654</v>
      </c>
      <c r="L352" s="55">
        <v>46018</v>
      </c>
      <c r="M352" s="45"/>
      <c r="N352" s="55">
        <v>45374</v>
      </c>
      <c r="O352" s="55">
        <v>45458</v>
      </c>
      <c r="P352" s="55">
        <v>45542</v>
      </c>
      <c r="Q352" s="55">
        <v>45654</v>
      </c>
      <c r="R352" s="55">
        <v>45738</v>
      </c>
      <c r="S352" s="55">
        <v>45822</v>
      </c>
      <c r="T352" s="55">
        <v>45906</v>
      </c>
      <c r="U352" s="55">
        <v>46018</v>
      </c>
      <c r="V352" s="55">
        <v>46102</v>
      </c>
      <c r="W352" s="55">
        <v>46186</v>
      </c>
      <c r="X352" s="55">
        <v>46270</v>
      </c>
    </row>
    <row r="353" spans="1:24" ht="20" customHeight="1">
      <c r="A353" s="58" t="s">
        <v>146</v>
      </c>
      <c r="B353" s="45"/>
      <c r="C353" s="61">
        <v>0.03</v>
      </c>
      <c r="D353" s="61">
        <v>-0.01</v>
      </c>
      <c r="E353" s="61">
        <v>0.01</v>
      </c>
      <c r="F353" s="61">
        <v>0.01</v>
      </c>
      <c r="G353" s="61">
        <v>0.03</v>
      </c>
      <c r="H353" s="61">
        <v>0.02</v>
      </c>
      <c r="I353" s="59"/>
      <c r="J353" s="59"/>
      <c r="K353" s="59"/>
      <c r="L353" s="59"/>
      <c r="M353" s="59"/>
      <c r="N353" s="59"/>
      <c r="O353" s="59"/>
      <c r="P353" s="59"/>
      <c r="Q353" s="59"/>
      <c r="R353" s="59"/>
      <c r="S353" s="59"/>
      <c r="T353" s="59"/>
      <c r="U353" s="59"/>
      <c r="V353" s="59"/>
      <c r="W353" s="59"/>
      <c r="X353" s="59"/>
    </row>
    <row r="354" spans="1:24" ht="20" customHeight="1">
      <c r="A354" s="58" t="s">
        <v>147</v>
      </c>
      <c r="B354" s="45"/>
      <c r="C354" s="61">
        <v>0.02</v>
      </c>
      <c r="D354" s="61">
        <v>-0.02</v>
      </c>
      <c r="E354" s="61">
        <v>-5.0000000000000001E-3</v>
      </c>
      <c r="F354" s="61" t="s">
        <v>148</v>
      </c>
      <c r="G354" s="61">
        <v>0.1</v>
      </c>
      <c r="H354" s="61">
        <v>-7.0000000000000007E-2</v>
      </c>
      <c r="I354" s="59"/>
      <c r="J354" s="59"/>
      <c r="K354" s="59"/>
      <c r="L354" s="59"/>
      <c r="M354" s="59"/>
      <c r="N354" s="59"/>
      <c r="O354" s="59"/>
      <c r="P354" s="59"/>
      <c r="Q354" s="59"/>
      <c r="R354" s="59"/>
      <c r="S354" s="59"/>
      <c r="T354" s="59"/>
      <c r="U354" s="59"/>
      <c r="V354" s="59"/>
      <c r="W354" s="59"/>
      <c r="X354" s="59"/>
    </row>
    <row r="355" spans="1:24" ht="20" customHeight="1">
      <c r="A355" s="58" t="s">
        <v>149</v>
      </c>
      <c r="B355" s="45"/>
      <c r="C355" s="61">
        <v>0.02</v>
      </c>
      <c r="D355" s="61">
        <v>-3.5000000000000003E-2</v>
      </c>
      <c r="E355" s="61">
        <v>-0.01</v>
      </c>
      <c r="F355" s="59"/>
      <c r="G355" s="59"/>
      <c r="H355" s="59"/>
      <c r="I355" s="59"/>
      <c r="J355" s="59"/>
      <c r="K355" s="59"/>
      <c r="L355" s="59"/>
      <c r="M355" s="59"/>
      <c r="N355" s="59"/>
      <c r="O355" s="59"/>
      <c r="P355" s="59"/>
      <c r="Q355" s="59"/>
      <c r="R355" s="59"/>
      <c r="S355" s="59"/>
      <c r="T355" s="59"/>
      <c r="U355" s="59"/>
      <c r="V355" s="59"/>
      <c r="W355" s="59"/>
      <c r="X355" s="59"/>
    </row>
    <row r="356" spans="1:24" ht="20" customHeight="1">
      <c r="A356" s="58" t="s">
        <v>150</v>
      </c>
      <c r="B356" s="45"/>
      <c r="C356" s="61">
        <v>-0.01</v>
      </c>
      <c r="D356" s="61">
        <v>-0.05</v>
      </c>
      <c r="E356" s="61">
        <v>-0.03</v>
      </c>
      <c r="F356" s="59"/>
      <c r="G356" s="59"/>
      <c r="H356" s="59"/>
      <c r="I356" s="59"/>
      <c r="J356" s="59"/>
      <c r="K356" s="59"/>
      <c r="L356" s="59"/>
      <c r="M356" s="59"/>
      <c r="N356" s="59"/>
      <c r="O356" s="59"/>
      <c r="P356" s="59"/>
      <c r="Q356" s="59"/>
      <c r="R356" s="59"/>
      <c r="S356" s="59"/>
      <c r="T356" s="59"/>
      <c r="U356" s="59"/>
      <c r="V356" s="59"/>
      <c r="W356" s="59"/>
      <c r="X356" s="59"/>
    </row>
    <row r="357" spans="1:24" ht="20" customHeight="1">
      <c r="A357" s="58" t="s">
        <v>151</v>
      </c>
      <c r="B357" s="45"/>
      <c r="C357" s="61">
        <v>7.0000000000000007E-2</v>
      </c>
      <c r="D357" s="61">
        <v>-0.01</v>
      </c>
      <c r="E357" s="61">
        <v>0.02</v>
      </c>
      <c r="F357" s="59"/>
      <c r="G357" s="59"/>
      <c r="H357" s="59"/>
      <c r="I357" s="59"/>
      <c r="J357" s="59"/>
      <c r="K357" s="59"/>
      <c r="L357" s="59"/>
      <c r="M357" s="59"/>
      <c r="N357" s="59"/>
      <c r="O357" s="59"/>
      <c r="P357" s="59"/>
      <c r="Q357" s="59"/>
      <c r="R357" s="59"/>
      <c r="S357" s="59"/>
      <c r="T357" s="59"/>
      <c r="U357" s="59"/>
      <c r="V357" s="59"/>
      <c r="W357" s="59"/>
      <c r="X357" s="59"/>
    </row>
    <row r="358" spans="1:24" ht="20" customHeight="1">
      <c r="A358" s="58" t="s">
        <v>152</v>
      </c>
      <c r="B358" s="45"/>
      <c r="C358" s="59"/>
      <c r="D358" s="59"/>
      <c r="E358" s="61">
        <v>-0.01</v>
      </c>
      <c r="F358" s="61">
        <v>-0.01</v>
      </c>
      <c r="G358" s="61">
        <v>-0.01</v>
      </c>
      <c r="H358" s="61">
        <v>0.06</v>
      </c>
      <c r="I358" s="59"/>
      <c r="J358" s="59"/>
      <c r="K358" s="59"/>
      <c r="L358" s="59"/>
      <c r="M358" s="59"/>
      <c r="N358" s="59"/>
      <c r="O358" s="59"/>
      <c r="P358" s="59"/>
      <c r="Q358" s="59"/>
      <c r="R358" s="59"/>
      <c r="S358" s="59"/>
      <c r="T358" s="59"/>
      <c r="U358" s="59"/>
      <c r="V358" s="59"/>
      <c r="W358" s="59"/>
      <c r="X358" s="59"/>
    </row>
    <row r="359" spans="1:24" ht="20" customHeight="1">
      <c r="A359" s="58" t="s">
        <v>153</v>
      </c>
      <c r="B359" s="45"/>
      <c r="C359" s="59"/>
      <c r="D359" s="59"/>
      <c r="E359" s="61">
        <v>-0.03</v>
      </c>
      <c r="F359" s="61">
        <v>-0.03</v>
      </c>
      <c r="G359" s="61">
        <v>-0.05</v>
      </c>
      <c r="H359" s="61">
        <v>0.04</v>
      </c>
      <c r="I359" s="61">
        <v>-0.01</v>
      </c>
      <c r="J359" s="61">
        <v>-0.04</v>
      </c>
      <c r="K359" s="61">
        <v>-0.02</v>
      </c>
      <c r="L359" s="61" t="s">
        <v>154</v>
      </c>
      <c r="M359" s="59"/>
      <c r="N359" s="61">
        <v>-0.03</v>
      </c>
      <c r="O359" s="61">
        <v>-0.02</v>
      </c>
      <c r="P359" s="61">
        <v>-0.03</v>
      </c>
      <c r="Q359" s="59"/>
      <c r="R359" s="61">
        <v>-0.01</v>
      </c>
      <c r="S359" s="61">
        <v>0.01</v>
      </c>
      <c r="T359" s="61">
        <v>0</v>
      </c>
      <c r="U359" s="59"/>
      <c r="V359" s="61">
        <v>-0.03</v>
      </c>
      <c r="W359" s="61">
        <v>-0.03</v>
      </c>
      <c r="X359" s="61">
        <v>-0.02</v>
      </c>
    </row>
    <row r="360" spans="1:24" ht="20" customHeight="1">
      <c r="A360" s="58" t="s">
        <v>155</v>
      </c>
      <c r="B360" s="45"/>
      <c r="C360" s="59"/>
      <c r="D360" s="59"/>
      <c r="E360" s="61">
        <v>0.02</v>
      </c>
      <c r="F360" s="61">
        <v>0.02</v>
      </c>
      <c r="G360" s="61">
        <v>0.04</v>
      </c>
      <c r="H360" s="61">
        <v>7.0000000000000007E-2</v>
      </c>
      <c r="I360" s="61">
        <v>0.01</v>
      </c>
      <c r="J360" s="61">
        <v>-0.06</v>
      </c>
      <c r="K360" s="61">
        <v>-0.04</v>
      </c>
      <c r="L360" s="61">
        <v>-0.06</v>
      </c>
      <c r="M360" s="59"/>
      <c r="N360" s="61">
        <v>-7.0000000000000007E-2</v>
      </c>
      <c r="O360" s="61">
        <v>-0.05</v>
      </c>
      <c r="P360" s="61">
        <v>-0.03</v>
      </c>
      <c r="Q360" s="59"/>
      <c r="R360" s="61">
        <v>-0.06</v>
      </c>
      <c r="S360" s="61">
        <v>-0.06</v>
      </c>
      <c r="T360" s="61">
        <v>-0.06</v>
      </c>
      <c r="U360" s="59"/>
      <c r="V360" s="61">
        <v>-0.02</v>
      </c>
      <c r="W360" s="61">
        <v>-0.04</v>
      </c>
      <c r="X360" s="61">
        <v>-0.03</v>
      </c>
    </row>
    <row r="361" spans="1:24" ht="20" customHeight="1">
      <c r="A361" s="58" t="s">
        <v>156</v>
      </c>
      <c r="B361" s="45"/>
      <c r="C361" s="59"/>
      <c r="D361" s="59"/>
      <c r="E361" s="59"/>
      <c r="F361" s="59"/>
      <c r="G361" s="59"/>
      <c r="H361" s="59"/>
      <c r="I361" s="59"/>
      <c r="J361" s="59"/>
      <c r="K361" s="59"/>
      <c r="L361" s="61">
        <v>-0.03</v>
      </c>
      <c r="M361" s="59"/>
      <c r="N361" s="59"/>
      <c r="O361" s="59"/>
      <c r="P361" s="59"/>
      <c r="Q361" s="59"/>
      <c r="R361" s="61">
        <v>-0.04</v>
      </c>
      <c r="S361" s="61">
        <v>-0.02</v>
      </c>
      <c r="T361" s="61">
        <v>-0.04</v>
      </c>
      <c r="U361" s="59"/>
      <c r="V361" s="61">
        <v>0.02</v>
      </c>
      <c r="W361" s="59"/>
      <c r="X361" s="61">
        <v>0.01</v>
      </c>
    </row>
    <row r="362" spans="1:24" ht="22" customHeight="1">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row>
    <row r="363" spans="1:24" ht="22" customHeight="1">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row>
    <row r="364" spans="1:24" ht="22" customHeight="1">
      <c r="A364" s="170" t="s">
        <v>128</v>
      </c>
      <c r="B364" s="170"/>
      <c r="C364" s="170"/>
      <c r="D364" s="170"/>
      <c r="E364" s="170"/>
      <c r="F364" s="170"/>
      <c r="G364" s="170"/>
      <c r="H364" s="170"/>
      <c r="I364" s="170"/>
      <c r="J364" s="170"/>
      <c r="K364" s="170"/>
      <c r="L364" s="170"/>
      <c r="M364" s="170"/>
      <c r="N364" s="170"/>
      <c r="O364" s="170"/>
      <c r="P364" s="170"/>
      <c r="Q364" s="170"/>
      <c r="R364" s="170"/>
      <c r="S364" s="170"/>
      <c r="T364" s="170"/>
      <c r="U364" s="170"/>
      <c r="V364" s="170"/>
      <c r="W364" s="170"/>
      <c r="X364" s="170"/>
    </row>
    <row r="365" spans="1:24" ht="36" customHeight="1">
      <c r="A365" s="171" t="s">
        <v>157</v>
      </c>
      <c r="B365" s="171"/>
      <c r="C365" s="171"/>
      <c r="D365" s="171"/>
      <c r="E365" s="171"/>
      <c r="F365" s="171"/>
      <c r="G365" s="171"/>
      <c r="H365" s="171"/>
      <c r="I365" s="171"/>
      <c r="J365" s="171"/>
      <c r="K365" s="171"/>
      <c r="L365" s="171"/>
      <c r="M365" s="171"/>
      <c r="N365" s="171"/>
      <c r="O365" s="171"/>
      <c r="P365" s="171"/>
      <c r="Q365" s="171"/>
      <c r="R365" s="171"/>
      <c r="S365" s="171"/>
      <c r="T365" s="171"/>
      <c r="U365" s="171"/>
      <c r="V365" s="171"/>
      <c r="W365" s="171"/>
      <c r="X365" s="171"/>
    </row>
    <row r="366" spans="1:24" ht="24" customHeight="1">
      <c r="A366" s="47" t="s">
        <v>56</v>
      </c>
      <c r="B366" s="45"/>
      <c r="C366" s="48" t="s">
        <v>42</v>
      </c>
      <c r="D366" s="48" t="s">
        <v>43</v>
      </c>
      <c r="E366" s="48" t="s">
        <v>44</v>
      </c>
      <c r="F366" s="45"/>
      <c r="G366" s="49" t="s">
        <v>45</v>
      </c>
      <c r="H366" s="49" t="s">
        <v>46</v>
      </c>
      <c r="I366" s="49" t="s">
        <v>47</v>
      </c>
      <c r="J366" s="49" t="s">
        <v>48</v>
      </c>
      <c r="K366" s="49" t="s">
        <v>49</v>
      </c>
      <c r="L366" s="49" t="s">
        <v>50</v>
      </c>
      <c r="M366" s="49" t="s">
        <v>51</v>
      </c>
      <c r="N366" s="49" t="s">
        <v>52</v>
      </c>
      <c r="O366" s="49" t="s">
        <v>53</v>
      </c>
      <c r="P366" s="49" t="s">
        <v>54</v>
      </c>
      <c r="Q366" s="49" t="s">
        <v>55</v>
      </c>
      <c r="R366" s="45"/>
      <c r="S366" s="45"/>
      <c r="T366" s="45"/>
      <c r="U366" s="45"/>
      <c r="V366" s="45"/>
      <c r="W366" s="45"/>
      <c r="X366" s="45"/>
    </row>
    <row r="367" spans="1:24" ht="18" customHeight="1">
      <c r="A367" s="45"/>
      <c r="B367" s="45"/>
      <c r="C367" s="55">
        <v>45290</v>
      </c>
      <c r="D367" s="55">
        <v>45654</v>
      </c>
      <c r="E367" s="55">
        <v>46018</v>
      </c>
      <c r="F367" s="45"/>
      <c r="G367" s="55">
        <v>45374</v>
      </c>
      <c r="H367" s="55">
        <v>45458</v>
      </c>
      <c r="I367" s="55">
        <v>45542</v>
      </c>
      <c r="J367" s="55">
        <v>45654</v>
      </c>
      <c r="K367" s="55">
        <v>45738</v>
      </c>
      <c r="L367" s="55">
        <v>45822</v>
      </c>
      <c r="M367" s="55">
        <v>45906</v>
      </c>
      <c r="N367" s="55">
        <v>46018</v>
      </c>
      <c r="O367" s="55">
        <v>46102</v>
      </c>
      <c r="P367" s="55">
        <v>46186</v>
      </c>
      <c r="Q367" s="55">
        <v>46270</v>
      </c>
      <c r="R367" s="45"/>
      <c r="S367" s="45"/>
      <c r="T367" s="45"/>
      <c r="U367" s="45"/>
      <c r="V367" s="45"/>
      <c r="W367" s="45"/>
      <c r="X367" s="45"/>
    </row>
    <row r="368" spans="1:24" ht="22" customHeight="1">
      <c r="A368" s="56" t="s">
        <v>158</v>
      </c>
      <c r="B368" s="45"/>
      <c r="C368" s="60">
        <v>136</v>
      </c>
      <c r="D368" s="60">
        <v>184</v>
      </c>
      <c r="E368" s="50"/>
      <c r="F368" s="50"/>
      <c r="G368" s="60">
        <v>167</v>
      </c>
      <c r="H368" s="60">
        <v>15</v>
      </c>
      <c r="I368" s="60">
        <v>-1</v>
      </c>
      <c r="J368" s="60">
        <v>3</v>
      </c>
      <c r="K368" s="50"/>
      <c r="L368" s="50"/>
      <c r="M368" s="50"/>
      <c r="N368" s="50"/>
      <c r="O368" s="50"/>
      <c r="P368" s="50"/>
      <c r="Q368" s="50"/>
      <c r="R368" s="50"/>
      <c r="S368" s="50"/>
      <c r="T368" s="50"/>
      <c r="U368" s="50"/>
      <c r="V368" s="50"/>
      <c r="W368" s="50"/>
      <c r="X368" s="50"/>
    </row>
    <row r="369" spans="1:24" ht="22" customHeight="1">
      <c r="A369" s="56" t="s">
        <v>159</v>
      </c>
      <c r="B369" s="45"/>
      <c r="C369" s="60">
        <v>42</v>
      </c>
      <c r="D369" s="60">
        <v>161</v>
      </c>
      <c r="E369" s="60">
        <v>344</v>
      </c>
      <c r="F369" s="50"/>
      <c r="G369" s="60">
        <v>26</v>
      </c>
      <c r="H369" s="60">
        <v>13</v>
      </c>
      <c r="I369" s="60">
        <v>8</v>
      </c>
      <c r="J369" s="60">
        <v>114</v>
      </c>
      <c r="K369" s="60">
        <v>24</v>
      </c>
      <c r="L369" s="60">
        <v>91</v>
      </c>
      <c r="M369" s="60">
        <v>32</v>
      </c>
      <c r="N369" s="60">
        <v>197</v>
      </c>
      <c r="O369" s="60">
        <v>75</v>
      </c>
      <c r="P369" s="60">
        <v>26</v>
      </c>
      <c r="Q369" s="60">
        <v>48</v>
      </c>
      <c r="R369" s="50"/>
      <c r="S369" s="50"/>
      <c r="T369" s="50"/>
      <c r="U369" s="50"/>
      <c r="V369" s="50"/>
      <c r="W369" s="50"/>
      <c r="X369" s="50"/>
    </row>
    <row r="370" spans="1:24" ht="22" customHeight="1">
      <c r="A370" s="56" t="s">
        <v>160</v>
      </c>
      <c r="B370" s="45"/>
      <c r="C370" s="60">
        <v>321</v>
      </c>
      <c r="D370" s="60">
        <v>556</v>
      </c>
      <c r="E370" s="60">
        <v>1523</v>
      </c>
      <c r="F370" s="50"/>
      <c r="G370" s="50"/>
      <c r="H370" s="50"/>
      <c r="I370" s="60">
        <v>0</v>
      </c>
      <c r="J370" s="60">
        <v>556</v>
      </c>
      <c r="K370" s="50"/>
      <c r="L370" s="60">
        <v>1529</v>
      </c>
      <c r="M370" s="60">
        <v>8</v>
      </c>
      <c r="N370" s="60">
        <v>-14</v>
      </c>
      <c r="O370" s="50"/>
      <c r="P370" s="50"/>
      <c r="Q370" s="50"/>
      <c r="R370" s="50"/>
      <c r="S370" s="50"/>
      <c r="T370" s="50"/>
      <c r="U370" s="50"/>
      <c r="V370" s="50"/>
      <c r="W370" s="50"/>
      <c r="X370" s="50"/>
    </row>
    <row r="371" spans="1:24" ht="22" customHeight="1">
      <c r="A371" s="56" t="s">
        <v>161</v>
      </c>
      <c r="B371" s="45"/>
      <c r="C371" s="60">
        <v>16</v>
      </c>
      <c r="D371" s="60">
        <v>8</v>
      </c>
      <c r="E371" s="60">
        <v>422</v>
      </c>
      <c r="F371" s="50"/>
      <c r="G371" s="60">
        <v>2</v>
      </c>
      <c r="H371" s="50"/>
      <c r="I371" s="60">
        <v>5</v>
      </c>
      <c r="J371" s="60">
        <v>1</v>
      </c>
      <c r="K371" s="60">
        <v>10</v>
      </c>
      <c r="L371" s="60">
        <v>56</v>
      </c>
      <c r="M371" s="60">
        <v>219</v>
      </c>
      <c r="N371" s="60">
        <v>137</v>
      </c>
      <c r="O371" s="60">
        <v>-114</v>
      </c>
      <c r="P371" s="60">
        <v>-46</v>
      </c>
      <c r="Q371" s="60">
        <v>-97</v>
      </c>
      <c r="R371" s="50"/>
      <c r="S371" s="50"/>
      <c r="T371" s="50"/>
      <c r="U371" s="50"/>
      <c r="V371" s="50"/>
      <c r="W371" s="50"/>
      <c r="X371" s="50"/>
    </row>
    <row r="372" spans="1:24" ht="22" customHeight="1">
      <c r="A372" s="56" t="s">
        <v>162</v>
      </c>
      <c r="B372" s="45"/>
      <c r="C372" s="60">
        <v>41</v>
      </c>
      <c r="D372" s="60">
        <v>238</v>
      </c>
      <c r="E372" s="60">
        <v>281</v>
      </c>
      <c r="F372" s="50"/>
      <c r="G372" s="60">
        <v>10</v>
      </c>
      <c r="H372" s="60">
        <v>5</v>
      </c>
      <c r="I372" s="60">
        <v>128</v>
      </c>
      <c r="J372" s="60">
        <v>95</v>
      </c>
      <c r="K372" s="60">
        <v>125</v>
      </c>
      <c r="L372" s="60">
        <v>48</v>
      </c>
      <c r="M372" s="60">
        <v>19</v>
      </c>
      <c r="N372" s="60">
        <v>89</v>
      </c>
      <c r="O372" s="60">
        <v>17</v>
      </c>
      <c r="P372" s="60">
        <v>-15</v>
      </c>
      <c r="Q372" s="60">
        <v>53</v>
      </c>
      <c r="R372" s="50"/>
      <c r="S372" s="50"/>
      <c r="T372" s="50"/>
      <c r="U372" s="50"/>
      <c r="V372" s="50"/>
      <c r="W372" s="50"/>
      <c r="X372" s="50"/>
    </row>
    <row r="373" spans="1:24" ht="22" customHeight="1">
      <c r="A373" s="56" t="s">
        <v>163</v>
      </c>
      <c r="B373" s="45"/>
      <c r="C373" s="60">
        <v>862</v>
      </c>
      <c r="D373" s="60">
        <v>4</v>
      </c>
      <c r="E373" s="60">
        <v>73</v>
      </c>
      <c r="F373" s="50"/>
      <c r="G373" s="50"/>
      <c r="H373" s="50"/>
      <c r="I373" s="60">
        <v>0</v>
      </c>
      <c r="J373" s="60">
        <v>4</v>
      </c>
      <c r="K373" s="50"/>
      <c r="L373" s="60">
        <v>0</v>
      </c>
      <c r="M373" s="60">
        <v>73</v>
      </c>
      <c r="N373" s="60">
        <v>0</v>
      </c>
      <c r="O373" s="50"/>
      <c r="P373" s="50"/>
      <c r="Q373" s="50"/>
      <c r="R373" s="50"/>
      <c r="S373" s="50"/>
      <c r="T373" s="50"/>
      <c r="U373" s="50"/>
      <c r="V373" s="50"/>
      <c r="W373" s="50"/>
      <c r="X373" s="50"/>
    </row>
    <row r="374" spans="1:24" ht="22" customHeight="1">
      <c r="A374" s="56" t="s">
        <v>164</v>
      </c>
      <c r="B374" s="45"/>
      <c r="C374" s="50"/>
      <c r="D374" s="60">
        <v>218</v>
      </c>
      <c r="E374" s="60">
        <v>0</v>
      </c>
      <c r="F374" s="50"/>
      <c r="G374" s="50"/>
      <c r="H374" s="50"/>
      <c r="I374" s="50"/>
      <c r="J374" s="60">
        <v>218</v>
      </c>
      <c r="K374" s="50"/>
      <c r="L374" s="50"/>
      <c r="M374" s="50"/>
      <c r="N374" s="50"/>
      <c r="O374" s="50"/>
      <c r="P374" s="50"/>
      <c r="Q374" s="50"/>
      <c r="R374" s="50"/>
      <c r="S374" s="50"/>
      <c r="T374" s="50"/>
      <c r="U374" s="50"/>
      <c r="V374" s="50"/>
      <c r="W374" s="50"/>
      <c r="X374" s="50"/>
    </row>
    <row r="375" spans="1:24" ht="22" customHeight="1">
      <c r="A375" s="56" t="s">
        <v>165</v>
      </c>
      <c r="B375" s="45"/>
      <c r="C375" s="60">
        <v>-14</v>
      </c>
      <c r="D375" s="60">
        <v>145</v>
      </c>
      <c r="E375" s="60">
        <v>270</v>
      </c>
      <c r="F375" s="50"/>
      <c r="G375" s="50"/>
      <c r="H375" s="50"/>
      <c r="I375" s="60">
        <v>10</v>
      </c>
      <c r="J375" s="60">
        <v>135</v>
      </c>
      <c r="K375" s="50"/>
      <c r="L375" s="60">
        <v>251</v>
      </c>
      <c r="M375" s="60">
        <v>19</v>
      </c>
      <c r="N375" s="60">
        <v>0</v>
      </c>
      <c r="O375" s="50"/>
      <c r="P375" s="50"/>
      <c r="Q375" s="50"/>
      <c r="R375" s="50"/>
      <c r="S375" s="50"/>
      <c r="T375" s="50"/>
      <c r="U375" s="50"/>
      <c r="V375" s="50"/>
      <c r="W375" s="50"/>
      <c r="X375" s="50"/>
    </row>
    <row r="376" spans="1:24" ht="22" customHeight="1">
      <c r="A376" s="56" t="s">
        <v>166</v>
      </c>
      <c r="B376" s="45"/>
      <c r="C376" s="60">
        <v>59</v>
      </c>
      <c r="D376" s="60">
        <v>0</v>
      </c>
      <c r="E376" s="60">
        <v>80</v>
      </c>
      <c r="F376" s="50"/>
      <c r="G376" s="50"/>
      <c r="H376" s="50"/>
      <c r="I376" s="60">
        <v>0</v>
      </c>
      <c r="J376" s="60">
        <v>0</v>
      </c>
      <c r="K376" s="50"/>
      <c r="L376" s="60">
        <v>80</v>
      </c>
      <c r="M376" s="60">
        <v>0</v>
      </c>
      <c r="N376" s="60">
        <v>0</v>
      </c>
      <c r="O376" s="50"/>
      <c r="P376" s="50"/>
      <c r="Q376" s="50"/>
      <c r="R376" s="50"/>
      <c r="S376" s="50"/>
      <c r="T376" s="50"/>
      <c r="U376" s="50"/>
      <c r="V376" s="50"/>
      <c r="W376" s="50"/>
      <c r="X376" s="50"/>
    </row>
    <row r="377" spans="1:24" ht="22" customHeight="1">
      <c r="A377" s="56" t="s">
        <v>167</v>
      </c>
      <c r="B377" s="45"/>
      <c r="C377" s="60">
        <v>88</v>
      </c>
      <c r="D377" s="60">
        <v>101</v>
      </c>
      <c r="E377" s="60">
        <v>66</v>
      </c>
      <c r="F377" s="50"/>
      <c r="G377" s="60">
        <v>30</v>
      </c>
      <c r="H377" s="60">
        <v>6</v>
      </c>
      <c r="I377" s="60">
        <v>39</v>
      </c>
      <c r="J377" s="60">
        <v>26</v>
      </c>
      <c r="K377" s="60">
        <v>25</v>
      </c>
      <c r="L377" s="60">
        <v>22</v>
      </c>
      <c r="M377" s="60">
        <v>-2</v>
      </c>
      <c r="N377" s="60">
        <v>21</v>
      </c>
      <c r="O377" s="60">
        <v>6</v>
      </c>
      <c r="P377" s="60">
        <v>10</v>
      </c>
      <c r="Q377" s="60">
        <v>39</v>
      </c>
      <c r="R377" s="50"/>
      <c r="S377" s="50"/>
      <c r="T377" s="50"/>
      <c r="U377" s="50"/>
      <c r="V377" s="50"/>
      <c r="W377" s="50"/>
      <c r="X377" s="50"/>
    </row>
    <row r="378" spans="1:24" ht="22" customHeight="1">
      <c r="A378" s="56" t="s">
        <v>168</v>
      </c>
      <c r="B378" s="45"/>
      <c r="C378" s="50"/>
      <c r="D378" s="60">
        <v>0</v>
      </c>
      <c r="E378" s="60">
        <v>82</v>
      </c>
      <c r="F378" s="50"/>
      <c r="G378" s="50"/>
      <c r="H378" s="50"/>
      <c r="I378" s="50"/>
      <c r="J378" s="60">
        <v>0</v>
      </c>
      <c r="K378" s="50"/>
      <c r="L378" s="50"/>
      <c r="M378" s="60">
        <v>82</v>
      </c>
      <c r="N378" s="50"/>
      <c r="O378" s="50"/>
      <c r="P378" s="50"/>
      <c r="Q378" s="50"/>
      <c r="R378" s="50"/>
      <c r="S378" s="50"/>
      <c r="T378" s="50"/>
      <c r="U378" s="50"/>
      <c r="V378" s="50"/>
      <c r="W378" s="50"/>
      <c r="X378" s="50"/>
    </row>
    <row r="379" spans="1:24" ht="22" customHeight="1">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row>
    <row r="380" spans="1:24" ht="22" customHeight="1">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row>
    <row r="381" spans="1:24" ht="22" customHeight="1">
      <c r="A381" s="170" t="s">
        <v>129</v>
      </c>
      <c r="B381" s="170"/>
      <c r="C381" s="170"/>
      <c r="D381" s="170"/>
      <c r="E381" s="170"/>
      <c r="F381" s="170"/>
      <c r="G381" s="170"/>
      <c r="H381" s="170"/>
      <c r="I381" s="170"/>
      <c r="J381" s="170"/>
      <c r="K381" s="170"/>
      <c r="L381" s="170"/>
      <c r="M381" s="170"/>
      <c r="N381" s="170"/>
      <c r="O381" s="170"/>
      <c r="P381" s="170"/>
      <c r="Q381" s="170"/>
      <c r="R381" s="170"/>
      <c r="S381" s="170"/>
      <c r="T381" s="170"/>
      <c r="U381" s="170"/>
      <c r="V381" s="170"/>
      <c r="W381" s="170"/>
      <c r="X381" s="170"/>
    </row>
    <row r="382" spans="1:24" ht="24" customHeight="1">
      <c r="A382" s="171" t="s">
        <v>169</v>
      </c>
      <c r="B382" s="171"/>
      <c r="C382" s="171"/>
      <c r="D382" s="171"/>
      <c r="E382" s="171"/>
      <c r="F382" s="171"/>
      <c r="G382" s="171"/>
      <c r="H382" s="171"/>
      <c r="I382" s="171"/>
      <c r="J382" s="171"/>
      <c r="K382" s="171"/>
      <c r="L382" s="171"/>
      <c r="M382" s="171"/>
      <c r="N382" s="171"/>
      <c r="O382" s="171"/>
      <c r="P382" s="171"/>
      <c r="Q382" s="171"/>
      <c r="R382" s="171"/>
      <c r="S382" s="171"/>
      <c r="T382" s="171"/>
      <c r="U382" s="171"/>
      <c r="V382" s="171"/>
      <c r="W382" s="171"/>
      <c r="X382" s="171"/>
    </row>
    <row r="383" spans="1:24" ht="24" customHeight="1">
      <c r="A383" s="47" t="s">
        <v>56</v>
      </c>
      <c r="B383" s="45"/>
      <c r="C383" s="48" t="s">
        <v>41</v>
      </c>
      <c r="D383" s="45"/>
      <c r="E383" s="45"/>
      <c r="F383" s="45"/>
      <c r="G383" s="45"/>
      <c r="H383" s="45"/>
      <c r="I383" s="45"/>
      <c r="J383" s="45"/>
      <c r="K383" s="45"/>
      <c r="L383" s="45"/>
      <c r="M383" s="45"/>
      <c r="N383" s="45"/>
      <c r="O383" s="45"/>
      <c r="P383" s="45"/>
      <c r="Q383" s="45"/>
      <c r="R383" s="45"/>
      <c r="S383" s="45"/>
      <c r="T383" s="45"/>
      <c r="U383" s="45"/>
      <c r="V383" s="45"/>
      <c r="W383" s="45"/>
      <c r="X383" s="45"/>
    </row>
    <row r="384" spans="1:24" ht="18" customHeight="1">
      <c r="A384" s="45"/>
      <c r="B384" s="45"/>
      <c r="C384" s="55">
        <v>44926</v>
      </c>
      <c r="D384" s="45"/>
      <c r="E384" s="45"/>
      <c r="F384" s="45"/>
      <c r="G384" s="45"/>
      <c r="H384" s="45"/>
      <c r="I384" s="45"/>
      <c r="J384" s="45"/>
      <c r="K384" s="45"/>
      <c r="L384" s="45"/>
      <c r="M384" s="45"/>
      <c r="N384" s="45"/>
      <c r="O384" s="45"/>
      <c r="P384" s="45"/>
      <c r="Q384" s="45"/>
      <c r="R384" s="45"/>
      <c r="S384" s="45"/>
      <c r="T384" s="45"/>
      <c r="U384" s="45"/>
      <c r="V384" s="45"/>
      <c r="W384" s="45"/>
      <c r="X384" s="45"/>
    </row>
    <row r="385" spans="1:24" ht="36" customHeight="1">
      <c r="A385" s="56" t="s">
        <v>170</v>
      </c>
      <c r="B385" s="45"/>
      <c r="C385" s="60">
        <v>-3029</v>
      </c>
      <c r="D385" s="50"/>
      <c r="E385" s="50"/>
      <c r="F385" s="50"/>
      <c r="G385" s="50"/>
      <c r="H385" s="50"/>
      <c r="I385" s="50"/>
      <c r="J385" s="50"/>
      <c r="K385" s="50"/>
      <c r="L385" s="50"/>
      <c r="M385" s="50"/>
      <c r="N385" s="50"/>
      <c r="O385" s="50"/>
      <c r="P385" s="50"/>
      <c r="Q385" s="50"/>
      <c r="R385" s="50"/>
      <c r="S385" s="50"/>
      <c r="T385" s="50"/>
      <c r="U385" s="50"/>
      <c r="V385" s="50"/>
      <c r="W385" s="50"/>
      <c r="X385" s="50"/>
    </row>
    <row r="386" spans="1:24" ht="22" customHeight="1">
      <c r="A386" s="56" t="s">
        <v>171</v>
      </c>
      <c r="B386" s="45"/>
      <c r="C386" s="60">
        <v>160</v>
      </c>
      <c r="D386" s="50"/>
      <c r="E386" s="50"/>
      <c r="F386" s="50"/>
      <c r="G386" s="50"/>
      <c r="H386" s="50"/>
      <c r="I386" s="50"/>
      <c r="J386" s="50"/>
      <c r="K386" s="50"/>
      <c r="L386" s="50"/>
      <c r="M386" s="50"/>
      <c r="N386" s="50"/>
      <c r="O386" s="50"/>
      <c r="P386" s="50"/>
      <c r="Q386" s="50"/>
      <c r="R386" s="50"/>
      <c r="S386" s="50"/>
      <c r="T386" s="50"/>
      <c r="U386" s="50"/>
      <c r="V386" s="50"/>
      <c r="W386" s="50"/>
      <c r="X386" s="50"/>
    </row>
    <row r="387" spans="1:24" ht="22" customHeight="1">
      <c r="A387" s="56" t="s">
        <v>172</v>
      </c>
      <c r="B387" s="45"/>
      <c r="C387" s="60">
        <v>1373</v>
      </c>
      <c r="D387" s="50"/>
      <c r="E387" s="50"/>
      <c r="F387" s="50"/>
      <c r="G387" s="50"/>
      <c r="H387" s="50"/>
      <c r="I387" s="50"/>
      <c r="J387" s="50"/>
      <c r="K387" s="50"/>
      <c r="L387" s="50"/>
      <c r="M387" s="50"/>
      <c r="N387" s="50"/>
      <c r="O387" s="50"/>
      <c r="P387" s="50"/>
      <c r="Q387" s="50"/>
      <c r="R387" s="50"/>
      <c r="S387" s="50"/>
      <c r="T387" s="50"/>
      <c r="U387" s="50"/>
      <c r="V387" s="50"/>
      <c r="W387" s="50"/>
      <c r="X387" s="50"/>
    </row>
    <row r="388" spans="1:24" ht="36" customHeight="1">
      <c r="A388" s="56" t="s">
        <v>173</v>
      </c>
      <c r="B388" s="45"/>
      <c r="C388" s="60">
        <v>-292</v>
      </c>
      <c r="D388" s="50"/>
      <c r="E388" s="50"/>
      <c r="F388" s="50"/>
      <c r="G388" s="50"/>
      <c r="H388" s="50"/>
      <c r="I388" s="50"/>
      <c r="J388" s="50"/>
      <c r="K388" s="50"/>
      <c r="L388" s="50"/>
      <c r="M388" s="50"/>
      <c r="N388" s="50"/>
      <c r="O388" s="50"/>
      <c r="P388" s="50"/>
      <c r="Q388" s="50"/>
      <c r="R388" s="50"/>
      <c r="S388" s="50"/>
      <c r="T388" s="50"/>
      <c r="U388" s="50"/>
      <c r="V388" s="50"/>
      <c r="W388" s="50"/>
      <c r="X388" s="50"/>
    </row>
    <row r="389" spans="1:24" ht="22" customHeight="1">
      <c r="A389" s="56" t="s">
        <v>174</v>
      </c>
      <c r="B389" s="45"/>
      <c r="C389" s="60">
        <v>1749</v>
      </c>
      <c r="D389" s="50"/>
      <c r="E389" s="50"/>
      <c r="F389" s="50"/>
      <c r="G389" s="50"/>
      <c r="H389" s="50"/>
      <c r="I389" s="50"/>
      <c r="J389" s="50"/>
      <c r="K389" s="50"/>
      <c r="L389" s="50"/>
      <c r="M389" s="50"/>
      <c r="N389" s="50"/>
      <c r="O389" s="50"/>
      <c r="P389" s="50"/>
      <c r="Q389" s="50"/>
      <c r="R389" s="50"/>
      <c r="S389" s="50"/>
      <c r="T389" s="50"/>
      <c r="U389" s="50"/>
      <c r="V389" s="50"/>
      <c r="W389" s="50"/>
      <c r="X389" s="50"/>
    </row>
    <row r="390" spans="1:24" ht="22" customHeight="1">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row>
    <row r="391" spans="1:24" ht="22" customHeight="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row>
    <row r="392" spans="1:24" ht="22" customHeight="1">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row>
  </sheetData>
  <mergeCells count="47">
    <mergeCell ref="A382:X382"/>
    <mergeCell ref="A349:X349"/>
    <mergeCell ref="A350:X350"/>
    <mergeCell ref="A364:X364"/>
    <mergeCell ref="A365:X365"/>
    <mergeCell ref="A381:X381"/>
    <mergeCell ref="A276:X276"/>
    <mergeCell ref="A279:X279"/>
    <mergeCell ref="A296:X296"/>
    <mergeCell ref="A313:X313"/>
    <mergeCell ref="A330:X330"/>
    <mergeCell ref="A236:X236"/>
    <mergeCell ref="A253:X253"/>
    <mergeCell ref="A254:X254"/>
    <mergeCell ref="A257:X257"/>
    <mergeCell ref="A275:X275"/>
    <mergeCell ref="A188:X188"/>
    <mergeCell ref="A189:X189"/>
    <mergeCell ref="A192:X192"/>
    <mergeCell ref="A206:X206"/>
    <mergeCell ref="A221:X221"/>
    <mergeCell ref="A140:X140"/>
    <mergeCell ref="A150:X150"/>
    <mergeCell ref="A151:X151"/>
    <mergeCell ref="A154:X154"/>
    <mergeCell ref="A170:X170"/>
    <mergeCell ref="A59:X59"/>
    <mergeCell ref="A75:X75"/>
    <mergeCell ref="A91:X91"/>
    <mergeCell ref="A108:X108"/>
    <mergeCell ref="A124:X124"/>
    <mergeCell ref="A15:X15"/>
    <mergeCell ref="A16:X16"/>
    <mergeCell ref="A39:X39"/>
    <mergeCell ref="A40:X40"/>
    <mergeCell ref="A43:X43"/>
    <mergeCell ref="C9:L9"/>
    <mergeCell ref="N9:X9"/>
    <mergeCell ref="C10:L10"/>
    <mergeCell ref="N10:X10"/>
    <mergeCell ref="C11:L11"/>
    <mergeCell ref="A1:X1"/>
    <mergeCell ref="A2:X2"/>
    <mergeCell ref="C7:L7"/>
    <mergeCell ref="N7:X7"/>
    <mergeCell ref="C8:L8"/>
    <mergeCell ref="N8:X8"/>
  </mergeCells>
  <phoneticPr fontId="44" type="noConversion"/>
  <hyperlinks>
    <hyperlink ref="A3" location="'Contents'!A1" display="Metric (Return to Contents)" xr:uid="{00000000-0004-0000-0200-000000000000}"/>
    <hyperlink ref="C7" location="'Operating Metrics'!A15" display="PepsiCo - ten-year operating history" xr:uid="{00000000-0004-0000-0200-000001000000}"/>
    <hyperlink ref="N7" location="'Operating Metrics'!A39" display="Current six segments - annual and quarterly trends" xr:uid="{00000000-0004-0000-0200-000002000000}"/>
    <hyperlink ref="C8" location="'Operating Metrics'!A150" display="Frito-Lay and Quaker - historical operating split" xr:uid="{00000000-0004-0000-0200-000003000000}"/>
    <hyperlink ref="N8" location="'Operating Metrics'!A188" display="Earlier reporting structure - FY2016-FY2018" xr:uid="{00000000-0004-0000-0200-000004000000}"/>
    <hyperlink ref="C9" location="'Operating Metrics'!A253" display="PBNA - FY2019-FY2021" xr:uid="{00000000-0004-0000-0200-000005000000}"/>
    <hyperlink ref="N9" location="'Operating Metrics'!A275" display="Historical international structure - FY2019-FY2024" xr:uid="{00000000-0004-0000-0200-000006000000}"/>
    <hyperlink ref="C10" location="'Operating Metrics'!A349" display="Selected category and historical unit-volume disclosures" xr:uid="{00000000-0004-0000-0200-000007000000}"/>
    <hyperlink ref="N10" location="'Operating Metrics'!A364" display="Selected charges relevant to earnings quality and capital allocation" xr:uid="{00000000-0004-0000-0200-000008000000}"/>
    <hyperlink ref="C11" location="'Operating Metrics'!A381" display="FY2022 transaction and impairment effects" xr:uid="{00000000-0004-0000-0200-000009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0746C"/>
  </sheetPr>
  <dimension ref="A1:X120"/>
  <sheetViews>
    <sheetView showGridLines="0" workbookViewId="0">
      <pane xSplit="2" ySplit="5" topLeftCell="C67" activePane="bottomRight" state="frozen"/>
      <selection pane="topRight"/>
      <selection pane="bottomLeft"/>
      <selection pane="bottomRight" activeCell="O92" sqref="O92"/>
    </sheetView>
  </sheetViews>
  <sheetFormatPr baseColWidth="10" defaultColWidth="8.83203125" defaultRowHeight="14"/>
  <cols>
    <col min="1" max="1" width="60" customWidth="1"/>
    <col min="2" max="2" width="2.1640625" hidden="1" customWidth="1"/>
    <col min="3" max="24" width="12.1640625" customWidth="1"/>
    <col min="25" max="25" width="3" customWidth="1"/>
    <col min="26" max="28" width="12.1640625" customWidth="1"/>
    <col min="33" max="33" width="8.83203125" customWidth="1"/>
  </cols>
  <sheetData>
    <row r="1" spans="1:24" ht="28" customHeight="1">
      <c r="A1" s="167" t="s">
        <v>175</v>
      </c>
      <c r="B1" s="167"/>
      <c r="C1" s="167"/>
      <c r="D1" s="167"/>
      <c r="E1" s="167"/>
      <c r="F1" s="167"/>
      <c r="G1" s="167"/>
      <c r="H1" s="167"/>
      <c r="I1" s="167"/>
      <c r="J1" s="167"/>
      <c r="K1" s="167"/>
      <c r="L1" s="167"/>
      <c r="M1" s="167"/>
      <c r="N1" s="167"/>
      <c r="O1" s="167"/>
      <c r="P1" s="167"/>
      <c r="Q1" s="167"/>
      <c r="R1" s="167"/>
      <c r="S1" s="167"/>
      <c r="T1" s="167"/>
      <c r="U1" s="167"/>
      <c r="V1" s="167"/>
      <c r="W1" s="167"/>
      <c r="X1" s="167"/>
    </row>
    <row r="2" spans="1:24" ht="18" customHeight="1">
      <c r="A2" s="168" t="s">
        <v>120</v>
      </c>
      <c r="B2" s="168"/>
      <c r="C2" s="168"/>
      <c r="D2" s="168"/>
      <c r="E2" s="168"/>
      <c r="F2" s="168"/>
      <c r="G2" s="168"/>
      <c r="H2" s="168"/>
      <c r="I2" s="168"/>
      <c r="J2" s="168"/>
      <c r="K2" s="168"/>
      <c r="L2" s="168"/>
      <c r="M2" s="168"/>
      <c r="N2" s="168"/>
      <c r="O2" s="168"/>
      <c r="P2" s="168"/>
      <c r="Q2" s="168"/>
      <c r="R2" s="168"/>
      <c r="S2" s="168"/>
      <c r="T2" s="168"/>
      <c r="U2" s="168"/>
      <c r="V2" s="168"/>
      <c r="W2" s="168"/>
      <c r="X2" s="168"/>
    </row>
    <row r="3" spans="1:24" ht="22" customHeight="1">
      <c r="A3" s="46" t="s">
        <v>34</v>
      </c>
      <c r="B3" s="45"/>
      <c r="C3" s="45"/>
      <c r="D3" s="45"/>
      <c r="E3" s="45"/>
      <c r="F3" s="45"/>
      <c r="G3" s="45"/>
      <c r="H3" s="45"/>
      <c r="I3" s="45"/>
      <c r="J3" s="45"/>
      <c r="K3" s="45"/>
      <c r="L3" s="45"/>
      <c r="M3" s="45"/>
      <c r="N3" s="45"/>
      <c r="O3" s="45"/>
      <c r="P3" s="45"/>
      <c r="Q3" s="45"/>
      <c r="R3" s="45"/>
      <c r="S3" s="45"/>
      <c r="T3" s="45"/>
      <c r="U3" s="45"/>
      <c r="V3" s="45"/>
      <c r="W3" s="45"/>
      <c r="X3" s="45"/>
    </row>
    <row r="4" spans="1:24" ht="22" customHeight="1">
      <c r="A4" s="45"/>
      <c r="B4" s="45"/>
      <c r="C4" s="45"/>
      <c r="D4" s="45"/>
      <c r="E4" s="45"/>
      <c r="F4" s="45"/>
      <c r="G4" s="45"/>
      <c r="H4" s="45"/>
      <c r="I4" s="45"/>
      <c r="J4" s="45"/>
      <c r="K4" s="45"/>
      <c r="L4" s="45"/>
      <c r="M4" s="45"/>
      <c r="N4" s="45"/>
      <c r="O4" s="45"/>
      <c r="P4" s="45"/>
      <c r="Q4" s="45"/>
      <c r="R4" s="45"/>
      <c r="S4" s="45"/>
      <c r="T4" s="45"/>
      <c r="U4" s="45"/>
      <c r="V4" s="45"/>
      <c r="W4" s="45"/>
      <c r="X4" s="45"/>
    </row>
    <row r="5" spans="1:24" ht="22" customHeight="1">
      <c r="A5" s="45"/>
      <c r="B5" s="45"/>
      <c r="C5" s="45"/>
      <c r="D5" s="45"/>
      <c r="E5" s="45"/>
      <c r="F5" s="45"/>
      <c r="G5" s="45"/>
      <c r="H5" s="45"/>
      <c r="I5" s="45"/>
      <c r="J5" s="45"/>
      <c r="K5" s="45"/>
      <c r="L5" s="45"/>
      <c r="M5" s="45"/>
      <c r="N5" s="45"/>
      <c r="O5" s="45"/>
      <c r="P5" s="45"/>
      <c r="Q5" s="45"/>
      <c r="R5" s="45"/>
      <c r="S5" s="45"/>
      <c r="T5" s="45"/>
      <c r="U5" s="45"/>
      <c r="V5" s="45"/>
      <c r="W5" s="45"/>
      <c r="X5" s="45"/>
    </row>
    <row r="6" spans="1:24" ht="22" customHeight="1">
      <c r="A6" s="45"/>
      <c r="B6" s="45"/>
      <c r="C6" s="45"/>
      <c r="D6" s="45"/>
      <c r="E6" s="45"/>
      <c r="F6" s="45"/>
      <c r="G6" s="45"/>
      <c r="H6" s="45"/>
      <c r="I6" s="45"/>
      <c r="J6" s="45"/>
      <c r="K6" s="45"/>
      <c r="L6" s="45"/>
      <c r="M6" s="45"/>
      <c r="N6" s="45"/>
      <c r="O6" s="45"/>
      <c r="P6" s="45"/>
      <c r="Q6" s="45"/>
      <c r="R6" s="45"/>
      <c r="S6" s="45"/>
      <c r="T6" s="45"/>
      <c r="U6" s="45"/>
      <c r="V6" s="45"/>
      <c r="W6" s="45"/>
      <c r="X6" s="45"/>
    </row>
    <row r="7" spans="1:24" ht="22" customHeight="1">
      <c r="A7" s="45"/>
      <c r="B7" s="45"/>
      <c r="C7" s="169" t="s">
        <v>176</v>
      </c>
      <c r="D7" s="169"/>
      <c r="E7" s="169"/>
      <c r="F7" s="169"/>
      <c r="G7" s="169"/>
      <c r="H7" s="169"/>
      <c r="I7" s="169"/>
      <c r="J7" s="169"/>
      <c r="K7" s="169"/>
      <c r="L7" s="169"/>
      <c r="M7" s="45"/>
      <c r="N7" s="169" t="s">
        <v>177</v>
      </c>
      <c r="O7" s="169"/>
      <c r="P7" s="169"/>
      <c r="Q7" s="169"/>
      <c r="R7" s="169"/>
      <c r="S7" s="169"/>
      <c r="T7" s="169"/>
      <c r="U7" s="169"/>
      <c r="V7" s="169"/>
      <c r="W7" s="169"/>
      <c r="X7" s="169"/>
    </row>
    <row r="8" spans="1:24" ht="22" customHeight="1">
      <c r="A8" s="45"/>
      <c r="B8" s="45"/>
      <c r="C8" s="169" t="s">
        <v>178</v>
      </c>
      <c r="D8" s="169"/>
      <c r="E8" s="169"/>
      <c r="F8" s="169"/>
      <c r="G8" s="169"/>
      <c r="H8" s="169"/>
      <c r="I8" s="169"/>
      <c r="J8" s="169"/>
      <c r="K8" s="169"/>
      <c r="L8" s="169"/>
      <c r="M8" s="45"/>
      <c r="N8" s="169" t="s">
        <v>179</v>
      </c>
      <c r="O8" s="169"/>
      <c r="P8" s="169"/>
      <c r="Q8" s="169"/>
      <c r="R8" s="169"/>
      <c r="S8" s="169"/>
      <c r="T8" s="169"/>
      <c r="U8" s="169"/>
      <c r="V8" s="169"/>
      <c r="W8" s="169"/>
      <c r="X8" s="169"/>
    </row>
    <row r="9" spans="1:24" ht="22" customHeight="1">
      <c r="A9" s="45"/>
      <c r="B9" s="45"/>
      <c r="C9" s="169" t="s">
        <v>180</v>
      </c>
      <c r="D9" s="169"/>
      <c r="E9" s="169"/>
      <c r="F9" s="169"/>
      <c r="G9" s="169"/>
      <c r="H9" s="169"/>
      <c r="I9" s="169"/>
      <c r="J9" s="169"/>
      <c r="K9" s="169"/>
      <c r="L9" s="169"/>
      <c r="M9" s="45"/>
      <c r="N9" s="169" t="s">
        <v>181</v>
      </c>
      <c r="O9" s="169"/>
      <c r="P9" s="169"/>
      <c r="Q9" s="169"/>
      <c r="R9" s="169"/>
      <c r="S9" s="169"/>
      <c r="T9" s="169"/>
      <c r="U9" s="169"/>
      <c r="V9" s="169"/>
      <c r="W9" s="169"/>
      <c r="X9" s="169"/>
    </row>
    <row r="10" spans="1:24" ht="22" customHeight="1">
      <c r="A10" s="45"/>
      <c r="B10" s="45"/>
      <c r="C10" s="45"/>
      <c r="D10" s="45"/>
      <c r="E10" s="45"/>
      <c r="F10" s="45"/>
      <c r="G10" s="45"/>
      <c r="H10" s="45"/>
      <c r="I10" s="45"/>
      <c r="J10" s="45"/>
      <c r="K10" s="45"/>
      <c r="L10" s="45"/>
      <c r="M10" s="45"/>
      <c r="N10" s="45"/>
      <c r="O10" s="45"/>
      <c r="P10" s="45"/>
      <c r="Q10" s="45"/>
      <c r="R10" s="45"/>
      <c r="S10" s="45"/>
      <c r="T10" s="45"/>
      <c r="U10" s="45"/>
      <c r="V10" s="45"/>
      <c r="W10" s="45"/>
      <c r="X10" s="45"/>
    </row>
    <row r="11" spans="1:24" ht="22" customHeight="1">
      <c r="A11" s="45"/>
      <c r="B11" s="45"/>
      <c r="C11" s="45"/>
      <c r="D11" s="45"/>
      <c r="E11" s="45"/>
      <c r="F11" s="45"/>
      <c r="G11" s="45"/>
      <c r="H11" s="45"/>
      <c r="I11" s="45"/>
      <c r="J11" s="45"/>
      <c r="K11" s="45"/>
      <c r="L11" s="45"/>
      <c r="M11" s="45"/>
      <c r="N11" s="45"/>
      <c r="O11" s="45"/>
      <c r="P11" s="45"/>
      <c r="Q11" s="45"/>
      <c r="R11" s="45"/>
      <c r="S11" s="45"/>
      <c r="T11" s="45"/>
      <c r="U11" s="45"/>
      <c r="V11" s="45"/>
      <c r="W11" s="45"/>
      <c r="X11" s="45"/>
    </row>
    <row r="12" spans="1:24" ht="22" customHeight="1">
      <c r="A12" s="45"/>
      <c r="B12" s="45"/>
      <c r="C12" s="45"/>
      <c r="D12" s="45"/>
      <c r="E12" s="45"/>
      <c r="F12" s="45"/>
      <c r="G12" s="45"/>
      <c r="H12" s="45"/>
      <c r="I12" s="45"/>
      <c r="J12" s="45"/>
      <c r="K12" s="45"/>
      <c r="L12" s="45"/>
      <c r="M12" s="45"/>
      <c r="N12" s="45"/>
      <c r="O12" s="45"/>
      <c r="P12" s="45"/>
      <c r="Q12" s="45"/>
      <c r="R12" s="45"/>
      <c r="S12" s="45"/>
      <c r="T12" s="45"/>
      <c r="U12" s="45"/>
      <c r="V12" s="45"/>
      <c r="W12" s="45"/>
      <c r="X12" s="45"/>
    </row>
    <row r="13" spans="1:24" ht="22" customHeight="1">
      <c r="A13" s="170" t="s">
        <v>176</v>
      </c>
      <c r="B13" s="170"/>
      <c r="C13" s="170"/>
      <c r="D13" s="170"/>
      <c r="E13" s="170"/>
      <c r="F13" s="170"/>
      <c r="G13" s="170"/>
      <c r="H13" s="170"/>
      <c r="I13" s="170"/>
      <c r="J13" s="170"/>
      <c r="K13" s="170"/>
      <c r="L13" s="170"/>
      <c r="M13" s="170"/>
      <c r="N13" s="170"/>
      <c r="O13" s="170"/>
      <c r="P13" s="170"/>
      <c r="Q13" s="170"/>
      <c r="R13" s="170"/>
      <c r="S13" s="170"/>
      <c r="T13" s="170"/>
      <c r="U13" s="170"/>
      <c r="V13" s="170"/>
      <c r="W13" s="170"/>
      <c r="X13" s="170"/>
    </row>
    <row r="14" spans="1:24" ht="24" customHeight="1">
      <c r="A14" s="171" t="s">
        <v>182</v>
      </c>
      <c r="B14" s="171"/>
      <c r="C14" s="171"/>
      <c r="D14" s="171"/>
      <c r="E14" s="171"/>
      <c r="F14" s="171"/>
      <c r="G14" s="171"/>
      <c r="H14" s="171"/>
      <c r="I14" s="171"/>
      <c r="J14" s="171"/>
      <c r="K14" s="171"/>
      <c r="L14" s="171"/>
      <c r="M14" s="171"/>
      <c r="N14" s="171"/>
      <c r="O14" s="171"/>
      <c r="P14" s="171"/>
      <c r="Q14" s="171"/>
      <c r="R14" s="171"/>
      <c r="S14" s="171"/>
      <c r="T14" s="171"/>
      <c r="U14" s="171"/>
      <c r="V14" s="171"/>
      <c r="W14" s="171"/>
      <c r="X14" s="171"/>
    </row>
    <row r="15" spans="1:24" ht="24" customHeight="1">
      <c r="A15" s="47" t="s">
        <v>56</v>
      </c>
      <c r="B15" s="45"/>
      <c r="C15" s="48" t="s">
        <v>35</v>
      </c>
      <c r="D15" s="48" t="s">
        <v>36</v>
      </c>
      <c r="E15" s="48" t="s">
        <v>37</v>
      </c>
      <c r="F15" s="48" t="s">
        <v>38</v>
      </c>
      <c r="G15" s="48" t="s">
        <v>39</v>
      </c>
      <c r="H15" s="48" t="s">
        <v>40</v>
      </c>
      <c r="I15" s="48" t="s">
        <v>41</v>
      </c>
      <c r="J15" s="48" t="s">
        <v>42</v>
      </c>
      <c r="K15" s="48" t="s">
        <v>43</v>
      </c>
      <c r="L15" s="48" t="s">
        <v>44</v>
      </c>
      <c r="M15" s="45"/>
      <c r="N15" s="45"/>
      <c r="O15" s="45"/>
      <c r="P15" s="45"/>
      <c r="Q15" s="45"/>
      <c r="R15" s="45"/>
      <c r="S15" s="45"/>
      <c r="T15" s="45"/>
      <c r="U15" s="45"/>
      <c r="V15" s="45"/>
      <c r="W15" s="45"/>
      <c r="X15" s="45"/>
    </row>
    <row r="16" spans="1:24" ht="18" customHeight="1">
      <c r="A16" s="45"/>
      <c r="B16" s="45"/>
      <c r="C16" s="55">
        <v>42735</v>
      </c>
      <c r="D16" s="55">
        <v>43099</v>
      </c>
      <c r="E16" s="55">
        <v>43463</v>
      </c>
      <c r="F16" s="55">
        <v>43827</v>
      </c>
      <c r="G16" s="55">
        <v>44191</v>
      </c>
      <c r="H16" s="55">
        <v>44555</v>
      </c>
      <c r="I16" s="55">
        <v>44926</v>
      </c>
      <c r="J16" s="55">
        <v>45290</v>
      </c>
      <c r="K16" s="55">
        <v>45654</v>
      </c>
      <c r="L16" s="55">
        <v>46018</v>
      </c>
      <c r="M16" s="45"/>
      <c r="N16" s="45"/>
      <c r="O16" s="45"/>
      <c r="P16" s="45"/>
      <c r="Q16" s="45"/>
      <c r="R16" s="45"/>
      <c r="S16" s="45"/>
      <c r="T16" s="45"/>
      <c r="U16" s="45"/>
      <c r="V16" s="45"/>
      <c r="W16" s="45"/>
      <c r="X16" s="45"/>
    </row>
    <row r="17" spans="1:24" ht="24" customHeight="1">
      <c r="A17" s="172" t="s">
        <v>183</v>
      </c>
      <c r="B17" s="172"/>
      <c r="C17" s="172"/>
      <c r="D17" s="172"/>
      <c r="E17" s="172"/>
      <c r="F17" s="172"/>
      <c r="G17" s="172"/>
      <c r="H17" s="172"/>
      <c r="I17" s="172"/>
      <c r="J17" s="172"/>
      <c r="K17" s="172"/>
      <c r="L17" s="172"/>
      <c r="M17" s="172"/>
      <c r="N17" s="172"/>
      <c r="O17" s="172"/>
      <c r="P17" s="172"/>
      <c r="Q17" s="172"/>
      <c r="R17" s="172"/>
      <c r="S17" s="172"/>
      <c r="T17" s="172"/>
      <c r="U17" s="172"/>
      <c r="V17" s="172"/>
      <c r="W17" s="172"/>
      <c r="X17" s="172"/>
    </row>
    <row r="18" spans="1:24" ht="22" customHeight="1">
      <c r="A18" s="56" t="s">
        <v>63</v>
      </c>
      <c r="B18" s="45"/>
      <c r="C18" s="60">
        <v>36732</v>
      </c>
      <c r="D18" s="60">
        <v>36546</v>
      </c>
      <c r="E18" s="60">
        <v>37148</v>
      </c>
      <c r="F18" s="60">
        <v>38644</v>
      </c>
      <c r="G18" s="60">
        <v>40800</v>
      </c>
      <c r="H18" s="60">
        <v>44545</v>
      </c>
      <c r="I18" s="60">
        <v>49390</v>
      </c>
      <c r="J18" s="60">
        <v>52165</v>
      </c>
      <c r="K18" s="60">
        <v>51668</v>
      </c>
      <c r="L18" s="60">
        <v>52228</v>
      </c>
      <c r="M18" s="50"/>
      <c r="N18" s="50"/>
      <c r="O18" s="50"/>
      <c r="P18" s="50"/>
      <c r="Q18" s="50"/>
      <c r="R18" s="50"/>
      <c r="S18" s="50"/>
      <c r="T18" s="50"/>
      <c r="U18" s="50"/>
      <c r="V18" s="50"/>
      <c r="W18" s="50"/>
      <c r="X18" s="50"/>
    </row>
    <row r="19" spans="1:24" ht="20" customHeight="1">
      <c r="A19" s="58" t="s">
        <v>83</v>
      </c>
      <c r="B19" s="45"/>
      <c r="C19" s="59"/>
      <c r="D19" s="51">
        <f>IF(OR('Products &amp; Geography'!C18&lt;=0,'Products &amp; Geography'!D18&lt;0),"",'Products &amp; Geography'!D18/'Products &amp; Geography'!C18-1)</f>
        <v>-5.0637046716759393E-3</v>
      </c>
      <c r="E19" s="51">
        <f>IF(OR('Products &amp; Geography'!D18&lt;=0,'Products &amp; Geography'!E18&lt;0),"",'Products &amp; Geography'!E18/'Products &amp; Geography'!D18-1)</f>
        <v>1.6472390959338945E-2</v>
      </c>
      <c r="F19" s="51">
        <f>IF(OR('Products &amp; Geography'!E18&lt;=0,'Products &amp; Geography'!F18&lt;0),"",'Products &amp; Geography'!F18/'Products &amp; Geography'!E18-1)</f>
        <v>4.0271347044255501E-2</v>
      </c>
      <c r="G19" s="51">
        <f>IF(OR('Products &amp; Geography'!F18&lt;=0,'Products &amp; Geography'!G18&lt;0),"",'Products &amp; Geography'!G18/'Products &amp; Geography'!F18-1)</f>
        <v>5.5791325949694714E-2</v>
      </c>
      <c r="H19" s="51">
        <f>IF(OR('Products &amp; Geography'!G18&lt;=0,'Products &amp; Geography'!H18&lt;0),"",'Products &amp; Geography'!H18/'Products &amp; Geography'!G18-1)</f>
        <v>9.1789215686274517E-2</v>
      </c>
      <c r="I19" s="51">
        <f>IF(OR('Products &amp; Geography'!H18&lt;=0,'Products &amp; Geography'!I18&lt;0),"",'Products &amp; Geography'!I18/'Products &amp; Geography'!H18-1)</f>
        <v>0.10876641598383663</v>
      </c>
      <c r="J19" s="51">
        <f>IF(OR('Products &amp; Geography'!I18&lt;=0,'Products &amp; Geography'!J18&lt;0),"",'Products &amp; Geography'!J18/'Products &amp; Geography'!I18-1)</f>
        <v>5.6185462644259943E-2</v>
      </c>
      <c r="K19" s="51">
        <f>IF(OR('Products &amp; Geography'!J18&lt;=0,'Products &amp; Geography'!K18&lt;0),"",'Products &amp; Geography'!K18/'Products &amp; Geography'!J18-1)</f>
        <v>-9.5274609412441258E-3</v>
      </c>
      <c r="L19" s="51">
        <f>IF(OR('Products &amp; Geography'!K18&lt;=0,'Products &amp; Geography'!L18&lt;0),"",'Products &amp; Geography'!L18/'Products &amp; Geography'!K18-1)</f>
        <v>1.0838429976000707E-2</v>
      </c>
      <c r="M19" s="59"/>
      <c r="N19" s="59"/>
      <c r="O19" s="59"/>
      <c r="P19" s="59"/>
      <c r="Q19" s="59"/>
      <c r="R19" s="59"/>
      <c r="S19" s="59"/>
      <c r="T19" s="59"/>
      <c r="U19" s="59"/>
      <c r="V19" s="59"/>
      <c r="W19" s="59"/>
      <c r="X19" s="59"/>
    </row>
    <row r="20" spans="1:24" ht="20" customHeight="1">
      <c r="A20" s="58" t="s">
        <v>184</v>
      </c>
      <c r="B20" s="45"/>
      <c r="C20" s="51">
        <f>IF('Products &amp; Geography'!C50=0,"",'Products &amp; Geography'!C18/'Products &amp; Geography'!C50)</f>
        <v>0.58491377251230114</v>
      </c>
      <c r="D20" s="51">
        <f>IF('Products &amp; Geography'!D50=0,"",'Products &amp; Geography'!D18/'Products &amp; Geography'!D50)</f>
        <v>0.57530106257378988</v>
      </c>
      <c r="E20" s="51">
        <f>IF('Products &amp; Geography'!E50=0,"",'Products &amp; Geography'!E18/'Products &amp; Geography'!E50)</f>
        <v>0.57450395137718258</v>
      </c>
      <c r="F20" s="51">
        <f>IF('Products &amp; Geography'!F50=0,"",'Products &amp; Geography'!F18/'Products &amp; Geography'!F50)</f>
        <v>0.57539345751254445</v>
      </c>
      <c r="G20" s="51">
        <f>IF('Products &amp; Geography'!G50=0,"",'Products &amp; Geography'!G18/'Products &amp; Geography'!G50)</f>
        <v>0.57977604729153642</v>
      </c>
      <c r="H20" s="51">
        <f>IF('Products &amp; Geography'!H50=0,"",'Products &amp; Geography'!H18/'Products &amp; Geography'!H50)</f>
        <v>0.56049777285653168</v>
      </c>
      <c r="I20" s="51">
        <f>IF('Products &amp; Geography'!I50=0,"",'Products &amp; Geography'!I18/'Products &amp; Geography'!I50)</f>
        <v>0.5716964533753125</v>
      </c>
      <c r="J20" s="51">
        <f>IF('Products &amp; Geography'!J50=0,"",'Products &amp; Geography'!J18/'Products &amp; Geography'!J50)</f>
        <v>0.57029003727957495</v>
      </c>
      <c r="K20" s="51">
        <f>IF('Products &amp; Geography'!K50=0,"",'Products &amp; Geography'!K18/'Products &amp; Geography'!K50)</f>
        <v>0.56250136085527036</v>
      </c>
      <c r="L20" s="51">
        <f>IF('Products &amp; Geography'!L50=0,"",'Products &amp; Geography'!L18/'Products &amp; Geography'!L50)</f>
        <v>0.55606068671812614</v>
      </c>
      <c r="M20" s="59"/>
      <c r="N20" s="59"/>
      <c r="O20" s="59"/>
      <c r="P20" s="59"/>
      <c r="Q20" s="59"/>
      <c r="R20" s="59"/>
      <c r="S20" s="59"/>
      <c r="T20" s="59"/>
      <c r="U20" s="59"/>
      <c r="V20" s="59"/>
      <c r="W20" s="59"/>
      <c r="X20" s="59"/>
    </row>
    <row r="21" spans="1:24" ht="24" customHeight="1">
      <c r="A21" s="172" t="s">
        <v>185</v>
      </c>
      <c r="B21" s="172"/>
      <c r="C21" s="172"/>
      <c r="D21" s="172"/>
      <c r="E21" s="172"/>
      <c r="F21" s="172"/>
      <c r="G21" s="172"/>
      <c r="H21" s="172"/>
      <c r="I21" s="172"/>
      <c r="J21" s="172"/>
      <c r="K21" s="172"/>
      <c r="L21" s="172"/>
      <c r="M21" s="172"/>
      <c r="N21" s="172"/>
      <c r="O21" s="172"/>
      <c r="P21" s="172"/>
      <c r="Q21" s="172"/>
      <c r="R21" s="172"/>
      <c r="S21" s="172"/>
      <c r="T21" s="172"/>
      <c r="U21" s="172"/>
      <c r="V21" s="172"/>
      <c r="W21" s="172"/>
      <c r="X21" s="172"/>
    </row>
    <row r="22" spans="1:24" ht="22" customHeight="1">
      <c r="A22" s="56" t="s">
        <v>63</v>
      </c>
      <c r="B22" s="45"/>
      <c r="C22" s="60">
        <v>3431</v>
      </c>
      <c r="D22" s="60">
        <v>3650</v>
      </c>
      <c r="E22" s="60">
        <v>3878</v>
      </c>
      <c r="F22" s="60">
        <v>4190</v>
      </c>
      <c r="G22" s="60">
        <v>3924</v>
      </c>
      <c r="H22" s="60">
        <v>4580</v>
      </c>
      <c r="I22" s="60">
        <v>5472</v>
      </c>
      <c r="J22" s="60">
        <v>7011</v>
      </c>
      <c r="K22" s="60">
        <v>7123</v>
      </c>
      <c r="L22" s="60">
        <v>6947</v>
      </c>
      <c r="M22" s="50"/>
      <c r="N22" s="50"/>
      <c r="O22" s="50"/>
      <c r="P22" s="50"/>
      <c r="Q22" s="50"/>
      <c r="R22" s="50"/>
      <c r="S22" s="50"/>
      <c r="T22" s="50"/>
      <c r="U22" s="50"/>
      <c r="V22" s="50"/>
      <c r="W22" s="50"/>
      <c r="X22" s="50"/>
    </row>
    <row r="23" spans="1:24" ht="20" customHeight="1">
      <c r="A23" s="58" t="s">
        <v>83</v>
      </c>
      <c r="B23" s="45"/>
      <c r="C23" s="59"/>
      <c r="D23" s="51">
        <f>IF(OR('Products &amp; Geography'!C22&lt;=0,'Products &amp; Geography'!D22&lt;0),"",'Products &amp; Geography'!D22/'Products &amp; Geography'!C22-1)</f>
        <v>6.3829787234042534E-2</v>
      </c>
      <c r="E23" s="51">
        <f>IF(OR('Products &amp; Geography'!D22&lt;=0,'Products &amp; Geography'!E22&lt;0),"",'Products &amp; Geography'!E22/'Products &amp; Geography'!D22-1)</f>
        <v>6.2465753424657544E-2</v>
      </c>
      <c r="F23" s="51">
        <f>IF(OR('Products &amp; Geography'!E22&lt;=0,'Products &amp; Geography'!F22&lt;0),"",'Products &amp; Geography'!F22/'Products &amp; Geography'!E22-1)</f>
        <v>8.0453842186694269E-2</v>
      </c>
      <c r="G23" s="51">
        <f>IF(OR('Products &amp; Geography'!F22&lt;=0,'Products &amp; Geography'!G22&lt;0),"",'Products &amp; Geography'!G22/'Products &amp; Geography'!F22-1)</f>
        <v>-6.3484486873508383E-2</v>
      </c>
      <c r="H23" s="51">
        <f>IF(OR('Products &amp; Geography'!G22&lt;=0,'Products &amp; Geography'!H22&lt;0),"",'Products &amp; Geography'!H22/'Products &amp; Geography'!G22-1)</f>
        <v>0.16717635066258918</v>
      </c>
      <c r="I23" s="51">
        <f>IF(OR('Products &amp; Geography'!H22&lt;=0,'Products &amp; Geography'!I22&lt;0),"",'Products &amp; Geography'!I22/'Products &amp; Geography'!H22-1)</f>
        <v>0.1947598253275109</v>
      </c>
      <c r="J23" s="51">
        <f>IF(OR('Products &amp; Geography'!I22&lt;=0,'Products &amp; Geography'!J22&lt;0),"",'Products &amp; Geography'!J22/'Products &amp; Geography'!I22-1)</f>
        <v>0.28125</v>
      </c>
      <c r="K23" s="51">
        <f>IF(OR('Products &amp; Geography'!J22&lt;=0,'Products &amp; Geography'!K22&lt;0),"",'Products &amp; Geography'!K22/'Products &amp; Geography'!J22-1)</f>
        <v>1.5974896591071097E-2</v>
      </c>
      <c r="L23" s="51">
        <f>IF(OR('Products &amp; Geography'!K22&lt;=0,'Products &amp; Geography'!L22&lt;0),"",'Products &amp; Geography'!L22/'Products &amp; Geography'!K22-1)</f>
        <v>-2.4708690158640967E-2</v>
      </c>
      <c r="M23" s="59"/>
      <c r="N23" s="59"/>
      <c r="O23" s="59"/>
      <c r="P23" s="59"/>
      <c r="Q23" s="59"/>
      <c r="R23" s="59"/>
      <c r="S23" s="59"/>
      <c r="T23" s="59"/>
      <c r="U23" s="59"/>
      <c r="V23" s="59"/>
      <c r="W23" s="59"/>
      <c r="X23" s="59"/>
    </row>
    <row r="24" spans="1:24" ht="20" customHeight="1">
      <c r="A24" s="58" t="s">
        <v>184</v>
      </c>
      <c r="B24" s="45"/>
      <c r="C24" s="51">
        <f>IF('Products &amp; Geography'!C50=0,"",'Products &amp; Geography'!C22/'Products &amp; Geography'!C50)</f>
        <v>5.463462793993535E-2</v>
      </c>
      <c r="D24" s="51">
        <f>IF('Products &amp; Geography'!D50=0,"",'Products &amp; Geography'!D22/'Products &amp; Geography'!D50)</f>
        <v>5.7457693821330182E-2</v>
      </c>
      <c r="E24" s="51">
        <f>IF('Products &amp; Geography'!E50=0,"",'Products &amp; Geography'!E22/'Products &amp; Geography'!E50)</f>
        <v>5.9974327647268059E-2</v>
      </c>
      <c r="F24" s="51">
        <f>IF('Products &amp; Geography'!F50=0,"",'Products &amp; Geography'!F22/'Products &amp; Geography'!F50)</f>
        <v>6.2387397447923647E-2</v>
      </c>
      <c r="G24" s="51">
        <f>IF('Products &amp; Geography'!G50=0,"",'Products &amp; Geography'!G22/'Products &amp; Geography'!G50)</f>
        <v>5.5760813960097765E-2</v>
      </c>
      <c r="H24" s="51">
        <f>IF('Products &amp; Geography'!H50=0,"",'Products &amp; Geography'!H22/'Products &amp; Geography'!H50)</f>
        <v>5.7628910083800992E-2</v>
      </c>
      <c r="I24" s="51">
        <f>IF('Products &amp; Geography'!I50=0,"",'Products &amp; Geography'!I22/'Products &amp; Geography'!I50)</f>
        <v>6.3339198073895736E-2</v>
      </c>
      <c r="J24" s="51">
        <f>IF('Products &amp; Geography'!J50=0,"",'Products &amp; Geography'!J22/'Products &amp; Geography'!J50)</f>
        <v>7.6647243388614977E-2</v>
      </c>
      <c r="K24" s="51">
        <f>IF('Products &amp; Geography'!K50=0,"",'Products &amp; Geography'!K22/'Products &amp; Geography'!K50)</f>
        <v>7.754697672393146E-2</v>
      </c>
      <c r="L24" s="51">
        <f>IF('Products &amp; Geography'!L50=0,"",'Products &amp; Geography'!L22/'Products &amp; Geography'!L50)</f>
        <v>7.3963268565344686E-2</v>
      </c>
      <c r="M24" s="59"/>
      <c r="N24" s="59"/>
      <c r="O24" s="59"/>
      <c r="P24" s="59"/>
      <c r="Q24" s="59"/>
      <c r="R24" s="59"/>
      <c r="S24" s="59"/>
      <c r="T24" s="59"/>
      <c r="U24" s="59"/>
      <c r="V24" s="59"/>
      <c r="W24" s="59"/>
      <c r="X24" s="59"/>
    </row>
    <row r="25" spans="1:24" ht="24" customHeight="1">
      <c r="A25" s="172" t="s">
        <v>186</v>
      </c>
      <c r="B25" s="172"/>
      <c r="C25" s="172"/>
      <c r="D25" s="172"/>
      <c r="E25" s="172"/>
      <c r="F25" s="172"/>
      <c r="G25" s="172"/>
      <c r="H25" s="172"/>
      <c r="I25" s="172"/>
      <c r="J25" s="172"/>
      <c r="K25" s="172"/>
      <c r="L25" s="172"/>
      <c r="M25" s="172"/>
      <c r="N25" s="172"/>
      <c r="O25" s="172"/>
      <c r="P25" s="172"/>
      <c r="Q25" s="172"/>
      <c r="R25" s="172"/>
      <c r="S25" s="172"/>
      <c r="T25" s="172"/>
      <c r="U25" s="172"/>
      <c r="V25" s="172"/>
      <c r="W25" s="172"/>
      <c r="X25" s="172"/>
    </row>
    <row r="26" spans="1:24" ht="22" customHeight="1">
      <c r="A26" s="56" t="s">
        <v>63</v>
      </c>
      <c r="B26" s="45"/>
      <c r="C26" s="60">
        <v>2692</v>
      </c>
      <c r="D26" s="60">
        <v>2691</v>
      </c>
      <c r="E26" s="60">
        <v>2736</v>
      </c>
      <c r="F26" s="60">
        <v>2831</v>
      </c>
      <c r="G26" s="60">
        <v>2989</v>
      </c>
      <c r="H26" s="60">
        <v>3405</v>
      </c>
      <c r="I26" s="60">
        <v>3536</v>
      </c>
      <c r="J26" s="60">
        <v>3722</v>
      </c>
      <c r="K26" s="60">
        <v>3764</v>
      </c>
      <c r="L26" s="60">
        <v>3729</v>
      </c>
      <c r="M26" s="50"/>
      <c r="N26" s="50"/>
      <c r="O26" s="50"/>
      <c r="P26" s="50"/>
      <c r="Q26" s="50"/>
      <c r="R26" s="50"/>
      <c r="S26" s="50"/>
      <c r="T26" s="50"/>
      <c r="U26" s="50"/>
      <c r="V26" s="50"/>
      <c r="W26" s="50"/>
      <c r="X26" s="50"/>
    </row>
    <row r="27" spans="1:24" ht="20" customHeight="1">
      <c r="A27" s="58" t="s">
        <v>83</v>
      </c>
      <c r="B27" s="45"/>
      <c r="C27" s="59"/>
      <c r="D27" s="51">
        <f>IF(OR('Products &amp; Geography'!C26&lt;=0,'Products &amp; Geography'!D26&lt;0),"",'Products &amp; Geography'!D26/'Products &amp; Geography'!C26-1)</f>
        <v>-3.714710252600284E-4</v>
      </c>
      <c r="E27" s="51">
        <f>IF(OR('Products &amp; Geography'!D26&lt;=0,'Products &amp; Geography'!E26&lt;0),"",'Products &amp; Geography'!E26/'Products &amp; Geography'!D26-1)</f>
        <v>1.6722408026755842E-2</v>
      </c>
      <c r="F27" s="51">
        <f>IF(OR('Products &amp; Geography'!E26&lt;=0,'Products &amp; Geography'!F26&lt;0),"",'Products &amp; Geography'!F26/'Products &amp; Geography'!E26-1)</f>
        <v>3.4722222222222321E-2</v>
      </c>
      <c r="G27" s="51">
        <f>IF(OR('Products &amp; Geography'!F26&lt;=0,'Products &amp; Geography'!G26&lt;0),"",'Products &amp; Geography'!G26/'Products &amp; Geography'!F26-1)</f>
        <v>5.5810667608618969E-2</v>
      </c>
      <c r="H27" s="51">
        <f>IF(OR('Products &amp; Geography'!G26&lt;=0,'Products &amp; Geography'!H26&lt;0),"",'Products &amp; Geography'!H26/'Products &amp; Geography'!G26-1)</f>
        <v>0.1391769822683171</v>
      </c>
      <c r="I27" s="51">
        <f>IF(OR('Products &amp; Geography'!H26&lt;=0,'Products &amp; Geography'!I26&lt;0),"",'Products &amp; Geography'!I26/'Products &amp; Geography'!H26-1)</f>
        <v>3.8472834067547756E-2</v>
      </c>
      <c r="J27" s="51">
        <f>IF(OR('Products &amp; Geography'!I26&lt;=0,'Products &amp; Geography'!J26&lt;0),"",'Products &amp; Geography'!J26/'Products &amp; Geography'!I26-1)</f>
        <v>5.2601809954751166E-2</v>
      </c>
      <c r="K27" s="51">
        <f>IF(OR('Products &amp; Geography'!J26&lt;=0,'Products &amp; Geography'!K26&lt;0),"",'Products &amp; Geography'!K26/'Products &amp; Geography'!J26-1)</f>
        <v>1.1284255776464303E-2</v>
      </c>
      <c r="L27" s="51">
        <f>IF(OR('Products &amp; Geography'!K26&lt;=0,'Products &amp; Geography'!L26&lt;0),"",'Products &amp; Geography'!L26/'Products &amp; Geography'!K26-1)</f>
        <v>-9.2986184909670255E-3</v>
      </c>
      <c r="M27" s="59"/>
      <c r="N27" s="59"/>
      <c r="O27" s="59"/>
      <c r="P27" s="59"/>
      <c r="Q27" s="59"/>
      <c r="R27" s="59"/>
      <c r="S27" s="59"/>
      <c r="T27" s="59"/>
      <c r="U27" s="59"/>
      <c r="V27" s="59"/>
      <c r="W27" s="59"/>
      <c r="X27" s="59"/>
    </row>
    <row r="28" spans="1:24" ht="20" customHeight="1">
      <c r="A28" s="58" t="s">
        <v>184</v>
      </c>
      <c r="B28" s="45"/>
      <c r="C28" s="51">
        <f>IF('Products &amp; Geography'!C50=0,"",'Products &amp; Geography'!C26/'Products &amp; Geography'!C50)</f>
        <v>4.286692463255784E-2</v>
      </c>
      <c r="D28" s="51">
        <f>IF('Products &amp; Geography'!D50=0,"",'Products &amp; Geography'!D26/'Products &amp; Geography'!D50)</f>
        <v>4.2361275088547819E-2</v>
      </c>
      <c r="E28" s="51">
        <f>IF('Products &amp; Geography'!E50=0,"",'Products &amp; Geography'!E26/'Products &amp; Geography'!E50)</f>
        <v>4.2312986189511452E-2</v>
      </c>
      <c r="F28" s="51">
        <f>IF('Products &amp; Geography'!F50=0,"",'Products &amp; Geography'!F26/'Products &amp; Geography'!F50)</f>
        <v>4.215243965992168E-2</v>
      </c>
      <c r="G28" s="51">
        <f>IF('Products &amp; Geography'!G50=0,"",'Products &amp; Geography'!G26/'Products &amp; Geography'!G50)</f>
        <v>4.2474279543000058E-2</v>
      </c>
      <c r="H28" s="51">
        <f>IF('Products &amp; Geography'!H50=0,"",'Products &amp; Geography'!H26/'Products &amp; Geography'!H50)</f>
        <v>4.2844200619070391E-2</v>
      </c>
      <c r="I28" s="51">
        <f>IF('Products &amp; Geography'!I50=0,"",'Products &amp; Geography'!I26/'Products &amp; Geography'!I50)</f>
        <v>4.0929715714418002E-2</v>
      </c>
      <c r="J28" s="51">
        <f>IF('Products &amp; Geography'!J50=0,"",'Products &amp; Geography'!J26/'Products &amp; Geography'!J50)</f>
        <v>4.0690492068524452E-2</v>
      </c>
      <c r="K28" s="51">
        <f>IF('Products &amp; Geography'!K50=0,"",'Products &amp; Geography'!K26/'Products &amp; Geography'!K50)</f>
        <v>4.0978073899884601E-2</v>
      </c>
      <c r="L28" s="51">
        <f>IF('Products &amp; Geography'!L50=0,"",'Products &amp; Geography'!L26/'Products &amp; Geography'!L50)</f>
        <v>3.9701889805696035E-2</v>
      </c>
      <c r="M28" s="59"/>
      <c r="N28" s="59"/>
      <c r="O28" s="59"/>
      <c r="P28" s="59"/>
      <c r="Q28" s="59"/>
      <c r="R28" s="59"/>
      <c r="S28" s="59"/>
      <c r="T28" s="59"/>
      <c r="U28" s="59"/>
      <c r="V28" s="59"/>
      <c r="W28" s="59"/>
      <c r="X28" s="59"/>
    </row>
    <row r="29" spans="1:24" ht="24" customHeight="1">
      <c r="A29" s="172" t="s">
        <v>187</v>
      </c>
      <c r="B29" s="172"/>
      <c r="C29" s="172"/>
      <c r="D29" s="172"/>
      <c r="E29" s="172"/>
      <c r="F29" s="172"/>
      <c r="G29" s="172"/>
      <c r="H29" s="172"/>
      <c r="I29" s="172"/>
      <c r="J29" s="172"/>
      <c r="K29" s="172"/>
      <c r="L29" s="172"/>
      <c r="M29" s="172"/>
      <c r="N29" s="172"/>
      <c r="O29" s="172"/>
      <c r="P29" s="172"/>
      <c r="Q29" s="172"/>
      <c r="R29" s="172"/>
      <c r="S29" s="172"/>
      <c r="T29" s="172"/>
      <c r="U29" s="172"/>
      <c r="V29" s="172"/>
      <c r="W29" s="172"/>
      <c r="X29" s="172"/>
    </row>
    <row r="30" spans="1:24" ht="22" customHeight="1">
      <c r="A30" s="56" t="s">
        <v>63</v>
      </c>
      <c r="B30" s="45"/>
      <c r="C30" s="60">
        <v>2648</v>
      </c>
      <c r="D30" s="60">
        <v>3232</v>
      </c>
      <c r="E30" s="60">
        <v>3191</v>
      </c>
      <c r="F30" s="60">
        <v>3263</v>
      </c>
      <c r="G30" s="60">
        <v>3009</v>
      </c>
      <c r="H30" s="60">
        <v>3426</v>
      </c>
      <c r="I30" s="60">
        <v>4118</v>
      </c>
      <c r="J30" s="60">
        <v>3566</v>
      </c>
      <c r="K30" s="60">
        <v>3880</v>
      </c>
      <c r="L30" s="60">
        <v>4768</v>
      </c>
      <c r="M30" s="50"/>
      <c r="N30" s="50"/>
      <c r="O30" s="50"/>
      <c r="P30" s="50"/>
      <c r="Q30" s="50"/>
      <c r="R30" s="50"/>
      <c r="S30" s="50"/>
      <c r="T30" s="50"/>
      <c r="U30" s="50"/>
      <c r="V30" s="50"/>
      <c r="W30" s="50"/>
      <c r="X30" s="50"/>
    </row>
    <row r="31" spans="1:24" ht="20" customHeight="1">
      <c r="A31" s="58" t="s">
        <v>83</v>
      </c>
      <c r="B31" s="45"/>
      <c r="C31" s="59"/>
      <c r="D31" s="51">
        <f>IF(OR('Products &amp; Geography'!C30&lt;=0,'Products &amp; Geography'!D30&lt;0),"",'Products &amp; Geography'!D30/'Products &amp; Geography'!C30-1)</f>
        <v>0.22054380664652573</v>
      </c>
      <c r="E31" s="51">
        <f>IF(OR('Products &amp; Geography'!D30&lt;=0,'Products &amp; Geography'!E30&lt;0),"",'Products &amp; Geography'!E30/'Products &amp; Geography'!D30-1)</f>
        <v>-1.2685643564356419E-2</v>
      </c>
      <c r="F31" s="51">
        <f>IF(OR('Products &amp; Geography'!E30&lt;=0,'Products &amp; Geography'!F30&lt;0),"",'Products &amp; Geography'!F30/'Products &amp; Geography'!E30-1)</f>
        <v>2.2563459730492008E-2</v>
      </c>
      <c r="G31" s="51">
        <f>IF(OR('Products &amp; Geography'!F30&lt;=0,'Products &amp; Geography'!G30&lt;0),"",'Products &amp; Geography'!G30/'Products &amp; Geography'!F30-1)</f>
        <v>-7.7842476248850767E-2</v>
      </c>
      <c r="H31" s="51">
        <f>IF(OR('Products &amp; Geography'!G30&lt;=0,'Products &amp; Geography'!H30&lt;0),"",'Products &amp; Geography'!H30/'Products &amp; Geography'!G30-1)</f>
        <v>0.13858424725822527</v>
      </c>
      <c r="I31" s="51">
        <f>IF(OR('Products &amp; Geography'!H30&lt;=0,'Products &amp; Geography'!I30&lt;0),"",'Products &amp; Geography'!I30/'Products &amp; Geography'!H30-1)</f>
        <v>0.20198482194979572</v>
      </c>
      <c r="J31" s="51">
        <f>IF(OR('Products &amp; Geography'!I30&lt;=0,'Products &amp; Geography'!J30&lt;0),"",'Products &amp; Geography'!J30/'Products &amp; Geography'!I30-1)</f>
        <v>-0.13404565322972317</v>
      </c>
      <c r="K31" s="51">
        <f>IF(OR('Products &amp; Geography'!J30&lt;=0,'Products &amp; Geography'!K30&lt;0),"",'Products &amp; Geography'!K30/'Products &amp; Geography'!J30-1)</f>
        <v>8.8053841839596192E-2</v>
      </c>
      <c r="L31" s="51">
        <f>IF(OR('Products &amp; Geography'!K30&lt;=0,'Products &amp; Geography'!L30&lt;0),"",'Products &amp; Geography'!L30/'Products &amp; Geography'!K30-1)</f>
        <v>0.22886597938144337</v>
      </c>
      <c r="M31" s="59"/>
      <c r="N31" s="59"/>
      <c r="O31" s="59"/>
      <c r="P31" s="59"/>
      <c r="Q31" s="59"/>
      <c r="R31" s="59"/>
      <c r="S31" s="59"/>
      <c r="T31" s="59"/>
      <c r="U31" s="59"/>
      <c r="V31" s="59"/>
      <c r="W31" s="59"/>
      <c r="X31" s="59"/>
    </row>
    <row r="32" spans="1:24" ht="20" customHeight="1">
      <c r="A32" s="58" t="s">
        <v>184</v>
      </c>
      <c r="B32" s="45"/>
      <c r="C32" s="51">
        <f>IF('Products &amp; Geography'!C50=0,"",'Products &amp; Geography'!C30/'Products &amp; Geography'!C50)</f>
        <v>4.2166276533065816E-2</v>
      </c>
      <c r="D32" s="51">
        <f>IF('Products &amp; Geography'!D50=0,"",'Products &amp; Geography'!D30/'Products &amp; Geography'!D50)</f>
        <v>5.0877607241243607E-2</v>
      </c>
      <c r="E32" s="51">
        <f>IF('Products &amp; Geography'!E50=0,"",'Products &amp; Geography'!E30/'Products &amp; Geography'!E50)</f>
        <v>4.9349685281699945E-2</v>
      </c>
      <c r="F32" s="51">
        <f>IF('Products &amp; Geography'!F50=0,"",'Products &amp; Geography'!F30/'Products &amp; Geography'!F50)</f>
        <v>4.85847441223329E-2</v>
      </c>
      <c r="G32" s="51">
        <f>IF('Products &amp; Geography'!G50=0,"",'Products &amp; Geography'!G30/'Products &amp; Geography'!G50)</f>
        <v>4.2758483487750812E-2</v>
      </c>
      <c r="H32" s="51">
        <f>IF('Products &amp; Geography'!H50=0,"",'Products &amp; Geography'!H30/'Products &amp; Geography'!H50)</f>
        <v>4.3108437979716634E-2</v>
      </c>
      <c r="I32" s="51">
        <f>IF('Products &amp; Geography'!I50=0,"",'Products &amp; Geography'!I30/'Products &amp; Geography'!I50)</f>
        <v>4.7666450597277525E-2</v>
      </c>
      <c r="J32" s="51">
        <f>IF('Products &amp; Geography'!J50=0,"",'Products &amp; Geography'!J30/'Products &amp; Geography'!J50)</f>
        <v>3.8985033507887748E-2</v>
      </c>
      <c r="K32" s="51">
        <f>IF('Products &amp; Geography'!K50=0,"",'Products &amp; Geography'!K30/'Products &amp; Geography'!K50)</f>
        <v>4.2240947590741831E-2</v>
      </c>
      <c r="L32" s="51">
        <f>IF('Products &amp; Geography'!L50=0,"",'Products &amp; Geography'!L30/'Products &amp; Geography'!L50)</f>
        <v>5.0763907372903913E-2</v>
      </c>
      <c r="M32" s="59"/>
      <c r="N32" s="59"/>
      <c r="O32" s="59"/>
      <c r="P32" s="59"/>
      <c r="Q32" s="59"/>
      <c r="R32" s="59"/>
      <c r="S32" s="59"/>
      <c r="T32" s="59"/>
      <c r="U32" s="59"/>
      <c r="V32" s="59"/>
      <c r="W32" s="59"/>
      <c r="X32" s="59"/>
    </row>
    <row r="33" spans="1:24" ht="24" customHeight="1">
      <c r="A33" s="172" t="s">
        <v>188</v>
      </c>
      <c r="B33" s="172"/>
      <c r="C33" s="172"/>
      <c r="D33" s="172"/>
      <c r="E33" s="172"/>
      <c r="F33" s="172"/>
      <c r="G33" s="172"/>
      <c r="H33" s="172"/>
      <c r="I33" s="172"/>
      <c r="J33" s="172"/>
      <c r="K33" s="172"/>
      <c r="L33" s="172"/>
      <c r="M33" s="172"/>
      <c r="N33" s="172"/>
      <c r="O33" s="172"/>
      <c r="P33" s="172"/>
      <c r="Q33" s="172"/>
      <c r="R33" s="172"/>
      <c r="S33" s="172"/>
      <c r="T33" s="172"/>
      <c r="U33" s="172"/>
      <c r="V33" s="172"/>
      <c r="W33" s="172"/>
      <c r="X33" s="172"/>
    </row>
    <row r="34" spans="1:24" ht="22" customHeight="1">
      <c r="A34" s="56" t="s">
        <v>63</v>
      </c>
      <c r="B34" s="45"/>
      <c r="C34" s="60">
        <v>1737</v>
      </c>
      <c r="D34" s="60">
        <v>1650</v>
      </c>
      <c r="E34" s="60">
        <v>1743</v>
      </c>
      <c r="F34" s="60">
        <v>1723</v>
      </c>
      <c r="G34" s="60">
        <v>1882</v>
      </c>
      <c r="H34" s="60">
        <v>2102</v>
      </c>
      <c r="I34" s="60">
        <v>1844</v>
      </c>
      <c r="J34" s="60">
        <v>1946</v>
      </c>
      <c r="K34" s="60">
        <v>2063</v>
      </c>
      <c r="L34" s="60">
        <v>2142</v>
      </c>
      <c r="M34" s="50"/>
      <c r="N34" s="50"/>
      <c r="O34" s="50"/>
      <c r="P34" s="50"/>
      <c r="Q34" s="50"/>
      <c r="R34" s="50"/>
      <c r="S34" s="50"/>
      <c r="T34" s="50"/>
      <c r="U34" s="50"/>
      <c r="V34" s="50"/>
      <c r="W34" s="50"/>
      <c r="X34" s="50"/>
    </row>
    <row r="35" spans="1:24" ht="20" customHeight="1">
      <c r="A35" s="58" t="s">
        <v>83</v>
      </c>
      <c r="B35" s="45"/>
      <c r="C35" s="59"/>
      <c r="D35" s="51">
        <f>IF(OR('Products &amp; Geography'!C34&lt;=0,'Products &amp; Geography'!D34&lt;0),"",'Products &amp; Geography'!D34/'Products &amp; Geography'!C34-1)</f>
        <v>-5.0086355785837644E-2</v>
      </c>
      <c r="E35" s="51">
        <f>IF(OR('Products &amp; Geography'!D34&lt;=0,'Products &amp; Geography'!E34&lt;0),"",'Products &amp; Geography'!E34/'Products &amp; Geography'!D34-1)</f>
        <v>5.6363636363636394E-2</v>
      </c>
      <c r="F35" s="51">
        <f>IF(OR('Products &amp; Geography'!E34&lt;=0,'Products &amp; Geography'!F34&lt;0),"",'Products &amp; Geography'!F34/'Products &amp; Geography'!E34-1)</f>
        <v>-1.1474469305794655E-2</v>
      </c>
      <c r="G35" s="51">
        <f>IF(OR('Products &amp; Geography'!F34&lt;=0,'Products &amp; Geography'!G34&lt;0),"",'Products &amp; Geography'!G34/'Products &amp; Geography'!F34-1)</f>
        <v>9.2280905397562396E-2</v>
      </c>
      <c r="H35" s="51">
        <f>IF(OR('Products &amp; Geography'!G34&lt;=0,'Products &amp; Geography'!H34&lt;0),"",'Products &amp; Geography'!H34/'Products &amp; Geography'!G34-1)</f>
        <v>0.1168969181721573</v>
      </c>
      <c r="I35" s="51">
        <f>IF(OR('Products &amp; Geography'!H34&lt;=0,'Products &amp; Geography'!I34&lt;0),"",'Products &amp; Geography'!I34/'Products &amp; Geography'!H34-1)</f>
        <v>-0.12274024738344436</v>
      </c>
      <c r="J35" s="51">
        <f>IF(OR('Products &amp; Geography'!I34&lt;=0,'Products &amp; Geography'!J34&lt;0),"",'Products &amp; Geography'!J34/'Products &amp; Geography'!I34-1)</f>
        <v>5.5314533622559559E-2</v>
      </c>
      <c r="K35" s="51">
        <f>IF(OR('Products &amp; Geography'!J34&lt;=0,'Products &amp; Geography'!K34&lt;0),"",'Products &amp; Geography'!K34/'Products &amp; Geography'!J34-1)</f>
        <v>6.0123329907502576E-2</v>
      </c>
      <c r="L35" s="51">
        <f>IF(OR('Products &amp; Geography'!K34&lt;=0,'Products &amp; Geography'!L34&lt;0),"",'Products &amp; Geography'!L34/'Products &amp; Geography'!K34-1)</f>
        <v>3.8293746970431419E-2</v>
      </c>
      <c r="M35" s="59"/>
      <c r="N35" s="59"/>
      <c r="O35" s="59"/>
      <c r="P35" s="59"/>
      <c r="Q35" s="59"/>
      <c r="R35" s="59"/>
      <c r="S35" s="59"/>
      <c r="T35" s="59"/>
      <c r="U35" s="59"/>
      <c r="V35" s="59"/>
      <c r="W35" s="59"/>
      <c r="X35" s="59"/>
    </row>
    <row r="36" spans="1:24" ht="20" customHeight="1">
      <c r="A36" s="58" t="s">
        <v>184</v>
      </c>
      <c r="B36" s="45"/>
      <c r="C36" s="51">
        <f>IF('Products &amp; Geography'!C50=0,"",'Products &amp; Geography'!C34/'Products &amp; Geography'!C50)</f>
        <v>2.7659676109492191E-2</v>
      </c>
      <c r="D36" s="51">
        <f>IF('Products &amp; Geography'!D50=0,"",'Products &amp; Geography'!D34/'Products &amp; Geography'!D50)</f>
        <v>2.5974025974025976E-2</v>
      </c>
      <c r="E36" s="51">
        <f>IF('Products &amp; Geography'!E50=0,"",'Products &amp; Geography'!E34/'Products &amp; Geography'!E50)</f>
        <v>2.695597036853745E-2</v>
      </c>
      <c r="F36" s="51">
        <f>IF('Products &amp; Geography'!F50=0,"",'Products &amp; Geography'!F34/'Products &amp; Geography'!F50)</f>
        <v>2.5654769881329937E-2</v>
      </c>
      <c r="G36" s="51">
        <f>IF('Products &amp; Geography'!G50=0,"",'Products &amp; Geography'!G34/'Products &amp; Geography'!G50)</f>
        <v>2.6743591201045872E-2</v>
      </c>
      <c r="H36" s="51">
        <f>IF('Products &amp; Geography'!H50=0,"",'Products &amp; Geography'!H34/'Products &amp; Geography'!H50)</f>
        <v>2.6448901527543599E-2</v>
      </c>
      <c r="I36" s="51">
        <f>IF('Products &amp; Geography'!I50=0,"",'Products &amp; Geography'!I34/'Products &amp; Geography'!I50)</f>
        <v>2.1344568941568665E-2</v>
      </c>
      <c r="J36" s="51">
        <f>IF('Products &amp; Geography'!J50=0,"",'Products &amp; Geography'!J34/'Products &amp; Geography'!J50)</f>
        <v>2.1274502301275814E-2</v>
      </c>
      <c r="K36" s="51">
        <f>IF('Products &amp; Geography'!K50=0,"",'Products &amp; Geography'!K34/'Products &amp; Geography'!K50)</f>
        <v>2.245955538136608E-2</v>
      </c>
      <c r="L36" s="51">
        <f>IF('Products &amp; Geography'!L50=0,"",'Products &amp; Geography'!L34/'Products &amp; Geography'!L50)</f>
        <v>2.2805429864253393E-2</v>
      </c>
      <c r="M36" s="59"/>
      <c r="N36" s="59"/>
      <c r="O36" s="59"/>
      <c r="P36" s="59"/>
      <c r="Q36" s="59"/>
      <c r="R36" s="59"/>
      <c r="S36" s="59"/>
      <c r="T36" s="59"/>
      <c r="U36" s="59"/>
      <c r="V36" s="59"/>
      <c r="W36" s="59"/>
      <c r="X36" s="59"/>
    </row>
    <row r="37" spans="1:24" ht="24" customHeight="1">
      <c r="A37" s="172" t="s">
        <v>189</v>
      </c>
      <c r="B37" s="172"/>
      <c r="C37" s="172"/>
      <c r="D37" s="172"/>
      <c r="E37" s="172"/>
      <c r="F37" s="172"/>
      <c r="G37" s="172"/>
      <c r="H37" s="172"/>
      <c r="I37" s="172"/>
      <c r="J37" s="172"/>
      <c r="K37" s="172"/>
      <c r="L37" s="172"/>
      <c r="M37" s="172"/>
      <c r="N37" s="172"/>
      <c r="O37" s="172"/>
      <c r="P37" s="172"/>
      <c r="Q37" s="172"/>
      <c r="R37" s="172"/>
      <c r="S37" s="172"/>
      <c r="T37" s="172"/>
      <c r="U37" s="172"/>
      <c r="V37" s="172"/>
      <c r="W37" s="172"/>
      <c r="X37" s="172"/>
    </row>
    <row r="38" spans="1:24" ht="22" customHeight="1">
      <c r="A38" s="56" t="s">
        <v>63</v>
      </c>
      <c r="B38" s="45"/>
      <c r="C38" s="60">
        <v>1305</v>
      </c>
      <c r="D38" s="60">
        <v>1427</v>
      </c>
      <c r="E38" s="60">
        <v>1335</v>
      </c>
      <c r="F38" s="60">
        <v>1295</v>
      </c>
      <c r="G38" s="50"/>
      <c r="H38" s="60">
        <v>1252</v>
      </c>
      <c r="I38" s="60">
        <v>1617</v>
      </c>
      <c r="J38" s="60">
        <v>1779</v>
      </c>
      <c r="K38" s="60">
        <v>1765</v>
      </c>
      <c r="L38" s="60">
        <v>1782</v>
      </c>
      <c r="M38" s="50"/>
      <c r="N38" s="50"/>
      <c r="O38" s="50"/>
      <c r="P38" s="50"/>
      <c r="Q38" s="50"/>
      <c r="R38" s="50"/>
      <c r="S38" s="50"/>
      <c r="T38" s="50"/>
      <c r="U38" s="50"/>
      <c r="V38" s="50"/>
      <c r="W38" s="50"/>
      <c r="X38" s="50"/>
    </row>
    <row r="39" spans="1:24" ht="20" customHeight="1">
      <c r="A39" s="58" t="s">
        <v>83</v>
      </c>
      <c r="B39" s="45"/>
      <c r="C39" s="59"/>
      <c r="D39" s="51">
        <f>IF(OR('Products &amp; Geography'!C38&lt;=0,'Products &amp; Geography'!D38&lt;0),"",'Products &amp; Geography'!D38/'Products &amp; Geography'!C38-1)</f>
        <v>9.3486590038314166E-2</v>
      </c>
      <c r="E39" s="51">
        <f>IF(OR('Products &amp; Geography'!D38&lt;=0,'Products &amp; Geography'!E38&lt;0),"",'Products &amp; Geography'!E38/'Products &amp; Geography'!D38-1)</f>
        <v>-6.4470918009810751E-2</v>
      </c>
      <c r="F39" s="51">
        <f>IF(OR('Products &amp; Geography'!E38&lt;=0,'Products &amp; Geography'!F38&lt;0),"",'Products &amp; Geography'!F38/'Products &amp; Geography'!E38-1)</f>
        <v>-2.9962546816479363E-2</v>
      </c>
      <c r="G39" s="59"/>
      <c r="H39" s="59"/>
      <c r="I39" s="51">
        <f>IF(OR('Products &amp; Geography'!H38&lt;=0,'Products &amp; Geography'!I38&lt;0),"",'Products &amp; Geography'!I38/'Products &amp; Geography'!H38-1)</f>
        <v>0.29153354632587858</v>
      </c>
      <c r="J39" s="51">
        <f>IF(OR('Products &amp; Geography'!I38&lt;=0,'Products &amp; Geography'!J38&lt;0),"",'Products &amp; Geography'!J38/'Products &amp; Geography'!I38-1)</f>
        <v>0.1001855287569573</v>
      </c>
      <c r="K39" s="51">
        <f>IF(OR('Products &amp; Geography'!J38&lt;=0,'Products &amp; Geography'!K38&lt;0),"",'Products &amp; Geography'!K38/'Products &amp; Geography'!J38-1)</f>
        <v>-7.8695896571107093E-3</v>
      </c>
      <c r="L39" s="51">
        <f>IF(OR('Products &amp; Geography'!K38&lt;=0,'Products &amp; Geography'!L38&lt;0),"",'Products &amp; Geography'!L38/'Products &amp; Geography'!K38-1)</f>
        <v>9.6317280453257492E-3</v>
      </c>
      <c r="M39" s="59"/>
      <c r="N39" s="59"/>
      <c r="O39" s="59"/>
      <c r="P39" s="59"/>
      <c r="Q39" s="59"/>
      <c r="R39" s="59"/>
      <c r="S39" s="59"/>
      <c r="T39" s="59"/>
      <c r="U39" s="59"/>
      <c r="V39" s="59"/>
      <c r="W39" s="59"/>
      <c r="X39" s="59"/>
    </row>
    <row r="40" spans="1:24" ht="20" customHeight="1">
      <c r="A40" s="58" t="s">
        <v>184</v>
      </c>
      <c r="B40" s="45"/>
      <c r="C40" s="51">
        <f>IF('Products &amp; Geography'!C50=0,"",'Products &amp; Geography'!C38/'Products &amp; Geography'!C50)</f>
        <v>2.0780585678115894E-2</v>
      </c>
      <c r="D40" s="51">
        <f>IF('Products &amp; Geography'!D50=0,"",'Products &amp; Geography'!D38/'Products &amp; Geography'!D50)</f>
        <v>2.2463597009051553E-2</v>
      </c>
      <c r="E40" s="51">
        <f>IF('Products &amp; Geography'!E50=0,"",'Products &amp; Geography'!E38/'Products &amp; Geography'!E50)</f>
        <v>2.0646139094662935E-2</v>
      </c>
      <c r="F40" s="51">
        <f>IF('Products &amp; Geography'!F50=0,"",'Products &amp; Geography'!F38/'Products &amp; Geography'!F50)</f>
        <v>1.9282023793570673E-2</v>
      </c>
      <c r="G40" s="59"/>
      <c r="H40" s="51">
        <f>IF('Products &amp; Geography'!H50=0,"",'Products &amp; Geography'!H38/'Products &amp; Geography'!H50)</f>
        <v>1.5753579787100184E-2</v>
      </c>
      <c r="I40" s="51">
        <f>IF('Products &amp; Geography'!I50=0,"",'Products &amp; Geography'!I38/'Products &amp; Geography'!I50)</f>
        <v>1.8717010834336512E-2</v>
      </c>
      <c r="J40" s="51">
        <f>IF('Products &amp; Geography'!J50=0,"",'Products &amp; Geography'!J38/'Products &amp; Geography'!J50)</f>
        <v>1.9448787047260881E-2</v>
      </c>
      <c r="K40" s="51">
        <f>IF('Products &amp; Geography'!K50=0,"",'Products &amp; Geography'!K38/'Products &amp; Geography'!K50)</f>
        <v>1.9215276416922507E-2</v>
      </c>
      <c r="L40" s="51">
        <f>IF('Products &amp; Geography'!L50=0,"",'Products &amp; Geography'!L38/'Products &amp; Geography'!L50)</f>
        <v>1.8972584508916687E-2</v>
      </c>
      <c r="M40" s="59"/>
      <c r="N40" s="59"/>
      <c r="O40" s="59"/>
      <c r="P40" s="59"/>
      <c r="Q40" s="59"/>
      <c r="R40" s="59"/>
      <c r="S40" s="59"/>
      <c r="T40" s="59"/>
      <c r="U40" s="59"/>
      <c r="V40" s="59"/>
      <c r="W40" s="59"/>
      <c r="X40" s="59"/>
    </row>
    <row r="41" spans="1:24" ht="24" customHeight="1">
      <c r="A41" s="172" t="s">
        <v>190</v>
      </c>
      <c r="B41" s="172"/>
      <c r="C41" s="172"/>
      <c r="D41" s="172"/>
      <c r="E41" s="172"/>
      <c r="F41" s="172"/>
      <c r="G41" s="172"/>
      <c r="H41" s="172"/>
      <c r="I41" s="172"/>
      <c r="J41" s="172"/>
      <c r="K41" s="172"/>
      <c r="L41" s="172"/>
      <c r="M41" s="172"/>
      <c r="N41" s="172"/>
      <c r="O41" s="172"/>
      <c r="P41" s="172"/>
      <c r="Q41" s="172"/>
      <c r="R41" s="172"/>
      <c r="S41" s="172"/>
      <c r="T41" s="172"/>
      <c r="U41" s="172"/>
      <c r="V41" s="172"/>
      <c r="W41" s="172"/>
      <c r="X41" s="172"/>
    </row>
    <row r="42" spans="1:24" ht="22" customHeight="1">
      <c r="A42" s="56" t="s">
        <v>63</v>
      </c>
      <c r="B42" s="45"/>
      <c r="C42" s="50"/>
      <c r="D42" s="60">
        <v>963</v>
      </c>
      <c r="E42" s="60">
        <v>1164</v>
      </c>
      <c r="F42" s="60">
        <v>1300</v>
      </c>
      <c r="G42" s="60">
        <v>1732</v>
      </c>
      <c r="H42" s="60">
        <v>2679</v>
      </c>
      <c r="I42" s="60">
        <v>2752</v>
      </c>
      <c r="J42" s="60">
        <v>2703</v>
      </c>
      <c r="K42" s="60">
        <v>2709</v>
      </c>
      <c r="L42" s="60">
        <v>2621</v>
      </c>
      <c r="M42" s="50"/>
      <c r="N42" s="50"/>
      <c r="O42" s="50"/>
      <c r="P42" s="50"/>
      <c r="Q42" s="50"/>
      <c r="R42" s="50"/>
      <c r="S42" s="50"/>
      <c r="T42" s="50"/>
      <c r="U42" s="50"/>
      <c r="V42" s="50"/>
      <c r="W42" s="50"/>
      <c r="X42" s="50"/>
    </row>
    <row r="43" spans="1:24" ht="20" customHeight="1">
      <c r="A43" s="58" t="s">
        <v>83</v>
      </c>
      <c r="B43" s="45"/>
      <c r="C43" s="59"/>
      <c r="D43" s="59"/>
      <c r="E43" s="51">
        <f>IF(OR('Products &amp; Geography'!D42&lt;=0,'Products &amp; Geography'!E42&lt;0),"",'Products &amp; Geography'!E42/'Products &amp; Geography'!D42-1)</f>
        <v>0.20872274143302172</v>
      </c>
      <c r="F43" s="51">
        <f>IF(OR('Products &amp; Geography'!E42&lt;=0,'Products &amp; Geography'!F42&lt;0),"",'Products &amp; Geography'!F42/'Products &amp; Geography'!E42-1)</f>
        <v>0.11683848797250862</v>
      </c>
      <c r="G43" s="51">
        <f>IF(OR('Products &amp; Geography'!F42&lt;=0,'Products &amp; Geography'!G42&lt;0),"",'Products &amp; Geography'!G42/'Products &amp; Geography'!F42-1)</f>
        <v>0.33230769230769241</v>
      </c>
      <c r="H43" s="51">
        <f>IF(OR('Products &amp; Geography'!G42&lt;=0,'Products &amp; Geography'!H42&lt;0),"",'Products &amp; Geography'!H42/'Products &amp; Geography'!G42-1)</f>
        <v>0.54676674364896072</v>
      </c>
      <c r="I43" s="51">
        <f>IF(OR('Products &amp; Geography'!H42&lt;=0,'Products &amp; Geography'!I42&lt;0),"",'Products &amp; Geography'!I42/'Products &amp; Geography'!H42-1)</f>
        <v>2.7248973497573825E-2</v>
      </c>
      <c r="J43" s="51">
        <f>IF(OR('Products &amp; Geography'!I42&lt;=0,'Products &amp; Geography'!J42&lt;0),"",'Products &amp; Geography'!J42/'Products &amp; Geography'!I42-1)</f>
        <v>-1.7805232558139483E-2</v>
      </c>
      <c r="K43" s="51">
        <f>IF(OR('Products &amp; Geography'!J42&lt;=0,'Products &amp; Geography'!K42&lt;0),"",'Products &amp; Geography'!K42/'Products &amp; Geography'!J42-1)</f>
        <v>2.2197558268590711E-3</v>
      </c>
      <c r="L43" s="51">
        <f>IF(OR('Products &amp; Geography'!K42&lt;=0,'Products &amp; Geography'!L42&lt;0),"",'Products &amp; Geography'!L42/'Products &amp; Geography'!K42-1)</f>
        <v>-3.2484311554079048E-2</v>
      </c>
      <c r="M43" s="59"/>
      <c r="N43" s="59"/>
      <c r="O43" s="59"/>
      <c r="P43" s="59"/>
      <c r="Q43" s="59"/>
      <c r="R43" s="59"/>
      <c r="S43" s="59"/>
      <c r="T43" s="59"/>
      <c r="U43" s="59"/>
      <c r="V43" s="59"/>
      <c r="W43" s="59"/>
      <c r="X43" s="59"/>
    </row>
    <row r="44" spans="1:24" ht="20" customHeight="1">
      <c r="A44" s="58" t="s">
        <v>184</v>
      </c>
      <c r="B44" s="45"/>
      <c r="C44" s="59"/>
      <c r="D44" s="51">
        <f>IF('Products &amp; Geography'!D50=0,"",'Products &amp; Geography'!D42/'Products &amp; Geography'!D50)</f>
        <v>1.5159386068476978E-2</v>
      </c>
      <c r="E44" s="51">
        <f>IF('Products &amp; Geography'!E50=0,"",'Products &amp; Geography'!E42/'Products &amp; Geography'!E50)</f>
        <v>1.8001577457818468E-2</v>
      </c>
      <c r="F44" s="51">
        <f>IF('Products &amp; Geography'!F50=0,"",'Products &amp; Geography'!F42/'Products &amp; Geography'!F50)</f>
        <v>1.9356471761885617E-2</v>
      </c>
      <c r="G44" s="51">
        <f>IF('Products &amp; Geography'!G50=0,"",'Products &amp; Geography'!G42/'Products &amp; Geography'!G50)</f>
        <v>2.4612061615415223E-2</v>
      </c>
      <c r="H44" s="51">
        <f>IF('Products &amp; Geography'!H50=0,"",'Products &amp; Geography'!H42/'Products &amp; Geography'!H50)</f>
        <v>3.3709137579585775E-2</v>
      </c>
      <c r="I44" s="51">
        <f>IF('Products &amp; Geography'!I50=0,"",'Products &amp; Geography'!I42/'Products &amp; Geography'!I50)</f>
        <v>3.1854801370497267E-2</v>
      </c>
      <c r="J44" s="51">
        <f>IF('Products &amp; Geography'!J50=0,"",'Products &amp; Geography'!J42/'Products &amp; Geography'!J50)</f>
        <v>2.9550349291032129E-2</v>
      </c>
      <c r="K44" s="51">
        <f>IF('Products &amp; Geography'!K50=0,"",'Products &amp; Geography'!K42/'Products &amp; Geography'!K50)</f>
        <v>2.9492455418381344E-2</v>
      </c>
      <c r="L44" s="51">
        <f>IF('Products &amp; Geography'!L50=0,"",'Products &amp; Geography'!L42/'Products &amp; Geography'!L50)</f>
        <v>2.7905243545381955E-2</v>
      </c>
      <c r="M44" s="59"/>
      <c r="N44" s="59"/>
      <c r="O44" s="59"/>
      <c r="P44" s="59"/>
      <c r="Q44" s="59"/>
      <c r="R44" s="59"/>
      <c r="S44" s="59"/>
      <c r="T44" s="59"/>
      <c r="U44" s="59"/>
      <c r="V44" s="59"/>
      <c r="W44" s="59"/>
      <c r="X44" s="59"/>
    </row>
    <row r="45" spans="1:24" ht="24" customHeight="1">
      <c r="A45" s="172" t="s">
        <v>191</v>
      </c>
      <c r="B45" s="172"/>
      <c r="C45" s="172"/>
      <c r="D45" s="172"/>
      <c r="E45" s="172"/>
      <c r="F45" s="172"/>
      <c r="G45" s="172"/>
      <c r="H45" s="172"/>
      <c r="I45" s="172"/>
      <c r="J45" s="172"/>
      <c r="K45" s="172"/>
      <c r="L45" s="172"/>
      <c r="M45" s="172"/>
      <c r="N45" s="172"/>
      <c r="O45" s="172"/>
      <c r="P45" s="172"/>
      <c r="Q45" s="172"/>
      <c r="R45" s="172"/>
      <c r="S45" s="172"/>
      <c r="T45" s="172"/>
      <c r="U45" s="172"/>
      <c r="V45" s="172"/>
      <c r="W45" s="172"/>
      <c r="X45" s="172"/>
    </row>
    <row r="46" spans="1:24" ht="22" customHeight="1">
      <c r="A46" s="56" t="s">
        <v>63</v>
      </c>
      <c r="B46" s="45"/>
      <c r="C46" s="50"/>
      <c r="D46" s="50"/>
      <c r="E46" s="60">
        <v>432</v>
      </c>
      <c r="F46" s="60">
        <v>405</v>
      </c>
      <c r="G46" s="60">
        <v>1282</v>
      </c>
      <c r="H46" s="60">
        <v>2008</v>
      </c>
      <c r="I46" s="60">
        <v>1837</v>
      </c>
      <c r="J46" s="60">
        <v>1707</v>
      </c>
      <c r="K46" s="60">
        <v>1859</v>
      </c>
      <c r="L46" s="60">
        <v>1767</v>
      </c>
      <c r="M46" s="50"/>
      <c r="N46" s="50"/>
      <c r="O46" s="50"/>
      <c r="P46" s="50"/>
      <c r="Q46" s="50"/>
      <c r="R46" s="50"/>
      <c r="S46" s="50"/>
      <c r="T46" s="50"/>
      <c r="U46" s="50"/>
      <c r="V46" s="50"/>
      <c r="W46" s="50"/>
      <c r="X46" s="50"/>
    </row>
    <row r="47" spans="1:24" ht="20" customHeight="1">
      <c r="A47" s="58" t="s">
        <v>83</v>
      </c>
      <c r="B47" s="45"/>
      <c r="C47" s="59"/>
      <c r="D47" s="59"/>
      <c r="E47" s="59"/>
      <c r="F47" s="51">
        <f>IF(OR('Products &amp; Geography'!E46&lt;=0,'Products &amp; Geography'!F46&lt;0),"",'Products &amp; Geography'!F46/'Products &amp; Geography'!E46-1)</f>
        <v>-6.25E-2</v>
      </c>
      <c r="G47" s="51">
        <f>IF(OR('Products &amp; Geography'!F46&lt;=0,'Products &amp; Geography'!G46&lt;0),"",'Products &amp; Geography'!G46/'Products &amp; Geography'!F46-1)</f>
        <v>2.1654320987654323</v>
      </c>
      <c r="H47" s="51">
        <f>IF(OR('Products &amp; Geography'!G46&lt;=0,'Products &amp; Geography'!H46&lt;0),"",'Products &amp; Geography'!H46/'Products &amp; Geography'!G46-1)</f>
        <v>0.56630265210608433</v>
      </c>
      <c r="I47" s="51">
        <f>IF(OR('Products &amp; Geography'!H46&lt;=0,'Products &amp; Geography'!I46&lt;0),"",'Products &amp; Geography'!I46/'Products &amp; Geography'!H46-1)</f>
        <v>-8.5159362549800832E-2</v>
      </c>
      <c r="J47" s="51">
        <f>IF(OR('Products &amp; Geography'!I46&lt;=0,'Products &amp; Geography'!J46&lt;0),"",'Products &amp; Geography'!J46/'Products &amp; Geography'!I46-1)</f>
        <v>-7.076755579749594E-2</v>
      </c>
      <c r="K47" s="51">
        <f>IF(OR('Products &amp; Geography'!J46&lt;=0,'Products &amp; Geography'!K46&lt;0),"",'Products &amp; Geography'!K46/'Products &amp; Geography'!J46-1)</f>
        <v>8.9045108377270088E-2</v>
      </c>
      <c r="L47" s="51">
        <f>IF(OR('Products &amp; Geography'!K46&lt;=0,'Products &amp; Geography'!L46&lt;0),"",'Products &amp; Geography'!L46/'Products &amp; Geography'!K46-1)</f>
        <v>-4.9488972565895684E-2</v>
      </c>
      <c r="M47" s="59"/>
      <c r="N47" s="59"/>
      <c r="O47" s="59"/>
      <c r="P47" s="59"/>
      <c r="Q47" s="59"/>
      <c r="R47" s="59"/>
      <c r="S47" s="59"/>
      <c r="T47" s="59"/>
      <c r="U47" s="59"/>
      <c r="V47" s="59"/>
      <c r="W47" s="59"/>
      <c r="X47" s="59"/>
    </row>
    <row r="48" spans="1:24" ht="20" customHeight="1">
      <c r="A48" s="58" t="s">
        <v>184</v>
      </c>
      <c r="B48" s="45"/>
      <c r="C48" s="59"/>
      <c r="D48" s="59"/>
      <c r="E48" s="51">
        <f>IF('Products &amp; Geography'!E50=0,"",'Products &amp; Geography'!E46/'Products &amp; Geography'!E50)</f>
        <v>6.6809978193965447E-3</v>
      </c>
      <c r="F48" s="51">
        <f>IF('Products &amp; Geography'!F50=0,"",'Products &amp; Geography'!F46/'Products &amp; Geography'!F50)</f>
        <v>6.0302854335105198E-3</v>
      </c>
      <c r="G48" s="51">
        <f>IF('Products &amp; Geography'!G50=0,"",'Products &amp; Geography'!G46/'Products &amp; Geography'!G50)</f>
        <v>1.8217472858523275E-2</v>
      </c>
      <c r="H48" s="51">
        <f>IF('Products &amp; Geography'!H50=0,"",'Products &amp; Geography'!H46/'Products &amp; Geography'!H50)</f>
        <v>2.5266124770365151E-2</v>
      </c>
      <c r="I48" s="51">
        <f>IF('Products &amp; Geography'!I50=0,"",'Products &amp; Geography'!I46/'Products &amp; Geography'!I50)</f>
        <v>2.12635429206408E-2</v>
      </c>
      <c r="J48" s="51">
        <f>IF('Products &amp; Geography'!J50=0,"",'Products &amp; Geography'!J46/'Products &amp; Geography'!J50)</f>
        <v>1.8661652326967017E-2</v>
      </c>
      <c r="K48" s="51">
        <f>IF('Products &amp; Geography'!K50=0,"",'Products &amp; Geography'!K46/'Products &amp; Geography'!K50)</f>
        <v>2.0238639580203367E-2</v>
      </c>
      <c r="L48" s="51">
        <f>IF('Products &amp; Geography'!L50=0,"",'Products &amp; Geography'!L46/'Products &amp; Geography'!L50)</f>
        <v>1.8812882619110991E-2</v>
      </c>
      <c r="M48" s="59"/>
      <c r="N48" s="59"/>
      <c r="O48" s="59"/>
      <c r="P48" s="59"/>
      <c r="Q48" s="59"/>
      <c r="R48" s="59"/>
      <c r="S48" s="59"/>
      <c r="T48" s="59"/>
      <c r="U48" s="59"/>
      <c r="V48" s="59"/>
      <c r="W48" s="59"/>
      <c r="X48" s="59"/>
    </row>
    <row r="49" spans="1:24" ht="22" customHeight="1">
      <c r="A49" s="62" t="s">
        <v>192</v>
      </c>
      <c r="B49" s="52"/>
      <c r="C49" s="53">
        <f>'Products &amp; Geography'!C50-SUM('Products &amp; Geography'!C18,'Products &amp; Geography'!C22,'Products &amp; Geography'!C26,'Products &amp; Geography'!C30,'Products &amp; Geography'!C34,'Products &amp; Geography'!C38)</f>
        <v>14254</v>
      </c>
      <c r="D49" s="53">
        <f>'Products &amp; Geography'!D50-SUM('Products &amp; Geography'!D18,'Products &amp; Geography'!D22,'Products &amp; Geography'!D26,'Products &amp; Geography'!D30,'Products &amp; Geography'!D34,'Products &amp; Geography'!D38,'Products &amp; Geography'!D42)</f>
        <v>13366</v>
      </c>
      <c r="E49" s="53">
        <f>'Products &amp; Geography'!E50-SUM('Products &amp; Geography'!E18,'Products &amp; Geography'!E22,'Products &amp; Geography'!E26,'Products &amp; Geography'!E30,'Products &amp; Geography'!E34,'Products &amp; Geography'!E38,'Products &amp; Geography'!E42,'Products &amp; Geography'!E46)</f>
        <v>13034</v>
      </c>
      <c r="F49" s="53">
        <f>'Products &amp; Geography'!F50-SUM('Products &amp; Geography'!F18,'Products &amp; Geography'!F22,'Products &amp; Geography'!F26,'Products &amp; Geography'!F30,'Products &amp; Geography'!F34,'Products &amp; Geography'!F38,'Products &amp; Geography'!F42,'Products &amp; Geography'!F46)</f>
        <v>13510</v>
      </c>
      <c r="G49" s="53">
        <f>'Products &amp; Geography'!G50-SUM('Products &amp; Geography'!G18,'Products &amp; Geography'!G22,'Products &amp; Geography'!G26,'Products &amp; Geography'!G30,'Products &amp; Geography'!G34,'Products &amp; Geography'!G42,'Products &amp; Geography'!G46)</f>
        <v>14754</v>
      </c>
      <c r="H49" s="53">
        <f>'Products &amp; Geography'!H50-SUM('Products &amp; Geography'!H18,'Products &amp; Geography'!H22,'Products &amp; Geography'!H26,'Products &amp; Geography'!H30,'Products &amp; Geography'!H34,'Products &amp; Geography'!H38,'Products &amp; Geography'!H42,'Products &amp; Geography'!H46)</f>
        <v>15477</v>
      </c>
      <c r="I49" s="53">
        <f>'Products &amp; Geography'!I50-SUM('Products &amp; Geography'!I18,'Products &amp; Geography'!I22,'Products &amp; Geography'!I26,'Products &amp; Geography'!I30,'Products &amp; Geography'!I34,'Products &amp; Geography'!I38,'Products &amp; Geography'!I42,'Products &amp; Geography'!I46)</f>
        <v>15826</v>
      </c>
      <c r="J49" s="53">
        <f>'Products &amp; Geography'!J50-SUM('Products &amp; Geography'!J18,'Products &amp; Geography'!J22,'Products &amp; Geography'!J26,'Products &amp; Geography'!J30,'Products &amp; Geography'!J34,'Products &amp; Geography'!J38,'Products &amp; Geography'!J42,'Products &amp; Geography'!J46)</f>
        <v>16872</v>
      </c>
      <c r="K49" s="53">
        <f>'Products &amp; Geography'!K50-SUM('Products &amp; Geography'!K18,'Products &amp; Geography'!K22,'Products &amp; Geography'!K26,'Products &amp; Geography'!K30,'Products &amp; Geography'!K34,'Products &amp; Geography'!K38,'Products &amp; Geography'!K42,'Products &amp; Geography'!K46)</f>
        <v>17023</v>
      </c>
      <c r="L49" s="53">
        <f>'Products &amp; Geography'!L50-SUM('Products &amp; Geography'!L18,'Products &amp; Geography'!L22,'Products &amp; Geography'!L26,'Products &amp; Geography'!L30,'Products &amp; Geography'!L34,'Products &amp; Geography'!L38,'Products &amp; Geography'!L42,'Products &amp; Geography'!L46)</f>
        <v>17941</v>
      </c>
      <c r="M49" s="63"/>
      <c r="N49" s="63"/>
      <c r="O49" s="63"/>
      <c r="P49" s="63"/>
      <c r="Q49" s="63"/>
      <c r="R49" s="63"/>
      <c r="S49" s="63"/>
      <c r="T49" s="63"/>
      <c r="U49" s="63"/>
      <c r="V49" s="63"/>
      <c r="W49" s="63"/>
      <c r="X49" s="63"/>
    </row>
    <row r="50" spans="1:24" ht="22" customHeight="1">
      <c r="A50" s="62" t="s">
        <v>193</v>
      </c>
      <c r="B50" s="52"/>
      <c r="C50" s="64">
        <v>62799</v>
      </c>
      <c r="D50" s="64">
        <v>63525</v>
      </c>
      <c r="E50" s="64">
        <v>64661</v>
      </c>
      <c r="F50" s="64">
        <v>67161</v>
      </c>
      <c r="G50" s="64">
        <v>70372</v>
      </c>
      <c r="H50" s="64">
        <v>79474</v>
      </c>
      <c r="I50" s="64">
        <v>86392</v>
      </c>
      <c r="J50" s="64">
        <v>91471</v>
      </c>
      <c r="K50" s="64">
        <v>91854</v>
      </c>
      <c r="L50" s="64">
        <v>93925</v>
      </c>
      <c r="M50" s="63"/>
      <c r="N50" s="63"/>
      <c r="O50" s="63"/>
      <c r="P50" s="63"/>
      <c r="Q50" s="63"/>
      <c r="R50" s="63"/>
      <c r="S50" s="63"/>
      <c r="T50" s="63"/>
      <c r="U50" s="63"/>
      <c r="V50" s="63"/>
      <c r="W50" s="63"/>
      <c r="X50" s="63"/>
    </row>
    <row r="51" spans="1:24" ht="22" customHeight="1">
      <c r="A51" s="45"/>
      <c r="B51" s="45"/>
      <c r="C51" s="45"/>
      <c r="D51" s="45"/>
      <c r="E51" s="45"/>
      <c r="F51" s="45"/>
      <c r="G51" s="45"/>
      <c r="H51" s="45"/>
      <c r="I51" s="45"/>
      <c r="J51" s="45"/>
      <c r="K51" s="45"/>
      <c r="L51" s="45"/>
      <c r="M51" s="45"/>
      <c r="N51" s="45"/>
      <c r="O51" s="45"/>
      <c r="P51" s="45"/>
      <c r="Q51" s="45"/>
      <c r="R51" s="45"/>
      <c r="S51" s="45"/>
      <c r="T51" s="45"/>
      <c r="U51" s="45"/>
      <c r="V51" s="45"/>
      <c r="W51" s="45"/>
      <c r="X51" s="45"/>
    </row>
    <row r="52" spans="1:24" ht="22" customHeight="1">
      <c r="A52" s="45"/>
      <c r="B52" s="45"/>
      <c r="C52" s="45"/>
      <c r="D52" s="45"/>
      <c r="E52" s="45"/>
      <c r="F52" s="45"/>
      <c r="G52" s="45"/>
      <c r="H52" s="45"/>
      <c r="I52" s="45"/>
      <c r="J52" s="45"/>
      <c r="K52" s="45"/>
      <c r="L52" s="45"/>
      <c r="M52" s="45"/>
      <c r="N52" s="45"/>
      <c r="O52" s="45"/>
      <c r="P52" s="45"/>
      <c r="Q52" s="45"/>
      <c r="R52" s="45"/>
      <c r="S52" s="45"/>
      <c r="T52" s="45"/>
      <c r="U52" s="45"/>
      <c r="V52" s="45"/>
      <c r="W52" s="45"/>
      <c r="X52" s="45"/>
    </row>
    <row r="53" spans="1:24" ht="22" customHeight="1">
      <c r="A53" s="170" t="s">
        <v>177</v>
      </c>
      <c r="B53" s="170"/>
      <c r="C53" s="170"/>
      <c r="D53" s="170"/>
      <c r="E53" s="170"/>
      <c r="F53" s="170"/>
      <c r="G53" s="170"/>
      <c r="H53" s="170"/>
      <c r="I53" s="170"/>
      <c r="J53" s="170"/>
      <c r="K53" s="170"/>
      <c r="L53" s="170"/>
      <c r="M53" s="170"/>
      <c r="N53" s="170"/>
      <c r="O53" s="170"/>
      <c r="P53" s="170"/>
      <c r="Q53" s="170"/>
      <c r="R53" s="170"/>
      <c r="S53" s="170"/>
      <c r="T53" s="170"/>
      <c r="U53" s="170"/>
      <c r="V53" s="170"/>
      <c r="W53" s="170"/>
      <c r="X53" s="170"/>
    </row>
    <row r="54" spans="1:24" ht="24" customHeight="1">
      <c r="A54" s="171" t="s">
        <v>194</v>
      </c>
      <c r="B54" s="171"/>
      <c r="C54" s="171"/>
      <c r="D54" s="171"/>
      <c r="E54" s="171"/>
      <c r="F54" s="171"/>
      <c r="G54" s="171"/>
      <c r="H54" s="171"/>
      <c r="I54" s="171"/>
      <c r="J54" s="171"/>
      <c r="K54" s="171"/>
      <c r="L54" s="171"/>
      <c r="M54" s="171"/>
      <c r="N54" s="171"/>
      <c r="O54" s="171"/>
      <c r="P54" s="171"/>
      <c r="Q54" s="171"/>
      <c r="R54" s="171"/>
      <c r="S54" s="171"/>
      <c r="T54" s="171"/>
      <c r="U54" s="171"/>
      <c r="V54" s="171"/>
      <c r="W54" s="171"/>
      <c r="X54" s="171"/>
    </row>
    <row r="55" spans="1:24" ht="24" customHeight="1">
      <c r="A55" s="47" t="s">
        <v>56</v>
      </c>
      <c r="B55" s="45"/>
      <c r="C55" s="48" t="s">
        <v>35</v>
      </c>
      <c r="D55" s="48" t="s">
        <v>36</v>
      </c>
      <c r="E55" s="48" t="s">
        <v>37</v>
      </c>
      <c r="F55" s="48" t="s">
        <v>38</v>
      </c>
      <c r="G55" s="48" t="s">
        <v>39</v>
      </c>
      <c r="H55" s="48" t="s">
        <v>40</v>
      </c>
      <c r="I55" s="48" t="s">
        <v>41</v>
      </c>
      <c r="J55" s="48" t="s">
        <v>42</v>
      </c>
      <c r="K55" s="48" t="s">
        <v>43</v>
      </c>
      <c r="L55" s="45"/>
      <c r="M55" s="45"/>
      <c r="N55" s="45"/>
      <c r="O55" s="45"/>
      <c r="P55" s="45"/>
      <c r="Q55" s="45"/>
      <c r="R55" s="45"/>
      <c r="S55" s="45"/>
      <c r="T55" s="45"/>
      <c r="U55" s="45"/>
      <c r="V55" s="45"/>
      <c r="W55" s="45"/>
      <c r="X55" s="45"/>
    </row>
    <row r="56" spans="1:24" ht="18" customHeight="1">
      <c r="A56" s="45"/>
      <c r="B56" s="45"/>
      <c r="C56" s="55">
        <v>42735</v>
      </c>
      <c r="D56" s="55">
        <v>43099</v>
      </c>
      <c r="E56" s="55">
        <v>43463</v>
      </c>
      <c r="F56" s="55">
        <v>43827</v>
      </c>
      <c r="G56" s="55">
        <v>44191</v>
      </c>
      <c r="H56" s="55">
        <v>44555</v>
      </c>
      <c r="I56" s="55">
        <v>44926</v>
      </c>
      <c r="J56" s="55">
        <v>45290</v>
      </c>
      <c r="K56" s="55">
        <v>45654</v>
      </c>
      <c r="L56" s="45"/>
      <c r="M56" s="45"/>
      <c r="N56" s="45"/>
      <c r="O56" s="45"/>
      <c r="P56" s="45"/>
      <c r="Q56" s="45"/>
      <c r="R56" s="45"/>
      <c r="S56" s="45"/>
      <c r="T56" s="45"/>
      <c r="U56" s="45"/>
      <c r="V56" s="45"/>
      <c r="W56" s="45"/>
      <c r="X56" s="45"/>
    </row>
    <row r="57" spans="1:24" ht="22" customHeight="1">
      <c r="A57" s="56" t="s">
        <v>183</v>
      </c>
      <c r="B57" s="45"/>
      <c r="C57" s="60">
        <v>28382</v>
      </c>
      <c r="D57" s="60">
        <v>28418</v>
      </c>
      <c r="E57" s="60">
        <v>29169</v>
      </c>
      <c r="F57" s="60">
        <v>30601</v>
      </c>
      <c r="G57" s="60">
        <v>36657</v>
      </c>
      <c r="H57" s="60">
        <v>36324</v>
      </c>
      <c r="I57" s="60">
        <v>38240</v>
      </c>
      <c r="J57" s="60">
        <v>41234</v>
      </c>
      <c r="K57" s="60">
        <v>41547</v>
      </c>
      <c r="L57" s="50"/>
      <c r="M57" s="50"/>
      <c r="N57" s="50"/>
      <c r="O57" s="50"/>
      <c r="P57" s="50"/>
      <c r="Q57" s="50"/>
      <c r="R57" s="50"/>
      <c r="S57" s="50"/>
      <c r="T57" s="50"/>
      <c r="U57" s="50"/>
      <c r="V57" s="50"/>
      <c r="W57" s="50"/>
      <c r="X57" s="50"/>
    </row>
    <row r="58" spans="1:24" ht="22" customHeight="1">
      <c r="A58" s="56" t="s">
        <v>185</v>
      </c>
      <c r="B58" s="45"/>
      <c r="C58" s="60">
        <v>998</v>
      </c>
      <c r="D58" s="60">
        <v>1205</v>
      </c>
      <c r="E58" s="60">
        <v>1404</v>
      </c>
      <c r="F58" s="60">
        <v>1666</v>
      </c>
      <c r="G58" s="60">
        <v>1708</v>
      </c>
      <c r="H58" s="60">
        <v>1720</v>
      </c>
      <c r="I58" s="60">
        <v>1933</v>
      </c>
      <c r="J58" s="60">
        <v>2509</v>
      </c>
      <c r="K58" s="60">
        <v>2392</v>
      </c>
      <c r="L58" s="50"/>
      <c r="M58" s="50"/>
      <c r="N58" s="50"/>
      <c r="O58" s="50"/>
      <c r="P58" s="50"/>
      <c r="Q58" s="50"/>
      <c r="R58" s="50"/>
      <c r="S58" s="50"/>
      <c r="T58" s="50"/>
      <c r="U58" s="50"/>
      <c r="V58" s="50"/>
      <c r="W58" s="50"/>
      <c r="X58" s="50"/>
    </row>
    <row r="59" spans="1:24" ht="22" customHeight="1">
      <c r="A59" s="56" t="s">
        <v>186</v>
      </c>
      <c r="B59" s="45"/>
      <c r="C59" s="60">
        <v>2499</v>
      </c>
      <c r="D59" s="60">
        <v>2739</v>
      </c>
      <c r="E59" s="60">
        <v>2565</v>
      </c>
      <c r="F59" s="60">
        <v>2695</v>
      </c>
      <c r="G59" s="60">
        <v>2794</v>
      </c>
      <c r="H59" s="60">
        <v>2846</v>
      </c>
      <c r="I59" s="60">
        <v>2678</v>
      </c>
      <c r="J59" s="60">
        <v>2815</v>
      </c>
      <c r="K59" s="60">
        <v>2681</v>
      </c>
      <c r="L59" s="50"/>
      <c r="M59" s="50"/>
      <c r="N59" s="50"/>
      <c r="O59" s="50"/>
      <c r="P59" s="50"/>
      <c r="Q59" s="50"/>
      <c r="R59" s="50"/>
      <c r="S59" s="50"/>
      <c r="T59" s="50"/>
      <c r="U59" s="50"/>
      <c r="V59" s="50"/>
      <c r="W59" s="50"/>
      <c r="X59" s="50"/>
    </row>
    <row r="60" spans="1:24" ht="22" customHeight="1">
      <c r="A60" s="56" t="s">
        <v>187</v>
      </c>
      <c r="B60" s="45"/>
      <c r="C60" s="60">
        <v>4373</v>
      </c>
      <c r="D60" s="60">
        <v>4708</v>
      </c>
      <c r="E60" s="60">
        <v>3926</v>
      </c>
      <c r="F60" s="60">
        <v>4314</v>
      </c>
      <c r="G60" s="60">
        <v>3644</v>
      </c>
      <c r="H60" s="60">
        <v>3751</v>
      </c>
      <c r="I60" s="60">
        <v>2538</v>
      </c>
      <c r="J60" s="60">
        <v>1986</v>
      </c>
      <c r="K60" s="60">
        <v>1667</v>
      </c>
      <c r="L60" s="50"/>
      <c r="M60" s="50"/>
      <c r="N60" s="50"/>
      <c r="O60" s="50"/>
      <c r="P60" s="50"/>
      <c r="Q60" s="50"/>
      <c r="R60" s="50"/>
      <c r="S60" s="50"/>
      <c r="T60" s="50"/>
      <c r="U60" s="50"/>
      <c r="V60" s="50"/>
      <c r="W60" s="50"/>
      <c r="X60" s="50"/>
    </row>
    <row r="61" spans="1:24" ht="22" customHeight="1">
      <c r="A61" s="56" t="s">
        <v>188</v>
      </c>
      <c r="B61" s="45"/>
      <c r="C61" s="60">
        <v>852</v>
      </c>
      <c r="D61" s="60">
        <v>817</v>
      </c>
      <c r="E61" s="60">
        <v>759</v>
      </c>
      <c r="F61" s="60">
        <v>827</v>
      </c>
      <c r="G61" s="60">
        <v>874</v>
      </c>
      <c r="H61" s="60">
        <v>906</v>
      </c>
      <c r="I61" s="60">
        <v>847</v>
      </c>
      <c r="J61" s="60">
        <v>868</v>
      </c>
      <c r="K61" s="60">
        <v>871</v>
      </c>
      <c r="L61" s="50"/>
      <c r="M61" s="50"/>
      <c r="N61" s="50"/>
      <c r="O61" s="50"/>
      <c r="P61" s="50"/>
      <c r="Q61" s="50"/>
      <c r="R61" s="50"/>
      <c r="S61" s="50"/>
      <c r="T61" s="50"/>
      <c r="U61" s="50"/>
      <c r="V61" s="50"/>
      <c r="W61" s="50"/>
      <c r="X61" s="50"/>
    </row>
    <row r="62" spans="1:24" ht="22" customHeight="1">
      <c r="A62" s="56" t="s">
        <v>189</v>
      </c>
      <c r="B62" s="45"/>
      <c r="C62" s="60">
        <v>796</v>
      </c>
      <c r="D62" s="60">
        <v>777</v>
      </c>
      <c r="E62" s="60">
        <v>639</v>
      </c>
      <c r="F62" s="60">
        <v>590</v>
      </c>
      <c r="G62" s="50"/>
      <c r="H62" s="50"/>
      <c r="I62" s="60">
        <v>446</v>
      </c>
      <c r="J62" s="60">
        <v>573</v>
      </c>
      <c r="K62" s="60">
        <v>497</v>
      </c>
      <c r="L62" s="50"/>
      <c r="M62" s="50"/>
      <c r="N62" s="50"/>
      <c r="O62" s="50"/>
      <c r="P62" s="50"/>
      <c r="Q62" s="50"/>
      <c r="R62" s="50"/>
      <c r="S62" s="50"/>
      <c r="T62" s="50"/>
      <c r="U62" s="50"/>
      <c r="V62" s="50"/>
      <c r="W62" s="50"/>
      <c r="X62" s="50"/>
    </row>
    <row r="63" spans="1:24" ht="22" customHeight="1">
      <c r="A63" s="56" t="s">
        <v>190</v>
      </c>
      <c r="B63" s="45"/>
      <c r="C63" s="50"/>
      <c r="D63" s="50"/>
      <c r="E63" s="60">
        <v>509</v>
      </c>
      <c r="F63" s="60">
        <v>705</v>
      </c>
      <c r="G63" s="60">
        <v>1649</v>
      </c>
      <c r="H63" s="60">
        <v>1745</v>
      </c>
      <c r="I63" s="60">
        <v>1517</v>
      </c>
      <c r="J63" s="60">
        <v>1510</v>
      </c>
      <c r="K63" s="60">
        <v>1538</v>
      </c>
      <c r="L63" s="50"/>
      <c r="M63" s="50"/>
      <c r="N63" s="50"/>
      <c r="O63" s="50"/>
      <c r="P63" s="50"/>
      <c r="Q63" s="50"/>
      <c r="R63" s="50"/>
      <c r="S63" s="50"/>
      <c r="T63" s="50"/>
      <c r="U63" s="50"/>
      <c r="V63" s="50"/>
      <c r="W63" s="50"/>
      <c r="X63" s="50"/>
    </row>
    <row r="64" spans="1:24" ht="22" customHeight="1">
      <c r="A64" s="56" t="s">
        <v>191</v>
      </c>
      <c r="B64" s="45"/>
      <c r="C64" s="50"/>
      <c r="D64" s="50"/>
      <c r="E64" s="50"/>
      <c r="F64" s="60">
        <v>137</v>
      </c>
      <c r="G64" s="60">
        <v>1484</v>
      </c>
      <c r="H64" s="60">
        <v>1389</v>
      </c>
      <c r="I64" s="60">
        <v>1327</v>
      </c>
      <c r="J64" s="60">
        <v>1305</v>
      </c>
      <c r="K64" s="60">
        <v>1302</v>
      </c>
      <c r="L64" s="50"/>
      <c r="M64" s="50"/>
      <c r="N64" s="50"/>
      <c r="O64" s="50"/>
      <c r="P64" s="50"/>
      <c r="Q64" s="50"/>
      <c r="R64" s="50"/>
      <c r="S64" s="50"/>
      <c r="T64" s="50"/>
      <c r="U64" s="50"/>
      <c r="V64" s="50"/>
      <c r="W64" s="50"/>
      <c r="X64" s="50"/>
    </row>
    <row r="65" spans="1:24" ht="22" customHeight="1">
      <c r="A65" s="56" t="s">
        <v>192</v>
      </c>
      <c r="B65" s="45"/>
      <c r="C65" s="50">
        <f>'Products &amp; Geography'!C66-SUM('Products &amp; Geography'!C57,'Products &amp; Geography'!C58,'Products &amp; Geography'!C59,'Products &amp; Geography'!C60,'Products &amp; Geography'!C61,'Products &amp; Geography'!C62)</f>
        <v>8504</v>
      </c>
      <c r="D65" s="50">
        <f>'Products &amp; Geography'!D66-SUM('Products &amp; Geography'!D57,'Products &amp; Geography'!D58,'Products &amp; Geography'!D59,'Products &amp; Geography'!D60,'Products &amp; Geography'!D61,'Products &amp; Geography'!D62)</f>
        <v>9200</v>
      </c>
      <c r="E65" s="50">
        <f>'Products &amp; Geography'!E66-SUM('Products &amp; Geography'!E57,'Products &amp; Geography'!E58,'Products &amp; Geography'!E59,'Products &amp; Geography'!E60,'Products &amp; Geography'!E61,'Products &amp; Geography'!E62,'Products &amp; Geography'!E63)</f>
        <v>11660</v>
      </c>
      <c r="F65" s="50">
        <f>'Products &amp; Geography'!F66-SUM('Products &amp; Geography'!F57,'Products &amp; Geography'!F58,'Products &amp; Geography'!F59,'Products &amp; Geography'!F60,'Products &amp; Geography'!F61,'Products &amp; Geography'!F62,'Products &amp; Geography'!F63,'Products &amp; Geography'!F64)</f>
        <v>11997</v>
      </c>
      <c r="G65" s="50">
        <f>'Products &amp; Geography'!G66-SUM('Products &amp; Geography'!G57,'Products &amp; Geography'!G58,'Products &amp; Geography'!G59,'Products &amp; Geography'!G60,'Products &amp; Geography'!G61,'Products &amp; Geography'!G63,'Products &amp; Geography'!G64)</f>
        <v>13423</v>
      </c>
      <c r="H65" s="50">
        <f>'Products &amp; Geography'!H66-SUM('Products &amp; Geography'!H57,'Products &amp; Geography'!H58,'Products &amp; Geography'!H59,'Products &amp; Geography'!H60,'Products &amp; Geography'!H61,'Products &amp; Geography'!H63,'Products &amp; Geography'!H64)</f>
        <v>13399</v>
      </c>
      <c r="I65" s="50">
        <f>'Products &amp; Geography'!I66-SUM('Products &amp; Geography'!I57,'Products &amp; Geography'!I58,'Products &amp; Geography'!I59,'Products &amp; Geography'!I60,'Products &amp; Geography'!I61,'Products &amp; Geography'!I62,'Products &amp; Geography'!I63,'Products &amp; Geography'!I64)</f>
        <v>12439</v>
      </c>
      <c r="J65" s="50">
        <f>'Products &amp; Geography'!J66-SUM('Products &amp; Geography'!J57,'Products &amp; Geography'!J58,'Products &amp; Geography'!J59,'Products &amp; Geography'!J60,'Products &amp; Geography'!J61,'Products &amp; Geography'!J62,'Products &amp; Geography'!J63,'Products &amp; Geography'!J64)</f>
        <v>11226</v>
      </c>
      <c r="K65" s="50">
        <f>'Products &amp; Geography'!K66-SUM('Products &amp; Geography'!K57,'Products &amp; Geography'!K58,'Products &amp; Geography'!K59,'Products &amp; Geography'!K60,'Products &amp; Geography'!K61,'Products &amp; Geography'!K62,'Products &amp; Geography'!K63,'Products &amp; Geography'!K64)</f>
        <v>11179</v>
      </c>
      <c r="L65" s="50"/>
      <c r="M65" s="50"/>
      <c r="N65" s="50"/>
      <c r="O65" s="50"/>
      <c r="P65" s="50"/>
      <c r="Q65" s="50"/>
      <c r="R65" s="50"/>
      <c r="S65" s="50"/>
      <c r="T65" s="50"/>
      <c r="U65" s="50"/>
      <c r="V65" s="50"/>
      <c r="W65" s="50"/>
      <c r="X65" s="50"/>
    </row>
    <row r="66" spans="1:24" ht="22" customHeight="1">
      <c r="A66" s="62" t="s">
        <v>195</v>
      </c>
      <c r="B66" s="52"/>
      <c r="C66" s="64">
        <v>46404</v>
      </c>
      <c r="D66" s="64">
        <v>47864</v>
      </c>
      <c r="E66" s="64">
        <v>50631</v>
      </c>
      <c r="F66" s="64">
        <v>53532</v>
      </c>
      <c r="G66" s="64">
        <v>62233</v>
      </c>
      <c r="H66" s="64">
        <v>62080</v>
      </c>
      <c r="I66" s="64">
        <v>61965</v>
      </c>
      <c r="J66" s="64">
        <v>64026</v>
      </c>
      <c r="K66" s="64">
        <v>63674</v>
      </c>
      <c r="L66" s="63"/>
      <c r="M66" s="63"/>
      <c r="N66" s="63"/>
      <c r="O66" s="63"/>
      <c r="P66" s="63"/>
      <c r="Q66" s="63"/>
      <c r="R66" s="63"/>
      <c r="S66" s="63"/>
      <c r="T66" s="63"/>
      <c r="U66" s="63"/>
      <c r="V66" s="63"/>
      <c r="W66" s="63"/>
      <c r="X66" s="63"/>
    </row>
    <row r="67" spans="1:24" ht="22" customHeight="1">
      <c r="A67" s="45"/>
      <c r="B67" s="45"/>
      <c r="C67" s="45"/>
      <c r="D67" s="45"/>
      <c r="E67" s="45"/>
      <c r="F67" s="45"/>
      <c r="G67" s="45"/>
      <c r="H67" s="45"/>
      <c r="I67" s="45"/>
      <c r="J67" s="45"/>
      <c r="K67" s="45"/>
      <c r="L67" s="45"/>
      <c r="M67" s="45"/>
      <c r="N67" s="45"/>
      <c r="O67" s="45"/>
      <c r="P67" s="45"/>
      <c r="Q67" s="45"/>
      <c r="R67" s="45"/>
      <c r="S67" s="45"/>
      <c r="T67" s="45"/>
      <c r="U67" s="45"/>
      <c r="V67" s="45"/>
      <c r="W67" s="45"/>
      <c r="X67" s="45"/>
    </row>
    <row r="68" spans="1:24" ht="22" customHeight="1">
      <c r="A68" s="45"/>
      <c r="B68" s="45"/>
      <c r="C68" s="45"/>
      <c r="D68" s="45"/>
      <c r="E68" s="45"/>
      <c r="F68" s="45"/>
      <c r="G68" s="45"/>
      <c r="H68" s="45"/>
      <c r="I68" s="45"/>
      <c r="J68" s="45"/>
      <c r="K68" s="45"/>
      <c r="L68" s="45"/>
      <c r="M68" s="45"/>
      <c r="N68" s="45"/>
      <c r="O68" s="45"/>
      <c r="P68" s="45"/>
      <c r="Q68" s="45"/>
      <c r="R68" s="45"/>
      <c r="S68" s="45"/>
      <c r="T68" s="45"/>
      <c r="U68" s="45"/>
      <c r="V68" s="45"/>
      <c r="W68" s="45"/>
      <c r="X68" s="45"/>
    </row>
    <row r="69" spans="1:24" ht="22" customHeight="1">
      <c r="A69" s="170" t="s">
        <v>178</v>
      </c>
      <c r="B69" s="170"/>
      <c r="C69" s="170"/>
      <c r="D69" s="170"/>
      <c r="E69" s="170"/>
      <c r="F69" s="170"/>
      <c r="G69" s="170"/>
      <c r="H69" s="170"/>
      <c r="I69" s="170"/>
      <c r="J69" s="170"/>
      <c r="K69" s="170"/>
      <c r="L69" s="170"/>
      <c r="M69" s="170"/>
      <c r="N69" s="170"/>
      <c r="O69" s="170"/>
      <c r="P69" s="170"/>
      <c r="Q69" s="170"/>
      <c r="R69" s="170"/>
      <c r="S69" s="170"/>
      <c r="T69" s="170"/>
      <c r="U69" s="170"/>
      <c r="V69" s="170"/>
      <c r="W69" s="170"/>
      <c r="X69" s="170"/>
    </row>
    <row r="70" spans="1:24" ht="24" customHeight="1">
      <c r="A70" s="171" t="s">
        <v>196</v>
      </c>
      <c r="B70" s="171"/>
      <c r="C70" s="171"/>
      <c r="D70" s="171"/>
      <c r="E70" s="171"/>
      <c r="F70" s="171"/>
      <c r="G70" s="171"/>
      <c r="H70" s="171"/>
      <c r="I70" s="171"/>
      <c r="J70" s="171"/>
      <c r="K70" s="171"/>
      <c r="L70" s="171"/>
      <c r="M70" s="171"/>
      <c r="N70" s="171"/>
      <c r="O70" s="171"/>
      <c r="P70" s="171"/>
      <c r="Q70" s="171"/>
      <c r="R70" s="171"/>
      <c r="S70" s="171"/>
      <c r="T70" s="171"/>
      <c r="U70" s="171"/>
      <c r="V70" s="171"/>
      <c r="W70" s="171"/>
      <c r="X70" s="171"/>
    </row>
    <row r="71" spans="1:24" ht="24" customHeight="1">
      <c r="A71" s="47" t="s">
        <v>56</v>
      </c>
      <c r="B71" s="45"/>
      <c r="C71" s="48" t="s">
        <v>43</v>
      </c>
      <c r="D71" s="48" t="s">
        <v>44</v>
      </c>
      <c r="E71" s="45"/>
      <c r="F71" s="45"/>
      <c r="G71" s="45"/>
      <c r="H71" s="45"/>
      <c r="I71" s="45"/>
      <c r="J71" s="45"/>
      <c r="K71" s="45"/>
      <c r="L71" s="45"/>
      <c r="M71" s="45"/>
      <c r="N71" s="45"/>
      <c r="O71" s="45"/>
      <c r="P71" s="45"/>
      <c r="Q71" s="45"/>
      <c r="R71" s="45"/>
      <c r="S71" s="45"/>
      <c r="T71" s="45"/>
      <c r="U71" s="45"/>
      <c r="V71" s="45"/>
      <c r="W71" s="45"/>
      <c r="X71" s="45"/>
    </row>
    <row r="72" spans="1:24" ht="18" customHeight="1">
      <c r="A72" s="45"/>
      <c r="B72" s="45"/>
      <c r="C72" s="55">
        <v>45654</v>
      </c>
      <c r="D72" s="55">
        <v>46018</v>
      </c>
      <c r="E72" s="45"/>
      <c r="F72" s="45"/>
      <c r="G72" s="45"/>
      <c r="H72" s="45"/>
      <c r="I72" s="45"/>
      <c r="J72" s="45"/>
      <c r="K72" s="45"/>
      <c r="L72" s="45"/>
      <c r="M72" s="45"/>
      <c r="N72" s="45"/>
      <c r="O72" s="45"/>
      <c r="P72" s="45"/>
      <c r="Q72" s="45"/>
      <c r="R72" s="45"/>
      <c r="S72" s="45"/>
      <c r="T72" s="45"/>
      <c r="U72" s="45"/>
      <c r="V72" s="45"/>
      <c r="W72" s="45"/>
      <c r="X72" s="45"/>
    </row>
    <row r="73" spans="1:24" ht="22" customHeight="1">
      <c r="A73" s="56" t="s">
        <v>183</v>
      </c>
      <c r="B73" s="45"/>
      <c r="C73" s="60">
        <v>16550</v>
      </c>
      <c r="D73" s="60">
        <v>16671</v>
      </c>
      <c r="E73" s="50"/>
      <c r="F73" s="50"/>
      <c r="G73" s="50"/>
      <c r="H73" s="50"/>
      <c r="I73" s="50"/>
      <c r="J73" s="50"/>
      <c r="K73" s="50"/>
      <c r="L73" s="50"/>
      <c r="M73" s="50"/>
      <c r="N73" s="50"/>
      <c r="O73" s="50"/>
      <c r="P73" s="50"/>
      <c r="Q73" s="50"/>
      <c r="R73" s="50"/>
      <c r="S73" s="50"/>
      <c r="T73" s="50"/>
      <c r="U73" s="50"/>
      <c r="V73" s="50"/>
      <c r="W73" s="50"/>
      <c r="X73" s="50"/>
    </row>
    <row r="74" spans="1:24" ht="22" customHeight="1">
      <c r="A74" s="56" t="s">
        <v>197</v>
      </c>
      <c r="B74" s="45"/>
      <c r="C74" s="60">
        <v>11458</v>
      </c>
      <c r="D74" s="60">
        <v>13234</v>
      </c>
      <c r="E74" s="50"/>
      <c r="F74" s="50"/>
      <c r="G74" s="50"/>
      <c r="H74" s="50"/>
      <c r="I74" s="50"/>
      <c r="J74" s="50"/>
      <c r="K74" s="50"/>
      <c r="L74" s="50"/>
      <c r="M74" s="50"/>
      <c r="N74" s="50"/>
      <c r="O74" s="50"/>
      <c r="P74" s="50"/>
      <c r="Q74" s="50"/>
      <c r="R74" s="50"/>
      <c r="S74" s="50"/>
      <c r="T74" s="50"/>
      <c r="U74" s="50"/>
      <c r="V74" s="50"/>
      <c r="W74" s="50"/>
      <c r="X74" s="50"/>
    </row>
    <row r="75" spans="1:24" ht="22" customHeight="1">
      <c r="A75" s="56" t="s">
        <v>198</v>
      </c>
      <c r="B75" s="45"/>
      <c r="C75" s="60">
        <v>28008</v>
      </c>
      <c r="D75" s="60">
        <v>29905</v>
      </c>
      <c r="E75" s="50"/>
      <c r="F75" s="50"/>
      <c r="G75" s="50"/>
      <c r="H75" s="50"/>
      <c r="I75" s="50"/>
      <c r="J75" s="50"/>
      <c r="K75" s="50"/>
      <c r="L75" s="50"/>
      <c r="M75" s="50"/>
      <c r="N75" s="50"/>
      <c r="O75" s="50"/>
      <c r="P75" s="50"/>
      <c r="Q75" s="50"/>
      <c r="R75" s="50"/>
      <c r="S75" s="50"/>
      <c r="T75" s="50"/>
      <c r="U75" s="50"/>
      <c r="V75" s="50"/>
      <c r="W75" s="50"/>
      <c r="X75" s="50"/>
    </row>
    <row r="76" spans="1:24" ht="22" customHeight="1">
      <c r="A76" s="45"/>
      <c r="B76" s="45"/>
      <c r="C76" s="45"/>
      <c r="D76" s="45"/>
      <c r="E76" s="45"/>
      <c r="F76" s="45"/>
      <c r="G76" s="45"/>
      <c r="H76" s="45"/>
      <c r="I76" s="45"/>
      <c r="J76" s="45"/>
      <c r="K76" s="45"/>
      <c r="L76" s="45"/>
      <c r="M76" s="45"/>
      <c r="N76" s="45"/>
      <c r="O76" s="45"/>
      <c r="P76" s="45"/>
      <c r="Q76" s="45"/>
      <c r="R76" s="45"/>
      <c r="S76" s="45"/>
      <c r="T76" s="45"/>
      <c r="U76" s="45"/>
      <c r="V76" s="45"/>
      <c r="W76" s="45"/>
      <c r="X76" s="45"/>
    </row>
    <row r="77" spans="1:24" ht="22" customHeight="1">
      <c r="A77" s="45"/>
      <c r="B77" s="45"/>
      <c r="C77" s="45"/>
      <c r="D77" s="45"/>
      <c r="E77" s="45"/>
      <c r="F77" s="45"/>
      <c r="G77" s="45"/>
      <c r="H77" s="45"/>
      <c r="I77" s="45"/>
      <c r="J77" s="45"/>
      <c r="K77" s="45"/>
      <c r="L77" s="45"/>
      <c r="M77" s="45"/>
      <c r="N77" s="45"/>
      <c r="O77" s="45"/>
      <c r="P77" s="45"/>
      <c r="Q77" s="45"/>
      <c r="R77" s="45"/>
      <c r="S77" s="45"/>
      <c r="T77" s="45"/>
      <c r="U77" s="45"/>
      <c r="V77" s="45"/>
      <c r="W77" s="45"/>
      <c r="X77" s="45"/>
    </row>
    <row r="78" spans="1:24" ht="22" customHeight="1">
      <c r="A78" s="170" t="s">
        <v>179</v>
      </c>
      <c r="B78" s="170"/>
      <c r="C78" s="170"/>
      <c r="D78" s="170"/>
      <c r="E78" s="170"/>
      <c r="F78" s="170"/>
      <c r="G78" s="170"/>
      <c r="H78" s="170"/>
      <c r="I78" s="170"/>
      <c r="J78" s="170"/>
      <c r="K78" s="170"/>
      <c r="L78" s="170"/>
      <c r="M78" s="170"/>
      <c r="N78" s="170"/>
      <c r="O78" s="170"/>
      <c r="P78" s="170"/>
      <c r="Q78" s="170"/>
      <c r="R78" s="170"/>
      <c r="S78" s="170"/>
      <c r="T78" s="170"/>
      <c r="U78" s="170"/>
      <c r="V78" s="170"/>
      <c r="W78" s="170"/>
      <c r="X78" s="170"/>
    </row>
    <row r="79" spans="1:24" ht="24" customHeight="1">
      <c r="A79" s="171" t="s">
        <v>199</v>
      </c>
      <c r="B79" s="171"/>
      <c r="C79" s="171"/>
      <c r="D79" s="171"/>
      <c r="E79" s="171"/>
      <c r="F79" s="171"/>
      <c r="G79" s="171"/>
      <c r="H79" s="171"/>
      <c r="I79" s="171"/>
      <c r="J79" s="171"/>
      <c r="K79" s="171"/>
      <c r="L79" s="171"/>
      <c r="M79" s="171"/>
      <c r="N79" s="171"/>
      <c r="O79" s="171"/>
      <c r="P79" s="171"/>
      <c r="Q79" s="171"/>
      <c r="R79" s="171"/>
      <c r="S79" s="171"/>
      <c r="T79" s="171"/>
      <c r="U79" s="171"/>
      <c r="V79" s="171"/>
      <c r="W79" s="171"/>
      <c r="X79" s="171"/>
    </row>
    <row r="80" spans="1:24" ht="24" customHeight="1">
      <c r="A80" s="47" t="s">
        <v>56</v>
      </c>
      <c r="B80" s="45"/>
      <c r="C80" s="48" t="s">
        <v>37</v>
      </c>
      <c r="D80" s="48" t="s">
        <v>38</v>
      </c>
      <c r="E80" s="48" t="s">
        <v>39</v>
      </c>
      <c r="F80" s="48" t="s">
        <v>40</v>
      </c>
      <c r="G80" s="48" t="s">
        <v>41</v>
      </c>
      <c r="H80" s="48" t="s">
        <v>42</v>
      </c>
      <c r="I80" s="48" t="s">
        <v>43</v>
      </c>
      <c r="J80" s="48" t="s">
        <v>44</v>
      </c>
      <c r="K80" s="45"/>
      <c r="L80" s="45"/>
      <c r="M80" s="45"/>
      <c r="N80" s="45"/>
      <c r="O80" s="45"/>
      <c r="P80" s="45"/>
      <c r="Q80" s="45"/>
      <c r="R80" s="45"/>
      <c r="S80" s="45"/>
      <c r="T80" s="45"/>
      <c r="U80" s="45"/>
      <c r="V80" s="45"/>
      <c r="W80" s="45"/>
      <c r="X80" s="45"/>
    </row>
    <row r="81" spans="1:24" ht="18" customHeight="1">
      <c r="A81" s="45"/>
      <c r="B81" s="45"/>
      <c r="C81" s="55">
        <v>43463</v>
      </c>
      <c r="D81" s="55">
        <v>43827</v>
      </c>
      <c r="E81" s="55">
        <v>44191</v>
      </c>
      <c r="F81" s="55">
        <v>44555</v>
      </c>
      <c r="G81" s="55">
        <v>44926</v>
      </c>
      <c r="H81" s="55">
        <v>45290</v>
      </c>
      <c r="I81" s="55">
        <v>45654</v>
      </c>
      <c r="J81" s="55">
        <v>46018</v>
      </c>
      <c r="K81" s="45"/>
      <c r="L81" s="45"/>
      <c r="M81" s="45"/>
      <c r="N81" s="45"/>
      <c r="O81" s="45"/>
      <c r="P81" s="45"/>
      <c r="Q81" s="45"/>
      <c r="R81" s="45"/>
      <c r="S81" s="45"/>
      <c r="T81" s="45"/>
      <c r="U81" s="45"/>
      <c r="V81" s="45"/>
      <c r="W81" s="45"/>
      <c r="X81" s="45"/>
    </row>
    <row r="82" spans="1:24" ht="20" customHeight="1">
      <c r="A82" s="58" t="s">
        <v>200</v>
      </c>
      <c r="B82" s="45"/>
      <c r="C82" s="61">
        <v>0.45</v>
      </c>
      <c r="D82" s="61">
        <v>0.45</v>
      </c>
      <c r="E82" s="61">
        <v>0.45</v>
      </c>
      <c r="F82" s="61">
        <v>0.45</v>
      </c>
      <c r="G82" s="61">
        <v>0.42</v>
      </c>
      <c r="H82" s="61">
        <v>0.41000000000000003</v>
      </c>
      <c r="I82" s="61">
        <v>0.42</v>
      </c>
      <c r="J82" s="61">
        <v>0.42</v>
      </c>
      <c r="K82" s="59"/>
      <c r="L82" s="59"/>
      <c r="M82" s="59"/>
      <c r="N82" s="59"/>
      <c r="O82" s="59"/>
      <c r="P82" s="59"/>
      <c r="Q82" s="59"/>
      <c r="R82" s="59"/>
      <c r="S82" s="59"/>
      <c r="T82" s="59"/>
      <c r="U82" s="59"/>
      <c r="V82" s="59"/>
      <c r="W82" s="59"/>
      <c r="X82" s="59"/>
    </row>
    <row r="83" spans="1:24" ht="20" customHeight="1">
      <c r="A83" s="58" t="s">
        <v>201</v>
      </c>
      <c r="B83" s="45"/>
      <c r="C83" s="61">
        <v>0.55000000000000004</v>
      </c>
      <c r="D83" s="61">
        <v>0.55000000000000004</v>
      </c>
      <c r="E83" s="61">
        <v>0.55000000000000004</v>
      </c>
      <c r="F83" s="61">
        <v>0.55000000000000004</v>
      </c>
      <c r="G83" s="61">
        <v>0.57999999999999996</v>
      </c>
      <c r="H83" s="61">
        <v>0.59</v>
      </c>
      <c r="I83" s="61">
        <v>0.57999999999999996</v>
      </c>
      <c r="J83" s="61">
        <v>0.57999999999999996</v>
      </c>
      <c r="K83" s="59"/>
      <c r="L83" s="59"/>
      <c r="M83" s="59"/>
      <c r="N83" s="59"/>
      <c r="O83" s="59"/>
      <c r="P83" s="59"/>
      <c r="Q83" s="59"/>
      <c r="R83" s="59"/>
      <c r="S83" s="59"/>
      <c r="T83" s="59"/>
      <c r="U83" s="59"/>
      <c r="V83" s="59"/>
      <c r="W83" s="59"/>
      <c r="X83" s="59"/>
    </row>
    <row r="84" spans="1:24" ht="20" customHeight="1">
      <c r="A84" s="58" t="s">
        <v>202</v>
      </c>
      <c r="B84" s="45"/>
      <c r="C84" s="61">
        <v>0.4</v>
      </c>
      <c r="D84" s="61">
        <v>0.4</v>
      </c>
      <c r="E84" s="61">
        <v>0.4</v>
      </c>
      <c r="F84" s="61">
        <v>0.4</v>
      </c>
      <c r="G84" s="61">
        <v>0.37</v>
      </c>
      <c r="H84" s="61">
        <v>0.35000000000000003</v>
      </c>
      <c r="I84" s="61">
        <v>0.35000000000000003</v>
      </c>
      <c r="J84" s="61">
        <v>0.36</v>
      </c>
      <c r="K84" s="59"/>
      <c r="L84" s="59"/>
      <c r="M84" s="59"/>
      <c r="N84" s="59"/>
      <c r="O84" s="59"/>
      <c r="P84" s="59"/>
      <c r="Q84" s="59"/>
      <c r="R84" s="59"/>
      <c r="S84" s="59"/>
      <c r="T84" s="59"/>
      <c r="U84" s="59"/>
      <c r="V84" s="59"/>
      <c r="W84" s="59"/>
      <c r="X84" s="59"/>
    </row>
    <row r="85" spans="1:24" ht="22" customHeight="1">
      <c r="A85" s="45"/>
      <c r="B85" s="45"/>
      <c r="C85" s="45"/>
      <c r="D85" s="45"/>
      <c r="E85" s="45"/>
      <c r="F85" s="45"/>
      <c r="G85" s="45"/>
      <c r="H85" s="45"/>
      <c r="I85" s="45"/>
      <c r="J85" s="45"/>
      <c r="K85" s="45"/>
      <c r="L85" s="45"/>
      <c r="M85" s="45"/>
      <c r="N85" s="45"/>
      <c r="O85" s="45"/>
      <c r="P85" s="45"/>
      <c r="Q85" s="45"/>
      <c r="R85" s="45"/>
      <c r="S85" s="45"/>
      <c r="T85" s="45"/>
      <c r="U85" s="45"/>
      <c r="V85" s="45"/>
      <c r="W85" s="45"/>
      <c r="X85" s="45"/>
    </row>
    <row r="86" spans="1:24" ht="22" customHeight="1">
      <c r="A86" s="45"/>
      <c r="B86" s="45"/>
      <c r="C86" s="45"/>
      <c r="D86" s="45"/>
      <c r="E86" s="45"/>
      <c r="F86" s="45"/>
      <c r="G86" s="45"/>
      <c r="H86" s="45"/>
      <c r="I86" s="45"/>
      <c r="J86" s="45"/>
      <c r="K86" s="45"/>
      <c r="L86" s="45"/>
      <c r="M86" s="45"/>
      <c r="N86" s="45"/>
      <c r="O86" s="45"/>
      <c r="P86" s="45"/>
      <c r="Q86" s="45"/>
      <c r="R86" s="45"/>
      <c r="S86" s="45"/>
      <c r="T86" s="45"/>
      <c r="U86" s="45"/>
      <c r="V86" s="45"/>
      <c r="W86" s="45"/>
      <c r="X86" s="45"/>
    </row>
    <row r="87" spans="1:24" ht="22" customHeight="1">
      <c r="A87" s="170" t="s">
        <v>180</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row>
    <row r="88" spans="1:24" ht="24" customHeight="1">
      <c r="A88" s="171" t="s">
        <v>203</v>
      </c>
      <c r="B88" s="171"/>
      <c r="C88" s="171"/>
      <c r="D88" s="171"/>
      <c r="E88" s="171"/>
      <c r="F88" s="171"/>
      <c r="G88" s="171"/>
      <c r="H88" s="171"/>
      <c r="I88" s="171"/>
      <c r="J88" s="171"/>
      <c r="K88" s="171"/>
      <c r="L88" s="171"/>
      <c r="M88" s="171"/>
      <c r="N88" s="171"/>
      <c r="O88" s="171"/>
      <c r="P88" s="171"/>
      <c r="Q88" s="171"/>
      <c r="R88" s="171"/>
      <c r="S88" s="171"/>
      <c r="T88" s="171"/>
      <c r="U88" s="171"/>
      <c r="V88" s="171"/>
      <c r="W88" s="171"/>
      <c r="X88" s="171"/>
    </row>
    <row r="89" spans="1:24" ht="24" customHeight="1">
      <c r="A89" s="47" t="s">
        <v>56</v>
      </c>
      <c r="B89" s="45"/>
      <c r="C89" s="48" t="s">
        <v>41</v>
      </c>
      <c r="D89" s="48" t="s">
        <v>42</v>
      </c>
      <c r="E89" s="48" t="s">
        <v>43</v>
      </c>
      <c r="F89" s="48" t="s">
        <v>44</v>
      </c>
      <c r="G89" s="45"/>
      <c r="H89" s="45"/>
      <c r="I89" s="45"/>
      <c r="J89" s="45"/>
      <c r="K89" s="45"/>
      <c r="L89" s="45"/>
      <c r="M89" s="45"/>
      <c r="N89" s="45"/>
      <c r="O89" s="45"/>
      <c r="P89" s="45"/>
      <c r="Q89" s="45"/>
      <c r="R89" s="45"/>
      <c r="S89" s="45"/>
      <c r="T89" s="45"/>
      <c r="U89" s="45"/>
      <c r="V89" s="45"/>
      <c r="W89" s="45"/>
      <c r="X89" s="45"/>
    </row>
    <row r="90" spans="1:24" ht="18" customHeight="1">
      <c r="A90" s="45"/>
      <c r="B90" s="45"/>
      <c r="C90" s="55">
        <v>44926</v>
      </c>
      <c r="D90" s="55">
        <v>45290</v>
      </c>
      <c r="E90" s="55">
        <v>45654</v>
      </c>
      <c r="F90" s="55">
        <v>46018</v>
      </c>
      <c r="G90" s="45"/>
      <c r="H90" s="45"/>
      <c r="I90" s="45"/>
      <c r="J90" s="45"/>
      <c r="K90" s="45"/>
      <c r="L90" s="45"/>
      <c r="M90" s="45"/>
      <c r="N90" s="45"/>
      <c r="O90" s="45"/>
      <c r="P90" s="45"/>
      <c r="Q90" s="45"/>
      <c r="R90" s="45"/>
      <c r="S90" s="45"/>
      <c r="T90" s="45"/>
      <c r="U90" s="45"/>
      <c r="V90" s="45"/>
      <c r="W90" s="45"/>
      <c r="X90" s="45"/>
    </row>
    <row r="91" spans="1:24" ht="24" customHeight="1">
      <c r="A91" s="172" t="s">
        <v>204</v>
      </c>
      <c r="B91" s="172"/>
      <c r="C91" s="172"/>
      <c r="D91" s="172"/>
      <c r="E91" s="172"/>
      <c r="F91" s="172"/>
      <c r="G91" s="172"/>
      <c r="H91" s="172"/>
      <c r="I91" s="172"/>
      <c r="J91" s="172"/>
      <c r="K91" s="172"/>
      <c r="L91" s="172"/>
      <c r="M91" s="172"/>
      <c r="N91" s="172"/>
      <c r="O91" s="172"/>
      <c r="P91" s="172"/>
      <c r="Q91" s="172"/>
      <c r="R91" s="172"/>
      <c r="S91" s="172"/>
      <c r="T91" s="172"/>
      <c r="U91" s="172"/>
      <c r="V91" s="172"/>
      <c r="W91" s="172"/>
      <c r="X91" s="172"/>
    </row>
    <row r="92" spans="1:24" ht="20" customHeight="1">
      <c r="A92" s="58" t="s">
        <v>205</v>
      </c>
      <c r="B92" s="45"/>
      <c r="C92" s="61">
        <v>0.5</v>
      </c>
      <c r="D92" s="61">
        <v>0.5</v>
      </c>
      <c r="E92" s="61">
        <v>0.5</v>
      </c>
      <c r="F92" s="61">
        <v>0.51</v>
      </c>
      <c r="G92" s="59"/>
      <c r="H92" s="59"/>
      <c r="I92" s="59"/>
      <c r="J92" s="59"/>
      <c r="K92" s="59"/>
      <c r="L92" s="59"/>
      <c r="M92" s="59"/>
      <c r="N92" s="59"/>
      <c r="O92" s="59"/>
      <c r="P92" s="59"/>
      <c r="Q92" s="59"/>
      <c r="R92" s="59"/>
      <c r="S92" s="59"/>
      <c r="T92" s="59"/>
      <c r="U92" s="59"/>
      <c r="V92" s="59"/>
      <c r="W92" s="59"/>
      <c r="X92" s="59"/>
    </row>
    <row r="93" spans="1:24" ht="20" customHeight="1">
      <c r="A93" s="58" t="s">
        <v>206</v>
      </c>
      <c r="B93" s="45"/>
      <c r="C93" s="61">
        <v>0.5</v>
      </c>
      <c r="D93" s="61">
        <v>0.5</v>
      </c>
      <c r="E93" s="61">
        <v>0.5</v>
      </c>
      <c r="F93" s="61">
        <v>0.49</v>
      </c>
      <c r="G93" s="59"/>
      <c r="H93" s="59"/>
      <c r="I93" s="59"/>
      <c r="J93" s="59"/>
      <c r="K93" s="59"/>
      <c r="L93" s="59"/>
      <c r="M93" s="59"/>
      <c r="N93" s="59"/>
      <c r="O93" s="59"/>
      <c r="P93" s="59"/>
      <c r="Q93" s="59"/>
      <c r="R93" s="59"/>
      <c r="S93" s="59"/>
      <c r="T93" s="59"/>
      <c r="U93" s="59"/>
      <c r="V93" s="59"/>
      <c r="W93" s="59"/>
      <c r="X93" s="59"/>
    </row>
    <row r="94" spans="1:24" ht="24" customHeight="1">
      <c r="A94" s="172" t="s">
        <v>197</v>
      </c>
      <c r="B94" s="172"/>
      <c r="C94" s="172"/>
      <c r="D94" s="172"/>
      <c r="E94" s="172"/>
      <c r="F94" s="172"/>
      <c r="G94" s="172"/>
      <c r="H94" s="172"/>
      <c r="I94" s="172"/>
      <c r="J94" s="172"/>
      <c r="K94" s="172"/>
      <c r="L94" s="172"/>
      <c r="M94" s="172"/>
      <c r="N94" s="172"/>
      <c r="O94" s="172"/>
      <c r="P94" s="172"/>
      <c r="Q94" s="172"/>
      <c r="R94" s="172"/>
      <c r="S94" s="172"/>
      <c r="T94" s="172"/>
      <c r="U94" s="172"/>
      <c r="V94" s="172"/>
      <c r="W94" s="172"/>
      <c r="X94" s="172"/>
    </row>
    <row r="95" spans="1:24" ht="20" customHeight="1">
      <c r="A95" s="58" t="s">
        <v>205</v>
      </c>
      <c r="B95" s="45"/>
      <c r="C95" s="61">
        <v>0.31</v>
      </c>
      <c r="D95" s="61">
        <v>0.28999999999999998</v>
      </c>
      <c r="E95" s="61">
        <v>0.28999999999999998</v>
      </c>
      <c r="F95" s="61">
        <v>0.31</v>
      </c>
      <c r="G95" s="59"/>
      <c r="H95" s="59"/>
      <c r="I95" s="59"/>
      <c r="J95" s="59"/>
      <c r="K95" s="59"/>
      <c r="L95" s="59"/>
      <c r="M95" s="59"/>
      <c r="N95" s="59"/>
      <c r="O95" s="59"/>
      <c r="P95" s="59"/>
      <c r="Q95" s="59"/>
      <c r="R95" s="59"/>
      <c r="S95" s="59"/>
      <c r="T95" s="59"/>
      <c r="U95" s="59"/>
      <c r="V95" s="59"/>
      <c r="W95" s="59"/>
      <c r="X95" s="59"/>
    </row>
    <row r="96" spans="1:24" ht="20" customHeight="1">
      <c r="A96" s="58" t="s">
        <v>206</v>
      </c>
      <c r="B96" s="45"/>
      <c r="C96" s="61">
        <v>0.69000000000000006</v>
      </c>
      <c r="D96" s="61">
        <v>0.71</v>
      </c>
      <c r="E96" s="61">
        <v>0.71</v>
      </c>
      <c r="F96" s="61">
        <v>0.69000000000000006</v>
      </c>
      <c r="G96" s="59"/>
      <c r="H96" s="59"/>
      <c r="I96" s="59"/>
      <c r="J96" s="59"/>
      <c r="K96" s="59"/>
      <c r="L96" s="59"/>
      <c r="M96" s="59"/>
      <c r="N96" s="59"/>
      <c r="O96" s="59"/>
      <c r="P96" s="59"/>
      <c r="Q96" s="59"/>
      <c r="R96" s="59"/>
      <c r="S96" s="59"/>
      <c r="T96" s="59"/>
      <c r="U96" s="59"/>
      <c r="V96" s="59"/>
      <c r="W96" s="59"/>
      <c r="X96" s="59"/>
    </row>
    <row r="97" spans="1:24" ht="24" customHeight="1">
      <c r="A97" s="172" t="s">
        <v>90</v>
      </c>
      <c r="B97" s="172"/>
      <c r="C97" s="172"/>
      <c r="D97" s="172"/>
      <c r="E97" s="172"/>
      <c r="F97" s="172"/>
      <c r="G97" s="172"/>
      <c r="H97" s="172"/>
      <c r="I97" s="172"/>
      <c r="J97" s="172"/>
      <c r="K97" s="172"/>
      <c r="L97" s="172"/>
      <c r="M97" s="172"/>
      <c r="N97" s="172"/>
      <c r="O97" s="172"/>
      <c r="P97" s="172"/>
      <c r="Q97" s="172"/>
      <c r="R97" s="172"/>
      <c r="S97" s="172"/>
      <c r="T97" s="172"/>
      <c r="U97" s="172"/>
      <c r="V97" s="172"/>
      <c r="W97" s="172"/>
      <c r="X97" s="172"/>
    </row>
    <row r="98" spans="1:24" ht="20" customHeight="1">
      <c r="A98" s="58" t="s">
        <v>205</v>
      </c>
      <c r="B98" s="45"/>
      <c r="C98" s="61">
        <v>0.38</v>
      </c>
      <c r="D98" s="61">
        <v>0.35000000000000003</v>
      </c>
      <c r="E98" s="61">
        <v>0.35000000000000003</v>
      </c>
      <c r="F98" s="61">
        <v>0.37</v>
      </c>
      <c r="G98" s="59"/>
      <c r="H98" s="59"/>
      <c r="I98" s="59"/>
      <c r="J98" s="59"/>
      <c r="K98" s="59"/>
      <c r="L98" s="59"/>
      <c r="M98" s="59"/>
      <c r="N98" s="59"/>
      <c r="O98" s="59"/>
      <c r="P98" s="59"/>
      <c r="Q98" s="59"/>
      <c r="R98" s="59"/>
      <c r="S98" s="59"/>
      <c r="T98" s="59"/>
      <c r="U98" s="59"/>
      <c r="V98" s="59"/>
      <c r="W98" s="59"/>
      <c r="X98" s="59"/>
    </row>
    <row r="99" spans="1:24" ht="20" customHeight="1">
      <c r="A99" s="58" t="s">
        <v>206</v>
      </c>
      <c r="B99" s="45"/>
      <c r="C99" s="61">
        <v>0.62</v>
      </c>
      <c r="D99" s="61">
        <v>0.65</v>
      </c>
      <c r="E99" s="61">
        <v>0.65</v>
      </c>
      <c r="F99" s="61">
        <v>0.63</v>
      </c>
      <c r="G99" s="59"/>
      <c r="H99" s="59"/>
      <c r="I99" s="59"/>
      <c r="J99" s="59"/>
      <c r="K99" s="59"/>
      <c r="L99" s="59"/>
      <c r="M99" s="59"/>
      <c r="N99" s="59"/>
      <c r="O99" s="59"/>
      <c r="P99" s="59"/>
      <c r="Q99" s="59"/>
      <c r="R99" s="59"/>
      <c r="S99" s="59"/>
      <c r="T99" s="59"/>
      <c r="U99" s="59"/>
      <c r="V99" s="59"/>
      <c r="W99" s="59"/>
      <c r="X99" s="59"/>
    </row>
    <row r="100" spans="1:24" ht="22" customHeight="1">
      <c r="A100" s="45"/>
      <c r="B100" s="45"/>
      <c r="C100" s="45"/>
      <c r="D100" s="45"/>
      <c r="E100" s="45"/>
      <c r="F100" s="45"/>
      <c r="G100" s="45"/>
      <c r="H100" s="45"/>
      <c r="I100" s="45"/>
      <c r="J100" s="45"/>
      <c r="K100" s="45"/>
      <c r="L100" s="45"/>
      <c r="M100" s="45"/>
      <c r="N100" s="45"/>
      <c r="O100" s="45"/>
      <c r="P100" s="45"/>
      <c r="Q100" s="45"/>
      <c r="R100" s="45"/>
      <c r="S100" s="45"/>
      <c r="T100" s="45"/>
      <c r="U100" s="45"/>
      <c r="V100" s="45"/>
      <c r="W100" s="45"/>
      <c r="X100" s="45"/>
    </row>
    <row r="101" spans="1:24" ht="22" customHeight="1">
      <c r="A101" s="45"/>
      <c r="B101" s="45"/>
      <c r="C101" s="45"/>
      <c r="D101" s="45"/>
      <c r="E101" s="45"/>
      <c r="F101" s="45"/>
      <c r="G101" s="45"/>
      <c r="H101" s="45"/>
      <c r="I101" s="45"/>
      <c r="J101" s="45"/>
      <c r="K101" s="45"/>
      <c r="L101" s="45"/>
      <c r="M101" s="45"/>
      <c r="N101" s="45"/>
      <c r="O101" s="45"/>
      <c r="P101" s="45"/>
      <c r="Q101" s="45"/>
      <c r="R101" s="45"/>
      <c r="S101" s="45"/>
      <c r="T101" s="45"/>
      <c r="U101" s="45"/>
      <c r="V101" s="45"/>
      <c r="W101" s="45"/>
      <c r="X101" s="45"/>
    </row>
    <row r="102" spans="1:24" ht="22" customHeight="1">
      <c r="A102" s="170" t="s">
        <v>181</v>
      </c>
      <c r="B102" s="170"/>
      <c r="C102" s="170"/>
      <c r="D102" s="170"/>
      <c r="E102" s="170"/>
      <c r="F102" s="170"/>
      <c r="G102" s="170"/>
      <c r="H102" s="170"/>
      <c r="I102" s="170"/>
      <c r="J102" s="170"/>
      <c r="K102" s="170"/>
      <c r="L102" s="170"/>
      <c r="M102" s="170"/>
      <c r="N102" s="170"/>
      <c r="O102" s="170"/>
      <c r="P102" s="170"/>
      <c r="Q102" s="170"/>
      <c r="R102" s="170"/>
      <c r="S102" s="170"/>
      <c r="T102" s="170"/>
      <c r="U102" s="170"/>
      <c r="V102" s="170"/>
      <c r="W102" s="170"/>
      <c r="X102" s="170"/>
    </row>
    <row r="103" spans="1:24" ht="24" customHeight="1">
      <c r="A103" s="171" t="s">
        <v>203</v>
      </c>
      <c r="B103" s="171"/>
      <c r="C103" s="171"/>
      <c r="D103" s="171"/>
      <c r="E103" s="171"/>
      <c r="F103" s="171"/>
      <c r="G103" s="171"/>
      <c r="H103" s="171"/>
      <c r="I103" s="171"/>
      <c r="J103" s="171"/>
      <c r="K103" s="171"/>
      <c r="L103" s="171"/>
      <c r="M103" s="171"/>
      <c r="N103" s="171"/>
      <c r="O103" s="171"/>
      <c r="P103" s="171"/>
      <c r="Q103" s="171"/>
      <c r="R103" s="171"/>
      <c r="S103" s="171"/>
      <c r="T103" s="171"/>
      <c r="U103" s="171"/>
      <c r="V103" s="171"/>
      <c r="W103" s="171"/>
      <c r="X103" s="171"/>
    </row>
    <row r="104" spans="1:24" ht="24" customHeight="1">
      <c r="A104" s="47" t="s">
        <v>56</v>
      </c>
      <c r="B104" s="45"/>
      <c r="C104" s="48" t="s">
        <v>37</v>
      </c>
      <c r="D104" s="48" t="s">
        <v>38</v>
      </c>
      <c r="E104" s="48" t="s">
        <v>39</v>
      </c>
      <c r="F104" s="48" t="s">
        <v>40</v>
      </c>
      <c r="G104" s="48" t="s">
        <v>41</v>
      </c>
      <c r="H104" s="48" t="s">
        <v>42</v>
      </c>
      <c r="I104" s="48" t="s">
        <v>43</v>
      </c>
      <c r="J104" s="45"/>
      <c r="K104" s="45"/>
      <c r="L104" s="45"/>
      <c r="M104" s="45"/>
      <c r="N104" s="45"/>
      <c r="O104" s="45"/>
      <c r="P104" s="45"/>
      <c r="Q104" s="45"/>
      <c r="R104" s="45"/>
      <c r="S104" s="45"/>
      <c r="T104" s="45"/>
      <c r="U104" s="45"/>
      <c r="V104" s="45"/>
      <c r="W104" s="45"/>
      <c r="X104" s="45"/>
    </row>
    <row r="105" spans="1:24" ht="18" customHeight="1">
      <c r="A105" s="45"/>
      <c r="B105" s="45"/>
      <c r="C105" s="55">
        <v>43463</v>
      </c>
      <c r="D105" s="55">
        <v>43827</v>
      </c>
      <c r="E105" s="55">
        <v>44191</v>
      </c>
      <c r="F105" s="55">
        <v>44555</v>
      </c>
      <c r="G105" s="55">
        <v>44926</v>
      </c>
      <c r="H105" s="55">
        <v>45290</v>
      </c>
      <c r="I105" s="55">
        <v>45654</v>
      </c>
      <c r="J105" s="45"/>
      <c r="K105" s="45"/>
      <c r="L105" s="45"/>
      <c r="M105" s="45"/>
      <c r="N105" s="45"/>
      <c r="O105" s="45"/>
      <c r="P105" s="45"/>
      <c r="Q105" s="45"/>
      <c r="R105" s="45"/>
      <c r="S105" s="45"/>
      <c r="T105" s="45"/>
      <c r="U105" s="45"/>
      <c r="V105" s="45"/>
      <c r="W105" s="45"/>
      <c r="X105" s="45"/>
    </row>
    <row r="106" spans="1:24" ht="24" customHeight="1">
      <c r="A106" s="172" t="s">
        <v>115</v>
      </c>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row>
    <row r="107" spans="1:24" ht="20" customHeight="1">
      <c r="A107" s="58" t="s">
        <v>205</v>
      </c>
      <c r="B107" s="45"/>
      <c r="C107" s="61">
        <v>0.1</v>
      </c>
      <c r="D107" s="61">
        <v>0.1</v>
      </c>
      <c r="E107" s="61">
        <v>0.1</v>
      </c>
      <c r="F107" s="61">
        <v>0.1</v>
      </c>
      <c r="G107" s="61">
        <v>0.09</v>
      </c>
      <c r="H107" s="61">
        <v>0.09</v>
      </c>
      <c r="I107" s="61">
        <v>0.1</v>
      </c>
      <c r="J107" s="59"/>
      <c r="K107" s="59"/>
      <c r="L107" s="59"/>
      <c r="M107" s="59"/>
      <c r="N107" s="59"/>
      <c r="O107" s="59"/>
      <c r="P107" s="59"/>
      <c r="Q107" s="59"/>
      <c r="R107" s="59"/>
      <c r="S107" s="59"/>
      <c r="T107" s="59"/>
      <c r="U107" s="59"/>
      <c r="V107" s="59"/>
      <c r="W107" s="59"/>
      <c r="X107" s="59"/>
    </row>
    <row r="108" spans="1:24" ht="20" customHeight="1">
      <c r="A108" s="58" t="s">
        <v>206</v>
      </c>
      <c r="B108" s="45"/>
      <c r="C108" s="61">
        <v>0.9</v>
      </c>
      <c r="D108" s="61">
        <v>0.9</v>
      </c>
      <c r="E108" s="61">
        <v>0.9</v>
      </c>
      <c r="F108" s="61">
        <v>0.9</v>
      </c>
      <c r="G108" s="61">
        <v>0.91</v>
      </c>
      <c r="H108" s="61">
        <v>0.91</v>
      </c>
      <c r="I108" s="61">
        <v>0.9</v>
      </c>
      <c r="J108" s="59"/>
      <c r="K108" s="59"/>
      <c r="L108" s="59"/>
      <c r="M108" s="59"/>
      <c r="N108" s="59"/>
      <c r="O108" s="59"/>
      <c r="P108" s="59"/>
      <c r="Q108" s="59"/>
      <c r="R108" s="59"/>
      <c r="S108" s="59"/>
      <c r="T108" s="59"/>
      <c r="U108" s="59"/>
      <c r="V108" s="59"/>
      <c r="W108" s="59"/>
      <c r="X108" s="59"/>
    </row>
    <row r="109" spans="1:24" ht="24" customHeight="1">
      <c r="A109" s="172" t="s">
        <v>116</v>
      </c>
      <c r="B109" s="172"/>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row>
    <row r="110" spans="1:24" ht="20" customHeight="1">
      <c r="A110" s="58" t="s">
        <v>205</v>
      </c>
      <c r="B110" s="45"/>
      <c r="C110" s="61">
        <v>0.5</v>
      </c>
      <c r="D110" s="61">
        <v>0.55000000000000004</v>
      </c>
      <c r="E110" s="61">
        <v>0.55000000000000004</v>
      </c>
      <c r="F110" s="61">
        <v>0.54</v>
      </c>
      <c r="G110" s="61">
        <v>0.5</v>
      </c>
      <c r="H110" s="61">
        <v>0.48</v>
      </c>
      <c r="I110" s="61">
        <v>0.48</v>
      </c>
      <c r="J110" s="59"/>
      <c r="K110" s="59"/>
      <c r="L110" s="59"/>
      <c r="M110" s="59"/>
      <c r="N110" s="59"/>
      <c r="O110" s="59"/>
      <c r="P110" s="59"/>
      <c r="Q110" s="59"/>
      <c r="R110" s="59"/>
      <c r="S110" s="59"/>
      <c r="T110" s="59"/>
      <c r="U110" s="59"/>
      <c r="V110" s="59"/>
      <c r="W110" s="59"/>
      <c r="X110" s="59"/>
    </row>
    <row r="111" spans="1:24" ht="20" customHeight="1">
      <c r="A111" s="58" t="s">
        <v>206</v>
      </c>
      <c r="B111" s="45"/>
      <c r="C111" s="61">
        <v>0.5</v>
      </c>
      <c r="D111" s="61">
        <v>0.45</v>
      </c>
      <c r="E111" s="61">
        <v>0.45</v>
      </c>
      <c r="F111" s="61">
        <v>0.46</v>
      </c>
      <c r="G111" s="61">
        <v>0.5</v>
      </c>
      <c r="H111" s="61">
        <v>0.52</v>
      </c>
      <c r="I111" s="61">
        <v>0.52</v>
      </c>
      <c r="J111" s="59"/>
      <c r="K111" s="59"/>
      <c r="L111" s="59"/>
      <c r="M111" s="59"/>
      <c r="N111" s="59"/>
      <c r="O111" s="59"/>
      <c r="P111" s="59"/>
      <c r="Q111" s="59"/>
      <c r="R111" s="59"/>
      <c r="S111" s="59"/>
      <c r="T111" s="59"/>
      <c r="U111" s="59"/>
      <c r="V111" s="59"/>
      <c r="W111" s="59"/>
      <c r="X111" s="59"/>
    </row>
    <row r="112" spans="1:24" ht="24" customHeight="1">
      <c r="A112" s="172" t="s">
        <v>117</v>
      </c>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row>
    <row r="113" spans="1:24" ht="20" customHeight="1">
      <c r="A113" s="58" t="s">
        <v>205</v>
      </c>
      <c r="B113" s="45"/>
      <c r="C113" s="61">
        <v>0.45</v>
      </c>
      <c r="D113" s="61">
        <v>0.4</v>
      </c>
      <c r="E113" s="61">
        <v>0.3</v>
      </c>
      <c r="F113" s="61">
        <v>0.31</v>
      </c>
      <c r="G113" s="61">
        <v>0.3</v>
      </c>
      <c r="H113" s="61">
        <v>0.28999999999999998</v>
      </c>
      <c r="I113" s="61">
        <v>0.3</v>
      </c>
      <c r="J113" s="59"/>
      <c r="K113" s="59"/>
      <c r="L113" s="59"/>
      <c r="M113" s="59"/>
      <c r="N113" s="59"/>
      <c r="O113" s="59"/>
      <c r="P113" s="59"/>
      <c r="Q113" s="59"/>
      <c r="R113" s="59"/>
      <c r="S113" s="59"/>
      <c r="T113" s="59"/>
      <c r="U113" s="59"/>
      <c r="V113" s="59"/>
      <c r="W113" s="59"/>
      <c r="X113" s="59"/>
    </row>
    <row r="114" spans="1:24" ht="20" customHeight="1">
      <c r="A114" s="58" t="s">
        <v>206</v>
      </c>
      <c r="B114" s="45"/>
      <c r="C114" s="61">
        <v>0.55000000000000004</v>
      </c>
      <c r="D114" s="61">
        <v>0.6</v>
      </c>
      <c r="E114" s="61">
        <v>0.70000000000000007</v>
      </c>
      <c r="F114" s="61">
        <v>0.69000000000000006</v>
      </c>
      <c r="G114" s="61">
        <v>0.70000000000000007</v>
      </c>
      <c r="H114" s="61">
        <v>0.71</v>
      </c>
      <c r="I114" s="61">
        <v>0.70000000000000007</v>
      </c>
      <c r="J114" s="59"/>
      <c r="K114" s="59"/>
      <c r="L114" s="59"/>
      <c r="M114" s="59"/>
      <c r="N114" s="59"/>
      <c r="O114" s="59"/>
      <c r="P114" s="59"/>
      <c r="Q114" s="59"/>
      <c r="R114" s="59"/>
      <c r="S114" s="59"/>
      <c r="T114" s="59"/>
      <c r="U114" s="59"/>
      <c r="V114" s="59"/>
      <c r="W114" s="59"/>
      <c r="X114" s="59"/>
    </row>
    <row r="115" spans="1:24" ht="24" customHeight="1">
      <c r="A115" s="172" t="s">
        <v>118</v>
      </c>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row>
    <row r="116" spans="1:24" ht="20" customHeight="1">
      <c r="A116" s="58" t="s">
        <v>205</v>
      </c>
      <c r="B116" s="45"/>
      <c r="C116" s="61">
        <v>0.25</v>
      </c>
      <c r="D116" s="61">
        <v>0.25</v>
      </c>
      <c r="E116" s="61">
        <v>0.25</v>
      </c>
      <c r="F116" s="61">
        <v>0.22</v>
      </c>
      <c r="G116" s="61">
        <v>0.23</v>
      </c>
      <c r="H116" s="61">
        <v>0.23</v>
      </c>
      <c r="I116" s="61">
        <v>0.23</v>
      </c>
      <c r="J116" s="59"/>
      <c r="K116" s="59"/>
      <c r="L116" s="59"/>
      <c r="M116" s="59"/>
      <c r="N116" s="59"/>
      <c r="O116" s="59"/>
      <c r="P116" s="59"/>
      <c r="Q116" s="59"/>
      <c r="R116" s="59"/>
      <c r="S116" s="59"/>
      <c r="T116" s="59"/>
      <c r="U116" s="59"/>
      <c r="V116" s="59"/>
      <c r="W116" s="59"/>
      <c r="X116" s="59"/>
    </row>
    <row r="117" spans="1:24" ht="20" customHeight="1">
      <c r="A117" s="58" t="s">
        <v>206</v>
      </c>
      <c r="B117" s="45"/>
      <c r="C117" s="61">
        <v>0.75</v>
      </c>
      <c r="D117" s="61">
        <v>0.75</v>
      </c>
      <c r="E117" s="61">
        <v>0.75</v>
      </c>
      <c r="F117" s="61">
        <v>0.78</v>
      </c>
      <c r="G117" s="61">
        <v>0.77</v>
      </c>
      <c r="H117" s="61">
        <v>0.77</v>
      </c>
      <c r="I117" s="61">
        <v>0.77</v>
      </c>
      <c r="J117" s="59"/>
      <c r="K117" s="59"/>
      <c r="L117" s="59"/>
      <c r="M117" s="59"/>
      <c r="N117" s="59"/>
      <c r="O117" s="59"/>
      <c r="P117" s="59"/>
      <c r="Q117" s="59"/>
      <c r="R117" s="59"/>
      <c r="S117" s="59"/>
      <c r="T117" s="59"/>
      <c r="U117" s="59"/>
      <c r="V117" s="59"/>
      <c r="W117" s="59"/>
      <c r="X117" s="59"/>
    </row>
    <row r="118" spans="1:24" ht="22" customHeight="1">
      <c r="A118" s="45"/>
      <c r="B118" s="45"/>
      <c r="C118" s="45"/>
      <c r="D118" s="45"/>
      <c r="E118" s="45"/>
      <c r="F118" s="45"/>
      <c r="G118" s="45"/>
      <c r="H118" s="45"/>
      <c r="I118" s="45"/>
      <c r="J118" s="45"/>
      <c r="K118" s="45"/>
      <c r="L118" s="45"/>
      <c r="M118" s="45"/>
      <c r="N118" s="45"/>
      <c r="O118" s="45"/>
      <c r="P118" s="45"/>
      <c r="Q118" s="45"/>
      <c r="R118" s="45"/>
      <c r="S118" s="45"/>
      <c r="T118" s="45"/>
      <c r="U118" s="45"/>
      <c r="V118" s="45"/>
      <c r="W118" s="45"/>
      <c r="X118" s="45"/>
    </row>
    <row r="119" spans="1:24" ht="22" customHeight="1">
      <c r="A119" s="45"/>
      <c r="B119" s="45"/>
      <c r="C119" s="45"/>
      <c r="D119" s="45"/>
      <c r="E119" s="45"/>
      <c r="F119" s="45"/>
      <c r="G119" s="45"/>
      <c r="H119" s="45"/>
      <c r="I119" s="45"/>
      <c r="J119" s="45"/>
      <c r="K119" s="45"/>
      <c r="L119" s="45"/>
      <c r="M119" s="45"/>
      <c r="N119" s="45"/>
      <c r="O119" s="45"/>
      <c r="P119" s="45"/>
      <c r="Q119" s="45"/>
      <c r="R119" s="45"/>
      <c r="S119" s="45"/>
      <c r="T119" s="45"/>
      <c r="U119" s="45"/>
      <c r="V119" s="45"/>
      <c r="W119" s="45"/>
      <c r="X119" s="45"/>
    </row>
    <row r="120" spans="1:24" ht="22" customHeight="1">
      <c r="A120" s="45"/>
      <c r="B120" s="45"/>
      <c r="C120" s="45"/>
      <c r="D120" s="45"/>
      <c r="E120" s="45"/>
      <c r="F120" s="45"/>
      <c r="G120" s="45"/>
      <c r="H120" s="45"/>
      <c r="I120" s="45"/>
      <c r="J120" s="45"/>
      <c r="K120" s="45"/>
      <c r="L120" s="45"/>
      <c r="M120" s="45"/>
      <c r="N120" s="45"/>
      <c r="O120" s="45"/>
      <c r="P120" s="45"/>
      <c r="Q120" s="45"/>
      <c r="R120" s="45"/>
      <c r="S120" s="45"/>
      <c r="T120" s="45"/>
      <c r="U120" s="45"/>
      <c r="V120" s="45"/>
      <c r="W120" s="45"/>
      <c r="X120" s="45"/>
    </row>
  </sheetData>
  <mergeCells count="35">
    <mergeCell ref="A106:X106"/>
    <mergeCell ref="A109:X109"/>
    <mergeCell ref="A112:X112"/>
    <mergeCell ref="A115:X115"/>
    <mergeCell ref="A91:X91"/>
    <mergeCell ref="A94:X94"/>
    <mergeCell ref="A97:X97"/>
    <mergeCell ref="A102:X102"/>
    <mergeCell ref="A103:X103"/>
    <mergeCell ref="A70:X70"/>
    <mergeCell ref="A78:X78"/>
    <mergeCell ref="A79:X79"/>
    <mergeCell ref="A87:X87"/>
    <mergeCell ref="A88:X88"/>
    <mergeCell ref="A41:X41"/>
    <mergeCell ref="A45:X45"/>
    <mergeCell ref="A53:X53"/>
    <mergeCell ref="A54:X54"/>
    <mergeCell ref="A69:X69"/>
    <mergeCell ref="A21:X21"/>
    <mergeCell ref="A25:X25"/>
    <mergeCell ref="A29:X29"/>
    <mergeCell ref="A33:X33"/>
    <mergeCell ref="A37:X37"/>
    <mergeCell ref="C9:L9"/>
    <mergeCell ref="N9:X9"/>
    <mergeCell ref="A13:X13"/>
    <mergeCell ref="A14:X14"/>
    <mergeCell ref="A17:X17"/>
    <mergeCell ref="A1:X1"/>
    <mergeCell ref="A2:X2"/>
    <mergeCell ref="C7:L7"/>
    <mergeCell ref="N7:X7"/>
    <mergeCell ref="C8:L8"/>
    <mergeCell ref="N8:X8"/>
  </mergeCells>
  <phoneticPr fontId="44" type="noConversion"/>
  <hyperlinks>
    <hyperlink ref="A3" location="'Contents'!A1" display="Metric (Return to Contents)" xr:uid="{00000000-0004-0000-0300-000000000000}"/>
    <hyperlink ref="C7" location="'Products &amp; Geography'!A13" display="Country revenue and concentration" xr:uid="{00000000-0004-0000-0300-000001000000}"/>
    <hyperlink ref="N7" location="'Products &amp; Geography'!A53" display="Country long-lived assets - historical definition" xr:uid="{00000000-0004-0000-0300-000002000000}"/>
    <hyperlink ref="C8" location="'Products &amp; Geography'!A69" display="Property, plant and equipment, net" xr:uid="{00000000-0004-0000-0300-000003000000}"/>
    <hyperlink ref="N8" location="'Products &amp; Geography'!A78" display="Food / beverage mix and company-owned bottling" xr:uid="{00000000-0004-0000-0300-000004000000}"/>
    <hyperlink ref="C9" location="'Products &amp; Geography'!A87" display="Current regional food / beverage mix" xr:uid="{00000000-0004-0000-0300-000005000000}"/>
    <hyperlink ref="N9" location="'Products &amp; Geography'!A102" display="Historical regional food / beverage mix" xr:uid="{00000000-0004-0000-0300-000006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X57"/>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207</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214</v>
      </c>
      <c r="D7" s="176"/>
      <c r="E7" s="176"/>
      <c r="F7" s="176"/>
      <c r="G7" s="176"/>
      <c r="H7" s="176"/>
      <c r="I7" s="176"/>
      <c r="J7" s="176"/>
      <c r="K7" s="176"/>
      <c r="L7" s="176"/>
      <c r="M7" s="2"/>
      <c r="N7" s="176" t="s">
        <v>215</v>
      </c>
      <c r="O7" s="176"/>
      <c r="P7" s="176"/>
      <c r="Q7" s="176"/>
      <c r="R7" s="176"/>
      <c r="S7" s="176"/>
      <c r="T7" s="176"/>
      <c r="U7" s="176"/>
      <c r="V7" s="176"/>
      <c r="W7" s="176"/>
      <c r="X7" s="176"/>
    </row>
    <row r="8" spans="1:24" ht="22" customHeight="1">
      <c r="A8" s="3"/>
      <c r="B8" s="1"/>
      <c r="C8" s="2"/>
      <c r="D8" s="2"/>
      <c r="E8" s="2"/>
      <c r="F8" s="2"/>
      <c r="G8" s="2"/>
      <c r="H8" s="2"/>
      <c r="I8" s="2"/>
      <c r="J8" s="2"/>
      <c r="K8" s="2"/>
      <c r="L8" s="2"/>
      <c r="M8" s="2"/>
      <c r="N8" s="2"/>
      <c r="O8" s="2"/>
      <c r="P8" s="2"/>
      <c r="Q8" s="2"/>
      <c r="R8" s="2"/>
      <c r="S8" s="2"/>
      <c r="T8" s="2"/>
      <c r="U8" s="2"/>
      <c r="V8" s="2"/>
      <c r="W8" s="2"/>
      <c r="X8" s="2"/>
    </row>
    <row r="9" spans="1:24" ht="22" customHeight="1">
      <c r="A9" s="3"/>
      <c r="B9" s="1"/>
      <c r="C9" s="2"/>
      <c r="D9" s="2"/>
      <c r="E9" s="2"/>
      <c r="F9" s="2"/>
      <c r="G9" s="2"/>
      <c r="H9" s="2"/>
      <c r="I9" s="2"/>
      <c r="J9" s="2"/>
      <c r="K9" s="2"/>
      <c r="L9" s="2"/>
      <c r="M9" s="2"/>
      <c r="N9" s="2"/>
      <c r="O9" s="2"/>
      <c r="P9" s="2"/>
      <c r="Q9" s="2"/>
      <c r="R9" s="2"/>
      <c r="S9" s="2"/>
      <c r="T9" s="2"/>
      <c r="U9" s="2"/>
      <c r="V9" s="2"/>
      <c r="W9" s="2"/>
      <c r="X9" s="2"/>
    </row>
    <row r="10" spans="1:24" ht="22" customHeight="1">
      <c r="A10" s="3"/>
      <c r="B10" s="1"/>
      <c r="C10" s="2"/>
      <c r="D10" s="2"/>
      <c r="E10" s="2"/>
      <c r="F10" s="2"/>
      <c r="G10" s="2"/>
      <c r="H10" s="2"/>
      <c r="I10" s="2"/>
      <c r="J10" s="2"/>
      <c r="K10" s="2"/>
      <c r="L10" s="2"/>
      <c r="M10" s="2"/>
      <c r="N10" s="2"/>
      <c r="O10" s="2"/>
      <c r="P10" s="2"/>
      <c r="Q10" s="2"/>
      <c r="R10" s="2"/>
      <c r="S10" s="2"/>
      <c r="T10" s="2"/>
      <c r="U10" s="2"/>
      <c r="V10" s="2"/>
      <c r="W10" s="2"/>
      <c r="X10" s="2"/>
    </row>
    <row r="11" spans="1:24" ht="22" customHeight="1">
      <c r="A11" s="174" t="s">
        <v>214</v>
      </c>
      <c r="B11" s="174"/>
      <c r="C11" s="175"/>
      <c r="D11" s="175"/>
      <c r="E11" s="175"/>
      <c r="F11" s="175"/>
      <c r="G11" s="175"/>
      <c r="H11" s="175"/>
      <c r="I11" s="175"/>
      <c r="J11" s="175"/>
      <c r="K11" s="175"/>
      <c r="L11" s="175"/>
      <c r="M11" s="175"/>
      <c r="N11" s="175"/>
      <c r="O11" s="175"/>
      <c r="P11" s="175"/>
      <c r="Q11" s="175"/>
      <c r="R11" s="175"/>
      <c r="S11" s="175"/>
      <c r="T11" s="175"/>
      <c r="U11" s="175"/>
      <c r="V11" s="175"/>
      <c r="W11" s="175"/>
      <c r="X11" s="175"/>
    </row>
    <row r="12" spans="1:24" ht="18" customHeight="1">
      <c r="A12" s="163" t="s">
        <v>216</v>
      </c>
      <c r="B12" s="163"/>
      <c r="C12" s="173"/>
      <c r="D12" s="173"/>
      <c r="E12" s="173"/>
      <c r="F12" s="173"/>
      <c r="G12" s="173"/>
      <c r="H12" s="173"/>
      <c r="I12" s="173"/>
      <c r="J12" s="173"/>
      <c r="K12" s="173"/>
      <c r="L12" s="173"/>
      <c r="M12" s="173"/>
      <c r="N12" s="173"/>
      <c r="O12" s="173"/>
      <c r="P12" s="173"/>
      <c r="Q12" s="173"/>
      <c r="R12" s="173"/>
      <c r="S12" s="173"/>
      <c r="T12" s="173"/>
      <c r="U12" s="173"/>
      <c r="V12" s="173"/>
      <c r="W12" s="173"/>
      <c r="X12" s="173"/>
    </row>
    <row r="13" spans="1:24" ht="24" customHeight="1">
      <c r="A13" s="16" t="s">
        <v>217</v>
      </c>
      <c r="B13" s="17"/>
      <c r="C13" s="18">
        <v>62799</v>
      </c>
      <c r="D13" s="18">
        <v>63525</v>
      </c>
      <c r="E13" s="18">
        <v>64661</v>
      </c>
      <c r="F13" s="18">
        <v>67161</v>
      </c>
      <c r="G13" s="18">
        <v>70372</v>
      </c>
      <c r="H13" s="18">
        <v>79474</v>
      </c>
      <c r="I13" s="18">
        <v>86392</v>
      </c>
      <c r="J13" s="18">
        <v>91471</v>
      </c>
      <c r="K13" s="18">
        <v>91854</v>
      </c>
      <c r="L13" s="18">
        <v>93925</v>
      </c>
      <c r="M13" s="20"/>
      <c r="N13" s="18">
        <v>18250</v>
      </c>
      <c r="O13" s="18">
        <v>22501</v>
      </c>
      <c r="P13" s="18">
        <v>23319</v>
      </c>
      <c r="Q13" s="19">
        <f>IF(COUNT('Income Statement'!K13,'Income Statement'!P40)=2,'Income Statement'!K13-'Income Statement'!P40,"")</f>
        <v>27784</v>
      </c>
      <c r="R13" s="18">
        <v>17919</v>
      </c>
      <c r="S13" s="18">
        <v>22726</v>
      </c>
      <c r="T13" s="18">
        <v>23937</v>
      </c>
      <c r="U13" s="19">
        <f>IF(COUNT('Income Statement'!L13,'Income Statement'!T40)=2,'Income Statement'!L13-'Income Statement'!T40,"")</f>
        <v>29343</v>
      </c>
      <c r="V13" s="18">
        <v>19443</v>
      </c>
      <c r="W13" s="18">
        <v>24181</v>
      </c>
      <c r="X13" s="18">
        <v>25274</v>
      </c>
    </row>
    <row r="14" spans="1:24" ht="20" customHeight="1">
      <c r="A14" s="21" t="s">
        <v>218</v>
      </c>
      <c r="B14" s="1"/>
      <c r="C14" s="32">
        <f>IF(COUNT('Income Statement'!C13,'Note Schedules'!C313)=2,IF('Note Schedules'!C313&gt;0,'Income Statement'!C13/'Note Schedules'!C313-1,"n.m."),"")</f>
        <v>-4.0757421974118024E-3</v>
      </c>
      <c r="D14" s="23">
        <f>IF(COUNT('Income Statement'!D13,'Income Statement'!C13)=2,IF('Income Statement'!C13&gt;0,'Income Statement'!D13/'Income Statement'!C13-1,"n.m."),"")</f>
        <v>1.1560693641618602E-2</v>
      </c>
      <c r="E14" s="23">
        <f>IF(COUNT('Income Statement'!E13,'Income Statement'!D13)=2,IF('Income Statement'!D13&gt;0,'Income Statement'!E13/'Income Statement'!D13-1,"n.m."),"")</f>
        <v>1.7882723337268702E-2</v>
      </c>
      <c r="F14" s="23">
        <f>IF(COUNT('Income Statement'!F13,'Income Statement'!E13)=2,IF('Income Statement'!E13&gt;0,'Income Statement'!F13/'Income Statement'!E13-1,"n.m."),"")</f>
        <v>3.8663181825211446E-2</v>
      </c>
      <c r="G14" s="23">
        <f>IF(COUNT('Income Statement'!G13,'Income Statement'!F13)=2,IF('Income Statement'!F13&gt;0,'Income Statement'!G13/'Income Statement'!F13-1,"n.m."),"")</f>
        <v>4.7810485251857493E-2</v>
      </c>
      <c r="H14" s="23">
        <f>IF(COUNT('Income Statement'!H13,'Income Statement'!G13)=2,IF('Income Statement'!G13&gt;0,'Income Statement'!H13/'Income Statement'!G13-1,"n.m."),"")</f>
        <v>0.12934121525606779</v>
      </c>
      <c r="I14" s="23">
        <f>IF(COUNT('Income Statement'!I13,'Income Statement'!H13)=2,IF('Income Statement'!H13&gt;0,'Income Statement'!I13/'Income Statement'!H13-1,"n.m."),"")</f>
        <v>8.7047336235750006E-2</v>
      </c>
      <c r="J14" s="23">
        <f>IF(COUNT('Income Statement'!J13,'Income Statement'!I13)=2,IF('Income Statement'!I13&gt;0,'Income Statement'!J13/'Income Statement'!I13-1,"n.m."),"")</f>
        <v>5.879016575608853E-2</v>
      </c>
      <c r="K14" s="23">
        <f>IF(COUNT('Income Statement'!K13,'Income Statement'!J13)=2,IF('Income Statement'!J13&gt;0,'Income Statement'!K13/'Income Statement'!J13-1,"n.m."),"")</f>
        <v>4.1871194148965785E-3</v>
      </c>
      <c r="L14" s="23">
        <f>IF(COUNT('Income Statement'!L13,'Income Statement'!K13)=2,IF('Income Statement'!K13&gt;0,'Income Statement'!L13/'Income Statement'!K13-1,"n.m."),"")</f>
        <v>2.2546650118666633E-2</v>
      </c>
      <c r="M14" s="24"/>
      <c r="N14" s="32">
        <f>IF(COUNT('Income Statement'!N13,'Note Schedules'!N331)=2,IF('Note Schedules'!N331&gt;0,'Income Statement'!N13/'Note Schedules'!N331-1,"n.m."),"")</f>
        <v>2.2638126190743124E-2</v>
      </c>
      <c r="O14" s="32">
        <f>IF(COUNT('Income Statement'!O13,'Note Schedules'!O331)=2,IF('Note Schedules'!O331&gt;0,'Income Statement'!O13/'Note Schedules'!O331-1,"n.m."),"")</f>
        <v>8.0189947137352391E-3</v>
      </c>
      <c r="P14" s="32">
        <f>IF(COUNT('Income Statement'!P13,'Note Schedules'!P331)=2,IF('Note Schedules'!P331&gt;0,'Income Statement'!P13/'Note Schedules'!P331-1,"n.m."),"")</f>
        <v>-5.7135547691127275E-3</v>
      </c>
      <c r="Q14" s="32">
        <f>IF(COUNT('Income Statement'!Q13,'Note Schedules'!Q331)=2,IF('Note Schedules'!Q331&gt;0,'Income Statement'!Q13/'Note Schedules'!Q331-1,"n.m."),"")</f>
        <v>-2.3698384201077394E-3</v>
      </c>
      <c r="R14" s="23">
        <f>IF(COUNT('Income Statement'!R13,'Income Statement'!N13)=2,IF('Income Statement'!N13&gt;0,'Income Statement'!R13/'Income Statement'!N13-1,"n.m."),"")</f>
        <v>-1.813698630136984E-2</v>
      </c>
      <c r="S14" s="23">
        <f>IF(COUNT('Income Statement'!S13,'Income Statement'!O13)=2,IF('Income Statement'!O13&gt;0,'Income Statement'!S13/'Income Statement'!O13-1,"n.m."),"")</f>
        <v>9.9995555753078502E-3</v>
      </c>
      <c r="T14" s="23">
        <f>IF(COUNT('Income Statement'!T13,'Income Statement'!P13)=2,IF('Income Statement'!P13&gt;0,'Income Statement'!T13/'Income Statement'!P13-1,"n.m."),"")</f>
        <v>2.6501994082078983E-2</v>
      </c>
      <c r="U14" s="23">
        <f>IF(COUNT('Income Statement'!U13,'Income Statement'!Q13)=2,IF('Income Statement'!Q13&gt;0,'Income Statement'!U13/'Income Statement'!Q13-1,"n.m."),"")</f>
        <v>5.6111431039447268E-2</v>
      </c>
      <c r="V14" s="23">
        <f>IF(COUNT('Income Statement'!V13,'Income Statement'!R13)=2,IF('Income Statement'!R13&gt;0,'Income Statement'!V13/'Income Statement'!R13-1,"n.m."),"")</f>
        <v>8.5049388916792257E-2</v>
      </c>
      <c r="W14" s="23">
        <f>IF(COUNT('Income Statement'!W13,'Income Statement'!S13)=2,IF('Income Statement'!S13&gt;0,'Income Statement'!W13/'Income Statement'!S13-1,"n.m."),"")</f>
        <v>6.4023585320778009E-2</v>
      </c>
      <c r="X14" s="23">
        <f>IF(COUNT('Income Statement'!X13,'Income Statement'!T13)=2,IF('Income Statement'!T13&gt;0,'Income Statement'!X13/'Income Statement'!T13-1,"n.m."),"")</f>
        <v>5.585495258386608E-2</v>
      </c>
    </row>
    <row r="15" spans="1:24" ht="22" customHeight="1">
      <c r="A15" s="3" t="s">
        <v>219</v>
      </c>
      <c r="B15" s="1"/>
      <c r="C15" s="14">
        <v>28222</v>
      </c>
      <c r="D15" s="14">
        <v>28796</v>
      </c>
      <c r="E15" s="14">
        <v>29381</v>
      </c>
      <c r="F15" s="14">
        <v>30132</v>
      </c>
      <c r="G15" s="14">
        <v>31797</v>
      </c>
      <c r="H15" s="14">
        <v>37075</v>
      </c>
      <c r="I15" s="14">
        <v>40576</v>
      </c>
      <c r="J15" s="14">
        <v>41881</v>
      </c>
      <c r="K15" s="14">
        <v>41744</v>
      </c>
      <c r="L15" s="14">
        <v>43066</v>
      </c>
      <c r="M15" s="15"/>
      <c r="N15" s="14">
        <v>8248</v>
      </c>
      <c r="O15" s="14">
        <v>9919</v>
      </c>
      <c r="P15" s="14">
        <v>10396</v>
      </c>
      <c r="Q15" s="13">
        <f>IF(COUNT('Income Statement'!K15,'Income Statement'!P41)=2,'Income Statement'!K15-'Income Statement'!P41,"")</f>
        <v>13181</v>
      </c>
      <c r="R15" s="14">
        <v>7926</v>
      </c>
      <c r="S15" s="14">
        <v>10304</v>
      </c>
      <c r="T15" s="14">
        <v>11113</v>
      </c>
      <c r="U15" s="13">
        <f>IF(COUNT('Income Statement'!L15,'Income Statement'!T41)=2,'Income Statement'!L15-'Income Statement'!T41,"")</f>
        <v>13723</v>
      </c>
      <c r="V15" s="14">
        <v>8712</v>
      </c>
      <c r="W15" s="14">
        <v>11070</v>
      </c>
      <c r="X15" s="14">
        <v>11520</v>
      </c>
    </row>
    <row r="16" spans="1:24" ht="24" customHeight="1">
      <c r="A16" s="16" t="s">
        <v>220</v>
      </c>
      <c r="B16" s="17"/>
      <c r="C16" s="18">
        <v>34577</v>
      </c>
      <c r="D16" s="18">
        <v>34729</v>
      </c>
      <c r="E16" s="18">
        <v>35280</v>
      </c>
      <c r="F16" s="18">
        <v>37029</v>
      </c>
      <c r="G16" s="18">
        <v>38575</v>
      </c>
      <c r="H16" s="18">
        <v>42399</v>
      </c>
      <c r="I16" s="18">
        <v>45816</v>
      </c>
      <c r="J16" s="18">
        <v>49590</v>
      </c>
      <c r="K16" s="18">
        <v>50110</v>
      </c>
      <c r="L16" s="18">
        <v>50859</v>
      </c>
      <c r="M16" s="20"/>
      <c r="N16" s="18">
        <v>10002</v>
      </c>
      <c r="O16" s="18">
        <v>12582</v>
      </c>
      <c r="P16" s="18">
        <v>12923</v>
      </c>
      <c r="Q16" s="19">
        <f>IF(COUNT('Income Statement'!K16,'Income Statement'!P42)=2,'Income Statement'!K16-'Income Statement'!P42,"")</f>
        <v>14603</v>
      </c>
      <c r="R16" s="18">
        <v>9993</v>
      </c>
      <c r="S16" s="18">
        <v>12422</v>
      </c>
      <c r="T16" s="18">
        <v>12824</v>
      </c>
      <c r="U16" s="19">
        <f>IF(COUNT('Income Statement'!L16,'Income Statement'!T42)=2,'Income Statement'!L16-'Income Statement'!T42,"")</f>
        <v>15620</v>
      </c>
      <c r="V16" s="18">
        <v>10731</v>
      </c>
      <c r="W16" s="18">
        <v>13111</v>
      </c>
      <c r="X16" s="18">
        <v>13754</v>
      </c>
    </row>
    <row r="17" spans="1:24" ht="20" customHeight="1">
      <c r="A17" s="21" t="s">
        <v>221</v>
      </c>
      <c r="B17" s="1"/>
      <c r="C17" s="32">
        <f>IF(COUNT('Income Statement'!C16,'Note Schedules'!C314)=2,IF('Note Schedules'!C314&gt;0,'Income Statement'!C16/'Note Schedules'!C314-1,"n.m."),"")</f>
        <v>7.3415877640203853E-3</v>
      </c>
      <c r="D17" s="23">
        <f>IF(COUNT('Income Statement'!D16,'Income Statement'!C16)=2,IF('Income Statement'!C16&gt;0,'Income Statement'!D16/'Income Statement'!C16-1,"n.m."),"")</f>
        <v>4.3959857708881778E-3</v>
      </c>
      <c r="E17" s="23">
        <f>IF(COUNT('Income Statement'!E16,'Income Statement'!D16)=2,IF('Income Statement'!D16&gt;0,'Income Statement'!E16/'Income Statement'!D16-1,"n.m."),"")</f>
        <v>1.5865703014771526E-2</v>
      </c>
      <c r="F17" s="23">
        <f>IF(COUNT('Income Statement'!F16,'Income Statement'!E16)=2,IF('Income Statement'!E16&gt;0,'Income Statement'!F16/'Income Statement'!E16-1,"n.m."),"")</f>
        <v>4.9574829931972708E-2</v>
      </c>
      <c r="G17" s="23">
        <f>IF(COUNT('Income Statement'!G16,'Income Statement'!F16)=2,IF('Income Statement'!F16&gt;0,'Income Statement'!G16/'Income Statement'!F16-1,"n.m."),"")</f>
        <v>4.1751059980015715E-2</v>
      </c>
      <c r="H17" s="23">
        <f>IF(COUNT('Income Statement'!H16,'Income Statement'!G16)=2,IF('Income Statement'!G16&gt;0,'Income Statement'!H16/'Income Statement'!G16-1,"n.m."),"")</f>
        <v>9.9131561892417341E-2</v>
      </c>
      <c r="I17" s="23">
        <f>IF(COUNT('Income Statement'!I16,'Income Statement'!H16)=2,IF('Income Statement'!H16&gt;0,'Income Statement'!I16/'Income Statement'!H16-1,"n.m."),"")</f>
        <v>8.0591523384985431E-2</v>
      </c>
      <c r="J17" s="23">
        <f>IF(COUNT('Income Statement'!J16,'Income Statement'!I16)=2,IF('Income Statement'!I16&gt;0,'Income Statement'!J16/'Income Statement'!I16-1,"n.m."),"")</f>
        <v>8.2372970141435298E-2</v>
      </c>
      <c r="K17" s="23">
        <f>IF(COUNT('Income Statement'!K16,'Income Statement'!J16)=2,IF('Income Statement'!J16&gt;0,'Income Statement'!K16/'Income Statement'!J16-1,"n.m."),"")</f>
        <v>1.048598507763665E-2</v>
      </c>
      <c r="L17" s="23">
        <f>IF(COUNT('Income Statement'!L16,'Income Statement'!K16)=2,IF('Income Statement'!K16&gt;0,'Income Statement'!L16/'Income Statement'!K16-1,"n.m."),"")</f>
        <v>1.494711634404311E-2</v>
      </c>
      <c r="M17" s="24"/>
      <c r="N17" s="32">
        <f>IF(COUNT('Income Statement'!N16,'Note Schedules'!N332)=2,IF('Note Schedules'!N332&gt;0,'Income Statement'!N16/'Note Schedules'!N332-1,"n.m."),"")</f>
        <v>1.4607425441266031E-2</v>
      </c>
      <c r="O17" s="32">
        <f>IF(COUNT('Income Statement'!O16,'Note Schedules'!O332)=2,IF('Note Schedules'!O332&gt;0,'Income Statement'!O16/'Note Schedules'!O332-1,"n.m."),"")</f>
        <v>3.1226948610769689E-2</v>
      </c>
      <c r="P17" s="32">
        <f>IF(COUNT('Income Statement'!P16,'Note Schedules'!P332)=2,IF('Note Schedules'!P332&gt;0,'Income Statement'!P16/'Note Schedules'!P332-1,"n.m."),"")</f>
        <v>1.1347628736891435E-2</v>
      </c>
      <c r="Q17" s="32">
        <f>IF(COUNT('Income Statement'!Q16,'Note Schedules'!Q332)=2,IF('Note Schedules'!Q332&gt;0,'Income Statement'!Q16/'Note Schedules'!Q332-1,"n.m."),"")</f>
        <v>-1.0167423574866108E-2</v>
      </c>
      <c r="R17" s="23">
        <f>IF(COUNT('Income Statement'!R16,'Income Statement'!N16)=2,IF('Income Statement'!N16&gt;0,'Income Statement'!R16/'Income Statement'!N16-1,"n.m."),"")</f>
        <v>-8.9982003599275995E-4</v>
      </c>
      <c r="S17" s="23">
        <f>IF(COUNT('Income Statement'!S16,'Income Statement'!O16)=2,IF('Income Statement'!O16&gt;0,'Income Statement'!S16/'Income Statement'!O16-1,"n.m."),"")</f>
        <v>-1.2716579240184434E-2</v>
      </c>
      <c r="T17" s="23">
        <f>IF(COUNT('Income Statement'!T16,'Income Statement'!P16)=2,IF('Income Statement'!P16&gt;0,'Income Statement'!T16/'Income Statement'!P16-1,"n.m."),"")</f>
        <v>-7.6607598854755432E-3</v>
      </c>
      <c r="U17" s="23">
        <f>IF(COUNT('Income Statement'!U16,'Income Statement'!Q16)=2,IF('Income Statement'!Q16&gt;0,'Income Statement'!U16/'Income Statement'!Q16-1,"n.m."),"")</f>
        <v>6.9643223995069503E-2</v>
      </c>
      <c r="V17" s="23">
        <f>IF(COUNT('Income Statement'!V16,'Income Statement'!R16)=2,IF('Income Statement'!R16&gt;0,'Income Statement'!V16/'Income Statement'!R16-1,"n.m."),"")</f>
        <v>7.3851696187331228E-2</v>
      </c>
      <c r="W17" s="23">
        <f>IF(COUNT('Income Statement'!W16,'Income Statement'!S16)=2,IF('Income Statement'!S16&gt;0,'Income Statement'!W16/'Income Statement'!S16-1,"n.m."),"")</f>
        <v>5.5466108517147061E-2</v>
      </c>
      <c r="X17" s="23">
        <f>IF(COUNT('Income Statement'!X16,'Income Statement'!T16)=2,IF('Income Statement'!T16&gt;0,'Income Statement'!X16/'Income Statement'!T16-1,"n.m."),"")</f>
        <v>7.2520274485339931E-2</v>
      </c>
    </row>
    <row r="18" spans="1:24" ht="22" customHeight="1">
      <c r="A18" s="3" t="s">
        <v>222</v>
      </c>
      <c r="B18" s="1"/>
      <c r="C18" s="14">
        <v>24773</v>
      </c>
      <c r="D18" s="14">
        <v>24453</v>
      </c>
      <c r="E18" s="14">
        <v>25170</v>
      </c>
      <c r="F18" s="14">
        <v>26738</v>
      </c>
      <c r="G18" s="14">
        <v>28453</v>
      </c>
      <c r="H18" s="14">
        <v>31237</v>
      </c>
      <c r="I18" s="14">
        <v>34459</v>
      </c>
      <c r="J18" s="14">
        <v>36677</v>
      </c>
      <c r="K18" s="14">
        <v>37190</v>
      </c>
      <c r="L18" s="14">
        <v>37368</v>
      </c>
      <c r="M18" s="15"/>
      <c r="N18" s="14">
        <v>7285</v>
      </c>
      <c r="O18" s="14">
        <v>8534</v>
      </c>
      <c r="P18" s="14">
        <v>9027</v>
      </c>
      <c r="Q18" s="13">
        <f>IF(COUNT('Income Statement'!K18,'Income Statement'!P43)=2,'Income Statement'!K18-'Income Statement'!P43,"")</f>
        <v>12344</v>
      </c>
      <c r="R18" s="14">
        <v>7410</v>
      </c>
      <c r="S18" s="14">
        <v>8773</v>
      </c>
      <c r="T18" s="14">
        <v>9122</v>
      </c>
      <c r="U18" s="13">
        <f>IF(COUNT('Income Statement'!L18,'Income Statement'!T43)=2,'Income Statement'!L18-'Income Statement'!T43,"")</f>
        <v>12063</v>
      </c>
      <c r="V18" s="14">
        <v>7518</v>
      </c>
      <c r="W18" s="14">
        <v>9088</v>
      </c>
      <c r="X18" s="14">
        <v>9494</v>
      </c>
    </row>
    <row r="19" spans="1:24" ht="22" customHeight="1">
      <c r="A19" s="3" t="s">
        <v>223</v>
      </c>
      <c r="B19" s="1"/>
      <c r="C19" s="14"/>
      <c r="D19" s="14"/>
      <c r="E19" s="14"/>
      <c r="F19" s="14"/>
      <c r="G19" s="14">
        <v>42</v>
      </c>
      <c r="H19" s="14">
        <v>0</v>
      </c>
      <c r="I19" s="14">
        <v>3166</v>
      </c>
      <c r="J19" s="14">
        <v>927</v>
      </c>
      <c r="K19" s="14">
        <v>33</v>
      </c>
      <c r="L19" s="14">
        <v>1993</v>
      </c>
      <c r="M19" s="15"/>
      <c r="N19" s="14"/>
      <c r="O19" s="14">
        <v>0</v>
      </c>
      <c r="P19" s="14">
        <v>24</v>
      </c>
      <c r="Q19" s="13">
        <f>IF(COUNT('Income Statement'!K19,'Income Statement'!P44)=2,'Income Statement'!K19-'Income Statement'!P44,"")</f>
        <v>9</v>
      </c>
      <c r="R19" s="14"/>
      <c r="S19" s="14">
        <v>1860</v>
      </c>
      <c r="T19" s="14">
        <v>133</v>
      </c>
      <c r="U19" s="13">
        <f>IF(COUNT('Income Statement'!L19,'Income Statement'!T44)=2,'Income Statement'!L19-'Income Statement'!T44,"")</f>
        <v>0</v>
      </c>
      <c r="V19" s="14"/>
      <c r="W19" s="14">
        <v>0</v>
      </c>
      <c r="X19" s="14">
        <v>0</v>
      </c>
    </row>
    <row r="20" spans="1:24" ht="22" customHeight="1">
      <c r="A20" s="3" t="s">
        <v>224</v>
      </c>
      <c r="B20" s="1"/>
      <c r="C20" s="14"/>
      <c r="D20" s="14"/>
      <c r="E20" s="14"/>
      <c r="F20" s="14"/>
      <c r="G20" s="14">
        <v>0</v>
      </c>
      <c r="H20" s="14">
        <v>0</v>
      </c>
      <c r="I20" s="14">
        <v>-3321</v>
      </c>
      <c r="J20" s="14"/>
      <c r="K20" s="14"/>
      <c r="L20" s="14"/>
      <c r="M20" s="15"/>
      <c r="N20" s="14"/>
      <c r="O20" s="14"/>
      <c r="P20" s="14"/>
      <c r="Q20" s="14"/>
      <c r="R20" s="14"/>
      <c r="S20" s="14"/>
      <c r="T20" s="14"/>
      <c r="U20" s="14"/>
      <c r="V20" s="14"/>
      <c r="W20" s="14"/>
      <c r="X20" s="14"/>
    </row>
    <row r="21" spans="1:24" ht="24" customHeight="1">
      <c r="A21" s="16" t="s">
        <v>225</v>
      </c>
      <c r="B21" s="17"/>
      <c r="C21" s="18">
        <v>9804</v>
      </c>
      <c r="D21" s="18">
        <v>10276</v>
      </c>
      <c r="E21" s="18">
        <v>10110</v>
      </c>
      <c r="F21" s="18">
        <v>10291</v>
      </c>
      <c r="G21" s="18">
        <v>10080</v>
      </c>
      <c r="H21" s="18">
        <v>11162</v>
      </c>
      <c r="I21" s="18">
        <v>11512</v>
      </c>
      <c r="J21" s="18">
        <v>11986</v>
      </c>
      <c r="K21" s="18">
        <v>12887</v>
      </c>
      <c r="L21" s="18">
        <v>11498</v>
      </c>
      <c r="M21" s="20"/>
      <c r="N21" s="18">
        <v>2717</v>
      </c>
      <c r="O21" s="18">
        <v>4048</v>
      </c>
      <c r="P21" s="18">
        <v>3872</v>
      </c>
      <c r="Q21" s="19">
        <f>IF(COUNT('Income Statement'!K21,'Income Statement'!P45)=2,'Income Statement'!K21-'Income Statement'!P45,"")</f>
        <v>2250</v>
      </c>
      <c r="R21" s="18">
        <v>2583</v>
      </c>
      <c r="S21" s="18">
        <v>1789</v>
      </c>
      <c r="T21" s="18">
        <v>3569</v>
      </c>
      <c r="U21" s="19">
        <f>IF(COUNT('Income Statement'!L21,'Income Statement'!T45)=2,'Income Statement'!L21-'Income Statement'!T45,"")</f>
        <v>3557</v>
      </c>
      <c r="V21" s="18">
        <v>3213</v>
      </c>
      <c r="W21" s="18">
        <v>4023</v>
      </c>
      <c r="X21" s="18">
        <v>4260</v>
      </c>
    </row>
    <row r="22" spans="1:24" ht="20" customHeight="1">
      <c r="A22" s="21" t="s">
        <v>226</v>
      </c>
      <c r="B22" s="1"/>
      <c r="C22" s="32">
        <f>IF(COUNT('Income Statement'!C21,'Note Schedules'!C315)=2,IF('Note Schedules'!C315&gt;0,'Income Statement'!C21/'Note Schedules'!C315-1,"n.m."),"")</f>
        <v>0.17371004429546266</v>
      </c>
      <c r="D22" s="23">
        <f>IF(COUNT('Income Statement'!D21,'Income Statement'!C21)=2,IF('Income Statement'!C21&gt;0,'Income Statement'!D21/'Income Statement'!C21-1,"n.m."),"")</f>
        <v>4.8143614851081207E-2</v>
      </c>
      <c r="E22" s="23">
        <f>IF(COUNT('Income Statement'!E21,'Income Statement'!D21)=2,IF('Income Statement'!D21&gt;0,'Income Statement'!E21/'Income Statement'!D21-1,"n.m."),"")</f>
        <v>-1.6154145581938506E-2</v>
      </c>
      <c r="F22" s="23">
        <f>IF(COUNT('Income Statement'!F21,'Income Statement'!E21)=2,IF('Income Statement'!E21&gt;0,'Income Statement'!F21/'Income Statement'!E21-1,"n.m."),"")</f>
        <v>1.7903066271018897E-2</v>
      </c>
      <c r="G22" s="23">
        <f>IF(COUNT('Income Statement'!G21,'Income Statement'!F21)=2,IF('Income Statement'!F21&gt;0,'Income Statement'!G21/'Income Statement'!F21-1,"n.m."),"")</f>
        <v>-2.0503352443883016E-2</v>
      </c>
      <c r="H22" s="23">
        <f>IF(COUNT('Income Statement'!H21,'Income Statement'!G21)=2,IF('Income Statement'!G21&gt;0,'Income Statement'!H21/'Income Statement'!G21-1,"n.m."),"")</f>
        <v>0.1073412698412699</v>
      </c>
      <c r="I22" s="23">
        <f>IF(COUNT('Income Statement'!I21,'Income Statement'!H21)=2,IF('Income Statement'!H21&gt;0,'Income Statement'!I21/'Income Statement'!H21-1,"n.m."),"")</f>
        <v>3.1356387744131853E-2</v>
      </c>
      <c r="J22" s="23">
        <f>IF(COUNT('Income Statement'!J21,'Income Statement'!I21)=2,IF('Income Statement'!I21&gt;0,'Income Statement'!J21/'Income Statement'!I21-1,"n.m."),"")</f>
        <v>4.1174426685198107E-2</v>
      </c>
      <c r="K22" s="23">
        <f>IF(COUNT('Income Statement'!K21,'Income Statement'!J21)=2,IF('Income Statement'!J21&gt;0,'Income Statement'!K21/'Income Statement'!J21-1,"n.m."),"")</f>
        <v>7.5171032871683696E-2</v>
      </c>
      <c r="L22" s="23">
        <f>IF(COUNT('Income Statement'!L21,'Income Statement'!K21)=2,IF('Income Statement'!K21&gt;0,'Income Statement'!L21/'Income Statement'!K21-1,"n.m."),"")</f>
        <v>-0.10778303716924031</v>
      </c>
      <c r="M22" s="24"/>
      <c r="N22" s="32">
        <f>IF(COUNT('Income Statement'!N21,'Note Schedules'!N333)=2,IF('Note Schedules'!N333&gt;0,'Income Statement'!N21/'Note Schedules'!N333-1,"n.m."),"")</f>
        <v>3.3472803347280422E-2</v>
      </c>
      <c r="O22" s="32">
        <f>IF(COUNT('Income Statement'!O21,'Note Schedules'!O333)=2,IF('Note Schedules'!O333&gt;0,'Income Statement'!O21/'Note Schedules'!O333-1,"n.m."),"")</f>
        <v>0.10631320032795855</v>
      </c>
      <c r="P22" s="32">
        <f>IF(COUNT('Income Statement'!P21,'Note Schedules'!P333)=2,IF('Note Schedules'!P333&gt;0,'Income Statement'!P21/'Note Schedules'!P333-1,"n.m."),"")</f>
        <v>-3.5616438356164348E-2</v>
      </c>
      <c r="Q22" s="32">
        <f>IF(COUNT('Income Statement'!Q21,'Note Schedules'!Q333)=2,IF('Note Schedules'!Q333&gt;0,'Income Statement'!Q21/'Note Schedules'!Q333-1,"n.m."),"")</f>
        <v>0.33689839572192515</v>
      </c>
      <c r="R22" s="23">
        <f>IF(COUNT('Income Statement'!R21,'Income Statement'!N21)=2,IF('Income Statement'!N21&gt;0,'Income Statement'!R21/'Income Statement'!N21-1,"n.m."),"")</f>
        <v>-4.9319101950680899E-2</v>
      </c>
      <c r="S22" s="23">
        <f>IF(COUNT('Income Statement'!S21,'Income Statement'!O21)=2,IF('Income Statement'!O21&gt;0,'Income Statement'!S21/'Income Statement'!O21-1,"n.m."),"")</f>
        <v>-0.55805335968379444</v>
      </c>
      <c r="T22" s="23">
        <f>IF(COUNT('Income Statement'!T21,'Income Statement'!P21)=2,IF('Income Statement'!P21&gt;0,'Income Statement'!T21/'Income Statement'!P21-1,"n.m."),"")</f>
        <v>-7.8254132231404983E-2</v>
      </c>
      <c r="U22" s="23">
        <f>IF(COUNT('Income Statement'!U21,'Income Statement'!Q21)=2,IF('Income Statement'!Q21&gt;0,'Income Statement'!U21/'Income Statement'!Q21-1,"n.m."),"")</f>
        <v>0.58088888888888879</v>
      </c>
      <c r="V22" s="23">
        <f>IF(COUNT('Income Statement'!V21,'Income Statement'!R21)=2,IF('Income Statement'!R21&gt;0,'Income Statement'!V21/'Income Statement'!R21-1,"n.m."),"")</f>
        <v>0.24390243902439024</v>
      </c>
      <c r="W22" s="23">
        <f>IF(COUNT('Income Statement'!W21,'Income Statement'!S21)=2,IF('Income Statement'!S21&gt;0,'Income Statement'!W21/'Income Statement'!S21-1,"n.m."),"")</f>
        <v>1.2487423141419787</v>
      </c>
      <c r="X22" s="23">
        <f>IF(COUNT('Income Statement'!X21,'Income Statement'!T21)=2,IF('Income Statement'!T21&gt;0,'Income Statement'!X21/'Income Statement'!T21-1,"n.m."),"")</f>
        <v>0.19361165592602969</v>
      </c>
    </row>
    <row r="23" spans="1:24" ht="36" customHeight="1">
      <c r="A23" s="3" t="s">
        <v>227</v>
      </c>
      <c r="B23" s="1"/>
      <c r="C23" s="14">
        <v>-19</v>
      </c>
      <c r="D23" s="14">
        <v>233</v>
      </c>
      <c r="E23" s="14">
        <v>298</v>
      </c>
      <c r="F23" s="14">
        <v>-44</v>
      </c>
      <c r="G23" s="14">
        <v>117</v>
      </c>
      <c r="H23" s="14">
        <v>522</v>
      </c>
      <c r="I23" s="14">
        <v>132</v>
      </c>
      <c r="J23" s="14">
        <v>250</v>
      </c>
      <c r="K23" s="14">
        <v>-22</v>
      </c>
      <c r="L23" s="14">
        <v>-133</v>
      </c>
      <c r="M23" s="15"/>
      <c r="N23" s="14">
        <v>58</v>
      </c>
      <c r="O23" s="14">
        <v>56</v>
      </c>
      <c r="P23" s="14">
        <v>41</v>
      </c>
      <c r="Q23" s="13">
        <f>IF(COUNT('Income Statement'!K23,'Income Statement'!P46)=2,'Income Statement'!K23-'Income Statement'!P46,"")</f>
        <v>-177</v>
      </c>
      <c r="R23" s="14">
        <v>23</v>
      </c>
      <c r="S23" s="14">
        <v>42</v>
      </c>
      <c r="T23" s="14">
        <v>26</v>
      </c>
      <c r="U23" s="13">
        <f>IF(COUNT('Income Statement'!L23,'Income Statement'!T46)=2,'Income Statement'!L23-'Income Statement'!T46,"")</f>
        <v>-224</v>
      </c>
      <c r="V23" s="14">
        <v>58</v>
      </c>
      <c r="W23" s="14">
        <v>59</v>
      </c>
      <c r="X23" s="14">
        <v>-114</v>
      </c>
    </row>
    <row r="24" spans="1:24" ht="22" customHeight="1">
      <c r="A24" s="3" t="s">
        <v>228</v>
      </c>
      <c r="B24" s="1"/>
      <c r="C24" s="14">
        <v>-1342</v>
      </c>
      <c r="D24" s="14">
        <v>-1151</v>
      </c>
      <c r="E24" s="14"/>
      <c r="F24" s="14"/>
      <c r="G24" s="14"/>
      <c r="H24" s="14"/>
      <c r="I24" s="14"/>
      <c r="J24" s="14"/>
      <c r="K24" s="14"/>
      <c r="L24" s="14"/>
      <c r="M24" s="15"/>
      <c r="N24" s="14"/>
      <c r="O24" s="14"/>
      <c r="P24" s="14"/>
      <c r="Q24" s="14"/>
      <c r="R24" s="14"/>
      <c r="S24" s="14"/>
      <c r="T24" s="14"/>
      <c r="U24" s="14"/>
      <c r="V24" s="14"/>
      <c r="W24" s="14"/>
      <c r="X24" s="14"/>
    </row>
    <row r="25" spans="1:24" ht="22" customHeight="1">
      <c r="A25" s="3" t="s">
        <v>229</v>
      </c>
      <c r="B25" s="1"/>
      <c r="C25" s="14">
        <v>110</v>
      </c>
      <c r="D25" s="14">
        <v>244</v>
      </c>
      <c r="E25" s="14"/>
      <c r="F25" s="14"/>
      <c r="G25" s="14"/>
      <c r="H25" s="14"/>
      <c r="I25" s="14"/>
      <c r="J25" s="14"/>
      <c r="K25" s="14"/>
      <c r="L25" s="14"/>
      <c r="M25" s="15"/>
      <c r="N25" s="14"/>
      <c r="O25" s="14"/>
      <c r="P25" s="14"/>
      <c r="Q25" s="14"/>
      <c r="R25" s="14"/>
      <c r="S25" s="14"/>
      <c r="T25" s="14"/>
      <c r="U25" s="14"/>
      <c r="V25" s="14"/>
      <c r="W25" s="14"/>
      <c r="X25" s="14"/>
    </row>
    <row r="26" spans="1:24" ht="22" customHeight="1">
      <c r="A26" s="3" t="s">
        <v>230</v>
      </c>
      <c r="B26" s="1"/>
      <c r="C26" s="14"/>
      <c r="D26" s="14"/>
      <c r="E26" s="14">
        <v>-1219</v>
      </c>
      <c r="F26" s="14">
        <v>-935</v>
      </c>
      <c r="G26" s="14">
        <v>-1128</v>
      </c>
      <c r="H26" s="14">
        <v>-1863</v>
      </c>
      <c r="I26" s="14">
        <v>-939</v>
      </c>
      <c r="J26" s="14">
        <v>-819</v>
      </c>
      <c r="K26" s="14">
        <v>-919</v>
      </c>
      <c r="L26" s="14">
        <v>-1121</v>
      </c>
      <c r="M26" s="15"/>
      <c r="N26" s="14">
        <v>-202</v>
      </c>
      <c r="O26" s="14">
        <v>-234</v>
      </c>
      <c r="P26" s="14">
        <v>-219</v>
      </c>
      <c r="Q26" s="13">
        <f>IF(COUNT('Income Statement'!K26,'Income Statement'!P47)=2,'Income Statement'!K26-'Income Statement'!P47,"")</f>
        <v>-264</v>
      </c>
      <c r="R26" s="14">
        <v>-264</v>
      </c>
      <c r="S26" s="14">
        <v>-260</v>
      </c>
      <c r="T26" s="14">
        <v>-264</v>
      </c>
      <c r="U26" s="13">
        <f>IF(COUNT('Income Statement'!L26,'Income Statement'!T47)=2,'Income Statement'!L26-'Income Statement'!T47,"")</f>
        <v>-333</v>
      </c>
      <c r="V26" s="14">
        <v>-301</v>
      </c>
      <c r="W26" s="14">
        <v>-230</v>
      </c>
      <c r="X26" s="14">
        <v>-242</v>
      </c>
    </row>
    <row r="27" spans="1:24" ht="24" customHeight="1">
      <c r="A27" s="16" t="s">
        <v>231</v>
      </c>
      <c r="B27" s="17"/>
      <c r="C27" s="18">
        <v>8553</v>
      </c>
      <c r="D27" s="18">
        <v>9602</v>
      </c>
      <c r="E27" s="18">
        <v>9189</v>
      </c>
      <c r="F27" s="18">
        <v>9312</v>
      </c>
      <c r="G27" s="18">
        <v>9069</v>
      </c>
      <c r="H27" s="18">
        <v>9821</v>
      </c>
      <c r="I27" s="18">
        <v>10705</v>
      </c>
      <c r="J27" s="18">
        <v>11417</v>
      </c>
      <c r="K27" s="18">
        <v>11946</v>
      </c>
      <c r="L27" s="18">
        <v>10244</v>
      </c>
      <c r="M27" s="20"/>
      <c r="N27" s="18">
        <v>2573</v>
      </c>
      <c r="O27" s="18">
        <v>3870</v>
      </c>
      <c r="P27" s="18">
        <v>3694</v>
      </c>
      <c r="Q27" s="19">
        <f>IF(COUNT('Income Statement'!K27,'Income Statement'!P48)=2,'Income Statement'!K27-'Income Statement'!P48,"")</f>
        <v>1809</v>
      </c>
      <c r="R27" s="18">
        <v>2342</v>
      </c>
      <c r="S27" s="18">
        <v>1571</v>
      </c>
      <c r="T27" s="18">
        <v>3331</v>
      </c>
      <c r="U27" s="19">
        <f>IF(COUNT('Income Statement'!L27,'Income Statement'!T48)=2,'Income Statement'!L27-'Income Statement'!T48,"")</f>
        <v>3000</v>
      </c>
      <c r="V27" s="18">
        <v>2970</v>
      </c>
      <c r="W27" s="18">
        <v>3852</v>
      </c>
      <c r="X27" s="18">
        <v>3904</v>
      </c>
    </row>
    <row r="28" spans="1:24" ht="22" customHeight="1">
      <c r="A28" s="3" t="s">
        <v>232</v>
      </c>
      <c r="B28" s="1"/>
      <c r="C28" s="14">
        <v>2174</v>
      </c>
      <c r="D28" s="14">
        <v>4694</v>
      </c>
      <c r="E28" s="14">
        <v>-3370</v>
      </c>
      <c r="F28" s="14">
        <v>1959</v>
      </c>
      <c r="G28" s="14">
        <v>1894</v>
      </c>
      <c r="H28" s="14">
        <v>2142</v>
      </c>
      <c r="I28" s="14">
        <v>1727</v>
      </c>
      <c r="J28" s="14">
        <v>2262</v>
      </c>
      <c r="K28" s="14">
        <v>2320</v>
      </c>
      <c r="L28" s="14">
        <v>1949</v>
      </c>
      <c r="M28" s="15"/>
      <c r="N28" s="14">
        <v>520</v>
      </c>
      <c r="O28" s="14">
        <v>776</v>
      </c>
      <c r="P28" s="14">
        <v>749</v>
      </c>
      <c r="Q28" s="13">
        <f>IF(COUNT('Income Statement'!K28,'Income Statement'!P49)=2,'Income Statement'!K28-'Income Statement'!P49,"")</f>
        <v>275</v>
      </c>
      <c r="R28" s="14">
        <v>499</v>
      </c>
      <c r="S28" s="14">
        <v>292</v>
      </c>
      <c r="T28" s="14">
        <v>713</v>
      </c>
      <c r="U28" s="13">
        <f>IF(COUNT('Income Statement'!L28,'Income Statement'!T49)=2,'Income Statement'!L28-'Income Statement'!T49,"")</f>
        <v>445</v>
      </c>
      <c r="V28" s="14">
        <v>632</v>
      </c>
      <c r="W28" s="14">
        <v>848</v>
      </c>
      <c r="X28" s="14">
        <v>834</v>
      </c>
    </row>
    <row r="29" spans="1:24" ht="24" customHeight="1">
      <c r="A29" s="16" t="s">
        <v>233</v>
      </c>
      <c r="B29" s="17"/>
      <c r="C29" s="18">
        <v>6379</v>
      </c>
      <c r="D29" s="18">
        <v>4908</v>
      </c>
      <c r="E29" s="18">
        <v>12559</v>
      </c>
      <c r="F29" s="18">
        <v>7353</v>
      </c>
      <c r="G29" s="18">
        <v>7175</v>
      </c>
      <c r="H29" s="18">
        <v>7679</v>
      </c>
      <c r="I29" s="18">
        <v>8978</v>
      </c>
      <c r="J29" s="18">
        <v>9155</v>
      </c>
      <c r="K29" s="18">
        <v>9626</v>
      </c>
      <c r="L29" s="18">
        <v>8295</v>
      </c>
      <c r="M29" s="20"/>
      <c r="N29" s="18">
        <v>2053</v>
      </c>
      <c r="O29" s="18">
        <v>3094</v>
      </c>
      <c r="P29" s="18">
        <v>2945</v>
      </c>
      <c r="Q29" s="19">
        <f>IF(COUNT('Income Statement'!K29,'Income Statement'!P50)=2,'Income Statement'!K29-'Income Statement'!P50,"")</f>
        <v>1534</v>
      </c>
      <c r="R29" s="18">
        <v>1843</v>
      </c>
      <c r="S29" s="18">
        <v>1279</v>
      </c>
      <c r="T29" s="18">
        <v>2618</v>
      </c>
      <c r="U29" s="19">
        <f>IF(COUNT('Income Statement'!L29,'Income Statement'!T50)=2,'Income Statement'!L29-'Income Statement'!T50,"")</f>
        <v>2555</v>
      </c>
      <c r="V29" s="18">
        <v>2338</v>
      </c>
      <c r="W29" s="18">
        <v>3004</v>
      </c>
      <c r="X29" s="18">
        <v>3070</v>
      </c>
    </row>
    <row r="30" spans="1:24" ht="22" customHeight="1">
      <c r="A30" s="3" t="s">
        <v>234</v>
      </c>
      <c r="B30" s="1"/>
      <c r="C30" s="14">
        <v>50</v>
      </c>
      <c r="D30" s="14">
        <v>51</v>
      </c>
      <c r="E30" s="14">
        <v>44</v>
      </c>
      <c r="F30" s="14">
        <v>39</v>
      </c>
      <c r="G30" s="14">
        <v>55</v>
      </c>
      <c r="H30" s="14">
        <v>61</v>
      </c>
      <c r="I30" s="14">
        <v>68</v>
      </c>
      <c r="J30" s="14">
        <v>81</v>
      </c>
      <c r="K30" s="14">
        <v>48</v>
      </c>
      <c r="L30" s="14">
        <v>55</v>
      </c>
      <c r="M30" s="15"/>
      <c r="N30" s="14">
        <v>11</v>
      </c>
      <c r="O30" s="14">
        <v>11</v>
      </c>
      <c r="P30" s="14">
        <v>15</v>
      </c>
      <c r="Q30" s="13">
        <f>IF(COUNT('Income Statement'!K30,'Income Statement'!P51)=2,'Income Statement'!K30-'Income Statement'!P51,"")</f>
        <v>11</v>
      </c>
      <c r="R30" s="14">
        <v>9</v>
      </c>
      <c r="S30" s="14">
        <v>16</v>
      </c>
      <c r="T30" s="14">
        <v>15</v>
      </c>
      <c r="U30" s="13">
        <f>IF(COUNT('Income Statement'!L30,'Income Statement'!T51)=2,'Income Statement'!L30-'Income Statement'!T51,"")</f>
        <v>15</v>
      </c>
      <c r="V30" s="14">
        <v>11</v>
      </c>
      <c r="W30" s="14">
        <v>23</v>
      </c>
      <c r="X30" s="14">
        <v>22</v>
      </c>
    </row>
    <row r="31" spans="1:24" ht="24" customHeight="1">
      <c r="A31" s="16" t="s">
        <v>235</v>
      </c>
      <c r="B31" s="17"/>
      <c r="C31" s="18">
        <v>6329</v>
      </c>
      <c r="D31" s="18">
        <v>4857</v>
      </c>
      <c r="E31" s="18">
        <v>12515</v>
      </c>
      <c r="F31" s="18">
        <v>7314</v>
      </c>
      <c r="G31" s="18">
        <v>7120</v>
      </c>
      <c r="H31" s="18">
        <v>7618</v>
      </c>
      <c r="I31" s="18">
        <v>8910</v>
      </c>
      <c r="J31" s="18">
        <v>9074</v>
      </c>
      <c r="K31" s="18">
        <v>9578</v>
      </c>
      <c r="L31" s="18">
        <v>8240</v>
      </c>
      <c r="M31" s="20"/>
      <c r="N31" s="18">
        <v>2042</v>
      </c>
      <c r="O31" s="18">
        <v>3083</v>
      </c>
      <c r="P31" s="18">
        <v>2930</v>
      </c>
      <c r="Q31" s="19">
        <f>IF(COUNT('Income Statement'!K31,'Income Statement'!P52)=2,'Income Statement'!K31-'Income Statement'!P52,"")</f>
        <v>1523</v>
      </c>
      <c r="R31" s="18">
        <v>1834</v>
      </c>
      <c r="S31" s="18">
        <v>1263</v>
      </c>
      <c r="T31" s="18">
        <v>2603</v>
      </c>
      <c r="U31" s="19">
        <f>IF(COUNT('Income Statement'!L31,'Income Statement'!T52)=2,'Income Statement'!L31-'Income Statement'!T52,"")</f>
        <v>2540</v>
      </c>
      <c r="V31" s="18">
        <v>2327</v>
      </c>
      <c r="W31" s="18">
        <v>2981</v>
      </c>
      <c r="X31" s="18">
        <v>3048</v>
      </c>
    </row>
    <row r="32" spans="1:24" ht="20" customHeight="1">
      <c r="A32" s="21" t="s">
        <v>236</v>
      </c>
      <c r="B32" s="1"/>
      <c r="C32" s="32">
        <f>IF(COUNT('Income Statement'!C31,'Note Schedules'!C316)=2,IF('Note Schedules'!C316&gt;0,'Income Statement'!C31/'Note Schedules'!C316-1,"n.m."),"")</f>
        <v>0.16085840058694068</v>
      </c>
      <c r="D32" s="23">
        <f>IF(COUNT('Income Statement'!D31,'Income Statement'!C31)=2,IF('Income Statement'!C31&gt;0,'Income Statement'!D31/'Income Statement'!C31-1,"n.m."),"")</f>
        <v>-0.23258018644335599</v>
      </c>
      <c r="E32" s="23">
        <f>IF(COUNT('Income Statement'!E31,'Income Statement'!D31)=2,IF('Income Statement'!D31&gt;0,'Income Statement'!E31/'Income Statement'!D31-1,"n.m."),"")</f>
        <v>1.5766934321597694</v>
      </c>
      <c r="F32" s="23">
        <f>IF(COUNT('Income Statement'!F31,'Income Statement'!E31)=2,IF('Income Statement'!E31&gt;0,'Income Statement'!F31/'Income Statement'!E31-1,"n.m."),"")</f>
        <v>-0.41558130243707547</v>
      </c>
      <c r="G32" s="23">
        <f>IF(COUNT('Income Statement'!G31,'Income Statement'!F31)=2,IF('Income Statement'!F31&gt;0,'Income Statement'!G31/'Income Statement'!F31-1,"n.m."),"")</f>
        <v>-2.6524473612250521E-2</v>
      </c>
      <c r="H32" s="23">
        <f>IF(COUNT('Income Statement'!H31,'Income Statement'!G31)=2,IF('Income Statement'!G31&gt;0,'Income Statement'!H31/'Income Statement'!G31-1,"n.m."),"")</f>
        <v>6.9943820224719122E-2</v>
      </c>
      <c r="I32" s="23">
        <f>IF(COUNT('Income Statement'!I31,'Income Statement'!H31)=2,IF('Income Statement'!H31&gt;0,'Income Statement'!I31/'Income Statement'!H31-1,"n.m."),"")</f>
        <v>0.16959831976896833</v>
      </c>
      <c r="J32" s="23">
        <f>IF(COUNT('Income Statement'!J31,'Income Statement'!I31)=2,IF('Income Statement'!I31&gt;0,'Income Statement'!J31/'Income Statement'!I31-1,"n.m."),"")</f>
        <v>1.8406285072951833E-2</v>
      </c>
      <c r="K32" s="23">
        <f>IF(COUNT('Income Statement'!K31,'Income Statement'!J31)=2,IF('Income Statement'!J31&gt;0,'Income Statement'!K31/'Income Statement'!J31-1,"n.m."),"")</f>
        <v>5.5543310557637282E-2</v>
      </c>
      <c r="L32" s="23">
        <f>IF(COUNT('Income Statement'!L31,'Income Statement'!K31)=2,IF('Income Statement'!K31&gt;0,'Income Statement'!L31/'Income Statement'!K31-1,"n.m."),"")</f>
        <v>-0.13969513468365002</v>
      </c>
      <c r="M32" s="24"/>
      <c r="N32" s="32">
        <f>IF(COUNT('Income Statement'!N31,'Note Schedules'!N334)=2,IF('Note Schedules'!N334&gt;0,'Income Statement'!N31/'Note Schedules'!N334-1,"n.m."),"")</f>
        <v>5.6935817805382927E-2</v>
      </c>
      <c r="O32" s="32">
        <f>IF(COUNT('Income Statement'!O31,'Note Schedules'!O334)=2,IF('Note Schedules'!O334&gt;0,'Income Statement'!O31/'Note Schedules'!O334-1,"n.m."),"")</f>
        <v>0.12190684133915575</v>
      </c>
      <c r="P32" s="32">
        <f>IF(COUNT('Income Statement'!P31,'Note Schedules'!P334)=2,IF('Note Schedules'!P334&gt;0,'Income Statement'!P31/'Note Schedules'!P334-1,"n.m."),"")</f>
        <v>-5.2393272962483861E-2</v>
      </c>
      <c r="Q32" s="32">
        <f>IF(COUNT('Income Statement'!Q31,'Note Schedules'!Q334)=2,IF('Note Schedules'!Q334&gt;0,'Income Statement'!Q31/'Note Schedules'!Q334-1,"n.m."),"")</f>
        <v>0.1697388632872503</v>
      </c>
      <c r="R32" s="23">
        <f>IF(COUNT('Income Statement'!R31,'Income Statement'!N31)=2,IF('Income Statement'!N31&gt;0,'Income Statement'!R31/'Income Statement'!N31-1,"n.m."),"")</f>
        <v>-0.10186092066601371</v>
      </c>
      <c r="S32" s="23">
        <f>IF(COUNT('Income Statement'!S31,'Income Statement'!O31)=2,IF('Income Statement'!O31&gt;0,'Income Statement'!S31/'Income Statement'!O31-1,"n.m."),"")</f>
        <v>-0.59033409017191052</v>
      </c>
      <c r="T32" s="23">
        <f>IF(COUNT('Income Statement'!T31,'Income Statement'!P31)=2,IF('Income Statement'!P31&gt;0,'Income Statement'!T31/'Income Statement'!P31-1,"n.m."),"")</f>
        <v>-0.11160409556313988</v>
      </c>
      <c r="U32" s="23">
        <f>IF(COUNT('Income Statement'!U31,'Income Statement'!Q31)=2,IF('Income Statement'!Q31&gt;0,'Income Statement'!U31/'Income Statement'!Q31-1,"n.m."),"")</f>
        <v>0.6677609980302035</v>
      </c>
      <c r="V32" s="23">
        <f>IF(COUNT('Income Statement'!V31,'Income Statement'!R31)=2,IF('Income Statement'!R31&gt;0,'Income Statement'!V31/'Income Statement'!R31-1,"n.m."),"")</f>
        <v>0.26881134133042539</v>
      </c>
      <c r="W32" s="23">
        <f>IF(COUNT('Income Statement'!W31,'Income Statement'!S31)=2,IF('Income Statement'!S31&gt;0,'Income Statement'!W31/'Income Statement'!S31-1,"n.m."),"")</f>
        <v>1.3602533650039588</v>
      </c>
      <c r="X32" s="23">
        <f>IF(COUNT('Income Statement'!X31,'Income Statement'!T31)=2,IF('Income Statement'!T31&gt;0,'Income Statement'!X31/'Income Statement'!T31-1,"n.m."),"")</f>
        <v>0.17095658855167106</v>
      </c>
    </row>
    <row r="33" spans="1:24" ht="36" customHeight="1">
      <c r="A33" s="3" t="s">
        <v>237</v>
      </c>
      <c r="B33" s="1"/>
      <c r="C33" s="26">
        <v>4.3899999999999997</v>
      </c>
      <c r="D33" s="26">
        <v>3.4</v>
      </c>
      <c r="E33" s="26">
        <v>8.84</v>
      </c>
      <c r="F33" s="26">
        <v>5.23</v>
      </c>
      <c r="G33" s="26">
        <v>5.14</v>
      </c>
      <c r="H33" s="26">
        <v>5.51</v>
      </c>
      <c r="I33" s="26">
        <v>6.45</v>
      </c>
      <c r="J33" s="26">
        <v>6.59</v>
      </c>
      <c r="K33" s="26">
        <v>6.97</v>
      </c>
      <c r="L33" s="26">
        <v>6.02</v>
      </c>
      <c r="M33" s="33"/>
      <c r="N33" s="26">
        <v>1.49</v>
      </c>
      <c r="O33" s="26">
        <v>2.2400000000000002</v>
      </c>
      <c r="P33" s="26">
        <v>2.13</v>
      </c>
      <c r="Q33" s="26"/>
      <c r="R33" s="26">
        <v>1.34</v>
      </c>
      <c r="S33" s="26">
        <v>0.92</v>
      </c>
      <c r="T33" s="26">
        <v>1.9</v>
      </c>
      <c r="U33" s="26"/>
      <c r="V33" s="26">
        <v>1.7</v>
      </c>
      <c r="W33" s="26">
        <v>2.1800000000000002</v>
      </c>
      <c r="X33" s="26">
        <v>2.23</v>
      </c>
    </row>
    <row r="34" spans="1:24" ht="36" customHeight="1">
      <c r="A34" s="3" t="s">
        <v>238</v>
      </c>
      <c r="B34" s="1"/>
      <c r="C34" s="26">
        <v>4.3600000000000003</v>
      </c>
      <c r="D34" s="26">
        <v>3.38</v>
      </c>
      <c r="E34" s="26">
        <v>8.7799999999999994</v>
      </c>
      <c r="F34" s="26">
        <v>5.2</v>
      </c>
      <c r="G34" s="26">
        <v>5.12</v>
      </c>
      <c r="H34" s="26">
        <v>5.49</v>
      </c>
      <c r="I34" s="26">
        <v>6.42</v>
      </c>
      <c r="J34" s="26">
        <v>6.56</v>
      </c>
      <c r="K34" s="26">
        <v>6.95</v>
      </c>
      <c r="L34" s="26">
        <v>6</v>
      </c>
      <c r="M34" s="33"/>
      <c r="N34" s="26">
        <v>1.48</v>
      </c>
      <c r="O34" s="26">
        <v>2.23</v>
      </c>
      <c r="P34" s="26">
        <v>2.13</v>
      </c>
      <c r="Q34" s="26"/>
      <c r="R34" s="26">
        <v>1.33</v>
      </c>
      <c r="S34" s="26">
        <v>0.92</v>
      </c>
      <c r="T34" s="26">
        <v>1.9</v>
      </c>
      <c r="U34" s="26"/>
      <c r="V34" s="26">
        <v>1.7</v>
      </c>
      <c r="W34" s="26">
        <v>2.1800000000000002</v>
      </c>
      <c r="X34" s="26">
        <v>2.23</v>
      </c>
    </row>
    <row r="35" spans="1:24" ht="36" customHeight="1">
      <c r="A35" s="3" t="s">
        <v>239</v>
      </c>
      <c r="B35" s="1"/>
      <c r="C35" s="14">
        <v>1439</v>
      </c>
      <c r="D35" s="14">
        <v>1425</v>
      </c>
      <c r="E35" s="14">
        <v>1415</v>
      </c>
      <c r="F35" s="14">
        <v>1399</v>
      </c>
      <c r="G35" s="14">
        <v>1385</v>
      </c>
      <c r="H35" s="14">
        <v>1382</v>
      </c>
      <c r="I35" s="14">
        <v>1380</v>
      </c>
      <c r="J35" s="14">
        <v>1376</v>
      </c>
      <c r="K35" s="14">
        <v>1373</v>
      </c>
      <c r="L35" s="14">
        <v>1369</v>
      </c>
      <c r="M35" s="15"/>
      <c r="N35" s="14">
        <v>1375</v>
      </c>
      <c r="O35" s="14">
        <v>1375</v>
      </c>
      <c r="P35" s="14">
        <v>1373</v>
      </c>
      <c r="Q35" s="14"/>
      <c r="R35" s="14">
        <v>1372</v>
      </c>
      <c r="S35" s="14">
        <v>1371</v>
      </c>
      <c r="T35" s="14">
        <v>1369</v>
      </c>
      <c r="U35" s="14"/>
      <c r="V35" s="14">
        <v>1367</v>
      </c>
      <c r="W35" s="14">
        <v>1366</v>
      </c>
      <c r="X35" s="14">
        <v>1364</v>
      </c>
    </row>
    <row r="36" spans="1:24" ht="36" customHeight="1">
      <c r="A36" s="3" t="s">
        <v>240</v>
      </c>
      <c r="B36" s="1"/>
      <c r="C36" s="14">
        <v>1452</v>
      </c>
      <c r="D36" s="14">
        <v>1438</v>
      </c>
      <c r="E36" s="14">
        <v>1425</v>
      </c>
      <c r="F36" s="14">
        <v>1407</v>
      </c>
      <c r="G36" s="14">
        <v>1392</v>
      </c>
      <c r="H36" s="14">
        <v>1389</v>
      </c>
      <c r="I36" s="14">
        <v>1387</v>
      </c>
      <c r="J36" s="14">
        <v>1383</v>
      </c>
      <c r="K36" s="14">
        <v>1378</v>
      </c>
      <c r="L36" s="14">
        <v>1373</v>
      </c>
      <c r="M36" s="15"/>
      <c r="N36" s="14">
        <v>1380</v>
      </c>
      <c r="O36" s="14">
        <v>1379</v>
      </c>
      <c r="P36" s="14">
        <v>1378</v>
      </c>
      <c r="Q36" s="14"/>
      <c r="R36" s="14">
        <v>1376</v>
      </c>
      <c r="S36" s="14">
        <v>1373</v>
      </c>
      <c r="T36" s="14">
        <v>1372</v>
      </c>
      <c r="U36" s="14"/>
      <c r="V36" s="14">
        <v>1371</v>
      </c>
      <c r="W36" s="14">
        <v>1369</v>
      </c>
      <c r="X36" s="14">
        <v>1367</v>
      </c>
    </row>
    <row r="37" spans="1:24" ht="22" customHeight="1">
      <c r="A37" s="3"/>
      <c r="B37" s="1"/>
      <c r="C37" s="2"/>
      <c r="D37" s="2"/>
      <c r="E37" s="2"/>
      <c r="F37" s="2"/>
      <c r="G37" s="2"/>
      <c r="H37" s="2"/>
      <c r="I37" s="2"/>
      <c r="J37" s="2"/>
      <c r="K37" s="2"/>
      <c r="L37" s="2"/>
      <c r="M37" s="2"/>
      <c r="N37" s="2"/>
      <c r="O37" s="2"/>
      <c r="P37" s="2"/>
      <c r="Q37" s="2"/>
      <c r="R37" s="2"/>
      <c r="S37" s="2"/>
      <c r="T37" s="2"/>
      <c r="U37" s="2"/>
      <c r="V37" s="2"/>
      <c r="W37" s="2"/>
      <c r="X37" s="2"/>
    </row>
    <row r="38" spans="1:24" ht="22" customHeight="1">
      <c r="A38" s="174" t="s">
        <v>215</v>
      </c>
      <c r="B38" s="174"/>
      <c r="C38" s="175"/>
      <c r="D38" s="175"/>
      <c r="E38" s="175"/>
      <c r="F38" s="175"/>
      <c r="G38" s="175"/>
      <c r="H38" s="175"/>
      <c r="I38" s="175"/>
      <c r="J38" s="175"/>
      <c r="K38" s="175"/>
      <c r="L38" s="175"/>
      <c r="M38" s="175"/>
      <c r="N38" s="175"/>
      <c r="O38" s="175"/>
      <c r="P38" s="175"/>
      <c r="Q38" s="175"/>
      <c r="R38" s="175"/>
      <c r="S38" s="175"/>
      <c r="T38" s="175"/>
      <c r="U38" s="175"/>
      <c r="V38" s="175"/>
      <c r="W38" s="175"/>
      <c r="X38" s="175"/>
    </row>
    <row r="39" spans="1:24" ht="18" customHeight="1">
      <c r="A39" s="163" t="s">
        <v>241</v>
      </c>
      <c r="B39" s="163"/>
      <c r="C39" s="173"/>
      <c r="D39" s="173"/>
      <c r="E39" s="173"/>
      <c r="F39" s="173"/>
      <c r="G39" s="173"/>
      <c r="H39" s="173"/>
      <c r="I39" s="173"/>
      <c r="J39" s="173"/>
      <c r="K39" s="173"/>
      <c r="L39" s="173"/>
      <c r="M39" s="173"/>
      <c r="N39" s="173"/>
      <c r="O39" s="173"/>
      <c r="P39" s="173"/>
      <c r="Q39" s="173"/>
      <c r="R39" s="173"/>
      <c r="S39" s="173"/>
      <c r="T39" s="173"/>
      <c r="U39" s="173"/>
      <c r="V39" s="173"/>
      <c r="W39" s="173"/>
      <c r="X39" s="173"/>
    </row>
    <row r="40" spans="1:24" ht="24" customHeight="1">
      <c r="A40" s="16" t="s">
        <v>217</v>
      </c>
      <c r="B40" s="17"/>
      <c r="C40" s="18"/>
      <c r="D40" s="18"/>
      <c r="E40" s="18"/>
      <c r="F40" s="18"/>
      <c r="G40" s="18"/>
      <c r="H40" s="18"/>
      <c r="I40" s="18"/>
      <c r="J40" s="18"/>
      <c r="K40" s="18"/>
      <c r="L40" s="18"/>
      <c r="M40" s="20"/>
      <c r="N40" s="19">
        <f>IF(COUNT('Income Statement'!N13)=1,'Income Statement'!N13,"")</f>
        <v>18250</v>
      </c>
      <c r="O40" s="18">
        <v>40751</v>
      </c>
      <c r="P40" s="18">
        <v>64070</v>
      </c>
      <c r="Q40" s="19">
        <f>IF(COUNT('Income Statement'!K13)=1,'Income Statement'!K13,"")</f>
        <v>91854</v>
      </c>
      <c r="R40" s="19">
        <f>IF(COUNT('Income Statement'!R13)=1,'Income Statement'!R13,"")</f>
        <v>17919</v>
      </c>
      <c r="S40" s="18">
        <v>40645</v>
      </c>
      <c r="T40" s="18">
        <v>64582</v>
      </c>
      <c r="U40" s="19">
        <f>IF(COUNT('Income Statement'!L13)=1,'Income Statement'!L13,"")</f>
        <v>93925</v>
      </c>
      <c r="V40" s="19">
        <f>IF(COUNT('Income Statement'!V13)=1,'Income Statement'!V13,"")</f>
        <v>19443</v>
      </c>
      <c r="W40" s="18">
        <v>43624</v>
      </c>
      <c r="X40" s="18">
        <v>68898</v>
      </c>
    </row>
    <row r="41" spans="1:24" ht="22" customHeight="1">
      <c r="A41" s="3" t="s">
        <v>219</v>
      </c>
      <c r="B41" s="1"/>
      <c r="C41" s="14"/>
      <c r="D41" s="14"/>
      <c r="E41" s="14"/>
      <c r="F41" s="14"/>
      <c r="G41" s="14"/>
      <c r="H41" s="14"/>
      <c r="I41" s="14"/>
      <c r="J41" s="14"/>
      <c r="K41" s="14"/>
      <c r="L41" s="14"/>
      <c r="M41" s="15"/>
      <c r="N41" s="13">
        <f>IF(COUNT('Income Statement'!N15)=1,'Income Statement'!N15,"")</f>
        <v>8248</v>
      </c>
      <c r="O41" s="14">
        <v>18167</v>
      </c>
      <c r="P41" s="14">
        <v>28563</v>
      </c>
      <c r="Q41" s="13">
        <f>IF(COUNT('Income Statement'!K15)=1,'Income Statement'!K15,"")</f>
        <v>41744</v>
      </c>
      <c r="R41" s="13">
        <f>IF(COUNT('Income Statement'!R15)=1,'Income Statement'!R15,"")</f>
        <v>7926</v>
      </c>
      <c r="S41" s="14">
        <v>18230</v>
      </c>
      <c r="T41" s="14">
        <v>29343</v>
      </c>
      <c r="U41" s="13">
        <f>IF(COUNT('Income Statement'!L15)=1,'Income Statement'!L15,"")</f>
        <v>43066</v>
      </c>
      <c r="V41" s="13">
        <f>IF(COUNT('Income Statement'!V15)=1,'Income Statement'!V15,"")</f>
        <v>8712</v>
      </c>
      <c r="W41" s="14">
        <v>19782</v>
      </c>
      <c r="X41" s="14">
        <v>31302</v>
      </c>
    </row>
    <row r="42" spans="1:24" ht="24" customHeight="1">
      <c r="A42" s="16" t="s">
        <v>220</v>
      </c>
      <c r="B42" s="17"/>
      <c r="C42" s="18"/>
      <c r="D42" s="18"/>
      <c r="E42" s="18"/>
      <c r="F42" s="18"/>
      <c r="G42" s="18"/>
      <c r="H42" s="18"/>
      <c r="I42" s="18"/>
      <c r="J42" s="18"/>
      <c r="K42" s="18"/>
      <c r="L42" s="18"/>
      <c r="M42" s="20"/>
      <c r="N42" s="19">
        <f>IF(COUNT('Income Statement'!N16)=1,'Income Statement'!N16,"")</f>
        <v>10002</v>
      </c>
      <c r="O42" s="18">
        <v>22584</v>
      </c>
      <c r="P42" s="18">
        <v>35507</v>
      </c>
      <c r="Q42" s="19">
        <f>IF(COUNT('Income Statement'!K16)=1,'Income Statement'!K16,"")</f>
        <v>50110</v>
      </c>
      <c r="R42" s="19">
        <f>IF(COUNT('Income Statement'!R16)=1,'Income Statement'!R16,"")</f>
        <v>9993</v>
      </c>
      <c r="S42" s="18">
        <v>22415</v>
      </c>
      <c r="T42" s="18">
        <v>35239</v>
      </c>
      <c r="U42" s="19">
        <f>IF(COUNT('Income Statement'!L16)=1,'Income Statement'!L16,"")</f>
        <v>50859</v>
      </c>
      <c r="V42" s="19">
        <f>IF(COUNT('Income Statement'!V16)=1,'Income Statement'!V16,"")</f>
        <v>10731</v>
      </c>
      <c r="W42" s="18">
        <v>23842</v>
      </c>
      <c r="X42" s="18">
        <v>37596</v>
      </c>
    </row>
    <row r="43" spans="1:24" ht="22" customHeight="1">
      <c r="A43" s="3" t="s">
        <v>222</v>
      </c>
      <c r="B43" s="1"/>
      <c r="C43" s="14"/>
      <c r="D43" s="14"/>
      <c r="E43" s="14"/>
      <c r="F43" s="14"/>
      <c r="G43" s="14"/>
      <c r="H43" s="14"/>
      <c r="I43" s="14"/>
      <c r="J43" s="14"/>
      <c r="K43" s="14"/>
      <c r="L43" s="14"/>
      <c r="M43" s="15"/>
      <c r="N43" s="13">
        <f>IF(COUNT('Income Statement'!N18)=1,'Income Statement'!N18,"")</f>
        <v>7285</v>
      </c>
      <c r="O43" s="14">
        <v>15819</v>
      </c>
      <c r="P43" s="14">
        <v>24846</v>
      </c>
      <c r="Q43" s="13">
        <f>IF(COUNT('Income Statement'!K18)=1,'Income Statement'!K18,"")</f>
        <v>37190</v>
      </c>
      <c r="R43" s="13">
        <f>IF(COUNT('Income Statement'!R18)=1,'Income Statement'!R18,"")</f>
        <v>7410</v>
      </c>
      <c r="S43" s="14">
        <v>16183</v>
      </c>
      <c r="T43" s="14">
        <v>25305</v>
      </c>
      <c r="U43" s="13">
        <f>IF(COUNT('Income Statement'!L18)=1,'Income Statement'!L18,"")</f>
        <v>37368</v>
      </c>
      <c r="V43" s="13">
        <f>IF(COUNT('Income Statement'!V18)=1,'Income Statement'!V18,"")</f>
        <v>7518</v>
      </c>
      <c r="W43" s="14">
        <v>16606</v>
      </c>
      <c r="X43" s="14">
        <v>26100</v>
      </c>
    </row>
    <row r="44" spans="1:24" ht="22" customHeight="1">
      <c r="A44" s="3" t="s">
        <v>223</v>
      </c>
      <c r="B44" s="1"/>
      <c r="C44" s="14"/>
      <c r="D44" s="14"/>
      <c r="E44" s="14"/>
      <c r="F44" s="14"/>
      <c r="G44" s="14"/>
      <c r="H44" s="14"/>
      <c r="I44" s="14"/>
      <c r="J44" s="14"/>
      <c r="K44" s="14"/>
      <c r="L44" s="14"/>
      <c r="M44" s="15"/>
      <c r="N44" s="13" t="str">
        <f>IF(COUNT('Income Statement'!N19)=1,'Income Statement'!N19,"")</f>
        <v/>
      </c>
      <c r="O44" s="14">
        <v>0</v>
      </c>
      <c r="P44" s="14">
        <v>24</v>
      </c>
      <c r="Q44" s="13">
        <f>IF(COUNT('Income Statement'!K19)=1,'Income Statement'!K19,"")</f>
        <v>33</v>
      </c>
      <c r="R44" s="13" t="str">
        <f>IF(COUNT('Income Statement'!R19)=1,'Income Statement'!R19,"")</f>
        <v/>
      </c>
      <c r="S44" s="14">
        <v>1860</v>
      </c>
      <c r="T44" s="14">
        <v>1993</v>
      </c>
      <c r="U44" s="13">
        <f>IF(COUNT('Income Statement'!L19)=1,'Income Statement'!L19,"")</f>
        <v>1993</v>
      </c>
      <c r="V44" s="13" t="str">
        <f>IF(COUNT('Income Statement'!V19)=1,'Income Statement'!V19,"")</f>
        <v/>
      </c>
      <c r="W44" s="14">
        <v>0</v>
      </c>
      <c r="X44" s="14">
        <v>0</v>
      </c>
    </row>
    <row r="45" spans="1:24" ht="24" customHeight="1">
      <c r="A45" s="16" t="s">
        <v>225</v>
      </c>
      <c r="B45" s="17"/>
      <c r="C45" s="18"/>
      <c r="D45" s="18"/>
      <c r="E45" s="18"/>
      <c r="F45" s="18"/>
      <c r="G45" s="18"/>
      <c r="H45" s="18"/>
      <c r="I45" s="18"/>
      <c r="J45" s="18"/>
      <c r="K45" s="18"/>
      <c r="L45" s="18"/>
      <c r="M45" s="20"/>
      <c r="N45" s="19">
        <f>IF(COUNT('Income Statement'!N21)=1,'Income Statement'!N21,"")</f>
        <v>2717</v>
      </c>
      <c r="O45" s="18">
        <v>6765</v>
      </c>
      <c r="P45" s="18">
        <v>10637</v>
      </c>
      <c r="Q45" s="19">
        <f>IF(COUNT('Income Statement'!K21)=1,'Income Statement'!K21,"")</f>
        <v>12887</v>
      </c>
      <c r="R45" s="19">
        <f>IF(COUNT('Income Statement'!R21)=1,'Income Statement'!R21,"")</f>
        <v>2583</v>
      </c>
      <c r="S45" s="18">
        <v>4372</v>
      </c>
      <c r="T45" s="18">
        <v>7941</v>
      </c>
      <c r="U45" s="19">
        <f>IF(COUNT('Income Statement'!L21)=1,'Income Statement'!L21,"")</f>
        <v>11498</v>
      </c>
      <c r="V45" s="19">
        <f>IF(COUNT('Income Statement'!V21)=1,'Income Statement'!V21,"")</f>
        <v>3213</v>
      </c>
      <c r="W45" s="18">
        <v>7236</v>
      </c>
      <c r="X45" s="18">
        <v>11496</v>
      </c>
    </row>
    <row r="46" spans="1:24" ht="36" customHeight="1">
      <c r="A46" s="3" t="s">
        <v>227</v>
      </c>
      <c r="B46" s="1"/>
      <c r="C46" s="14"/>
      <c r="D46" s="14"/>
      <c r="E46" s="14"/>
      <c r="F46" s="14"/>
      <c r="G46" s="14"/>
      <c r="H46" s="14"/>
      <c r="I46" s="14"/>
      <c r="J46" s="14"/>
      <c r="K46" s="14"/>
      <c r="L46" s="14"/>
      <c r="M46" s="15"/>
      <c r="N46" s="13">
        <f>IF(COUNT('Income Statement'!N23)=1,'Income Statement'!N23,"")</f>
        <v>58</v>
      </c>
      <c r="O46" s="14">
        <v>114</v>
      </c>
      <c r="P46" s="14">
        <v>155</v>
      </c>
      <c r="Q46" s="13">
        <f>IF(COUNT('Income Statement'!K23)=1,'Income Statement'!K23,"")</f>
        <v>-22</v>
      </c>
      <c r="R46" s="13">
        <f>IF(COUNT('Income Statement'!R23)=1,'Income Statement'!R23,"")</f>
        <v>23</v>
      </c>
      <c r="S46" s="14">
        <v>65</v>
      </c>
      <c r="T46" s="14">
        <v>91</v>
      </c>
      <c r="U46" s="13">
        <f>IF(COUNT('Income Statement'!L23)=1,'Income Statement'!L23,"")</f>
        <v>-133</v>
      </c>
      <c r="V46" s="13">
        <f>IF(COUNT('Income Statement'!V23)=1,'Income Statement'!V23,"")</f>
        <v>58</v>
      </c>
      <c r="W46" s="14">
        <v>117</v>
      </c>
      <c r="X46" s="14">
        <v>3</v>
      </c>
    </row>
    <row r="47" spans="1:24" ht="22" customHeight="1">
      <c r="A47" s="3" t="s">
        <v>230</v>
      </c>
      <c r="B47" s="1"/>
      <c r="C47" s="14"/>
      <c r="D47" s="14"/>
      <c r="E47" s="14"/>
      <c r="F47" s="14"/>
      <c r="G47" s="14"/>
      <c r="H47" s="14"/>
      <c r="I47" s="14"/>
      <c r="J47" s="14"/>
      <c r="K47" s="14"/>
      <c r="L47" s="14"/>
      <c r="M47" s="15"/>
      <c r="N47" s="13">
        <f>IF(COUNT('Income Statement'!N26)=1,'Income Statement'!N26,"")</f>
        <v>-202</v>
      </c>
      <c r="O47" s="14">
        <v>-436</v>
      </c>
      <c r="P47" s="14">
        <v>-655</v>
      </c>
      <c r="Q47" s="13">
        <f>IF(COUNT('Income Statement'!K26)=1,'Income Statement'!K26,"")</f>
        <v>-919</v>
      </c>
      <c r="R47" s="13">
        <f>IF(COUNT('Income Statement'!R26)=1,'Income Statement'!R26,"")</f>
        <v>-264</v>
      </c>
      <c r="S47" s="14">
        <v>-524</v>
      </c>
      <c r="T47" s="14">
        <v>-788</v>
      </c>
      <c r="U47" s="13">
        <f>IF(COUNT('Income Statement'!L26)=1,'Income Statement'!L26,"")</f>
        <v>-1121</v>
      </c>
      <c r="V47" s="13">
        <f>IF(COUNT('Income Statement'!V26)=1,'Income Statement'!V26,"")</f>
        <v>-301</v>
      </c>
      <c r="W47" s="14">
        <v>-531</v>
      </c>
      <c r="X47" s="14">
        <v>-773</v>
      </c>
    </row>
    <row r="48" spans="1:24" ht="24" customHeight="1">
      <c r="A48" s="16" t="s">
        <v>231</v>
      </c>
      <c r="B48" s="17"/>
      <c r="C48" s="18"/>
      <c r="D48" s="18"/>
      <c r="E48" s="18"/>
      <c r="F48" s="18"/>
      <c r="G48" s="18"/>
      <c r="H48" s="18"/>
      <c r="I48" s="18"/>
      <c r="J48" s="18"/>
      <c r="K48" s="18"/>
      <c r="L48" s="18"/>
      <c r="M48" s="20"/>
      <c r="N48" s="19">
        <f>IF(COUNT('Income Statement'!N27)=1,'Income Statement'!N27,"")</f>
        <v>2573</v>
      </c>
      <c r="O48" s="18">
        <v>6443</v>
      </c>
      <c r="P48" s="18">
        <v>10137</v>
      </c>
      <c r="Q48" s="19">
        <f>IF(COUNT('Income Statement'!K27)=1,'Income Statement'!K27,"")</f>
        <v>11946</v>
      </c>
      <c r="R48" s="19">
        <f>IF(COUNT('Income Statement'!R27)=1,'Income Statement'!R27,"")</f>
        <v>2342</v>
      </c>
      <c r="S48" s="18">
        <v>3913</v>
      </c>
      <c r="T48" s="18">
        <v>7244</v>
      </c>
      <c r="U48" s="19">
        <f>IF(COUNT('Income Statement'!L27)=1,'Income Statement'!L27,"")</f>
        <v>10244</v>
      </c>
      <c r="V48" s="19">
        <f>IF(COUNT('Income Statement'!V27)=1,'Income Statement'!V27,"")</f>
        <v>2970</v>
      </c>
      <c r="W48" s="18">
        <v>6822</v>
      </c>
      <c r="X48" s="18">
        <v>10726</v>
      </c>
    </row>
    <row r="49" spans="1:24" ht="22" customHeight="1">
      <c r="A49" s="3" t="s">
        <v>232</v>
      </c>
      <c r="B49" s="1"/>
      <c r="C49" s="14"/>
      <c r="D49" s="14"/>
      <c r="E49" s="14"/>
      <c r="F49" s="14"/>
      <c r="G49" s="14"/>
      <c r="H49" s="14"/>
      <c r="I49" s="14"/>
      <c r="J49" s="14"/>
      <c r="K49" s="14"/>
      <c r="L49" s="14"/>
      <c r="M49" s="15"/>
      <c r="N49" s="13">
        <f>IF(COUNT('Income Statement'!N28)=1,'Income Statement'!N28,"")</f>
        <v>520</v>
      </c>
      <c r="O49" s="14">
        <v>1296</v>
      </c>
      <c r="P49" s="14">
        <v>2045</v>
      </c>
      <c r="Q49" s="13">
        <f>IF(COUNT('Income Statement'!K28)=1,'Income Statement'!K28,"")</f>
        <v>2320</v>
      </c>
      <c r="R49" s="13">
        <f>IF(COUNT('Income Statement'!R28)=1,'Income Statement'!R28,"")</f>
        <v>499</v>
      </c>
      <c r="S49" s="14">
        <v>791</v>
      </c>
      <c r="T49" s="14">
        <v>1504</v>
      </c>
      <c r="U49" s="13">
        <f>IF(COUNT('Income Statement'!L28)=1,'Income Statement'!L28,"")</f>
        <v>1949</v>
      </c>
      <c r="V49" s="13">
        <f>IF(COUNT('Income Statement'!V28)=1,'Income Statement'!V28,"")</f>
        <v>632</v>
      </c>
      <c r="W49" s="14">
        <v>1480</v>
      </c>
      <c r="X49" s="14">
        <v>2314</v>
      </c>
    </row>
    <row r="50" spans="1:24" ht="24" customHeight="1">
      <c r="A50" s="16" t="s">
        <v>233</v>
      </c>
      <c r="B50" s="17"/>
      <c r="C50" s="18"/>
      <c r="D50" s="18"/>
      <c r="E50" s="18"/>
      <c r="F50" s="18"/>
      <c r="G50" s="18"/>
      <c r="H50" s="18"/>
      <c r="I50" s="18"/>
      <c r="J50" s="18"/>
      <c r="K50" s="18"/>
      <c r="L50" s="18"/>
      <c r="M50" s="20"/>
      <c r="N50" s="19">
        <f>IF(COUNT('Income Statement'!N29)=1,'Income Statement'!N29,"")</f>
        <v>2053</v>
      </c>
      <c r="O50" s="18">
        <v>5147</v>
      </c>
      <c r="P50" s="18">
        <v>8092</v>
      </c>
      <c r="Q50" s="19">
        <f>IF(COUNT('Income Statement'!K29)=1,'Income Statement'!K29,"")</f>
        <v>9626</v>
      </c>
      <c r="R50" s="19">
        <f>IF(COUNT('Income Statement'!R29)=1,'Income Statement'!R29,"")</f>
        <v>1843</v>
      </c>
      <c r="S50" s="18">
        <v>3122</v>
      </c>
      <c r="T50" s="18">
        <v>5740</v>
      </c>
      <c r="U50" s="19">
        <f>IF(COUNT('Income Statement'!L29)=1,'Income Statement'!L29,"")</f>
        <v>8295</v>
      </c>
      <c r="V50" s="19">
        <f>IF(COUNT('Income Statement'!V29)=1,'Income Statement'!V29,"")</f>
        <v>2338</v>
      </c>
      <c r="W50" s="18">
        <v>5342</v>
      </c>
      <c r="X50" s="18">
        <v>8412</v>
      </c>
    </row>
    <row r="51" spans="1:24" ht="22" customHeight="1">
      <c r="A51" s="3" t="s">
        <v>234</v>
      </c>
      <c r="B51" s="1"/>
      <c r="C51" s="14"/>
      <c r="D51" s="14"/>
      <c r="E51" s="14"/>
      <c r="F51" s="14"/>
      <c r="G51" s="14"/>
      <c r="H51" s="14"/>
      <c r="I51" s="14"/>
      <c r="J51" s="14"/>
      <c r="K51" s="14"/>
      <c r="L51" s="14"/>
      <c r="M51" s="15"/>
      <c r="N51" s="13">
        <f>IF(COUNT('Income Statement'!N30)=1,'Income Statement'!N30,"")</f>
        <v>11</v>
      </c>
      <c r="O51" s="14">
        <v>22</v>
      </c>
      <c r="P51" s="14">
        <v>37</v>
      </c>
      <c r="Q51" s="13">
        <f>IF(COUNT('Income Statement'!K30)=1,'Income Statement'!K30,"")</f>
        <v>48</v>
      </c>
      <c r="R51" s="13">
        <f>IF(COUNT('Income Statement'!R30)=1,'Income Statement'!R30,"")</f>
        <v>9</v>
      </c>
      <c r="S51" s="14">
        <v>25</v>
      </c>
      <c r="T51" s="14">
        <v>40</v>
      </c>
      <c r="U51" s="13">
        <f>IF(COUNT('Income Statement'!L30)=1,'Income Statement'!L30,"")</f>
        <v>55</v>
      </c>
      <c r="V51" s="13">
        <f>IF(COUNT('Income Statement'!V30)=1,'Income Statement'!V30,"")</f>
        <v>11</v>
      </c>
      <c r="W51" s="14">
        <v>34</v>
      </c>
      <c r="X51" s="14">
        <v>56</v>
      </c>
    </row>
    <row r="52" spans="1:24" ht="24" customHeight="1">
      <c r="A52" s="16" t="s">
        <v>235</v>
      </c>
      <c r="B52" s="17"/>
      <c r="C52" s="18"/>
      <c r="D52" s="18"/>
      <c r="E52" s="18"/>
      <c r="F52" s="18"/>
      <c r="G52" s="18"/>
      <c r="H52" s="18"/>
      <c r="I52" s="18"/>
      <c r="J52" s="18"/>
      <c r="K52" s="18"/>
      <c r="L52" s="18"/>
      <c r="M52" s="20"/>
      <c r="N52" s="19">
        <f>IF(COUNT('Income Statement'!N31)=1,'Income Statement'!N31,"")</f>
        <v>2042</v>
      </c>
      <c r="O52" s="18">
        <v>5125</v>
      </c>
      <c r="P52" s="18">
        <v>8055</v>
      </c>
      <c r="Q52" s="19">
        <f>IF(COUNT('Income Statement'!K31)=1,'Income Statement'!K31,"")</f>
        <v>9578</v>
      </c>
      <c r="R52" s="19">
        <f>IF(COUNT('Income Statement'!R31)=1,'Income Statement'!R31,"")</f>
        <v>1834</v>
      </c>
      <c r="S52" s="18">
        <v>3097</v>
      </c>
      <c r="T52" s="18">
        <v>5700</v>
      </c>
      <c r="U52" s="19">
        <f>IF(COUNT('Income Statement'!L31)=1,'Income Statement'!L31,"")</f>
        <v>8240</v>
      </c>
      <c r="V52" s="19">
        <f>IF(COUNT('Income Statement'!V31)=1,'Income Statement'!V31,"")</f>
        <v>2327</v>
      </c>
      <c r="W52" s="18">
        <v>5308</v>
      </c>
      <c r="X52" s="18">
        <v>8356</v>
      </c>
    </row>
    <row r="53" spans="1:24" ht="36" customHeight="1">
      <c r="A53" s="3" t="s">
        <v>237</v>
      </c>
      <c r="B53" s="1"/>
      <c r="C53" s="26"/>
      <c r="D53" s="26"/>
      <c r="E53" s="26"/>
      <c r="F53" s="26"/>
      <c r="G53" s="26"/>
      <c r="H53" s="26"/>
      <c r="I53" s="26"/>
      <c r="J53" s="26"/>
      <c r="K53" s="26"/>
      <c r="L53" s="26"/>
      <c r="M53" s="33"/>
      <c r="N53" s="25">
        <f>IF(COUNT('Income Statement'!N33)=1,'Income Statement'!N33,"")</f>
        <v>1.49</v>
      </c>
      <c r="O53" s="26">
        <v>3.73</v>
      </c>
      <c r="P53" s="26">
        <v>5.86</v>
      </c>
      <c r="Q53" s="25">
        <f>IF(COUNT('Income Statement'!K33)=1,'Income Statement'!K33,"")</f>
        <v>6.97</v>
      </c>
      <c r="R53" s="25">
        <f>IF(COUNT('Income Statement'!R33)=1,'Income Statement'!R33,"")</f>
        <v>1.34</v>
      </c>
      <c r="S53" s="26">
        <v>2.2599999999999998</v>
      </c>
      <c r="T53" s="26">
        <v>4.16</v>
      </c>
      <c r="U53" s="25">
        <f>IF(COUNT('Income Statement'!L33)=1,'Income Statement'!L33,"")</f>
        <v>6.02</v>
      </c>
      <c r="V53" s="25">
        <f>IF(COUNT('Income Statement'!V33)=1,'Income Statement'!V33,"")</f>
        <v>1.7</v>
      </c>
      <c r="W53" s="26">
        <v>3.88</v>
      </c>
      <c r="X53" s="26">
        <v>6.12</v>
      </c>
    </row>
    <row r="54" spans="1:24" ht="36" customHeight="1">
      <c r="A54" s="3" t="s">
        <v>238</v>
      </c>
      <c r="B54" s="1"/>
      <c r="C54" s="26"/>
      <c r="D54" s="26"/>
      <c r="E54" s="26"/>
      <c r="F54" s="26"/>
      <c r="G54" s="26"/>
      <c r="H54" s="26"/>
      <c r="I54" s="26"/>
      <c r="J54" s="26"/>
      <c r="K54" s="26"/>
      <c r="L54" s="26"/>
      <c r="M54" s="33"/>
      <c r="N54" s="25">
        <f>IF(COUNT('Income Statement'!N34)=1,'Income Statement'!N34,"")</f>
        <v>1.48</v>
      </c>
      <c r="O54" s="26">
        <v>3.71</v>
      </c>
      <c r="P54" s="26">
        <v>5.84</v>
      </c>
      <c r="Q54" s="25">
        <f>IF(COUNT('Income Statement'!K34)=1,'Income Statement'!K34,"")</f>
        <v>6.95</v>
      </c>
      <c r="R54" s="25">
        <f>IF(COUNT('Income Statement'!R34)=1,'Income Statement'!R34,"")</f>
        <v>1.33</v>
      </c>
      <c r="S54" s="26">
        <v>2.25</v>
      </c>
      <c r="T54" s="26">
        <v>4.1500000000000004</v>
      </c>
      <c r="U54" s="25">
        <f>IF(COUNT('Income Statement'!L34)=1,'Income Statement'!L34,"")</f>
        <v>6</v>
      </c>
      <c r="V54" s="25">
        <f>IF(COUNT('Income Statement'!V34)=1,'Income Statement'!V34,"")</f>
        <v>1.7</v>
      </c>
      <c r="W54" s="26">
        <v>3.88</v>
      </c>
      <c r="X54" s="26">
        <v>6.1</v>
      </c>
    </row>
    <row r="55" spans="1:24" ht="36" customHeight="1">
      <c r="A55" s="3" t="s">
        <v>239</v>
      </c>
      <c r="B55" s="1"/>
      <c r="C55" s="14"/>
      <c r="D55" s="14"/>
      <c r="E55" s="14"/>
      <c r="F55" s="14"/>
      <c r="G55" s="14"/>
      <c r="H55" s="14"/>
      <c r="I55" s="14"/>
      <c r="J55" s="14"/>
      <c r="K55" s="14"/>
      <c r="L55" s="14"/>
      <c r="M55" s="15"/>
      <c r="N55" s="13">
        <f>IF(COUNT('Income Statement'!N35)=1,'Income Statement'!N35,"")</f>
        <v>1375</v>
      </c>
      <c r="O55" s="14">
        <v>1375</v>
      </c>
      <c r="P55" s="14">
        <v>1374</v>
      </c>
      <c r="Q55" s="13">
        <f>IF(COUNT('Income Statement'!K35)=1,'Income Statement'!K35,"")</f>
        <v>1373</v>
      </c>
      <c r="R55" s="13">
        <f>IF(COUNT('Income Statement'!R35)=1,'Income Statement'!R35,"")</f>
        <v>1372</v>
      </c>
      <c r="S55" s="14">
        <v>1371</v>
      </c>
      <c r="T55" s="14">
        <v>1370</v>
      </c>
      <c r="U55" s="13">
        <f>IF(COUNT('Income Statement'!L35)=1,'Income Statement'!L35,"")</f>
        <v>1369</v>
      </c>
      <c r="V55" s="13">
        <f>IF(COUNT('Income Statement'!V35)=1,'Income Statement'!V35,"")</f>
        <v>1367</v>
      </c>
      <c r="W55" s="14">
        <v>1367</v>
      </c>
      <c r="X55" s="14">
        <v>1366</v>
      </c>
    </row>
    <row r="56" spans="1:24" ht="36" customHeight="1">
      <c r="A56" s="3" t="s">
        <v>240</v>
      </c>
      <c r="B56" s="1"/>
      <c r="C56" s="14"/>
      <c r="D56" s="14"/>
      <c r="E56" s="14"/>
      <c r="F56" s="14"/>
      <c r="G56" s="14"/>
      <c r="H56" s="14"/>
      <c r="I56" s="14"/>
      <c r="J56" s="14"/>
      <c r="K56" s="14"/>
      <c r="L56" s="14"/>
      <c r="M56" s="15"/>
      <c r="N56" s="13">
        <f>IF(COUNT('Income Statement'!N36)=1,'Income Statement'!N36,"")</f>
        <v>1380</v>
      </c>
      <c r="O56" s="14">
        <v>1380</v>
      </c>
      <c r="P56" s="14">
        <v>1379</v>
      </c>
      <c r="Q56" s="13">
        <f>IF(COUNT('Income Statement'!K36)=1,'Income Statement'!K36,"")</f>
        <v>1378</v>
      </c>
      <c r="R56" s="13">
        <f>IF(COUNT('Income Statement'!R36)=1,'Income Statement'!R36,"")</f>
        <v>1376</v>
      </c>
      <c r="S56" s="14">
        <v>1374</v>
      </c>
      <c r="T56" s="14">
        <v>1373</v>
      </c>
      <c r="U56" s="13">
        <f>IF(COUNT('Income Statement'!L36)=1,'Income Statement'!L36,"")</f>
        <v>1373</v>
      </c>
      <c r="V56" s="13">
        <f>IF(COUNT('Income Statement'!V36)=1,'Income Statement'!V36,"")</f>
        <v>1371</v>
      </c>
      <c r="W56" s="14">
        <v>1370</v>
      </c>
      <c r="X56" s="14">
        <v>1369</v>
      </c>
    </row>
    <row r="57" spans="1:24" ht="22" customHeight="1">
      <c r="A57" s="3"/>
      <c r="B57" s="1"/>
      <c r="C57" s="2"/>
      <c r="D57" s="2"/>
      <c r="E57" s="2"/>
      <c r="F57" s="2"/>
      <c r="G57" s="2"/>
      <c r="H57" s="2"/>
      <c r="I57" s="2"/>
      <c r="J57" s="2"/>
      <c r="K57" s="2"/>
      <c r="L57" s="2"/>
      <c r="M57" s="2"/>
      <c r="N57" s="2"/>
      <c r="O57" s="2"/>
      <c r="P57" s="2"/>
      <c r="Q57" s="2"/>
      <c r="R57" s="2"/>
      <c r="S57" s="2"/>
      <c r="T57" s="2"/>
      <c r="U57" s="2"/>
      <c r="V57" s="2"/>
      <c r="W57" s="2"/>
      <c r="X57" s="2"/>
    </row>
  </sheetData>
  <mergeCells count="8">
    <mergeCell ref="A12:X12"/>
    <mergeCell ref="A38:X38"/>
    <mergeCell ref="A39:X39"/>
    <mergeCell ref="A1:X1"/>
    <mergeCell ref="A2:X2"/>
    <mergeCell ref="C7:L7"/>
    <mergeCell ref="N7:X7"/>
    <mergeCell ref="A11:X11"/>
  </mergeCells>
  <phoneticPr fontId="44" type="noConversion"/>
  <hyperlinks>
    <hyperlink ref="A3" location="'Contents'!A1" display="Metric (Return to Contents)" xr:uid="{00000000-0004-0000-0400-000000000000}"/>
    <hyperlink ref="C7" location="'Income Statement'!A11" display="Consolidated income statement: annual and discrete quarters" xr:uid="{00000000-0004-0000-0400-000001000000}"/>
    <hyperlink ref="N7" location="'Income Statement'!A38" display="Year-to-date results" xr:uid="{00000000-0004-0000-04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X59"/>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242</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243</v>
      </c>
      <c r="D7" s="176"/>
      <c r="E7" s="176"/>
      <c r="F7" s="176"/>
      <c r="G7" s="176"/>
      <c r="H7" s="176"/>
      <c r="I7" s="176"/>
      <c r="J7" s="176"/>
      <c r="K7" s="176"/>
      <c r="L7" s="176"/>
      <c r="M7" s="2"/>
      <c r="N7" s="2"/>
      <c r="O7" s="2"/>
      <c r="P7" s="2"/>
      <c r="Q7" s="2"/>
      <c r="R7" s="2"/>
      <c r="S7" s="2"/>
      <c r="T7" s="2"/>
      <c r="U7" s="2"/>
      <c r="V7" s="2"/>
      <c r="W7" s="2"/>
      <c r="X7" s="2"/>
    </row>
    <row r="8" spans="1:24" ht="22" customHeight="1">
      <c r="A8" s="3"/>
      <c r="B8" s="1"/>
      <c r="C8" s="2"/>
      <c r="D8" s="2"/>
      <c r="E8" s="2"/>
      <c r="F8" s="2"/>
      <c r="G8" s="2"/>
      <c r="H8" s="2"/>
      <c r="I8" s="2"/>
      <c r="J8" s="2"/>
      <c r="K8" s="2"/>
      <c r="L8" s="2"/>
      <c r="M8" s="2"/>
      <c r="N8" s="2"/>
      <c r="O8" s="2"/>
      <c r="P8" s="2"/>
      <c r="Q8" s="2"/>
      <c r="R8" s="2"/>
      <c r="S8" s="2"/>
      <c r="T8" s="2"/>
      <c r="U8" s="2"/>
      <c r="V8" s="2"/>
      <c r="W8" s="2"/>
      <c r="X8" s="2"/>
    </row>
    <row r="9" spans="1:24" ht="22" customHeight="1">
      <c r="A9" s="3"/>
      <c r="B9" s="1"/>
      <c r="C9" s="2"/>
      <c r="D9" s="2"/>
      <c r="E9" s="2"/>
      <c r="F9" s="2"/>
      <c r="G9" s="2"/>
      <c r="H9" s="2"/>
      <c r="I9" s="2"/>
      <c r="J9" s="2"/>
      <c r="K9" s="2"/>
      <c r="L9" s="2"/>
      <c r="M9" s="2"/>
      <c r="N9" s="2"/>
      <c r="O9" s="2"/>
      <c r="P9" s="2"/>
      <c r="Q9" s="2"/>
      <c r="R9" s="2"/>
      <c r="S9" s="2"/>
      <c r="T9" s="2"/>
      <c r="U9" s="2"/>
      <c r="V9" s="2"/>
      <c r="W9" s="2"/>
      <c r="X9" s="2"/>
    </row>
    <row r="10" spans="1:24" ht="22" customHeight="1">
      <c r="A10" s="3"/>
      <c r="B10" s="1"/>
      <c r="C10" s="2"/>
      <c r="D10" s="2"/>
      <c r="E10" s="2"/>
      <c r="F10" s="2"/>
      <c r="G10" s="2"/>
      <c r="H10" s="2"/>
      <c r="I10" s="2"/>
      <c r="J10" s="2"/>
      <c r="K10" s="2"/>
      <c r="L10" s="2"/>
      <c r="M10" s="2"/>
      <c r="N10" s="2"/>
      <c r="O10" s="2"/>
      <c r="P10" s="2"/>
      <c r="Q10" s="2"/>
      <c r="R10" s="2"/>
      <c r="S10" s="2"/>
      <c r="T10" s="2"/>
      <c r="U10" s="2"/>
      <c r="V10" s="2"/>
      <c r="W10" s="2"/>
      <c r="X10" s="2"/>
    </row>
    <row r="11" spans="1:24" ht="22" customHeight="1">
      <c r="A11" s="174" t="s">
        <v>243</v>
      </c>
      <c r="B11" s="174"/>
      <c r="C11" s="175"/>
      <c r="D11" s="175"/>
      <c r="E11" s="175"/>
      <c r="F11" s="175"/>
      <c r="G11" s="175"/>
      <c r="H11" s="175"/>
      <c r="I11" s="175"/>
      <c r="J11" s="175"/>
      <c r="K11" s="175"/>
      <c r="L11" s="175"/>
      <c r="M11" s="175"/>
      <c r="N11" s="175"/>
      <c r="O11" s="175"/>
      <c r="P11" s="175"/>
      <c r="Q11" s="175"/>
      <c r="R11" s="175"/>
      <c r="S11" s="175"/>
      <c r="T11" s="175"/>
      <c r="U11" s="175"/>
      <c r="V11" s="175"/>
      <c r="W11" s="175"/>
      <c r="X11" s="175"/>
    </row>
    <row r="12" spans="1:24" ht="18" customHeight="1">
      <c r="A12" s="163" t="s">
        <v>244</v>
      </c>
      <c r="B12" s="163"/>
      <c r="C12" s="173"/>
      <c r="D12" s="173"/>
      <c r="E12" s="173"/>
      <c r="F12" s="173"/>
      <c r="G12" s="173"/>
      <c r="H12" s="173"/>
      <c r="I12" s="173"/>
      <c r="J12" s="173"/>
      <c r="K12" s="173"/>
      <c r="L12" s="173"/>
      <c r="M12" s="173"/>
      <c r="N12" s="173"/>
      <c r="O12" s="173"/>
      <c r="P12" s="173"/>
      <c r="Q12" s="173"/>
      <c r="R12" s="173"/>
      <c r="S12" s="173"/>
      <c r="T12" s="173"/>
      <c r="U12" s="173"/>
      <c r="V12" s="173"/>
      <c r="W12" s="173"/>
      <c r="X12" s="173"/>
    </row>
    <row r="13" spans="1:24" ht="24" customHeight="1">
      <c r="A13" s="177" t="s">
        <v>245</v>
      </c>
      <c r="B13" s="178"/>
      <c r="C13" s="179"/>
      <c r="D13" s="179"/>
      <c r="E13" s="179"/>
      <c r="F13" s="179"/>
      <c r="G13" s="179"/>
      <c r="H13" s="179"/>
      <c r="I13" s="179"/>
      <c r="J13" s="179"/>
      <c r="K13" s="179"/>
      <c r="L13" s="179"/>
      <c r="M13" s="12"/>
      <c r="N13" s="179"/>
      <c r="O13" s="179"/>
      <c r="P13" s="179"/>
      <c r="Q13" s="179"/>
      <c r="R13" s="179"/>
      <c r="S13" s="179"/>
      <c r="T13" s="179"/>
      <c r="U13" s="179"/>
      <c r="V13" s="179"/>
      <c r="W13" s="179"/>
      <c r="X13" s="179"/>
    </row>
    <row r="14" spans="1:24" ht="22" customHeight="1">
      <c r="A14" s="3" t="s">
        <v>246</v>
      </c>
      <c r="B14" s="1"/>
      <c r="C14" s="14">
        <v>9158</v>
      </c>
      <c r="D14" s="14">
        <v>10610</v>
      </c>
      <c r="E14" s="14">
        <v>8721</v>
      </c>
      <c r="F14" s="14">
        <v>5509</v>
      </c>
      <c r="G14" s="14">
        <v>8185</v>
      </c>
      <c r="H14" s="14">
        <v>5596</v>
      </c>
      <c r="I14" s="14">
        <v>4954</v>
      </c>
      <c r="J14" s="14">
        <v>9711</v>
      </c>
      <c r="K14" s="14">
        <v>8505</v>
      </c>
      <c r="L14" s="14">
        <v>9159</v>
      </c>
      <c r="M14" s="15"/>
      <c r="N14" s="14">
        <v>8047</v>
      </c>
      <c r="O14" s="14">
        <v>6353</v>
      </c>
      <c r="P14" s="14">
        <v>7308</v>
      </c>
      <c r="Q14" s="13">
        <f>IF(COUNT('Balance Sheet'!K14)=1,'Balance Sheet'!K14,"")</f>
        <v>8505</v>
      </c>
      <c r="R14" s="14">
        <v>8268</v>
      </c>
      <c r="S14" s="14">
        <v>7631</v>
      </c>
      <c r="T14" s="14">
        <v>8126</v>
      </c>
      <c r="U14" s="13">
        <f>IF(COUNT('Balance Sheet'!L14)=1,'Balance Sheet'!L14,"")</f>
        <v>9159</v>
      </c>
      <c r="V14" s="14">
        <v>10475</v>
      </c>
      <c r="W14" s="14">
        <v>10251</v>
      </c>
      <c r="X14" s="14">
        <v>10675</v>
      </c>
    </row>
    <row r="15" spans="1:24" ht="22" customHeight="1">
      <c r="A15" s="3" t="s">
        <v>247</v>
      </c>
      <c r="B15" s="1"/>
      <c r="C15" s="14">
        <v>6967</v>
      </c>
      <c r="D15" s="14">
        <v>8900</v>
      </c>
      <c r="E15" s="14">
        <v>272</v>
      </c>
      <c r="F15" s="14">
        <v>229</v>
      </c>
      <c r="G15" s="14">
        <v>1366</v>
      </c>
      <c r="H15" s="14">
        <v>392</v>
      </c>
      <c r="I15" s="14">
        <v>394</v>
      </c>
      <c r="J15" s="14">
        <v>292</v>
      </c>
      <c r="K15" s="14">
        <v>761</v>
      </c>
      <c r="L15" s="14">
        <v>371</v>
      </c>
      <c r="M15" s="15"/>
      <c r="N15" s="14">
        <v>303</v>
      </c>
      <c r="O15" s="14">
        <v>315</v>
      </c>
      <c r="P15" s="14">
        <v>743</v>
      </c>
      <c r="Q15" s="13">
        <f>IF(COUNT('Balance Sheet'!K15)=1,'Balance Sheet'!K15,"")</f>
        <v>761</v>
      </c>
      <c r="R15" s="14">
        <v>314</v>
      </c>
      <c r="S15" s="14">
        <v>342</v>
      </c>
      <c r="T15" s="14">
        <v>535</v>
      </c>
      <c r="U15" s="13">
        <f>IF(COUNT('Balance Sheet'!L15)=1,'Balance Sheet'!L15,"")</f>
        <v>371</v>
      </c>
      <c r="V15" s="14">
        <v>353</v>
      </c>
      <c r="W15" s="14">
        <v>465</v>
      </c>
      <c r="X15" s="14">
        <v>488</v>
      </c>
    </row>
    <row r="16" spans="1:24" ht="22" customHeight="1">
      <c r="A16" s="3" t="s">
        <v>248</v>
      </c>
      <c r="B16" s="1"/>
      <c r="C16" s="14"/>
      <c r="D16" s="14">
        <v>0</v>
      </c>
      <c r="E16" s="14">
        <v>1997</v>
      </c>
      <c r="F16" s="14"/>
      <c r="G16" s="14"/>
      <c r="H16" s="14"/>
      <c r="I16" s="14"/>
      <c r="J16" s="14"/>
      <c r="K16" s="14"/>
      <c r="L16" s="14"/>
      <c r="M16" s="15"/>
      <c r="N16" s="14"/>
      <c r="O16" s="14"/>
      <c r="P16" s="14"/>
      <c r="Q16" s="13" t="str">
        <f>IF(COUNT('Balance Sheet'!K16)=1,'Balance Sheet'!K16,"")</f>
        <v/>
      </c>
      <c r="R16" s="14"/>
      <c r="S16" s="14"/>
      <c r="T16" s="14"/>
      <c r="U16" s="13" t="str">
        <f>IF(COUNT('Balance Sheet'!L16)=1,'Balance Sheet'!L16,"")</f>
        <v/>
      </c>
      <c r="V16" s="14"/>
      <c r="W16" s="14"/>
      <c r="X16" s="14"/>
    </row>
    <row r="17" spans="1:24" ht="22" customHeight="1">
      <c r="A17" s="3" t="s">
        <v>249</v>
      </c>
      <c r="B17" s="1"/>
      <c r="C17" s="14">
        <v>6694</v>
      </c>
      <c r="D17" s="14">
        <v>7024</v>
      </c>
      <c r="E17" s="14">
        <v>7142</v>
      </c>
      <c r="F17" s="14">
        <v>7822</v>
      </c>
      <c r="G17" s="14">
        <v>8404</v>
      </c>
      <c r="H17" s="14">
        <v>8680</v>
      </c>
      <c r="I17" s="14">
        <v>10163</v>
      </c>
      <c r="J17" s="14">
        <v>10815</v>
      </c>
      <c r="K17" s="14">
        <v>10333</v>
      </c>
      <c r="L17" s="14">
        <v>11506</v>
      </c>
      <c r="M17" s="15"/>
      <c r="N17" s="14">
        <v>10938</v>
      </c>
      <c r="O17" s="14">
        <v>11942</v>
      </c>
      <c r="P17" s="14">
        <v>12088</v>
      </c>
      <c r="Q17" s="13">
        <f>IF(COUNT('Balance Sheet'!K17)=1,'Balance Sheet'!K17,"")</f>
        <v>10333</v>
      </c>
      <c r="R17" s="14">
        <v>10800</v>
      </c>
      <c r="S17" s="14">
        <v>12390</v>
      </c>
      <c r="T17" s="14">
        <v>12634</v>
      </c>
      <c r="U17" s="13">
        <f>IF(COUNT('Balance Sheet'!L17)=1,'Balance Sheet'!L17,"")</f>
        <v>11506</v>
      </c>
      <c r="V17" s="14">
        <v>12171</v>
      </c>
      <c r="W17" s="14">
        <v>13496</v>
      </c>
      <c r="X17" s="14">
        <v>13623</v>
      </c>
    </row>
    <row r="18" spans="1:24" ht="22" customHeight="1">
      <c r="A18" s="3" t="s">
        <v>250</v>
      </c>
      <c r="B18" s="1"/>
      <c r="C18" s="14"/>
      <c r="D18" s="14"/>
      <c r="E18" s="14"/>
      <c r="F18" s="14"/>
      <c r="G18" s="14"/>
      <c r="H18" s="14"/>
      <c r="I18" s="14">
        <v>2366</v>
      </c>
      <c r="J18" s="14">
        <v>2388</v>
      </c>
      <c r="K18" s="14">
        <v>2440</v>
      </c>
      <c r="L18" s="14">
        <v>2581</v>
      </c>
      <c r="M18" s="15"/>
      <c r="N18" s="14">
        <v>2465</v>
      </c>
      <c r="O18" s="14">
        <v>2635</v>
      </c>
      <c r="P18" s="14">
        <v>2559</v>
      </c>
      <c r="Q18" s="13">
        <f>IF(COUNT('Balance Sheet'!K18)=1,'Balance Sheet'!K18,"")</f>
        <v>2440</v>
      </c>
      <c r="R18" s="14">
        <v>2673</v>
      </c>
      <c r="S18" s="14">
        <v>2940</v>
      </c>
      <c r="T18" s="14">
        <v>2805</v>
      </c>
      <c r="U18" s="13">
        <f>IF(COUNT('Balance Sheet'!L18)=1,'Balance Sheet'!L18,"")</f>
        <v>2581</v>
      </c>
      <c r="V18" s="14">
        <v>2714</v>
      </c>
      <c r="W18" s="14">
        <v>2948</v>
      </c>
      <c r="X18" s="14">
        <v>2792</v>
      </c>
    </row>
    <row r="19" spans="1:24" ht="22" customHeight="1">
      <c r="A19" s="3" t="s">
        <v>251</v>
      </c>
      <c r="B19" s="1"/>
      <c r="C19" s="14"/>
      <c r="D19" s="14"/>
      <c r="E19" s="14"/>
      <c r="F19" s="14"/>
      <c r="G19" s="14"/>
      <c r="H19" s="14"/>
      <c r="I19" s="14">
        <v>114</v>
      </c>
      <c r="J19" s="14">
        <v>104</v>
      </c>
      <c r="K19" s="14">
        <v>104</v>
      </c>
      <c r="L19" s="14">
        <v>143</v>
      </c>
      <c r="M19" s="15"/>
      <c r="N19" s="14">
        <v>97</v>
      </c>
      <c r="O19" s="14">
        <v>121</v>
      </c>
      <c r="P19" s="14">
        <v>131</v>
      </c>
      <c r="Q19" s="13">
        <f>IF(COUNT('Balance Sheet'!K19)=1,'Balance Sheet'!K19,"")</f>
        <v>104</v>
      </c>
      <c r="R19" s="14">
        <v>118</v>
      </c>
      <c r="S19" s="14">
        <v>135</v>
      </c>
      <c r="T19" s="14">
        <v>154</v>
      </c>
      <c r="U19" s="13">
        <f>IF(COUNT('Balance Sheet'!L19)=1,'Balance Sheet'!L19,"")</f>
        <v>143</v>
      </c>
      <c r="V19" s="14">
        <v>133</v>
      </c>
      <c r="W19" s="14">
        <v>163</v>
      </c>
      <c r="X19" s="14">
        <v>175</v>
      </c>
    </row>
    <row r="20" spans="1:24" ht="22" customHeight="1">
      <c r="A20" s="3" t="s">
        <v>252</v>
      </c>
      <c r="B20" s="1"/>
      <c r="C20" s="14"/>
      <c r="D20" s="14"/>
      <c r="E20" s="14"/>
      <c r="F20" s="14"/>
      <c r="G20" s="14"/>
      <c r="H20" s="14"/>
      <c r="I20" s="14">
        <v>2742</v>
      </c>
      <c r="J20" s="14">
        <v>2842</v>
      </c>
      <c r="K20" s="14">
        <v>2762</v>
      </c>
      <c r="L20" s="14">
        <v>3121</v>
      </c>
      <c r="M20" s="15"/>
      <c r="N20" s="14">
        <v>3007</v>
      </c>
      <c r="O20" s="14">
        <v>3131</v>
      </c>
      <c r="P20" s="14">
        <v>2954</v>
      </c>
      <c r="Q20" s="13">
        <f>IF(COUNT('Balance Sheet'!K20)=1,'Balance Sheet'!K20,"")</f>
        <v>2762</v>
      </c>
      <c r="R20" s="14">
        <v>2869</v>
      </c>
      <c r="S20" s="14">
        <v>3412</v>
      </c>
      <c r="T20" s="14">
        <v>3134</v>
      </c>
      <c r="U20" s="13">
        <f>IF(COUNT('Balance Sheet'!L20)=1,'Balance Sheet'!L20,"")</f>
        <v>3121</v>
      </c>
      <c r="V20" s="14">
        <v>3364</v>
      </c>
      <c r="W20" s="14">
        <v>3623</v>
      </c>
      <c r="X20" s="14">
        <v>3467</v>
      </c>
    </row>
    <row r="21" spans="1:24" ht="22" customHeight="1">
      <c r="A21" s="3" t="s">
        <v>253</v>
      </c>
      <c r="B21" s="1"/>
      <c r="C21" s="14">
        <v>2723</v>
      </c>
      <c r="D21" s="14">
        <v>2947</v>
      </c>
      <c r="E21" s="14">
        <v>3128</v>
      </c>
      <c r="F21" s="14">
        <v>3338</v>
      </c>
      <c r="G21" s="14">
        <v>4172</v>
      </c>
      <c r="H21" s="14">
        <v>4347</v>
      </c>
      <c r="I21" s="14">
        <v>5222</v>
      </c>
      <c r="J21" s="14">
        <v>5334</v>
      </c>
      <c r="K21" s="14">
        <v>5306</v>
      </c>
      <c r="L21" s="14">
        <v>5845</v>
      </c>
      <c r="M21" s="15"/>
      <c r="N21" s="14">
        <v>5569</v>
      </c>
      <c r="O21" s="14">
        <v>5887</v>
      </c>
      <c r="P21" s="14">
        <v>5644</v>
      </c>
      <c r="Q21" s="13">
        <f>IF(COUNT('Balance Sheet'!K21)=1,'Balance Sheet'!K21,"")</f>
        <v>5306</v>
      </c>
      <c r="R21" s="14">
        <v>5660</v>
      </c>
      <c r="S21" s="14">
        <v>6487</v>
      </c>
      <c r="T21" s="14">
        <v>6093</v>
      </c>
      <c r="U21" s="13">
        <f>IF(COUNT('Balance Sheet'!L21)=1,'Balance Sheet'!L21,"")</f>
        <v>5845</v>
      </c>
      <c r="V21" s="14">
        <v>6211</v>
      </c>
      <c r="W21" s="14">
        <v>6734</v>
      </c>
      <c r="X21" s="14">
        <v>6434</v>
      </c>
    </row>
    <row r="22" spans="1:24" ht="22" customHeight="1">
      <c r="A22" s="3" t="s">
        <v>254</v>
      </c>
      <c r="B22" s="1"/>
      <c r="C22" s="14">
        <v>908</v>
      </c>
      <c r="D22" s="14">
        <v>1546</v>
      </c>
      <c r="E22" s="14">
        <v>633</v>
      </c>
      <c r="F22" s="14">
        <v>747</v>
      </c>
      <c r="G22" s="14">
        <v>874</v>
      </c>
      <c r="H22" s="14">
        <v>980</v>
      </c>
      <c r="I22" s="14">
        <v>806</v>
      </c>
      <c r="J22" s="14">
        <v>798</v>
      </c>
      <c r="K22" s="14">
        <v>921</v>
      </c>
      <c r="L22" s="14">
        <v>1068</v>
      </c>
      <c r="M22" s="15"/>
      <c r="N22" s="14">
        <v>1148</v>
      </c>
      <c r="O22" s="14">
        <v>1206</v>
      </c>
      <c r="P22" s="14">
        <v>1069</v>
      </c>
      <c r="Q22" s="13">
        <f>IF(COUNT('Balance Sheet'!K22)=1,'Balance Sheet'!K22,"")</f>
        <v>921</v>
      </c>
      <c r="R22" s="14">
        <v>1246</v>
      </c>
      <c r="S22" s="14">
        <v>1360</v>
      </c>
      <c r="T22" s="14">
        <v>1334</v>
      </c>
      <c r="U22" s="13">
        <f>IF(COUNT('Balance Sheet'!L22)=1,'Balance Sheet'!L22,"")</f>
        <v>1068</v>
      </c>
      <c r="V22" s="14">
        <v>1706</v>
      </c>
      <c r="W22" s="14">
        <v>1829</v>
      </c>
      <c r="X22" s="14">
        <v>1339</v>
      </c>
    </row>
    <row r="23" spans="1:24" ht="22" customHeight="1">
      <c r="A23" s="3" t="s">
        <v>255</v>
      </c>
      <c r="B23" s="1"/>
      <c r="C23" s="14"/>
      <c r="D23" s="14"/>
      <c r="E23" s="14"/>
      <c r="F23" s="14"/>
      <c r="G23" s="14">
        <v>0</v>
      </c>
      <c r="H23" s="14">
        <v>1788</v>
      </c>
      <c r="I23" s="14"/>
      <c r="J23" s="14"/>
      <c r="K23" s="14"/>
      <c r="L23" s="14"/>
      <c r="M23" s="15"/>
      <c r="N23" s="14"/>
      <c r="O23" s="14"/>
      <c r="P23" s="14"/>
      <c r="Q23" s="13" t="str">
        <f>IF(COUNT('Balance Sheet'!K23)=1,'Balance Sheet'!K23,"")</f>
        <v/>
      </c>
      <c r="R23" s="14"/>
      <c r="S23" s="14"/>
      <c r="T23" s="14"/>
      <c r="U23" s="13" t="str">
        <f>IF(COUNT('Balance Sheet'!L23)=1,'Balance Sheet'!L23,"")</f>
        <v/>
      </c>
      <c r="V23" s="14"/>
      <c r="W23" s="14"/>
      <c r="X23" s="14"/>
    </row>
    <row r="24" spans="1:24" ht="24" customHeight="1">
      <c r="A24" s="16" t="s">
        <v>256</v>
      </c>
      <c r="B24" s="17"/>
      <c r="C24" s="18">
        <v>26450</v>
      </c>
      <c r="D24" s="18">
        <v>31027</v>
      </c>
      <c r="E24" s="18">
        <v>21893</v>
      </c>
      <c r="F24" s="18">
        <v>17645</v>
      </c>
      <c r="G24" s="18">
        <v>23001</v>
      </c>
      <c r="H24" s="18">
        <v>21783</v>
      </c>
      <c r="I24" s="18">
        <v>21539</v>
      </c>
      <c r="J24" s="18">
        <v>26950</v>
      </c>
      <c r="K24" s="18">
        <v>25826</v>
      </c>
      <c r="L24" s="18">
        <v>27949</v>
      </c>
      <c r="M24" s="20"/>
      <c r="N24" s="18">
        <v>26005</v>
      </c>
      <c r="O24" s="18">
        <v>25703</v>
      </c>
      <c r="P24" s="18">
        <v>26852</v>
      </c>
      <c r="Q24" s="19">
        <f>IF(COUNT('Balance Sheet'!K24)=1,'Balance Sheet'!K24,"")</f>
        <v>25826</v>
      </c>
      <c r="R24" s="18">
        <v>26288</v>
      </c>
      <c r="S24" s="18">
        <v>28210</v>
      </c>
      <c r="T24" s="18">
        <v>28722</v>
      </c>
      <c r="U24" s="19">
        <f>IF(COUNT('Balance Sheet'!L24)=1,'Balance Sheet'!L24,"")</f>
        <v>27949</v>
      </c>
      <c r="V24" s="18">
        <v>30916</v>
      </c>
      <c r="W24" s="18">
        <v>32775</v>
      </c>
      <c r="X24" s="18">
        <v>32559</v>
      </c>
    </row>
    <row r="25" spans="1:24" ht="24" customHeight="1">
      <c r="A25" s="177" t="s">
        <v>257</v>
      </c>
      <c r="B25" s="178"/>
      <c r="C25" s="179"/>
      <c r="D25" s="179"/>
      <c r="E25" s="179"/>
      <c r="F25" s="179"/>
      <c r="G25" s="179"/>
      <c r="H25" s="179"/>
      <c r="I25" s="179"/>
      <c r="J25" s="179"/>
      <c r="K25" s="179"/>
      <c r="L25" s="179"/>
      <c r="M25" s="12"/>
      <c r="N25" s="179"/>
      <c r="O25" s="179"/>
      <c r="P25" s="179"/>
      <c r="Q25" s="179"/>
      <c r="R25" s="179"/>
      <c r="S25" s="179"/>
      <c r="T25" s="179"/>
      <c r="U25" s="179"/>
      <c r="V25" s="179"/>
      <c r="W25" s="179"/>
      <c r="X25" s="179"/>
    </row>
    <row r="26" spans="1:24" ht="22" customHeight="1">
      <c r="A26" s="3" t="s">
        <v>258</v>
      </c>
      <c r="B26" s="1"/>
      <c r="C26" s="14"/>
      <c r="D26" s="14"/>
      <c r="E26" s="14"/>
      <c r="F26" s="14"/>
      <c r="G26" s="14"/>
      <c r="H26" s="14"/>
      <c r="I26" s="14"/>
      <c r="J26" s="14"/>
      <c r="K26" s="14"/>
      <c r="L26" s="14"/>
      <c r="M26" s="15"/>
      <c r="N26" s="14">
        <v>54510</v>
      </c>
      <c r="O26" s="14">
        <v>55040</v>
      </c>
      <c r="P26" s="14">
        <v>55466</v>
      </c>
      <c r="Q26" s="13" t="str">
        <f>IF(COUNT('Balance Sheet'!K26)=1,'Balance Sheet'!K26,"")</f>
        <v/>
      </c>
      <c r="R26" s="14">
        <v>56942</v>
      </c>
      <c r="S26" s="14">
        <v>58469</v>
      </c>
      <c r="T26" s="14">
        <v>59309</v>
      </c>
      <c r="U26" s="13" t="str">
        <f>IF(COUNT('Balance Sheet'!L26)=1,'Balance Sheet'!L26,"")</f>
        <v/>
      </c>
      <c r="V26" s="14">
        <v>61477</v>
      </c>
      <c r="W26" s="14">
        <v>61950</v>
      </c>
      <c r="X26" s="14">
        <v>62383</v>
      </c>
    </row>
    <row r="27" spans="1:24" ht="22" customHeight="1">
      <c r="A27" s="3" t="s">
        <v>259</v>
      </c>
      <c r="B27" s="1"/>
      <c r="C27" s="14"/>
      <c r="D27" s="14"/>
      <c r="E27" s="14"/>
      <c r="F27" s="14"/>
      <c r="G27" s="14"/>
      <c r="H27" s="14"/>
      <c r="I27" s="14"/>
      <c r="J27" s="14"/>
      <c r="K27" s="14"/>
      <c r="L27" s="14"/>
      <c r="M27" s="15"/>
      <c r="N27" s="14">
        <v>-27718</v>
      </c>
      <c r="O27" s="14">
        <v>-27998</v>
      </c>
      <c r="P27" s="14">
        <v>-28278</v>
      </c>
      <c r="Q27" s="13" t="str">
        <f>IF(COUNT('Balance Sheet'!K27)=1,'Balance Sheet'!K27,"")</f>
        <v/>
      </c>
      <c r="R27" s="14">
        <v>-28729</v>
      </c>
      <c r="S27" s="14">
        <v>-29672</v>
      </c>
      <c r="T27" s="14">
        <v>-30256</v>
      </c>
      <c r="U27" s="13" t="str">
        <f>IF(COUNT('Balance Sheet'!L27)=1,'Balance Sheet'!L27,"")</f>
        <v/>
      </c>
      <c r="V27" s="14">
        <v>-31670</v>
      </c>
      <c r="W27" s="14">
        <v>-32179</v>
      </c>
      <c r="X27" s="14">
        <v>-32652</v>
      </c>
    </row>
    <row r="28" spans="1:24" ht="24" customHeight="1">
      <c r="A28" s="16" t="s">
        <v>260</v>
      </c>
      <c r="B28" s="17"/>
      <c r="C28" s="18">
        <v>16591</v>
      </c>
      <c r="D28" s="18">
        <v>17240</v>
      </c>
      <c r="E28" s="18">
        <v>17589</v>
      </c>
      <c r="F28" s="18">
        <v>19305</v>
      </c>
      <c r="G28" s="18">
        <v>21369</v>
      </c>
      <c r="H28" s="18">
        <v>22407</v>
      </c>
      <c r="I28" s="18">
        <v>24291</v>
      </c>
      <c r="J28" s="18">
        <v>27039</v>
      </c>
      <c r="K28" s="18">
        <v>28008</v>
      </c>
      <c r="L28" s="18">
        <v>29905</v>
      </c>
      <c r="M28" s="20"/>
      <c r="N28" s="18">
        <v>26792</v>
      </c>
      <c r="O28" s="18">
        <v>27042</v>
      </c>
      <c r="P28" s="18">
        <v>27188</v>
      </c>
      <c r="Q28" s="19">
        <f>IF(COUNT('Balance Sheet'!K28)=1,'Balance Sheet'!K28,"")</f>
        <v>28008</v>
      </c>
      <c r="R28" s="18">
        <v>28213</v>
      </c>
      <c r="S28" s="18">
        <v>28797</v>
      </c>
      <c r="T28" s="18">
        <v>29053</v>
      </c>
      <c r="U28" s="19">
        <f>IF(COUNT('Balance Sheet'!L28)=1,'Balance Sheet'!L28,"")</f>
        <v>29905</v>
      </c>
      <c r="V28" s="18">
        <v>29807</v>
      </c>
      <c r="W28" s="18">
        <v>29771</v>
      </c>
      <c r="X28" s="18">
        <v>29731</v>
      </c>
    </row>
    <row r="29" spans="1:24" ht="22" customHeight="1">
      <c r="A29" s="3" t="s">
        <v>261</v>
      </c>
      <c r="B29" s="1"/>
      <c r="C29" s="14">
        <v>1237</v>
      </c>
      <c r="D29" s="14">
        <v>1268</v>
      </c>
      <c r="E29" s="14">
        <v>1644</v>
      </c>
      <c r="F29" s="14">
        <v>1433</v>
      </c>
      <c r="G29" s="14">
        <v>1703</v>
      </c>
      <c r="H29" s="14">
        <v>1538</v>
      </c>
      <c r="I29" s="14">
        <v>1277</v>
      </c>
      <c r="J29" s="14">
        <v>1199</v>
      </c>
      <c r="K29" s="14">
        <v>1102</v>
      </c>
      <c r="L29" s="14">
        <v>1219</v>
      </c>
      <c r="M29" s="15"/>
      <c r="N29" s="14">
        <v>1173</v>
      </c>
      <c r="O29" s="14">
        <v>1151</v>
      </c>
      <c r="P29" s="14">
        <v>1132</v>
      </c>
      <c r="Q29" s="13">
        <f>IF(COUNT('Balance Sheet'!K29)=1,'Balance Sheet'!K29,"")</f>
        <v>1102</v>
      </c>
      <c r="R29" s="14">
        <v>1157</v>
      </c>
      <c r="S29" s="14">
        <v>1311</v>
      </c>
      <c r="T29" s="14">
        <v>1241</v>
      </c>
      <c r="U29" s="13">
        <f>IF(COUNT('Balance Sheet'!L29)=1,'Balance Sheet'!L29,"")</f>
        <v>1219</v>
      </c>
      <c r="V29" s="14">
        <v>1209</v>
      </c>
      <c r="W29" s="14">
        <v>1187</v>
      </c>
      <c r="X29" s="14">
        <v>1165</v>
      </c>
    </row>
    <row r="30" spans="1:24" ht="22" customHeight="1">
      <c r="A30" s="3" t="s">
        <v>262</v>
      </c>
      <c r="B30" s="1"/>
      <c r="C30" s="14">
        <v>14430</v>
      </c>
      <c r="D30" s="14">
        <v>14744</v>
      </c>
      <c r="E30" s="14">
        <v>14808</v>
      </c>
      <c r="F30" s="14">
        <v>15501</v>
      </c>
      <c r="G30" s="14">
        <v>18757</v>
      </c>
      <c r="H30" s="14">
        <v>18381</v>
      </c>
      <c r="I30" s="14">
        <v>18202</v>
      </c>
      <c r="J30" s="14">
        <v>17728</v>
      </c>
      <c r="K30" s="14">
        <v>17534</v>
      </c>
      <c r="L30" s="14">
        <v>18916</v>
      </c>
      <c r="M30" s="15"/>
      <c r="N30" s="14">
        <v>17646</v>
      </c>
      <c r="O30" s="14">
        <v>17648</v>
      </c>
      <c r="P30" s="14">
        <v>17709</v>
      </c>
      <c r="Q30" s="13">
        <f>IF(COUNT('Balance Sheet'!K30)=1,'Balance Sheet'!K30,"")</f>
        <v>17534</v>
      </c>
      <c r="R30" s="14">
        <v>18364</v>
      </c>
      <c r="S30" s="14">
        <v>18952</v>
      </c>
      <c r="T30" s="14">
        <v>18845</v>
      </c>
      <c r="U30" s="13">
        <f>IF(COUNT('Balance Sheet'!L30)=1,'Balance Sheet'!L30,"")</f>
        <v>18916</v>
      </c>
      <c r="V30" s="14">
        <v>19021</v>
      </c>
      <c r="W30" s="14">
        <v>19093</v>
      </c>
      <c r="X30" s="14">
        <v>18884</v>
      </c>
    </row>
    <row r="31" spans="1:24" ht="22" customHeight="1">
      <c r="A31" s="3" t="s">
        <v>263</v>
      </c>
      <c r="B31" s="1"/>
      <c r="C31" s="14">
        <v>12196</v>
      </c>
      <c r="D31" s="14">
        <v>12570</v>
      </c>
      <c r="E31" s="14">
        <v>14181</v>
      </c>
      <c r="F31" s="14">
        <v>14610</v>
      </c>
      <c r="G31" s="14">
        <v>17612</v>
      </c>
      <c r="H31" s="14">
        <v>17127</v>
      </c>
      <c r="I31" s="14">
        <v>14309</v>
      </c>
      <c r="J31" s="14">
        <v>13730</v>
      </c>
      <c r="K31" s="14">
        <v>13699</v>
      </c>
      <c r="L31" s="14">
        <v>13847</v>
      </c>
      <c r="M31" s="15"/>
      <c r="N31" s="14">
        <v>13680</v>
      </c>
      <c r="O31" s="14">
        <v>13675</v>
      </c>
      <c r="P31" s="14">
        <v>13725</v>
      </c>
      <c r="Q31" s="13">
        <f>IF(COUNT('Balance Sheet'!K31)=1,'Balance Sheet'!K31,"")</f>
        <v>13699</v>
      </c>
      <c r="R31" s="14">
        <v>14206</v>
      </c>
      <c r="S31" s="14">
        <v>14212</v>
      </c>
      <c r="T31" s="14">
        <v>13611</v>
      </c>
      <c r="U31" s="13">
        <f>IF(COUNT('Balance Sheet'!L31)=1,'Balance Sheet'!L31,"")</f>
        <v>13847</v>
      </c>
      <c r="V31" s="14">
        <v>13934</v>
      </c>
      <c r="W31" s="14">
        <v>13990</v>
      </c>
      <c r="X31" s="14">
        <v>13977</v>
      </c>
    </row>
    <row r="32" spans="1:24" ht="22" customHeight="1">
      <c r="A32" s="3" t="s">
        <v>264</v>
      </c>
      <c r="B32" s="1"/>
      <c r="C32" s="14">
        <v>26626</v>
      </c>
      <c r="D32" s="14">
        <v>27314</v>
      </c>
      <c r="E32" s="14">
        <v>28989</v>
      </c>
      <c r="F32" s="14"/>
      <c r="G32" s="14"/>
      <c r="H32" s="14"/>
      <c r="I32" s="14"/>
      <c r="J32" s="14"/>
      <c r="K32" s="14"/>
      <c r="L32" s="14"/>
      <c r="M32" s="15"/>
      <c r="N32" s="14"/>
      <c r="O32" s="14"/>
      <c r="P32" s="14"/>
      <c r="Q32" s="13" t="str">
        <f>IF(COUNT('Balance Sheet'!K32)=1,'Balance Sheet'!K32,"")</f>
        <v/>
      </c>
      <c r="R32" s="14"/>
      <c r="S32" s="14"/>
      <c r="T32" s="14"/>
      <c r="U32" s="13" t="str">
        <f>IF(COUNT('Balance Sheet'!L32)=1,'Balance Sheet'!L32,"")</f>
        <v/>
      </c>
      <c r="V32" s="14"/>
      <c r="W32" s="14"/>
      <c r="X32" s="14"/>
    </row>
    <row r="33" spans="1:24" ht="22" customHeight="1">
      <c r="A33" s="3" t="s">
        <v>265</v>
      </c>
      <c r="B33" s="1"/>
      <c r="C33" s="14">
        <v>1950</v>
      </c>
      <c r="D33" s="14">
        <v>2042</v>
      </c>
      <c r="E33" s="14">
        <v>2409</v>
      </c>
      <c r="F33" s="14">
        <v>2683</v>
      </c>
      <c r="G33" s="14">
        <v>2792</v>
      </c>
      <c r="H33" s="14">
        <v>2350</v>
      </c>
      <c r="I33" s="14">
        <v>3073</v>
      </c>
      <c r="J33" s="14">
        <v>2714</v>
      </c>
      <c r="K33" s="14">
        <v>1985</v>
      </c>
      <c r="L33" s="14">
        <v>2038</v>
      </c>
      <c r="M33" s="15"/>
      <c r="N33" s="14">
        <v>2734</v>
      </c>
      <c r="O33" s="14">
        <v>2674</v>
      </c>
      <c r="P33" s="14">
        <v>2645</v>
      </c>
      <c r="Q33" s="13">
        <f>IF(COUNT('Balance Sheet'!K33)=1,'Balance Sheet'!K33,"")</f>
        <v>1985</v>
      </c>
      <c r="R33" s="14">
        <v>1996</v>
      </c>
      <c r="S33" s="14">
        <v>2061</v>
      </c>
      <c r="T33" s="14">
        <v>2084</v>
      </c>
      <c r="U33" s="13">
        <f>IF(COUNT('Balance Sheet'!L33)=1,'Balance Sheet'!L33,"")</f>
        <v>2038</v>
      </c>
      <c r="V33" s="14">
        <v>2135</v>
      </c>
      <c r="W33" s="14">
        <v>2180</v>
      </c>
      <c r="X33" s="14">
        <v>2215</v>
      </c>
    </row>
    <row r="34" spans="1:24" ht="22" customHeight="1">
      <c r="A34" s="3" t="s">
        <v>266</v>
      </c>
      <c r="B34" s="1"/>
      <c r="C34" s="14"/>
      <c r="D34" s="14">
        <v>0</v>
      </c>
      <c r="E34" s="14">
        <v>4364</v>
      </c>
      <c r="F34" s="14">
        <v>4359</v>
      </c>
      <c r="G34" s="14">
        <v>4372</v>
      </c>
      <c r="H34" s="14">
        <v>4310</v>
      </c>
      <c r="I34" s="14">
        <v>4204</v>
      </c>
      <c r="J34" s="14">
        <v>4474</v>
      </c>
      <c r="K34" s="14">
        <v>4362</v>
      </c>
      <c r="L34" s="14">
        <v>4541</v>
      </c>
      <c r="M34" s="15"/>
      <c r="N34" s="14">
        <v>4444</v>
      </c>
      <c r="O34" s="14">
        <v>4465</v>
      </c>
      <c r="P34" s="14">
        <v>4321</v>
      </c>
      <c r="Q34" s="13">
        <f>IF(COUNT('Balance Sheet'!K34)=1,'Balance Sheet'!K34,"")</f>
        <v>4362</v>
      </c>
      <c r="R34" s="14">
        <v>4350</v>
      </c>
      <c r="S34" s="14">
        <v>4293</v>
      </c>
      <c r="T34" s="14">
        <v>4341</v>
      </c>
      <c r="U34" s="13">
        <f>IF(COUNT('Balance Sheet'!L34)=1,'Balance Sheet'!L34,"")</f>
        <v>4541</v>
      </c>
      <c r="V34" s="14">
        <v>4560</v>
      </c>
      <c r="W34" s="14">
        <v>4455</v>
      </c>
      <c r="X34" s="14">
        <v>4328</v>
      </c>
    </row>
    <row r="35" spans="1:24" ht="22" customHeight="1">
      <c r="A35" s="3" t="s">
        <v>267</v>
      </c>
      <c r="B35" s="1"/>
      <c r="C35" s="14">
        <v>636</v>
      </c>
      <c r="D35" s="14">
        <v>913</v>
      </c>
      <c r="E35" s="14">
        <v>760</v>
      </c>
      <c r="F35" s="14">
        <v>3011</v>
      </c>
      <c r="G35" s="14">
        <v>3312</v>
      </c>
      <c r="H35" s="14">
        <v>4481</v>
      </c>
      <c r="I35" s="14">
        <v>5292</v>
      </c>
      <c r="J35" s="14">
        <v>6661</v>
      </c>
      <c r="K35" s="14">
        <v>6951</v>
      </c>
      <c r="L35" s="14">
        <v>8984</v>
      </c>
      <c r="M35" s="15"/>
      <c r="N35" s="14">
        <v>7566</v>
      </c>
      <c r="O35" s="14">
        <v>7175</v>
      </c>
      <c r="P35" s="14">
        <v>6941</v>
      </c>
      <c r="Q35" s="13">
        <f>IF(COUNT('Balance Sheet'!K35)=1,'Balance Sheet'!K35,"")</f>
        <v>6951</v>
      </c>
      <c r="R35" s="14">
        <v>7163</v>
      </c>
      <c r="S35" s="14">
        <v>7509</v>
      </c>
      <c r="T35" s="14">
        <v>8661</v>
      </c>
      <c r="U35" s="13">
        <f>IF(COUNT('Balance Sheet'!L35)=1,'Balance Sheet'!L35,"")</f>
        <v>8984</v>
      </c>
      <c r="V35" s="14">
        <v>9064</v>
      </c>
      <c r="W35" s="14">
        <v>8738</v>
      </c>
      <c r="X35" s="14">
        <v>9117</v>
      </c>
    </row>
    <row r="36" spans="1:24" ht="24" customHeight="1">
      <c r="A36" s="16" t="s">
        <v>268</v>
      </c>
      <c r="B36" s="17"/>
      <c r="C36" s="18">
        <v>73490</v>
      </c>
      <c r="D36" s="18">
        <v>79804</v>
      </c>
      <c r="E36" s="18">
        <v>77648</v>
      </c>
      <c r="F36" s="18">
        <v>78547</v>
      </c>
      <c r="G36" s="18">
        <v>92918</v>
      </c>
      <c r="H36" s="18">
        <v>92377</v>
      </c>
      <c r="I36" s="18">
        <v>92187</v>
      </c>
      <c r="J36" s="18">
        <v>100495</v>
      </c>
      <c r="K36" s="18">
        <v>99467</v>
      </c>
      <c r="L36" s="18">
        <v>107399</v>
      </c>
      <c r="M36" s="20"/>
      <c r="N36" s="18">
        <v>100040</v>
      </c>
      <c r="O36" s="18">
        <v>99533</v>
      </c>
      <c r="P36" s="18">
        <v>100513</v>
      </c>
      <c r="Q36" s="19">
        <f>IF(COUNT('Balance Sheet'!K36)=1,'Balance Sheet'!K36,"")</f>
        <v>99467</v>
      </c>
      <c r="R36" s="18">
        <v>101737</v>
      </c>
      <c r="S36" s="18">
        <v>105345</v>
      </c>
      <c r="T36" s="18">
        <v>106558</v>
      </c>
      <c r="U36" s="19">
        <f>IF(COUNT('Balance Sheet'!L36)=1,'Balance Sheet'!L36,"")</f>
        <v>107399</v>
      </c>
      <c r="V36" s="18">
        <v>110646</v>
      </c>
      <c r="W36" s="18">
        <v>112189</v>
      </c>
      <c r="X36" s="18">
        <v>111976</v>
      </c>
    </row>
    <row r="37" spans="1:24" ht="24" customHeight="1">
      <c r="A37" s="177" t="s">
        <v>269</v>
      </c>
      <c r="B37" s="178"/>
      <c r="C37" s="179"/>
      <c r="D37" s="179"/>
      <c r="E37" s="179"/>
      <c r="F37" s="179"/>
      <c r="G37" s="179"/>
      <c r="H37" s="179"/>
      <c r="I37" s="179"/>
      <c r="J37" s="179"/>
      <c r="K37" s="179"/>
      <c r="L37" s="179"/>
      <c r="M37" s="12"/>
      <c r="N37" s="179"/>
      <c r="O37" s="179"/>
      <c r="P37" s="179"/>
      <c r="Q37" s="179"/>
      <c r="R37" s="179"/>
      <c r="S37" s="179"/>
      <c r="T37" s="179"/>
      <c r="U37" s="179"/>
      <c r="V37" s="179"/>
      <c r="W37" s="179"/>
      <c r="X37" s="179"/>
    </row>
    <row r="38" spans="1:24" ht="36" customHeight="1">
      <c r="A38" s="3" t="s">
        <v>270</v>
      </c>
      <c r="B38" s="1"/>
      <c r="C38" s="14">
        <v>6892</v>
      </c>
      <c r="D38" s="14">
        <v>5485</v>
      </c>
      <c r="E38" s="14">
        <v>4026</v>
      </c>
      <c r="F38" s="14">
        <v>2920</v>
      </c>
      <c r="G38" s="14">
        <v>3780</v>
      </c>
      <c r="H38" s="14">
        <v>4308</v>
      </c>
      <c r="I38" s="14">
        <v>3414</v>
      </c>
      <c r="J38" s="14">
        <v>6510</v>
      </c>
      <c r="K38" s="14">
        <v>7082</v>
      </c>
      <c r="L38" s="14">
        <v>6861</v>
      </c>
      <c r="M38" s="15"/>
      <c r="N38" s="14">
        <v>8161</v>
      </c>
      <c r="O38" s="14">
        <v>8289</v>
      </c>
      <c r="P38" s="14">
        <v>6524</v>
      </c>
      <c r="Q38" s="13">
        <f>IF(COUNT('Balance Sheet'!K38)=1,'Balance Sheet'!K38,"")</f>
        <v>7082</v>
      </c>
      <c r="R38" s="14">
        <v>9099</v>
      </c>
      <c r="S38" s="14">
        <v>12056</v>
      </c>
      <c r="T38" s="14">
        <v>6736</v>
      </c>
      <c r="U38" s="13">
        <f>IF(COUNT('Balance Sheet'!L38)=1,'Balance Sheet'!L38,"")</f>
        <v>6861</v>
      </c>
      <c r="V38" s="14">
        <v>10151</v>
      </c>
      <c r="W38" s="14">
        <v>10602</v>
      </c>
      <c r="X38" s="14">
        <v>9223</v>
      </c>
    </row>
    <row r="39" spans="1:24" ht="22" customHeight="1">
      <c r="A39" s="3" t="s">
        <v>271</v>
      </c>
      <c r="B39" s="1"/>
      <c r="C39" s="14">
        <v>14243</v>
      </c>
      <c r="D39" s="14">
        <v>15017</v>
      </c>
      <c r="E39" s="14">
        <v>18112</v>
      </c>
      <c r="F39" s="14">
        <v>17541</v>
      </c>
      <c r="G39" s="14">
        <v>19592</v>
      </c>
      <c r="H39" s="14">
        <v>21159</v>
      </c>
      <c r="I39" s="14">
        <v>23371</v>
      </c>
      <c r="J39" s="14">
        <v>25137</v>
      </c>
      <c r="K39" s="14">
        <v>24454</v>
      </c>
      <c r="L39" s="14">
        <v>25903</v>
      </c>
      <c r="M39" s="15"/>
      <c r="N39" s="14">
        <v>22073</v>
      </c>
      <c r="O39" s="14">
        <v>22859</v>
      </c>
      <c r="P39" s="14">
        <v>23791</v>
      </c>
      <c r="Q39" s="13">
        <f>IF(COUNT('Balance Sheet'!K39)=1,'Balance Sheet'!K39,"")</f>
        <v>24454</v>
      </c>
      <c r="R39" s="14">
        <v>22412</v>
      </c>
      <c r="S39" s="14">
        <v>24340</v>
      </c>
      <c r="T39" s="14">
        <v>24763</v>
      </c>
      <c r="U39" s="13">
        <f>IF(COUNT('Balance Sheet'!L39)=1,'Balance Sheet'!L39,"")</f>
        <v>25903</v>
      </c>
      <c r="V39" s="14">
        <v>24326</v>
      </c>
      <c r="W39" s="14">
        <v>24504</v>
      </c>
      <c r="X39" s="14">
        <v>25306</v>
      </c>
    </row>
    <row r="40" spans="1:24" ht="22" customHeight="1">
      <c r="A40" s="3" t="s">
        <v>272</v>
      </c>
      <c r="B40" s="1"/>
      <c r="C40" s="14"/>
      <c r="D40" s="14"/>
      <c r="E40" s="14"/>
      <c r="F40" s="14"/>
      <c r="G40" s="14">
        <v>0</v>
      </c>
      <c r="H40" s="14">
        <v>753</v>
      </c>
      <c r="I40" s="14"/>
      <c r="J40" s="14"/>
      <c r="K40" s="14"/>
      <c r="L40" s="14"/>
      <c r="M40" s="15"/>
      <c r="N40" s="14"/>
      <c r="O40" s="14"/>
      <c r="P40" s="14"/>
      <c r="Q40" s="13" t="str">
        <f>IF(COUNT('Balance Sheet'!K40)=1,'Balance Sheet'!K40,"")</f>
        <v/>
      </c>
      <c r="R40" s="14"/>
      <c r="S40" s="14"/>
      <c r="T40" s="14"/>
      <c r="U40" s="13" t="str">
        <f>IF(COUNT('Balance Sheet'!L40)=1,'Balance Sheet'!L40,"")</f>
        <v/>
      </c>
      <c r="V40" s="14"/>
      <c r="W40" s="14"/>
      <c r="X40" s="14"/>
    </row>
    <row r="41" spans="1:24" ht="24" customHeight="1">
      <c r="A41" s="16" t="s">
        <v>273</v>
      </c>
      <c r="B41" s="17"/>
      <c r="C41" s="18">
        <v>21135</v>
      </c>
      <c r="D41" s="18">
        <v>20502</v>
      </c>
      <c r="E41" s="18">
        <v>22138</v>
      </c>
      <c r="F41" s="18">
        <v>20461</v>
      </c>
      <c r="G41" s="18">
        <v>23372</v>
      </c>
      <c r="H41" s="18">
        <v>26220</v>
      </c>
      <c r="I41" s="18">
        <v>26785</v>
      </c>
      <c r="J41" s="18">
        <v>31647</v>
      </c>
      <c r="K41" s="18">
        <v>31536</v>
      </c>
      <c r="L41" s="18">
        <v>32764</v>
      </c>
      <c r="M41" s="20"/>
      <c r="N41" s="18">
        <v>30234</v>
      </c>
      <c r="O41" s="18">
        <v>31148</v>
      </c>
      <c r="P41" s="18">
        <v>30315</v>
      </c>
      <c r="Q41" s="19">
        <f>IF(COUNT('Balance Sheet'!K41)=1,'Balance Sheet'!K41,"")</f>
        <v>31536</v>
      </c>
      <c r="R41" s="18">
        <v>31511</v>
      </c>
      <c r="S41" s="18">
        <v>36396</v>
      </c>
      <c r="T41" s="18">
        <v>31499</v>
      </c>
      <c r="U41" s="19">
        <f>IF(COUNT('Balance Sheet'!L41)=1,'Balance Sheet'!L41,"")</f>
        <v>32764</v>
      </c>
      <c r="V41" s="18">
        <v>34477</v>
      </c>
      <c r="W41" s="18">
        <v>35106</v>
      </c>
      <c r="X41" s="18">
        <v>34529</v>
      </c>
    </row>
    <row r="42" spans="1:24" ht="24" customHeight="1">
      <c r="A42" s="177" t="s">
        <v>274</v>
      </c>
      <c r="B42" s="178"/>
      <c r="C42" s="179"/>
      <c r="D42" s="179"/>
      <c r="E42" s="179"/>
      <c r="F42" s="179"/>
      <c r="G42" s="179"/>
      <c r="H42" s="179"/>
      <c r="I42" s="179"/>
      <c r="J42" s="179"/>
      <c r="K42" s="179"/>
      <c r="L42" s="179"/>
      <c r="M42" s="12"/>
      <c r="N42" s="179"/>
      <c r="O42" s="179"/>
      <c r="P42" s="179"/>
      <c r="Q42" s="179"/>
      <c r="R42" s="179"/>
      <c r="S42" s="179"/>
      <c r="T42" s="179"/>
      <c r="U42" s="179"/>
      <c r="V42" s="179"/>
      <c r="W42" s="179"/>
      <c r="X42" s="179"/>
    </row>
    <row r="43" spans="1:24" ht="22" customHeight="1">
      <c r="A43" s="3" t="s">
        <v>275</v>
      </c>
      <c r="B43" s="1"/>
      <c r="C43" s="14">
        <v>30053</v>
      </c>
      <c r="D43" s="14">
        <v>33796</v>
      </c>
      <c r="E43" s="14">
        <v>28295</v>
      </c>
      <c r="F43" s="14">
        <v>29148</v>
      </c>
      <c r="G43" s="14">
        <v>40370</v>
      </c>
      <c r="H43" s="14">
        <v>36026</v>
      </c>
      <c r="I43" s="14">
        <v>35657</v>
      </c>
      <c r="J43" s="14">
        <v>37595</v>
      </c>
      <c r="K43" s="14">
        <v>37224</v>
      </c>
      <c r="L43" s="14">
        <v>42321</v>
      </c>
      <c r="M43" s="15"/>
      <c r="N43" s="14">
        <v>37707</v>
      </c>
      <c r="O43" s="14">
        <v>36638</v>
      </c>
      <c r="P43" s="14">
        <v>38490</v>
      </c>
      <c r="Q43" s="13">
        <f>IF(COUNT('Balance Sheet'!K43)=1,'Balance Sheet'!K43,"")</f>
        <v>37224</v>
      </c>
      <c r="R43" s="14">
        <v>39419</v>
      </c>
      <c r="S43" s="14">
        <v>39328</v>
      </c>
      <c r="T43" s="14">
        <v>44113</v>
      </c>
      <c r="U43" s="13">
        <f>IF(COUNT('Balance Sheet'!L43)=1,'Balance Sheet'!L43,"")</f>
        <v>42321</v>
      </c>
      <c r="V43" s="14">
        <v>42577</v>
      </c>
      <c r="W43" s="14">
        <v>42612</v>
      </c>
      <c r="X43" s="14">
        <v>42658</v>
      </c>
    </row>
    <row r="44" spans="1:24" ht="22" customHeight="1">
      <c r="A44" s="3" t="s">
        <v>276</v>
      </c>
      <c r="B44" s="1"/>
      <c r="C44" s="14">
        <v>4434</v>
      </c>
      <c r="D44" s="14">
        <v>3242</v>
      </c>
      <c r="E44" s="14">
        <v>3499</v>
      </c>
      <c r="F44" s="14">
        <v>4091</v>
      </c>
      <c r="G44" s="14">
        <v>4284</v>
      </c>
      <c r="H44" s="14">
        <v>4826</v>
      </c>
      <c r="I44" s="14">
        <v>4133</v>
      </c>
      <c r="J44" s="14">
        <v>3895</v>
      </c>
      <c r="K44" s="14">
        <v>3484</v>
      </c>
      <c r="L44" s="14">
        <v>3802</v>
      </c>
      <c r="M44" s="15"/>
      <c r="N44" s="14">
        <v>4087</v>
      </c>
      <c r="O44" s="14">
        <v>3908</v>
      </c>
      <c r="P44" s="14">
        <v>3684</v>
      </c>
      <c r="Q44" s="13">
        <f>IF(COUNT('Balance Sheet'!K44)=1,'Balance Sheet'!K44,"")</f>
        <v>3484</v>
      </c>
      <c r="R44" s="14">
        <v>3541</v>
      </c>
      <c r="S44" s="14">
        <v>3102</v>
      </c>
      <c r="T44" s="14">
        <v>3474</v>
      </c>
      <c r="U44" s="13">
        <f>IF(COUNT('Balance Sheet'!L44)=1,'Balance Sheet'!L44,"")</f>
        <v>3802</v>
      </c>
      <c r="V44" s="14">
        <v>4048</v>
      </c>
      <c r="W44" s="14">
        <v>4055</v>
      </c>
      <c r="X44" s="14">
        <v>4107</v>
      </c>
    </row>
    <row r="45" spans="1:24" ht="22" customHeight="1">
      <c r="A45" s="3" t="s">
        <v>277</v>
      </c>
      <c r="B45" s="1"/>
      <c r="C45" s="14">
        <v>6669</v>
      </c>
      <c r="D45" s="14">
        <v>11283</v>
      </c>
      <c r="E45" s="14">
        <v>9114</v>
      </c>
      <c r="F45" s="14">
        <v>9979</v>
      </c>
      <c r="G45" s="14">
        <v>11340</v>
      </c>
      <c r="H45" s="14">
        <v>9154</v>
      </c>
      <c r="I45" s="14">
        <v>8339</v>
      </c>
      <c r="J45" s="14">
        <v>8721</v>
      </c>
      <c r="K45" s="14">
        <v>9052</v>
      </c>
      <c r="L45" s="14">
        <v>7965</v>
      </c>
      <c r="M45" s="15"/>
      <c r="N45" s="14">
        <v>8822</v>
      </c>
      <c r="O45" s="14">
        <v>8259</v>
      </c>
      <c r="P45" s="14">
        <v>8419</v>
      </c>
      <c r="Q45" s="13">
        <f>IF(COUNT('Balance Sheet'!K45)=1,'Balance Sheet'!K45,"")</f>
        <v>9052</v>
      </c>
      <c r="R45" s="14">
        <v>8737</v>
      </c>
      <c r="S45" s="14">
        <v>7960</v>
      </c>
      <c r="T45" s="14">
        <v>7929</v>
      </c>
      <c r="U45" s="13">
        <f>IF(COUNT('Balance Sheet'!L45)=1,'Balance Sheet'!L45,"")</f>
        <v>7965</v>
      </c>
      <c r="V45" s="14">
        <v>8008</v>
      </c>
      <c r="W45" s="14">
        <v>8146</v>
      </c>
      <c r="X45" s="14">
        <v>8195</v>
      </c>
    </row>
    <row r="46" spans="1:24" ht="24" customHeight="1">
      <c r="A46" s="16" t="s">
        <v>278</v>
      </c>
      <c r="B46" s="17"/>
      <c r="C46" s="18">
        <v>62291</v>
      </c>
      <c r="D46" s="18">
        <v>68823</v>
      </c>
      <c r="E46" s="18">
        <v>63046</v>
      </c>
      <c r="F46" s="18">
        <v>63679</v>
      </c>
      <c r="G46" s="18">
        <v>79366</v>
      </c>
      <c r="H46" s="18">
        <v>76226</v>
      </c>
      <c r="I46" s="18">
        <v>74914</v>
      </c>
      <c r="J46" s="18">
        <v>81858</v>
      </c>
      <c r="K46" s="18">
        <v>81296</v>
      </c>
      <c r="L46" s="18">
        <v>86852</v>
      </c>
      <c r="M46" s="20"/>
      <c r="N46" s="18">
        <v>80850</v>
      </c>
      <c r="O46" s="18">
        <v>79953</v>
      </c>
      <c r="P46" s="18">
        <v>80908</v>
      </c>
      <c r="Q46" s="19">
        <f>IF(COUNT('Balance Sheet'!K46)=1,'Balance Sheet'!K46,"")</f>
        <v>81296</v>
      </c>
      <c r="R46" s="18">
        <v>83208</v>
      </c>
      <c r="S46" s="18">
        <v>86786</v>
      </c>
      <c r="T46" s="18">
        <v>87015</v>
      </c>
      <c r="U46" s="19">
        <f>IF(COUNT('Balance Sheet'!L46)=1,'Balance Sheet'!L46,"")</f>
        <v>86852</v>
      </c>
      <c r="V46" s="18">
        <v>89110</v>
      </c>
      <c r="W46" s="18">
        <v>89919</v>
      </c>
      <c r="X46" s="18">
        <v>89489</v>
      </c>
    </row>
    <row r="47" spans="1:24" ht="24" customHeight="1">
      <c r="A47" s="177" t="s">
        <v>279</v>
      </c>
      <c r="B47" s="178"/>
      <c r="C47" s="179"/>
      <c r="D47" s="179"/>
      <c r="E47" s="179"/>
      <c r="F47" s="179"/>
      <c r="G47" s="179"/>
      <c r="H47" s="179"/>
      <c r="I47" s="179"/>
      <c r="J47" s="179"/>
      <c r="K47" s="179"/>
      <c r="L47" s="179"/>
      <c r="M47" s="12"/>
      <c r="N47" s="179"/>
      <c r="O47" s="179"/>
      <c r="P47" s="179"/>
      <c r="Q47" s="179"/>
      <c r="R47" s="179"/>
      <c r="S47" s="179"/>
      <c r="T47" s="179"/>
      <c r="U47" s="179"/>
      <c r="V47" s="179"/>
      <c r="W47" s="179"/>
      <c r="X47" s="179"/>
    </row>
    <row r="48" spans="1:24" ht="22" customHeight="1">
      <c r="A48" s="3" t="s">
        <v>280</v>
      </c>
      <c r="B48" s="1"/>
      <c r="C48" s="14">
        <v>41</v>
      </c>
      <c r="D48" s="14">
        <v>41</v>
      </c>
      <c r="E48" s="14"/>
      <c r="F48" s="14"/>
      <c r="G48" s="14"/>
      <c r="H48" s="14"/>
      <c r="I48" s="14"/>
      <c r="J48" s="14"/>
      <c r="K48" s="14"/>
      <c r="L48" s="14"/>
      <c r="M48" s="15"/>
      <c r="N48" s="14"/>
      <c r="O48" s="14"/>
      <c r="P48" s="14"/>
      <c r="Q48" s="13" t="str">
        <f>IF(COUNT('Balance Sheet'!K48)=1,'Balance Sheet'!K48,"")</f>
        <v/>
      </c>
      <c r="R48" s="14"/>
      <c r="S48" s="14"/>
      <c r="T48" s="14"/>
      <c r="U48" s="13" t="str">
        <f>IF(COUNT('Balance Sheet'!L48)=1,'Balance Sheet'!L48,"")</f>
        <v/>
      </c>
      <c r="V48" s="14"/>
      <c r="W48" s="14"/>
      <c r="X48" s="14"/>
    </row>
    <row r="49" spans="1:24" ht="22" customHeight="1">
      <c r="A49" s="3" t="s">
        <v>281</v>
      </c>
      <c r="B49" s="1"/>
      <c r="C49" s="14">
        <v>-192</v>
      </c>
      <c r="D49" s="14">
        <v>-197</v>
      </c>
      <c r="E49" s="14"/>
      <c r="F49" s="14"/>
      <c r="G49" s="14"/>
      <c r="H49" s="14"/>
      <c r="I49" s="14"/>
      <c r="J49" s="14"/>
      <c r="K49" s="14"/>
      <c r="L49" s="14"/>
      <c r="M49" s="15"/>
      <c r="N49" s="14"/>
      <c r="O49" s="14"/>
      <c r="P49" s="14"/>
      <c r="Q49" s="13" t="str">
        <f>IF(COUNT('Balance Sheet'!K49)=1,'Balance Sheet'!K49,"")</f>
        <v/>
      </c>
      <c r="R49" s="14"/>
      <c r="S49" s="14"/>
      <c r="T49" s="14"/>
      <c r="U49" s="13" t="str">
        <f>IF(COUNT('Balance Sheet'!L49)=1,'Balance Sheet'!L49,"")</f>
        <v/>
      </c>
      <c r="V49" s="14"/>
      <c r="W49" s="14"/>
      <c r="X49" s="14"/>
    </row>
    <row r="50" spans="1:24" ht="22" customHeight="1">
      <c r="A50" s="3" t="s">
        <v>282</v>
      </c>
      <c r="B50" s="1"/>
      <c r="C50" s="14">
        <v>24</v>
      </c>
      <c r="D50" s="14">
        <v>24</v>
      </c>
      <c r="E50" s="14">
        <v>23</v>
      </c>
      <c r="F50" s="14">
        <v>23</v>
      </c>
      <c r="G50" s="14">
        <v>23</v>
      </c>
      <c r="H50" s="14">
        <v>23</v>
      </c>
      <c r="I50" s="14">
        <v>23</v>
      </c>
      <c r="J50" s="14">
        <v>23</v>
      </c>
      <c r="K50" s="14">
        <v>23</v>
      </c>
      <c r="L50" s="14">
        <v>23</v>
      </c>
      <c r="M50" s="15"/>
      <c r="N50" s="14">
        <v>23</v>
      </c>
      <c r="O50" s="14">
        <v>23</v>
      </c>
      <c r="P50" s="14">
        <v>23</v>
      </c>
      <c r="Q50" s="13">
        <f>IF(COUNT('Balance Sheet'!K50)=1,'Balance Sheet'!K50,"")</f>
        <v>23</v>
      </c>
      <c r="R50" s="14">
        <v>23</v>
      </c>
      <c r="S50" s="14">
        <v>23</v>
      </c>
      <c r="T50" s="14">
        <v>23</v>
      </c>
      <c r="U50" s="13">
        <f>IF(COUNT('Balance Sheet'!L50)=1,'Balance Sheet'!L50,"")</f>
        <v>23</v>
      </c>
      <c r="V50" s="14">
        <v>23</v>
      </c>
      <c r="W50" s="14">
        <v>23</v>
      </c>
      <c r="X50" s="14">
        <v>23</v>
      </c>
    </row>
    <row r="51" spans="1:24" ht="22" customHeight="1">
      <c r="A51" s="3" t="s">
        <v>283</v>
      </c>
      <c r="B51" s="1"/>
      <c r="C51" s="14">
        <v>4091</v>
      </c>
      <c r="D51" s="14">
        <v>3996</v>
      </c>
      <c r="E51" s="14">
        <v>3953</v>
      </c>
      <c r="F51" s="14">
        <v>3886</v>
      </c>
      <c r="G51" s="14">
        <v>3910</v>
      </c>
      <c r="H51" s="14">
        <v>4001</v>
      </c>
      <c r="I51" s="14">
        <v>4134</v>
      </c>
      <c r="J51" s="14">
        <v>4261</v>
      </c>
      <c r="K51" s="14">
        <v>4385</v>
      </c>
      <c r="L51" s="14">
        <v>4451</v>
      </c>
      <c r="M51" s="15"/>
      <c r="N51" s="14">
        <v>4132</v>
      </c>
      <c r="O51" s="14">
        <v>4203</v>
      </c>
      <c r="P51" s="14">
        <v>4281</v>
      </c>
      <c r="Q51" s="13">
        <f>IF(COUNT('Balance Sheet'!K51)=1,'Balance Sheet'!K51,"")</f>
        <v>4385</v>
      </c>
      <c r="R51" s="14">
        <v>4274</v>
      </c>
      <c r="S51" s="14">
        <v>4299</v>
      </c>
      <c r="T51" s="14">
        <v>4374</v>
      </c>
      <c r="U51" s="13">
        <f>IF(COUNT('Balance Sheet'!L51)=1,'Balance Sheet'!L51,"")</f>
        <v>4451</v>
      </c>
      <c r="V51" s="14">
        <v>4401</v>
      </c>
      <c r="W51" s="14">
        <v>4447</v>
      </c>
      <c r="X51" s="14">
        <v>4522</v>
      </c>
    </row>
    <row r="52" spans="1:24" ht="22" customHeight="1">
      <c r="A52" s="3" t="s">
        <v>284</v>
      </c>
      <c r="B52" s="1"/>
      <c r="C52" s="14">
        <v>52518</v>
      </c>
      <c r="D52" s="14">
        <v>52839</v>
      </c>
      <c r="E52" s="14">
        <v>59947</v>
      </c>
      <c r="F52" s="14">
        <v>61946</v>
      </c>
      <c r="G52" s="14">
        <v>63443</v>
      </c>
      <c r="H52" s="14">
        <v>65165</v>
      </c>
      <c r="I52" s="14">
        <v>67800</v>
      </c>
      <c r="J52" s="14">
        <v>70035</v>
      </c>
      <c r="K52" s="14">
        <v>72266</v>
      </c>
      <c r="L52" s="14">
        <v>72788</v>
      </c>
      <c r="M52" s="15"/>
      <c r="N52" s="14">
        <v>70331</v>
      </c>
      <c r="O52" s="14">
        <v>71545</v>
      </c>
      <c r="P52" s="14">
        <v>72607</v>
      </c>
      <c r="Q52" s="13">
        <f>IF(COUNT('Balance Sheet'!K52)=1,'Balance Sheet'!K52,"")</f>
        <v>72266</v>
      </c>
      <c r="R52" s="14">
        <v>72238</v>
      </c>
      <c r="S52" s="14">
        <v>71547</v>
      </c>
      <c r="T52" s="14">
        <v>72197</v>
      </c>
      <c r="U52" s="13">
        <f>IF(COUNT('Balance Sheet'!L52)=1,'Balance Sheet'!L52,"")</f>
        <v>72788</v>
      </c>
      <c r="V52" s="14">
        <v>73165</v>
      </c>
      <c r="W52" s="14">
        <v>74116</v>
      </c>
      <c r="X52" s="14">
        <v>75140</v>
      </c>
    </row>
    <row r="53" spans="1:24" ht="22" customHeight="1">
      <c r="A53" s="3" t="s">
        <v>285</v>
      </c>
      <c r="B53" s="1"/>
      <c r="C53" s="14">
        <v>-13919</v>
      </c>
      <c r="D53" s="14">
        <v>-13057</v>
      </c>
      <c r="E53" s="14">
        <v>-15119</v>
      </c>
      <c r="F53" s="14">
        <v>-14300</v>
      </c>
      <c r="G53" s="14">
        <v>-15476</v>
      </c>
      <c r="H53" s="14">
        <v>-14898</v>
      </c>
      <c r="I53" s="14">
        <v>-15302</v>
      </c>
      <c r="J53" s="14">
        <v>-15534</v>
      </c>
      <c r="K53" s="14">
        <v>-17612</v>
      </c>
      <c r="L53" s="14">
        <v>-15024</v>
      </c>
      <c r="M53" s="15"/>
      <c r="N53" s="14">
        <v>-15179</v>
      </c>
      <c r="O53" s="14">
        <v>-15786</v>
      </c>
      <c r="P53" s="14">
        <v>-16652</v>
      </c>
      <c r="Q53" s="13">
        <f>IF(COUNT('Balance Sheet'!K53)=1,'Balance Sheet'!K53,"")</f>
        <v>-17612</v>
      </c>
      <c r="R53" s="14">
        <v>-17078</v>
      </c>
      <c r="S53" s="14">
        <v>-16090</v>
      </c>
      <c r="T53" s="14">
        <v>-15597</v>
      </c>
      <c r="U53" s="13">
        <f>IF(COUNT('Balance Sheet'!L53)=1,'Balance Sheet'!L53,"")</f>
        <v>-15024</v>
      </c>
      <c r="V53" s="14">
        <v>-14342</v>
      </c>
      <c r="W53" s="14">
        <v>-14343</v>
      </c>
      <c r="X53" s="14">
        <v>-14987</v>
      </c>
    </row>
    <row r="54" spans="1:24" ht="22" customHeight="1">
      <c r="A54" s="3" t="s">
        <v>286</v>
      </c>
      <c r="B54" s="1"/>
      <c r="C54" s="14">
        <v>-31468</v>
      </c>
      <c r="D54" s="14">
        <v>-32757</v>
      </c>
      <c r="E54" s="14">
        <v>-34286</v>
      </c>
      <c r="F54" s="14">
        <v>-36769</v>
      </c>
      <c r="G54" s="14">
        <v>-38446</v>
      </c>
      <c r="H54" s="14">
        <v>-38248</v>
      </c>
      <c r="I54" s="14">
        <v>-39506</v>
      </c>
      <c r="J54" s="14">
        <v>-40282</v>
      </c>
      <c r="K54" s="14">
        <v>-41021</v>
      </c>
      <c r="L54" s="14">
        <v>-41832</v>
      </c>
      <c r="M54" s="15"/>
      <c r="N54" s="14">
        <v>-40260</v>
      </c>
      <c r="O54" s="14">
        <v>-40539</v>
      </c>
      <c r="P54" s="14">
        <v>-40806</v>
      </c>
      <c r="Q54" s="13">
        <f>IF(COUNT('Balance Sheet'!K54)=1,'Balance Sheet'!K54,"")</f>
        <v>-41021</v>
      </c>
      <c r="R54" s="14">
        <v>-41068</v>
      </c>
      <c r="S54" s="14">
        <v>-41361</v>
      </c>
      <c r="T54" s="14">
        <v>-41609</v>
      </c>
      <c r="U54" s="13">
        <f>IF(COUNT('Balance Sheet'!L54)=1,'Balance Sheet'!L54,"")</f>
        <v>-41832</v>
      </c>
      <c r="V54" s="14">
        <v>-41864</v>
      </c>
      <c r="W54" s="14">
        <v>-42145</v>
      </c>
      <c r="X54" s="14">
        <v>-42406</v>
      </c>
    </row>
    <row r="55" spans="1:24" ht="24" customHeight="1">
      <c r="A55" s="16" t="s">
        <v>287</v>
      </c>
      <c r="B55" s="17"/>
      <c r="C55" s="18">
        <v>11246</v>
      </c>
      <c r="D55" s="18">
        <v>11045</v>
      </c>
      <c r="E55" s="18">
        <v>14518</v>
      </c>
      <c r="F55" s="18">
        <v>14786</v>
      </c>
      <c r="G55" s="18">
        <v>13454</v>
      </c>
      <c r="H55" s="18">
        <v>16043</v>
      </c>
      <c r="I55" s="18">
        <v>17149</v>
      </c>
      <c r="J55" s="18">
        <v>18503</v>
      </c>
      <c r="K55" s="18">
        <v>18041</v>
      </c>
      <c r="L55" s="18">
        <v>20406</v>
      </c>
      <c r="M55" s="20"/>
      <c r="N55" s="18">
        <v>19047</v>
      </c>
      <c r="O55" s="18">
        <v>19446</v>
      </c>
      <c r="P55" s="18">
        <v>19453</v>
      </c>
      <c r="Q55" s="19">
        <f>IF(COUNT('Balance Sheet'!K55)=1,'Balance Sheet'!K55,"")</f>
        <v>18041</v>
      </c>
      <c r="R55" s="18">
        <v>18389</v>
      </c>
      <c r="S55" s="18">
        <v>18418</v>
      </c>
      <c r="T55" s="18">
        <v>19388</v>
      </c>
      <c r="U55" s="19">
        <f>IF(COUNT('Balance Sheet'!L55)=1,'Balance Sheet'!L55,"")</f>
        <v>20406</v>
      </c>
      <c r="V55" s="18">
        <v>21383</v>
      </c>
      <c r="W55" s="18">
        <v>22098</v>
      </c>
      <c r="X55" s="18">
        <v>22292</v>
      </c>
    </row>
    <row r="56" spans="1:24" ht="22" customHeight="1">
      <c r="A56" s="3" t="s">
        <v>288</v>
      </c>
      <c r="B56" s="1"/>
      <c r="C56" s="14">
        <v>104</v>
      </c>
      <c r="D56" s="14">
        <v>92</v>
      </c>
      <c r="E56" s="14">
        <v>84</v>
      </c>
      <c r="F56" s="14">
        <v>82</v>
      </c>
      <c r="G56" s="14">
        <v>98</v>
      </c>
      <c r="H56" s="14">
        <v>108</v>
      </c>
      <c r="I56" s="14">
        <v>124</v>
      </c>
      <c r="J56" s="14">
        <v>134</v>
      </c>
      <c r="K56" s="14">
        <v>130</v>
      </c>
      <c r="L56" s="14">
        <v>141</v>
      </c>
      <c r="M56" s="15"/>
      <c r="N56" s="14">
        <v>143</v>
      </c>
      <c r="O56" s="14">
        <v>134</v>
      </c>
      <c r="P56" s="14">
        <v>152</v>
      </c>
      <c r="Q56" s="13">
        <f>IF(COUNT('Balance Sheet'!K56)=1,'Balance Sheet'!K56,"")</f>
        <v>130</v>
      </c>
      <c r="R56" s="14">
        <v>140</v>
      </c>
      <c r="S56" s="14">
        <v>141</v>
      </c>
      <c r="T56" s="14">
        <v>155</v>
      </c>
      <c r="U56" s="13">
        <f>IF(COUNT('Balance Sheet'!L56)=1,'Balance Sheet'!L56,"")</f>
        <v>141</v>
      </c>
      <c r="V56" s="14">
        <v>153</v>
      </c>
      <c r="W56" s="14">
        <v>172</v>
      </c>
      <c r="X56" s="14">
        <v>195</v>
      </c>
    </row>
    <row r="57" spans="1:24" ht="24" customHeight="1">
      <c r="A57" s="16" t="s">
        <v>289</v>
      </c>
      <c r="B57" s="17"/>
      <c r="C57" s="18">
        <v>11199</v>
      </c>
      <c r="D57" s="18">
        <v>10981</v>
      </c>
      <c r="E57" s="18">
        <v>14602</v>
      </c>
      <c r="F57" s="18">
        <v>14868</v>
      </c>
      <c r="G57" s="18">
        <v>13552</v>
      </c>
      <c r="H57" s="18">
        <v>16151</v>
      </c>
      <c r="I57" s="18">
        <v>17273</v>
      </c>
      <c r="J57" s="18">
        <v>18637</v>
      </c>
      <c r="K57" s="18">
        <v>18171</v>
      </c>
      <c r="L57" s="18">
        <v>20547</v>
      </c>
      <c r="M57" s="20"/>
      <c r="N57" s="18">
        <v>19190</v>
      </c>
      <c r="O57" s="18">
        <v>19580</v>
      </c>
      <c r="P57" s="18">
        <v>19605</v>
      </c>
      <c r="Q57" s="19">
        <f>IF(COUNT('Balance Sheet'!K57)=1,'Balance Sheet'!K57,"")</f>
        <v>18171</v>
      </c>
      <c r="R57" s="18">
        <v>18529</v>
      </c>
      <c r="S57" s="18">
        <v>18559</v>
      </c>
      <c r="T57" s="18">
        <v>19543</v>
      </c>
      <c r="U57" s="19">
        <f>IF(COUNT('Balance Sheet'!L57)=1,'Balance Sheet'!L57,"")</f>
        <v>20547</v>
      </c>
      <c r="V57" s="18">
        <v>21536</v>
      </c>
      <c r="W57" s="18">
        <v>22270</v>
      </c>
      <c r="X57" s="18">
        <v>22487</v>
      </c>
    </row>
    <row r="58" spans="1:24" ht="24" customHeight="1">
      <c r="A58" s="16" t="s">
        <v>290</v>
      </c>
      <c r="B58" s="17"/>
      <c r="C58" s="18">
        <v>73490</v>
      </c>
      <c r="D58" s="18">
        <v>79804</v>
      </c>
      <c r="E58" s="18">
        <v>77648</v>
      </c>
      <c r="F58" s="18">
        <v>78547</v>
      </c>
      <c r="G58" s="18">
        <v>92918</v>
      </c>
      <c r="H58" s="18">
        <v>92377</v>
      </c>
      <c r="I58" s="18">
        <v>92187</v>
      </c>
      <c r="J58" s="18">
        <v>100495</v>
      </c>
      <c r="K58" s="18">
        <v>99467</v>
      </c>
      <c r="L58" s="18">
        <v>107399</v>
      </c>
      <c r="M58" s="20"/>
      <c r="N58" s="18">
        <v>100040</v>
      </c>
      <c r="O58" s="18">
        <v>99533</v>
      </c>
      <c r="P58" s="18">
        <v>100513</v>
      </c>
      <c r="Q58" s="19">
        <f>IF(COUNT('Balance Sheet'!K58)=1,'Balance Sheet'!K58,"")</f>
        <v>99467</v>
      </c>
      <c r="R58" s="18">
        <v>101737</v>
      </c>
      <c r="S58" s="18">
        <v>105345</v>
      </c>
      <c r="T58" s="18">
        <v>106558</v>
      </c>
      <c r="U58" s="19">
        <f>IF(COUNT('Balance Sheet'!L58)=1,'Balance Sheet'!L58,"")</f>
        <v>107399</v>
      </c>
      <c r="V58" s="18">
        <v>110646</v>
      </c>
      <c r="W58" s="18">
        <v>112189</v>
      </c>
      <c r="X58" s="18">
        <v>111976</v>
      </c>
    </row>
    <row r="59" spans="1:24" ht="22" customHeight="1">
      <c r="A59" s="3"/>
      <c r="B59" s="1"/>
      <c r="C59" s="2"/>
      <c r="D59" s="2"/>
      <c r="E59" s="2"/>
      <c r="F59" s="2"/>
      <c r="G59" s="2"/>
      <c r="H59" s="2"/>
      <c r="I59" s="2"/>
      <c r="J59" s="2"/>
      <c r="K59" s="2"/>
      <c r="L59" s="2"/>
      <c r="M59" s="2"/>
      <c r="N59" s="2"/>
      <c r="O59" s="2"/>
      <c r="P59" s="2"/>
      <c r="Q59" s="2"/>
      <c r="R59" s="2"/>
      <c r="S59" s="2"/>
      <c r="T59" s="2"/>
      <c r="U59" s="2"/>
      <c r="V59" s="2"/>
      <c r="W59" s="2"/>
      <c r="X59" s="2"/>
    </row>
  </sheetData>
  <mergeCells count="15">
    <mergeCell ref="A42:L42"/>
    <mergeCell ref="N42:X42"/>
    <mergeCell ref="A47:L47"/>
    <mergeCell ref="N47:X47"/>
    <mergeCell ref="A13:L13"/>
    <mergeCell ref="N13:X13"/>
    <mergeCell ref="A25:L25"/>
    <mergeCell ref="N25:X25"/>
    <mergeCell ref="A37:L37"/>
    <mergeCell ref="N37:X37"/>
    <mergeCell ref="A1:X1"/>
    <mergeCell ref="A2:X2"/>
    <mergeCell ref="C7:L7"/>
    <mergeCell ref="A11:X11"/>
    <mergeCell ref="A12:X12"/>
  </mergeCells>
  <phoneticPr fontId="44" type="noConversion"/>
  <hyperlinks>
    <hyperlink ref="A3" location="'Contents'!A1" display="Metric (Return to Contents)" xr:uid="{00000000-0004-0000-0500-000000000000}"/>
    <hyperlink ref="C7" location="'Balance Sheet'!A11" display="Consolidated balance sheet: period-end balances"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X152"/>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291</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292</v>
      </c>
      <c r="O5" s="9" t="s">
        <v>292</v>
      </c>
      <c r="P5" s="9" t="s">
        <v>292</v>
      </c>
      <c r="Q5" s="9" t="s">
        <v>292</v>
      </c>
      <c r="R5" s="9" t="s">
        <v>292</v>
      </c>
      <c r="S5" s="9" t="s">
        <v>292</v>
      </c>
      <c r="T5" s="9" t="s">
        <v>292</v>
      </c>
      <c r="U5" s="9" t="s">
        <v>292</v>
      </c>
      <c r="V5" s="9" t="s">
        <v>292</v>
      </c>
      <c r="W5" s="9" t="s">
        <v>292</v>
      </c>
      <c r="X5" s="9" t="s">
        <v>292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293</v>
      </c>
      <c r="D7" s="176"/>
      <c r="E7" s="176"/>
      <c r="F7" s="176"/>
      <c r="G7" s="176"/>
      <c r="H7" s="176"/>
      <c r="I7" s="176"/>
      <c r="J7" s="176"/>
      <c r="K7" s="176"/>
      <c r="L7" s="176"/>
      <c r="M7" s="2"/>
      <c r="N7" s="176" t="s">
        <v>294</v>
      </c>
      <c r="O7" s="176"/>
      <c r="P7" s="176"/>
      <c r="Q7" s="176"/>
      <c r="R7" s="176"/>
      <c r="S7" s="176"/>
      <c r="T7" s="176"/>
      <c r="U7" s="176"/>
      <c r="V7" s="176"/>
      <c r="W7" s="176"/>
      <c r="X7" s="176"/>
    </row>
    <row r="8" spans="1:24" ht="22" customHeight="1">
      <c r="A8" s="3"/>
      <c r="B8" s="1"/>
      <c r="C8" s="2"/>
      <c r="D8" s="2"/>
      <c r="E8" s="2"/>
      <c r="F8" s="2"/>
      <c r="G8" s="2"/>
      <c r="H8" s="2"/>
      <c r="I8" s="2"/>
      <c r="J8" s="2"/>
      <c r="K8" s="2"/>
      <c r="L8" s="2"/>
      <c r="M8" s="2"/>
      <c r="N8" s="2"/>
      <c r="O8" s="2"/>
      <c r="P8" s="2"/>
      <c r="Q8" s="2"/>
      <c r="R8" s="2"/>
      <c r="S8" s="2"/>
      <c r="T8" s="2"/>
      <c r="U8" s="2"/>
      <c r="V8" s="2"/>
      <c r="W8" s="2"/>
      <c r="X8" s="2"/>
    </row>
    <row r="9" spans="1:24" ht="22" customHeight="1">
      <c r="A9" s="3"/>
      <c r="B9" s="1"/>
      <c r="C9" s="2"/>
      <c r="D9" s="2"/>
      <c r="E9" s="2"/>
      <c r="F9" s="2"/>
      <c r="G9" s="2"/>
      <c r="H9" s="2"/>
      <c r="I9" s="2"/>
      <c r="J9" s="2"/>
      <c r="K9" s="2"/>
      <c r="L9" s="2"/>
      <c r="M9" s="2"/>
      <c r="N9" s="2"/>
      <c r="O9" s="2"/>
      <c r="P9" s="2"/>
      <c r="Q9" s="2"/>
      <c r="R9" s="2"/>
      <c r="S9" s="2"/>
      <c r="T9" s="2"/>
      <c r="U9" s="2"/>
      <c r="V9" s="2"/>
      <c r="W9" s="2"/>
      <c r="X9" s="2"/>
    </row>
    <row r="10" spans="1:24" ht="22" customHeight="1">
      <c r="A10" s="3"/>
      <c r="B10" s="1"/>
      <c r="C10" s="2"/>
      <c r="D10" s="2"/>
      <c r="E10" s="2"/>
      <c r="F10" s="2"/>
      <c r="G10" s="2"/>
      <c r="H10" s="2"/>
      <c r="I10" s="2"/>
      <c r="J10" s="2"/>
      <c r="K10" s="2"/>
      <c r="L10" s="2"/>
      <c r="M10" s="2"/>
      <c r="N10" s="2"/>
      <c r="O10" s="2"/>
      <c r="P10" s="2"/>
      <c r="Q10" s="2"/>
      <c r="R10" s="2"/>
      <c r="S10" s="2"/>
      <c r="T10" s="2"/>
      <c r="U10" s="2"/>
      <c r="V10" s="2"/>
      <c r="W10" s="2"/>
      <c r="X10" s="2"/>
    </row>
    <row r="11" spans="1:24" ht="22" customHeight="1">
      <c r="A11" s="174" t="s">
        <v>293</v>
      </c>
      <c r="B11" s="174"/>
      <c r="C11" s="175"/>
      <c r="D11" s="175"/>
      <c r="E11" s="175"/>
      <c r="F11" s="175"/>
      <c r="G11" s="175"/>
      <c r="H11" s="175"/>
      <c r="I11" s="175"/>
      <c r="J11" s="175"/>
      <c r="K11" s="175"/>
      <c r="L11" s="175"/>
      <c r="M11" s="175"/>
      <c r="N11" s="175"/>
      <c r="O11" s="175"/>
      <c r="P11" s="175"/>
      <c r="Q11" s="175"/>
      <c r="R11" s="175"/>
      <c r="S11" s="175"/>
      <c r="T11" s="175"/>
      <c r="U11" s="175"/>
      <c r="V11" s="175"/>
      <c r="W11" s="175"/>
      <c r="X11" s="175"/>
    </row>
    <row r="12" spans="1:24" ht="18" customHeight="1">
      <c r="A12" s="163" t="s">
        <v>295</v>
      </c>
      <c r="B12" s="163"/>
      <c r="C12" s="173"/>
      <c r="D12" s="173"/>
      <c r="E12" s="173"/>
      <c r="F12" s="173"/>
      <c r="G12" s="173"/>
      <c r="H12" s="173"/>
      <c r="I12" s="173"/>
      <c r="J12" s="173"/>
      <c r="K12" s="173"/>
      <c r="L12" s="173"/>
      <c r="M12" s="173"/>
      <c r="N12" s="173"/>
      <c r="O12" s="173"/>
      <c r="P12" s="173"/>
      <c r="Q12" s="173"/>
      <c r="R12" s="173"/>
      <c r="S12" s="173"/>
      <c r="T12" s="173"/>
      <c r="U12" s="173"/>
      <c r="V12" s="173"/>
      <c r="W12" s="173"/>
      <c r="X12" s="173"/>
    </row>
    <row r="13" spans="1:24" ht="24" customHeight="1">
      <c r="A13" s="177" t="s">
        <v>296</v>
      </c>
      <c r="B13" s="178"/>
      <c r="C13" s="179"/>
      <c r="D13" s="179"/>
      <c r="E13" s="179"/>
      <c r="F13" s="179"/>
      <c r="G13" s="179"/>
      <c r="H13" s="179"/>
      <c r="I13" s="179"/>
      <c r="J13" s="179"/>
      <c r="K13" s="179"/>
      <c r="L13" s="179"/>
      <c r="M13" s="12"/>
      <c r="N13" s="179"/>
      <c r="O13" s="179"/>
      <c r="P13" s="179"/>
      <c r="Q13" s="179"/>
      <c r="R13" s="179"/>
      <c r="S13" s="179"/>
      <c r="T13" s="179"/>
      <c r="U13" s="179"/>
      <c r="V13" s="179"/>
      <c r="W13" s="179"/>
      <c r="X13" s="179"/>
    </row>
    <row r="14" spans="1:24" ht="24" customHeight="1">
      <c r="A14" s="16" t="s">
        <v>233</v>
      </c>
      <c r="B14" s="17"/>
      <c r="C14" s="18">
        <v>6379</v>
      </c>
      <c r="D14" s="18">
        <v>4908</v>
      </c>
      <c r="E14" s="18">
        <v>12559</v>
      </c>
      <c r="F14" s="18">
        <v>7353</v>
      </c>
      <c r="G14" s="18">
        <v>7175</v>
      </c>
      <c r="H14" s="18">
        <v>7679</v>
      </c>
      <c r="I14" s="18">
        <v>8978</v>
      </c>
      <c r="J14" s="18">
        <v>9155</v>
      </c>
      <c r="K14" s="18">
        <v>9626</v>
      </c>
      <c r="L14" s="18">
        <v>8295</v>
      </c>
      <c r="M14" s="20"/>
      <c r="N14" s="18">
        <v>2053</v>
      </c>
      <c r="O14" s="18">
        <v>5147</v>
      </c>
      <c r="P14" s="18">
        <v>8092</v>
      </c>
      <c r="Q14" s="19">
        <f>IF(COUNT('Cash Flow'!K14)=1,'Cash Flow'!K14,"")</f>
        <v>9626</v>
      </c>
      <c r="R14" s="18">
        <v>1843</v>
      </c>
      <c r="S14" s="18">
        <v>3122</v>
      </c>
      <c r="T14" s="18">
        <v>5740</v>
      </c>
      <c r="U14" s="19">
        <f>IF(COUNT('Cash Flow'!L14)=1,'Cash Flow'!L14,"")</f>
        <v>8295</v>
      </c>
      <c r="V14" s="18">
        <v>2338</v>
      </c>
      <c r="W14" s="18">
        <v>5342</v>
      </c>
      <c r="X14" s="18">
        <v>8412</v>
      </c>
    </row>
    <row r="15" spans="1:24" ht="22" customHeight="1">
      <c r="A15" s="3" t="s">
        <v>136</v>
      </c>
      <c r="B15" s="1"/>
      <c r="C15" s="14">
        <v>2368</v>
      </c>
      <c r="D15" s="14">
        <v>2369</v>
      </c>
      <c r="E15" s="14">
        <v>2399</v>
      </c>
      <c r="F15" s="14">
        <v>2432</v>
      </c>
      <c r="G15" s="14">
        <v>2548</v>
      </c>
      <c r="H15" s="14">
        <v>2710</v>
      </c>
      <c r="I15" s="14">
        <v>2763</v>
      </c>
      <c r="J15" s="14">
        <v>2948</v>
      </c>
      <c r="K15" s="14">
        <v>3160</v>
      </c>
      <c r="L15" s="14">
        <v>3451</v>
      </c>
      <c r="M15" s="15"/>
      <c r="N15" s="14">
        <v>641</v>
      </c>
      <c r="O15" s="14">
        <v>1379</v>
      </c>
      <c r="P15" s="14">
        <v>2118</v>
      </c>
      <c r="Q15" s="13">
        <f>IF(COUNT('Cash Flow'!K15)=1,'Cash Flow'!K15,"")</f>
        <v>3160</v>
      </c>
      <c r="R15" s="14">
        <v>684</v>
      </c>
      <c r="S15" s="14">
        <v>1491</v>
      </c>
      <c r="T15" s="14">
        <v>2315</v>
      </c>
      <c r="U15" s="13">
        <f>IF(COUNT('Cash Flow'!L15)=1,'Cash Flow'!L15,"")</f>
        <v>3451</v>
      </c>
      <c r="V15" s="14">
        <v>742</v>
      </c>
      <c r="W15" s="14">
        <v>1639</v>
      </c>
      <c r="X15" s="14">
        <v>2531</v>
      </c>
    </row>
    <row r="16" spans="1:24" ht="22" customHeight="1">
      <c r="A16" s="3" t="s">
        <v>297</v>
      </c>
      <c r="B16" s="1"/>
      <c r="C16" s="14">
        <v>284</v>
      </c>
      <c r="D16" s="14">
        <v>292</v>
      </c>
      <c r="E16" s="14">
        <v>256</v>
      </c>
      <c r="F16" s="14">
        <v>237</v>
      </c>
      <c r="G16" s="14">
        <v>264</v>
      </c>
      <c r="H16" s="14">
        <v>301</v>
      </c>
      <c r="I16" s="14">
        <v>343</v>
      </c>
      <c r="J16" s="14">
        <v>380</v>
      </c>
      <c r="K16" s="14">
        <v>362</v>
      </c>
      <c r="L16" s="14">
        <v>288</v>
      </c>
      <c r="M16" s="15"/>
      <c r="N16" s="14">
        <v>97</v>
      </c>
      <c r="O16" s="14">
        <v>183</v>
      </c>
      <c r="P16" s="14">
        <v>260</v>
      </c>
      <c r="Q16" s="13">
        <f>IF(COUNT('Cash Flow'!K16)=1,'Cash Flow'!K16,"")</f>
        <v>362</v>
      </c>
      <c r="R16" s="14">
        <v>77</v>
      </c>
      <c r="S16" s="14">
        <v>131</v>
      </c>
      <c r="T16" s="14">
        <v>207</v>
      </c>
      <c r="U16" s="13">
        <f>IF(COUNT('Cash Flow'!L16)=1,'Cash Flow'!L16,"")</f>
        <v>288</v>
      </c>
      <c r="V16" s="14">
        <v>93</v>
      </c>
      <c r="W16" s="14">
        <v>162</v>
      </c>
      <c r="X16" s="14">
        <v>240</v>
      </c>
    </row>
    <row r="17" spans="1:24" ht="22" customHeight="1">
      <c r="A17" s="3" t="s">
        <v>298</v>
      </c>
      <c r="B17" s="1"/>
      <c r="C17" s="14">
        <v>160</v>
      </c>
      <c r="D17" s="14">
        <v>295</v>
      </c>
      <c r="E17" s="14">
        <v>308</v>
      </c>
      <c r="F17" s="14">
        <v>370</v>
      </c>
      <c r="G17" s="14">
        <v>289</v>
      </c>
      <c r="H17" s="14">
        <v>247</v>
      </c>
      <c r="I17" s="14">
        <v>411</v>
      </c>
      <c r="J17" s="14">
        <v>445</v>
      </c>
      <c r="K17" s="14">
        <v>727</v>
      </c>
      <c r="L17" s="14">
        <v>983</v>
      </c>
      <c r="M17" s="15"/>
      <c r="N17" s="14">
        <v>96</v>
      </c>
      <c r="O17" s="14">
        <v>170</v>
      </c>
      <c r="P17" s="14">
        <v>415</v>
      </c>
      <c r="Q17" s="13">
        <f>IF(COUNT('Cash Flow'!K17)=1,'Cash Flow'!K17,"")</f>
        <v>727</v>
      </c>
      <c r="R17" s="14">
        <v>213</v>
      </c>
      <c r="S17" s="14">
        <v>426</v>
      </c>
      <c r="T17" s="14">
        <v>567</v>
      </c>
      <c r="U17" s="13">
        <f>IF(COUNT('Cash Flow'!L17)=1,'Cash Flow'!L17,"")</f>
        <v>983</v>
      </c>
      <c r="V17" s="14">
        <v>133</v>
      </c>
      <c r="W17" s="14">
        <v>182</v>
      </c>
      <c r="X17" s="14">
        <v>367</v>
      </c>
    </row>
    <row r="18" spans="1:24" ht="22" customHeight="1">
      <c r="A18" s="3" t="s">
        <v>299</v>
      </c>
      <c r="B18" s="1"/>
      <c r="C18" s="14">
        <v>-125</v>
      </c>
      <c r="D18" s="14">
        <v>-113</v>
      </c>
      <c r="E18" s="14">
        <v>-255</v>
      </c>
      <c r="F18" s="14">
        <v>-350</v>
      </c>
      <c r="G18" s="14">
        <v>-255</v>
      </c>
      <c r="H18" s="14">
        <v>-256</v>
      </c>
      <c r="I18" s="14">
        <v>-224</v>
      </c>
      <c r="J18" s="14">
        <v>-434</v>
      </c>
      <c r="K18" s="14">
        <v>-436</v>
      </c>
      <c r="L18" s="14">
        <v>-796</v>
      </c>
      <c r="M18" s="15"/>
      <c r="N18" s="14">
        <v>-60</v>
      </c>
      <c r="O18" s="14">
        <v>-173</v>
      </c>
      <c r="P18" s="14">
        <v>-284</v>
      </c>
      <c r="Q18" s="13">
        <f>IF(COUNT('Cash Flow'!K18)=1,'Cash Flow'!K18,"")</f>
        <v>-436</v>
      </c>
      <c r="R18" s="14">
        <v>-232</v>
      </c>
      <c r="S18" s="14">
        <v>-387</v>
      </c>
      <c r="T18" s="14">
        <v>-554</v>
      </c>
      <c r="U18" s="13">
        <f>IF(COUNT('Cash Flow'!L18)=1,'Cash Flow'!L18,"")</f>
        <v>-796</v>
      </c>
      <c r="V18" s="14">
        <v>-145</v>
      </c>
      <c r="W18" s="14">
        <v>-264</v>
      </c>
      <c r="X18" s="14">
        <v>-373</v>
      </c>
    </row>
    <row r="19" spans="1:24" ht="22" customHeight="1">
      <c r="A19" s="3" t="s">
        <v>300</v>
      </c>
      <c r="B19" s="1"/>
      <c r="C19" s="14">
        <v>501</v>
      </c>
      <c r="D19" s="14">
        <v>221</v>
      </c>
      <c r="E19" s="14">
        <v>221</v>
      </c>
      <c r="F19" s="14">
        <v>519</v>
      </c>
      <c r="G19" s="14">
        <v>408</v>
      </c>
      <c r="H19" s="14">
        <v>123</v>
      </c>
      <c r="I19" s="14">
        <v>419</v>
      </c>
      <c r="J19" s="14">
        <v>150</v>
      </c>
      <c r="K19" s="14">
        <v>414</v>
      </c>
      <c r="L19" s="14">
        <v>504</v>
      </c>
      <c r="M19" s="15"/>
      <c r="N19" s="14">
        <v>31</v>
      </c>
      <c r="O19" s="14">
        <v>67</v>
      </c>
      <c r="P19" s="14">
        <v>114</v>
      </c>
      <c r="Q19" s="13">
        <f>IF(COUNT('Cash Flow'!K19)=1,'Cash Flow'!K19,"")</f>
        <v>414</v>
      </c>
      <c r="R19" s="14">
        <v>48</v>
      </c>
      <c r="S19" s="14">
        <v>99</v>
      </c>
      <c r="T19" s="14">
        <v>164</v>
      </c>
      <c r="U19" s="13">
        <f>IF(COUNT('Cash Flow'!L19)=1,'Cash Flow'!L19,"")</f>
        <v>504</v>
      </c>
      <c r="V19" s="14">
        <v>13</v>
      </c>
      <c r="W19" s="14">
        <v>30</v>
      </c>
      <c r="X19" s="14">
        <v>227</v>
      </c>
    </row>
    <row r="20" spans="1:24" ht="22" customHeight="1">
      <c r="A20" s="3" t="s">
        <v>301</v>
      </c>
      <c r="B20" s="1"/>
      <c r="C20" s="14">
        <v>-695</v>
      </c>
      <c r="D20" s="14">
        <v>-220</v>
      </c>
      <c r="E20" s="14">
        <v>-1708</v>
      </c>
      <c r="F20" s="14">
        <v>-716</v>
      </c>
      <c r="G20" s="14">
        <v>-562</v>
      </c>
      <c r="H20" s="14">
        <v>-785</v>
      </c>
      <c r="I20" s="14">
        <v>-384</v>
      </c>
      <c r="J20" s="14">
        <v>-410</v>
      </c>
      <c r="K20" s="14">
        <v>-348</v>
      </c>
      <c r="L20" s="14">
        <v>-472</v>
      </c>
      <c r="M20" s="15"/>
      <c r="N20" s="14">
        <v>-218</v>
      </c>
      <c r="O20" s="14">
        <v>-263</v>
      </c>
      <c r="P20" s="14">
        <v>-300</v>
      </c>
      <c r="Q20" s="13">
        <f>IF(COUNT('Cash Flow'!K20)=1,'Cash Flow'!K20,"")</f>
        <v>-348</v>
      </c>
      <c r="R20" s="14">
        <v>-317</v>
      </c>
      <c r="S20" s="14">
        <v>-354</v>
      </c>
      <c r="T20" s="14">
        <v>-400</v>
      </c>
      <c r="U20" s="13">
        <f>IF(COUNT('Cash Flow'!L20)=1,'Cash Flow'!L20,"")</f>
        <v>-472</v>
      </c>
      <c r="V20" s="14">
        <v>-270</v>
      </c>
      <c r="W20" s="14">
        <v>-315</v>
      </c>
      <c r="X20" s="14">
        <v>-355</v>
      </c>
    </row>
    <row r="21" spans="1:24" ht="22" customHeight="1">
      <c r="A21" s="3" t="s">
        <v>302</v>
      </c>
      <c r="B21" s="1"/>
      <c r="C21" s="14">
        <v>452</v>
      </c>
      <c r="D21" s="14">
        <v>619</v>
      </c>
      <c r="E21" s="14">
        <v>-531</v>
      </c>
      <c r="F21" s="14">
        <v>453</v>
      </c>
      <c r="G21" s="14">
        <v>361</v>
      </c>
      <c r="H21" s="14">
        <v>298</v>
      </c>
      <c r="I21" s="14">
        <v>-873</v>
      </c>
      <c r="J21" s="14">
        <v>-271</v>
      </c>
      <c r="K21" s="14">
        <v>-42</v>
      </c>
      <c r="L21" s="14">
        <v>71</v>
      </c>
      <c r="M21" s="15"/>
      <c r="N21" s="14">
        <v>116</v>
      </c>
      <c r="O21" s="14">
        <v>142</v>
      </c>
      <c r="P21" s="14">
        <v>124</v>
      </c>
      <c r="Q21" s="13">
        <f>IF(COUNT('Cash Flow'!K21)=1,'Cash Flow'!K21,"")</f>
        <v>-42</v>
      </c>
      <c r="R21" s="14">
        <v>111</v>
      </c>
      <c r="S21" s="14">
        <v>-260</v>
      </c>
      <c r="T21" s="14">
        <v>30</v>
      </c>
      <c r="U21" s="13">
        <f>IF(COUNT('Cash Flow'!L21)=1,'Cash Flow'!L21,"")</f>
        <v>71</v>
      </c>
      <c r="V21" s="14">
        <v>226</v>
      </c>
      <c r="W21" s="14">
        <v>494</v>
      </c>
      <c r="X21" s="14">
        <v>663</v>
      </c>
    </row>
    <row r="22" spans="1:24" ht="22" customHeight="1">
      <c r="A22" s="3" t="s">
        <v>303</v>
      </c>
      <c r="B22" s="1"/>
      <c r="C22" s="14">
        <v>-349</v>
      </c>
      <c r="D22" s="14">
        <v>-202</v>
      </c>
      <c r="E22" s="14">
        <v>-253</v>
      </c>
      <c r="F22" s="14">
        <v>-650</v>
      </c>
      <c r="G22" s="14">
        <v>-420</v>
      </c>
      <c r="H22" s="14">
        <v>-651</v>
      </c>
      <c r="I22" s="14">
        <v>-1763</v>
      </c>
      <c r="J22" s="14">
        <v>-793</v>
      </c>
      <c r="K22" s="14">
        <v>-138</v>
      </c>
      <c r="L22" s="14">
        <v>-580</v>
      </c>
      <c r="M22" s="15"/>
      <c r="N22" s="14">
        <v>-96</v>
      </c>
      <c r="O22" s="14">
        <v>-1138</v>
      </c>
      <c r="P22" s="14">
        <v>-1521</v>
      </c>
      <c r="Q22" s="13">
        <f>IF(COUNT('Cash Flow'!K22)=1,'Cash Flow'!K22,"")</f>
        <v>-138</v>
      </c>
      <c r="R22" s="14">
        <v>-318</v>
      </c>
      <c r="S22" s="14">
        <v>-1582</v>
      </c>
      <c r="T22" s="14">
        <v>-1747</v>
      </c>
      <c r="U22" s="13">
        <f>IF(COUNT('Cash Flow'!L22)=1,'Cash Flow'!L22,"")</f>
        <v>-580</v>
      </c>
      <c r="V22" s="14">
        <v>-530</v>
      </c>
      <c r="W22" s="14">
        <v>-1857</v>
      </c>
      <c r="X22" s="14">
        <v>-2124</v>
      </c>
    </row>
    <row r="23" spans="1:24" ht="22" customHeight="1">
      <c r="A23" s="3" t="s">
        <v>253</v>
      </c>
      <c r="B23" s="1"/>
      <c r="C23" s="14">
        <v>-75</v>
      </c>
      <c r="D23" s="14">
        <v>-168</v>
      </c>
      <c r="E23" s="14">
        <v>-174</v>
      </c>
      <c r="F23" s="14">
        <v>-190</v>
      </c>
      <c r="G23" s="14">
        <v>-516</v>
      </c>
      <c r="H23" s="14">
        <v>-582</v>
      </c>
      <c r="I23" s="14">
        <v>-1142</v>
      </c>
      <c r="J23" s="14">
        <v>-261</v>
      </c>
      <c r="K23" s="14">
        <v>-314</v>
      </c>
      <c r="L23" s="14">
        <v>-150</v>
      </c>
      <c r="M23" s="15"/>
      <c r="N23" s="14">
        <v>-291</v>
      </c>
      <c r="O23" s="14">
        <v>-696</v>
      </c>
      <c r="P23" s="14">
        <v>-492</v>
      </c>
      <c r="Q23" s="13">
        <f>IF(COUNT('Cash Flow'!K23)=1,'Cash Flow'!K23,"")</f>
        <v>-314</v>
      </c>
      <c r="R23" s="14">
        <v>-238</v>
      </c>
      <c r="S23" s="14">
        <v>-800</v>
      </c>
      <c r="T23" s="14">
        <v>-449</v>
      </c>
      <c r="U23" s="13">
        <f>IF(COUNT('Cash Flow'!L23)=1,'Cash Flow'!L23,"")</f>
        <v>-150</v>
      </c>
      <c r="V23" s="14">
        <v>-315</v>
      </c>
      <c r="W23" s="14">
        <v>-802</v>
      </c>
      <c r="X23" s="14">
        <v>-588</v>
      </c>
    </row>
    <row r="24" spans="1:24" ht="22" customHeight="1">
      <c r="A24" s="3" t="s">
        <v>254</v>
      </c>
      <c r="B24" s="1"/>
      <c r="C24" s="14">
        <v>10</v>
      </c>
      <c r="D24" s="14">
        <v>20</v>
      </c>
      <c r="E24" s="14">
        <v>9</v>
      </c>
      <c r="F24" s="14">
        <v>-87</v>
      </c>
      <c r="G24" s="14">
        <v>26</v>
      </c>
      <c r="H24" s="14">
        <v>159</v>
      </c>
      <c r="I24" s="14">
        <v>118</v>
      </c>
      <c r="J24" s="14">
        <v>-13</v>
      </c>
      <c r="K24" s="14">
        <v>40</v>
      </c>
      <c r="L24" s="14">
        <v>195</v>
      </c>
      <c r="M24" s="15"/>
      <c r="N24" s="14">
        <v>-342</v>
      </c>
      <c r="O24" s="14">
        <v>-365</v>
      </c>
      <c r="P24" s="14">
        <v>-200</v>
      </c>
      <c r="Q24" s="13">
        <f>IF(COUNT('Cash Flow'!K24)=1,'Cash Flow'!K24,"")</f>
        <v>40</v>
      </c>
      <c r="R24" s="14">
        <v>-307</v>
      </c>
      <c r="S24" s="14">
        <v>-354</v>
      </c>
      <c r="T24" s="14">
        <v>-223</v>
      </c>
      <c r="U24" s="13">
        <f>IF(COUNT('Cash Flow'!L24)=1,'Cash Flow'!L24,"")</f>
        <v>195</v>
      </c>
      <c r="V24" s="14">
        <v>-406</v>
      </c>
      <c r="W24" s="14">
        <v>-271</v>
      </c>
      <c r="X24" s="14">
        <v>27</v>
      </c>
    </row>
    <row r="25" spans="1:24" ht="22" customHeight="1">
      <c r="A25" s="3" t="s">
        <v>271</v>
      </c>
      <c r="B25" s="1"/>
      <c r="C25" s="14">
        <v>981</v>
      </c>
      <c r="D25" s="14">
        <v>201</v>
      </c>
      <c r="E25" s="14">
        <v>882</v>
      </c>
      <c r="F25" s="14">
        <v>735</v>
      </c>
      <c r="G25" s="14">
        <v>766</v>
      </c>
      <c r="H25" s="14">
        <v>1762</v>
      </c>
      <c r="I25" s="14">
        <v>1842</v>
      </c>
      <c r="J25" s="14">
        <v>420</v>
      </c>
      <c r="K25" s="14">
        <v>-943</v>
      </c>
      <c r="L25" s="14">
        <v>-677</v>
      </c>
      <c r="M25" s="15"/>
      <c r="N25" s="14">
        <v>-3408</v>
      </c>
      <c r="O25" s="14">
        <v>-2968</v>
      </c>
      <c r="P25" s="14">
        <v>-2312</v>
      </c>
      <c r="Q25" s="13">
        <f>IF(COUNT('Cash Flow'!K25)=1,'Cash Flow'!K25,"")</f>
        <v>-943</v>
      </c>
      <c r="R25" s="14">
        <v>-2671</v>
      </c>
      <c r="S25" s="14">
        <v>-2083</v>
      </c>
      <c r="T25" s="14">
        <v>-1647</v>
      </c>
      <c r="U25" s="13">
        <f>IF(COUNT('Cash Flow'!L25)=1,'Cash Flow'!L25,"")</f>
        <v>-677</v>
      </c>
      <c r="V25" s="14">
        <v>-1847</v>
      </c>
      <c r="W25" s="14">
        <v>-1200</v>
      </c>
      <c r="X25" s="14">
        <v>-358</v>
      </c>
    </row>
    <row r="26" spans="1:24" ht="22" customHeight="1">
      <c r="A26" s="3" t="s">
        <v>304</v>
      </c>
      <c r="B26" s="1"/>
      <c r="C26" s="14">
        <v>329</v>
      </c>
      <c r="D26" s="14">
        <v>-338</v>
      </c>
      <c r="E26" s="14">
        <v>448</v>
      </c>
      <c r="F26" s="14">
        <v>-287</v>
      </c>
      <c r="G26" s="14">
        <v>-159</v>
      </c>
      <c r="H26" s="14">
        <v>30</v>
      </c>
      <c r="I26" s="14">
        <v>57</v>
      </c>
      <c r="J26" s="14">
        <v>310</v>
      </c>
      <c r="K26" s="14">
        <v>-123</v>
      </c>
      <c r="L26" s="14">
        <v>-433</v>
      </c>
      <c r="M26" s="15"/>
      <c r="N26" s="14">
        <v>222</v>
      </c>
      <c r="O26" s="14">
        <v>287</v>
      </c>
      <c r="P26" s="14">
        <v>426</v>
      </c>
      <c r="Q26" s="13">
        <f>IF(COUNT('Cash Flow'!K26)=1,'Cash Flow'!K26,"")</f>
        <v>-123</v>
      </c>
      <c r="R26" s="14">
        <v>223</v>
      </c>
      <c r="S26" s="14">
        <v>415</v>
      </c>
      <c r="T26" s="14">
        <v>6</v>
      </c>
      <c r="U26" s="13">
        <f>IF(COUNT('Cash Flow'!L26)=1,'Cash Flow'!L26,"")</f>
        <v>-433</v>
      </c>
      <c r="V26" s="14">
        <v>131</v>
      </c>
      <c r="W26" s="14">
        <v>313</v>
      </c>
      <c r="X26" s="14">
        <v>415</v>
      </c>
    </row>
    <row r="27" spans="1:24" ht="22" customHeight="1">
      <c r="A27" s="3" t="s">
        <v>305</v>
      </c>
      <c r="B27" s="1"/>
      <c r="C27" s="14">
        <v>70</v>
      </c>
      <c r="D27" s="14">
        <v>-305</v>
      </c>
      <c r="E27" s="14">
        <v>-258</v>
      </c>
      <c r="F27" s="14">
        <v>-196</v>
      </c>
      <c r="G27" s="14">
        <v>164</v>
      </c>
      <c r="H27" s="14">
        <v>375</v>
      </c>
      <c r="I27" s="14">
        <v>-325</v>
      </c>
      <c r="J27" s="14">
        <v>189</v>
      </c>
      <c r="K27" s="14">
        <v>-311</v>
      </c>
      <c r="L27" s="14">
        <v>-712</v>
      </c>
      <c r="M27" s="15"/>
      <c r="N27" s="14">
        <v>-68</v>
      </c>
      <c r="O27" s="14">
        <v>-203</v>
      </c>
      <c r="P27" s="14">
        <v>-138</v>
      </c>
      <c r="Q27" s="13">
        <f>IF(COUNT('Cash Flow'!K27)=1,'Cash Flow'!K27,"")</f>
        <v>-311</v>
      </c>
      <c r="R27" s="14">
        <v>-246</v>
      </c>
      <c r="S27" s="14">
        <v>-300</v>
      </c>
      <c r="T27" s="14">
        <v>-446</v>
      </c>
      <c r="U27" s="13">
        <f>IF(COUNT('Cash Flow'!L27)=1,'Cash Flow'!L27,"")</f>
        <v>-712</v>
      </c>
      <c r="V27" s="14">
        <v>-157</v>
      </c>
      <c r="W27" s="14">
        <v>-298</v>
      </c>
      <c r="X27" s="14">
        <v>-422</v>
      </c>
    </row>
    <row r="28" spans="1:24" ht="22" customHeight="1">
      <c r="A28" s="3" t="s">
        <v>306</v>
      </c>
      <c r="B28" s="1"/>
      <c r="C28" s="14">
        <v>373</v>
      </c>
      <c r="D28" s="14"/>
      <c r="E28" s="14"/>
      <c r="F28" s="14"/>
      <c r="G28" s="14"/>
      <c r="H28" s="14"/>
      <c r="I28" s="14"/>
      <c r="J28" s="14"/>
      <c r="K28" s="14"/>
      <c r="L28" s="14"/>
      <c r="M28" s="15"/>
      <c r="N28" s="14"/>
      <c r="O28" s="14"/>
      <c r="P28" s="14"/>
      <c r="Q28" s="13" t="str">
        <f>IF(COUNT('Cash Flow'!K28)=1,'Cash Flow'!K28,"")</f>
        <v/>
      </c>
      <c r="R28" s="14"/>
      <c r="S28" s="14"/>
      <c r="T28" s="14"/>
      <c r="U28" s="13" t="str">
        <f>IF(COUNT('Cash Flow'!L28)=1,'Cash Flow'!L28,"")</f>
        <v/>
      </c>
      <c r="V28" s="14"/>
      <c r="W28" s="14"/>
      <c r="X28" s="14"/>
    </row>
    <row r="29" spans="1:24" ht="36" customHeight="1">
      <c r="A29" s="3" t="s">
        <v>307</v>
      </c>
      <c r="B29" s="1"/>
      <c r="C29" s="14">
        <v>0</v>
      </c>
      <c r="D29" s="14">
        <v>0</v>
      </c>
      <c r="E29" s="14">
        <v>-4347</v>
      </c>
      <c r="F29" s="14"/>
      <c r="G29" s="14"/>
      <c r="H29" s="14"/>
      <c r="I29" s="14"/>
      <c r="J29" s="14"/>
      <c r="K29" s="14"/>
      <c r="L29" s="14"/>
      <c r="M29" s="15"/>
      <c r="N29" s="14"/>
      <c r="O29" s="14"/>
      <c r="P29" s="14"/>
      <c r="Q29" s="13" t="str">
        <f>IF(COUNT('Cash Flow'!K29)=1,'Cash Flow'!K29,"")</f>
        <v/>
      </c>
      <c r="R29" s="14"/>
      <c r="S29" s="14"/>
      <c r="T29" s="14"/>
      <c r="U29" s="13" t="str">
        <f>IF(COUNT('Cash Flow'!L29)=1,'Cash Flow'!L29,"")</f>
        <v/>
      </c>
      <c r="V29" s="14"/>
      <c r="W29" s="14"/>
      <c r="X29" s="14"/>
    </row>
    <row r="30" spans="1:24" ht="22" customHeight="1">
      <c r="A30" s="3" t="s">
        <v>308</v>
      </c>
      <c r="B30" s="1"/>
      <c r="C30" s="14">
        <v>0</v>
      </c>
      <c r="D30" s="14"/>
      <c r="E30" s="14"/>
      <c r="F30" s="14"/>
      <c r="G30" s="14"/>
      <c r="H30" s="14"/>
      <c r="I30" s="14"/>
      <c r="J30" s="14"/>
      <c r="K30" s="14"/>
      <c r="L30" s="14"/>
      <c r="M30" s="15"/>
      <c r="N30" s="14"/>
      <c r="O30" s="14"/>
      <c r="P30" s="14"/>
      <c r="Q30" s="13" t="str">
        <f>IF(COUNT('Cash Flow'!K30)=1,'Cash Flow'!K30,"")</f>
        <v/>
      </c>
      <c r="R30" s="14"/>
      <c r="S30" s="14"/>
      <c r="T30" s="14"/>
      <c r="U30" s="13" t="str">
        <f>IF(COUNT('Cash Flow'!L30)=1,'Cash Flow'!L30,"")</f>
        <v/>
      </c>
      <c r="V30" s="14"/>
      <c r="W30" s="14"/>
      <c r="X30" s="14"/>
    </row>
    <row r="31" spans="1:24" ht="22" customHeight="1">
      <c r="A31" s="3" t="s">
        <v>309</v>
      </c>
      <c r="B31" s="1"/>
      <c r="C31" s="14"/>
      <c r="D31" s="14">
        <v>2451</v>
      </c>
      <c r="E31" s="14">
        <v>-28</v>
      </c>
      <c r="F31" s="14"/>
      <c r="G31" s="14"/>
      <c r="H31" s="14"/>
      <c r="I31" s="14"/>
      <c r="J31" s="14"/>
      <c r="K31" s="14"/>
      <c r="L31" s="14"/>
      <c r="M31" s="15"/>
      <c r="N31" s="14"/>
      <c r="O31" s="14"/>
      <c r="P31" s="14"/>
      <c r="Q31" s="13" t="str">
        <f>IF(COUNT('Cash Flow'!K31)=1,'Cash Flow'!K31,"")</f>
        <v/>
      </c>
      <c r="R31" s="14"/>
      <c r="S31" s="14"/>
      <c r="T31" s="14"/>
      <c r="U31" s="13" t="str">
        <f>IF(COUNT('Cash Flow'!L31)=1,'Cash Flow'!L31,"")</f>
        <v/>
      </c>
      <c r="V31" s="14"/>
      <c r="W31" s="14"/>
      <c r="X31" s="14"/>
    </row>
    <row r="32" spans="1:24" ht="22" customHeight="1">
      <c r="A32" s="3" t="s">
        <v>310</v>
      </c>
      <c r="B32" s="1"/>
      <c r="C32" s="14"/>
      <c r="D32" s="14">
        <v>0</v>
      </c>
      <c r="E32" s="14">
        <v>-115</v>
      </c>
      <c r="F32" s="14">
        <v>-423</v>
      </c>
      <c r="G32" s="14">
        <v>-78</v>
      </c>
      <c r="H32" s="14">
        <v>-309</v>
      </c>
      <c r="I32" s="14">
        <v>-309</v>
      </c>
      <c r="J32" s="14">
        <v>-309</v>
      </c>
      <c r="K32" s="14">
        <v>-579</v>
      </c>
      <c r="L32" s="14">
        <v>-772</v>
      </c>
      <c r="M32" s="15"/>
      <c r="N32" s="14"/>
      <c r="O32" s="14"/>
      <c r="P32" s="14"/>
      <c r="Q32" s="13">
        <f>IF(COUNT('Cash Flow'!K32)=1,'Cash Flow'!K32,"")</f>
        <v>-579</v>
      </c>
      <c r="R32" s="14"/>
      <c r="S32" s="14"/>
      <c r="T32" s="14"/>
      <c r="U32" s="13">
        <f>IF(COUNT('Cash Flow'!L32)=1,'Cash Flow'!L32,"")</f>
        <v>-772</v>
      </c>
      <c r="V32" s="14"/>
      <c r="W32" s="14"/>
      <c r="X32" s="14"/>
    </row>
    <row r="33" spans="1:24" ht="36" customHeight="1">
      <c r="A33" s="3" t="s">
        <v>311</v>
      </c>
      <c r="B33" s="1"/>
      <c r="C33" s="14"/>
      <c r="D33" s="14"/>
      <c r="E33" s="14">
        <v>75</v>
      </c>
      <c r="F33" s="14"/>
      <c r="G33" s="14"/>
      <c r="H33" s="14"/>
      <c r="I33" s="14"/>
      <c r="J33" s="14"/>
      <c r="K33" s="14"/>
      <c r="L33" s="14"/>
      <c r="M33" s="15"/>
      <c r="N33" s="14"/>
      <c r="O33" s="14"/>
      <c r="P33" s="14"/>
      <c r="Q33" s="13" t="str">
        <f>IF(COUNT('Cash Flow'!K33)=1,'Cash Flow'!K33,"")</f>
        <v/>
      </c>
      <c r="R33" s="14"/>
      <c r="S33" s="14"/>
      <c r="T33" s="14"/>
      <c r="U33" s="13" t="str">
        <f>IF(COUNT('Cash Flow'!L33)=1,'Cash Flow'!L33,"")</f>
        <v/>
      </c>
      <c r="V33" s="14"/>
      <c r="W33" s="14"/>
      <c r="X33" s="14"/>
    </row>
    <row r="34" spans="1:24" ht="22" customHeight="1">
      <c r="A34" s="3" t="s">
        <v>312</v>
      </c>
      <c r="B34" s="1"/>
      <c r="C34" s="14"/>
      <c r="D34" s="14"/>
      <c r="E34" s="14">
        <v>-73</v>
      </c>
      <c r="F34" s="14"/>
      <c r="G34" s="14"/>
      <c r="H34" s="14"/>
      <c r="I34" s="14"/>
      <c r="J34" s="14"/>
      <c r="K34" s="14"/>
      <c r="L34" s="14"/>
      <c r="M34" s="15"/>
      <c r="N34" s="14"/>
      <c r="O34" s="14"/>
      <c r="P34" s="14"/>
      <c r="Q34" s="13" t="str">
        <f>IF(COUNT('Cash Flow'!K34)=1,'Cash Flow'!K34,"")</f>
        <v/>
      </c>
      <c r="R34" s="14"/>
      <c r="S34" s="14"/>
      <c r="T34" s="14"/>
      <c r="U34" s="13" t="str">
        <f>IF(COUNT('Cash Flow'!L34)=1,'Cash Flow'!L34,"")</f>
        <v/>
      </c>
      <c r="V34" s="14"/>
      <c r="W34" s="14"/>
      <c r="X34" s="14"/>
    </row>
    <row r="35" spans="1:24" ht="22" customHeight="1">
      <c r="A35" s="3" t="s">
        <v>313</v>
      </c>
      <c r="B35" s="1"/>
      <c r="C35" s="14"/>
      <c r="D35" s="14"/>
      <c r="E35" s="14"/>
      <c r="F35" s="14">
        <v>412</v>
      </c>
      <c r="G35" s="14">
        <v>478</v>
      </c>
      <c r="H35" s="14">
        <v>505</v>
      </c>
      <c r="I35" s="14">
        <v>517</v>
      </c>
      <c r="J35" s="14">
        <v>570</v>
      </c>
      <c r="K35" s="14">
        <v>655</v>
      </c>
      <c r="L35" s="14">
        <v>727</v>
      </c>
      <c r="M35" s="15"/>
      <c r="N35" s="14">
        <v>127</v>
      </c>
      <c r="O35" s="14">
        <v>278</v>
      </c>
      <c r="P35" s="14">
        <v>438</v>
      </c>
      <c r="Q35" s="13">
        <f>IF(COUNT('Cash Flow'!K35)=1,'Cash Flow'!K35,"")</f>
        <v>655</v>
      </c>
      <c r="R35" s="14">
        <v>145</v>
      </c>
      <c r="S35" s="14">
        <v>315</v>
      </c>
      <c r="T35" s="14">
        <v>489</v>
      </c>
      <c r="U35" s="13">
        <f>IF(COUNT('Cash Flow'!L35)=1,'Cash Flow'!L35,"")</f>
        <v>727</v>
      </c>
      <c r="V35" s="14">
        <v>162</v>
      </c>
      <c r="W35" s="14">
        <v>347</v>
      </c>
      <c r="X35" s="14">
        <v>531</v>
      </c>
    </row>
    <row r="36" spans="1:24" ht="22" customHeight="1">
      <c r="A36" s="3" t="s">
        <v>314</v>
      </c>
      <c r="B36" s="1"/>
      <c r="C36" s="14"/>
      <c r="D36" s="14"/>
      <c r="E36" s="14"/>
      <c r="F36" s="14">
        <v>55</v>
      </c>
      <c r="G36" s="14">
        <v>255</v>
      </c>
      <c r="H36" s="14">
        <v>-4</v>
      </c>
      <c r="I36" s="14"/>
      <c r="J36" s="14">
        <v>41</v>
      </c>
      <c r="K36" s="14">
        <v>22</v>
      </c>
      <c r="L36" s="14">
        <v>453</v>
      </c>
      <c r="M36" s="15"/>
      <c r="N36" s="14"/>
      <c r="O36" s="14"/>
      <c r="P36" s="14">
        <v>7</v>
      </c>
      <c r="Q36" s="13">
        <f>IF(COUNT('Cash Flow'!K36)=1,'Cash Flow'!K36,"")</f>
        <v>22</v>
      </c>
      <c r="R36" s="14">
        <v>25</v>
      </c>
      <c r="S36" s="14">
        <v>87</v>
      </c>
      <c r="T36" s="14">
        <v>308</v>
      </c>
      <c r="U36" s="13">
        <f>IF(COUNT('Cash Flow'!L36)=1,'Cash Flow'!L36,"")</f>
        <v>453</v>
      </c>
      <c r="V36" s="14">
        <v>-113</v>
      </c>
      <c r="W36" s="14">
        <v>-158</v>
      </c>
      <c r="X36" s="14">
        <v>-254</v>
      </c>
    </row>
    <row r="37" spans="1:24" ht="36" customHeight="1">
      <c r="A37" s="3" t="s">
        <v>315</v>
      </c>
      <c r="B37" s="1"/>
      <c r="C37" s="14"/>
      <c r="D37" s="14"/>
      <c r="E37" s="14"/>
      <c r="F37" s="14">
        <v>-10</v>
      </c>
      <c r="G37" s="14">
        <v>-131</v>
      </c>
      <c r="H37" s="14">
        <v>-176</v>
      </c>
      <c r="I37" s="14"/>
      <c r="J37" s="14">
        <v>-41</v>
      </c>
      <c r="K37" s="14">
        <v>-18</v>
      </c>
      <c r="L37" s="14">
        <v>-228</v>
      </c>
      <c r="M37" s="15"/>
      <c r="N37" s="14"/>
      <c r="O37" s="14"/>
      <c r="P37" s="14">
        <v>-4</v>
      </c>
      <c r="Q37" s="13">
        <f>IF(COUNT('Cash Flow'!K37)=1,'Cash Flow'!K37,"")</f>
        <v>-18</v>
      </c>
      <c r="R37" s="14">
        <v>-13</v>
      </c>
      <c r="S37" s="14">
        <v>-58</v>
      </c>
      <c r="T37" s="14">
        <v>-80</v>
      </c>
      <c r="U37" s="13">
        <f>IF(COUNT('Cash Flow'!L37)=1,'Cash Flow'!L37,"")</f>
        <v>-228</v>
      </c>
      <c r="V37" s="14">
        <v>-14</v>
      </c>
      <c r="W37" s="14">
        <v>-14</v>
      </c>
      <c r="X37" s="14">
        <v>-24</v>
      </c>
    </row>
    <row r="38" spans="1:24" ht="22" customHeight="1">
      <c r="A38" s="3" t="s">
        <v>316</v>
      </c>
      <c r="B38" s="1"/>
      <c r="C38" s="14"/>
      <c r="D38" s="14"/>
      <c r="E38" s="14"/>
      <c r="F38" s="14">
        <v>-8</v>
      </c>
      <c r="G38" s="14"/>
      <c r="H38" s="14"/>
      <c r="I38" s="14"/>
      <c r="J38" s="14"/>
      <c r="K38" s="14"/>
      <c r="L38" s="14"/>
      <c r="M38" s="15"/>
      <c r="N38" s="14"/>
      <c r="O38" s="14"/>
      <c r="P38" s="14"/>
      <c r="Q38" s="13" t="str">
        <f>IF(COUNT('Cash Flow'!K38)=1,'Cash Flow'!K38,"")</f>
        <v/>
      </c>
      <c r="R38" s="14"/>
      <c r="S38" s="14"/>
      <c r="T38" s="14"/>
      <c r="U38" s="13" t="str">
        <f>IF(COUNT('Cash Flow'!L38)=1,'Cash Flow'!L38,"")</f>
        <v/>
      </c>
      <c r="V38" s="14"/>
      <c r="W38" s="14"/>
      <c r="X38" s="14"/>
    </row>
    <row r="39" spans="1:24" ht="22" customHeight="1">
      <c r="A39" s="3" t="s">
        <v>317</v>
      </c>
      <c r="B39" s="1"/>
      <c r="C39" s="14"/>
      <c r="D39" s="14"/>
      <c r="E39" s="14"/>
      <c r="F39" s="14"/>
      <c r="G39" s="14">
        <v>0</v>
      </c>
      <c r="H39" s="14">
        <v>0</v>
      </c>
      <c r="I39" s="14">
        <v>-3321</v>
      </c>
      <c r="J39" s="14"/>
      <c r="K39" s="14"/>
      <c r="L39" s="14"/>
      <c r="M39" s="15"/>
      <c r="N39" s="14"/>
      <c r="O39" s="14"/>
      <c r="P39" s="14"/>
      <c r="Q39" s="13" t="str">
        <f>IF(COUNT('Cash Flow'!K39)=1,'Cash Flow'!K39,"")</f>
        <v/>
      </c>
      <c r="R39" s="14"/>
      <c r="S39" s="14"/>
      <c r="T39" s="14"/>
      <c r="U39" s="13" t="str">
        <f>IF(COUNT('Cash Flow'!L39)=1,'Cash Flow'!L39,"")</f>
        <v/>
      </c>
      <c r="V39" s="14"/>
      <c r="W39" s="14"/>
      <c r="X39" s="14"/>
    </row>
    <row r="40" spans="1:24" ht="22" customHeight="1">
      <c r="A40" s="3" t="s">
        <v>318</v>
      </c>
      <c r="B40" s="1"/>
      <c r="C40" s="14"/>
      <c r="D40" s="14"/>
      <c r="E40" s="14"/>
      <c r="F40" s="14"/>
      <c r="G40" s="14">
        <v>0</v>
      </c>
      <c r="H40" s="14">
        <v>0</v>
      </c>
      <c r="I40" s="14">
        <v>3618</v>
      </c>
      <c r="J40" s="14">
        <v>1230</v>
      </c>
      <c r="K40" s="14">
        <v>714</v>
      </c>
      <c r="L40" s="14">
        <v>1946</v>
      </c>
      <c r="M40" s="15"/>
      <c r="N40" s="14"/>
      <c r="O40" s="14">
        <v>0</v>
      </c>
      <c r="P40" s="14">
        <v>10</v>
      </c>
      <c r="Q40" s="13">
        <f>IF(COUNT('Cash Flow'!K40)=1,'Cash Flow'!K40,"")</f>
        <v>714</v>
      </c>
      <c r="R40" s="14"/>
      <c r="S40" s="14">
        <v>1860</v>
      </c>
      <c r="T40" s="14">
        <v>1960</v>
      </c>
      <c r="U40" s="13">
        <f>IF(COUNT('Cash Flow'!L40)=1,'Cash Flow'!L40,"")</f>
        <v>1946</v>
      </c>
      <c r="V40" s="14"/>
      <c r="W40" s="14">
        <v>0</v>
      </c>
      <c r="X40" s="14">
        <v>0</v>
      </c>
    </row>
    <row r="41" spans="1:24" ht="22" customHeight="1">
      <c r="A41" s="3" t="s">
        <v>319</v>
      </c>
      <c r="B41" s="1"/>
      <c r="C41" s="14"/>
      <c r="D41" s="14"/>
      <c r="E41" s="14"/>
      <c r="F41" s="14"/>
      <c r="G41" s="14">
        <v>0</v>
      </c>
      <c r="H41" s="14">
        <v>190</v>
      </c>
      <c r="I41" s="14">
        <v>86</v>
      </c>
      <c r="J41" s="14"/>
      <c r="K41" s="14"/>
      <c r="L41" s="14"/>
      <c r="M41" s="15"/>
      <c r="N41" s="14"/>
      <c r="O41" s="14"/>
      <c r="P41" s="14"/>
      <c r="Q41" s="13" t="str">
        <f>IF(COUNT('Cash Flow'!K41)=1,'Cash Flow'!K41,"")</f>
        <v/>
      </c>
      <c r="R41" s="14"/>
      <c r="S41" s="14"/>
      <c r="T41" s="14"/>
      <c r="U41" s="13" t="str">
        <f>IF(COUNT('Cash Flow'!L41)=1,'Cash Flow'!L41,"")</f>
        <v/>
      </c>
      <c r="V41" s="14"/>
      <c r="W41" s="14"/>
      <c r="X41" s="14"/>
    </row>
    <row r="42" spans="1:24" ht="22" customHeight="1">
      <c r="A42" s="3" t="s">
        <v>320</v>
      </c>
      <c r="B42" s="1"/>
      <c r="C42" s="14"/>
      <c r="D42" s="14"/>
      <c r="E42" s="14"/>
      <c r="F42" s="14"/>
      <c r="G42" s="14"/>
      <c r="H42" s="14">
        <v>0</v>
      </c>
      <c r="I42" s="14">
        <v>0</v>
      </c>
      <c r="J42" s="14">
        <v>136</v>
      </c>
      <c r="K42" s="14">
        <v>187</v>
      </c>
      <c r="L42" s="14">
        <v>0</v>
      </c>
      <c r="M42" s="15"/>
      <c r="N42" s="14">
        <v>167</v>
      </c>
      <c r="O42" s="14">
        <v>182</v>
      </c>
      <c r="P42" s="14">
        <v>184</v>
      </c>
      <c r="Q42" s="13">
        <f>IF(COUNT('Cash Flow'!K42)=1,'Cash Flow'!K42,"")</f>
        <v>187</v>
      </c>
      <c r="R42" s="14"/>
      <c r="S42" s="14"/>
      <c r="T42" s="14"/>
      <c r="U42" s="13">
        <f>IF(COUNT('Cash Flow'!L42)=1,'Cash Flow'!L42,"")</f>
        <v>0</v>
      </c>
      <c r="V42" s="14"/>
      <c r="W42" s="14"/>
      <c r="X42" s="14"/>
    </row>
    <row r="43" spans="1:24" ht="22" customHeight="1">
      <c r="A43" s="3" t="s">
        <v>321</v>
      </c>
      <c r="B43" s="1"/>
      <c r="C43" s="14"/>
      <c r="D43" s="14"/>
      <c r="E43" s="14"/>
      <c r="F43" s="14"/>
      <c r="G43" s="14"/>
      <c r="H43" s="14"/>
      <c r="I43" s="14">
        <v>0</v>
      </c>
      <c r="J43" s="14">
        <v>0</v>
      </c>
      <c r="K43" s="14">
        <v>-148</v>
      </c>
      <c r="L43" s="14">
        <v>-6</v>
      </c>
      <c r="M43" s="15"/>
      <c r="N43" s="14">
        <v>-108</v>
      </c>
      <c r="O43" s="14">
        <v>-135</v>
      </c>
      <c r="P43" s="14">
        <v>-138</v>
      </c>
      <c r="Q43" s="13">
        <f>IF(COUNT('Cash Flow'!K43)=1,'Cash Flow'!K43,"")</f>
        <v>-148</v>
      </c>
      <c r="R43" s="14"/>
      <c r="S43" s="14"/>
      <c r="T43" s="14"/>
      <c r="U43" s="13">
        <f>IF(COUNT('Cash Flow'!L43)=1,'Cash Flow'!L43,"")</f>
        <v>-6</v>
      </c>
      <c r="V43" s="14"/>
      <c r="W43" s="14"/>
      <c r="X43" s="14"/>
    </row>
    <row r="44" spans="1:24" ht="36" customHeight="1">
      <c r="A44" s="3" t="s">
        <v>322</v>
      </c>
      <c r="B44" s="1"/>
      <c r="C44" s="14"/>
      <c r="D44" s="14"/>
      <c r="E44" s="14"/>
      <c r="F44" s="14"/>
      <c r="G44" s="14"/>
      <c r="H44" s="14"/>
      <c r="I44" s="14"/>
      <c r="J44" s="14"/>
      <c r="K44" s="14"/>
      <c r="L44" s="14"/>
      <c r="M44" s="15"/>
      <c r="N44" s="14"/>
      <c r="O44" s="14">
        <v>-579</v>
      </c>
      <c r="P44" s="14">
        <v>-579</v>
      </c>
      <c r="Q44" s="13" t="str">
        <f>IF(COUNT('Cash Flow'!K44)=1,'Cash Flow'!K44,"")</f>
        <v/>
      </c>
      <c r="R44" s="14"/>
      <c r="S44" s="14">
        <v>-772</v>
      </c>
      <c r="T44" s="14">
        <v>-772</v>
      </c>
      <c r="U44" s="13" t="str">
        <f>IF(COUNT('Cash Flow'!L44)=1,'Cash Flow'!L44,"")</f>
        <v/>
      </c>
      <c r="V44" s="14"/>
      <c r="W44" s="14">
        <v>-965</v>
      </c>
      <c r="X44" s="14">
        <v>-965</v>
      </c>
    </row>
    <row r="45" spans="1:24" ht="22" customHeight="1">
      <c r="A45" s="3" t="s">
        <v>323</v>
      </c>
      <c r="B45" s="1"/>
      <c r="C45" s="14"/>
      <c r="D45" s="14"/>
      <c r="E45" s="14"/>
      <c r="F45" s="14"/>
      <c r="G45" s="14"/>
      <c r="H45" s="14"/>
      <c r="I45" s="14">
        <v>0</v>
      </c>
      <c r="J45" s="14"/>
      <c r="K45" s="14"/>
      <c r="L45" s="14"/>
      <c r="M45" s="15"/>
      <c r="N45" s="14"/>
      <c r="O45" s="14"/>
      <c r="P45" s="14"/>
      <c r="Q45" s="13" t="str">
        <f>IF(COUNT('Cash Flow'!K45)=1,'Cash Flow'!K45,"")</f>
        <v/>
      </c>
      <c r="R45" s="14"/>
      <c r="S45" s="14"/>
      <c r="T45" s="14"/>
      <c r="U45" s="13" t="str">
        <f>IF(COUNT('Cash Flow'!L45)=1,'Cash Flow'!L45,"")</f>
        <v/>
      </c>
      <c r="V45" s="14"/>
      <c r="W45" s="14"/>
      <c r="X45" s="14"/>
    </row>
    <row r="46" spans="1:24" ht="24" customHeight="1">
      <c r="A46" s="16" t="s">
        <v>324</v>
      </c>
      <c r="B46" s="17"/>
      <c r="C46" s="18">
        <v>10663</v>
      </c>
      <c r="D46" s="18">
        <v>10030</v>
      </c>
      <c r="E46" s="18">
        <v>9415</v>
      </c>
      <c r="F46" s="18">
        <v>9649</v>
      </c>
      <c r="G46" s="18">
        <v>10613</v>
      </c>
      <c r="H46" s="18">
        <v>11616</v>
      </c>
      <c r="I46" s="18">
        <v>10811</v>
      </c>
      <c r="J46" s="18">
        <v>13442</v>
      </c>
      <c r="K46" s="18">
        <v>12507</v>
      </c>
      <c r="L46" s="18">
        <v>12087</v>
      </c>
      <c r="M46" s="20"/>
      <c r="N46" s="18">
        <v>-1041</v>
      </c>
      <c r="O46" s="18">
        <v>1315</v>
      </c>
      <c r="P46" s="18">
        <v>6220</v>
      </c>
      <c r="Q46" s="19">
        <f>IF(COUNT('Cash Flow'!K46)=1,'Cash Flow'!K46,"")</f>
        <v>12507</v>
      </c>
      <c r="R46" s="18">
        <v>-973</v>
      </c>
      <c r="S46" s="18">
        <v>996</v>
      </c>
      <c r="T46" s="18">
        <v>5468</v>
      </c>
      <c r="U46" s="19">
        <f>IF(COUNT('Cash Flow'!L46)=1,'Cash Flow'!L46,"")</f>
        <v>12087</v>
      </c>
      <c r="V46" s="18">
        <v>41</v>
      </c>
      <c r="W46" s="18">
        <v>2365</v>
      </c>
      <c r="X46" s="18">
        <v>7950</v>
      </c>
    </row>
    <row r="47" spans="1:24" ht="24" customHeight="1">
      <c r="A47" s="177" t="s">
        <v>325</v>
      </c>
      <c r="B47" s="178"/>
      <c r="C47" s="179"/>
      <c r="D47" s="179"/>
      <c r="E47" s="179"/>
      <c r="F47" s="179"/>
      <c r="G47" s="179"/>
      <c r="H47" s="179"/>
      <c r="I47" s="179"/>
      <c r="J47" s="179"/>
      <c r="K47" s="179"/>
      <c r="L47" s="179"/>
      <c r="M47" s="12"/>
      <c r="N47" s="179"/>
      <c r="O47" s="179"/>
      <c r="P47" s="179"/>
      <c r="Q47" s="179"/>
      <c r="R47" s="179"/>
      <c r="S47" s="179"/>
      <c r="T47" s="179"/>
      <c r="U47" s="179"/>
      <c r="V47" s="179"/>
      <c r="W47" s="179"/>
      <c r="X47" s="179"/>
    </row>
    <row r="48" spans="1:24" ht="22" customHeight="1">
      <c r="A48" s="3" t="s">
        <v>326</v>
      </c>
      <c r="B48" s="1"/>
      <c r="C48" s="14">
        <v>-3040</v>
      </c>
      <c r="D48" s="14">
        <v>-2969</v>
      </c>
      <c r="E48" s="14">
        <v>-3282</v>
      </c>
      <c r="F48" s="14">
        <v>-4232</v>
      </c>
      <c r="G48" s="14">
        <v>-4240</v>
      </c>
      <c r="H48" s="14">
        <v>-4625</v>
      </c>
      <c r="I48" s="14">
        <v>-5207</v>
      </c>
      <c r="J48" s="14">
        <v>-5518</v>
      </c>
      <c r="K48" s="14">
        <v>-5318</v>
      </c>
      <c r="L48" s="14">
        <v>-4415</v>
      </c>
      <c r="M48" s="15"/>
      <c r="N48" s="14">
        <v>-614</v>
      </c>
      <c r="O48" s="14">
        <v>-1701</v>
      </c>
      <c r="P48" s="14">
        <v>-2850</v>
      </c>
      <c r="Q48" s="13">
        <f>IF(COUNT('Cash Flow'!K48)=1,'Cash Flow'!K48,"")</f>
        <v>-5318</v>
      </c>
      <c r="R48" s="14">
        <v>-603</v>
      </c>
      <c r="S48" s="14">
        <v>-1507</v>
      </c>
      <c r="T48" s="14">
        <v>-2499</v>
      </c>
      <c r="U48" s="13">
        <f>IF(COUNT('Cash Flow'!L48)=1,'Cash Flow'!L48,"")</f>
        <v>-4415</v>
      </c>
      <c r="V48" s="14">
        <v>-447</v>
      </c>
      <c r="W48" s="14">
        <v>-1266</v>
      </c>
      <c r="X48" s="14">
        <v>-2182</v>
      </c>
    </row>
    <row r="49" spans="1:24" ht="22" customHeight="1">
      <c r="A49" s="3" t="s">
        <v>327</v>
      </c>
      <c r="B49" s="1"/>
      <c r="C49" s="14">
        <v>99</v>
      </c>
      <c r="D49" s="14">
        <v>180</v>
      </c>
      <c r="E49" s="14">
        <v>134</v>
      </c>
      <c r="F49" s="14">
        <v>170</v>
      </c>
      <c r="G49" s="14">
        <v>55</v>
      </c>
      <c r="H49" s="14">
        <v>166</v>
      </c>
      <c r="I49" s="14">
        <v>251</v>
      </c>
      <c r="J49" s="14">
        <v>198</v>
      </c>
      <c r="K49" s="14">
        <v>342</v>
      </c>
      <c r="L49" s="14">
        <v>528</v>
      </c>
      <c r="M49" s="15"/>
      <c r="N49" s="14">
        <v>7</v>
      </c>
      <c r="O49" s="14">
        <v>127</v>
      </c>
      <c r="P49" s="14">
        <v>177</v>
      </c>
      <c r="Q49" s="13">
        <f>IF(COUNT('Cash Flow'!K49)=1,'Cash Flow'!K49,"")</f>
        <v>342</v>
      </c>
      <c r="R49" s="14">
        <v>132</v>
      </c>
      <c r="S49" s="14">
        <v>169</v>
      </c>
      <c r="T49" s="14">
        <v>272</v>
      </c>
      <c r="U49" s="13">
        <f>IF(COUNT('Cash Flow'!L49)=1,'Cash Flow'!L49,"")</f>
        <v>528</v>
      </c>
      <c r="V49" s="14">
        <v>13</v>
      </c>
      <c r="W49" s="14">
        <v>71</v>
      </c>
      <c r="X49" s="14">
        <v>89</v>
      </c>
    </row>
    <row r="50" spans="1:24" ht="22" customHeight="1">
      <c r="A50" s="3" t="s">
        <v>328</v>
      </c>
      <c r="B50" s="1"/>
      <c r="C50" s="14">
        <v>85</v>
      </c>
      <c r="D50" s="14">
        <v>267</v>
      </c>
      <c r="E50" s="14">
        <v>505</v>
      </c>
      <c r="F50" s="14"/>
      <c r="G50" s="14"/>
      <c r="H50" s="14"/>
      <c r="I50" s="14"/>
      <c r="J50" s="14"/>
      <c r="K50" s="14"/>
      <c r="L50" s="14"/>
      <c r="M50" s="15"/>
      <c r="N50" s="14"/>
      <c r="O50" s="14"/>
      <c r="P50" s="14"/>
      <c r="Q50" s="13" t="str">
        <f>IF(COUNT('Cash Flow'!K50)=1,'Cash Flow'!K50,"")</f>
        <v/>
      </c>
      <c r="R50" s="14"/>
      <c r="S50" s="14"/>
      <c r="T50" s="14"/>
      <c r="U50" s="13" t="str">
        <f>IF(COUNT('Cash Flow'!L50)=1,'Cash Flow'!L50,"")</f>
        <v/>
      </c>
      <c r="V50" s="14"/>
      <c r="W50" s="14"/>
      <c r="X50" s="14"/>
    </row>
    <row r="51" spans="1:24" ht="36" customHeight="1">
      <c r="A51" s="3" t="s">
        <v>329</v>
      </c>
      <c r="B51" s="1"/>
      <c r="C51" s="14">
        <v>-12504</v>
      </c>
      <c r="D51" s="14">
        <v>-18385</v>
      </c>
      <c r="E51" s="14">
        <v>-5637</v>
      </c>
      <c r="F51" s="14">
        <v>0</v>
      </c>
      <c r="G51" s="14">
        <v>-1135</v>
      </c>
      <c r="H51" s="14">
        <v>0</v>
      </c>
      <c r="I51" s="14">
        <v>-291</v>
      </c>
      <c r="J51" s="14">
        <v>-555</v>
      </c>
      <c r="K51" s="14">
        <v>-425</v>
      </c>
      <c r="L51" s="14">
        <v>-190</v>
      </c>
      <c r="M51" s="15"/>
      <c r="N51" s="14"/>
      <c r="O51" s="14"/>
      <c r="P51" s="14">
        <v>-425</v>
      </c>
      <c r="Q51" s="13">
        <f>IF(COUNT('Cash Flow'!K51)=1,'Cash Flow'!K51,"")</f>
        <v>-425</v>
      </c>
      <c r="R51" s="14"/>
      <c r="S51" s="14">
        <v>0</v>
      </c>
      <c r="T51" s="14">
        <v>-190</v>
      </c>
      <c r="U51" s="13">
        <f>IF(COUNT('Cash Flow'!L51)=1,'Cash Flow'!L51,"")</f>
        <v>-190</v>
      </c>
      <c r="V51" s="14"/>
      <c r="W51" s="14">
        <v>-80</v>
      </c>
      <c r="X51" s="14">
        <v>-105</v>
      </c>
    </row>
    <row r="52" spans="1:24" ht="36" customHeight="1">
      <c r="A52" s="3" t="s">
        <v>330</v>
      </c>
      <c r="B52" s="1"/>
      <c r="C52" s="14">
        <v>8399</v>
      </c>
      <c r="D52" s="14">
        <v>15744</v>
      </c>
      <c r="E52" s="14">
        <v>12824</v>
      </c>
      <c r="F52" s="14">
        <v>16</v>
      </c>
      <c r="G52" s="14">
        <v>0</v>
      </c>
      <c r="H52" s="14">
        <v>1135</v>
      </c>
      <c r="I52" s="14">
        <v>150</v>
      </c>
      <c r="J52" s="14">
        <v>556</v>
      </c>
      <c r="K52" s="14">
        <v>0</v>
      </c>
      <c r="L52" s="14">
        <v>605</v>
      </c>
      <c r="M52" s="15"/>
      <c r="N52" s="14">
        <v>0</v>
      </c>
      <c r="O52" s="14">
        <v>0</v>
      </c>
      <c r="P52" s="14">
        <v>0</v>
      </c>
      <c r="Q52" s="13">
        <f>IF(COUNT('Cash Flow'!K52)=1,'Cash Flow'!K52,"")</f>
        <v>0</v>
      </c>
      <c r="R52" s="14">
        <v>425</v>
      </c>
      <c r="S52" s="14">
        <v>425</v>
      </c>
      <c r="T52" s="14">
        <v>425</v>
      </c>
      <c r="U52" s="13">
        <f>IF(COUNT('Cash Flow'!L52)=1,'Cash Flow'!L52,"")</f>
        <v>605</v>
      </c>
      <c r="V52" s="14">
        <v>0</v>
      </c>
      <c r="W52" s="14">
        <v>8</v>
      </c>
      <c r="X52" s="14">
        <v>17</v>
      </c>
    </row>
    <row r="53" spans="1:24" ht="22" customHeight="1">
      <c r="A53" s="3" t="s">
        <v>331</v>
      </c>
      <c r="B53" s="1"/>
      <c r="C53" s="14">
        <v>0</v>
      </c>
      <c r="D53" s="14">
        <v>790</v>
      </c>
      <c r="E53" s="14">
        <v>1498</v>
      </c>
      <c r="F53" s="14">
        <v>62</v>
      </c>
      <c r="G53" s="14"/>
      <c r="H53" s="14">
        <v>0</v>
      </c>
      <c r="I53" s="14">
        <v>0</v>
      </c>
      <c r="J53" s="14">
        <v>12</v>
      </c>
      <c r="K53" s="14">
        <v>0</v>
      </c>
      <c r="L53" s="14">
        <v>0</v>
      </c>
      <c r="M53" s="15"/>
      <c r="N53" s="14"/>
      <c r="O53" s="14"/>
      <c r="P53" s="14"/>
      <c r="Q53" s="13">
        <f>IF(COUNT('Cash Flow'!K53)=1,'Cash Flow'!K53,"")</f>
        <v>0</v>
      </c>
      <c r="R53" s="14">
        <v>0</v>
      </c>
      <c r="S53" s="14">
        <v>0</v>
      </c>
      <c r="T53" s="14">
        <v>0</v>
      </c>
      <c r="U53" s="13">
        <f>IF(COUNT('Cash Flow'!L53)=1,'Cash Flow'!L53,"")</f>
        <v>0</v>
      </c>
      <c r="V53" s="14">
        <v>14</v>
      </c>
      <c r="W53" s="14">
        <v>14</v>
      </c>
      <c r="X53" s="14">
        <v>14</v>
      </c>
    </row>
    <row r="54" spans="1:24" ht="22" customHeight="1">
      <c r="A54" s="3" t="s">
        <v>332</v>
      </c>
      <c r="B54" s="1"/>
      <c r="C54" s="14">
        <v>16</v>
      </c>
      <c r="D54" s="14">
        <v>2</v>
      </c>
      <c r="E54" s="14">
        <v>16</v>
      </c>
      <c r="F54" s="14">
        <v>19</v>
      </c>
      <c r="G54" s="14">
        <v>27</v>
      </c>
      <c r="H54" s="14">
        <v>-58</v>
      </c>
      <c r="I54" s="14">
        <v>24</v>
      </c>
      <c r="J54" s="14">
        <v>3</v>
      </c>
      <c r="K54" s="14">
        <v>5</v>
      </c>
      <c r="L54" s="14">
        <v>45</v>
      </c>
      <c r="M54" s="15"/>
      <c r="N54" s="14">
        <v>8</v>
      </c>
      <c r="O54" s="14">
        <v>1</v>
      </c>
      <c r="P54" s="14">
        <v>4</v>
      </c>
      <c r="Q54" s="13">
        <f>IF(COUNT('Cash Flow'!K54)=1,'Cash Flow'!K54,"")</f>
        <v>5</v>
      </c>
      <c r="R54" s="14">
        <v>16</v>
      </c>
      <c r="S54" s="14">
        <v>22</v>
      </c>
      <c r="T54" s="14">
        <v>43</v>
      </c>
      <c r="U54" s="13">
        <f>IF(COUNT('Cash Flow'!L54)=1,'Cash Flow'!L54,"")</f>
        <v>45</v>
      </c>
      <c r="V54" s="14">
        <v>-9</v>
      </c>
      <c r="W54" s="14">
        <v>-10</v>
      </c>
      <c r="X54" s="14">
        <v>-5</v>
      </c>
    </row>
    <row r="55" spans="1:24" ht="22" customHeight="1">
      <c r="A55" s="3" t="s">
        <v>333</v>
      </c>
      <c r="B55" s="1"/>
      <c r="C55" s="14">
        <v>7</v>
      </c>
      <c r="D55" s="14">
        <v>29</v>
      </c>
      <c r="E55" s="14">
        <v>2</v>
      </c>
      <c r="F55" s="14">
        <v>-8</v>
      </c>
      <c r="G55" s="14">
        <v>40</v>
      </c>
      <c r="H55" s="14">
        <v>5</v>
      </c>
      <c r="I55" s="14">
        <v>11</v>
      </c>
      <c r="J55" s="14">
        <v>48</v>
      </c>
      <c r="K55" s="14">
        <v>14</v>
      </c>
      <c r="L55" s="14">
        <v>-100</v>
      </c>
      <c r="M55" s="15"/>
      <c r="N55" s="14">
        <v>-10</v>
      </c>
      <c r="O55" s="14">
        <v>14</v>
      </c>
      <c r="P55" s="14">
        <v>15</v>
      </c>
      <c r="Q55" s="13">
        <f>IF(COUNT('Cash Flow'!K55)=1,'Cash Flow'!K55,"")</f>
        <v>14</v>
      </c>
      <c r="R55" s="14">
        <v>-2</v>
      </c>
      <c r="S55" s="14">
        <v>-106</v>
      </c>
      <c r="T55" s="14">
        <v>-112</v>
      </c>
      <c r="U55" s="13">
        <f>IF(COUNT('Cash Flow'!L55)=1,'Cash Flow'!L55,"")</f>
        <v>-100</v>
      </c>
      <c r="V55" s="14">
        <v>19</v>
      </c>
      <c r="W55" s="14">
        <v>19</v>
      </c>
      <c r="X55" s="14">
        <v>-27</v>
      </c>
    </row>
    <row r="56" spans="1:24" ht="36" customHeight="1">
      <c r="A56" s="3" t="s">
        <v>334</v>
      </c>
      <c r="B56" s="1"/>
      <c r="C56" s="14">
        <v>0</v>
      </c>
      <c r="D56" s="14">
        <v>0</v>
      </c>
      <c r="E56" s="14"/>
      <c r="F56" s="14"/>
      <c r="G56" s="14"/>
      <c r="H56" s="14"/>
      <c r="I56" s="14"/>
      <c r="J56" s="14"/>
      <c r="K56" s="14"/>
      <c r="L56" s="14"/>
      <c r="M56" s="15"/>
      <c r="N56" s="14"/>
      <c r="O56" s="14"/>
      <c r="P56" s="14"/>
      <c r="Q56" s="13" t="str">
        <f>IF(COUNT('Cash Flow'!K56)=1,'Cash Flow'!K56,"")</f>
        <v/>
      </c>
      <c r="R56" s="14"/>
      <c r="S56" s="14"/>
      <c r="T56" s="14"/>
      <c r="U56" s="13" t="str">
        <f>IF(COUNT('Cash Flow'!L56)=1,'Cash Flow'!L56,"")</f>
        <v/>
      </c>
      <c r="V56" s="14"/>
      <c r="W56" s="14"/>
      <c r="X56" s="14"/>
    </row>
    <row r="57" spans="1:24" ht="36" customHeight="1">
      <c r="A57" s="3" t="s">
        <v>335</v>
      </c>
      <c r="B57" s="1"/>
      <c r="C57" s="14">
        <v>-212</v>
      </c>
      <c r="D57" s="14">
        <v>-61</v>
      </c>
      <c r="E57" s="14"/>
      <c r="F57" s="14"/>
      <c r="G57" s="14"/>
      <c r="H57" s="14"/>
      <c r="I57" s="14"/>
      <c r="J57" s="14"/>
      <c r="K57" s="14"/>
      <c r="L57" s="14"/>
      <c r="M57" s="15"/>
      <c r="N57" s="14"/>
      <c r="O57" s="14"/>
      <c r="P57" s="14"/>
      <c r="Q57" s="13" t="str">
        <f>IF(COUNT('Cash Flow'!K57)=1,'Cash Flow'!K57,"")</f>
        <v/>
      </c>
      <c r="R57" s="14"/>
      <c r="S57" s="14"/>
      <c r="T57" s="14"/>
      <c r="U57" s="13" t="str">
        <f>IF(COUNT('Cash Flow'!L57)=1,'Cash Flow'!L57,"")</f>
        <v/>
      </c>
      <c r="V57" s="14"/>
      <c r="W57" s="14"/>
      <c r="X57" s="14"/>
    </row>
    <row r="58" spans="1:24" ht="36" customHeight="1">
      <c r="A58" s="3" t="s">
        <v>336</v>
      </c>
      <c r="B58" s="1"/>
      <c r="C58" s="14"/>
      <c r="D58" s="14"/>
      <c r="E58" s="14">
        <v>-1496</v>
      </c>
      <c r="F58" s="14">
        <v>-2717</v>
      </c>
      <c r="G58" s="14"/>
      <c r="H58" s="14"/>
      <c r="I58" s="14"/>
      <c r="J58" s="14"/>
      <c r="K58" s="14"/>
      <c r="L58" s="14"/>
      <c r="M58" s="15"/>
      <c r="N58" s="14"/>
      <c r="O58" s="14"/>
      <c r="P58" s="14"/>
      <c r="Q58" s="13" t="str">
        <f>IF(COUNT('Cash Flow'!K58)=1,'Cash Flow'!K58,"")</f>
        <v/>
      </c>
      <c r="R58" s="14"/>
      <c r="S58" s="14"/>
      <c r="T58" s="14"/>
      <c r="U58" s="13" t="str">
        <f>IF(COUNT('Cash Flow'!L58)=1,'Cash Flow'!L58,"")</f>
        <v/>
      </c>
      <c r="V58" s="14"/>
      <c r="W58" s="14"/>
      <c r="X58" s="14"/>
    </row>
    <row r="59" spans="1:24" ht="36" customHeight="1">
      <c r="A59" s="3" t="s">
        <v>337</v>
      </c>
      <c r="B59" s="1"/>
      <c r="C59" s="14"/>
      <c r="D59" s="14"/>
      <c r="E59" s="14"/>
      <c r="F59" s="14">
        <v>253</v>
      </c>
      <c r="G59" s="14"/>
      <c r="H59" s="14"/>
      <c r="I59" s="14"/>
      <c r="J59" s="14"/>
      <c r="K59" s="14"/>
      <c r="L59" s="14"/>
      <c r="M59" s="15"/>
      <c r="N59" s="14"/>
      <c r="O59" s="14"/>
      <c r="P59" s="14"/>
      <c r="Q59" s="13" t="str">
        <f>IF(COUNT('Cash Flow'!K59)=1,'Cash Flow'!K59,"")</f>
        <v/>
      </c>
      <c r="R59" s="14"/>
      <c r="S59" s="14"/>
      <c r="T59" s="14"/>
      <c r="U59" s="13" t="str">
        <f>IF(COUNT('Cash Flow'!L59)=1,'Cash Flow'!L59,"")</f>
        <v/>
      </c>
      <c r="V59" s="14"/>
      <c r="W59" s="14"/>
      <c r="X59" s="14"/>
    </row>
    <row r="60" spans="1:24" ht="50" customHeight="1">
      <c r="A60" s="3" t="s">
        <v>338</v>
      </c>
      <c r="B60" s="1"/>
      <c r="C60" s="14"/>
      <c r="D60" s="14"/>
      <c r="E60" s="14"/>
      <c r="F60" s="14"/>
      <c r="G60" s="14">
        <v>-6372</v>
      </c>
      <c r="H60" s="14">
        <v>-61</v>
      </c>
      <c r="I60" s="14">
        <v>-873</v>
      </c>
      <c r="J60" s="14">
        <v>-314</v>
      </c>
      <c r="K60" s="14">
        <v>-256</v>
      </c>
      <c r="L60" s="14">
        <v>-3391</v>
      </c>
      <c r="M60" s="15"/>
      <c r="N60" s="14">
        <v>-6</v>
      </c>
      <c r="O60" s="14">
        <v>-30</v>
      </c>
      <c r="P60" s="14">
        <v>-31</v>
      </c>
      <c r="Q60" s="13">
        <f>IF(COUNT('Cash Flow'!K60)=1,'Cash Flow'!K60,"")</f>
        <v>-256</v>
      </c>
      <c r="R60" s="14">
        <v>-1200</v>
      </c>
      <c r="S60" s="14">
        <v>-3130</v>
      </c>
      <c r="T60" s="14">
        <v>-3176</v>
      </c>
      <c r="U60" s="13">
        <f>IF(COUNT('Cash Flow'!L60)=1,'Cash Flow'!L60,"")</f>
        <v>-3391</v>
      </c>
      <c r="V60" s="14">
        <v>-67</v>
      </c>
      <c r="W60" s="14">
        <v>-148</v>
      </c>
      <c r="X60" s="14">
        <v>-148</v>
      </c>
    </row>
    <row r="61" spans="1:24" ht="22" customHeight="1">
      <c r="A61" s="3" t="s">
        <v>339</v>
      </c>
      <c r="B61" s="1"/>
      <c r="C61" s="14"/>
      <c r="D61" s="14"/>
      <c r="E61" s="14"/>
      <c r="F61" s="14"/>
      <c r="G61" s="14">
        <v>0</v>
      </c>
      <c r="H61" s="14">
        <v>0</v>
      </c>
      <c r="I61" s="14">
        <v>3456</v>
      </c>
      <c r="J61" s="14"/>
      <c r="K61" s="14"/>
      <c r="L61" s="14"/>
      <c r="M61" s="15"/>
      <c r="N61" s="14"/>
      <c r="O61" s="14"/>
      <c r="P61" s="14"/>
      <c r="Q61" s="13" t="str">
        <f>IF(COUNT('Cash Flow'!K61)=1,'Cash Flow'!K61,"")</f>
        <v/>
      </c>
      <c r="R61" s="14"/>
      <c r="S61" s="14"/>
      <c r="T61" s="14"/>
      <c r="U61" s="13" t="str">
        <f>IF(COUNT('Cash Flow'!L61)=1,'Cash Flow'!L61,"")</f>
        <v/>
      </c>
      <c r="V61" s="14"/>
      <c r="W61" s="14"/>
      <c r="X61" s="14"/>
    </row>
    <row r="62" spans="1:24" ht="36" customHeight="1">
      <c r="A62" s="3" t="s">
        <v>340</v>
      </c>
      <c r="B62" s="1"/>
      <c r="C62" s="14"/>
      <c r="D62" s="14"/>
      <c r="E62" s="14"/>
      <c r="F62" s="14"/>
      <c r="G62" s="14">
        <v>6</v>
      </c>
      <c r="H62" s="14">
        <v>169</v>
      </c>
      <c r="I62" s="14">
        <v>49</v>
      </c>
      <c r="J62" s="14">
        <v>75</v>
      </c>
      <c r="K62" s="14">
        <v>166</v>
      </c>
      <c r="L62" s="14">
        <v>39</v>
      </c>
      <c r="M62" s="15"/>
      <c r="N62" s="14">
        <v>53</v>
      </c>
      <c r="O62" s="14">
        <v>135</v>
      </c>
      <c r="P62" s="14">
        <v>145</v>
      </c>
      <c r="Q62" s="13">
        <f>IF(COUNT('Cash Flow'!K62)=1,'Cash Flow'!K62,"")</f>
        <v>166</v>
      </c>
      <c r="R62" s="14"/>
      <c r="S62" s="14"/>
      <c r="T62" s="14"/>
      <c r="U62" s="13">
        <f>IF(COUNT('Cash Flow'!L62)=1,'Cash Flow'!L62,"")</f>
        <v>39</v>
      </c>
      <c r="V62" s="14"/>
      <c r="W62" s="14"/>
      <c r="X62" s="14"/>
    </row>
    <row r="63" spans="1:24" ht="24" customHeight="1">
      <c r="A63" s="16" t="s">
        <v>341</v>
      </c>
      <c r="B63" s="17"/>
      <c r="C63" s="18">
        <v>-7150</v>
      </c>
      <c r="D63" s="18">
        <v>-4403</v>
      </c>
      <c r="E63" s="18">
        <v>4564</v>
      </c>
      <c r="F63" s="18">
        <v>-6437</v>
      </c>
      <c r="G63" s="18">
        <v>-11619</v>
      </c>
      <c r="H63" s="18">
        <v>-3269</v>
      </c>
      <c r="I63" s="18">
        <v>-2430</v>
      </c>
      <c r="J63" s="18">
        <v>-5495</v>
      </c>
      <c r="K63" s="18">
        <v>-5472</v>
      </c>
      <c r="L63" s="18">
        <v>-6879</v>
      </c>
      <c r="M63" s="20"/>
      <c r="N63" s="18">
        <v>-562</v>
      </c>
      <c r="O63" s="18">
        <v>-1454</v>
      </c>
      <c r="P63" s="18">
        <v>-2965</v>
      </c>
      <c r="Q63" s="19">
        <f>IF(COUNT('Cash Flow'!K63)=1,'Cash Flow'!K63,"")</f>
        <v>-5472</v>
      </c>
      <c r="R63" s="18">
        <v>-1232</v>
      </c>
      <c r="S63" s="18">
        <v>-4127</v>
      </c>
      <c r="T63" s="18">
        <v>-5237</v>
      </c>
      <c r="U63" s="19">
        <f>IF(COUNT('Cash Flow'!L63)=1,'Cash Flow'!L63,"")</f>
        <v>-6879</v>
      </c>
      <c r="V63" s="18">
        <v>-477</v>
      </c>
      <c r="W63" s="18">
        <v>-1392</v>
      </c>
      <c r="X63" s="18">
        <v>-2347</v>
      </c>
    </row>
    <row r="64" spans="1:24" ht="22" customHeight="1">
      <c r="A64" s="3" t="s">
        <v>342</v>
      </c>
      <c r="B64" s="1"/>
      <c r="C64" s="14">
        <v>7818</v>
      </c>
      <c r="D64" s="14">
        <v>7509</v>
      </c>
      <c r="E64" s="14">
        <v>0</v>
      </c>
      <c r="F64" s="14">
        <v>4621</v>
      </c>
      <c r="G64" s="14">
        <v>13809</v>
      </c>
      <c r="H64" s="14">
        <v>4122</v>
      </c>
      <c r="I64" s="14">
        <v>3377</v>
      </c>
      <c r="J64" s="14">
        <v>5482</v>
      </c>
      <c r="K64" s="14">
        <v>4042</v>
      </c>
      <c r="L64" s="14">
        <v>8189</v>
      </c>
      <c r="M64" s="15"/>
      <c r="N64" s="14">
        <v>1761</v>
      </c>
      <c r="O64" s="14">
        <v>1765</v>
      </c>
      <c r="P64" s="14">
        <v>4014</v>
      </c>
      <c r="Q64" s="13">
        <f>IF(COUNT('Cash Flow'!K64)=1,'Cash Flow'!K64,"")</f>
        <v>4042</v>
      </c>
      <c r="R64" s="14">
        <v>3505</v>
      </c>
      <c r="S64" s="14">
        <v>3521</v>
      </c>
      <c r="T64" s="14">
        <v>8179</v>
      </c>
      <c r="U64" s="13">
        <f>IF(COUNT('Cash Flow'!L64)=1,'Cash Flow'!L64,"")</f>
        <v>8189</v>
      </c>
      <c r="V64" s="14">
        <v>2964</v>
      </c>
      <c r="W64" s="14">
        <v>2974</v>
      </c>
      <c r="X64" s="14">
        <v>2978</v>
      </c>
    </row>
    <row r="65" spans="1:24" ht="22" customHeight="1">
      <c r="A65" s="3" t="s">
        <v>343</v>
      </c>
      <c r="B65" s="1"/>
      <c r="C65" s="14">
        <v>-3105</v>
      </c>
      <c r="D65" s="14">
        <v>-4406</v>
      </c>
      <c r="E65" s="14">
        <v>-4007</v>
      </c>
      <c r="F65" s="14">
        <v>-3970</v>
      </c>
      <c r="G65" s="14">
        <v>-1830</v>
      </c>
      <c r="H65" s="14">
        <v>-3455</v>
      </c>
      <c r="I65" s="14">
        <v>-2458</v>
      </c>
      <c r="J65" s="14">
        <v>-3005</v>
      </c>
      <c r="K65" s="14">
        <v>-3886</v>
      </c>
      <c r="L65" s="14">
        <v>-4082</v>
      </c>
      <c r="M65" s="15"/>
      <c r="N65" s="14">
        <v>-1252</v>
      </c>
      <c r="O65" s="14">
        <v>-2882</v>
      </c>
      <c r="P65" s="14">
        <v>-2883</v>
      </c>
      <c r="Q65" s="13">
        <f>IF(COUNT('Cash Flow'!K65)=1,'Cash Flow'!K65,"")</f>
        <v>-3886</v>
      </c>
      <c r="R65" s="14">
        <v>-1541</v>
      </c>
      <c r="S65" s="14">
        <v>-2543</v>
      </c>
      <c r="T65" s="14">
        <v>-3245</v>
      </c>
      <c r="U65" s="13">
        <f>IF(COUNT('Cash Flow'!L65)=1,'Cash Flow'!L65,"")</f>
        <v>-4082</v>
      </c>
      <c r="V65" s="14">
        <v>-1629</v>
      </c>
      <c r="W65" s="14">
        <v>-2221</v>
      </c>
      <c r="X65" s="14">
        <v>-2328</v>
      </c>
    </row>
    <row r="66" spans="1:24" ht="22" customHeight="1">
      <c r="A66" s="3" t="s">
        <v>344</v>
      </c>
      <c r="B66" s="1"/>
      <c r="C66" s="14"/>
      <c r="D66" s="14"/>
      <c r="E66" s="14"/>
      <c r="F66" s="14"/>
      <c r="G66" s="14"/>
      <c r="H66" s="14"/>
      <c r="I66" s="14">
        <v>-1716</v>
      </c>
      <c r="J66" s="14"/>
      <c r="K66" s="14"/>
      <c r="L66" s="14"/>
      <c r="M66" s="15"/>
      <c r="N66" s="14"/>
      <c r="O66" s="14"/>
      <c r="P66" s="14"/>
      <c r="Q66" s="13" t="str">
        <f>IF(COUNT('Cash Flow'!K66)=1,'Cash Flow'!K66,"")</f>
        <v/>
      </c>
      <c r="R66" s="14"/>
      <c r="S66" s="14"/>
      <c r="T66" s="14"/>
      <c r="U66" s="13" t="str">
        <f>IF(COUNT('Cash Flow'!L66)=1,'Cash Flow'!L66,"")</f>
        <v/>
      </c>
      <c r="V66" s="14"/>
      <c r="W66" s="14"/>
      <c r="X66" s="14"/>
    </row>
    <row r="67" spans="1:24" ht="22" customHeight="1">
      <c r="A67" s="3" t="s">
        <v>345</v>
      </c>
      <c r="B67" s="1"/>
      <c r="C67" s="14">
        <v>59</v>
      </c>
      <c r="D67" s="14">
        <v>91</v>
      </c>
      <c r="E67" s="14">
        <v>3</v>
      </c>
      <c r="F67" s="14">
        <v>6</v>
      </c>
      <c r="G67" s="14">
        <v>4077</v>
      </c>
      <c r="H67" s="14">
        <v>8</v>
      </c>
      <c r="I67" s="14">
        <v>1969</v>
      </c>
      <c r="J67" s="14">
        <v>5428</v>
      </c>
      <c r="K67" s="14">
        <v>5786</v>
      </c>
      <c r="L67" s="14">
        <v>6391</v>
      </c>
      <c r="M67" s="15"/>
      <c r="N67" s="14">
        <v>2313</v>
      </c>
      <c r="O67" s="14">
        <v>3080</v>
      </c>
      <c r="P67" s="14">
        <v>3808</v>
      </c>
      <c r="Q67" s="13">
        <f>IF(COUNT('Cash Flow'!K67)=1,'Cash Flow'!K67,"")</f>
        <v>5786</v>
      </c>
      <c r="R67" s="14">
        <v>3656</v>
      </c>
      <c r="S67" s="14">
        <v>5251</v>
      </c>
      <c r="T67" s="14">
        <v>5528</v>
      </c>
      <c r="U67" s="13">
        <f>IF(COUNT('Cash Flow'!L67)=1,'Cash Flow'!L67,"")</f>
        <v>6391</v>
      </c>
      <c r="V67" s="14">
        <v>1937</v>
      </c>
      <c r="W67" s="14">
        <v>3987</v>
      </c>
      <c r="X67" s="14">
        <v>4562</v>
      </c>
    </row>
    <row r="68" spans="1:24" ht="22" customHeight="1">
      <c r="A68" s="3" t="s">
        <v>346</v>
      </c>
      <c r="B68" s="1"/>
      <c r="C68" s="14">
        <v>-27</v>
      </c>
      <c r="D68" s="14">
        <v>-128</v>
      </c>
      <c r="E68" s="14">
        <v>-17</v>
      </c>
      <c r="F68" s="14">
        <v>-2</v>
      </c>
      <c r="G68" s="14">
        <v>-3554</v>
      </c>
      <c r="H68" s="14">
        <v>-397</v>
      </c>
      <c r="I68" s="14">
        <v>-1951</v>
      </c>
      <c r="J68" s="14">
        <v>-3106</v>
      </c>
      <c r="K68" s="14">
        <v>-5639</v>
      </c>
      <c r="L68" s="14">
        <v>-7920</v>
      </c>
      <c r="M68" s="15"/>
      <c r="N68" s="14">
        <v>-1631</v>
      </c>
      <c r="O68" s="14">
        <v>-2138</v>
      </c>
      <c r="P68" s="14">
        <v>-4177</v>
      </c>
      <c r="Q68" s="13">
        <f>IF(COUNT('Cash Flow'!K68)=1,'Cash Flow'!K68,"")</f>
        <v>-5639</v>
      </c>
      <c r="R68" s="14">
        <v>-2119</v>
      </c>
      <c r="S68" s="14">
        <v>-2492</v>
      </c>
      <c r="T68" s="14">
        <v>-5417</v>
      </c>
      <c r="U68" s="13">
        <f>IF(COUNT('Cash Flow'!L68)=1,'Cash Flow'!L68,"")</f>
        <v>-7920</v>
      </c>
      <c r="V68" s="14">
        <v>-676</v>
      </c>
      <c r="W68" s="14">
        <v>-1750</v>
      </c>
      <c r="X68" s="14">
        <v>-3817</v>
      </c>
    </row>
    <row r="69" spans="1:24" ht="22" customHeight="1">
      <c r="A69" s="3" t="s">
        <v>347</v>
      </c>
      <c r="B69" s="1"/>
      <c r="C69" s="14">
        <v>1505</v>
      </c>
      <c r="D69" s="14">
        <v>-1016</v>
      </c>
      <c r="E69" s="14">
        <v>-1352</v>
      </c>
      <c r="F69" s="14">
        <v>-3</v>
      </c>
      <c r="G69" s="14">
        <v>-109</v>
      </c>
      <c r="H69" s="14">
        <v>434</v>
      </c>
      <c r="I69" s="14">
        <v>-31</v>
      </c>
      <c r="J69" s="14">
        <v>-29</v>
      </c>
      <c r="K69" s="14">
        <v>392</v>
      </c>
      <c r="L69" s="14">
        <v>1170</v>
      </c>
      <c r="M69" s="15"/>
      <c r="N69" s="14">
        <v>774</v>
      </c>
      <c r="O69" s="14">
        <v>1286</v>
      </c>
      <c r="P69" s="14">
        <v>101</v>
      </c>
      <c r="Q69" s="13">
        <f>IF(COUNT('Cash Flow'!K69)=1,'Cash Flow'!K69,"")</f>
        <v>392</v>
      </c>
      <c r="R69" s="14">
        <v>373</v>
      </c>
      <c r="S69" s="14">
        <v>2438</v>
      </c>
      <c r="T69" s="14">
        <v>445</v>
      </c>
      <c r="U69" s="13">
        <f>IF(COUNT('Cash Flow'!L69)=1,'Cash Flow'!L69,"")</f>
        <v>1170</v>
      </c>
      <c r="V69" s="14">
        <v>1198</v>
      </c>
      <c r="W69" s="14">
        <v>1271</v>
      </c>
      <c r="X69" s="14">
        <v>1365</v>
      </c>
    </row>
    <row r="70" spans="1:24" ht="24" customHeight="1">
      <c r="A70" s="177" t="s">
        <v>348</v>
      </c>
      <c r="B70" s="178"/>
      <c r="C70" s="179"/>
      <c r="D70" s="179"/>
      <c r="E70" s="179"/>
      <c r="F70" s="179"/>
      <c r="G70" s="179"/>
      <c r="H70" s="179"/>
      <c r="I70" s="179"/>
      <c r="J70" s="179"/>
      <c r="K70" s="179"/>
      <c r="L70" s="179"/>
      <c r="M70" s="12"/>
      <c r="N70" s="179"/>
      <c r="O70" s="179"/>
      <c r="P70" s="179"/>
      <c r="Q70" s="179"/>
      <c r="R70" s="179"/>
      <c r="S70" s="179"/>
      <c r="T70" s="179"/>
      <c r="U70" s="179"/>
      <c r="V70" s="179"/>
      <c r="W70" s="179"/>
      <c r="X70" s="179"/>
    </row>
    <row r="71" spans="1:24" ht="22" customHeight="1">
      <c r="A71" s="3" t="s">
        <v>349</v>
      </c>
      <c r="B71" s="1"/>
      <c r="C71" s="14">
        <v>-4227</v>
      </c>
      <c r="D71" s="14">
        <v>-4472</v>
      </c>
      <c r="E71" s="14">
        <v>-4930</v>
      </c>
      <c r="F71" s="14">
        <v>-5304</v>
      </c>
      <c r="G71" s="14">
        <v>-5509</v>
      </c>
      <c r="H71" s="14">
        <v>-5815</v>
      </c>
      <c r="I71" s="14">
        <v>-6172</v>
      </c>
      <c r="J71" s="14">
        <v>-6682</v>
      </c>
      <c r="K71" s="14">
        <v>-7229</v>
      </c>
      <c r="L71" s="14">
        <v>-7638</v>
      </c>
      <c r="M71" s="15"/>
      <c r="N71" s="14">
        <v>-1767</v>
      </c>
      <c r="O71" s="14">
        <v>-3506</v>
      </c>
      <c r="P71" s="14">
        <v>-5369</v>
      </c>
      <c r="Q71" s="13">
        <f>IF(COUNT('Cash Flow'!K71)=1,'Cash Flow'!K71,"")</f>
        <v>-7229</v>
      </c>
      <c r="R71" s="14">
        <v>-1882</v>
      </c>
      <c r="S71" s="14">
        <v>-3743</v>
      </c>
      <c r="T71" s="14">
        <v>-5692</v>
      </c>
      <c r="U71" s="13">
        <f>IF(COUNT('Cash Flow'!L71)=1,'Cash Flow'!L71,"")</f>
        <v>-7638</v>
      </c>
      <c r="V71" s="14">
        <v>-1966</v>
      </c>
      <c r="W71" s="14">
        <v>-3914</v>
      </c>
      <c r="X71" s="14">
        <v>-5935</v>
      </c>
    </row>
    <row r="72" spans="1:24" ht="22" customHeight="1">
      <c r="A72" s="3" t="s">
        <v>350</v>
      </c>
      <c r="B72" s="1"/>
      <c r="C72" s="14">
        <v>-3000</v>
      </c>
      <c r="D72" s="14">
        <v>-2000</v>
      </c>
      <c r="E72" s="14">
        <v>-2000</v>
      </c>
      <c r="F72" s="14">
        <v>-3000</v>
      </c>
      <c r="G72" s="14">
        <v>-2000</v>
      </c>
      <c r="H72" s="14">
        <v>-106</v>
      </c>
      <c r="I72" s="14">
        <v>-1500</v>
      </c>
      <c r="J72" s="14">
        <v>-1000</v>
      </c>
      <c r="K72" s="14">
        <v>-1000</v>
      </c>
      <c r="L72" s="14">
        <v>-1000</v>
      </c>
      <c r="M72" s="15"/>
      <c r="N72" s="14">
        <v>-146</v>
      </c>
      <c r="O72" s="14">
        <v>-461</v>
      </c>
      <c r="P72" s="14">
        <v>-760</v>
      </c>
      <c r="Q72" s="13">
        <f>IF(COUNT('Cash Flow'!K72)=1,'Cash Flow'!K72,"")</f>
        <v>-1000</v>
      </c>
      <c r="R72" s="14">
        <v>-183</v>
      </c>
      <c r="S72" s="14">
        <v>-494</v>
      </c>
      <c r="T72" s="14">
        <v>-752</v>
      </c>
      <c r="U72" s="13">
        <f>IF(COUNT('Cash Flow'!L72)=1,'Cash Flow'!L72,"")</f>
        <v>-1000</v>
      </c>
      <c r="V72" s="14">
        <v>-182</v>
      </c>
      <c r="W72" s="14">
        <v>-479</v>
      </c>
      <c r="X72" s="14">
        <v>-739</v>
      </c>
    </row>
    <row r="73" spans="1:24" ht="22" customHeight="1">
      <c r="A73" s="3" t="s">
        <v>351</v>
      </c>
      <c r="B73" s="1"/>
      <c r="C73" s="14">
        <v>-7</v>
      </c>
      <c r="D73" s="14">
        <v>-5</v>
      </c>
      <c r="E73" s="14"/>
      <c r="F73" s="14"/>
      <c r="G73" s="14"/>
      <c r="H73" s="14"/>
      <c r="I73" s="14"/>
      <c r="J73" s="14"/>
      <c r="K73" s="14"/>
      <c r="L73" s="14"/>
      <c r="M73" s="15"/>
      <c r="N73" s="14"/>
      <c r="O73" s="14"/>
      <c r="P73" s="14"/>
      <c r="Q73" s="13" t="str">
        <f>IF(COUNT('Cash Flow'!K73)=1,'Cash Flow'!K73,"")</f>
        <v/>
      </c>
      <c r="R73" s="14"/>
      <c r="S73" s="14"/>
      <c r="T73" s="14"/>
      <c r="U73" s="13" t="str">
        <f>IF(COUNT('Cash Flow'!L73)=1,'Cash Flow'!L73,"")</f>
        <v/>
      </c>
      <c r="V73" s="14"/>
      <c r="W73" s="14"/>
      <c r="X73" s="14"/>
    </row>
    <row r="74" spans="1:24" ht="22" customHeight="1">
      <c r="A74" s="3" t="s">
        <v>352</v>
      </c>
      <c r="B74" s="1"/>
      <c r="C74" s="14">
        <v>465</v>
      </c>
      <c r="D74" s="14">
        <v>462</v>
      </c>
      <c r="E74" s="14">
        <v>281</v>
      </c>
      <c r="F74" s="14">
        <v>329</v>
      </c>
      <c r="G74" s="14">
        <v>179</v>
      </c>
      <c r="H74" s="14">
        <v>185</v>
      </c>
      <c r="I74" s="14">
        <v>138</v>
      </c>
      <c r="J74" s="14">
        <v>116</v>
      </c>
      <c r="K74" s="14">
        <v>166</v>
      </c>
      <c r="L74" s="14">
        <v>97</v>
      </c>
      <c r="M74" s="15"/>
      <c r="N74" s="14">
        <v>66</v>
      </c>
      <c r="O74" s="14">
        <v>107</v>
      </c>
      <c r="P74" s="14">
        <v>138</v>
      </c>
      <c r="Q74" s="13">
        <f>IF(COUNT('Cash Flow'!K74)=1,'Cash Flow'!K74,"")</f>
        <v>166</v>
      </c>
      <c r="R74" s="14">
        <v>50</v>
      </c>
      <c r="S74" s="14">
        <v>58</v>
      </c>
      <c r="T74" s="14">
        <v>76</v>
      </c>
      <c r="U74" s="13">
        <f>IF(COUNT('Cash Flow'!L74)=1,'Cash Flow'!L74,"")</f>
        <v>97</v>
      </c>
      <c r="V74" s="14">
        <v>93</v>
      </c>
      <c r="W74" s="14">
        <v>99</v>
      </c>
      <c r="X74" s="14">
        <v>107</v>
      </c>
    </row>
    <row r="75" spans="1:24" ht="36" customHeight="1">
      <c r="A75" s="3" t="s">
        <v>353</v>
      </c>
      <c r="B75" s="1"/>
      <c r="C75" s="14">
        <v>-130</v>
      </c>
      <c r="D75" s="14"/>
      <c r="E75" s="14"/>
      <c r="F75" s="14"/>
      <c r="G75" s="14"/>
      <c r="H75" s="14"/>
      <c r="I75" s="14"/>
      <c r="J75" s="14"/>
      <c r="K75" s="14"/>
      <c r="L75" s="14"/>
      <c r="M75" s="15"/>
      <c r="N75" s="14"/>
      <c r="O75" s="14"/>
      <c r="P75" s="14"/>
      <c r="Q75" s="13" t="str">
        <f>IF(COUNT('Cash Flow'!K75)=1,'Cash Flow'!K75,"")</f>
        <v/>
      </c>
      <c r="R75" s="14"/>
      <c r="S75" s="14"/>
      <c r="T75" s="14"/>
      <c r="U75" s="13" t="str">
        <f>IF(COUNT('Cash Flow'!L75)=1,'Cash Flow'!L75,"")</f>
        <v/>
      </c>
      <c r="V75" s="14"/>
      <c r="W75" s="14"/>
      <c r="X75" s="14"/>
    </row>
    <row r="76" spans="1:24" ht="22" customHeight="1">
      <c r="A76" s="3" t="s">
        <v>354</v>
      </c>
      <c r="B76" s="1"/>
      <c r="C76" s="14">
        <v>-58</v>
      </c>
      <c r="D76" s="14">
        <v>-76</v>
      </c>
      <c r="E76" s="14">
        <v>-55</v>
      </c>
      <c r="F76" s="14">
        <v>-45</v>
      </c>
      <c r="G76" s="14">
        <v>-48</v>
      </c>
      <c r="H76" s="14">
        <v>-47</v>
      </c>
      <c r="I76" s="14">
        <v>-72</v>
      </c>
      <c r="J76" s="14">
        <v>-73</v>
      </c>
      <c r="K76" s="14">
        <v>-53</v>
      </c>
      <c r="L76" s="14">
        <v>-73</v>
      </c>
      <c r="M76" s="15"/>
      <c r="N76" s="14">
        <v>0</v>
      </c>
      <c r="O76" s="14">
        <v>-20</v>
      </c>
      <c r="P76" s="14">
        <v>-22</v>
      </c>
      <c r="Q76" s="13">
        <f>IF(COUNT('Cash Flow'!K76)=1,'Cash Flow'!K76,"")</f>
        <v>-53</v>
      </c>
      <c r="R76" s="14">
        <v>-2</v>
      </c>
      <c r="S76" s="14">
        <v>-17</v>
      </c>
      <c r="T76" s="14">
        <v>-18</v>
      </c>
      <c r="U76" s="13">
        <f>IF(COUNT('Cash Flow'!L76)=1,'Cash Flow'!L76,"")</f>
        <v>-73</v>
      </c>
      <c r="V76" s="14">
        <v>-1</v>
      </c>
      <c r="W76" s="14">
        <v>-2</v>
      </c>
      <c r="X76" s="14">
        <v>-1</v>
      </c>
    </row>
    <row r="77" spans="1:24" ht="22" customHeight="1">
      <c r="A77" s="3" t="s">
        <v>355</v>
      </c>
      <c r="B77" s="1"/>
      <c r="C77" s="14">
        <v>-2504</v>
      </c>
      <c r="D77" s="14"/>
      <c r="E77" s="14"/>
      <c r="F77" s="14"/>
      <c r="G77" s="14"/>
      <c r="H77" s="14"/>
      <c r="I77" s="14"/>
      <c r="J77" s="14"/>
      <c r="K77" s="14"/>
      <c r="L77" s="14"/>
      <c r="M77" s="15"/>
      <c r="N77" s="14"/>
      <c r="O77" s="14"/>
      <c r="P77" s="14"/>
      <c r="Q77" s="13" t="str">
        <f>IF(COUNT('Cash Flow'!K77)=1,'Cash Flow'!K77,"")</f>
        <v/>
      </c>
      <c r="R77" s="14"/>
      <c r="S77" s="14"/>
      <c r="T77" s="14"/>
      <c r="U77" s="13" t="str">
        <f>IF(COUNT('Cash Flow'!L77)=1,'Cash Flow'!L77,"")</f>
        <v/>
      </c>
      <c r="V77" s="14"/>
      <c r="W77" s="14"/>
      <c r="X77" s="14"/>
    </row>
    <row r="78" spans="1:24" ht="22" customHeight="1">
      <c r="A78" s="3" t="s">
        <v>356</v>
      </c>
      <c r="B78" s="1"/>
      <c r="C78" s="14"/>
      <c r="D78" s="14">
        <v>0</v>
      </c>
      <c r="E78" s="14">
        <v>-1589</v>
      </c>
      <c r="F78" s="14"/>
      <c r="G78" s="14"/>
      <c r="H78" s="14"/>
      <c r="I78" s="14"/>
      <c r="J78" s="14"/>
      <c r="K78" s="14"/>
      <c r="L78" s="14"/>
      <c r="M78" s="15"/>
      <c r="N78" s="14"/>
      <c r="O78" s="14"/>
      <c r="P78" s="14"/>
      <c r="Q78" s="13" t="str">
        <f>IF(COUNT('Cash Flow'!K78)=1,'Cash Flow'!K78,"")</f>
        <v/>
      </c>
      <c r="R78" s="14"/>
      <c r="S78" s="14"/>
      <c r="T78" s="14"/>
      <c r="U78" s="13" t="str">
        <f>IF(COUNT('Cash Flow'!L78)=1,'Cash Flow'!L78,"")</f>
        <v/>
      </c>
      <c r="V78" s="14"/>
      <c r="W78" s="14"/>
      <c r="X78" s="14"/>
    </row>
    <row r="79" spans="1:24" ht="50" customHeight="1">
      <c r="A79" s="3" t="s">
        <v>357</v>
      </c>
      <c r="B79" s="1"/>
      <c r="C79" s="14"/>
      <c r="D79" s="14">
        <v>-145</v>
      </c>
      <c r="E79" s="14">
        <v>-103</v>
      </c>
      <c r="F79" s="14"/>
      <c r="G79" s="14"/>
      <c r="H79" s="14"/>
      <c r="I79" s="14"/>
      <c r="J79" s="14"/>
      <c r="K79" s="14"/>
      <c r="L79" s="14"/>
      <c r="M79" s="15"/>
      <c r="N79" s="14"/>
      <c r="O79" s="14"/>
      <c r="P79" s="14"/>
      <c r="Q79" s="13" t="str">
        <f>IF(COUNT('Cash Flow'!K79)=1,'Cash Flow'!K79,"")</f>
        <v/>
      </c>
      <c r="R79" s="14"/>
      <c r="S79" s="14"/>
      <c r="T79" s="14"/>
      <c r="U79" s="13" t="str">
        <f>IF(COUNT('Cash Flow'!L79)=1,'Cash Flow'!L79,"")</f>
        <v/>
      </c>
      <c r="V79" s="14"/>
      <c r="W79" s="14"/>
      <c r="X79" s="14"/>
    </row>
    <row r="80" spans="1:24" ht="22" customHeight="1">
      <c r="A80" s="3" t="s">
        <v>358</v>
      </c>
      <c r="B80" s="1"/>
      <c r="C80" s="14"/>
      <c r="D80" s="14"/>
      <c r="E80" s="14"/>
      <c r="F80" s="14">
        <v>-1007</v>
      </c>
      <c r="G80" s="14"/>
      <c r="H80" s="14"/>
      <c r="I80" s="14"/>
      <c r="J80" s="14"/>
      <c r="K80" s="14"/>
      <c r="L80" s="14"/>
      <c r="M80" s="15"/>
      <c r="N80" s="14"/>
      <c r="O80" s="14"/>
      <c r="P80" s="14"/>
      <c r="Q80" s="13" t="str">
        <f>IF(COUNT('Cash Flow'!K80)=1,'Cash Flow'!K80,"")</f>
        <v/>
      </c>
      <c r="R80" s="14"/>
      <c r="S80" s="14"/>
      <c r="T80" s="14"/>
      <c r="U80" s="13" t="str">
        <f>IF(COUNT('Cash Flow'!L80)=1,'Cash Flow'!L80,"")</f>
        <v/>
      </c>
      <c r="V80" s="14"/>
      <c r="W80" s="14"/>
      <c r="X80" s="14"/>
    </row>
    <row r="81" spans="1:24" ht="22" customHeight="1">
      <c r="A81" s="3" t="s">
        <v>359</v>
      </c>
      <c r="B81" s="1"/>
      <c r="C81" s="14"/>
      <c r="D81" s="14"/>
      <c r="E81" s="14"/>
      <c r="F81" s="14">
        <v>0</v>
      </c>
      <c r="G81" s="14">
        <v>0</v>
      </c>
      <c r="H81" s="14">
        <v>-773</v>
      </c>
      <c r="I81" s="14"/>
      <c r="J81" s="14"/>
      <c r="K81" s="14"/>
      <c r="L81" s="14"/>
      <c r="M81" s="15"/>
      <c r="N81" s="14"/>
      <c r="O81" s="14"/>
      <c r="P81" s="14"/>
      <c r="Q81" s="13" t="str">
        <f>IF(COUNT('Cash Flow'!K81)=1,'Cash Flow'!K81,"")</f>
        <v/>
      </c>
      <c r="R81" s="14"/>
      <c r="S81" s="14"/>
      <c r="T81" s="14"/>
      <c r="U81" s="13" t="str">
        <f>IF(COUNT('Cash Flow'!L81)=1,'Cash Flow'!L81,"")</f>
        <v/>
      </c>
      <c r="V81" s="14"/>
      <c r="W81" s="14"/>
      <c r="X81" s="14"/>
    </row>
    <row r="82" spans="1:24" ht="36" customHeight="1">
      <c r="A82" s="3" t="s">
        <v>360</v>
      </c>
      <c r="B82" s="1"/>
      <c r="C82" s="14"/>
      <c r="D82" s="14"/>
      <c r="E82" s="14"/>
      <c r="F82" s="14">
        <v>-114</v>
      </c>
      <c r="G82" s="14">
        <v>-96</v>
      </c>
      <c r="H82" s="14">
        <v>-92</v>
      </c>
      <c r="I82" s="14">
        <v>-107</v>
      </c>
      <c r="J82" s="14">
        <v>-140</v>
      </c>
      <c r="K82" s="14">
        <v>-135</v>
      </c>
      <c r="L82" s="14">
        <v>-113</v>
      </c>
      <c r="M82" s="15"/>
      <c r="N82" s="14">
        <v>-108</v>
      </c>
      <c r="O82" s="14">
        <v>-131</v>
      </c>
      <c r="P82" s="14">
        <v>-132</v>
      </c>
      <c r="Q82" s="13">
        <f>IF(COUNT('Cash Flow'!K82)=1,'Cash Flow'!K82,"")</f>
        <v>-135</v>
      </c>
      <c r="R82" s="14">
        <v>-89</v>
      </c>
      <c r="S82" s="14">
        <v>-111</v>
      </c>
      <c r="T82" s="14">
        <v>-112</v>
      </c>
      <c r="U82" s="13">
        <f>IF(COUNT('Cash Flow'!L82)=1,'Cash Flow'!L82,"")</f>
        <v>-113</v>
      </c>
      <c r="V82" s="14">
        <v>-76</v>
      </c>
      <c r="W82" s="14">
        <v>-95</v>
      </c>
      <c r="X82" s="14">
        <v>-96</v>
      </c>
    </row>
    <row r="83" spans="1:24" ht="22" customHeight="1">
      <c r="A83" s="3" t="s">
        <v>361</v>
      </c>
      <c r="B83" s="1"/>
      <c r="C83" s="14"/>
      <c r="D83" s="14"/>
      <c r="E83" s="14"/>
      <c r="F83" s="14"/>
      <c r="G83" s="14">
        <v>-1100</v>
      </c>
      <c r="H83" s="14">
        <v>-4844</v>
      </c>
      <c r="I83" s="14"/>
      <c r="J83" s="14"/>
      <c r="K83" s="14"/>
      <c r="L83" s="14"/>
      <c r="M83" s="15"/>
      <c r="N83" s="14"/>
      <c r="O83" s="14"/>
      <c r="P83" s="14"/>
      <c r="Q83" s="13" t="str">
        <f>IF(COUNT('Cash Flow'!K83)=1,'Cash Flow'!K83,"")</f>
        <v/>
      </c>
      <c r="R83" s="14"/>
      <c r="S83" s="14"/>
      <c r="T83" s="14"/>
      <c r="U83" s="13" t="str">
        <f>IF(COUNT('Cash Flow'!L83)=1,'Cash Flow'!L83,"")</f>
        <v/>
      </c>
      <c r="V83" s="14"/>
      <c r="W83" s="14"/>
      <c r="X83" s="14"/>
    </row>
    <row r="84" spans="1:24" ht="24" customHeight="1">
      <c r="A84" s="16" t="s">
        <v>362</v>
      </c>
      <c r="B84" s="17"/>
      <c r="C84" s="18">
        <v>-3211</v>
      </c>
      <c r="D84" s="18">
        <v>-4186</v>
      </c>
      <c r="E84" s="18">
        <v>-13769</v>
      </c>
      <c r="F84" s="18">
        <v>-8489</v>
      </c>
      <c r="G84" s="18">
        <v>3819</v>
      </c>
      <c r="H84" s="18">
        <v>-10780</v>
      </c>
      <c r="I84" s="18">
        <v>-8523</v>
      </c>
      <c r="J84" s="18">
        <v>-3009</v>
      </c>
      <c r="K84" s="18">
        <v>-7556</v>
      </c>
      <c r="L84" s="18">
        <v>-4979</v>
      </c>
      <c r="M84" s="20"/>
      <c r="N84" s="18">
        <v>10</v>
      </c>
      <c r="O84" s="18">
        <v>-2900</v>
      </c>
      <c r="P84" s="18">
        <v>-5282</v>
      </c>
      <c r="Q84" s="19">
        <f>IF(COUNT('Cash Flow'!K84)=1,'Cash Flow'!K84,"")</f>
        <v>-7556</v>
      </c>
      <c r="R84" s="18">
        <v>1768</v>
      </c>
      <c r="S84" s="18">
        <v>1868</v>
      </c>
      <c r="T84" s="18">
        <v>-1008</v>
      </c>
      <c r="U84" s="19">
        <f>IF(COUNT('Cash Flow'!L84)=1,'Cash Flow'!L84,"")</f>
        <v>-4979</v>
      </c>
      <c r="V84" s="18">
        <v>1662</v>
      </c>
      <c r="W84" s="18">
        <v>-130</v>
      </c>
      <c r="X84" s="18">
        <v>-3904</v>
      </c>
    </row>
    <row r="85" spans="1:24" ht="24" customHeight="1">
      <c r="A85" s="177" t="s">
        <v>363</v>
      </c>
      <c r="B85" s="178"/>
      <c r="C85" s="179"/>
      <c r="D85" s="179"/>
      <c r="E85" s="179"/>
      <c r="F85" s="179"/>
      <c r="G85" s="179"/>
      <c r="H85" s="179"/>
      <c r="I85" s="179"/>
      <c r="J85" s="179"/>
      <c r="K85" s="179"/>
      <c r="L85" s="179"/>
      <c r="M85" s="12"/>
      <c r="N85" s="179"/>
      <c r="O85" s="179"/>
      <c r="P85" s="179"/>
      <c r="Q85" s="179"/>
      <c r="R85" s="179"/>
      <c r="S85" s="179"/>
      <c r="T85" s="179"/>
      <c r="U85" s="179"/>
      <c r="V85" s="179"/>
      <c r="W85" s="179"/>
      <c r="X85" s="179"/>
    </row>
    <row r="86" spans="1:24" ht="36" customHeight="1">
      <c r="A86" s="3" t="s">
        <v>364</v>
      </c>
      <c r="B86" s="1"/>
      <c r="C86" s="14">
        <v>-252</v>
      </c>
      <c r="D86" s="14">
        <v>47</v>
      </c>
      <c r="E86" s="14">
        <v>-98</v>
      </c>
      <c r="F86" s="14">
        <v>78</v>
      </c>
      <c r="G86" s="14">
        <v>-129</v>
      </c>
      <c r="H86" s="14">
        <v>-114</v>
      </c>
      <c r="I86" s="14">
        <v>-465</v>
      </c>
      <c r="J86" s="14">
        <v>-277</v>
      </c>
      <c r="K86" s="14">
        <v>-687</v>
      </c>
      <c r="L86" s="14">
        <v>422</v>
      </c>
      <c r="M86" s="15"/>
      <c r="N86" s="14">
        <v>-38</v>
      </c>
      <c r="O86" s="14">
        <v>-304</v>
      </c>
      <c r="P86" s="14">
        <v>-391</v>
      </c>
      <c r="Q86" s="13">
        <f>IF(COUNT('Cash Flow'!K86)=1,'Cash Flow'!K86,"")</f>
        <v>-687</v>
      </c>
      <c r="R86" s="14">
        <v>203</v>
      </c>
      <c r="S86" s="14">
        <v>422</v>
      </c>
      <c r="T86" s="14">
        <v>395</v>
      </c>
      <c r="U86" s="13">
        <f>IF(COUNT('Cash Flow'!L86)=1,'Cash Flow'!L86,"")</f>
        <v>422</v>
      </c>
      <c r="V86" s="14">
        <v>121</v>
      </c>
      <c r="W86" s="14">
        <v>256</v>
      </c>
      <c r="X86" s="14">
        <v>-175</v>
      </c>
    </row>
    <row r="87" spans="1:24" ht="24" customHeight="1">
      <c r="A87" s="16" t="s">
        <v>365</v>
      </c>
      <c r="B87" s="17"/>
      <c r="C87" s="18">
        <v>50</v>
      </c>
      <c r="D87" s="18">
        <v>1488</v>
      </c>
      <c r="E87" s="18">
        <v>112</v>
      </c>
      <c r="F87" s="18">
        <v>-5199</v>
      </c>
      <c r="G87" s="18">
        <v>2684</v>
      </c>
      <c r="H87" s="18">
        <v>-2547</v>
      </c>
      <c r="I87" s="18">
        <v>-607</v>
      </c>
      <c r="J87" s="18">
        <v>4661</v>
      </c>
      <c r="K87" s="18">
        <v>-1208</v>
      </c>
      <c r="L87" s="18">
        <v>651</v>
      </c>
      <c r="M87" s="20"/>
      <c r="N87" s="18">
        <v>-1631</v>
      </c>
      <c r="O87" s="18">
        <v>-3343</v>
      </c>
      <c r="P87" s="18">
        <v>-2418</v>
      </c>
      <c r="Q87" s="19">
        <f>IF(COUNT('Cash Flow'!K87)=1,'Cash Flow'!K87,"")</f>
        <v>-1208</v>
      </c>
      <c r="R87" s="18">
        <v>-234</v>
      </c>
      <c r="S87" s="18">
        <v>-841</v>
      </c>
      <c r="T87" s="18">
        <v>-382</v>
      </c>
      <c r="U87" s="19">
        <f>IF(COUNT('Cash Flow'!L87)=1,'Cash Flow'!L87,"")</f>
        <v>651</v>
      </c>
      <c r="V87" s="18">
        <v>1347</v>
      </c>
      <c r="W87" s="18">
        <v>1099</v>
      </c>
      <c r="X87" s="18">
        <v>1524</v>
      </c>
    </row>
    <row r="88" spans="1:24" ht="36" customHeight="1">
      <c r="A88" s="3" t="s">
        <v>366</v>
      </c>
      <c r="B88" s="1"/>
      <c r="C88" s="14">
        <v>9119</v>
      </c>
      <c r="D88" s="14">
        <v>9169</v>
      </c>
      <c r="E88" s="14">
        <v>10657</v>
      </c>
      <c r="F88" s="14">
        <v>10769</v>
      </c>
      <c r="G88" s="14">
        <v>5570</v>
      </c>
      <c r="H88" s="14">
        <v>8254</v>
      </c>
      <c r="I88" s="14">
        <v>5707</v>
      </c>
      <c r="J88" s="14">
        <v>5100</v>
      </c>
      <c r="K88" s="14">
        <v>9761</v>
      </c>
      <c r="L88" s="14">
        <v>8553</v>
      </c>
      <c r="M88" s="15"/>
      <c r="N88" s="14">
        <v>9761</v>
      </c>
      <c r="O88" s="14">
        <v>9761</v>
      </c>
      <c r="P88" s="14">
        <v>9761</v>
      </c>
      <c r="Q88" s="13">
        <f>IF(COUNT('Cash Flow'!K88)=1,'Cash Flow'!K88,"")</f>
        <v>9761</v>
      </c>
      <c r="R88" s="14">
        <v>8553</v>
      </c>
      <c r="S88" s="14">
        <v>8553</v>
      </c>
      <c r="T88" s="14">
        <v>8553</v>
      </c>
      <c r="U88" s="13">
        <f>IF(COUNT('Cash Flow'!L88)=1,'Cash Flow'!L88,"")</f>
        <v>8553</v>
      </c>
      <c r="V88" s="14">
        <v>9204</v>
      </c>
      <c r="W88" s="14">
        <v>9204</v>
      </c>
      <c r="X88" s="14">
        <v>9204</v>
      </c>
    </row>
    <row r="89" spans="1:24" ht="24" customHeight="1">
      <c r="A89" s="16" t="s">
        <v>367</v>
      </c>
      <c r="B89" s="17"/>
      <c r="C89" s="18">
        <v>9169</v>
      </c>
      <c r="D89" s="18">
        <v>10657</v>
      </c>
      <c r="E89" s="18">
        <v>10769</v>
      </c>
      <c r="F89" s="18">
        <v>5570</v>
      </c>
      <c r="G89" s="18">
        <v>8254</v>
      </c>
      <c r="H89" s="18">
        <v>5707</v>
      </c>
      <c r="I89" s="18">
        <v>5100</v>
      </c>
      <c r="J89" s="18">
        <v>9761</v>
      </c>
      <c r="K89" s="18">
        <v>8553</v>
      </c>
      <c r="L89" s="18">
        <v>9204</v>
      </c>
      <c r="M89" s="20"/>
      <c r="N89" s="18">
        <v>8130</v>
      </c>
      <c r="O89" s="18">
        <v>6418</v>
      </c>
      <c r="P89" s="18">
        <v>7343</v>
      </c>
      <c r="Q89" s="19">
        <f>IF(COUNT('Cash Flow'!K89)=1,'Cash Flow'!K89,"")</f>
        <v>8553</v>
      </c>
      <c r="R89" s="18">
        <v>8319</v>
      </c>
      <c r="S89" s="18">
        <v>7712</v>
      </c>
      <c r="T89" s="18">
        <v>8171</v>
      </c>
      <c r="U89" s="19">
        <f>IF(COUNT('Cash Flow'!L89)=1,'Cash Flow'!L89,"")</f>
        <v>9204</v>
      </c>
      <c r="V89" s="18">
        <v>10551</v>
      </c>
      <c r="W89" s="18">
        <v>10303</v>
      </c>
      <c r="X89" s="18">
        <v>10728</v>
      </c>
    </row>
    <row r="90" spans="1:24" ht="24" customHeight="1">
      <c r="A90" s="177" t="s">
        <v>368</v>
      </c>
      <c r="B90" s="178"/>
      <c r="C90" s="179"/>
      <c r="D90" s="179"/>
      <c r="E90" s="179"/>
      <c r="F90" s="179"/>
      <c r="G90" s="179"/>
      <c r="H90" s="179"/>
      <c r="I90" s="179"/>
      <c r="J90" s="179"/>
      <c r="K90" s="179"/>
      <c r="L90" s="179"/>
      <c r="M90" s="12"/>
      <c r="N90" s="179"/>
      <c r="O90" s="179"/>
      <c r="P90" s="179"/>
      <c r="Q90" s="179"/>
      <c r="R90" s="179"/>
      <c r="S90" s="179"/>
      <c r="T90" s="179"/>
      <c r="U90" s="179"/>
      <c r="V90" s="179"/>
      <c r="W90" s="179"/>
      <c r="X90" s="179"/>
    </row>
    <row r="91" spans="1:24" ht="36" customHeight="1">
      <c r="A91" s="3" t="s">
        <v>369</v>
      </c>
      <c r="B91" s="1"/>
      <c r="C91" s="14"/>
      <c r="D91" s="14"/>
      <c r="E91" s="14"/>
      <c r="F91" s="14"/>
      <c r="G91" s="14"/>
      <c r="H91" s="14"/>
      <c r="I91" s="14"/>
      <c r="J91" s="14"/>
      <c r="K91" s="14"/>
      <c r="L91" s="14"/>
      <c r="M91" s="15"/>
      <c r="N91" s="14">
        <v>259</v>
      </c>
      <c r="O91" s="14">
        <v>541</v>
      </c>
      <c r="P91" s="14">
        <v>869</v>
      </c>
      <c r="Q91" s="13" t="str">
        <f>IF(COUNT('Cash Flow'!K91)=1,'Cash Flow'!K91,"")</f>
        <v/>
      </c>
      <c r="R91" s="14">
        <v>166</v>
      </c>
      <c r="S91" s="14">
        <v>329</v>
      </c>
      <c r="T91" s="14">
        <v>542</v>
      </c>
      <c r="U91" s="13" t="str">
        <f>IF(COUNT('Cash Flow'!L91)=1,'Cash Flow'!L91,"")</f>
        <v/>
      </c>
      <c r="V91" s="14">
        <v>114</v>
      </c>
      <c r="W91" s="14">
        <v>292</v>
      </c>
      <c r="X91" s="14">
        <v>625</v>
      </c>
    </row>
    <row r="92" spans="1:24" ht="22" customHeight="1">
      <c r="A92" s="3" t="s">
        <v>370</v>
      </c>
      <c r="B92" s="1"/>
      <c r="C92" s="14"/>
      <c r="D92" s="14"/>
      <c r="E92" s="14"/>
      <c r="F92" s="14"/>
      <c r="G92" s="14"/>
      <c r="H92" s="14"/>
      <c r="I92" s="14"/>
      <c r="J92" s="14"/>
      <c r="K92" s="14"/>
      <c r="L92" s="14"/>
      <c r="M92" s="15"/>
      <c r="N92" s="14"/>
      <c r="O92" s="14"/>
      <c r="P92" s="14">
        <v>0</v>
      </c>
      <c r="Q92" s="13" t="str">
        <f>IF(COUNT('Cash Flow'!K92)=1,'Cash Flow'!K92,"")</f>
        <v/>
      </c>
      <c r="R92" s="14"/>
      <c r="S92" s="14"/>
      <c r="T92" s="14"/>
      <c r="U92" s="13" t="str">
        <f>IF(COUNT('Cash Flow'!L92)=1,'Cash Flow'!L92,"")</f>
        <v/>
      </c>
      <c r="V92" s="14"/>
      <c r="W92" s="14"/>
      <c r="X92" s="14"/>
    </row>
    <row r="93" spans="1:24" ht="22" customHeight="1">
      <c r="A93" s="3" t="s">
        <v>370</v>
      </c>
      <c r="B93" s="1"/>
      <c r="C93" s="14"/>
      <c r="D93" s="14"/>
      <c r="E93" s="14"/>
      <c r="F93" s="14"/>
      <c r="G93" s="14"/>
      <c r="H93" s="14"/>
      <c r="I93" s="14"/>
      <c r="J93" s="14"/>
      <c r="K93" s="14"/>
      <c r="L93" s="14"/>
      <c r="M93" s="15"/>
      <c r="N93" s="14"/>
      <c r="O93" s="14"/>
      <c r="P93" s="14"/>
      <c r="Q93" s="13" t="str">
        <f>IF(COUNT('Cash Flow'!K93)=1,'Cash Flow'!K93,"")</f>
        <v/>
      </c>
      <c r="R93" s="14"/>
      <c r="S93" s="14"/>
      <c r="T93" s="14">
        <v>554</v>
      </c>
      <c r="U93" s="13" t="str">
        <f>IF(COUNT('Cash Flow'!L93)=1,'Cash Flow'!L93,"")</f>
        <v/>
      </c>
      <c r="V93" s="14"/>
      <c r="W93" s="14"/>
      <c r="X93" s="14">
        <v>0</v>
      </c>
    </row>
    <row r="94" spans="1:24" ht="22" customHeight="1">
      <c r="A94" s="3"/>
      <c r="B94" s="1"/>
      <c r="C94" s="2"/>
      <c r="D94" s="2"/>
      <c r="E94" s="2"/>
      <c r="F94" s="2"/>
      <c r="G94" s="2"/>
      <c r="H94" s="2"/>
      <c r="I94" s="2"/>
      <c r="J94" s="2"/>
      <c r="K94" s="2"/>
      <c r="L94" s="2"/>
      <c r="M94" s="2"/>
      <c r="N94" s="2"/>
      <c r="O94" s="2"/>
      <c r="P94" s="2"/>
      <c r="Q94" s="2"/>
      <c r="R94" s="2"/>
      <c r="S94" s="2"/>
      <c r="T94" s="2"/>
      <c r="U94" s="2"/>
      <c r="V94" s="2"/>
      <c r="W94" s="2"/>
      <c r="X94" s="2"/>
    </row>
    <row r="95" spans="1:24" ht="22" customHeight="1">
      <c r="A95" s="174" t="s">
        <v>294</v>
      </c>
      <c r="B95" s="174"/>
      <c r="C95" s="175"/>
      <c r="D95" s="175"/>
      <c r="E95" s="175"/>
      <c r="F95" s="175"/>
      <c r="G95" s="175"/>
      <c r="H95" s="175"/>
      <c r="I95" s="175"/>
      <c r="J95" s="175"/>
      <c r="K95" s="175"/>
      <c r="L95" s="175"/>
      <c r="M95" s="175"/>
      <c r="N95" s="175"/>
      <c r="O95" s="175"/>
      <c r="P95" s="175"/>
      <c r="Q95" s="175"/>
      <c r="R95" s="175"/>
      <c r="S95" s="175"/>
      <c r="T95" s="175"/>
      <c r="U95" s="175"/>
      <c r="V95" s="175"/>
      <c r="W95" s="175"/>
      <c r="X95" s="175"/>
    </row>
    <row r="96" spans="1:24" ht="18" customHeight="1">
      <c r="A96" s="163" t="s">
        <v>371</v>
      </c>
      <c r="B96" s="163"/>
      <c r="C96" s="173"/>
      <c r="D96" s="173"/>
      <c r="E96" s="173"/>
      <c r="F96" s="173"/>
      <c r="G96" s="173"/>
      <c r="H96" s="173"/>
      <c r="I96" s="173"/>
      <c r="J96" s="173"/>
      <c r="K96" s="173"/>
      <c r="L96" s="173"/>
      <c r="M96" s="173"/>
      <c r="N96" s="173"/>
      <c r="O96" s="173"/>
      <c r="P96" s="173"/>
      <c r="Q96" s="173"/>
      <c r="R96" s="173"/>
      <c r="S96" s="173"/>
      <c r="T96" s="173"/>
      <c r="U96" s="173"/>
      <c r="V96" s="173"/>
      <c r="W96" s="173"/>
      <c r="X96" s="173"/>
    </row>
    <row r="97" spans="1:24" ht="24" customHeight="1">
      <c r="A97" s="177" t="s">
        <v>296</v>
      </c>
      <c r="B97" s="178"/>
      <c r="C97" s="179"/>
      <c r="D97" s="179"/>
      <c r="E97" s="179"/>
      <c r="F97" s="179"/>
      <c r="G97" s="179"/>
      <c r="H97" s="179"/>
      <c r="I97" s="179"/>
      <c r="J97" s="179"/>
      <c r="K97" s="179"/>
      <c r="L97" s="179"/>
      <c r="M97" s="12"/>
      <c r="N97" s="179"/>
      <c r="O97" s="179"/>
      <c r="P97" s="179"/>
      <c r="Q97" s="179"/>
      <c r="R97" s="179"/>
      <c r="S97" s="179"/>
      <c r="T97" s="179"/>
      <c r="U97" s="179"/>
      <c r="V97" s="179"/>
      <c r="W97" s="179"/>
      <c r="X97" s="179"/>
    </row>
    <row r="98" spans="1:24" ht="24" customHeight="1">
      <c r="A98" s="16" t="s">
        <v>233</v>
      </c>
      <c r="B98" s="17"/>
      <c r="C98" s="18"/>
      <c r="D98" s="18"/>
      <c r="E98" s="18"/>
      <c r="F98" s="18"/>
      <c r="G98" s="18"/>
      <c r="H98" s="18"/>
      <c r="I98" s="18"/>
      <c r="J98" s="18"/>
      <c r="K98" s="18"/>
      <c r="L98" s="18"/>
      <c r="M98" s="20"/>
      <c r="N98" s="19">
        <f>IF(COUNT('Cash Flow'!N14)=1,'Cash Flow'!N14,"")</f>
        <v>2053</v>
      </c>
      <c r="O98" s="19">
        <f>IF(COUNT('Cash Flow'!O14,'Cash Flow'!N14)=2,'Cash Flow'!O14-'Cash Flow'!N14,"")</f>
        <v>3094</v>
      </c>
      <c r="P98" s="19">
        <f>IF(COUNT('Cash Flow'!P14,'Cash Flow'!O14)=2,'Cash Flow'!P14-'Cash Flow'!O14,"")</f>
        <v>2945</v>
      </c>
      <c r="Q98" s="19">
        <f>IF(COUNT('Cash Flow'!Q14,'Cash Flow'!P14)=2,'Cash Flow'!Q14-'Cash Flow'!P14,"")</f>
        <v>1534</v>
      </c>
      <c r="R98" s="19">
        <f>IF(COUNT('Cash Flow'!R14)=1,'Cash Flow'!R14,"")</f>
        <v>1843</v>
      </c>
      <c r="S98" s="19">
        <f>IF(COUNT('Cash Flow'!S14,'Cash Flow'!R14)=2,'Cash Flow'!S14-'Cash Flow'!R14,"")</f>
        <v>1279</v>
      </c>
      <c r="T98" s="19">
        <f>IF(COUNT('Cash Flow'!T14,'Cash Flow'!S14)=2,'Cash Flow'!T14-'Cash Flow'!S14,"")</f>
        <v>2618</v>
      </c>
      <c r="U98" s="19">
        <f>IF(COUNT('Cash Flow'!U14,'Cash Flow'!T14)=2,'Cash Flow'!U14-'Cash Flow'!T14,"")</f>
        <v>2555</v>
      </c>
      <c r="V98" s="19">
        <f>IF(COUNT('Cash Flow'!V14)=1,'Cash Flow'!V14,"")</f>
        <v>2338</v>
      </c>
      <c r="W98" s="19">
        <f>IF(COUNT('Cash Flow'!W14,'Cash Flow'!V14)=2,'Cash Flow'!W14-'Cash Flow'!V14,"")</f>
        <v>3004</v>
      </c>
      <c r="X98" s="19">
        <f>IF(COUNT('Cash Flow'!X14,'Cash Flow'!W14)=2,'Cash Flow'!X14-'Cash Flow'!W14,"")</f>
        <v>3070</v>
      </c>
    </row>
    <row r="99" spans="1:24" ht="22" customHeight="1">
      <c r="A99" s="3" t="s">
        <v>136</v>
      </c>
      <c r="B99" s="1"/>
      <c r="C99" s="14"/>
      <c r="D99" s="14"/>
      <c r="E99" s="14"/>
      <c r="F99" s="14"/>
      <c r="G99" s="14"/>
      <c r="H99" s="14"/>
      <c r="I99" s="14"/>
      <c r="J99" s="14"/>
      <c r="K99" s="14"/>
      <c r="L99" s="14"/>
      <c r="M99" s="15"/>
      <c r="N99" s="13">
        <f>IF(COUNT('Cash Flow'!N15)=1,'Cash Flow'!N15,"")</f>
        <v>641</v>
      </c>
      <c r="O99" s="13">
        <f>IF(COUNT('Cash Flow'!O15,'Cash Flow'!N15)=2,'Cash Flow'!O15-'Cash Flow'!N15,"")</f>
        <v>738</v>
      </c>
      <c r="P99" s="13">
        <f>IF(COUNT('Cash Flow'!P15,'Cash Flow'!O15)=2,'Cash Flow'!P15-'Cash Flow'!O15,"")</f>
        <v>739</v>
      </c>
      <c r="Q99" s="13">
        <f>IF(COUNT('Cash Flow'!Q15,'Cash Flow'!P15)=2,'Cash Flow'!Q15-'Cash Flow'!P15,"")</f>
        <v>1042</v>
      </c>
      <c r="R99" s="13">
        <f>IF(COUNT('Cash Flow'!R15)=1,'Cash Flow'!R15,"")</f>
        <v>684</v>
      </c>
      <c r="S99" s="13">
        <f>IF(COUNT('Cash Flow'!S15,'Cash Flow'!R15)=2,'Cash Flow'!S15-'Cash Flow'!R15,"")</f>
        <v>807</v>
      </c>
      <c r="T99" s="13">
        <f>IF(COUNT('Cash Flow'!T15,'Cash Flow'!S15)=2,'Cash Flow'!T15-'Cash Flow'!S15,"")</f>
        <v>824</v>
      </c>
      <c r="U99" s="13">
        <f>IF(COUNT('Cash Flow'!U15,'Cash Flow'!T15)=2,'Cash Flow'!U15-'Cash Flow'!T15,"")</f>
        <v>1136</v>
      </c>
      <c r="V99" s="13">
        <f>IF(COUNT('Cash Flow'!V15)=1,'Cash Flow'!V15,"")</f>
        <v>742</v>
      </c>
      <c r="W99" s="13">
        <f>IF(COUNT('Cash Flow'!W15,'Cash Flow'!V15)=2,'Cash Flow'!W15-'Cash Flow'!V15,"")</f>
        <v>897</v>
      </c>
      <c r="X99" s="13">
        <f>IF(COUNT('Cash Flow'!X15,'Cash Flow'!W15)=2,'Cash Flow'!X15-'Cash Flow'!W15,"")</f>
        <v>892</v>
      </c>
    </row>
    <row r="100" spans="1:24" ht="22" customHeight="1">
      <c r="A100" s="3" t="s">
        <v>372</v>
      </c>
      <c r="B100" s="1"/>
      <c r="C100" s="14"/>
      <c r="D100" s="14"/>
      <c r="E100" s="14"/>
      <c r="F100" s="14"/>
      <c r="G100" s="14"/>
      <c r="H100" s="14"/>
      <c r="I100" s="14"/>
      <c r="J100" s="14"/>
      <c r="K100" s="14"/>
      <c r="L100" s="14"/>
      <c r="M100" s="15"/>
      <c r="N100" s="13">
        <f>IF(COUNT('Cash Flow'!N16)=1,'Cash Flow'!N16,"")</f>
        <v>97</v>
      </c>
      <c r="O100" s="13">
        <f>IF(COUNT('Cash Flow'!O16,'Cash Flow'!N16)=2,'Cash Flow'!O16-'Cash Flow'!N16,"")</f>
        <v>86</v>
      </c>
      <c r="P100" s="13">
        <f>IF(COUNT('Cash Flow'!P16,'Cash Flow'!O16)=2,'Cash Flow'!P16-'Cash Flow'!O16,"")</f>
        <v>77</v>
      </c>
      <c r="Q100" s="13">
        <f>IF(COUNT('Cash Flow'!Q16,'Cash Flow'!P16)=2,'Cash Flow'!Q16-'Cash Flow'!P16,"")</f>
        <v>102</v>
      </c>
      <c r="R100" s="13">
        <f>IF(COUNT('Cash Flow'!R16)=1,'Cash Flow'!R16,"")</f>
        <v>77</v>
      </c>
      <c r="S100" s="13">
        <f>IF(COUNT('Cash Flow'!S16,'Cash Flow'!R16)=2,'Cash Flow'!S16-'Cash Flow'!R16,"")</f>
        <v>54</v>
      </c>
      <c r="T100" s="13">
        <f>IF(COUNT('Cash Flow'!T16,'Cash Flow'!S16)=2,'Cash Flow'!T16-'Cash Flow'!S16,"")</f>
        <v>76</v>
      </c>
      <c r="U100" s="13">
        <f>IF(COUNT('Cash Flow'!U16,'Cash Flow'!T16)=2,'Cash Flow'!U16-'Cash Flow'!T16,"")</f>
        <v>81</v>
      </c>
      <c r="V100" s="13">
        <f>IF(COUNT('Cash Flow'!V16)=1,'Cash Flow'!V16,"")</f>
        <v>93</v>
      </c>
      <c r="W100" s="13">
        <f>IF(COUNT('Cash Flow'!W16,'Cash Flow'!V16)=2,'Cash Flow'!W16-'Cash Flow'!V16,"")</f>
        <v>69</v>
      </c>
      <c r="X100" s="13">
        <f>IF(COUNT('Cash Flow'!X16,'Cash Flow'!W16)=2,'Cash Flow'!X16-'Cash Flow'!W16,"")</f>
        <v>78</v>
      </c>
    </row>
    <row r="101" spans="1:24" ht="22" customHeight="1">
      <c r="A101" s="3" t="s">
        <v>298</v>
      </c>
      <c r="B101" s="1"/>
      <c r="C101" s="14"/>
      <c r="D101" s="14"/>
      <c r="E101" s="14"/>
      <c r="F101" s="14"/>
      <c r="G101" s="14"/>
      <c r="H101" s="14"/>
      <c r="I101" s="14"/>
      <c r="J101" s="14"/>
      <c r="K101" s="14"/>
      <c r="L101" s="14"/>
      <c r="M101" s="15"/>
      <c r="N101" s="13">
        <f>IF(COUNT('Cash Flow'!N17)=1,'Cash Flow'!N17,"")</f>
        <v>96</v>
      </c>
      <c r="O101" s="13">
        <f>IF(COUNT('Cash Flow'!O17,'Cash Flow'!N17)=2,'Cash Flow'!O17-'Cash Flow'!N17,"")</f>
        <v>74</v>
      </c>
      <c r="P101" s="13">
        <f>IF(COUNT('Cash Flow'!P17,'Cash Flow'!O17)=2,'Cash Flow'!P17-'Cash Flow'!O17,"")</f>
        <v>245</v>
      </c>
      <c r="Q101" s="13">
        <f>IF(COUNT('Cash Flow'!Q17,'Cash Flow'!P17)=2,'Cash Flow'!Q17-'Cash Flow'!P17,"")</f>
        <v>312</v>
      </c>
      <c r="R101" s="13">
        <f>IF(COUNT('Cash Flow'!R17)=1,'Cash Flow'!R17,"")</f>
        <v>213</v>
      </c>
      <c r="S101" s="13">
        <f>IF(COUNT('Cash Flow'!S17,'Cash Flow'!R17)=2,'Cash Flow'!S17-'Cash Flow'!R17,"")</f>
        <v>213</v>
      </c>
      <c r="T101" s="13">
        <f>IF(COUNT('Cash Flow'!T17,'Cash Flow'!S17)=2,'Cash Flow'!T17-'Cash Flow'!S17,"")</f>
        <v>141</v>
      </c>
      <c r="U101" s="13">
        <f>IF(COUNT('Cash Flow'!U17,'Cash Flow'!T17)=2,'Cash Flow'!U17-'Cash Flow'!T17,"")</f>
        <v>416</v>
      </c>
      <c r="V101" s="13">
        <f>IF(COUNT('Cash Flow'!V17)=1,'Cash Flow'!V17,"")</f>
        <v>133</v>
      </c>
      <c r="W101" s="13">
        <f>IF(COUNT('Cash Flow'!W17,'Cash Flow'!V17)=2,'Cash Flow'!W17-'Cash Flow'!V17,"")</f>
        <v>49</v>
      </c>
      <c r="X101" s="13">
        <f>IF(COUNT('Cash Flow'!X17,'Cash Flow'!W17)=2,'Cash Flow'!X17-'Cash Flow'!W17,"")</f>
        <v>185</v>
      </c>
    </row>
    <row r="102" spans="1:24" ht="22" customHeight="1">
      <c r="A102" s="3" t="s">
        <v>299</v>
      </c>
      <c r="B102" s="1"/>
      <c r="C102" s="14"/>
      <c r="D102" s="14"/>
      <c r="E102" s="14"/>
      <c r="F102" s="14"/>
      <c r="G102" s="14"/>
      <c r="H102" s="14"/>
      <c r="I102" s="14"/>
      <c r="J102" s="14"/>
      <c r="K102" s="14"/>
      <c r="L102" s="14"/>
      <c r="M102" s="15"/>
      <c r="N102" s="13">
        <f>IF(COUNT('Cash Flow'!N18)=1,'Cash Flow'!N18,"")</f>
        <v>-60</v>
      </c>
      <c r="O102" s="13">
        <f>IF(COUNT('Cash Flow'!O18,'Cash Flow'!N18)=2,'Cash Flow'!O18-'Cash Flow'!N18,"")</f>
        <v>-113</v>
      </c>
      <c r="P102" s="13">
        <f>IF(COUNT('Cash Flow'!P18,'Cash Flow'!O18)=2,'Cash Flow'!P18-'Cash Flow'!O18,"")</f>
        <v>-111</v>
      </c>
      <c r="Q102" s="13">
        <f>IF(COUNT('Cash Flow'!Q18,'Cash Flow'!P18)=2,'Cash Flow'!Q18-'Cash Flow'!P18,"")</f>
        <v>-152</v>
      </c>
      <c r="R102" s="13">
        <f>IF(COUNT('Cash Flow'!R18)=1,'Cash Flow'!R18,"")</f>
        <v>-232</v>
      </c>
      <c r="S102" s="13">
        <f>IF(COUNT('Cash Flow'!S18,'Cash Flow'!R18)=2,'Cash Flow'!S18-'Cash Flow'!R18,"")</f>
        <v>-155</v>
      </c>
      <c r="T102" s="13">
        <f>IF(COUNT('Cash Flow'!T18,'Cash Flow'!S18)=2,'Cash Flow'!T18-'Cash Flow'!S18,"")</f>
        <v>-167</v>
      </c>
      <c r="U102" s="13">
        <f>IF(COUNT('Cash Flow'!U18,'Cash Flow'!T18)=2,'Cash Flow'!U18-'Cash Flow'!T18,"")</f>
        <v>-242</v>
      </c>
      <c r="V102" s="13">
        <f>IF(COUNT('Cash Flow'!V18)=1,'Cash Flow'!V18,"")</f>
        <v>-145</v>
      </c>
      <c r="W102" s="13">
        <f>IF(COUNT('Cash Flow'!W18,'Cash Flow'!V18)=2,'Cash Flow'!W18-'Cash Flow'!V18,"")</f>
        <v>-119</v>
      </c>
      <c r="X102" s="13">
        <f>IF(COUNT('Cash Flow'!X18,'Cash Flow'!W18)=2,'Cash Flow'!X18-'Cash Flow'!W18,"")</f>
        <v>-109</v>
      </c>
    </row>
    <row r="103" spans="1:24" ht="22" customHeight="1">
      <c r="A103" s="3" t="s">
        <v>300</v>
      </c>
      <c r="B103" s="1"/>
      <c r="C103" s="14"/>
      <c r="D103" s="14"/>
      <c r="E103" s="14"/>
      <c r="F103" s="14"/>
      <c r="G103" s="14"/>
      <c r="H103" s="14"/>
      <c r="I103" s="14"/>
      <c r="J103" s="14"/>
      <c r="K103" s="14"/>
      <c r="L103" s="14"/>
      <c r="M103" s="15"/>
      <c r="N103" s="13">
        <f>IF(COUNT('Cash Flow'!N19)=1,'Cash Flow'!N19,"")</f>
        <v>31</v>
      </c>
      <c r="O103" s="13">
        <f>IF(COUNT('Cash Flow'!O19,'Cash Flow'!N19)=2,'Cash Flow'!O19-'Cash Flow'!N19,"")</f>
        <v>36</v>
      </c>
      <c r="P103" s="13">
        <f>IF(COUNT('Cash Flow'!P19,'Cash Flow'!O19)=2,'Cash Flow'!P19-'Cash Flow'!O19,"")</f>
        <v>47</v>
      </c>
      <c r="Q103" s="13">
        <f>IF(COUNT('Cash Flow'!Q19,'Cash Flow'!P19)=2,'Cash Flow'!Q19-'Cash Flow'!P19,"")</f>
        <v>300</v>
      </c>
      <c r="R103" s="13">
        <f>IF(COUNT('Cash Flow'!R19)=1,'Cash Flow'!R19,"")</f>
        <v>48</v>
      </c>
      <c r="S103" s="13">
        <f>IF(COUNT('Cash Flow'!S19,'Cash Flow'!R19)=2,'Cash Flow'!S19-'Cash Flow'!R19,"")</f>
        <v>51</v>
      </c>
      <c r="T103" s="13">
        <f>IF(COUNT('Cash Flow'!T19,'Cash Flow'!S19)=2,'Cash Flow'!T19-'Cash Flow'!S19,"")</f>
        <v>65</v>
      </c>
      <c r="U103" s="13">
        <f>IF(COUNT('Cash Flow'!U19,'Cash Flow'!T19)=2,'Cash Flow'!U19-'Cash Flow'!T19,"")</f>
        <v>340</v>
      </c>
      <c r="V103" s="13">
        <f>IF(COUNT('Cash Flow'!V19)=1,'Cash Flow'!V19,"")</f>
        <v>13</v>
      </c>
      <c r="W103" s="13">
        <f>IF(COUNT('Cash Flow'!W19,'Cash Flow'!V19)=2,'Cash Flow'!W19-'Cash Flow'!V19,"")</f>
        <v>17</v>
      </c>
      <c r="X103" s="13">
        <f>IF(COUNT('Cash Flow'!X19,'Cash Flow'!W19)=2,'Cash Flow'!X19-'Cash Flow'!W19,"")</f>
        <v>197</v>
      </c>
    </row>
    <row r="104" spans="1:24" ht="22" customHeight="1">
      <c r="A104" s="3" t="s">
        <v>301</v>
      </c>
      <c r="B104" s="1"/>
      <c r="C104" s="14"/>
      <c r="D104" s="14"/>
      <c r="E104" s="14"/>
      <c r="F104" s="14"/>
      <c r="G104" s="14"/>
      <c r="H104" s="14"/>
      <c r="I104" s="14"/>
      <c r="J104" s="14"/>
      <c r="K104" s="14"/>
      <c r="L104" s="14"/>
      <c r="M104" s="15"/>
      <c r="N104" s="13">
        <f>IF(COUNT('Cash Flow'!N20)=1,'Cash Flow'!N20,"")</f>
        <v>-218</v>
      </c>
      <c r="O104" s="13">
        <f>IF(COUNT('Cash Flow'!O20,'Cash Flow'!N20)=2,'Cash Flow'!O20-'Cash Flow'!N20,"")</f>
        <v>-45</v>
      </c>
      <c r="P104" s="13">
        <f>IF(COUNT('Cash Flow'!P20,'Cash Flow'!O20)=2,'Cash Flow'!P20-'Cash Flow'!O20,"")</f>
        <v>-37</v>
      </c>
      <c r="Q104" s="13">
        <f>IF(COUNT('Cash Flow'!Q20,'Cash Flow'!P20)=2,'Cash Flow'!Q20-'Cash Flow'!P20,"")</f>
        <v>-48</v>
      </c>
      <c r="R104" s="13">
        <f>IF(COUNT('Cash Flow'!R20)=1,'Cash Flow'!R20,"")</f>
        <v>-317</v>
      </c>
      <c r="S104" s="13">
        <f>IF(COUNT('Cash Flow'!S20,'Cash Flow'!R20)=2,'Cash Flow'!S20-'Cash Flow'!R20,"")</f>
        <v>-37</v>
      </c>
      <c r="T104" s="13">
        <f>IF(COUNT('Cash Flow'!T20,'Cash Flow'!S20)=2,'Cash Flow'!T20-'Cash Flow'!S20,"")</f>
        <v>-46</v>
      </c>
      <c r="U104" s="13">
        <f>IF(COUNT('Cash Flow'!U20,'Cash Flow'!T20)=2,'Cash Flow'!U20-'Cash Flow'!T20,"")</f>
        <v>-72</v>
      </c>
      <c r="V104" s="13">
        <f>IF(COUNT('Cash Flow'!V20)=1,'Cash Flow'!V20,"")</f>
        <v>-270</v>
      </c>
      <c r="W104" s="13">
        <f>IF(COUNT('Cash Flow'!W20,'Cash Flow'!V20)=2,'Cash Flow'!W20-'Cash Flow'!V20,"")</f>
        <v>-45</v>
      </c>
      <c r="X104" s="13">
        <f>IF(COUNT('Cash Flow'!X20,'Cash Flow'!W20)=2,'Cash Flow'!X20-'Cash Flow'!W20,"")</f>
        <v>-40</v>
      </c>
    </row>
    <row r="105" spans="1:24" ht="22" customHeight="1">
      <c r="A105" s="3" t="s">
        <v>302</v>
      </c>
      <c r="B105" s="1"/>
      <c r="C105" s="14"/>
      <c r="D105" s="14"/>
      <c r="E105" s="14"/>
      <c r="F105" s="14"/>
      <c r="G105" s="14"/>
      <c r="H105" s="14"/>
      <c r="I105" s="14"/>
      <c r="J105" s="14"/>
      <c r="K105" s="14"/>
      <c r="L105" s="14"/>
      <c r="M105" s="15"/>
      <c r="N105" s="13">
        <f>IF(COUNT('Cash Flow'!N21)=1,'Cash Flow'!N21,"")</f>
        <v>116</v>
      </c>
      <c r="O105" s="13">
        <f>IF(COUNT('Cash Flow'!O21,'Cash Flow'!N21)=2,'Cash Flow'!O21-'Cash Flow'!N21,"")</f>
        <v>26</v>
      </c>
      <c r="P105" s="13">
        <f>IF(COUNT('Cash Flow'!P21,'Cash Flow'!O21)=2,'Cash Flow'!P21-'Cash Flow'!O21,"")</f>
        <v>-18</v>
      </c>
      <c r="Q105" s="13">
        <f>IF(COUNT('Cash Flow'!Q21,'Cash Flow'!P21)=2,'Cash Flow'!Q21-'Cash Flow'!P21,"")</f>
        <v>-166</v>
      </c>
      <c r="R105" s="13">
        <f>IF(COUNT('Cash Flow'!R21)=1,'Cash Flow'!R21,"")</f>
        <v>111</v>
      </c>
      <c r="S105" s="13">
        <f>IF(COUNT('Cash Flow'!S21,'Cash Flow'!R21)=2,'Cash Flow'!S21-'Cash Flow'!R21,"")</f>
        <v>-371</v>
      </c>
      <c r="T105" s="13">
        <f>IF(COUNT('Cash Flow'!T21,'Cash Flow'!S21)=2,'Cash Flow'!T21-'Cash Flow'!S21,"")</f>
        <v>290</v>
      </c>
      <c r="U105" s="13">
        <f>IF(COUNT('Cash Flow'!U21,'Cash Flow'!T21)=2,'Cash Flow'!U21-'Cash Flow'!T21,"")</f>
        <v>41</v>
      </c>
      <c r="V105" s="13">
        <f>IF(COUNT('Cash Flow'!V21)=1,'Cash Flow'!V21,"")</f>
        <v>226</v>
      </c>
      <c r="W105" s="13">
        <f>IF(COUNT('Cash Flow'!W21,'Cash Flow'!V21)=2,'Cash Flow'!W21-'Cash Flow'!V21,"")</f>
        <v>268</v>
      </c>
      <c r="X105" s="13">
        <f>IF(COUNT('Cash Flow'!X21,'Cash Flow'!W21)=2,'Cash Flow'!X21-'Cash Flow'!W21,"")</f>
        <v>169</v>
      </c>
    </row>
    <row r="106" spans="1:24" ht="22" customHeight="1">
      <c r="A106" s="3" t="s">
        <v>303</v>
      </c>
      <c r="B106" s="1"/>
      <c r="C106" s="14"/>
      <c r="D106" s="14"/>
      <c r="E106" s="14"/>
      <c r="F106" s="14"/>
      <c r="G106" s="14"/>
      <c r="H106" s="14"/>
      <c r="I106" s="14"/>
      <c r="J106" s="14"/>
      <c r="K106" s="14"/>
      <c r="L106" s="14"/>
      <c r="M106" s="15"/>
      <c r="N106" s="13">
        <f>IF(COUNT('Cash Flow'!N22)=1,'Cash Flow'!N22,"")</f>
        <v>-96</v>
      </c>
      <c r="O106" s="13">
        <f>IF(COUNT('Cash Flow'!O22,'Cash Flow'!N22)=2,'Cash Flow'!O22-'Cash Flow'!N22,"")</f>
        <v>-1042</v>
      </c>
      <c r="P106" s="13">
        <f>IF(COUNT('Cash Flow'!P22,'Cash Flow'!O22)=2,'Cash Flow'!P22-'Cash Flow'!O22,"")</f>
        <v>-383</v>
      </c>
      <c r="Q106" s="13">
        <f>IF(COUNT('Cash Flow'!Q22,'Cash Flow'!P22)=2,'Cash Flow'!Q22-'Cash Flow'!P22,"")</f>
        <v>1383</v>
      </c>
      <c r="R106" s="13">
        <f>IF(COUNT('Cash Flow'!R22)=1,'Cash Flow'!R22,"")</f>
        <v>-318</v>
      </c>
      <c r="S106" s="13">
        <f>IF(COUNT('Cash Flow'!S22,'Cash Flow'!R22)=2,'Cash Flow'!S22-'Cash Flow'!R22,"")</f>
        <v>-1264</v>
      </c>
      <c r="T106" s="13">
        <f>IF(COUNT('Cash Flow'!T22,'Cash Flow'!S22)=2,'Cash Flow'!T22-'Cash Flow'!S22,"")</f>
        <v>-165</v>
      </c>
      <c r="U106" s="13">
        <f>IF(COUNT('Cash Flow'!U22,'Cash Flow'!T22)=2,'Cash Flow'!U22-'Cash Flow'!T22,"")</f>
        <v>1167</v>
      </c>
      <c r="V106" s="13">
        <f>IF(COUNT('Cash Flow'!V22)=1,'Cash Flow'!V22,"")</f>
        <v>-530</v>
      </c>
      <c r="W106" s="13">
        <f>IF(COUNT('Cash Flow'!W22,'Cash Flow'!V22)=2,'Cash Flow'!W22-'Cash Flow'!V22,"")</f>
        <v>-1327</v>
      </c>
      <c r="X106" s="13">
        <f>IF(COUNT('Cash Flow'!X22,'Cash Flow'!W22)=2,'Cash Flow'!X22-'Cash Flow'!W22,"")</f>
        <v>-267</v>
      </c>
    </row>
    <row r="107" spans="1:24" ht="22" customHeight="1">
      <c r="A107" s="3" t="s">
        <v>253</v>
      </c>
      <c r="B107" s="1"/>
      <c r="C107" s="14"/>
      <c r="D107" s="14"/>
      <c r="E107" s="14"/>
      <c r="F107" s="14"/>
      <c r="G107" s="14"/>
      <c r="H107" s="14"/>
      <c r="I107" s="14"/>
      <c r="J107" s="14"/>
      <c r="K107" s="14"/>
      <c r="L107" s="14"/>
      <c r="M107" s="15"/>
      <c r="N107" s="13">
        <f>IF(COUNT('Cash Flow'!N23)=1,'Cash Flow'!N23,"")</f>
        <v>-291</v>
      </c>
      <c r="O107" s="13">
        <f>IF(COUNT('Cash Flow'!O23,'Cash Flow'!N23)=2,'Cash Flow'!O23-'Cash Flow'!N23,"")</f>
        <v>-405</v>
      </c>
      <c r="P107" s="13">
        <f>IF(COUNT('Cash Flow'!P23,'Cash Flow'!O23)=2,'Cash Flow'!P23-'Cash Flow'!O23,"")</f>
        <v>204</v>
      </c>
      <c r="Q107" s="13">
        <f>IF(COUNT('Cash Flow'!Q23,'Cash Flow'!P23)=2,'Cash Flow'!Q23-'Cash Flow'!P23,"")</f>
        <v>178</v>
      </c>
      <c r="R107" s="13">
        <f>IF(COUNT('Cash Flow'!R23)=1,'Cash Flow'!R23,"")</f>
        <v>-238</v>
      </c>
      <c r="S107" s="13">
        <f>IF(COUNT('Cash Flow'!S23,'Cash Flow'!R23)=2,'Cash Flow'!S23-'Cash Flow'!R23,"")</f>
        <v>-562</v>
      </c>
      <c r="T107" s="13">
        <f>IF(COUNT('Cash Flow'!T23,'Cash Flow'!S23)=2,'Cash Flow'!T23-'Cash Flow'!S23,"")</f>
        <v>351</v>
      </c>
      <c r="U107" s="13">
        <f>IF(COUNT('Cash Flow'!U23,'Cash Flow'!T23)=2,'Cash Flow'!U23-'Cash Flow'!T23,"")</f>
        <v>299</v>
      </c>
      <c r="V107" s="13">
        <f>IF(COUNT('Cash Flow'!V23)=1,'Cash Flow'!V23,"")</f>
        <v>-315</v>
      </c>
      <c r="W107" s="13">
        <f>IF(COUNT('Cash Flow'!W23,'Cash Flow'!V23)=2,'Cash Flow'!W23-'Cash Flow'!V23,"")</f>
        <v>-487</v>
      </c>
      <c r="X107" s="13">
        <f>IF(COUNT('Cash Flow'!X23,'Cash Flow'!W23)=2,'Cash Flow'!X23-'Cash Flow'!W23,"")</f>
        <v>214</v>
      </c>
    </row>
    <row r="108" spans="1:24" ht="22" customHeight="1">
      <c r="A108" s="3" t="s">
        <v>254</v>
      </c>
      <c r="B108" s="1"/>
      <c r="C108" s="14"/>
      <c r="D108" s="14"/>
      <c r="E108" s="14"/>
      <c r="F108" s="14"/>
      <c r="G108" s="14"/>
      <c r="H108" s="14"/>
      <c r="I108" s="14"/>
      <c r="J108" s="14"/>
      <c r="K108" s="14"/>
      <c r="L108" s="14"/>
      <c r="M108" s="15"/>
      <c r="N108" s="13">
        <f>IF(COUNT('Cash Flow'!N24)=1,'Cash Flow'!N24,"")</f>
        <v>-342</v>
      </c>
      <c r="O108" s="13">
        <f>IF(COUNT('Cash Flow'!O24,'Cash Flow'!N24)=2,'Cash Flow'!O24-'Cash Flow'!N24,"")</f>
        <v>-23</v>
      </c>
      <c r="P108" s="13">
        <f>IF(COUNT('Cash Flow'!P24,'Cash Flow'!O24)=2,'Cash Flow'!P24-'Cash Flow'!O24,"")</f>
        <v>165</v>
      </c>
      <c r="Q108" s="13">
        <f>IF(COUNT('Cash Flow'!Q24,'Cash Flow'!P24)=2,'Cash Flow'!Q24-'Cash Flow'!P24,"")</f>
        <v>240</v>
      </c>
      <c r="R108" s="13">
        <f>IF(COUNT('Cash Flow'!R24)=1,'Cash Flow'!R24,"")</f>
        <v>-307</v>
      </c>
      <c r="S108" s="13">
        <f>IF(COUNT('Cash Flow'!S24,'Cash Flow'!R24)=2,'Cash Flow'!S24-'Cash Flow'!R24,"")</f>
        <v>-47</v>
      </c>
      <c r="T108" s="13">
        <f>IF(COUNT('Cash Flow'!T24,'Cash Flow'!S24)=2,'Cash Flow'!T24-'Cash Flow'!S24,"")</f>
        <v>131</v>
      </c>
      <c r="U108" s="13">
        <f>IF(COUNT('Cash Flow'!U24,'Cash Flow'!T24)=2,'Cash Flow'!U24-'Cash Flow'!T24,"")</f>
        <v>418</v>
      </c>
      <c r="V108" s="13">
        <f>IF(COUNT('Cash Flow'!V24)=1,'Cash Flow'!V24,"")</f>
        <v>-406</v>
      </c>
      <c r="W108" s="13">
        <f>IF(COUNT('Cash Flow'!W24,'Cash Flow'!V24)=2,'Cash Flow'!W24-'Cash Flow'!V24,"")</f>
        <v>135</v>
      </c>
      <c r="X108" s="13">
        <f>IF(COUNT('Cash Flow'!X24,'Cash Flow'!W24)=2,'Cash Flow'!X24-'Cash Flow'!W24,"")</f>
        <v>298</v>
      </c>
    </row>
    <row r="109" spans="1:24" ht="22" customHeight="1">
      <c r="A109" s="3" t="s">
        <v>271</v>
      </c>
      <c r="B109" s="1"/>
      <c r="C109" s="14"/>
      <c r="D109" s="14"/>
      <c r="E109" s="14"/>
      <c r="F109" s="14"/>
      <c r="G109" s="14"/>
      <c r="H109" s="14"/>
      <c r="I109" s="14"/>
      <c r="J109" s="14"/>
      <c r="K109" s="14"/>
      <c r="L109" s="14"/>
      <c r="M109" s="15"/>
      <c r="N109" s="13">
        <f>IF(COUNT('Cash Flow'!N25)=1,'Cash Flow'!N25,"")</f>
        <v>-3408</v>
      </c>
      <c r="O109" s="13">
        <f>IF(COUNT('Cash Flow'!O25,'Cash Flow'!N25)=2,'Cash Flow'!O25-'Cash Flow'!N25,"")</f>
        <v>440</v>
      </c>
      <c r="P109" s="13">
        <f>IF(COUNT('Cash Flow'!P25,'Cash Flow'!O25)=2,'Cash Flow'!P25-'Cash Flow'!O25,"")</f>
        <v>656</v>
      </c>
      <c r="Q109" s="13">
        <f>IF(COUNT('Cash Flow'!Q25,'Cash Flow'!P25)=2,'Cash Flow'!Q25-'Cash Flow'!P25,"")</f>
        <v>1369</v>
      </c>
      <c r="R109" s="13">
        <f>IF(COUNT('Cash Flow'!R25)=1,'Cash Flow'!R25,"")</f>
        <v>-2671</v>
      </c>
      <c r="S109" s="13">
        <f>IF(COUNT('Cash Flow'!S25,'Cash Flow'!R25)=2,'Cash Flow'!S25-'Cash Flow'!R25,"")</f>
        <v>588</v>
      </c>
      <c r="T109" s="13">
        <f>IF(COUNT('Cash Flow'!T25,'Cash Flow'!S25)=2,'Cash Flow'!T25-'Cash Flow'!S25,"")</f>
        <v>436</v>
      </c>
      <c r="U109" s="13">
        <f>IF(COUNT('Cash Flow'!U25,'Cash Flow'!T25)=2,'Cash Flow'!U25-'Cash Flow'!T25,"")</f>
        <v>970</v>
      </c>
      <c r="V109" s="13">
        <f>IF(COUNT('Cash Flow'!V25)=1,'Cash Flow'!V25,"")</f>
        <v>-1847</v>
      </c>
      <c r="W109" s="13">
        <f>IF(COUNT('Cash Flow'!W25,'Cash Flow'!V25)=2,'Cash Flow'!W25-'Cash Flow'!V25,"")</f>
        <v>647</v>
      </c>
      <c r="X109" s="13">
        <f>IF(COUNT('Cash Flow'!X25,'Cash Flow'!W25)=2,'Cash Flow'!X25-'Cash Flow'!W25,"")</f>
        <v>842</v>
      </c>
    </row>
    <row r="110" spans="1:24" ht="22" customHeight="1">
      <c r="A110" s="3" t="s">
        <v>304</v>
      </c>
      <c r="B110" s="1"/>
      <c r="C110" s="14"/>
      <c r="D110" s="14"/>
      <c r="E110" s="14"/>
      <c r="F110" s="14"/>
      <c r="G110" s="14"/>
      <c r="H110" s="14"/>
      <c r="I110" s="14"/>
      <c r="J110" s="14"/>
      <c r="K110" s="14"/>
      <c r="L110" s="14"/>
      <c r="M110" s="15"/>
      <c r="N110" s="13">
        <f>IF(COUNT('Cash Flow'!N26)=1,'Cash Flow'!N26,"")</f>
        <v>222</v>
      </c>
      <c r="O110" s="13">
        <f>IF(COUNT('Cash Flow'!O26,'Cash Flow'!N26)=2,'Cash Flow'!O26-'Cash Flow'!N26,"")</f>
        <v>65</v>
      </c>
      <c r="P110" s="13">
        <f>IF(COUNT('Cash Flow'!P26,'Cash Flow'!O26)=2,'Cash Flow'!P26-'Cash Flow'!O26,"")</f>
        <v>139</v>
      </c>
      <c r="Q110" s="13">
        <f>IF(COUNT('Cash Flow'!Q26,'Cash Flow'!P26)=2,'Cash Flow'!Q26-'Cash Flow'!P26,"")</f>
        <v>-549</v>
      </c>
      <c r="R110" s="13">
        <f>IF(COUNT('Cash Flow'!R26)=1,'Cash Flow'!R26,"")</f>
        <v>223</v>
      </c>
      <c r="S110" s="13">
        <f>IF(COUNT('Cash Flow'!S26,'Cash Flow'!R26)=2,'Cash Flow'!S26-'Cash Flow'!R26,"")</f>
        <v>192</v>
      </c>
      <c r="T110" s="13">
        <f>IF(COUNT('Cash Flow'!T26,'Cash Flow'!S26)=2,'Cash Flow'!T26-'Cash Flow'!S26,"")</f>
        <v>-409</v>
      </c>
      <c r="U110" s="13">
        <f>IF(COUNT('Cash Flow'!U26,'Cash Flow'!T26)=2,'Cash Flow'!U26-'Cash Flow'!T26,"")</f>
        <v>-439</v>
      </c>
      <c r="V110" s="13">
        <f>IF(COUNT('Cash Flow'!V26)=1,'Cash Flow'!V26,"")</f>
        <v>131</v>
      </c>
      <c r="W110" s="13">
        <f>IF(COUNT('Cash Flow'!W26,'Cash Flow'!V26)=2,'Cash Flow'!W26-'Cash Flow'!V26,"")</f>
        <v>182</v>
      </c>
      <c r="X110" s="13">
        <f>IF(COUNT('Cash Flow'!X26,'Cash Flow'!W26)=2,'Cash Flow'!X26-'Cash Flow'!W26,"")</f>
        <v>102</v>
      </c>
    </row>
    <row r="111" spans="1:24" ht="22" customHeight="1">
      <c r="A111" s="3" t="s">
        <v>305</v>
      </c>
      <c r="B111" s="1"/>
      <c r="C111" s="14"/>
      <c r="D111" s="14"/>
      <c r="E111" s="14"/>
      <c r="F111" s="14"/>
      <c r="G111" s="14"/>
      <c r="H111" s="14"/>
      <c r="I111" s="14"/>
      <c r="J111" s="14"/>
      <c r="K111" s="14"/>
      <c r="L111" s="14"/>
      <c r="M111" s="15"/>
      <c r="N111" s="13">
        <f>IF(COUNT('Cash Flow'!N27)=1,'Cash Flow'!N27,"")</f>
        <v>-68</v>
      </c>
      <c r="O111" s="13">
        <f>IF(COUNT('Cash Flow'!O27,'Cash Flow'!N27)=2,'Cash Flow'!O27-'Cash Flow'!N27,"")</f>
        <v>-135</v>
      </c>
      <c r="P111" s="13">
        <f>IF(COUNT('Cash Flow'!P27,'Cash Flow'!O27)=2,'Cash Flow'!P27-'Cash Flow'!O27,"")</f>
        <v>65</v>
      </c>
      <c r="Q111" s="13">
        <f>IF(COUNT('Cash Flow'!Q27,'Cash Flow'!P27)=2,'Cash Flow'!Q27-'Cash Flow'!P27,"")</f>
        <v>-173</v>
      </c>
      <c r="R111" s="13">
        <f>IF(COUNT('Cash Flow'!R27)=1,'Cash Flow'!R27,"")</f>
        <v>-246</v>
      </c>
      <c r="S111" s="13">
        <f>IF(COUNT('Cash Flow'!S27,'Cash Flow'!R27)=2,'Cash Flow'!S27-'Cash Flow'!R27,"")</f>
        <v>-54</v>
      </c>
      <c r="T111" s="13">
        <f>IF(COUNT('Cash Flow'!T27,'Cash Flow'!S27)=2,'Cash Flow'!T27-'Cash Flow'!S27,"")</f>
        <v>-146</v>
      </c>
      <c r="U111" s="13">
        <f>IF(COUNT('Cash Flow'!U27,'Cash Flow'!T27)=2,'Cash Flow'!U27-'Cash Flow'!T27,"")</f>
        <v>-266</v>
      </c>
      <c r="V111" s="13">
        <f>IF(COUNT('Cash Flow'!V27)=1,'Cash Flow'!V27,"")</f>
        <v>-157</v>
      </c>
      <c r="W111" s="13">
        <f>IF(COUNT('Cash Flow'!W27,'Cash Flow'!V27)=2,'Cash Flow'!W27-'Cash Flow'!V27,"")</f>
        <v>-141</v>
      </c>
      <c r="X111" s="13">
        <f>IF(COUNT('Cash Flow'!X27,'Cash Flow'!W27)=2,'Cash Flow'!X27-'Cash Flow'!W27,"")</f>
        <v>-124</v>
      </c>
    </row>
    <row r="112" spans="1:24" ht="24" customHeight="1">
      <c r="A112" s="16" t="s">
        <v>324</v>
      </c>
      <c r="B112" s="17"/>
      <c r="C112" s="18"/>
      <c r="D112" s="18"/>
      <c r="E112" s="18"/>
      <c r="F112" s="18"/>
      <c r="G112" s="18"/>
      <c r="H112" s="18"/>
      <c r="I112" s="18"/>
      <c r="J112" s="18"/>
      <c r="K112" s="18"/>
      <c r="L112" s="18"/>
      <c r="M112" s="20"/>
      <c r="N112" s="19">
        <f>IF(COUNT('Cash Flow'!N46)=1,'Cash Flow'!N46,"")</f>
        <v>-1041</v>
      </c>
      <c r="O112" s="19">
        <f>IF(COUNT('Cash Flow'!O46,'Cash Flow'!N46)=2,'Cash Flow'!O46-'Cash Flow'!N46,"")</f>
        <v>2356</v>
      </c>
      <c r="P112" s="19">
        <f>IF(COUNT('Cash Flow'!P46,'Cash Flow'!O46)=2,'Cash Flow'!P46-'Cash Flow'!O46,"")</f>
        <v>4905</v>
      </c>
      <c r="Q112" s="19">
        <f>IF(COUNT('Cash Flow'!Q46,'Cash Flow'!P46)=2,'Cash Flow'!Q46-'Cash Flow'!P46,"")</f>
        <v>6287</v>
      </c>
      <c r="R112" s="19">
        <f>IF(COUNT('Cash Flow'!R46)=1,'Cash Flow'!R46,"")</f>
        <v>-973</v>
      </c>
      <c r="S112" s="19">
        <f>IF(COUNT('Cash Flow'!S46,'Cash Flow'!R46)=2,'Cash Flow'!S46-'Cash Flow'!R46,"")</f>
        <v>1969</v>
      </c>
      <c r="T112" s="19">
        <f>IF(COUNT('Cash Flow'!T46,'Cash Flow'!S46)=2,'Cash Flow'!T46-'Cash Flow'!S46,"")</f>
        <v>4472</v>
      </c>
      <c r="U112" s="19">
        <f>IF(COUNT('Cash Flow'!U46,'Cash Flow'!T46)=2,'Cash Flow'!U46-'Cash Flow'!T46,"")</f>
        <v>6619</v>
      </c>
      <c r="V112" s="19">
        <f>IF(COUNT('Cash Flow'!V46)=1,'Cash Flow'!V46,"")</f>
        <v>41</v>
      </c>
      <c r="W112" s="19">
        <f>IF(COUNT('Cash Flow'!W46,'Cash Flow'!V46)=2,'Cash Flow'!W46-'Cash Flow'!V46,"")</f>
        <v>2324</v>
      </c>
      <c r="X112" s="19">
        <f>IF(COUNT('Cash Flow'!X46,'Cash Flow'!W46)=2,'Cash Flow'!X46-'Cash Flow'!W46,"")</f>
        <v>5585</v>
      </c>
    </row>
    <row r="113" spans="1:24" ht="24" customHeight="1">
      <c r="A113" s="177" t="s">
        <v>325</v>
      </c>
      <c r="B113" s="178"/>
      <c r="C113" s="179"/>
      <c r="D113" s="179"/>
      <c r="E113" s="179"/>
      <c r="F113" s="179"/>
      <c r="G113" s="179"/>
      <c r="H113" s="179"/>
      <c r="I113" s="179"/>
      <c r="J113" s="179"/>
      <c r="K113" s="179"/>
      <c r="L113" s="179"/>
      <c r="M113" s="12"/>
      <c r="N113" s="179"/>
      <c r="O113" s="179"/>
      <c r="P113" s="179"/>
      <c r="Q113" s="179"/>
      <c r="R113" s="179"/>
      <c r="S113" s="179"/>
      <c r="T113" s="179"/>
      <c r="U113" s="179"/>
      <c r="V113" s="179"/>
      <c r="W113" s="179"/>
      <c r="X113" s="179"/>
    </row>
    <row r="114" spans="1:24" ht="22" customHeight="1">
      <c r="A114" s="3" t="s">
        <v>326</v>
      </c>
      <c r="B114" s="1"/>
      <c r="C114" s="14"/>
      <c r="D114" s="14"/>
      <c r="E114" s="14"/>
      <c r="F114" s="14"/>
      <c r="G114" s="14"/>
      <c r="H114" s="14"/>
      <c r="I114" s="14"/>
      <c r="J114" s="14"/>
      <c r="K114" s="14"/>
      <c r="L114" s="14"/>
      <c r="M114" s="15"/>
      <c r="N114" s="13">
        <f>IF(COUNT('Cash Flow'!N48)=1,'Cash Flow'!N48,"")</f>
        <v>-614</v>
      </c>
      <c r="O114" s="13">
        <f>IF(COUNT('Cash Flow'!O48,'Cash Flow'!N48)=2,'Cash Flow'!O48-'Cash Flow'!N48,"")</f>
        <v>-1087</v>
      </c>
      <c r="P114" s="13">
        <f>IF(COUNT('Cash Flow'!P48,'Cash Flow'!O48)=2,'Cash Flow'!P48-'Cash Flow'!O48,"")</f>
        <v>-1149</v>
      </c>
      <c r="Q114" s="13">
        <f>IF(COUNT('Cash Flow'!Q48,'Cash Flow'!P48)=2,'Cash Flow'!Q48-'Cash Flow'!P48,"")</f>
        <v>-2468</v>
      </c>
      <c r="R114" s="13">
        <f>IF(COUNT('Cash Flow'!R48)=1,'Cash Flow'!R48,"")</f>
        <v>-603</v>
      </c>
      <c r="S114" s="13">
        <f>IF(COUNT('Cash Flow'!S48,'Cash Flow'!R48)=2,'Cash Flow'!S48-'Cash Flow'!R48,"")</f>
        <v>-904</v>
      </c>
      <c r="T114" s="13">
        <f>IF(COUNT('Cash Flow'!T48,'Cash Flow'!S48)=2,'Cash Flow'!T48-'Cash Flow'!S48,"")</f>
        <v>-992</v>
      </c>
      <c r="U114" s="13">
        <f>IF(COUNT('Cash Flow'!U48,'Cash Flow'!T48)=2,'Cash Flow'!U48-'Cash Flow'!T48,"")</f>
        <v>-1916</v>
      </c>
      <c r="V114" s="13">
        <f>IF(COUNT('Cash Flow'!V48)=1,'Cash Flow'!V48,"")</f>
        <v>-447</v>
      </c>
      <c r="W114" s="13">
        <f>IF(COUNT('Cash Flow'!W48,'Cash Flow'!V48)=2,'Cash Flow'!W48-'Cash Flow'!V48,"")</f>
        <v>-819</v>
      </c>
      <c r="X114" s="13">
        <f>IF(COUNT('Cash Flow'!X48,'Cash Flow'!W48)=2,'Cash Flow'!X48-'Cash Flow'!W48,"")</f>
        <v>-916</v>
      </c>
    </row>
    <row r="115" spans="1:24" ht="22" customHeight="1">
      <c r="A115" s="3" t="s">
        <v>327</v>
      </c>
      <c r="B115" s="1"/>
      <c r="C115" s="14"/>
      <c r="D115" s="14"/>
      <c r="E115" s="14"/>
      <c r="F115" s="14"/>
      <c r="G115" s="14"/>
      <c r="H115" s="14"/>
      <c r="I115" s="14"/>
      <c r="J115" s="14"/>
      <c r="K115" s="14"/>
      <c r="L115" s="14"/>
      <c r="M115" s="15"/>
      <c r="N115" s="13">
        <f>IF(COUNT('Cash Flow'!N49)=1,'Cash Flow'!N49,"")</f>
        <v>7</v>
      </c>
      <c r="O115" s="13">
        <f>IF(COUNT('Cash Flow'!O49,'Cash Flow'!N49)=2,'Cash Flow'!O49-'Cash Flow'!N49,"")</f>
        <v>120</v>
      </c>
      <c r="P115" s="13">
        <f>IF(COUNT('Cash Flow'!P49,'Cash Flow'!O49)=2,'Cash Flow'!P49-'Cash Flow'!O49,"")</f>
        <v>50</v>
      </c>
      <c r="Q115" s="13">
        <f>IF(COUNT('Cash Flow'!Q49,'Cash Flow'!P49)=2,'Cash Flow'!Q49-'Cash Flow'!P49,"")</f>
        <v>165</v>
      </c>
      <c r="R115" s="13">
        <f>IF(COUNT('Cash Flow'!R49)=1,'Cash Flow'!R49,"")</f>
        <v>132</v>
      </c>
      <c r="S115" s="13">
        <f>IF(COUNT('Cash Flow'!S49,'Cash Flow'!R49)=2,'Cash Flow'!S49-'Cash Flow'!R49,"")</f>
        <v>37</v>
      </c>
      <c r="T115" s="13">
        <f>IF(COUNT('Cash Flow'!T49,'Cash Flow'!S49)=2,'Cash Flow'!T49-'Cash Flow'!S49,"")</f>
        <v>103</v>
      </c>
      <c r="U115" s="13">
        <f>IF(COUNT('Cash Flow'!U49,'Cash Flow'!T49)=2,'Cash Flow'!U49-'Cash Flow'!T49,"")</f>
        <v>256</v>
      </c>
      <c r="V115" s="13">
        <f>IF(COUNT('Cash Flow'!V49)=1,'Cash Flow'!V49,"")</f>
        <v>13</v>
      </c>
      <c r="W115" s="13">
        <f>IF(COUNT('Cash Flow'!W49,'Cash Flow'!V49)=2,'Cash Flow'!W49-'Cash Flow'!V49,"")</f>
        <v>58</v>
      </c>
      <c r="X115" s="13">
        <f>IF(COUNT('Cash Flow'!X49,'Cash Flow'!W49)=2,'Cash Flow'!X49-'Cash Flow'!W49,"")</f>
        <v>18</v>
      </c>
    </row>
    <row r="116" spans="1:24" ht="36" customHeight="1">
      <c r="A116" s="3" t="s">
        <v>329</v>
      </c>
      <c r="B116" s="1"/>
      <c r="C116" s="14"/>
      <c r="D116" s="14"/>
      <c r="E116" s="14"/>
      <c r="F116" s="14"/>
      <c r="G116" s="14"/>
      <c r="H116" s="14"/>
      <c r="I116" s="14"/>
      <c r="J116" s="14"/>
      <c r="K116" s="14"/>
      <c r="L116" s="14"/>
      <c r="M116" s="15"/>
      <c r="N116" s="13" t="str">
        <f>IF(COUNT('Cash Flow'!N51)=1,'Cash Flow'!N51,"")</f>
        <v/>
      </c>
      <c r="O116" s="13" t="str">
        <f>IF(COUNT('Cash Flow'!O51,'Cash Flow'!N51)=2,'Cash Flow'!O51-'Cash Flow'!N51,"")</f>
        <v/>
      </c>
      <c r="P116" s="13" t="str">
        <f>IF(COUNT('Cash Flow'!P51,'Cash Flow'!O51)=2,'Cash Flow'!P51-'Cash Flow'!O51,"")</f>
        <v/>
      </c>
      <c r="Q116" s="13">
        <f>IF(COUNT('Cash Flow'!Q51,'Cash Flow'!P51)=2,'Cash Flow'!Q51-'Cash Flow'!P51,"")</f>
        <v>0</v>
      </c>
      <c r="R116" s="13" t="str">
        <f>IF(COUNT('Cash Flow'!R51)=1,'Cash Flow'!R51,"")</f>
        <v/>
      </c>
      <c r="S116" s="13" t="str">
        <f>IF(COUNT('Cash Flow'!S51,'Cash Flow'!R51)=2,'Cash Flow'!S51-'Cash Flow'!R51,"")</f>
        <v/>
      </c>
      <c r="T116" s="13">
        <f>IF(COUNT('Cash Flow'!T51,'Cash Flow'!S51)=2,'Cash Flow'!T51-'Cash Flow'!S51,"")</f>
        <v>-190</v>
      </c>
      <c r="U116" s="13">
        <f>IF(COUNT('Cash Flow'!U51,'Cash Flow'!T51)=2,'Cash Flow'!U51-'Cash Flow'!T51,"")</f>
        <v>0</v>
      </c>
      <c r="V116" s="13" t="str">
        <f>IF(COUNT('Cash Flow'!V51)=1,'Cash Flow'!V51,"")</f>
        <v/>
      </c>
      <c r="W116" s="13" t="str">
        <f>IF(COUNT('Cash Flow'!W51,'Cash Flow'!V51)=2,'Cash Flow'!W51-'Cash Flow'!V51,"")</f>
        <v/>
      </c>
      <c r="X116" s="13">
        <f>IF(COUNT('Cash Flow'!X51,'Cash Flow'!W51)=2,'Cash Flow'!X51-'Cash Flow'!W51,"")</f>
        <v>-25</v>
      </c>
    </row>
    <row r="117" spans="1:24" ht="36" customHeight="1">
      <c r="A117" s="3" t="s">
        <v>330</v>
      </c>
      <c r="B117" s="1"/>
      <c r="C117" s="14"/>
      <c r="D117" s="14"/>
      <c r="E117" s="14"/>
      <c r="F117" s="14"/>
      <c r="G117" s="14"/>
      <c r="H117" s="14"/>
      <c r="I117" s="14"/>
      <c r="J117" s="14"/>
      <c r="K117" s="14"/>
      <c r="L117" s="14"/>
      <c r="M117" s="15"/>
      <c r="N117" s="13">
        <f>IF(COUNT('Cash Flow'!N52)=1,'Cash Flow'!N52,"")</f>
        <v>0</v>
      </c>
      <c r="O117" s="13">
        <f>IF(COUNT('Cash Flow'!O52,'Cash Flow'!N52)=2,'Cash Flow'!O52-'Cash Flow'!N52,"")</f>
        <v>0</v>
      </c>
      <c r="P117" s="13">
        <f>IF(COUNT('Cash Flow'!P52,'Cash Flow'!O52)=2,'Cash Flow'!P52-'Cash Flow'!O52,"")</f>
        <v>0</v>
      </c>
      <c r="Q117" s="13">
        <f>IF(COUNT('Cash Flow'!Q52,'Cash Flow'!P52)=2,'Cash Flow'!Q52-'Cash Flow'!P52,"")</f>
        <v>0</v>
      </c>
      <c r="R117" s="13">
        <f>IF(COUNT('Cash Flow'!R52)=1,'Cash Flow'!R52,"")</f>
        <v>425</v>
      </c>
      <c r="S117" s="13">
        <f>IF(COUNT('Cash Flow'!S52,'Cash Flow'!R52)=2,'Cash Flow'!S52-'Cash Flow'!R52,"")</f>
        <v>0</v>
      </c>
      <c r="T117" s="13">
        <f>IF(COUNT('Cash Flow'!T52,'Cash Flow'!S52)=2,'Cash Flow'!T52-'Cash Flow'!S52,"")</f>
        <v>0</v>
      </c>
      <c r="U117" s="13">
        <f>IF(COUNT('Cash Flow'!U52,'Cash Flow'!T52)=2,'Cash Flow'!U52-'Cash Flow'!T52,"")</f>
        <v>180</v>
      </c>
      <c r="V117" s="13">
        <f>IF(COUNT('Cash Flow'!V52)=1,'Cash Flow'!V52,"")</f>
        <v>0</v>
      </c>
      <c r="W117" s="13">
        <f>IF(COUNT('Cash Flow'!W52,'Cash Flow'!V52)=2,'Cash Flow'!W52-'Cash Flow'!V52,"")</f>
        <v>8</v>
      </c>
      <c r="X117" s="13">
        <f>IF(COUNT('Cash Flow'!X52,'Cash Flow'!W52)=2,'Cash Flow'!X52-'Cash Flow'!W52,"")</f>
        <v>9</v>
      </c>
    </row>
    <row r="118" spans="1:24" ht="22" customHeight="1">
      <c r="A118" s="3" t="s">
        <v>331</v>
      </c>
      <c r="B118" s="1"/>
      <c r="C118" s="14"/>
      <c r="D118" s="14"/>
      <c r="E118" s="14"/>
      <c r="F118" s="14"/>
      <c r="G118" s="14"/>
      <c r="H118" s="14"/>
      <c r="I118" s="14"/>
      <c r="J118" s="14"/>
      <c r="K118" s="14"/>
      <c r="L118" s="14"/>
      <c r="M118" s="15"/>
      <c r="N118" s="13" t="str">
        <f>IF(COUNT('Cash Flow'!N53)=1,'Cash Flow'!N53,"")</f>
        <v/>
      </c>
      <c r="O118" s="13" t="str">
        <f>IF(COUNT('Cash Flow'!O53,'Cash Flow'!N53)=2,'Cash Flow'!O53-'Cash Flow'!N53,"")</f>
        <v/>
      </c>
      <c r="P118" s="13" t="str">
        <f>IF(COUNT('Cash Flow'!P53,'Cash Flow'!O53)=2,'Cash Flow'!P53-'Cash Flow'!O53,"")</f>
        <v/>
      </c>
      <c r="Q118" s="13" t="str">
        <f>IF(COUNT('Cash Flow'!Q53,'Cash Flow'!P53)=2,'Cash Flow'!Q53-'Cash Flow'!P53,"")</f>
        <v/>
      </c>
      <c r="R118" s="13">
        <f>IF(COUNT('Cash Flow'!R53)=1,'Cash Flow'!R53,"")</f>
        <v>0</v>
      </c>
      <c r="S118" s="13">
        <f>IF(COUNT('Cash Flow'!S53,'Cash Flow'!R53)=2,'Cash Flow'!S53-'Cash Flow'!R53,"")</f>
        <v>0</v>
      </c>
      <c r="T118" s="13">
        <f>IF(COUNT('Cash Flow'!T53,'Cash Flow'!S53)=2,'Cash Flow'!T53-'Cash Flow'!S53,"")</f>
        <v>0</v>
      </c>
      <c r="U118" s="13">
        <f>IF(COUNT('Cash Flow'!U53,'Cash Flow'!T53)=2,'Cash Flow'!U53-'Cash Flow'!T53,"")</f>
        <v>0</v>
      </c>
      <c r="V118" s="13">
        <f>IF(COUNT('Cash Flow'!V53)=1,'Cash Flow'!V53,"")</f>
        <v>14</v>
      </c>
      <c r="W118" s="13">
        <f>IF(COUNT('Cash Flow'!W53,'Cash Flow'!V53)=2,'Cash Flow'!W53-'Cash Flow'!V53,"")</f>
        <v>0</v>
      </c>
      <c r="X118" s="13">
        <f>IF(COUNT('Cash Flow'!X53,'Cash Flow'!W53)=2,'Cash Flow'!X53-'Cash Flow'!W53,"")</f>
        <v>0</v>
      </c>
    </row>
    <row r="119" spans="1:24" ht="22" customHeight="1">
      <c r="A119" s="3" t="s">
        <v>332</v>
      </c>
      <c r="B119" s="1"/>
      <c r="C119" s="14"/>
      <c r="D119" s="14"/>
      <c r="E119" s="14"/>
      <c r="F119" s="14"/>
      <c r="G119" s="14"/>
      <c r="H119" s="14"/>
      <c r="I119" s="14"/>
      <c r="J119" s="14"/>
      <c r="K119" s="14"/>
      <c r="L119" s="14"/>
      <c r="M119" s="15"/>
      <c r="N119" s="13">
        <f>IF(COUNT('Cash Flow'!N54)=1,'Cash Flow'!N54,"")</f>
        <v>8</v>
      </c>
      <c r="O119" s="13">
        <f>IF(COUNT('Cash Flow'!O54,'Cash Flow'!N54)=2,'Cash Flow'!O54-'Cash Flow'!N54,"")</f>
        <v>-7</v>
      </c>
      <c r="P119" s="13">
        <f>IF(COUNT('Cash Flow'!P54,'Cash Flow'!O54)=2,'Cash Flow'!P54-'Cash Flow'!O54,"")</f>
        <v>3</v>
      </c>
      <c r="Q119" s="13">
        <f>IF(COUNT('Cash Flow'!Q54,'Cash Flow'!P54)=2,'Cash Flow'!Q54-'Cash Flow'!P54,"")</f>
        <v>1</v>
      </c>
      <c r="R119" s="13">
        <f>IF(COUNT('Cash Flow'!R54)=1,'Cash Flow'!R54,"")</f>
        <v>16</v>
      </c>
      <c r="S119" s="13">
        <f>IF(COUNT('Cash Flow'!S54,'Cash Flow'!R54)=2,'Cash Flow'!S54-'Cash Flow'!R54,"")</f>
        <v>6</v>
      </c>
      <c r="T119" s="13">
        <f>IF(COUNT('Cash Flow'!T54,'Cash Flow'!S54)=2,'Cash Flow'!T54-'Cash Flow'!S54,"")</f>
        <v>21</v>
      </c>
      <c r="U119" s="13">
        <f>IF(COUNT('Cash Flow'!U54,'Cash Flow'!T54)=2,'Cash Flow'!U54-'Cash Flow'!T54,"")</f>
        <v>2</v>
      </c>
      <c r="V119" s="13">
        <f>IF(COUNT('Cash Flow'!V54)=1,'Cash Flow'!V54,"")</f>
        <v>-9</v>
      </c>
      <c r="W119" s="13">
        <f>IF(COUNT('Cash Flow'!W54,'Cash Flow'!V54)=2,'Cash Flow'!W54-'Cash Flow'!V54,"")</f>
        <v>-1</v>
      </c>
      <c r="X119" s="13">
        <f>IF(COUNT('Cash Flow'!X54,'Cash Flow'!W54)=2,'Cash Flow'!X54-'Cash Flow'!W54,"")</f>
        <v>5</v>
      </c>
    </row>
    <row r="120" spans="1:24" ht="22" customHeight="1">
      <c r="A120" s="3" t="s">
        <v>333</v>
      </c>
      <c r="B120" s="1"/>
      <c r="C120" s="14"/>
      <c r="D120" s="14"/>
      <c r="E120" s="14"/>
      <c r="F120" s="14"/>
      <c r="G120" s="14"/>
      <c r="H120" s="14"/>
      <c r="I120" s="14"/>
      <c r="J120" s="14"/>
      <c r="K120" s="14"/>
      <c r="L120" s="14"/>
      <c r="M120" s="15"/>
      <c r="N120" s="13">
        <f>IF(COUNT('Cash Flow'!N55)=1,'Cash Flow'!N55,"")</f>
        <v>-10</v>
      </c>
      <c r="O120" s="13">
        <f>IF(COUNT('Cash Flow'!O55,'Cash Flow'!N55)=2,'Cash Flow'!O55-'Cash Flow'!N55,"")</f>
        <v>24</v>
      </c>
      <c r="P120" s="13">
        <f>IF(COUNT('Cash Flow'!P55,'Cash Flow'!O55)=2,'Cash Flow'!P55-'Cash Flow'!O55,"")</f>
        <v>1</v>
      </c>
      <c r="Q120" s="13">
        <f>IF(COUNT('Cash Flow'!Q55,'Cash Flow'!P55)=2,'Cash Flow'!Q55-'Cash Flow'!P55,"")</f>
        <v>-1</v>
      </c>
      <c r="R120" s="13">
        <f>IF(COUNT('Cash Flow'!R55)=1,'Cash Flow'!R55,"")</f>
        <v>-2</v>
      </c>
      <c r="S120" s="13">
        <f>IF(COUNT('Cash Flow'!S55,'Cash Flow'!R55)=2,'Cash Flow'!S55-'Cash Flow'!R55,"")</f>
        <v>-104</v>
      </c>
      <c r="T120" s="13">
        <f>IF(COUNT('Cash Flow'!T55,'Cash Flow'!S55)=2,'Cash Flow'!T55-'Cash Flow'!S55,"")</f>
        <v>-6</v>
      </c>
      <c r="U120" s="13">
        <f>IF(COUNT('Cash Flow'!U55,'Cash Flow'!T55)=2,'Cash Flow'!U55-'Cash Flow'!T55,"")</f>
        <v>12</v>
      </c>
      <c r="V120" s="13">
        <f>IF(COUNT('Cash Flow'!V55)=1,'Cash Flow'!V55,"")</f>
        <v>19</v>
      </c>
      <c r="W120" s="13">
        <f>IF(COUNT('Cash Flow'!W55,'Cash Flow'!V55)=2,'Cash Flow'!W55-'Cash Flow'!V55,"")</f>
        <v>0</v>
      </c>
      <c r="X120" s="13">
        <f>IF(COUNT('Cash Flow'!X55,'Cash Flow'!W55)=2,'Cash Flow'!X55-'Cash Flow'!W55,"")</f>
        <v>-46</v>
      </c>
    </row>
    <row r="121" spans="1:24" ht="24" customHeight="1">
      <c r="A121" s="16" t="s">
        <v>341</v>
      </c>
      <c r="B121" s="17"/>
      <c r="C121" s="18"/>
      <c r="D121" s="18"/>
      <c r="E121" s="18"/>
      <c r="F121" s="18"/>
      <c r="G121" s="18"/>
      <c r="H121" s="18"/>
      <c r="I121" s="18"/>
      <c r="J121" s="18"/>
      <c r="K121" s="18"/>
      <c r="L121" s="18"/>
      <c r="M121" s="20"/>
      <c r="N121" s="19">
        <f>IF(COUNT('Cash Flow'!N63)=1,'Cash Flow'!N63,"")</f>
        <v>-562</v>
      </c>
      <c r="O121" s="19">
        <f>IF(COUNT('Cash Flow'!O63,'Cash Flow'!N63)=2,'Cash Flow'!O63-'Cash Flow'!N63,"")</f>
        <v>-892</v>
      </c>
      <c r="P121" s="19">
        <f>IF(COUNT('Cash Flow'!P63,'Cash Flow'!O63)=2,'Cash Flow'!P63-'Cash Flow'!O63,"")</f>
        <v>-1511</v>
      </c>
      <c r="Q121" s="19">
        <f>IF(COUNT('Cash Flow'!Q63,'Cash Flow'!P63)=2,'Cash Flow'!Q63-'Cash Flow'!P63,"")</f>
        <v>-2507</v>
      </c>
      <c r="R121" s="19">
        <f>IF(COUNT('Cash Flow'!R63)=1,'Cash Flow'!R63,"")</f>
        <v>-1232</v>
      </c>
      <c r="S121" s="19">
        <f>IF(COUNT('Cash Flow'!S63,'Cash Flow'!R63)=2,'Cash Flow'!S63-'Cash Flow'!R63,"")</f>
        <v>-2895</v>
      </c>
      <c r="T121" s="19">
        <f>IF(COUNT('Cash Flow'!T63,'Cash Flow'!S63)=2,'Cash Flow'!T63-'Cash Flow'!S63,"")</f>
        <v>-1110</v>
      </c>
      <c r="U121" s="19">
        <f>IF(COUNT('Cash Flow'!U63,'Cash Flow'!T63)=2,'Cash Flow'!U63-'Cash Flow'!T63,"")</f>
        <v>-1642</v>
      </c>
      <c r="V121" s="19">
        <f>IF(COUNT('Cash Flow'!V63)=1,'Cash Flow'!V63,"")</f>
        <v>-477</v>
      </c>
      <c r="W121" s="19">
        <f>IF(COUNT('Cash Flow'!W63,'Cash Flow'!V63)=2,'Cash Flow'!W63-'Cash Flow'!V63,"")</f>
        <v>-915</v>
      </c>
      <c r="X121" s="19">
        <f>IF(COUNT('Cash Flow'!X63,'Cash Flow'!W63)=2,'Cash Flow'!X63-'Cash Flow'!W63,"")</f>
        <v>-955</v>
      </c>
    </row>
    <row r="122" spans="1:24" ht="22" customHeight="1">
      <c r="A122" s="3" t="s">
        <v>342</v>
      </c>
      <c r="B122" s="1"/>
      <c r="C122" s="14"/>
      <c r="D122" s="14"/>
      <c r="E122" s="14"/>
      <c r="F122" s="14"/>
      <c r="G122" s="14"/>
      <c r="H122" s="14"/>
      <c r="I122" s="14"/>
      <c r="J122" s="14"/>
      <c r="K122" s="14"/>
      <c r="L122" s="14"/>
      <c r="M122" s="15"/>
      <c r="N122" s="13">
        <f>IF(COUNT('Cash Flow'!N64)=1,'Cash Flow'!N64,"")</f>
        <v>1761</v>
      </c>
      <c r="O122" s="13">
        <f>IF(COUNT('Cash Flow'!O64,'Cash Flow'!N64)=2,'Cash Flow'!O64-'Cash Flow'!N64,"")</f>
        <v>4</v>
      </c>
      <c r="P122" s="13">
        <f>IF(COUNT('Cash Flow'!P64,'Cash Flow'!O64)=2,'Cash Flow'!P64-'Cash Flow'!O64,"")</f>
        <v>2249</v>
      </c>
      <c r="Q122" s="13">
        <f>IF(COUNT('Cash Flow'!Q64,'Cash Flow'!P64)=2,'Cash Flow'!Q64-'Cash Flow'!P64,"")</f>
        <v>28</v>
      </c>
      <c r="R122" s="13">
        <f>IF(COUNT('Cash Flow'!R64)=1,'Cash Flow'!R64,"")</f>
        <v>3505</v>
      </c>
      <c r="S122" s="13">
        <f>IF(COUNT('Cash Flow'!S64,'Cash Flow'!R64)=2,'Cash Flow'!S64-'Cash Flow'!R64,"")</f>
        <v>16</v>
      </c>
      <c r="T122" s="13">
        <f>IF(COUNT('Cash Flow'!T64,'Cash Flow'!S64)=2,'Cash Flow'!T64-'Cash Flow'!S64,"")</f>
        <v>4658</v>
      </c>
      <c r="U122" s="13">
        <f>IF(COUNT('Cash Flow'!U64,'Cash Flow'!T64)=2,'Cash Flow'!U64-'Cash Flow'!T64,"")</f>
        <v>10</v>
      </c>
      <c r="V122" s="13">
        <f>IF(COUNT('Cash Flow'!V64)=1,'Cash Flow'!V64,"")</f>
        <v>2964</v>
      </c>
      <c r="W122" s="13">
        <f>IF(COUNT('Cash Flow'!W64,'Cash Flow'!V64)=2,'Cash Flow'!W64-'Cash Flow'!V64,"")</f>
        <v>10</v>
      </c>
      <c r="X122" s="13">
        <f>IF(COUNT('Cash Flow'!X64,'Cash Flow'!W64)=2,'Cash Flow'!X64-'Cash Flow'!W64,"")</f>
        <v>4</v>
      </c>
    </row>
    <row r="123" spans="1:24" ht="22" customHeight="1">
      <c r="A123" s="3" t="s">
        <v>343</v>
      </c>
      <c r="B123" s="1"/>
      <c r="C123" s="14"/>
      <c r="D123" s="14"/>
      <c r="E123" s="14"/>
      <c r="F123" s="14"/>
      <c r="G123" s="14"/>
      <c r="H123" s="14"/>
      <c r="I123" s="14"/>
      <c r="J123" s="14"/>
      <c r="K123" s="14"/>
      <c r="L123" s="14"/>
      <c r="M123" s="15"/>
      <c r="N123" s="13">
        <f>IF(COUNT('Cash Flow'!N65)=1,'Cash Flow'!N65,"")</f>
        <v>-1252</v>
      </c>
      <c r="O123" s="13">
        <f>IF(COUNT('Cash Flow'!O65,'Cash Flow'!N65)=2,'Cash Flow'!O65-'Cash Flow'!N65,"")</f>
        <v>-1630</v>
      </c>
      <c r="P123" s="13">
        <f>IF(COUNT('Cash Flow'!P65,'Cash Flow'!O65)=2,'Cash Flow'!P65-'Cash Flow'!O65,"")</f>
        <v>-1</v>
      </c>
      <c r="Q123" s="13">
        <f>IF(COUNT('Cash Flow'!Q65,'Cash Flow'!P65)=2,'Cash Flow'!Q65-'Cash Flow'!P65,"")</f>
        <v>-1003</v>
      </c>
      <c r="R123" s="13">
        <f>IF(COUNT('Cash Flow'!R65)=1,'Cash Flow'!R65,"")</f>
        <v>-1541</v>
      </c>
      <c r="S123" s="13">
        <f>IF(COUNT('Cash Flow'!S65,'Cash Flow'!R65)=2,'Cash Flow'!S65-'Cash Flow'!R65,"")</f>
        <v>-1002</v>
      </c>
      <c r="T123" s="13">
        <f>IF(COUNT('Cash Flow'!T65,'Cash Flow'!S65)=2,'Cash Flow'!T65-'Cash Flow'!S65,"")</f>
        <v>-702</v>
      </c>
      <c r="U123" s="13">
        <f>IF(COUNT('Cash Flow'!U65,'Cash Flow'!T65)=2,'Cash Flow'!U65-'Cash Flow'!T65,"")</f>
        <v>-837</v>
      </c>
      <c r="V123" s="13">
        <f>IF(COUNT('Cash Flow'!V65)=1,'Cash Flow'!V65,"")</f>
        <v>-1629</v>
      </c>
      <c r="W123" s="13">
        <f>IF(COUNT('Cash Flow'!W65,'Cash Flow'!V65)=2,'Cash Flow'!W65-'Cash Flow'!V65,"")</f>
        <v>-592</v>
      </c>
      <c r="X123" s="13">
        <f>IF(COUNT('Cash Flow'!X65,'Cash Flow'!W65)=2,'Cash Flow'!X65-'Cash Flow'!W65,"")</f>
        <v>-107</v>
      </c>
    </row>
    <row r="124" spans="1:24" ht="22" customHeight="1">
      <c r="A124" s="3" t="s">
        <v>345</v>
      </c>
      <c r="B124" s="1"/>
      <c r="C124" s="14"/>
      <c r="D124" s="14"/>
      <c r="E124" s="14"/>
      <c r="F124" s="14"/>
      <c r="G124" s="14"/>
      <c r="H124" s="14"/>
      <c r="I124" s="14"/>
      <c r="J124" s="14"/>
      <c r="K124" s="14"/>
      <c r="L124" s="14"/>
      <c r="M124" s="15"/>
      <c r="N124" s="13">
        <f>IF(COUNT('Cash Flow'!N67)=1,'Cash Flow'!N67,"")</f>
        <v>2313</v>
      </c>
      <c r="O124" s="13">
        <f>IF(COUNT('Cash Flow'!O67,'Cash Flow'!N67)=2,'Cash Flow'!O67-'Cash Flow'!N67,"")</f>
        <v>767</v>
      </c>
      <c r="P124" s="13">
        <f>IF(COUNT('Cash Flow'!P67,'Cash Flow'!O67)=2,'Cash Flow'!P67-'Cash Flow'!O67,"")</f>
        <v>728</v>
      </c>
      <c r="Q124" s="13">
        <f>IF(COUNT('Cash Flow'!Q67,'Cash Flow'!P67)=2,'Cash Flow'!Q67-'Cash Flow'!P67,"")</f>
        <v>1978</v>
      </c>
      <c r="R124" s="13">
        <f>IF(COUNT('Cash Flow'!R67)=1,'Cash Flow'!R67,"")</f>
        <v>3656</v>
      </c>
      <c r="S124" s="13">
        <f>IF(COUNT('Cash Flow'!S67,'Cash Flow'!R67)=2,'Cash Flow'!S67-'Cash Flow'!R67,"")</f>
        <v>1595</v>
      </c>
      <c r="T124" s="13">
        <f>IF(COUNT('Cash Flow'!T67,'Cash Flow'!S67)=2,'Cash Flow'!T67-'Cash Flow'!S67,"")</f>
        <v>277</v>
      </c>
      <c r="U124" s="13">
        <f>IF(COUNT('Cash Flow'!U67,'Cash Flow'!T67)=2,'Cash Flow'!U67-'Cash Flow'!T67,"")</f>
        <v>863</v>
      </c>
      <c r="V124" s="13">
        <f>IF(COUNT('Cash Flow'!V67)=1,'Cash Flow'!V67,"")</f>
        <v>1937</v>
      </c>
      <c r="W124" s="13">
        <f>IF(COUNT('Cash Flow'!W67,'Cash Flow'!V67)=2,'Cash Flow'!W67-'Cash Flow'!V67,"")</f>
        <v>2050</v>
      </c>
      <c r="X124" s="13">
        <f>IF(COUNT('Cash Flow'!X67,'Cash Flow'!W67)=2,'Cash Flow'!X67-'Cash Flow'!W67,"")</f>
        <v>575</v>
      </c>
    </row>
    <row r="125" spans="1:24" ht="22" customHeight="1">
      <c r="A125" s="3" t="s">
        <v>346</v>
      </c>
      <c r="B125" s="1"/>
      <c r="C125" s="14"/>
      <c r="D125" s="14"/>
      <c r="E125" s="14"/>
      <c r="F125" s="14"/>
      <c r="G125" s="14"/>
      <c r="H125" s="14"/>
      <c r="I125" s="14"/>
      <c r="J125" s="14"/>
      <c r="K125" s="14"/>
      <c r="L125" s="14"/>
      <c r="M125" s="15"/>
      <c r="N125" s="13">
        <f>IF(COUNT('Cash Flow'!N68)=1,'Cash Flow'!N68,"")</f>
        <v>-1631</v>
      </c>
      <c r="O125" s="13">
        <f>IF(COUNT('Cash Flow'!O68,'Cash Flow'!N68)=2,'Cash Flow'!O68-'Cash Flow'!N68,"")</f>
        <v>-507</v>
      </c>
      <c r="P125" s="13">
        <f>IF(COUNT('Cash Flow'!P68,'Cash Flow'!O68)=2,'Cash Flow'!P68-'Cash Flow'!O68,"")</f>
        <v>-2039</v>
      </c>
      <c r="Q125" s="13">
        <f>IF(COUNT('Cash Flow'!Q68,'Cash Flow'!P68)=2,'Cash Flow'!Q68-'Cash Flow'!P68,"")</f>
        <v>-1462</v>
      </c>
      <c r="R125" s="13">
        <f>IF(COUNT('Cash Flow'!R68)=1,'Cash Flow'!R68,"")</f>
        <v>-2119</v>
      </c>
      <c r="S125" s="13">
        <f>IF(COUNT('Cash Flow'!S68,'Cash Flow'!R68)=2,'Cash Flow'!S68-'Cash Flow'!R68,"")</f>
        <v>-373</v>
      </c>
      <c r="T125" s="13">
        <f>IF(COUNT('Cash Flow'!T68,'Cash Flow'!S68)=2,'Cash Flow'!T68-'Cash Flow'!S68,"")</f>
        <v>-2925</v>
      </c>
      <c r="U125" s="13">
        <f>IF(COUNT('Cash Flow'!U68,'Cash Flow'!T68)=2,'Cash Flow'!U68-'Cash Flow'!T68,"")</f>
        <v>-2503</v>
      </c>
      <c r="V125" s="13">
        <f>IF(COUNT('Cash Flow'!V68)=1,'Cash Flow'!V68,"")</f>
        <v>-676</v>
      </c>
      <c r="W125" s="13">
        <f>IF(COUNT('Cash Flow'!W68,'Cash Flow'!V68)=2,'Cash Flow'!W68-'Cash Flow'!V68,"")</f>
        <v>-1074</v>
      </c>
      <c r="X125" s="13">
        <f>IF(COUNT('Cash Flow'!X68,'Cash Flow'!W68)=2,'Cash Flow'!X68-'Cash Flow'!W68,"")</f>
        <v>-2067</v>
      </c>
    </row>
    <row r="126" spans="1:24" ht="22" customHeight="1">
      <c r="A126" s="3" t="s">
        <v>347</v>
      </c>
      <c r="B126" s="1"/>
      <c r="C126" s="14"/>
      <c r="D126" s="14"/>
      <c r="E126" s="14"/>
      <c r="F126" s="14"/>
      <c r="G126" s="14"/>
      <c r="H126" s="14"/>
      <c r="I126" s="14"/>
      <c r="J126" s="14"/>
      <c r="K126" s="14"/>
      <c r="L126" s="14"/>
      <c r="M126" s="15"/>
      <c r="N126" s="13">
        <f>IF(COUNT('Cash Flow'!N69)=1,'Cash Flow'!N69,"")</f>
        <v>774</v>
      </c>
      <c r="O126" s="13">
        <f>IF(COUNT('Cash Flow'!O69,'Cash Flow'!N69)=2,'Cash Flow'!O69-'Cash Flow'!N69,"")</f>
        <v>512</v>
      </c>
      <c r="P126" s="13">
        <f>IF(COUNT('Cash Flow'!P69,'Cash Flow'!O69)=2,'Cash Flow'!P69-'Cash Flow'!O69,"")</f>
        <v>-1185</v>
      </c>
      <c r="Q126" s="13">
        <f>IF(COUNT('Cash Flow'!Q69,'Cash Flow'!P69)=2,'Cash Flow'!Q69-'Cash Flow'!P69,"")</f>
        <v>291</v>
      </c>
      <c r="R126" s="13">
        <f>IF(COUNT('Cash Flow'!R69)=1,'Cash Flow'!R69,"")</f>
        <v>373</v>
      </c>
      <c r="S126" s="13">
        <f>IF(COUNT('Cash Flow'!S69,'Cash Flow'!R69)=2,'Cash Flow'!S69-'Cash Flow'!R69,"")</f>
        <v>2065</v>
      </c>
      <c r="T126" s="13">
        <f>IF(COUNT('Cash Flow'!T69,'Cash Flow'!S69)=2,'Cash Flow'!T69-'Cash Flow'!S69,"")</f>
        <v>-1993</v>
      </c>
      <c r="U126" s="13">
        <f>IF(COUNT('Cash Flow'!U69,'Cash Flow'!T69)=2,'Cash Flow'!U69-'Cash Flow'!T69,"")</f>
        <v>725</v>
      </c>
      <c r="V126" s="13">
        <f>IF(COUNT('Cash Flow'!V69)=1,'Cash Flow'!V69,"")</f>
        <v>1198</v>
      </c>
      <c r="W126" s="13">
        <f>IF(COUNT('Cash Flow'!W69,'Cash Flow'!V69)=2,'Cash Flow'!W69-'Cash Flow'!V69,"")</f>
        <v>73</v>
      </c>
      <c r="X126" s="13">
        <f>IF(COUNT('Cash Flow'!X69,'Cash Flow'!W69)=2,'Cash Flow'!X69-'Cash Flow'!W69,"")</f>
        <v>94</v>
      </c>
    </row>
    <row r="127" spans="1:24" ht="24" customHeight="1">
      <c r="A127" s="177" t="s">
        <v>348</v>
      </c>
      <c r="B127" s="178"/>
      <c r="C127" s="179"/>
      <c r="D127" s="179"/>
      <c r="E127" s="179"/>
      <c r="F127" s="179"/>
      <c r="G127" s="179"/>
      <c r="H127" s="179"/>
      <c r="I127" s="179"/>
      <c r="J127" s="179"/>
      <c r="K127" s="179"/>
      <c r="L127" s="179"/>
      <c r="M127" s="12"/>
      <c r="N127" s="179"/>
      <c r="O127" s="179"/>
      <c r="P127" s="179"/>
      <c r="Q127" s="179"/>
      <c r="R127" s="179"/>
      <c r="S127" s="179"/>
      <c r="T127" s="179"/>
      <c r="U127" s="179"/>
      <c r="V127" s="179"/>
      <c r="W127" s="179"/>
      <c r="X127" s="179"/>
    </row>
    <row r="128" spans="1:24" ht="22" customHeight="1">
      <c r="A128" s="3" t="s">
        <v>349</v>
      </c>
      <c r="B128" s="1"/>
      <c r="C128" s="14"/>
      <c r="D128" s="14"/>
      <c r="E128" s="14"/>
      <c r="F128" s="14"/>
      <c r="G128" s="14"/>
      <c r="H128" s="14"/>
      <c r="I128" s="14"/>
      <c r="J128" s="14"/>
      <c r="K128" s="14"/>
      <c r="L128" s="14"/>
      <c r="M128" s="15"/>
      <c r="N128" s="13">
        <f>IF(COUNT('Cash Flow'!N71)=1,'Cash Flow'!N71,"")</f>
        <v>-1767</v>
      </c>
      <c r="O128" s="13">
        <f>IF(COUNT('Cash Flow'!O71,'Cash Flow'!N71)=2,'Cash Flow'!O71-'Cash Flow'!N71,"")</f>
        <v>-1739</v>
      </c>
      <c r="P128" s="13">
        <f>IF(COUNT('Cash Flow'!P71,'Cash Flow'!O71)=2,'Cash Flow'!P71-'Cash Flow'!O71,"")</f>
        <v>-1863</v>
      </c>
      <c r="Q128" s="13">
        <f>IF(COUNT('Cash Flow'!Q71,'Cash Flow'!P71)=2,'Cash Flow'!Q71-'Cash Flow'!P71,"")</f>
        <v>-1860</v>
      </c>
      <c r="R128" s="13">
        <f>IF(COUNT('Cash Flow'!R71)=1,'Cash Flow'!R71,"")</f>
        <v>-1882</v>
      </c>
      <c r="S128" s="13">
        <f>IF(COUNT('Cash Flow'!S71,'Cash Flow'!R71)=2,'Cash Flow'!S71-'Cash Flow'!R71,"")</f>
        <v>-1861</v>
      </c>
      <c r="T128" s="13">
        <f>IF(COUNT('Cash Flow'!T71,'Cash Flow'!S71)=2,'Cash Flow'!T71-'Cash Flow'!S71,"")</f>
        <v>-1949</v>
      </c>
      <c r="U128" s="13">
        <f>IF(COUNT('Cash Flow'!U71,'Cash Flow'!T71)=2,'Cash Flow'!U71-'Cash Flow'!T71,"")</f>
        <v>-1946</v>
      </c>
      <c r="V128" s="13">
        <f>IF(COUNT('Cash Flow'!V71)=1,'Cash Flow'!V71,"")</f>
        <v>-1966</v>
      </c>
      <c r="W128" s="13">
        <f>IF(COUNT('Cash Flow'!W71,'Cash Flow'!V71)=2,'Cash Flow'!W71-'Cash Flow'!V71,"")</f>
        <v>-1948</v>
      </c>
      <c r="X128" s="13">
        <f>IF(COUNT('Cash Flow'!X71,'Cash Flow'!W71)=2,'Cash Flow'!X71-'Cash Flow'!W71,"")</f>
        <v>-2021</v>
      </c>
    </row>
    <row r="129" spans="1:24" ht="22" customHeight="1">
      <c r="A129" s="3" t="s">
        <v>350</v>
      </c>
      <c r="B129" s="1"/>
      <c r="C129" s="14"/>
      <c r="D129" s="14"/>
      <c r="E129" s="14"/>
      <c r="F129" s="14"/>
      <c r="G129" s="14"/>
      <c r="H129" s="14"/>
      <c r="I129" s="14"/>
      <c r="J129" s="14"/>
      <c r="K129" s="14"/>
      <c r="L129" s="14"/>
      <c r="M129" s="15"/>
      <c r="N129" s="13">
        <f>IF(COUNT('Cash Flow'!N72)=1,'Cash Flow'!N72,"")</f>
        <v>-146</v>
      </c>
      <c r="O129" s="13">
        <f>IF(COUNT('Cash Flow'!O72,'Cash Flow'!N72)=2,'Cash Flow'!O72-'Cash Flow'!N72,"")</f>
        <v>-315</v>
      </c>
      <c r="P129" s="13">
        <f>IF(COUNT('Cash Flow'!P72,'Cash Flow'!O72)=2,'Cash Flow'!P72-'Cash Flow'!O72,"")</f>
        <v>-299</v>
      </c>
      <c r="Q129" s="13">
        <f>IF(COUNT('Cash Flow'!Q72,'Cash Flow'!P72)=2,'Cash Flow'!Q72-'Cash Flow'!P72,"")</f>
        <v>-240</v>
      </c>
      <c r="R129" s="13">
        <f>IF(COUNT('Cash Flow'!R72)=1,'Cash Flow'!R72,"")</f>
        <v>-183</v>
      </c>
      <c r="S129" s="13">
        <f>IF(COUNT('Cash Flow'!S72,'Cash Flow'!R72)=2,'Cash Flow'!S72-'Cash Flow'!R72,"")</f>
        <v>-311</v>
      </c>
      <c r="T129" s="13">
        <f>IF(COUNT('Cash Flow'!T72,'Cash Flow'!S72)=2,'Cash Flow'!T72-'Cash Flow'!S72,"")</f>
        <v>-258</v>
      </c>
      <c r="U129" s="13">
        <f>IF(COUNT('Cash Flow'!U72,'Cash Flow'!T72)=2,'Cash Flow'!U72-'Cash Flow'!T72,"")</f>
        <v>-248</v>
      </c>
      <c r="V129" s="13">
        <f>IF(COUNT('Cash Flow'!V72)=1,'Cash Flow'!V72,"")</f>
        <v>-182</v>
      </c>
      <c r="W129" s="13">
        <f>IF(COUNT('Cash Flow'!W72,'Cash Flow'!V72)=2,'Cash Flow'!W72-'Cash Flow'!V72,"")</f>
        <v>-297</v>
      </c>
      <c r="X129" s="13">
        <f>IF(COUNT('Cash Flow'!X72,'Cash Flow'!W72)=2,'Cash Flow'!X72-'Cash Flow'!W72,"")</f>
        <v>-260</v>
      </c>
    </row>
    <row r="130" spans="1:24" ht="22" customHeight="1">
      <c r="A130" s="3" t="s">
        <v>352</v>
      </c>
      <c r="B130" s="1"/>
      <c r="C130" s="14"/>
      <c r="D130" s="14"/>
      <c r="E130" s="14"/>
      <c r="F130" s="14"/>
      <c r="G130" s="14"/>
      <c r="H130" s="14"/>
      <c r="I130" s="14"/>
      <c r="J130" s="14"/>
      <c r="K130" s="14"/>
      <c r="L130" s="14"/>
      <c r="M130" s="15"/>
      <c r="N130" s="13">
        <f>IF(COUNT('Cash Flow'!N74)=1,'Cash Flow'!N74,"")</f>
        <v>66</v>
      </c>
      <c r="O130" s="13">
        <f>IF(COUNT('Cash Flow'!O74,'Cash Flow'!N74)=2,'Cash Flow'!O74-'Cash Flow'!N74,"")</f>
        <v>41</v>
      </c>
      <c r="P130" s="13">
        <f>IF(COUNT('Cash Flow'!P74,'Cash Flow'!O74)=2,'Cash Flow'!P74-'Cash Flow'!O74,"")</f>
        <v>31</v>
      </c>
      <c r="Q130" s="13">
        <f>IF(COUNT('Cash Flow'!Q74,'Cash Flow'!P74)=2,'Cash Flow'!Q74-'Cash Flow'!P74,"")</f>
        <v>28</v>
      </c>
      <c r="R130" s="13">
        <f>IF(COUNT('Cash Flow'!R74)=1,'Cash Flow'!R74,"")</f>
        <v>50</v>
      </c>
      <c r="S130" s="13">
        <f>IF(COUNT('Cash Flow'!S74,'Cash Flow'!R74)=2,'Cash Flow'!S74-'Cash Flow'!R74,"")</f>
        <v>8</v>
      </c>
      <c r="T130" s="13">
        <f>IF(COUNT('Cash Flow'!T74,'Cash Flow'!S74)=2,'Cash Flow'!T74-'Cash Flow'!S74,"")</f>
        <v>18</v>
      </c>
      <c r="U130" s="13">
        <f>IF(COUNT('Cash Flow'!U74,'Cash Flow'!T74)=2,'Cash Flow'!U74-'Cash Flow'!T74,"")</f>
        <v>21</v>
      </c>
      <c r="V130" s="13">
        <f>IF(COUNT('Cash Flow'!V74)=1,'Cash Flow'!V74,"")</f>
        <v>93</v>
      </c>
      <c r="W130" s="13">
        <f>IF(COUNT('Cash Flow'!W74,'Cash Flow'!V74)=2,'Cash Flow'!W74-'Cash Flow'!V74,"")</f>
        <v>6</v>
      </c>
      <c r="X130" s="13">
        <f>IF(COUNT('Cash Flow'!X74,'Cash Flow'!W74)=2,'Cash Flow'!X74-'Cash Flow'!W74,"")</f>
        <v>8</v>
      </c>
    </row>
    <row r="131" spans="1:24" ht="22" customHeight="1">
      <c r="A131" s="3" t="s">
        <v>354</v>
      </c>
      <c r="B131" s="1"/>
      <c r="C131" s="14"/>
      <c r="D131" s="14"/>
      <c r="E131" s="14"/>
      <c r="F131" s="14"/>
      <c r="G131" s="14"/>
      <c r="H131" s="14"/>
      <c r="I131" s="14"/>
      <c r="J131" s="14"/>
      <c r="K131" s="14"/>
      <c r="L131" s="14"/>
      <c r="M131" s="15"/>
      <c r="N131" s="13">
        <f>IF(COUNT('Cash Flow'!N76)=1,'Cash Flow'!N76,"")</f>
        <v>0</v>
      </c>
      <c r="O131" s="13">
        <f>IF(COUNT('Cash Flow'!O76,'Cash Flow'!N76)=2,'Cash Flow'!O76-'Cash Flow'!N76,"")</f>
        <v>-20</v>
      </c>
      <c r="P131" s="13">
        <f>IF(COUNT('Cash Flow'!P76,'Cash Flow'!O76)=2,'Cash Flow'!P76-'Cash Flow'!O76,"")</f>
        <v>-2</v>
      </c>
      <c r="Q131" s="13">
        <f>IF(COUNT('Cash Flow'!Q76,'Cash Flow'!P76)=2,'Cash Flow'!Q76-'Cash Flow'!P76,"")</f>
        <v>-31</v>
      </c>
      <c r="R131" s="13">
        <f>IF(COUNT('Cash Flow'!R76)=1,'Cash Flow'!R76,"")</f>
        <v>-2</v>
      </c>
      <c r="S131" s="13">
        <f>IF(COUNT('Cash Flow'!S76,'Cash Flow'!R76)=2,'Cash Flow'!S76-'Cash Flow'!R76,"")</f>
        <v>-15</v>
      </c>
      <c r="T131" s="13">
        <f>IF(COUNT('Cash Flow'!T76,'Cash Flow'!S76)=2,'Cash Flow'!T76-'Cash Flow'!S76,"")</f>
        <v>-1</v>
      </c>
      <c r="U131" s="13">
        <f>IF(COUNT('Cash Flow'!U76,'Cash Flow'!T76)=2,'Cash Flow'!U76-'Cash Flow'!T76,"")</f>
        <v>-55</v>
      </c>
      <c r="V131" s="13">
        <f>IF(COUNT('Cash Flow'!V76)=1,'Cash Flow'!V76,"")</f>
        <v>-1</v>
      </c>
      <c r="W131" s="13">
        <f>IF(COUNT('Cash Flow'!W76,'Cash Flow'!V76)=2,'Cash Flow'!W76-'Cash Flow'!V76,"")</f>
        <v>-1</v>
      </c>
      <c r="X131" s="13">
        <f>IF(COUNT('Cash Flow'!X76,'Cash Flow'!W76)=2,'Cash Flow'!X76-'Cash Flow'!W76,"")</f>
        <v>1</v>
      </c>
    </row>
    <row r="132" spans="1:24" ht="24" customHeight="1">
      <c r="A132" s="16" t="s">
        <v>362</v>
      </c>
      <c r="B132" s="17"/>
      <c r="C132" s="18"/>
      <c r="D132" s="18"/>
      <c r="E132" s="18"/>
      <c r="F132" s="18"/>
      <c r="G132" s="18"/>
      <c r="H132" s="18"/>
      <c r="I132" s="18"/>
      <c r="J132" s="18"/>
      <c r="K132" s="18"/>
      <c r="L132" s="18"/>
      <c r="M132" s="20"/>
      <c r="N132" s="19">
        <f>IF(COUNT('Cash Flow'!N84)=1,'Cash Flow'!N84,"")</f>
        <v>10</v>
      </c>
      <c r="O132" s="19">
        <f>IF(COUNT('Cash Flow'!O84,'Cash Flow'!N84)=2,'Cash Flow'!O84-'Cash Flow'!N84,"")</f>
        <v>-2910</v>
      </c>
      <c r="P132" s="19">
        <f>IF(COUNT('Cash Flow'!P84,'Cash Flow'!O84)=2,'Cash Flow'!P84-'Cash Flow'!O84,"")</f>
        <v>-2382</v>
      </c>
      <c r="Q132" s="19">
        <f>IF(COUNT('Cash Flow'!Q84,'Cash Flow'!P84)=2,'Cash Flow'!Q84-'Cash Flow'!P84,"")</f>
        <v>-2274</v>
      </c>
      <c r="R132" s="19">
        <f>IF(COUNT('Cash Flow'!R84)=1,'Cash Flow'!R84,"")</f>
        <v>1768</v>
      </c>
      <c r="S132" s="19">
        <f>IF(COUNT('Cash Flow'!S84,'Cash Flow'!R84)=2,'Cash Flow'!S84-'Cash Flow'!R84,"")</f>
        <v>100</v>
      </c>
      <c r="T132" s="19">
        <f>IF(COUNT('Cash Flow'!T84,'Cash Flow'!S84)=2,'Cash Flow'!T84-'Cash Flow'!S84,"")</f>
        <v>-2876</v>
      </c>
      <c r="U132" s="19">
        <f>IF(COUNT('Cash Flow'!U84,'Cash Flow'!T84)=2,'Cash Flow'!U84-'Cash Flow'!T84,"")</f>
        <v>-3971</v>
      </c>
      <c r="V132" s="19">
        <f>IF(COUNT('Cash Flow'!V84)=1,'Cash Flow'!V84,"")</f>
        <v>1662</v>
      </c>
      <c r="W132" s="19">
        <f>IF(COUNT('Cash Flow'!W84,'Cash Flow'!V84)=2,'Cash Flow'!W84-'Cash Flow'!V84,"")</f>
        <v>-1792</v>
      </c>
      <c r="X132" s="19">
        <f>IF(COUNT('Cash Flow'!X84,'Cash Flow'!W84)=2,'Cash Flow'!X84-'Cash Flow'!W84,"")</f>
        <v>-3774</v>
      </c>
    </row>
    <row r="133" spans="1:24" ht="24" customHeight="1">
      <c r="A133" s="177" t="s">
        <v>363</v>
      </c>
      <c r="B133" s="178"/>
      <c r="C133" s="179"/>
      <c r="D133" s="179"/>
      <c r="E133" s="179"/>
      <c r="F133" s="179"/>
      <c r="G133" s="179"/>
      <c r="H133" s="179"/>
      <c r="I133" s="179"/>
      <c r="J133" s="179"/>
      <c r="K133" s="179"/>
      <c r="L133" s="179"/>
      <c r="M133" s="12"/>
      <c r="N133" s="179"/>
      <c r="O133" s="179"/>
      <c r="P133" s="179"/>
      <c r="Q133" s="179"/>
      <c r="R133" s="179"/>
      <c r="S133" s="179"/>
      <c r="T133" s="179"/>
      <c r="U133" s="179"/>
      <c r="V133" s="179"/>
      <c r="W133" s="179"/>
      <c r="X133" s="179"/>
    </row>
    <row r="134" spans="1:24" ht="36" customHeight="1">
      <c r="A134" s="3" t="s">
        <v>364</v>
      </c>
      <c r="B134" s="1"/>
      <c r="C134" s="14"/>
      <c r="D134" s="14"/>
      <c r="E134" s="14"/>
      <c r="F134" s="14"/>
      <c r="G134" s="14"/>
      <c r="H134" s="14"/>
      <c r="I134" s="14"/>
      <c r="J134" s="14"/>
      <c r="K134" s="14"/>
      <c r="L134" s="14"/>
      <c r="M134" s="15"/>
      <c r="N134" s="13">
        <f>IF(COUNT('Cash Flow'!N86)=1,'Cash Flow'!N86,"")</f>
        <v>-38</v>
      </c>
      <c r="O134" s="13">
        <f>IF(COUNT('Cash Flow'!O86,'Cash Flow'!N86)=2,'Cash Flow'!O86-'Cash Flow'!N86,"")</f>
        <v>-266</v>
      </c>
      <c r="P134" s="13">
        <f>IF(COUNT('Cash Flow'!P86,'Cash Flow'!O86)=2,'Cash Flow'!P86-'Cash Flow'!O86,"")</f>
        <v>-87</v>
      </c>
      <c r="Q134" s="13">
        <f>IF(COUNT('Cash Flow'!Q86,'Cash Flow'!P86)=2,'Cash Flow'!Q86-'Cash Flow'!P86,"")</f>
        <v>-296</v>
      </c>
      <c r="R134" s="13">
        <f>IF(COUNT('Cash Flow'!R86)=1,'Cash Flow'!R86,"")</f>
        <v>203</v>
      </c>
      <c r="S134" s="13">
        <f>IF(COUNT('Cash Flow'!S86,'Cash Flow'!R86)=2,'Cash Flow'!S86-'Cash Flow'!R86,"")</f>
        <v>219</v>
      </c>
      <c r="T134" s="13">
        <f>IF(COUNT('Cash Flow'!T86,'Cash Flow'!S86)=2,'Cash Flow'!T86-'Cash Flow'!S86,"")</f>
        <v>-27</v>
      </c>
      <c r="U134" s="13">
        <f>IF(COUNT('Cash Flow'!U86,'Cash Flow'!T86)=2,'Cash Flow'!U86-'Cash Flow'!T86,"")</f>
        <v>27</v>
      </c>
      <c r="V134" s="13">
        <f>IF(COUNT('Cash Flow'!V86)=1,'Cash Flow'!V86,"")</f>
        <v>121</v>
      </c>
      <c r="W134" s="13">
        <f>IF(COUNT('Cash Flow'!W86,'Cash Flow'!V86)=2,'Cash Flow'!W86-'Cash Flow'!V86,"")</f>
        <v>135</v>
      </c>
      <c r="X134" s="13">
        <f>IF(COUNT('Cash Flow'!X86,'Cash Flow'!W86)=2,'Cash Flow'!X86-'Cash Flow'!W86,"")</f>
        <v>-431</v>
      </c>
    </row>
    <row r="135" spans="1:24" ht="24" customHeight="1">
      <c r="A135" s="16" t="s">
        <v>365</v>
      </c>
      <c r="B135" s="17"/>
      <c r="C135" s="18"/>
      <c r="D135" s="18"/>
      <c r="E135" s="18"/>
      <c r="F135" s="18"/>
      <c r="G135" s="18"/>
      <c r="H135" s="18"/>
      <c r="I135" s="18"/>
      <c r="J135" s="18"/>
      <c r="K135" s="18"/>
      <c r="L135" s="18"/>
      <c r="M135" s="20"/>
      <c r="N135" s="19">
        <f>IF(COUNT('Cash Flow'!N87)=1,'Cash Flow'!N87,"")</f>
        <v>-1631</v>
      </c>
      <c r="O135" s="19">
        <f>IF(COUNT('Cash Flow'!O87,'Cash Flow'!N87)=2,'Cash Flow'!O87-'Cash Flow'!N87,"")</f>
        <v>-1712</v>
      </c>
      <c r="P135" s="19">
        <f>IF(COUNT('Cash Flow'!P87,'Cash Flow'!O87)=2,'Cash Flow'!P87-'Cash Flow'!O87,"")</f>
        <v>925</v>
      </c>
      <c r="Q135" s="19">
        <f>IF(COUNT('Cash Flow'!Q87,'Cash Flow'!P87)=2,'Cash Flow'!Q87-'Cash Flow'!P87,"")</f>
        <v>1210</v>
      </c>
      <c r="R135" s="19">
        <f>IF(COUNT('Cash Flow'!R87)=1,'Cash Flow'!R87,"")</f>
        <v>-234</v>
      </c>
      <c r="S135" s="19">
        <f>IF(COUNT('Cash Flow'!S87,'Cash Flow'!R87)=2,'Cash Flow'!S87-'Cash Flow'!R87,"")</f>
        <v>-607</v>
      </c>
      <c r="T135" s="19">
        <f>IF(COUNT('Cash Flow'!T87,'Cash Flow'!S87)=2,'Cash Flow'!T87-'Cash Flow'!S87,"")</f>
        <v>459</v>
      </c>
      <c r="U135" s="19">
        <f>IF(COUNT('Cash Flow'!U87,'Cash Flow'!T87)=2,'Cash Flow'!U87-'Cash Flow'!T87,"")</f>
        <v>1033</v>
      </c>
      <c r="V135" s="19">
        <f>IF(COUNT('Cash Flow'!V87)=1,'Cash Flow'!V87,"")</f>
        <v>1347</v>
      </c>
      <c r="W135" s="19">
        <f>IF(COUNT('Cash Flow'!W87,'Cash Flow'!V87)=2,'Cash Flow'!W87-'Cash Flow'!V87,"")</f>
        <v>-248</v>
      </c>
      <c r="X135" s="19">
        <f>IF(COUNT('Cash Flow'!X87,'Cash Flow'!W87)=2,'Cash Flow'!X87-'Cash Flow'!W87,"")</f>
        <v>425</v>
      </c>
    </row>
    <row r="136" spans="1:24" ht="36" customHeight="1">
      <c r="A136" s="3" t="s">
        <v>366</v>
      </c>
      <c r="B136" s="1"/>
      <c r="C136" s="14"/>
      <c r="D136" s="14"/>
      <c r="E136" s="14"/>
      <c r="F136" s="14"/>
      <c r="G136" s="14"/>
      <c r="H136" s="14"/>
      <c r="I136" s="14"/>
      <c r="J136" s="14"/>
      <c r="K136" s="14"/>
      <c r="L136" s="14"/>
      <c r="M136" s="15"/>
      <c r="N136" s="13">
        <f>IF(COUNT('Cash Flow'!N88)=1,'Cash Flow'!N88,"")</f>
        <v>9761</v>
      </c>
      <c r="O136" s="13">
        <f>IF(COUNT('Cash Flow'!N89)=1,'Cash Flow'!N89,"")</f>
        <v>8130</v>
      </c>
      <c r="P136" s="13">
        <f>IF(COUNT('Cash Flow'!O89)=1,'Cash Flow'!O89,"")</f>
        <v>6418</v>
      </c>
      <c r="Q136" s="13">
        <f>IF(COUNT('Cash Flow'!P89)=1,'Cash Flow'!P89,"")</f>
        <v>7343</v>
      </c>
      <c r="R136" s="13">
        <f>IF(COUNT('Cash Flow'!R88)=1,'Cash Flow'!R88,"")</f>
        <v>8553</v>
      </c>
      <c r="S136" s="13">
        <f>IF(COUNT('Cash Flow'!R89)=1,'Cash Flow'!R89,"")</f>
        <v>8319</v>
      </c>
      <c r="T136" s="13">
        <f>IF(COUNT('Cash Flow'!S89)=1,'Cash Flow'!S89,"")</f>
        <v>7712</v>
      </c>
      <c r="U136" s="13">
        <f>IF(COUNT('Cash Flow'!T89)=1,'Cash Flow'!T89,"")</f>
        <v>8171</v>
      </c>
      <c r="V136" s="13">
        <f>IF(COUNT('Cash Flow'!V88)=1,'Cash Flow'!V88,"")</f>
        <v>9204</v>
      </c>
      <c r="W136" s="13">
        <f>IF(COUNT('Cash Flow'!V89)=1,'Cash Flow'!V89,"")</f>
        <v>10551</v>
      </c>
      <c r="X136" s="13">
        <f>IF(COUNT('Cash Flow'!W89)=1,'Cash Flow'!W89,"")</f>
        <v>10303</v>
      </c>
    </row>
    <row r="137" spans="1:24" ht="24" customHeight="1">
      <c r="A137" s="16" t="s">
        <v>367</v>
      </c>
      <c r="B137" s="17"/>
      <c r="C137" s="18"/>
      <c r="D137" s="18"/>
      <c r="E137" s="18"/>
      <c r="F137" s="18"/>
      <c r="G137" s="18"/>
      <c r="H137" s="18"/>
      <c r="I137" s="18"/>
      <c r="J137" s="18"/>
      <c r="K137" s="18"/>
      <c r="L137" s="18"/>
      <c r="M137" s="20"/>
      <c r="N137" s="19">
        <f>IF(COUNT('Cash Flow'!N89)=1,'Cash Flow'!N89,"")</f>
        <v>8130</v>
      </c>
      <c r="O137" s="19">
        <f>IF(COUNT('Cash Flow'!O89)=1,'Cash Flow'!O89,"")</f>
        <v>6418</v>
      </c>
      <c r="P137" s="19">
        <f>IF(COUNT('Cash Flow'!P89)=1,'Cash Flow'!P89,"")</f>
        <v>7343</v>
      </c>
      <c r="Q137" s="19">
        <f>IF(COUNT('Cash Flow'!Q89)=1,'Cash Flow'!Q89,"")</f>
        <v>8553</v>
      </c>
      <c r="R137" s="19">
        <f>IF(COUNT('Cash Flow'!R89)=1,'Cash Flow'!R89,"")</f>
        <v>8319</v>
      </c>
      <c r="S137" s="19">
        <f>IF(COUNT('Cash Flow'!S89)=1,'Cash Flow'!S89,"")</f>
        <v>7712</v>
      </c>
      <c r="T137" s="19">
        <f>IF(COUNT('Cash Flow'!T89)=1,'Cash Flow'!T89,"")</f>
        <v>8171</v>
      </c>
      <c r="U137" s="19">
        <f>IF(COUNT('Cash Flow'!U89)=1,'Cash Flow'!U89,"")</f>
        <v>9204</v>
      </c>
      <c r="V137" s="19">
        <f>IF(COUNT('Cash Flow'!V89)=1,'Cash Flow'!V89,"")</f>
        <v>10551</v>
      </c>
      <c r="W137" s="19">
        <f>IF(COUNT('Cash Flow'!W89)=1,'Cash Flow'!W89,"")</f>
        <v>10303</v>
      </c>
      <c r="X137" s="19">
        <f>IF(COUNT('Cash Flow'!X89)=1,'Cash Flow'!X89,"")</f>
        <v>10728</v>
      </c>
    </row>
    <row r="138" spans="1:24" ht="22" customHeight="1">
      <c r="A138" s="3" t="s">
        <v>313</v>
      </c>
      <c r="B138" s="1"/>
      <c r="C138" s="14"/>
      <c r="D138" s="14"/>
      <c r="E138" s="14"/>
      <c r="F138" s="14"/>
      <c r="G138" s="14"/>
      <c r="H138" s="14"/>
      <c r="I138" s="14"/>
      <c r="J138" s="14"/>
      <c r="K138" s="14"/>
      <c r="L138" s="14"/>
      <c r="M138" s="15"/>
      <c r="N138" s="13">
        <f>IF(COUNT('Cash Flow'!N35)=1,'Cash Flow'!N35,"")</f>
        <v>127</v>
      </c>
      <c r="O138" s="13">
        <f>IF(COUNT('Cash Flow'!O35,'Cash Flow'!N35)=2,'Cash Flow'!O35-'Cash Flow'!N35,"")</f>
        <v>151</v>
      </c>
      <c r="P138" s="13">
        <f>IF(COUNT('Cash Flow'!P35,'Cash Flow'!O35)=2,'Cash Flow'!P35-'Cash Flow'!O35,"")</f>
        <v>160</v>
      </c>
      <c r="Q138" s="13">
        <f>IF(COUNT('Cash Flow'!Q35,'Cash Flow'!P35)=2,'Cash Flow'!Q35-'Cash Flow'!P35,"")</f>
        <v>217</v>
      </c>
      <c r="R138" s="13">
        <f>IF(COUNT('Cash Flow'!R35)=1,'Cash Flow'!R35,"")</f>
        <v>145</v>
      </c>
      <c r="S138" s="13">
        <f>IF(COUNT('Cash Flow'!S35,'Cash Flow'!R35)=2,'Cash Flow'!S35-'Cash Flow'!R35,"")</f>
        <v>170</v>
      </c>
      <c r="T138" s="13">
        <f>IF(COUNT('Cash Flow'!T35,'Cash Flow'!S35)=2,'Cash Flow'!T35-'Cash Flow'!S35,"")</f>
        <v>174</v>
      </c>
      <c r="U138" s="13">
        <f>IF(COUNT('Cash Flow'!U35,'Cash Flow'!T35)=2,'Cash Flow'!U35-'Cash Flow'!T35,"")</f>
        <v>238</v>
      </c>
      <c r="V138" s="13">
        <f>IF(COUNT('Cash Flow'!V35)=1,'Cash Flow'!V35,"")</f>
        <v>162</v>
      </c>
      <c r="W138" s="13">
        <f>IF(COUNT('Cash Flow'!W35,'Cash Flow'!V35)=2,'Cash Flow'!W35-'Cash Flow'!V35,"")</f>
        <v>185</v>
      </c>
      <c r="X138" s="13">
        <f>IF(COUNT('Cash Flow'!X35,'Cash Flow'!W35)=2,'Cash Flow'!X35-'Cash Flow'!W35,"")</f>
        <v>184</v>
      </c>
    </row>
    <row r="139" spans="1:24" ht="22" customHeight="1">
      <c r="A139" s="3" t="s">
        <v>314</v>
      </c>
      <c r="B139" s="1"/>
      <c r="C139" s="14"/>
      <c r="D139" s="14"/>
      <c r="E139" s="14"/>
      <c r="F139" s="14"/>
      <c r="G139" s="14"/>
      <c r="H139" s="14"/>
      <c r="I139" s="14"/>
      <c r="J139" s="14"/>
      <c r="K139" s="14"/>
      <c r="L139" s="14"/>
      <c r="M139" s="15"/>
      <c r="N139" s="13" t="str">
        <f>IF(COUNT('Cash Flow'!N36)=1,'Cash Flow'!N36,"")</f>
        <v/>
      </c>
      <c r="O139" s="13" t="str">
        <f>IF(COUNT('Cash Flow'!O36,'Cash Flow'!N36)=2,'Cash Flow'!O36-'Cash Flow'!N36,"")</f>
        <v/>
      </c>
      <c r="P139" s="13" t="str">
        <f>IF(COUNT('Cash Flow'!P36,'Cash Flow'!O36)=2,'Cash Flow'!P36-'Cash Flow'!O36,"")</f>
        <v/>
      </c>
      <c r="Q139" s="13">
        <f>IF(COUNT('Cash Flow'!Q36,'Cash Flow'!P36)=2,'Cash Flow'!Q36-'Cash Flow'!P36,"")</f>
        <v>15</v>
      </c>
      <c r="R139" s="13">
        <f>IF(COUNT('Cash Flow'!R36)=1,'Cash Flow'!R36,"")</f>
        <v>25</v>
      </c>
      <c r="S139" s="13">
        <f>IF(COUNT('Cash Flow'!S36,'Cash Flow'!R36)=2,'Cash Flow'!S36-'Cash Flow'!R36,"")</f>
        <v>62</v>
      </c>
      <c r="T139" s="13">
        <f>IF(COUNT('Cash Flow'!T36,'Cash Flow'!S36)=2,'Cash Flow'!T36-'Cash Flow'!S36,"")</f>
        <v>221</v>
      </c>
      <c r="U139" s="13">
        <f>IF(COUNT('Cash Flow'!U36,'Cash Flow'!T36)=2,'Cash Flow'!U36-'Cash Flow'!T36,"")</f>
        <v>145</v>
      </c>
      <c r="V139" s="13">
        <f>IF(COUNT('Cash Flow'!V36)=1,'Cash Flow'!V36,"")</f>
        <v>-113</v>
      </c>
      <c r="W139" s="13">
        <f>IF(COUNT('Cash Flow'!W36,'Cash Flow'!V36)=2,'Cash Flow'!W36-'Cash Flow'!V36,"")</f>
        <v>-45</v>
      </c>
      <c r="X139" s="13">
        <f>IF(COUNT('Cash Flow'!X36,'Cash Flow'!W36)=2,'Cash Flow'!X36-'Cash Flow'!W36,"")</f>
        <v>-96</v>
      </c>
    </row>
    <row r="140" spans="1:24" ht="36" customHeight="1">
      <c r="A140" s="3" t="s">
        <v>315</v>
      </c>
      <c r="B140" s="1"/>
      <c r="C140" s="14"/>
      <c r="D140" s="14"/>
      <c r="E140" s="14"/>
      <c r="F140" s="14"/>
      <c r="G140" s="14"/>
      <c r="H140" s="14"/>
      <c r="I140" s="14"/>
      <c r="J140" s="14"/>
      <c r="K140" s="14"/>
      <c r="L140" s="14"/>
      <c r="M140" s="15"/>
      <c r="N140" s="13" t="str">
        <f>IF(COUNT('Cash Flow'!N37)=1,'Cash Flow'!N37,"")</f>
        <v/>
      </c>
      <c r="O140" s="13" t="str">
        <f>IF(COUNT('Cash Flow'!O37,'Cash Flow'!N37)=2,'Cash Flow'!O37-'Cash Flow'!N37,"")</f>
        <v/>
      </c>
      <c r="P140" s="13" t="str">
        <f>IF(COUNT('Cash Flow'!P37,'Cash Flow'!O37)=2,'Cash Flow'!P37-'Cash Flow'!O37,"")</f>
        <v/>
      </c>
      <c r="Q140" s="13">
        <f>IF(COUNT('Cash Flow'!Q37,'Cash Flow'!P37)=2,'Cash Flow'!Q37-'Cash Flow'!P37,"")</f>
        <v>-14</v>
      </c>
      <c r="R140" s="13">
        <f>IF(COUNT('Cash Flow'!R37)=1,'Cash Flow'!R37,"")</f>
        <v>-13</v>
      </c>
      <c r="S140" s="13">
        <f>IF(COUNT('Cash Flow'!S37,'Cash Flow'!R37)=2,'Cash Flow'!S37-'Cash Flow'!R37,"")</f>
        <v>-45</v>
      </c>
      <c r="T140" s="13">
        <f>IF(COUNT('Cash Flow'!T37,'Cash Flow'!S37)=2,'Cash Flow'!T37-'Cash Flow'!S37,"")</f>
        <v>-22</v>
      </c>
      <c r="U140" s="13">
        <f>IF(COUNT('Cash Flow'!U37,'Cash Flow'!T37)=2,'Cash Flow'!U37-'Cash Flow'!T37,"")</f>
        <v>-148</v>
      </c>
      <c r="V140" s="13">
        <f>IF(COUNT('Cash Flow'!V37)=1,'Cash Flow'!V37,"")</f>
        <v>-14</v>
      </c>
      <c r="W140" s="13">
        <f>IF(COUNT('Cash Flow'!W37,'Cash Flow'!V37)=2,'Cash Flow'!W37-'Cash Flow'!V37,"")</f>
        <v>0</v>
      </c>
      <c r="X140" s="13">
        <f>IF(COUNT('Cash Flow'!X37,'Cash Flow'!W37)=2,'Cash Flow'!X37-'Cash Flow'!W37,"")</f>
        <v>-10</v>
      </c>
    </row>
    <row r="141" spans="1:24" ht="36" customHeight="1">
      <c r="A141" s="3" t="s">
        <v>360</v>
      </c>
      <c r="B141" s="1"/>
      <c r="C141" s="14"/>
      <c r="D141" s="14"/>
      <c r="E141" s="14"/>
      <c r="F141" s="14"/>
      <c r="G141" s="14"/>
      <c r="H141" s="14"/>
      <c r="I141" s="14"/>
      <c r="J141" s="14"/>
      <c r="K141" s="14"/>
      <c r="L141" s="14"/>
      <c r="M141" s="15"/>
      <c r="N141" s="13">
        <f>IF(COUNT('Cash Flow'!N82)=1,'Cash Flow'!N82,"")</f>
        <v>-108</v>
      </c>
      <c r="O141" s="13">
        <f>IF(COUNT('Cash Flow'!O82,'Cash Flow'!N82)=2,'Cash Flow'!O82-'Cash Flow'!N82,"")</f>
        <v>-23</v>
      </c>
      <c r="P141" s="13">
        <f>IF(COUNT('Cash Flow'!P82,'Cash Flow'!O82)=2,'Cash Flow'!P82-'Cash Flow'!O82,"")</f>
        <v>-1</v>
      </c>
      <c r="Q141" s="13">
        <f>IF(COUNT('Cash Flow'!Q82,'Cash Flow'!P82)=2,'Cash Flow'!Q82-'Cash Flow'!P82,"")</f>
        <v>-3</v>
      </c>
      <c r="R141" s="13">
        <f>IF(COUNT('Cash Flow'!R82)=1,'Cash Flow'!R82,"")</f>
        <v>-89</v>
      </c>
      <c r="S141" s="13">
        <f>IF(COUNT('Cash Flow'!S82,'Cash Flow'!R82)=2,'Cash Flow'!S82-'Cash Flow'!R82,"")</f>
        <v>-22</v>
      </c>
      <c r="T141" s="13">
        <f>IF(COUNT('Cash Flow'!T82,'Cash Flow'!S82)=2,'Cash Flow'!T82-'Cash Flow'!S82,"")</f>
        <v>-1</v>
      </c>
      <c r="U141" s="13">
        <f>IF(COUNT('Cash Flow'!U82,'Cash Flow'!T82)=2,'Cash Flow'!U82-'Cash Flow'!T82,"")</f>
        <v>-1</v>
      </c>
      <c r="V141" s="13">
        <f>IF(COUNT('Cash Flow'!V82)=1,'Cash Flow'!V82,"")</f>
        <v>-76</v>
      </c>
      <c r="W141" s="13">
        <f>IF(COUNT('Cash Flow'!W82,'Cash Flow'!V82)=2,'Cash Flow'!W82-'Cash Flow'!V82,"")</f>
        <v>-19</v>
      </c>
      <c r="X141" s="13">
        <f>IF(COUNT('Cash Flow'!X82,'Cash Flow'!W82)=2,'Cash Flow'!X82-'Cash Flow'!W82,"")</f>
        <v>-1</v>
      </c>
    </row>
    <row r="142" spans="1:24" ht="22" customHeight="1">
      <c r="A142" s="3" t="s">
        <v>318</v>
      </c>
      <c r="B142" s="1"/>
      <c r="C142" s="14"/>
      <c r="D142" s="14"/>
      <c r="E142" s="14"/>
      <c r="F142" s="14"/>
      <c r="G142" s="14"/>
      <c r="H142" s="14"/>
      <c r="I142" s="14"/>
      <c r="J142" s="14"/>
      <c r="K142" s="14"/>
      <c r="L142" s="14"/>
      <c r="M142" s="15"/>
      <c r="N142" s="13" t="str">
        <f>IF(COUNT('Cash Flow'!N40)=1,'Cash Flow'!N40,"")</f>
        <v/>
      </c>
      <c r="O142" s="13" t="str">
        <f>IF(COUNT('Cash Flow'!O40,'Cash Flow'!N40)=2,'Cash Flow'!O40-'Cash Flow'!N40,"")</f>
        <v/>
      </c>
      <c r="P142" s="13">
        <f>IF(COUNT('Cash Flow'!P40,'Cash Flow'!O40)=2,'Cash Flow'!P40-'Cash Flow'!O40,"")</f>
        <v>10</v>
      </c>
      <c r="Q142" s="13">
        <f>IF(COUNT('Cash Flow'!Q40,'Cash Flow'!P40)=2,'Cash Flow'!Q40-'Cash Flow'!P40,"")</f>
        <v>704</v>
      </c>
      <c r="R142" s="13" t="str">
        <f>IF(COUNT('Cash Flow'!R40)=1,'Cash Flow'!R40,"")</f>
        <v/>
      </c>
      <c r="S142" s="13" t="str">
        <f>IF(COUNT('Cash Flow'!S40,'Cash Flow'!R40)=2,'Cash Flow'!S40-'Cash Flow'!R40,"")</f>
        <v/>
      </c>
      <c r="T142" s="13">
        <f>IF(COUNT('Cash Flow'!T40,'Cash Flow'!S40)=2,'Cash Flow'!T40-'Cash Flow'!S40,"")</f>
        <v>100</v>
      </c>
      <c r="U142" s="13">
        <f>IF(COUNT('Cash Flow'!U40,'Cash Flow'!T40)=2,'Cash Flow'!U40-'Cash Flow'!T40,"")</f>
        <v>-14</v>
      </c>
      <c r="V142" s="13" t="str">
        <f>IF(COUNT('Cash Flow'!V40)=1,'Cash Flow'!V40,"")</f>
        <v/>
      </c>
      <c r="W142" s="13" t="str">
        <f>IF(COUNT('Cash Flow'!W40,'Cash Flow'!V40)=2,'Cash Flow'!W40-'Cash Flow'!V40,"")</f>
        <v/>
      </c>
      <c r="X142" s="13">
        <f>IF(COUNT('Cash Flow'!X40,'Cash Flow'!W40)=2,'Cash Flow'!X40-'Cash Flow'!W40,"")</f>
        <v>0</v>
      </c>
    </row>
    <row r="143" spans="1:24" ht="50" customHeight="1">
      <c r="A143" s="3" t="s">
        <v>338</v>
      </c>
      <c r="B143" s="1"/>
      <c r="C143" s="14"/>
      <c r="D143" s="14"/>
      <c r="E143" s="14"/>
      <c r="F143" s="14"/>
      <c r="G143" s="14"/>
      <c r="H143" s="14"/>
      <c r="I143" s="14"/>
      <c r="J143" s="14"/>
      <c r="K143" s="14"/>
      <c r="L143" s="14"/>
      <c r="M143" s="15"/>
      <c r="N143" s="13">
        <f>IF(COUNT('Cash Flow'!N60)=1,'Cash Flow'!N60,"")</f>
        <v>-6</v>
      </c>
      <c r="O143" s="13">
        <f>IF(COUNT('Cash Flow'!O60,'Cash Flow'!N60)=2,'Cash Flow'!O60-'Cash Flow'!N60,"")</f>
        <v>-24</v>
      </c>
      <c r="P143" s="13">
        <f>IF(COUNT('Cash Flow'!P60,'Cash Flow'!O60)=2,'Cash Flow'!P60-'Cash Flow'!O60,"")</f>
        <v>-1</v>
      </c>
      <c r="Q143" s="13">
        <f>IF(COUNT('Cash Flow'!Q60,'Cash Flow'!P60)=2,'Cash Flow'!Q60-'Cash Flow'!P60,"")</f>
        <v>-225</v>
      </c>
      <c r="R143" s="13">
        <f>IF(COUNT('Cash Flow'!R60)=1,'Cash Flow'!R60,"")</f>
        <v>-1200</v>
      </c>
      <c r="S143" s="13">
        <f>IF(COUNT('Cash Flow'!S60,'Cash Flow'!R60)=2,'Cash Flow'!S60-'Cash Flow'!R60,"")</f>
        <v>-1930</v>
      </c>
      <c r="T143" s="13">
        <f>IF(COUNT('Cash Flow'!T60,'Cash Flow'!S60)=2,'Cash Flow'!T60-'Cash Flow'!S60,"")</f>
        <v>-46</v>
      </c>
      <c r="U143" s="13">
        <f>IF(COUNT('Cash Flow'!U60,'Cash Flow'!T60)=2,'Cash Flow'!U60-'Cash Flow'!T60,"")</f>
        <v>-215</v>
      </c>
      <c r="V143" s="13">
        <f>IF(COUNT('Cash Flow'!V60)=1,'Cash Flow'!V60,"")</f>
        <v>-67</v>
      </c>
      <c r="W143" s="13">
        <f>IF(COUNT('Cash Flow'!W60,'Cash Flow'!V60)=2,'Cash Flow'!W60-'Cash Flow'!V60,"")</f>
        <v>-81</v>
      </c>
      <c r="X143" s="13">
        <f>IF(COUNT('Cash Flow'!X60,'Cash Flow'!W60)=2,'Cash Flow'!X60-'Cash Flow'!W60,"")</f>
        <v>0</v>
      </c>
    </row>
    <row r="144" spans="1:24" ht="36" customHeight="1">
      <c r="A144" s="3" t="s">
        <v>340</v>
      </c>
      <c r="B144" s="1"/>
      <c r="C144" s="14"/>
      <c r="D144" s="14"/>
      <c r="E144" s="14"/>
      <c r="F144" s="14"/>
      <c r="G144" s="14"/>
      <c r="H144" s="14"/>
      <c r="I144" s="14"/>
      <c r="J144" s="14"/>
      <c r="K144" s="14"/>
      <c r="L144" s="14"/>
      <c r="M144" s="15"/>
      <c r="N144" s="13">
        <f>IF(COUNT('Cash Flow'!N62)=1,'Cash Flow'!N62,"")</f>
        <v>53</v>
      </c>
      <c r="O144" s="13">
        <f>IF(COUNT('Cash Flow'!O62,'Cash Flow'!N62)=2,'Cash Flow'!O62-'Cash Flow'!N62,"")</f>
        <v>82</v>
      </c>
      <c r="P144" s="13">
        <f>IF(COUNT('Cash Flow'!P62,'Cash Flow'!O62)=2,'Cash Flow'!P62-'Cash Flow'!O62,"")</f>
        <v>10</v>
      </c>
      <c r="Q144" s="13">
        <f>IF(COUNT('Cash Flow'!Q62,'Cash Flow'!P62)=2,'Cash Flow'!Q62-'Cash Flow'!P62,"")</f>
        <v>21</v>
      </c>
      <c r="R144" s="13" t="str">
        <f>IF(COUNT('Cash Flow'!R62)=1,'Cash Flow'!R62,"")</f>
        <v/>
      </c>
      <c r="S144" s="13" t="str">
        <f>IF(COUNT('Cash Flow'!S62,'Cash Flow'!R62)=2,'Cash Flow'!S62-'Cash Flow'!R62,"")</f>
        <v/>
      </c>
      <c r="T144" s="13" t="str">
        <f>IF(COUNT('Cash Flow'!T62,'Cash Flow'!S62)=2,'Cash Flow'!T62-'Cash Flow'!S62,"")</f>
        <v/>
      </c>
      <c r="U144" s="13" t="str">
        <f>IF(COUNT('Cash Flow'!U62,'Cash Flow'!T62)=2,'Cash Flow'!U62-'Cash Flow'!T62,"")</f>
        <v/>
      </c>
      <c r="V144" s="13" t="str">
        <f>IF(COUNT('Cash Flow'!V62)=1,'Cash Flow'!V62,"")</f>
        <v/>
      </c>
      <c r="W144" s="13" t="str">
        <f>IF(COUNT('Cash Flow'!W62,'Cash Flow'!V62)=2,'Cash Flow'!W62-'Cash Flow'!V62,"")</f>
        <v/>
      </c>
      <c r="X144" s="13" t="str">
        <f>IF(COUNT('Cash Flow'!X62,'Cash Flow'!W62)=2,'Cash Flow'!X62-'Cash Flow'!W62,"")</f>
        <v/>
      </c>
    </row>
    <row r="145" spans="1:24" ht="22" customHeight="1">
      <c r="A145" s="3" t="s">
        <v>320</v>
      </c>
      <c r="B145" s="1"/>
      <c r="C145" s="14"/>
      <c r="D145" s="14"/>
      <c r="E145" s="14"/>
      <c r="F145" s="14"/>
      <c r="G145" s="14"/>
      <c r="H145" s="14"/>
      <c r="I145" s="14"/>
      <c r="J145" s="14"/>
      <c r="K145" s="14"/>
      <c r="L145" s="14"/>
      <c r="M145" s="15"/>
      <c r="N145" s="13">
        <f>IF(COUNT('Cash Flow'!N42)=1,'Cash Flow'!N42,"")</f>
        <v>167</v>
      </c>
      <c r="O145" s="13">
        <f>IF(COUNT('Cash Flow'!O42,'Cash Flow'!N42)=2,'Cash Flow'!O42-'Cash Flow'!N42,"")</f>
        <v>15</v>
      </c>
      <c r="P145" s="13">
        <f>IF(COUNT('Cash Flow'!P42,'Cash Flow'!O42)=2,'Cash Flow'!P42-'Cash Flow'!O42,"")</f>
        <v>2</v>
      </c>
      <c r="Q145" s="13">
        <f>IF(COUNT('Cash Flow'!Q42,'Cash Flow'!P42)=2,'Cash Flow'!Q42-'Cash Flow'!P42,"")</f>
        <v>3</v>
      </c>
      <c r="R145" s="13" t="str">
        <f>IF(COUNT('Cash Flow'!R42)=1,'Cash Flow'!R42,"")</f>
        <v/>
      </c>
      <c r="S145" s="13" t="str">
        <f>IF(COUNT('Cash Flow'!S42,'Cash Flow'!R42)=2,'Cash Flow'!S42-'Cash Flow'!R42,"")</f>
        <v/>
      </c>
      <c r="T145" s="13" t="str">
        <f>IF(COUNT('Cash Flow'!T42,'Cash Flow'!S42)=2,'Cash Flow'!T42-'Cash Flow'!S42,"")</f>
        <v/>
      </c>
      <c r="U145" s="13" t="str">
        <f>IF(COUNT('Cash Flow'!U42,'Cash Flow'!T42)=2,'Cash Flow'!U42-'Cash Flow'!T42,"")</f>
        <v/>
      </c>
      <c r="V145" s="13" t="str">
        <f>IF(COUNT('Cash Flow'!V42)=1,'Cash Flow'!V42,"")</f>
        <v/>
      </c>
      <c r="W145" s="13" t="str">
        <f>IF(COUNT('Cash Flow'!W42,'Cash Flow'!V42)=2,'Cash Flow'!W42-'Cash Flow'!V42,"")</f>
        <v/>
      </c>
      <c r="X145" s="13" t="str">
        <f>IF(COUNT('Cash Flow'!X42,'Cash Flow'!W42)=2,'Cash Flow'!X42-'Cash Flow'!W42,"")</f>
        <v/>
      </c>
    </row>
    <row r="146" spans="1:24" ht="22" customHeight="1">
      <c r="A146" s="3" t="s">
        <v>321</v>
      </c>
      <c r="B146" s="1"/>
      <c r="C146" s="14"/>
      <c r="D146" s="14"/>
      <c r="E146" s="14"/>
      <c r="F146" s="14"/>
      <c r="G146" s="14"/>
      <c r="H146" s="14"/>
      <c r="I146" s="14"/>
      <c r="J146" s="14"/>
      <c r="K146" s="14"/>
      <c r="L146" s="14"/>
      <c r="M146" s="15"/>
      <c r="N146" s="13">
        <f>IF(COUNT('Cash Flow'!N43)=1,'Cash Flow'!N43,"")</f>
        <v>-108</v>
      </c>
      <c r="O146" s="13">
        <f>IF(COUNT('Cash Flow'!O43,'Cash Flow'!N43)=2,'Cash Flow'!O43-'Cash Flow'!N43,"")</f>
        <v>-27</v>
      </c>
      <c r="P146" s="13">
        <f>IF(COUNT('Cash Flow'!P43,'Cash Flow'!O43)=2,'Cash Flow'!P43-'Cash Flow'!O43,"")</f>
        <v>-3</v>
      </c>
      <c r="Q146" s="13">
        <f>IF(COUNT('Cash Flow'!Q43,'Cash Flow'!P43)=2,'Cash Flow'!Q43-'Cash Flow'!P43,"")</f>
        <v>-10</v>
      </c>
      <c r="R146" s="13" t="str">
        <f>IF(COUNT('Cash Flow'!R43)=1,'Cash Flow'!R43,"")</f>
        <v/>
      </c>
      <c r="S146" s="13" t="str">
        <f>IF(COUNT('Cash Flow'!S43,'Cash Flow'!R43)=2,'Cash Flow'!S43-'Cash Flow'!R43,"")</f>
        <v/>
      </c>
      <c r="T146" s="13" t="str">
        <f>IF(COUNT('Cash Flow'!T43,'Cash Flow'!S43)=2,'Cash Flow'!T43-'Cash Flow'!S43,"")</f>
        <v/>
      </c>
      <c r="U146" s="13" t="str">
        <f>IF(COUNT('Cash Flow'!U43,'Cash Flow'!T43)=2,'Cash Flow'!U43-'Cash Flow'!T43,"")</f>
        <v/>
      </c>
      <c r="V146" s="13" t="str">
        <f>IF(COUNT('Cash Flow'!V43)=1,'Cash Flow'!V43,"")</f>
        <v/>
      </c>
      <c r="W146" s="13" t="str">
        <f>IF(COUNT('Cash Flow'!W43,'Cash Flow'!V43)=2,'Cash Flow'!W43-'Cash Flow'!V43,"")</f>
        <v/>
      </c>
      <c r="X146" s="13" t="str">
        <f>IF(COUNT('Cash Flow'!X43,'Cash Flow'!W43)=2,'Cash Flow'!X43-'Cash Flow'!W43,"")</f>
        <v/>
      </c>
    </row>
    <row r="147" spans="1:24" ht="24" customHeight="1">
      <c r="A147" s="177" t="s">
        <v>368</v>
      </c>
      <c r="B147" s="178"/>
      <c r="C147" s="179"/>
      <c r="D147" s="179"/>
      <c r="E147" s="179"/>
      <c r="F147" s="179"/>
      <c r="G147" s="179"/>
      <c r="H147" s="179"/>
      <c r="I147" s="179"/>
      <c r="J147" s="179"/>
      <c r="K147" s="179"/>
      <c r="L147" s="179"/>
      <c r="M147" s="12"/>
      <c r="N147" s="179"/>
      <c r="O147" s="179"/>
      <c r="P147" s="179"/>
      <c r="Q147" s="179"/>
      <c r="R147" s="179"/>
      <c r="S147" s="179"/>
      <c r="T147" s="179"/>
      <c r="U147" s="179"/>
      <c r="V147" s="179"/>
      <c r="W147" s="179"/>
      <c r="X147" s="179"/>
    </row>
    <row r="148" spans="1:24" ht="36" customHeight="1">
      <c r="A148" s="3" t="s">
        <v>369</v>
      </c>
      <c r="B148" s="1"/>
      <c r="C148" s="14"/>
      <c r="D148" s="14"/>
      <c r="E148" s="14"/>
      <c r="F148" s="14"/>
      <c r="G148" s="14"/>
      <c r="H148" s="14"/>
      <c r="I148" s="14"/>
      <c r="J148" s="14"/>
      <c r="K148" s="14"/>
      <c r="L148" s="14"/>
      <c r="M148" s="15"/>
      <c r="N148" s="13">
        <f>IF(COUNT('Cash Flow'!N91)=1,'Cash Flow'!N91,"")</f>
        <v>259</v>
      </c>
      <c r="O148" s="13">
        <f>IF(COUNT('Cash Flow'!O91,'Cash Flow'!N91)=2,'Cash Flow'!O91-'Cash Flow'!N91,"")</f>
        <v>282</v>
      </c>
      <c r="P148" s="13">
        <f>IF(COUNT('Cash Flow'!P91,'Cash Flow'!O91)=2,'Cash Flow'!P91-'Cash Flow'!O91,"")</f>
        <v>328</v>
      </c>
      <c r="Q148" s="13" t="str">
        <f>IF(COUNT('Cash Flow'!Q91,'Cash Flow'!P91)=2,'Cash Flow'!Q91-'Cash Flow'!P91,"")</f>
        <v/>
      </c>
      <c r="R148" s="13">
        <f>IF(COUNT('Cash Flow'!R91)=1,'Cash Flow'!R91,"")</f>
        <v>166</v>
      </c>
      <c r="S148" s="13">
        <f>IF(COUNT('Cash Flow'!S91,'Cash Flow'!R91)=2,'Cash Flow'!S91-'Cash Flow'!R91,"")</f>
        <v>163</v>
      </c>
      <c r="T148" s="13">
        <f>IF(COUNT('Cash Flow'!T91,'Cash Flow'!S91)=2,'Cash Flow'!T91-'Cash Flow'!S91,"")</f>
        <v>213</v>
      </c>
      <c r="U148" s="13" t="str">
        <f>IF(COUNT('Cash Flow'!U91,'Cash Flow'!T91)=2,'Cash Flow'!U91-'Cash Flow'!T91,"")</f>
        <v/>
      </c>
      <c r="V148" s="13">
        <f>IF(COUNT('Cash Flow'!V91)=1,'Cash Flow'!V91,"")</f>
        <v>114</v>
      </c>
      <c r="W148" s="13">
        <f>IF(COUNT('Cash Flow'!W91,'Cash Flow'!V91)=2,'Cash Flow'!W91-'Cash Flow'!V91,"")</f>
        <v>178</v>
      </c>
      <c r="X148" s="13">
        <f>IF(COUNT('Cash Flow'!X91,'Cash Flow'!W91)=2,'Cash Flow'!X91-'Cash Flow'!W91,"")</f>
        <v>333</v>
      </c>
    </row>
    <row r="149" spans="1:24" ht="36" customHeight="1">
      <c r="A149" s="3" t="s">
        <v>322</v>
      </c>
      <c r="B149" s="1"/>
      <c r="C149" s="14"/>
      <c r="D149" s="14"/>
      <c r="E149" s="14"/>
      <c r="F149" s="14"/>
      <c r="G149" s="14"/>
      <c r="H149" s="14"/>
      <c r="I149" s="14"/>
      <c r="J149" s="14"/>
      <c r="K149" s="14"/>
      <c r="L149" s="14"/>
      <c r="M149" s="15"/>
      <c r="N149" s="13" t="str">
        <f>IF(COUNT('Cash Flow'!N44)=1,'Cash Flow'!N44,"")</f>
        <v/>
      </c>
      <c r="O149" s="13" t="str">
        <f>IF(COUNT('Cash Flow'!O44,'Cash Flow'!N44)=2,'Cash Flow'!O44-'Cash Flow'!N44,"")</f>
        <v/>
      </c>
      <c r="P149" s="13">
        <f>IF(COUNT('Cash Flow'!P44,'Cash Flow'!O44)=2,'Cash Flow'!P44-'Cash Flow'!O44,"")</f>
        <v>0</v>
      </c>
      <c r="Q149" s="13" t="str">
        <f>IF(COUNT('Cash Flow'!Q44,'Cash Flow'!P44)=2,'Cash Flow'!Q44-'Cash Flow'!P44,"")</f>
        <v/>
      </c>
      <c r="R149" s="13" t="str">
        <f>IF(COUNT('Cash Flow'!R44)=1,'Cash Flow'!R44,"")</f>
        <v/>
      </c>
      <c r="S149" s="13" t="str">
        <f>IF(COUNT('Cash Flow'!S44,'Cash Flow'!R44)=2,'Cash Flow'!S44-'Cash Flow'!R44,"")</f>
        <v/>
      </c>
      <c r="T149" s="13">
        <f>IF(COUNT('Cash Flow'!T44,'Cash Flow'!S44)=2,'Cash Flow'!T44-'Cash Flow'!S44,"")</f>
        <v>0</v>
      </c>
      <c r="U149" s="13" t="str">
        <f>IF(COUNT('Cash Flow'!U44,'Cash Flow'!T44)=2,'Cash Flow'!U44-'Cash Flow'!T44,"")</f>
        <v/>
      </c>
      <c r="V149" s="13" t="str">
        <f>IF(COUNT('Cash Flow'!V44)=1,'Cash Flow'!V44,"")</f>
        <v/>
      </c>
      <c r="W149" s="13" t="str">
        <f>IF(COUNT('Cash Flow'!W44,'Cash Flow'!V44)=2,'Cash Flow'!W44-'Cash Flow'!V44,"")</f>
        <v/>
      </c>
      <c r="X149" s="13">
        <f>IF(COUNT('Cash Flow'!X44,'Cash Flow'!W44)=2,'Cash Flow'!X44-'Cash Flow'!W44,"")</f>
        <v>0</v>
      </c>
    </row>
    <row r="150" spans="1:24" ht="22" customHeight="1">
      <c r="A150" s="3" t="s">
        <v>370</v>
      </c>
      <c r="B150" s="1"/>
      <c r="C150" s="14"/>
      <c r="D150" s="14"/>
      <c r="E150" s="14"/>
      <c r="F150" s="14"/>
      <c r="G150" s="14"/>
      <c r="H150" s="14"/>
      <c r="I150" s="14"/>
      <c r="J150" s="14"/>
      <c r="K150" s="14"/>
      <c r="L150" s="14"/>
      <c r="M150" s="15"/>
      <c r="N150" s="13" t="str">
        <f>IF(COUNT('Cash Flow'!N92)=1,'Cash Flow'!N92,"")</f>
        <v/>
      </c>
      <c r="O150" s="13" t="str">
        <f>IF(COUNT('Cash Flow'!O92,'Cash Flow'!N92)=2,'Cash Flow'!O92-'Cash Flow'!N92,"")</f>
        <v/>
      </c>
      <c r="P150" s="13" t="str">
        <f>IF(COUNT('Cash Flow'!P92,'Cash Flow'!O92)=2,'Cash Flow'!P92-'Cash Flow'!O92,"")</f>
        <v/>
      </c>
      <c r="Q150" s="13" t="str">
        <f>IF(COUNT('Cash Flow'!Q92,'Cash Flow'!P92)=2,'Cash Flow'!Q92-'Cash Flow'!P92,"")</f>
        <v/>
      </c>
      <c r="R150" s="13" t="str">
        <f>IF(COUNT('Cash Flow'!R92)=1,'Cash Flow'!R92,"")</f>
        <v/>
      </c>
      <c r="S150" s="13" t="str">
        <f>IF(COUNT('Cash Flow'!S92,'Cash Flow'!R92)=2,'Cash Flow'!S92-'Cash Flow'!R92,"")</f>
        <v/>
      </c>
      <c r="T150" s="13" t="str">
        <f>IF(COUNT('Cash Flow'!T92,'Cash Flow'!S92)=2,'Cash Flow'!T92-'Cash Flow'!S92,"")</f>
        <v/>
      </c>
      <c r="U150" s="13" t="str">
        <f>IF(COUNT('Cash Flow'!U92,'Cash Flow'!T92)=2,'Cash Flow'!U92-'Cash Flow'!T92,"")</f>
        <v/>
      </c>
      <c r="V150" s="13" t="str">
        <f>IF(COUNT('Cash Flow'!V92)=1,'Cash Flow'!V92,"")</f>
        <v/>
      </c>
      <c r="W150" s="13" t="str">
        <f>IF(COUNT('Cash Flow'!W92,'Cash Flow'!V92)=2,'Cash Flow'!W92-'Cash Flow'!V92,"")</f>
        <v/>
      </c>
      <c r="X150" s="13" t="str">
        <f>IF(COUNT('Cash Flow'!X92,'Cash Flow'!W92)=2,'Cash Flow'!X92-'Cash Flow'!W92,"")</f>
        <v/>
      </c>
    </row>
    <row r="151" spans="1:24" ht="22" customHeight="1">
      <c r="A151" s="3" t="s">
        <v>370</v>
      </c>
      <c r="B151" s="1"/>
      <c r="C151" s="14"/>
      <c r="D151" s="14"/>
      <c r="E151" s="14"/>
      <c r="F151" s="14"/>
      <c r="G151" s="14"/>
      <c r="H151" s="14"/>
      <c r="I151" s="14"/>
      <c r="J151" s="14"/>
      <c r="K151" s="14"/>
      <c r="L151" s="14"/>
      <c r="M151" s="15"/>
      <c r="N151" s="13" t="str">
        <f>IF(COUNT('Cash Flow'!N93)=1,'Cash Flow'!N93,"")</f>
        <v/>
      </c>
      <c r="O151" s="13" t="str">
        <f>IF(COUNT('Cash Flow'!O93,'Cash Flow'!N93)=2,'Cash Flow'!O93-'Cash Flow'!N93,"")</f>
        <v/>
      </c>
      <c r="P151" s="13" t="str">
        <f>IF(COUNT('Cash Flow'!P93,'Cash Flow'!O93)=2,'Cash Flow'!P93-'Cash Flow'!O93,"")</f>
        <v/>
      </c>
      <c r="Q151" s="13" t="str">
        <f>IF(COUNT('Cash Flow'!Q93,'Cash Flow'!P93)=2,'Cash Flow'!Q93-'Cash Flow'!P93,"")</f>
        <v/>
      </c>
      <c r="R151" s="13" t="str">
        <f>IF(COUNT('Cash Flow'!R93)=1,'Cash Flow'!R93,"")</f>
        <v/>
      </c>
      <c r="S151" s="13" t="str">
        <f>IF(COUNT('Cash Flow'!S93,'Cash Flow'!R93)=2,'Cash Flow'!S93-'Cash Flow'!R93,"")</f>
        <v/>
      </c>
      <c r="T151" s="13" t="str">
        <f>IF(COUNT('Cash Flow'!T93,'Cash Flow'!S93)=2,'Cash Flow'!T93-'Cash Flow'!S93,"")</f>
        <v/>
      </c>
      <c r="U151" s="13" t="str">
        <f>IF(COUNT('Cash Flow'!U93,'Cash Flow'!T93)=2,'Cash Flow'!U93-'Cash Flow'!T93,"")</f>
        <v/>
      </c>
      <c r="V151" s="13" t="str">
        <f>IF(COUNT('Cash Flow'!V93)=1,'Cash Flow'!V93,"")</f>
        <v/>
      </c>
      <c r="W151" s="13" t="str">
        <f>IF(COUNT('Cash Flow'!W93,'Cash Flow'!V93)=2,'Cash Flow'!W93-'Cash Flow'!V93,"")</f>
        <v/>
      </c>
      <c r="X151" s="13" t="str">
        <f>IF(COUNT('Cash Flow'!X93,'Cash Flow'!W93)=2,'Cash Flow'!X93-'Cash Flow'!W93,"")</f>
        <v/>
      </c>
    </row>
    <row r="152" spans="1:24" ht="22" customHeight="1">
      <c r="A152" s="3"/>
      <c r="B152" s="1"/>
      <c r="C152" s="2"/>
      <c r="D152" s="2"/>
      <c r="E152" s="2"/>
      <c r="F152" s="2"/>
      <c r="G152" s="2"/>
      <c r="H152" s="2"/>
      <c r="I152" s="2"/>
      <c r="J152" s="2"/>
      <c r="K152" s="2"/>
      <c r="L152" s="2"/>
      <c r="M152" s="2"/>
      <c r="N152" s="2"/>
      <c r="O152" s="2"/>
      <c r="P152" s="2"/>
      <c r="Q152" s="2"/>
      <c r="R152" s="2"/>
      <c r="S152" s="2"/>
      <c r="T152" s="2"/>
      <c r="U152" s="2"/>
      <c r="V152" s="2"/>
      <c r="W152" s="2"/>
      <c r="X152" s="2"/>
    </row>
  </sheetData>
  <mergeCells count="28">
    <mergeCell ref="A127:L127"/>
    <mergeCell ref="N127:X127"/>
    <mergeCell ref="A133:L133"/>
    <mergeCell ref="N133:X133"/>
    <mergeCell ref="A147:L147"/>
    <mergeCell ref="N147:X147"/>
    <mergeCell ref="A95:X95"/>
    <mergeCell ref="A96:X96"/>
    <mergeCell ref="A97:L97"/>
    <mergeCell ref="N97:X97"/>
    <mergeCell ref="A113:L113"/>
    <mergeCell ref="N113:X113"/>
    <mergeCell ref="A70:L70"/>
    <mergeCell ref="N70:X70"/>
    <mergeCell ref="A85:L85"/>
    <mergeCell ref="N85:X85"/>
    <mergeCell ref="A90:L90"/>
    <mergeCell ref="N90:X90"/>
    <mergeCell ref="A12:X12"/>
    <mergeCell ref="A13:L13"/>
    <mergeCell ref="N13:X13"/>
    <mergeCell ref="A47:L47"/>
    <mergeCell ref="N47:X47"/>
    <mergeCell ref="A1:X1"/>
    <mergeCell ref="A2:X2"/>
    <mergeCell ref="C7:L7"/>
    <mergeCell ref="N7:X7"/>
    <mergeCell ref="A11:X11"/>
  </mergeCells>
  <phoneticPr fontId="44" type="noConversion"/>
  <hyperlinks>
    <hyperlink ref="A3" location="'Contents'!A1" display="Metric (Return to Contents)" xr:uid="{00000000-0004-0000-0600-000000000000}"/>
    <hyperlink ref="C7" location="'Cash Flow'!A11" display="Cash flow statement: annual and YTD" xr:uid="{00000000-0004-0000-0600-000001000000}"/>
    <hyperlink ref="N7" location="'Cash Flow'!A95" display="Cash flow statement: discrete quarters" xr:uid="{00000000-0004-0000-06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64A2"/>
  </sheetPr>
  <dimension ref="A1:X79"/>
  <sheetViews>
    <sheetView showGridLines="0" workbookViewId="0">
      <pane xSplit="2" ySplit="5" topLeftCell="C7"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373</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374</v>
      </c>
      <c r="D7" s="176"/>
      <c r="E7" s="176"/>
      <c r="F7" s="176"/>
      <c r="G7" s="176"/>
      <c r="H7" s="176"/>
      <c r="I7" s="176"/>
      <c r="J7" s="176"/>
      <c r="K7" s="176"/>
      <c r="L7" s="176"/>
      <c r="M7" s="2"/>
      <c r="N7" s="176" t="s">
        <v>375</v>
      </c>
      <c r="O7" s="176"/>
      <c r="P7" s="176"/>
      <c r="Q7" s="176"/>
      <c r="R7" s="176"/>
      <c r="S7" s="176"/>
      <c r="T7" s="176"/>
      <c r="U7" s="176"/>
      <c r="V7" s="176"/>
      <c r="W7" s="176"/>
      <c r="X7" s="176"/>
    </row>
    <row r="8" spans="1:24" ht="22" customHeight="1">
      <c r="A8" s="3"/>
      <c r="B8" s="1"/>
      <c r="C8" s="176" t="s">
        <v>376</v>
      </c>
      <c r="D8" s="176"/>
      <c r="E8" s="176"/>
      <c r="F8" s="176"/>
      <c r="G8" s="176"/>
      <c r="H8" s="176"/>
      <c r="I8" s="176"/>
      <c r="J8" s="176"/>
      <c r="K8" s="176"/>
      <c r="L8" s="176"/>
      <c r="M8" s="2"/>
      <c r="N8" s="176" t="s">
        <v>377</v>
      </c>
      <c r="O8" s="176"/>
      <c r="P8" s="176"/>
      <c r="Q8" s="176"/>
      <c r="R8" s="176"/>
      <c r="S8" s="176"/>
      <c r="T8" s="176"/>
      <c r="U8" s="176"/>
      <c r="V8" s="176"/>
      <c r="W8" s="176"/>
      <c r="X8" s="176"/>
    </row>
    <row r="9" spans="1:24" ht="22" customHeight="1">
      <c r="A9" s="3"/>
      <c r="B9" s="1"/>
      <c r="C9" s="176" t="s">
        <v>378</v>
      </c>
      <c r="D9" s="176"/>
      <c r="E9" s="176"/>
      <c r="F9" s="176"/>
      <c r="G9" s="176"/>
      <c r="H9" s="176"/>
      <c r="I9" s="176"/>
      <c r="J9" s="176"/>
      <c r="K9" s="176"/>
      <c r="L9" s="176"/>
      <c r="M9" s="2"/>
      <c r="N9" s="176" t="s">
        <v>379</v>
      </c>
      <c r="O9" s="176"/>
      <c r="P9" s="176"/>
      <c r="Q9" s="176"/>
      <c r="R9" s="176"/>
      <c r="S9" s="176"/>
      <c r="T9" s="176"/>
      <c r="U9" s="176"/>
      <c r="V9" s="176"/>
      <c r="W9" s="176"/>
      <c r="X9" s="176"/>
    </row>
    <row r="10" spans="1:24" ht="22" customHeight="1">
      <c r="A10" s="3"/>
      <c r="B10" s="1"/>
      <c r="M10" s="2"/>
      <c r="N10" s="2"/>
      <c r="O10" s="2"/>
      <c r="P10" s="2"/>
      <c r="Q10" s="2"/>
      <c r="R10" s="2"/>
      <c r="S10" s="2"/>
      <c r="T10" s="2"/>
      <c r="U10" s="2"/>
      <c r="V10" s="2"/>
      <c r="W10" s="2"/>
      <c r="X10" s="2"/>
    </row>
    <row r="11" spans="1:24" ht="22" customHeight="1">
      <c r="A11" s="3"/>
      <c r="B11" s="1"/>
      <c r="C11" s="2"/>
      <c r="D11" s="2"/>
      <c r="E11" s="2"/>
      <c r="F11" s="2"/>
      <c r="G11" s="2"/>
      <c r="H11" s="2"/>
      <c r="I11" s="2"/>
      <c r="J11" s="2"/>
      <c r="K11" s="2"/>
      <c r="L11" s="2"/>
      <c r="M11" s="2"/>
      <c r="N11" s="2"/>
      <c r="O11" s="2"/>
      <c r="P11" s="2"/>
      <c r="Q11" s="2"/>
      <c r="R11" s="2"/>
      <c r="S11" s="2"/>
      <c r="T11" s="2"/>
      <c r="U11" s="2"/>
      <c r="V11" s="2"/>
      <c r="W11" s="2"/>
      <c r="X11" s="2"/>
    </row>
    <row r="12" spans="1:24" ht="22" customHeight="1">
      <c r="A12" s="3"/>
      <c r="B12" s="1"/>
      <c r="C12" s="2"/>
      <c r="D12" s="2"/>
      <c r="E12" s="2"/>
      <c r="F12" s="2"/>
      <c r="G12" s="2"/>
      <c r="H12" s="2"/>
      <c r="I12" s="2"/>
      <c r="J12" s="2"/>
      <c r="K12" s="2"/>
      <c r="L12" s="2"/>
      <c r="M12" s="2"/>
      <c r="N12" s="2"/>
      <c r="O12" s="2"/>
      <c r="P12" s="2"/>
      <c r="Q12" s="2"/>
      <c r="R12" s="2"/>
      <c r="S12" s="2"/>
      <c r="T12" s="2"/>
      <c r="U12" s="2"/>
      <c r="V12" s="2"/>
      <c r="W12" s="2"/>
      <c r="X12" s="2"/>
    </row>
    <row r="13" spans="1:24" ht="22" customHeight="1">
      <c r="A13" s="3"/>
      <c r="B13" s="1"/>
      <c r="C13" s="2"/>
      <c r="D13" s="2"/>
      <c r="E13" s="2"/>
      <c r="F13" s="2"/>
      <c r="G13" s="2"/>
      <c r="H13" s="2"/>
      <c r="I13" s="2"/>
      <c r="J13" s="2"/>
      <c r="K13" s="2"/>
      <c r="L13" s="2"/>
      <c r="M13" s="2"/>
      <c r="N13" s="2"/>
      <c r="O13" s="2"/>
      <c r="P13" s="2"/>
      <c r="Q13" s="2"/>
      <c r="R13" s="2"/>
      <c r="S13" s="2"/>
      <c r="T13" s="2"/>
      <c r="U13" s="2"/>
      <c r="V13" s="2"/>
      <c r="W13" s="2"/>
      <c r="X13" s="2"/>
    </row>
    <row r="14" spans="1:24" ht="22" customHeight="1">
      <c r="A14" s="174" t="s">
        <v>374</v>
      </c>
      <c r="B14" s="174"/>
      <c r="C14" s="175"/>
      <c r="D14" s="175"/>
      <c r="E14" s="175"/>
      <c r="F14" s="175"/>
      <c r="G14" s="175"/>
      <c r="H14" s="175"/>
      <c r="I14" s="175"/>
      <c r="J14" s="175"/>
      <c r="K14" s="175"/>
      <c r="L14" s="175"/>
      <c r="M14" s="175"/>
      <c r="N14" s="175"/>
      <c r="O14" s="175"/>
      <c r="P14" s="175"/>
      <c r="Q14" s="175"/>
      <c r="R14" s="175"/>
      <c r="S14" s="175"/>
      <c r="T14" s="175"/>
      <c r="U14" s="175"/>
      <c r="V14" s="175"/>
      <c r="W14" s="175"/>
      <c r="X14" s="175"/>
    </row>
    <row r="15" spans="1:24" ht="20" customHeight="1">
      <c r="A15" s="21" t="s">
        <v>380</v>
      </c>
      <c r="B15" s="1"/>
      <c r="C15" s="32">
        <f>IF(COUNT('Income Statement'!C16,'Income Statement'!C13)=2,IF('Income Statement'!C13&lt;&gt;0,'Income Statement'!C16/'Income Statement'!C13,""),"")</f>
        <v>0.55059793945763469</v>
      </c>
      <c r="D15" s="32">
        <f>IF(COUNT('Income Statement'!D16,'Income Statement'!D13)=2,IF('Income Statement'!D13&lt;&gt;0,'Income Statement'!D16/'Income Statement'!D13,""),"")</f>
        <v>0.54669815033451397</v>
      </c>
      <c r="E15" s="32">
        <f>IF(COUNT('Income Statement'!E16,'Income Statement'!E13)=2,IF('Income Statement'!E13&lt;&gt;0,'Income Statement'!E16/'Income Statement'!E13,""),"")</f>
        <v>0.54561482191738453</v>
      </c>
      <c r="F15" s="32">
        <f>IF(COUNT('Income Statement'!F16,'Income Statement'!F13)=2,IF('Income Statement'!F13&lt;&gt;0,'Income Statement'!F16/'Income Statement'!F13,""),"")</f>
        <v>0.55134676374681735</v>
      </c>
      <c r="G15" s="32">
        <f>IF(COUNT('Income Statement'!G16,'Income Statement'!G13)=2,IF('Income Statement'!G13&lt;&gt;0,'Income Statement'!G16/'Income Statement'!G13,""),"")</f>
        <v>0.54815835843801508</v>
      </c>
      <c r="H15" s="32">
        <f>IF(COUNT('Income Statement'!H16,'Income Statement'!H13)=2,IF('Income Statement'!H13&lt;&gt;0,'Income Statement'!H16/'Income Statement'!H13,""),"")</f>
        <v>0.53349523114477693</v>
      </c>
      <c r="I15" s="32">
        <f>IF(COUNT('Income Statement'!I16,'Income Statement'!I13)=2,IF('Income Statement'!I13&lt;&gt;0,'Income Statement'!I16/'Income Statement'!I13,""),"")</f>
        <v>0.5303268821187147</v>
      </c>
      <c r="J15" s="32">
        <f>IF(COUNT('Income Statement'!J16,'Income Statement'!J13)=2,IF('Income Statement'!J13&lt;&gt;0,'Income Statement'!J16/'Income Statement'!J13,""),"")</f>
        <v>0.54213903860239854</v>
      </c>
      <c r="K15" s="32">
        <f>IF(COUNT('Income Statement'!K16,'Income Statement'!K13)=2,IF('Income Statement'!K13&lt;&gt;0,'Income Statement'!K16/'Income Statement'!K13,""),"")</f>
        <v>0.54553966076599825</v>
      </c>
      <c r="L15" s="32">
        <f>IF(COUNT('Income Statement'!L16,'Income Statement'!L13)=2,IF('Income Statement'!L13&lt;&gt;0,'Income Statement'!L16/'Income Statement'!L13,""),"")</f>
        <v>0.54148522757519302</v>
      </c>
      <c r="M15" s="24"/>
      <c r="N15" s="32">
        <f>IF(COUNT('Income Statement'!N16,'Income Statement'!N13)=2,IF('Income Statement'!N13&lt;&gt;0,'Income Statement'!N16/'Income Statement'!N13,""),"")</f>
        <v>0.54805479452054795</v>
      </c>
      <c r="O15" s="32">
        <f>IF(COUNT('Income Statement'!O16,'Income Statement'!O13)=2,IF('Income Statement'!O13&lt;&gt;0,'Income Statement'!O16/'Income Statement'!O13,""),"")</f>
        <v>0.55917514777121013</v>
      </c>
      <c r="P15" s="32">
        <f>IF(COUNT('Income Statement'!P16,'Income Statement'!P13)=2,IF('Income Statement'!P13&lt;&gt;0,'Income Statement'!P16/'Income Statement'!P13,""),"")</f>
        <v>0.55418328401732497</v>
      </c>
      <c r="Q15" s="32">
        <f>IF(COUNT('Income Statement'!Q16,'Income Statement'!Q13)=2,IF('Income Statement'!Q13&lt;&gt;0,'Income Statement'!Q16/'Income Statement'!Q13,""),"")</f>
        <v>0.52559026778001727</v>
      </c>
      <c r="R15" s="32">
        <f>IF(COUNT('Income Statement'!R16,'Income Statement'!R13)=2,IF('Income Statement'!R13&lt;&gt;0,'Income Statement'!R16/'Income Statement'!R13,""),"")</f>
        <v>0.55767620960991127</v>
      </c>
      <c r="S15" s="32">
        <f>IF(COUNT('Income Statement'!S16,'Income Statement'!S13)=2,IF('Income Statement'!S13&lt;&gt;0,'Income Statement'!S16/'Income Statement'!S13,""),"")</f>
        <v>0.54659860952213324</v>
      </c>
      <c r="T15" s="32">
        <f>IF(COUNT('Income Statement'!T16,'Income Statement'!T13)=2,IF('Income Statement'!T13&lt;&gt;0,'Income Statement'!T16/'Income Statement'!T13,""),"")</f>
        <v>0.53573964991435852</v>
      </c>
      <c r="U15" s="32">
        <f>IF(COUNT('Income Statement'!U16,'Income Statement'!U13)=2,IF('Income Statement'!U13&lt;&gt;0,'Income Statement'!U16/'Income Statement'!U13,""),"")</f>
        <v>0.53232457485601337</v>
      </c>
      <c r="V15" s="32">
        <f>IF(COUNT('Income Statement'!V16,'Income Statement'!V13)=2,IF('Income Statement'!V13&lt;&gt;0,'Income Statement'!V16/'Income Statement'!V13,""),"")</f>
        <v>0.55192099984570286</v>
      </c>
      <c r="W15" s="32">
        <f>IF(COUNT('Income Statement'!W16,'Income Statement'!W13)=2,IF('Income Statement'!W13&lt;&gt;0,'Income Statement'!W16/'Income Statement'!W13,""),"")</f>
        <v>0.54220255572556963</v>
      </c>
      <c r="X15" s="32">
        <f>IF(COUNT('Income Statement'!X16,'Income Statement'!X13)=2,IF('Income Statement'!X13&lt;&gt;0,'Income Statement'!X16/'Income Statement'!X13,""),"")</f>
        <v>0.54419561604811273</v>
      </c>
    </row>
    <row r="16" spans="1:24" ht="20" customHeight="1">
      <c r="A16" s="21" t="s">
        <v>381</v>
      </c>
      <c r="B16" s="1"/>
      <c r="C16" s="32">
        <f>IF(COUNT('Income Statement'!C21,'Income Statement'!C13)=2,IF('Income Statement'!C13&lt;&gt;0,'Income Statement'!C21/'Income Statement'!C13,""),"")</f>
        <v>0.15611713562317872</v>
      </c>
      <c r="D16" s="32">
        <f>IF(COUNT('Income Statement'!D21,'Income Statement'!D13)=2,IF('Income Statement'!D13&lt;&gt;0,'Income Statement'!D21/'Income Statement'!D13,""),"")</f>
        <v>0.16176308539944903</v>
      </c>
      <c r="E16" s="32">
        <f>IF(COUNT('Income Statement'!E21,'Income Statement'!E13)=2,IF('Income Statement'!E13&lt;&gt;0,'Income Statement'!E21/'Income Statement'!E13,""),"")</f>
        <v>0.15635390730115525</v>
      </c>
      <c r="F16" s="32">
        <f>IF(COUNT('Income Statement'!F21,'Income Statement'!F13)=2,IF('Income Statement'!F13&lt;&gt;0,'Income Statement'!F21/'Income Statement'!F13,""),"")</f>
        <v>0.15322880838581915</v>
      </c>
      <c r="G16" s="32">
        <f>IF(COUNT('Income Statement'!G21,'Income Statement'!G13)=2,IF('Income Statement'!G13&lt;&gt;0,'Income Statement'!G21/'Income Statement'!G13,""),"")</f>
        <v>0.14323878815437957</v>
      </c>
      <c r="H16" s="32">
        <f>IF(COUNT('Income Statement'!H21,'Income Statement'!H13)=2,IF('Income Statement'!H13&lt;&gt;0,'Income Statement'!H21/'Income Statement'!H13,""),"")</f>
        <v>0.14044844854921107</v>
      </c>
      <c r="I16" s="32">
        <f>IF(COUNT('Income Statement'!I21,'Income Statement'!I13)=2,IF('Income Statement'!I13&lt;&gt;0,'Income Statement'!I21/'Income Statement'!I13,""),"")</f>
        <v>0.13325307898879526</v>
      </c>
      <c r="J16" s="32">
        <f>IF(COUNT('Income Statement'!J21,'Income Statement'!J13)=2,IF('Income Statement'!J13&lt;&gt;0,'Income Statement'!J21/'Income Statement'!J13,""),"")</f>
        <v>0.13103606607558679</v>
      </c>
      <c r="K16" s="32">
        <f>IF(COUNT('Income Statement'!K21,'Income Statement'!K13)=2,IF('Income Statement'!K13&lt;&gt;0,'Income Statement'!K21/'Income Statement'!K13,""),"")</f>
        <v>0.14029873494894071</v>
      </c>
      <c r="L16" s="32">
        <f>IF(COUNT('Income Statement'!L21,'Income Statement'!L13)=2,IF('Income Statement'!L13&lt;&gt;0,'Income Statement'!L21/'Income Statement'!L13,""),"")</f>
        <v>0.12241682193239287</v>
      </c>
      <c r="M16" s="24"/>
      <c r="N16" s="32">
        <f>IF(COUNT('Income Statement'!N21,'Income Statement'!N13)=2,IF('Income Statement'!N13&lt;&gt;0,'Income Statement'!N21/'Income Statement'!N13,""),"")</f>
        <v>0.14887671232876712</v>
      </c>
      <c r="O16" s="32">
        <f>IF(COUNT('Income Statement'!O21,'Income Statement'!O13)=2,IF('Income Statement'!O13&lt;&gt;0,'Income Statement'!O21/'Income Statement'!O13,""),"")</f>
        <v>0.17990311541709259</v>
      </c>
      <c r="P16" s="32">
        <f>IF(COUNT('Income Statement'!P21,'Income Statement'!P13)=2,IF('Income Statement'!P13&lt;&gt;0,'Income Statement'!P21/'Income Statement'!P13,""),"")</f>
        <v>0.16604485612590592</v>
      </c>
      <c r="Q16" s="32">
        <f>IF(COUNT('Income Statement'!Q21,'Income Statement'!Q13)=2,IF('Income Statement'!Q13&lt;&gt;0,'Income Statement'!Q21/'Income Statement'!Q13,""),"")</f>
        <v>8.0981860063345817E-2</v>
      </c>
      <c r="R16" s="32">
        <f>IF(COUNT('Income Statement'!R21,'Income Statement'!R13)=2,IF('Income Statement'!R13&lt;&gt;0,'Income Statement'!R21/'Income Statement'!R13,""),"")</f>
        <v>0.14414866901054746</v>
      </c>
      <c r="S16" s="32">
        <f>IF(COUNT('Income Statement'!S21,'Income Statement'!S13)=2,IF('Income Statement'!S13&lt;&gt;0,'Income Statement'!S21/'Income Statement'!S13,""),"")</f>
        <v>7.8720408342867199E-2</v>
      </c>
      <c r="T16" s="32">
        <f>IF(COUNT('Income Statement'!T21,'Income Statement'!T13)=2,IF('Income Statement'!T13&lt;&gt;0,'Income Statement'!T21/'Income Statement'!T13,""),"")</f>
        <v>0.14909972009859213</v>
      </c>
      <c r="U16" s="32">
        <f>IF(COUNT('Income Statement'!U21,'Income Statement'!U13)=2,IF('Income Statement'!U13&lt;&gt;0,'Income Statement'!U21/'Income Statement'!U13,""),"")</f>
        <v>0.12122141566983607</v>
      </c>
      <c r="V16" s="32">
        <f>IF(COUNT('Income Statement'!V21,'Income Statement'!V13)=2,IF('Income Statement'!V13&lt;&gt;0,'Income Statement'!V21/'Income Statement'!V13,""),"")</f>
        <v>0.16525227588335134</v>
      </c>
      <c r="W16" s="32">
        <f>IF(COUNT('Income Statement'!W21,'Income Statement'!W13)=2,IF('Income Statement'!W13&lt;&gt;0,'Income Statement'!W21/'Income Statement'!W13,""),"")</f>
        <v>0.16637029072412224</v>
      </c>
      <c r="X16" s="32">
        <f>IF(COUNT('Income Statement'!X21,'Income Statement'!X13)=2,IF('Income Statement'!X13&lt;&gt;0,'Income Statement'!X21/'Income Statement'!X13,""),"")</f>
        <v>0.16855266281554165</v>
      </c>
    </row>
    <row r="17" spans="1:24" ht="20" customHeight="1">
      <c r="A17" s="21" t="s">
        <v>382</v>
      </c>
      <c r="B17" s="1"/>
      <c r="C17" s="32">
        <f>IF(COUNT('Income Statement'!C31,'Income Statement'!C13)=2,IF('Income Statement'!C13&lt;&gt;0,'Income Statement'!C31/'Income Statement'!C13,""),"")</f>
        <v>0.10078185958375134</v>
      </c>
      <c r="D17" s="32">
        <f>IF(COUNT('Income Statement'!D31,'Income Statement'!D13)=2,IF('Income Statement'!D13&lt;&gt;0,'Income Statement'!D31/'Income Statement'!D13,""),"")</f>
        <v>7.6458087367178282E-2</v>
      </c>
      <c r="E17" s="32">
        <f>IF(COUNT('Income Statement'!E31,'Income Statement'!E13)=2,IF('Income Statement'!E13&lt;&gt;0,'Income Statement'!E31/'Income Statement'!E13,""),"")</f>
        <v>0.19354788821700872</v>
      </c>
      <c r="F17" s="32">
        <f>IF(COUNT('Income Statement'!F31,'Income Statement'!F13)=2,IF('Income Statement'!F13&lt;&gt;0,'Income Statement'!F31/'Income Statement'!F13,""),"")</f>
        <v>0.10890248805110109</v>
      </c>
      <c r="G17" s="32">
        <f>IF(COUNT('Income Statement'!G31,'Income Statement'!G13)=2,IF('Income Statement'!G13&lt;&gt;0,'Income Statement'!G31/'Income Statement'!G13,""),"")</f>
        <v>0.10117660433126811</v>
      </c>
      <c r="H17" s="32">
        <f>IF(COUNT('Income Statement'!H31,'Income Statement'!H13)=2,IF('Income Statement'!H13&lt;&gt;0,'Income Statement'!H31/'Income Statement'!H13,""),"")</f>
        <v>9.5855248257291692E-2</v>
      </c>
      <c r="I17" s="32">
        <f>IF(COUNT('Income Statement'!I31,'Income Statement'!I13)=2,IF('Income Statement'!I13&lt;&gt;0,'Income Statement'!I31/'Income Statement'!I13,""),"")</f>
        <v>0.10313454949532364</v>
      </c>
      <c r="J17" s="32">
        <f>IF(COUNT('Income Statement'!J31,'Income Statement'!J13)=2,IF('Income Statement'!J13&lt;&gt;0,'Income Statement'!J31/'Income Statement'!J13,""),"")</f>
        <v>9.920083961036831E-2</v>
      </c>
      <c r="K17" s="32">
        <f>IF(COUNT('Income Statement'!K31,'Income Statement'!K13)=2,IF('Income Statement'!K13&lt;&gt;0,'Income Statement'!K31/'Income Statement'!K13,""),"")</f>
        <v>0.10427417423302197</v>
      </c>
      <c r="L17" s="32">
        <f>IF(COUNT('Income Statement'!L31,'Income Statement'!L13)=2,IF('Income Statement'!L13&lt;&gt;0,'Income Statement'!L31/'Income Statement'!L13,""),"")</f>
        <v>8.7729571466595685E-2</v>
      </c>
      <c r="M17" s="24"/>
      <c r="N17" s="32">
        <f>IF(COUNT('Income Statement'!N31,'Income Statement'!N13)=2,IF('Income Statement'!N13&lt;&gt;0,'Income Statement'!N31/'Income Statement'!N13,""),"")</f>
        <v>0.1118904109589041</v>
      </c>
      <c r="O17" s="32">
        <f>IF(COUNT('Income Statement'!O31,'Income Statement'!O13)=2,IF('Income Statement'!O13&lt;&gt;0,'Income Statement'!O31/'Income Statement'!O13,""),"")</f>
        <v>0.13701613261632817</v>
      </c>
      <c r="P17" s="32">
        <f>IF(COUNT('Income Statement'!P31,'Income Statement'!P13)=2,IF('Income Statement'!P13&lt;&gt;0,'Income Statement'!P31/'Income Statement'!P13,""),"")</f>
        <v>0.12564861271924183</v>
      </c>
      <c r="Q17" s="32">
        <f>IF(COUNT('Income Statement'!Q31,'Income Statement'!Q13)=2,IF('Income Statement'!Q13&lt;&gt;0,'Income Statement'!Q31/'Income Statement'!Q13,""),"")</f>
        <v>5.4815721278433628E-2</v>
      </c>
      <c r="R17" s="32">
        <f>IF(COUNT('Income Statement'!R31,'Income Statement'!R13)=2,IF('Income Statement'!R13&lt;&gt;0,'Income Statement'!R31/'Income Statement'!R13,""),"")</f>
        <v>0.10234946146548357</v>
      </c>
      <c r="S17" s="32">
        <f>IF(COUNT('Income Statement'!S31,'Income Statement'!S13)=2,IF('Income Statement'!S13&lt;&gt;0,'Income Statement'!S31/'Income Statement'!S13,""),"")</f>
        <v>5.5575112206283549E-2</v>
      </c>
      <c r="T17" s="32">
        <f>IF(COUNT('Income Statement'!T31,'Income Statement'!T13)=2,IF('Income Statement'!T13&lt;&gt;0,'Income Statement'!T31/'Income Statement'!T13,""),"")</f>
        <v>0.10874378577098216</v>
      </c>
      <c r="U17" s="32">
        <f>IF(COUNT('Income Statement'!U31,'Income Statement'!U13)=2,IF('Income Statement'!U13&lt;&gt;0,'Income Statement'!U31/'Income Statement'!U13,""),"")</f>
        <v>8.6562382851105887E-2</v>
      </c>
      <c r="V17" s="32">
        <f>IF(COUNT('Income Statement'!V31,'Income Statement'!V13)=2,IF('Income Statement'!V13&lt;&gt;0,'Income Statement'!V31/'Income Statement'!V13,""),"")</f>
        <v>0.11968317646453737</v>
      </c>
      <c r="W17" s="32">
        <f>IF(COUNT('Income Statement'!W31,'Income Statement'!W13)=2,IF('Income Statement'!W13&lt;&gt;0,'Income Statement'!W31/'Income Statement'!W13,""),"")</f>
        <v>0.12327860717091932</v>
      </c>
      <c r="X17" s="32">
        <f>IF(COUNT('Income Statement'!X31,'Income Statement'!X13)=2,IF('Income Statement'!X13&lt;&gt;0,'Income Statement'!X31/'Income Statement'!X13,""),"")</f>
        <v>0.12059824325393685</v>
      </c>
    </row>
    <row r="18" spans="1:24" ht="20" customHeight="1">
      <c r="A18" s="21" t="s">
        <v>383</v>
      </c>
      <c r="B18" s="1"/>
      <c r="C18" s="32">
        <f>IF(COUNT('Income Statement'!C28,'Income Statement'!C27)=2,IF('Income Statement'!C27&lt;&gt;0,'Income Statement'!C28/'Income Statement'!C27,""),"")</f>
        <v>0.25417981994621769</v>
      </c>
      <c r="D18" s="32">
        <f>IF(COUNT('Income Statement'!D28,'Income Statement'!D27)=2,IF('Income Statement'!D27&lt;&gt;0,'Income Statement'!D28/'Income Statement'!D27,""),"")</f>
        <v>0.48885648823161842</v>
      </c>
      <c r="E18" s="32">
        <f>IF(COUNT('Income Statement'!E28,'Income Statement'!E27)=2,IF('Income Statement'!E27&lt;&gt;0,'Income Statement'!E28/'Income Statement'!E27,""),"")</f>
        <v>-0.36674284470562629</v>
      </c>
      <c r="F18" s="32">
        <f>IF(COUNT('Income Statement'!F28,'Income Statement'!F27)=2,IF('Income Statement'!F27&lt;&gt;0,'Income Statement'!F28/'Income Statement'!F27,""),"")</f>
        <v>0.21037371134020619</v>
      </c>
      <c r="G18" s="32">
        <f>IF(COUNT('Income Statement'!G28,'Income Statement'!G27)=2,IF('Income Statement'!G27&lt;&gt;0,'Income Statement'!G28/'Income Statement'!G27,""),"")</f>
        <v>0.20884331238284265</v>
      </c>
      <c r="H18" s="32">
        <f>IF(COUNT('Income Statement'!H28,'Income Statement'!H27)=2,IF('Income Statement'!H27&lt;&gt;0,'Income Statement'!H28/'Income Statement'!H27,""),"")</f>
        <v>0.218104062722737</v>
      </c>
      <c r="I18" s="32">
        <f>IF(COUNT('Income Statement'!I28,'Income Statement'!I27)=2,IF('Income Statement'!I27&lt;&gt;0,'Income Statement'!I28/'Income Statement'!I27,""),"")</f>
        <v>0.16132648295189164</v>
      </c>
      <c r="J18" s="32">
        <f>IF(COUNT('Income Statement'!J28,'Income Statement'!J27)=2,IF('Income Statement'!J27&lt;&gt;0,'Income Statement'!J28/'Income Statement'!J27,""),"")</f>
        <v>0.19812560217219935</v>
      </c>
      <c r="K18" s="32">
        <f>IF(COUNT('Income Statement'!K28,'Income Statement'!K27)=2,IF('Income Statement'!K27&lt;&gt;0,'Income Statement'!K28/'Income Statement'!K27,""),"")</f>
        <v>0.19420726603047045</v>
      </c>
      <c r="L18" s="32">
        <f>IF(COUNT('Income Statement'!L28,'Income Statement'!L27)=2,IF('Income Statement'!L27&lt;&gt;0,'Income Statement'!L28/'Income Statement'!L27,""),"")</f>
        <v>0.1902577118313159</v>
      </c>
      <c r="M18" s="24"/>
      <c r="N18" s="32">
        <f>IF(COUNT('Income Statement'!N28,'Income Statement'!N27)=2,IF('Income Statement'!N27&lt;&gt;0,'Income Statement'!N28/'Income Statement'!N27,""),"")</f>
        <v>0.20209871745044694</v>
      </c>
      <c r="O18" s="32">
        <f>IF(COUNT('Income Statement'!O28,'Income Statement'!O27)=2,IF('Income Statement'!O27&lt;&gt;0,'Income Statement'!O28/'Income Statement'!O27,""),"")</f>
        <v>0.20051679586563306</v>
      </c>
      <c r="P18" s="32">
        <f>IF(COUNT('Income Statement'!P28,'Income Statement'!P27)=2,IF('Income Statement'!P27&lt;&gt;0,'Income Statement'!P28/'Income Statement'!P27,""),"")</f>
        <v>0.20276123443421765</v>
      </c>
      <c r="Q18" s="32">
        <f>IF(COUNT('Income Statement'!Q28,'Income Statement'!Q27)=2,IF('Income Statement'!Q27&lt;&gt;0,'Income Statement'!Q28/'Income Statement'!Q27,""),"")</f>
        <v>0.15201768933112217</v>
      </c>
      <c r="R18" s="32">
        <f>IF(COUNT('Income Statement'!R28,'Income Statement'!R27)=2,IF('Income Statement'!R27&lt;&gt;0,'Income Statement'!R28/'Income Statement'!R27,""),"")</f>
        <v>0.213065755764304</v>
      </c>
      <c r="S18" s="32">
        <f>IF(COUNT('Income Statement'!S28,'Income Statement'!S27)=2,IF('Income Statement'!S27&lt;&gt;0,'Income Statement'!S28/'Income Statement'!S27,""),"")</f>
        <v>0.18586887332908975</v>
      </c>
      <c r="T18" s="32">
        <f>IF(COUNT('Income Statement'!T28,'Income Statement'!T27)=2,IF('Income Statement'!T27&lt;&gt;0,'Income Statement'!T28/'Income Statement'!T27,""),"")</f>
        <v>0.21404983488441909</v>
      </c>
      <c r="U18" s="32">
        <f>IF(COUNT('Income Statement'!U28,'Income Statement'!U27)=2,IF('Income Statement'!U27&lt;&gt;0,'Income Statement'!U28/'Income Statement'!U27,""),"")</f>
        <v>0.14833333333333334</v>
      </c>
      <c r="V18" s="32">
        <f>IF(COUNT('Income Statement'!V28,'Income Statement'!V27)=2,IF('Income Statement'!V27&lt;&gt;0,'Income Statement'!V28/'Income Statement'!V27,""),"")</f>
        <v>0.21279461279461279</v>
      </c>
      <c r="W18" s="32">
        <f>IF(COUNT('Income Statement'!W28,'Income Statement'!W27)=2,IF('Income Statement'!W27&lt;&gt;0,'Income Statement'!W28/'Income Statement'!W27,""),"")</f>
        <v>0.2201453790238837</v>
      </c>
      <c r="X18" s="32">
        <f>IF(COUNT('Income Statement'!X28,'Income Statement'!X27)=2,IF('Income Statement'!X27&lt;&gt;0,'Income Statement'!X28/'Income Statement'!X27,""),"")</f>
        <v>0.21362704918032788</v>
      </c>
    </row>
    <row r="19" spans="1:24" ht="22" customHeight="1">
      <c r="A19" s="3" t="s">
        <v>136</v>
      </c>
      <c r="B19" s="1"/>
      <c r="C19" s="34">
        <f>IF(COUNT('Cash Flow'!C15)=1,'Cash Flow'!C15,"")</f>
        <v>2368</v>
      </c>
      <c r="D19" s="34">
        <f>IF(COUNT('Cash Flow'!D15)=1,'Cash Flow'!D15,"")</f>
        <v>2369</v>
      </c>
      <c r="E19" s="34">
        <f>IF(COUNT('Cash Flow'!E15)=1,'Cash Flow'!E15,"")</f>
        <v>2399</v>
      </c>
      <c r="F19" s="34">
        <f>IF(COUNT('Cash Flow'!F15)=1,'Cash Flow'!F15,"")</f>
        <v>2432</v>
      </c>
      <c r="G19" s="34">
        <f>IF(COUNT('Cash Flow'!G15)=1,'Cash Flow'!G15,"")</f>
        <v>2548</v>
      </c>
      <c r="H19" s="34">
        <f>IF(COUNT('Cash Flow'!H15)=1,'Cash Flow'!H15,"")</f>
        <v>2710</v>
      </c>
      <c r="I19" s="34">
        <f>IF(COUNT('Cash Flow'!I15)=1,'Cash Flow'!I15,"")</f>
        <v>2763</v>
      </c>
      <c r="J19" s="34">
        <f>IF(COUNT('Cash Flow'!J15)=1,'Cash Flow'!J15,"")</f>
        <v>2948</v>
      </c>
      <c r="K19" s="34">
        <f>IF(COUNT('Cash Flow'!K15)=1,'Cash Flow'!K15,"")</f>
        <v>3160</v>
      </c>
      <c r="L19" s="34">
        <f>IF(COUNT('Cash Flow'!L15)=1,'Cash Flow'!L15,"")</f>
        <v>3451</v>
      </c>
      <c r="M19" s="15"/>
      <c r="N19" s="34">
        <f>IF(COUNT('Cash Flow'!N99)=1,'Cash Flow'!N99,"")</f>
        <v>641</v>
      </c>
      <c r="O19" s="34">
        <f>IF(COUNT('Cash Flow'!O99)=1,'Cash Flow'!O99,"")</f>
        <v>738</v>
      </c>
      <c r="P19" s="34">
        <f>IF(COUNT('Cash Flow'!P99)=1,'Cash Flow'!P99,"")</f>
        <v>739</v>
      </c>
      <c r="Q19" s="34">
        <f>IF(COUNT('Cash Flow'!Q99)=1,'Cash Flow'!Q99,"")</f>
        <v>1042</v>
      </c>
      <c r="R19" s="34">
        <f>IF(COUNT('Cash Flow'!R99)=1,'Cash Flow'!R99,"")</f>
        <v>684</v>
      </c>
      <c r="S19" s="34">
        <f>IF(COUNT('Cash Flow'!S99)=1,'Cash Flow'!S99,"")</f>
        <v>807</v>
      </c>
      <c r="T19" s="34">
        <f>IF(COUNT('Cash Flow'!T99)=1,'Cash Flow'!T99,"")</f>
        <v>824</v>
      </c>
      <c r="U19" s="34">
        <f>IF(COUNT('Cash Flow'!U99)=1,'Cash Flow'!U99,"")</f>
        <v>1136</v>
      </c>
      <c r="V19" s="34">
        <f>IF(COUNT('Cash Flow'!V99)=1,'Cash Flow'!V99,"")</f>
        <v>742</v>
      </c>
      <c r="W19" s="34">
        <f>IF(COUNT('Cash Flow'!W99)=1,'Cash Flow'!W99,"")</f>
        <v>897</v>
      </c>
      <c r="X19" s="34">
        <f>IF(COUNT('Cash Flow'!X99)=1,'Cash Flow'!X99,"")</f>
        <v>892</v>
      </c>
    </row>
    <row r="20" spans="1:24" ht="36" customHeight="1">
      <c r="A20" s="3" t="s">
        <v>384</v>
      </c>
      <c r="B20" s="1"/>
      <c r="C20" s="34">
        <f>IF(COUNT('Income Statement'!C21,'Derived Metrics'!C19)=2,'Income Statement'!C21+'Derived Metrics'!C19,"")</f>
        <v>12172</v>
      </c>
      <c r="D20" s="34">
        <f>IF(COUNT('Income Statement'!D21,'Derived Metrics'!D19)=2,'Income Statement'!D21+'Derived Metrics'!D19,"")</f>
        <v>12645</v>
      </c>
      <c r="E20" s="34">
        <f>IF(COUNT('Income Statement'!E21,'Derived Metrics'!E19)=2,'Income Statement'!E21+'Derived Metrics'!E19,"")</f>
        <v>12509</v>
      </c>
      <c r="F20" s="34">
        <f>IF(COUNT('Income Statement'!F21,'Derived Metrics'!F19)=2,'Income Statement'!F21+'Derived Metrics'!F19,"")</f>
        <v>12723</v>
      </c>
      <c r="G20" s="34">
        <f>IF(COUNT('Income Statement'!G21,'Derived Metrics'!G19)=2,'Income Statement'!G21+'Derived Metrics'!G19,"")</f>
        <v>12628</v>
      </c>
      <c r="H20" s="34">
        <f>IF(COUNT('Income Statement'!H21,'Derived Metrics'!H19)=2,'Income Statement'!H21+'Derived Metrics'!H19,"")</f>
        <v>13872</v>
      </c>
      <c r="I20" s="34">
        <f>IF(COUNT('Income Statement'!I21,'Derived Metrics'!I19)=2,'Income Statement'!I21+'Derived Metrics'!I19,"")</f>
        <v>14275</v>
      </c>
      <c r="J20" s="34">
        <f>IF(COUNT('Income Statement'!J21,'Derived Metrics'!J19)=2,'Income Statement'!J21+'Derived Metrics'!J19,"")</f>
        <v>14934</v>
      </c>
      <c r="K20" s="34">
        <f>IF(COUNT('Income Statement'!K21,'Derived Metrics'!K19)=2,'Income Statement'!K21+'Derived Metrics'!K19,"")</f>
        <v>16047</v>
      </c>
      <c r="L20" s="34">
        <f>IF(COUNT('Income Statement'!L21,'Derived Metrics'!L19)=2,'Income Statement'!L21+'Derived Metrics'!L19,"")</f>
        <v>14949</v>
      </c>
      <c r="M20" s="15"/>
      <c r="N20" s="34">
        <f>IF(COUNT('Income Statement'!N21,'Derived Metrics'!N19)=2,'Income Statement'!N21+'Derived Metrics'!N19,"")</f>
        <v>3358</v>
      </c>
      <c r="O20" s="34">
        <f>IF(COUNT('Income Statement'!O21,'Derived Metrics'!O19)=2,'Income Statement'!O21+'Derived Metrics'!O19,"")</f>
        <v>4786</v>
      </c>
      <c r="P20" s="34">
        <f>IF(COUNT('Income Statement'!P21,'Derived Metrics'!P19)=2,'Income Statement'!P21+'Derived Metrics'!P19,"")</f>
        <v>4611</v>
      </c>
      <c r="Q20" s="34">
        <f>IF(COUNT('Income Statement'!Q21,'Derived Metrics'!Q19)=2,'Income Statement'!Q21+'Derived Metrics'!Q19,"")</f>
        <v>3292</v>
      </c>
      <c r="R20" s="34">
        <f>IF(COUNT('Income Statement'!R21,'Derived Metrics'!R19)=2,'Income Statement'!R21+'Derived Metrics'!R19,"")</f>
        <v>3267</v>
      </c>
      <c r="S20" s="34">
        <f>IF(COUNT('Income Statement'!S21,'Derived Metrics'!S19)=2,'Income Statement'!S21+'Derived Metrics'!S19,"")</f>
        <v>2596</v>
      </c>
      <c r="T20" s="34">
        <f>IF(COUNT('Income Statement'!T21,'Derived Metrics'!T19)=2,'Income Statement'!T21+'Derived Metrics'!T19,"")</f>
        <v>4393</v>
      </c>
      <c r="U20" s="34">
        <f>IF(COUNT('Income Statement'!U21,'Derived Metrics'!U19)=2,'Income Statement'!U21+'Derived Metrics'!U19,"")</f>
        <v>4693</v>
      </c>
      <c r="V20" s="34">
        <f>IF(COUNT('Income Statement'!V21,'Derived Metrics'!V19)=2,'Income Statement'!V21+'Derived Metrics'!V19,"")</f>
        <v>3955</v>
      </c>
      <c r="W20" s="34">
        <f>IF(COUNT('Income Statement'!W21,'Derived Metrics'!W19)=2,'Income Statement'!W21+'Derived Metrics'!W19,"")</f>
        <v>4920</v>
      </c>
      <c r="X20" s="34">
        <f>IF(COUNT('Income Statement'!X21,'Derived Metrics'!X19)=2,'Income Statement'!X21+'Derived Metrics'!X19,"")</f>
        <v>5152</v>
      </c>
    </row>
    <row r="21" spans="1:24" ht="22" customHeight="1">
      <c r="A21" s="3"/>
      <c r="B21" s="1"/>
      <c r="C21" s="2"/>
      <c r="D21" s="2"/>
      <c r="E21" s="2"/>
      <c r="F21" s="2"/>
      <c r="G21" s="2"/>
      <c r="H21" s="2"/>
      <c r="I21" s="2"/>
      <c r="J21" s="2"/>
      <c r="K21" s="2"/>
      <c r="L21" s="2"/>
      <c r="M21" s="2"/>
      <c r="N21" s="2"/>
      <c r="O21" s="2"/>
      <c r="P21" s="2"/>
      <c r="Q21" s="2"/>
      <c r="R21" s="2"/>
      <c r="S21" s="2"/>
      <c r="T21" s="2"/>
      <c r="U21" s="2"/>
      <c r="V21" s="2"/>
      <c r="W21" s="2"/>
      <c r="X21" s="2"/>
    </row>
    <row r="22" spans="1:24" ht="22" customHeight="1">
      <c r="A22" s="174" t="s">
        <v>375</v>
      </c>
      <c r="B22" s="174"/>
      <c r="C22" s="175"/>
      <c r="D22" s="175"/>
      <c r="E22" s="175"/>
      <c r="F22" s="175"/>
      <c r="G22" s="175"/>
      <c r="H22" s="175"/>
      <c r="I22" s="175"/>
      <c r="J22" s="175"/>
      <c r="K22" s="175"/>
      <c r="L22" s="175"/>
      <c r="M22" s="175"/>
      <c r="N22" s="175"/>
      <c r="O22" s="175"/>
      <c r="P22" s="175"/>
      <c r="Q22" s="175"/>
      <c r="R22" s="175"/>
      <c r="S22" s="175"/>
      <c r="T22" s="175"/>
      <c r="U22" s="175"/>
      <c r="V22" s="175"/>
      <c r="W22" s="175"/>
      <c r="X22" s="175"/>
    </row>
    <row r="23" spans="1:24" ht="22" customHeight="1">
      <c r="A23" s="3" t="s">
        <v>385</v>
      </c>
      <c r="B23" s="1"/>
      <c r="C23" s="34">
        <f>IF(COUNT('Cash Flow'!C46)=1,'Cash Flow'!C46,"")</f>
        <v>10663</v>
      </c>
      <c r="D23" s="34">
        <f>IF(COUNT('Cash Flow'!D46)=1,'Cash Flow'!D46,"")</f>
        <v>10030</v>
      </c>
      <c r="E23" s="34">
        <f>IF(COUNT('Cash Flow'!E46)=1,'Cash Flow'!E46,"")</f>
        <v>9415</v>
      </c>
      <c r="F23" s="34">
        <f>IF(COUNT('Cash Flow'!F46)=1,'Cash Flow'!F46,"")</f>
        <v>9649</v>
      </c>
      <c r="G23" s="34">
        <f>IF(COUNT('Cash Flow'!G46)=1,'Cash Flow'!G46,"")</f>
        <v>10613</v>
      </c>
      <c r="H23" s="34">
        <f>IF(COUNT('Cash Flow'!H46)=1,'Cash Flow'!H46,"")</f>
        <v>11616</v>
      </c>
      <c r="I23" s="34">
        <f>IF(COUNT('Cash Flow'!I46)=1,'Cash Flow'!I46,"")</f>
        <v>10811</v>
      </c>
      <c r="J23" s="34">
        <f>IF(COUNT('Cash Flow'!J46)=1,'Cash Flow'!J46,"")</f>
        <v>13442</v>
      </c>
      <c r="K23" s="34">
        <f>IF(COUNT('Cash Flow'!K46)=1,'Cash Flow'!K46,"")</f>
        <v>12507</v>
      </c>
      <c r="L23" s="34">
        <f>IF(COUNT('Cash Flow'!L46)=1,'Cash Flow'!L46,"")</f>
        <v>12087</v>
      </c>
      <c r="M23" s="15"/>
      <c r="N23" s="34">
        <f>IF(COUNT('Cash Flow'!N112)=1,'Cash Flow'!N112,"")</f>
        <v>-1041</v>
      </c>
      <c r="O23" s="34">
        <f>IF(COUNT('Cash Flow'!O112)=1,'Cash Flow'!O112,"")</f>
        <v>2356</v>
      </c>
      <c r="P23" s="34">
        <f>IF(COUNT('Cash Flow'!P112)=1,'Cash Flow'!P112,"")</f>
        <v>4905</v>
      </c>
      <c r="Q23" s="34">
        <f>IF(COUNT('Cash Flow'!Q112)=1,'Cash Flow'!Q112,"")</f>
        <v>6287</v>
      </c>
      <c r="R23" s="34">
        <f>IF(COUNT('Cash Flow'!R112)=1,'Cash Flow'!R112,"")</f>
        <v>-973</v>
      </c>
      <c r="S23" s="34">
        <f>IF(COUNT('Cash Flow'!S112)=1,'Cash Flow'!S112,"")</f>
        <v>1969</v>
      </c>
      <c r="T23" s="34">
        <f>IF(COUNT('Cash Flow'!T112)=1,'Cash Flow'!T112,"")</f>
        <v>4472</v>
      </c>
      <c r="U23" s="34">
        <f>IF(COUNT('Cash Flow'!U112)=1,'Cash Flow'!U112,"")</f>
        <v>6619</v>
      </c>
      <c r="V23" s="34">
        <f>IF(COUNT('Cash Flow'!V112)=1,'Cash Flow'!V112,"")</f>
        <v>41</v>
      </c>
      <c r="W23" s="34">
        <f>IF(COUNT('Cash Flow'!W112)=1,'Cash Flow'!W112,"")</f>
        <v>2324</v>
      </c>
      <c r="X23" s="34">
        <f>IF(COUNT('Cash Flow'!X112)=1,'Cash Flow'!X112,"")</f>
        <v>5585</v>
      </c>
    </row>
    <row r="24" spans="1:24" ht="22" customHeight="1">
      <c r="A24" s="3" t="s">
        <v>386</v>
      </c>
      <c r="B24" s="1"/>
      <c r="C24" s="34">
        <f>IF(COUNT('Cash Flow'!C48)=1,-'Cash Flow'!C48,"")</f>
        <v>3040</v>
      </c>
      <c r="D24" s="34">
        <f>IF(COUNT('Cash Flow'!D48)=1,-'Cash Flow'!D48,"")</f>
        <v>2969</v>
      </c>
      <c r="E24" s="34">
        <f>IF(COUNT('Cash Flow'!E48)=1,-'Cash Flow'!E48,"")</f>
        <v>3282</v>
      </c>
      <c r="F24" s="34">
        <f>IF(COUNT('Cash Flow'!F48)=1,-'Cash Flow'!F48,"")</f>
        <v>4232</v>
      </c>
      <c r="G24" s="34">
        <f>IF(COUNT('Cash Flow'!G48)=1,-'Cash Flow'!G48,"")</f>
        <v>4240</v>
      </c>
      <c r="H24" s="34">
        <f>IF(COUNT('Cash Flow'!H48)=1,-'Cash Flow'!H48,"")</f>
        <v>4625</v>
      </c>
      <c r="I24" s="34">
        <f>IF(COUNT('Cash Flow'!I48)=1,-'Cash Flow'!I48,"")</f>
        <v>5207</v>
      </c>
      <c r="J24" s="34">
        <f>IF(COUNT('Cash Flow'!J48)=1,-'Cash Flow'!J48,"")</f>
        <v>5518</v>
      </c>
      <c r="K24" s="34">
        <f>IF(COUNT('Cash Flow'!K48)=1,-'Cash Flow'!K48,"")</f>
        <v>5318</v>
      </c>
      <c r="L24" s="34">
        <f>IF(COUNT('Cash Flow'!L48)=1,-'Cash Flow'!L48,"")</f>
        <v>4415</v>
      </c>
      <c r="M24" s="15"/>
      <c r="N24" s="34">
        <f>IF(COUNT('Cash Flow'!N114)=1,-'Cash Flow'!N114,"")</f>
        <v>614</v>
      </c>
      <c r="O24" s="34">
        <f>IF(COUNT('Cash Flow'!O114)=1,-'Cash Flow'!O114,"")</f>
        <v>1087</v>
      </c>
      <c r="P24" s="34">
        <f>IF(COUNT('Cash Flow'!P114)=1,-'Cash Flow'!P114,"")</f>
        <v>1149</v>
      </c>
      <c r="Q24" s="34">
        <f>IF(COUNT('Cash Flow'!Q114)=1,-'Cash Flow'!Q114,"")</f>
        <v>2468</v>
      </c>
      <c r="R24" s="34">
        <f>IF(COUNT('Cash Flow'!R114)=1,-'Cash Flow'!R114,"")</f>
        <v>603</v>
      </c>
      <c r="S24" s="34">
        <f>IF(COUNT('Cash Flow'!S114)=1,-'Cash Flow'!S114,"")</f>
        <v>904</v>
      </c>
      <c r="T24" s="34">
        <f>IF(COUNT('Cash Flow'!T114)=1,-'Cash Flow'!T114,"")</f>
        <v>992</v>
      </c>
      <c r="U24" s="34">
        <f>IF(COUNT('Cash Flow'!U114)=1,-'Cash Flow'!U114,"")</f>
        <v>1916</v>
      </c>
      <c r="V24" s="34">
        <f>IF(COUNT('Cash Flow'!V114)=1,-'Cash Flow'!V114,"")</f>
        <v>447</v>
      </c>
      <c r="W24" s="34">
        <f>IF(COUNT('Cash Flow'!W114)=1,-'Cash Flow'!W114,"")</f>
        <v>819</v>
      </c>
      <c r="X24" s="34">
        <f>IF(COUNT('Cash Flow'!X114)=1,-'Cash Flow'!X114,"")</f>
        <v>916</v>
      </c>
    </row>
    <row r="25" spans="1:24" ht="24" customHeight="1">
      <c r="A25" s="16" t="s">
        <v>387</v>
      </c>
      <c r="B25" s="17"/>
      <c r="C25" s="19">
        <f>IF(COUNT('Derived Metrics'!C23,'Derived Metrics'!C24)=2,'Derived Metrics'!C23-'Derived Metrics'!C24,"")</f>
        <v>7623</v>
      </c>
      <c r="D25" s="19">
        <f>IF(COUNT('Derived Metrics'!D23,'Derived Metrics'!D24)=2,'Derived Metrics'!D23-'Derived Metrics'!D24,"")</f>
        <v>7061</v>
      </c>
      <c r="E25" s="19">
        <f>IF(COUNT('Derived Metrics'!E23,'Derived Metrics'!E24)=2,'Derived Metrics'!E23-'Derived Metrics'!E24,"")</f>
        <v>6133</v>
      </c>
      <c r="F25" s="19">
        <f>IF(COUNT('Derived Metrics'!F23,'Derived Metrics'!F24)=2,'Derived Metrics'!F23-'Derived Metrics'!F24,"")</f>
        <v>5417</v>
      </c>
      <c r="G25" s="19">
        <f>IF(COUNT('Derived Metrics'!G23,'Derived Metrics'!G24)=2,'Derived Metrics'!G23-'Derived Metrics'!G24,"")</f>
        <v>6373</v>
      </c>
      <c r="H25" s="19">
        <f>IF(COUNT('Derived Metrics'!H23,'Derived Metrics'!H24)=2,'Derived Metrics'!H23-'Derived Metrics'!H24,"")</f>
        <v>6991</v>
      </c>
      <c r="I25" s="19">
        <f>IF(COUNT('Derived Metrics'!I23,'Derived Metrics'!I24)=2,'Derived Metrics'!I23-'Derived Metrics'!I24,"")</f>
        <v>5604</v>
      </c>
      <c r="J25" s="19">
        <f>IF(COUNT('Derived Metrics'!J23,'Derived Metrics'!J24)=2,'Derived Metrics'!J23-'Derived Metrics'!J24,"")</f>
        <v>7924</v>
      </c>
      <c r="K25" s="19">
        <f>IF(COUNT('Derived Metrics'!K23,'Derived Metrics'!K24)=2,'Derived Metrics'!K23-'Derived Metrics'!K24,"")</f>
        <v>7189</v>
      </c>
      <c r="L25" s="19">
        <f>IF(COUNT('Derived Metrics'!L23,'Derived Metrics'!L24)=2,'Derived Metrics'!L23-'Derived Metrics'!L24,"")</f>
        <v>7672</v>
      </c>
      <c r="M25" s="20"/>
      <c r="N25" s="19">
        <f>IF(COUNT('Derived Metrics'!N23,'Derived Metrics'!N24)=2,'Derived Metrics'!N23-'Derived Metrics'!N24,"")</f>
        <v>-1655</v>
      </c>
      <c r="O25" s="19">
        <f>IF(COUNT('Derived Metrics'!O23,'Derived Metrics'!O24)=2,'Derived Metrics'!O23-'Derived Metrics'!O24,"")</f>
        <v>1269</v>
      </c>
      <c r="P25" s="19">
        <f>IF(COUNT('Derived Metrics'!P23,'Derived Metrics'!P24)=2,'Derived Metrics'!P23-'Derived Metrics'!P24,"")</f>
        <v>3756</v>
      </c>
      <c r="Q25" s="19">
        <f>IF(COUNT('Derived Metrics'!Q23,'Derived Metrics'!Q24)=2,'Derived Metrics'!Q23-'Derived Metrics'!Q24,"")</f>
        <v>3819</v>
      </c>
      <c r="R25" s="19">
        <f>IF(COUNT('Derived Metrics'!R23,'Derived Metrics'!R24)=2,'Derived Metrics'!R23-'Derived Metrics'!R24,"")</f>
        <v>-1576</v>
      </c>
      <c r="S25" s="19">
        <f>IF(COUNT('Derived Metrics'!S23,'Derived Metrics'!S24)=2,'Derived Metrics'!S23-'Derived Metrics'!S24,"")</f>
        <v>1065</v>
      </c>
      <c r="T25" s="19">
        <f>IF(COUNT('Derived Metrics'!T23,'Derived Metrics'!T24)=2,'Derived Metrics'!T23-'Derived Metrics'!T24,"")</f>
        <v>3480</v>
      </c>
      <c r="U25" s="19">
        <f>IF(COUNT('Derived Metrics'!U23,'Derived Metrics'!U24)=2,'Derived Metrics'!U23-'Derived Metrics'!U24,"")</f>
        <v>4703</v>
      </c>
      <c r="V25" s="19">
        <f>IF(COUNT('Derived Metrics'!V23,'Derived Metrics'!V24)=2,'Derived Metrics'!V23-'Derived Metrics'!V24,"")</f>
        <v>-406</v>
      </c>
      <c r="W25" s="19">
        <f>IF(COUNT('Derived Metrics'!W23,'Derived Metrics'!W24)=2,'Derived Metrics'!W23-'Derived Metrics'!W24,"")</f>
        <v>1505</v>
      </c>
      <c r="X25" s="19">
        <f>IF(COUNT('Derived Metrics'!X23,'Derived Metrics'!X24)=2,'Derived Metrics'!X23-'Derived Metrics'!X24,"")</f>
        <v>4669</v>
      </c>
    </row>
    <row r="26" spans="1:24" ht="22" customHeight="1">
      <c r="A26" s="3" t="s">
        <v>388</v>
      </c>
      <c r="B26" s="1"/>
      <c r="C26" s="34">
        <f>IF(COUNT('Derived Metrics'!C25,'Cash Flow'!C49)=2,'Derived Metrics'!C25+'Cash Flow'!C49,"")</f>
        <v>7722</v>
      </c>
      <c r="D26" s="34">
        <f>IF(COUNT('Derived Metrics'!D25,'Cash Flow'!D49)=2,'Derived Metrics'!D25+'Cash Flow'!D49,"")</f>
        <v>7241</v>
      </c>
      <c r="E26" s="34">
        <f>IF(COUNT('Derived Metrics'!E25,'Cash Flow'!E49)=2,'Derived Metrics'!E25+'Cash Flow'!E49,"")</f>
        <v>6267</v>
      </c>
      <c r="F26" s="34">
        <f>IF(COUNT('Derived Metrics'!F25,'Cash Flow'!F49)=2,'Derived Metrics'!F25+'Cash Flow'!F49,"")</f>
        <v>5587</v>
      </c>
      <c r="G26" s="34">
        <f>IF(COUNT('Derived Metrics'!G25,'Cash Flow'!G49)=2,'Derived Metrics'!G25+'Cash Flow'!G49,"")</f>
        <v>6428</v>
      </c>
      <c r="H26" s="34">
        <f>IF(COUNT('Derived Metrics'!H25,'Cash Flow'!H49)=2,'Derived Metrics'!H25+'Cash Flow'!H49,"")</f>
        <v>7157</v>
      </c>
      <c r="I26" s="34">
        <f>IF(COUNT('Derived Metrics'!I25,'Cash Flow'!I49)=2,'Derived Metrics'!I25+'Cash Flow'!I49,"")</f>
        <v>5855</v>
      </c>
      <c r="J26" s="34">
        <f>IF(COUNT('Derived Metrics'!J25,'Cash Flow'!J49)=2,'Derived Metrics'!J25+'Cash Flow'!J49,"")</f>
        <v>8122</v>
      </c>
      <c r="K26" s="34">
        <f>IF(COUNT('Derived Metrics'!K25,'Cash Flow'!K49)=2,'Derived Metrics'!K25+'Cash Flow'!K49,"")</f>
        <v>7531</v>
      </c>
      <c r="L26" s="34">
        <f>IF(COUNT('Derived Metrics'!L25,'Cash Flow'!L49)=2,'Derived Metrics'!L25+'Cash Flow'!L49,"")</f>
        <v>8200</v>
      </c>
      <c r="M26" s="15"/>
      <c r="N26" s="34">
        <f>IF(COUNT('Derived Metrics'!N25,'Cash Flow'!N115)=2,'Derived Metrics'!N25+'Cash Flow'!N115,"")</f>
        <v>-1648</v>
      </c>
      <c r="O26" s="34">
        <f>IF(COUNT('Derived Metrics'!O25,'Cash Flow'!O115)=2,'Derived Metrics'!O25+'Cash Flow'!O115,"")</f>
        <v>1389</v>
      </c>
      <c r="P26" s="34">
        <f>IF(COUNT('Derived Metrics'!P25,'Cash Flow'!P115)=2,'Derived Metrics'!P25+'Cash Flow'!P115,"")</f>
        <v>3806</v>
      </c>
      <c r="Q26" s="34">
        <f>IF(COUNT('Derived Metrics'!Q25,'Cash Flow'!Q115)=2,'Derived Metrics'!Q25+'Cash Flow'!Q115,"")</f>
        <v>3984</v>
      </c>
      <c r="R26" s="34">
        <f>IF(COUNT('Derived Metrics'!R25,'Cash Flow'!R115)=2,'Derived Metrics'!R25+'Cash Flow'!R115,"")</f>
        <v>-1444</v>
      </c>
      <c r="S26" s="34">
        <f>IF(COUNT('Derived Metrics'!S25,'Cash Flow'!S115)=2,'Derived Metrics'!S25+'Cash Flow'!S115,"")</f>
        <v>1102</v>
      </c>
      <c r="T26" s="34">
        <f>IF(COUNT('Derived Metrics'!T25,'Cash Flow'!T115)=2,'Derived Metrics'!T25+'Cash Flow'!T115,"")</f>
        <v>3583</v>
      </c>
      <c r="U26" s="34">
        <f>IF(COUNT('Derived Metrics'!U25,'Cash Flow'!U115)=2,'Derived Metrics'!U25+'Cash Flow'!U115,"")</f>
        <v>4959</v>
      </c>
      <c r="V26" s="34">
        <f>IF(COUNT('Derived Metrics'!V25,'Cash Flow'!V115)=2,'Derived Metrics'!V25+'Cash Flow'!V115,"")</f>
        <v>-393</v>
      </c>
      <c r="W26" s="34">
        <f>IF(COUNT('Derived Metrics'!W25,'Cash Flow'!W115)=2,'Derived Metrics'!W25+'Cash Flow'!W115,"")</f>
        <v>1563</v>
      </c>
      <c r="X26" s="34">
        <f>IF(COUNT('Derived Metrics'!X25,'Cash Flow'!X115)=2,'Derived Metrics'!X25+'Cash Flow'!X115,"")</f>
        <v>4687</v>
      </c>
    </row>
    <row r="27" spans="1:24" ht="20" customHeight="1">
      <c r="A27" s="21" t="s">
        <v>389</v>
      </c>
      <c r="B27" s="1"/>
      <c r="C27" s="32">
        <f>IF(COUNT('Derived Metrics'!C23,'Income Statement'!C13)=2,IF('Income Statement'!C13&lt;&gt;0,'Derived Metrics'!C23/'Income Statement'!C13,""),"")</f>
        <v>0.1697956973837163</v>
      </c>
      <c r="D27" s="32">
        <f>IF(COUNT('Derived Metrics'!D23,'Income Statement'!D13)=2,IF('Income Statement'!D13&lt;&gt;0,'Derived Metrics'!D23/'Income Statement'!D13,""),"")</f>
        <v>0.1578905942542306</v>
      </c>
      <c r="E27" s="32">
        <f>IF(COUNT('Derived Metrics'!E23,'Income Statement'!E13)=2,IF('Income Statement'!E13&lt;&gt;0,'Derived Metrics'!E23/'Income Statement'!E13,""),"")</f>
        <v>0.14560554275374646</v>
      </c>
      <c r="F27" s="32">
        <f>IF(COUNT('Derived Metrics'!F23,'Income Statement'!F13)=2,IF('Income Statement'!F13&lt;&gt;0,'Derived Metrics'!F23/'Income Statement'!F13,""),"")</f>
        <v>0.14366968925418025</v>
      </c>
      <c r="G27" s="32">
        <f>IF(COUNT('Derived Metrics'!G23,'Income Statement'!G13)=2,IF('Income Statement'!G13&lt;&gt;0,'Derived Metrics'!G23/'Income Statement'!G13,""),"")</f>
        <v>0.15081282328198714</v>
      </c>
      <c r="H27" s="32">
        <f>IF(COUNT('Derived Metrics'!H23,'Income Statement'!H13)=2,IF('Income Statement'!H13&lt;&gt;0,'Derived Metrics'!H23/'Income Statement'!H13,""),"")</f>
        <v>0.14616100863175377</v>
      </c>
      <c r="I27" s="32">
        <f>IF(COUNT('Derived Metrics'!I23,'Income Statement'!I13)=2,IF('Income Statement'!I13&lt;&gt;0,'Derived Metrics'!I23/'Income Statement'!I13,""),"")</f>
        <v>0.12513890175016204</v>
      </c>
      <c r="J27" s="32">
        <f>IF(COUNT('Derived Metrics'!J23,'Income Statement'!J13)=2,IF('Income Statement'!J13&lt;&gt;0,'Derived Metrics'!J23/'Income Statement'!J13,""),"")</f>
        <v>0.14695367930819603</v>
      </c>
      <c r="K27" s="32">
        <f>IF(COUNT('Derived Metrics'!K23,'Income Statement'!K13)=2,IF('Income Statement'!K13&lt;&gt;0,'Derived Metrics'!K23/'Income Statement'!K13,""),"")</f>
        <v>0.13616173492716702</v>
      </c>
      <c r="L27" s="32">
        <f>IF(COUNT('Derived Metrics'!L23,'Income Statement'!L13)=2,IF('Income Statement'!L13&lt;&gt;0,'Derived Metrics'!L23/'Income Statement'!L13,""),"")</f>
        <v>0.12868778280542986</v>
      </c>
      <c r="M27" s="24"/>
      <c r="N27" s="32">
        <f>IF(COUNT('Derived Metrics'!N23,'Income Statement'!N13)=2,IF('Income Statement'!N13&lt;&gt;0,'Derived Metrics'!N23/'Income Statement'!N13,""),"")</f>
        <v>-5.704109589041096E-2</v>
      </c>
      <c r="O27" s="32">
        <f>IF(COUNT('Derived Metrics'!O23,'Income Statement'!O13)=2,IF('Income Statement'!O13&lt;&gt;0,'Derived Metrics'!O23/'Income Statement'!O13,""),"")</f>
        <v>0.10470645749077818</v>
      </c>
      <c r="P27" s="32">
        <f>IF(COUNT('Derived Metrics'!P23,'Income Statement'!P13)=2,IF('Income Statement'!P13&lt;&gt;0,'Derived Metrics'!P23/'Income Statement'!P13,""),"")</f>
        <v>0.21034349671941335</v>
      </c>
      <c r="Q27" s="32">
        <f>IF(COUNT('Derived Metrics'!Q23,'Income Statement'!Q13)=2,IF('Income Statement'!Q13&lt;&gt;0,'Derived Metrics'!Q23/'Income Statement'!Q13,""),"")</f>
        <v>0.22628131298589116</v>
      </c>
      <c r="R27" s="32">
        <f>IF(COUNT('Derived Metrics'!R23,'Income Statement'!R13)=2,IF('Income Statement'!R13&lt;&gt;0,'Derived Metrics'!R23/'Income Statement'!R13,""),"")</f>
        <v>-5.4299905128634411E-2</v>
      </c>
      <c r="S27" s="32">
        <f>IF(COUNT('Derived Metrics'!S23,'Income Statement'!S13)=2,IF('Income Statement'!S13&lt;&gt;0,'Derived Metrics'!S23/'Income Statement'!S13,""),"")</f>
        <v>8.6640851887705705E-2</v>
      </c>
      <c r="T27" s="32">
        <f>IF(COUNT('Derived Metrics'!T23,'Income Statement'!T13)=2,IF('Income Statement'!T13&lt;&gt;0,'Derived Metrics'!T23/'Income Statement'!T13,""),"")</f>
        <v>0.18682374566570581</v>
      </c>
      <c r="U27" s="32">
        <f>IF(COUNT('Derived Metrics'!U23,'Income Statement'!U13)=2,IF('Income Statement'!U13&lt;&gt;0,'Derived Metrics'!U23/'Income Statement'!U13,""),"")</f>
        <v>0.22557339058719286</v>
      </c>
      <c r="V27" s="32">
        <f>IF(COUNT('Derived Metrics'!V23,'Income Statement'!V13)=2,IF('Income Statement'!V13&lt;&gt;0,'Derived Metrics'!V23/'Income Statement'!V13,""),"")</f>
        <v>2.1087280769428586E-3</v>
      </c>
      <c r="W27" s="32">
        <f>IF(COUNT('Derived Metrics'!W23,'Income Statement'!W13)=2,IF('Income Statement'!W13&lt;&gt;0,'Derived Metrics'!W23/'Income Statement'!W13,""),"")</f>
        <v>9.6108514949753934E-2</v>
      </c>
      <c r="X27" s="32">
        <f>IF(COUNT('Derived Metrics'!X23,'Income Statement'!X13)=2,IF('Income Statement'!X13&lt;&gt;0,'Derived Metrics'!X23/'Income Statement'!X13,""),"")</f>
        <v>0.22097808024056342</v>
      </c>
    </row>
    <row r="28" spans="1:24" ht="20" customHeight="1">
      <c r="A28" s="21" t="s">
        <v>390</v>
      </c>
      <c r="B28" s="1"/>
      <c r="C28" s="36">
        <f>IF(COUNT('Derived Metrics'!C23,'Income Statement'!C29)=2,IF('Income Statement'!C29&lt;&gt;0,'Derived Metrics'!C23/'Income Statement'!C29,""),"")</f>
        <v>1.6715786173381408</v>
      </c>
      <c r="D28" s="36">
        <f>IF(COUNT('Derived Metrics'!D23,'Income Statement'!D29)=2,IF('Income Statement'!D29&lt;&gt;0,'Derived Metrics'!D23/'Income Statement'!D29,""),"")</f>
        <v>2.0436022819885902</v>
      </c>
      <c r="E28" s="36">
        <f>IF(COUNT('Derived Metrics'!E23,'Income Statement'!E29)=2,IF('Income Statement'!E29&lt;&gt;0,'Derived Metrics'!E23/'Income Statement'!E29,""),"")</f>
        <v>0.7496615972609284</v>
      </c>
      <c r="F28" s="36">
        <f>IF(COUNT('Derived Metrics'!F23,'Income Statement'!F29)=2,IF('Income Statement'!F29&lt;&gt;0,'Derived Metrics'!F23/'Income Statement'!F29,""),"")</f>
        <v>1.3122535019719843</v>
      </c>
      <c r="G28" s="36">
        <f>IF(COUNT('Derived Metrics'!G23,'Income Statement'!G29)=2,IF('Income Statement'!G29&lt;&gt;0,'Derived Metrics'!G23/'Income Statement'!G29,""),"")</f>
        <v>1.479163763066202</v>
      </c>
      <c r="H28" s="36">
        <f>IF(COUNT('Derived Metrics'!H23,'Income Statement'!H29)=2,IF('Income Statement'!H29&lt;&gt;0,'Derived Metrics'!H23/'Income Statement'!H29,""),"")</f>
        <v>1.5126969657507487</v>
      </c>
      <c r="I28" s="36">
        <f>IF(COUNT('Derived Metrics'!I23,'Income Statement'!I29)=2,IF('Income Statement'!I29&lt;&gt;0,'Derived Metrics'!I23/'Income Statement'!I29,""),"")</f>
        <v>1.2041657384718201</v>
      </c>
      <c r="J28" s="36">
        <f>IF(COUNT('Derived Metrics'!J23,'Income Statement'!J29)=2,IF('Income Statement'!J29&lt;&gt;0,'Derived Metrics'!J23/'Income Statement'!J29,""),"")</f>
        <v>1.4682687056253414</v>
      </c>
      <c r="K28" s="36">
        <f>IF(COUNT('Derived Metrics'!K23,'Income Statement'!K29)=2,IF('Income Statement'!K29&lt;&gt;0,'Derived Metrics'!K23/'Income Statement'!K29,""),"")</f>
        <v>1.2992935798878038</v>
      </c>
      <c r="L28" s="36">
        <f>IF(COUNT('Derived Metrics'!L23,'Income Statement'!L29)=2,IF('Income Statement'!L29&lt;&gt;0,'Derived Metrics'!L23/'Income Statement'!L29,""),"")</f>
        <v>1.4571428571428571</v>
      </c>
      <c r="M28" s="37"/>
      <c r="N28" s="36">
        <f>IF(COUNT('Derived Metrics'!N23,'Income Statement'!N29)=2,IF('Income Statement'!N29&lt;&gt;0,'Derived Metrics'!N23/'Income Statement'!N29,""),"")</f>
        <v>-0.50706283487579151</v>
      </c>
      <c r="O28" s="36">
        <f>IF(COUNT('Derived Metrics'!O23,'Income Statement'!O29)=2,IF('Income Statement'!O29&lt;&gt;0,'Derived Metrics'!O23/'Income Statement'!O29,""),"")</f>
        <v>0.76147382029734967</v>
      </c>
      <c r="P28" s="36">
        <f>IF(COUNT('Derived Metrics'!P23,'Income Statement'!P29)=2,IF('Income Statement'!P29&lt;&gt;0,'Derived Metrics'!P23/'Income Statement'!P29,""),"")</f>
        <v>1.6655348047538201</v>
      </c>
      <c r="Q28" s="36">
        <f>IF(COUNT('Derived Metrics'!Q23,'Income Statement'!Q29)=2,IF('Income Statement'!Q29&lt;&gt;0,'Derived Metrics'!Q23/'Income Statement'!Q29,""),"")</f>
        <v>4.0984354628422421</v>
      </c>
      <c r="R28" s="36">
        <f>IF(COUNT('Derived Metrics'!R23,'Income Statement'!R29)=2,IF('Income Statement'!R29&lt;&gt;0,'Derived Metrics'!R23/'Income Statement'!R29,""),"")</f>
        <v>-0.52794357026587091</v>
      </c>
      <c r="S28" s="36">
        <f>IF(COUNT('Derived Metrics'!S23,'Income Statement'!S29)=2,IF('Income Statement'!S29&lt;&gt;0,'Derived Metrics'!S23/'Income Statement'!S29,""),"")</f>
        <v>1.5394839718530102</v>
      </c>
      <c r="T28" s="36">
        <f>IF(COUNT('Derived Metrics'!T23,'Income Statement'!T29)=2,IF('Income Statement'!T29&lt;&gt;0,'Derived Metrics'!T23/'Income Statement'!T29,""),"")</f>
        <v>1.7081741787624141</v>
      </c>
      <c r="U28" s="36">
        <f>IF(COUNT('Derived Metrics'!U23,'Income Statement'!U29)=2,IF('Income Statement'!U29&lt;&gt;0,'Derived Metrics'!U23/'Income Statement'!U29,""),"")</f>
        <v>2.5906066536203523</v>
      </c>
      <c r="V28" s="36">
        <f>IF(COUNT('Derived Metrics'!V23,'Income Statement'!V29)=2,IF('Income Statement'!V29&lt;&gt;0,'Derived Metrics'!V23/'Income Statement'!V29,""),"")</f>
        <v>1.7536355859709155E-2</v>
      </c>
      <c r="W28" s="36">
        <f>IF(COUNT('Derived Metrics'!W23,'Income Statement'!W29)=2,IF('Income Statement'!W29&lt;&gt;0,'Derived Metrics'!W23/'Income Statement'!W29,""),"")</f>
        <v>0.77363515312916109</v>
      </c>
      <c r="X28" s="36">
        <f>IF(COUNT('Derived Metrics'!X23,'Income Statement'!X29)=2,IF('Income Statement'!X29&lt;&gt;0,'Derived Metrics'!X23/'Income Statement'!X29,""),"")</f>
        <v>1.8192182410423452</v>
      </c>
    </row>
    <row r="29" spans="1:24" ht="20" customHeight="1">
      <c r="A29" s="21" t="s">
        <v>391</v>
      </c>
      <c r="B29" s="1"/>
      <c r="C29" s="32">
        <f>IF(COUNT('Derived Metrics'!C24,'Income Statement'!C13)=2,IF('Income Statement'!C13&lt;&gt;0,'Derived Metrics'!C24/'Income Statement'!C13,""),"")</f>
        <v>4.8408414146722083E-2</v>
      </c>
      <c r="D29" s="32">
        <f>IF(COUNT('Derived Metrics'!D24,'Income Statement'!D13)=2,IF('Income Statement'!D13&lt;&gt;0,'Derived Metrics'!D24/'Income Statement'!D13,""),"")</f>
        <v>4.6737504919323103E-2</v>
      </c>
      <c r="E29" s="32">
        <f>IF(COUNT('Derived Metrics'!E24,'Income Statement'!E13)=2,IF('Income Statement'!E13&lt;&gt;0,'Derived Metrics'!E24/'Income Statement'!E13,""),"")</f>
        <v>5.0757025100137639E-2</v>
      </c>
      <c r="F29" s="32">
        <f>IF(COUNT('Derived Metrics'!F24,'Income Statement'!F13)=2,IF('Income Statement'!F13&lt;&gt;0,'Derived Metrics'!F24/'Income Statement'!F13,""),"")</f>
        <v>6.3012760381769187E-2</v>
      </c>
      <c r="G29" s="32">
        <f>IF(COUNT('Derived Metrics'!G24,'Income Statement'!G13)=2,IF('Income Statement'!G13&lt;&gt;0,'Derived Metrics'!G24/'Income Statement'!G13,""),"")</f>
        <v>6.0251236287159664E-2</v>
      </c>
      <c r="H29" s="32">
        <f>IF(COUNT('Derived Metrics'!H24,'Income Statement'!H13)=2,IF('Income Statement'!H13&lt;&gt;0,'Derived Metrics'!H24/'Income Statement'!H13,""),"")</f>
        <v>5.8195132999471523E-2</v>
      </c>
      <c r="I29" s="32">
        <f>IF(COUNT('Derived Metrics'!I24,'Income Statement'!I13)=2,IF('Income Statement'!I13&lt;&gt;0,'Derived Metrics'!I24/'Income Statement'!I13,""),"")</f>
        <v>6.0271784424483749E-2</v>
      </c>
      <c r="J29" s="32">
        <f>IF(COUNT('Derived Metrics'!J24,'Income Statement'!J13)=2,IF('Income Statement'!J13&lt;&gt;0,'Derived Metrics'!J24/'Income Statement'!J13,""),"")</f>
        <v>6.0325130369188046E-2</v>
      </c>
      <c r="K29" s="32">
        <f>IF(COUNT('Derived Metrics'!K24,'Income Statement'!K13)=2,IF('Income Statement'!K13&lt;&gt;0,'Derived Metrics'!K24/'Income Statement'!K13,""),"")</f>
        <v>5.7896226620506454E-2</v>
      </c>
      <c r="L29" s="32">
        <f>IF(COUNT('Derived Metrics'!L24,'Income Statement'!L13)=2,IF('Income Statement'!L13&lt;&gt;0,'Derived Metrics'!L24/'Income Statement'!L13,""),"")</f>
        <v>4.7005589566143202E-2</v>
      </c>
      <c r="M29" s="24"/>
      <c r="N29" s="32">
        <f>IF(COUNT('Derived Metrics'!N24,'Income Statement'!N13)=2,IF('Income Statement'!N13&lt;&gt;0,'Derived Metrics'!N24/'Income Statement'!N13,""),"")</f>
        <v>3.3643835616438356E-2</v>
      </c>
      <c r="O29" s="32">
        <f>IF(COUNT('Derived Metrics'!O24,'Income Statement'!O13)=2,IF('Income Statement'!O13&lt;&gt;0,'Derived Metrics'!O24/'Income Statement'!O13,""),"")</f>
        <v>4.8308964046042395E-2</v>
      </c>
      <c r="P29" s="32">
        <f>IF(COUNT('Derived Metrics'!P24,'Income Statement'!P13)=2,IF('Income Statement'!P13&lt;&gt;0,'Derived Metrics'!P24/'Income Statement'!P13,""),"")</f>
        <v>4.9273124919593465E-2</v>
      </c>
      <c r="Q29" s="32">
        <f>IF(COUNT('Derived Metrics'!Q24,'Income Statement'!Q13)=2,IF('Income Statement'!Q13&lt;&gt;0,'Derived Metrics'!Q24/'Income Statement'!Q13,""),"")</f>
        <v>8.8828102505038878E-2</v>
      </c>
      <c r="R29" s="32">
        <f>IF(COUNT('Derived Metrics'!R24,'Income Statement'!R13)=2,IF('Income Statement'!R13&lt;&gt;0,'Derived Metrics'!R24/'Income Statement'!R13,""),"")</f>
        <v>3.365143144148669E-2</v>
      </c>
      <c r="S29" s="32">
        <f>IF(COUNT('Derived Metrics'!S24,'Income Statement'!S13)=2,IF('Income Statement'!S13&lt;&gt;0,'Derived Metrics'!S24/'Income Statement'!S13,""),"")</f>
        <v>3.9778227580744521E-2</v>
      </c>
      <c r="T29" s="32">
        <f>IF(COUNT('Derived Metrics'!T24,'Income Statement'!T13)=2,IF('Income Statement'!T13&lt;&gt;0,'Derived Metrics'!T24/'Income Statement'!T13,""),"")</f>
        <v>4.1442118895433845E-2</v>
      </c>
      <c r="U29" s="32">
        <f>IF(COUNT('Derived Metrics'!U24,'Income Statement'!U13)=2,IF('Income Statement'!U13&lt;&gt;0,'Derived Metrics'!U24/'Income Statement'!U13,""),"")</f>
        <v>6.5296663599495625E-2</v>
      </c>
      <c r="V29" s="32">
        <f>IF(COUNT('Derived Metrics'!V24,'Income Statement'!V13)=2,IF('Income Statement'!V13&lt;&gt;0,'Derived Metrics'!V24/'Income Statement'!V13,""),"")</f>
        <v>2.2990279277889214E-2</v>
      </c>
      <c r="W29" s="32">
        <f>IF(COUNT('Derived Metrics'!W24,'Income Statement'!W13)=2,IF('Income Statement'!W13&lt;&gt;0,'Derived Metrics'!W24/'Income Statement'!W13,""),"")</f>
        <v>3.3869567015425331E-2</v>
      </c>
      <c r="X29" s="32">
        <f>IF(COUNT('Derived Metrics'!X24,'Income Statement'!X13)=2,IF('Income Statement'!X13&lt;&gt;0,'Derived Metrics'!X24/'Income Statement'!X13,""),"")</f>
        <v>3.6242779140618818E-2</v>
      </c>
    </row>
    <row r="30" spans="1:24" ht="22" customHeight="1">
      <c r="A30" s="3" t="s">
        <v>392</v>
      </c>
      <c r="B30" s="1"/>
      <c r="C30" s="34">
        <f>IF(COUNT('Cash Flow'!C71)=1,-'Cash Flow'!C71,"")</f>
        <v>4227</v>
      </c>
      <c r="D30" s="34">
        <f>IF(COUNT('Cash Flow'!D71)=1,-'Cash Flow'!D71,"")</f>
        <v>4472</v>
      </c>
      <c r="E30" s="34">
        <f>IF(COUNT('Cash Flow'!E71)=1,-'Cash Flow'!E71,"")</f>
        <v>4930</v>
      </c>
      <c r="F30" s="34">
        <f>IF(COUNT('Cash Flow'!F71)=1,-'Cash Flow'!F71,"")</f>
        <v>5304</v>
      </c>
      <c r="G30" s="34">
        <f>IF(COUNT('Cash Flow'!G71)=1,-'Cash Flow'!G71,"")</f>
        <v>5509</v>
      </c>
      <c r="H30" s="34">
        <f>IF(COUNT('Cash Flow'!H71)=1,-'Cash Flow'!H71,"")</f>
        <v>5815</v>
      </c>
      <c r="I30" s="34">
        <f>IF(COUNT('Cash Flow'!I71)=1,-'Cash Flow'!I71,"")</f>
        <v>6172</v>
      </c>
      <c r="J30" s="34">
        <f>IF(COUNT('Cash Flow'!J71)=1,-'Cash Flow'!J71,"")</f>
        <v>6682</v>
      </c>
      <c r="K30" s="34">
        <f>IF(COUNT('Cash Flow'!K71)=1,-'Cash Flow'!K71,"")</f>
        <v>7229</v>
      </c>
      <c r="L30" s="34">
        <f>IF(COUNT('Cash Flow'!L71)=1,-'Cash Flow'!L71,"")</f>
        <v>7638</v>
      </c>
      <c r="M30" s="15"/>
      <c r="N30" s="34">
        <f>IF(COUNT('Cash Flow'!N128)=1,-'Cash Flow'!N128,"")</f>
        <v>1767</v>
      </c>
      <c r="O30" s="34">
        <f>IF(COUNT('Cash Flow'!O128)=1,-'Cash Flow'!O128,"")</f>
        <v>1739</v>
      </c>
      <c r="P30" s="34">
        <f>IF(COUNT('Cash Flow'!P128)=1,-'Cash Flow'!P128,"")</f>
        <v>1863</v>
      </c>
      <c r="Q30" s="34">
        <f>IF(COUNT('Cash Flow'!Q128)=1,-'Cash Flow'!Q128,"")</f>
        <v>1860</v>
      </c>
      <c r="R30" s="34">
        <f>IF(COUNT('Cash Flow'!R128)=1,-'Cash Flow'!R128,"")</f>
        <v>1882</v>
      </c>
      <c r="S30" s="34">
        <f>IF(COUNT('Cash Flow'!S128)=1,-'Cash Flow'!S128,"")</f>
        <v>1861</v>
      </c>
      <c r="T30" s="34">
        <f>IF(COUNT('Cash Flow'!T128)=1,-'Cash Flow'!T128,"")</f>
        <v>1949</v>
      </c>
      <c r="U30" s="34">
        <f>IF(COUNT('Cash Flow'!U128)=1,-'Cash Flow'!U128,"")</f>
        <v>1946</v>
      </c>
      <c r="V30" s="34">
        <f>IF(COUNT('Cash Flow'!V128)=1,-'Cash Flow'!V128,"")</f>
        <v>1966</v>
      </c>
      <c r="W30" s="34">
        <f>IF(COUNT('Cash Flow'!W128)=1,-'Cash Flow'!W128,"")</f>
        <v>1948</v>
      </c>
      <c r="X30" s="34">
        <f>IF(COUNT('Cash Flow'!X128)=1,-'Cash Flow'!X128,"")</f>
        <v>2021</v>
      </c>
    </row>
    <row r="31" spans="1:24" ht="22" customHeight="1">
      <c r="A31" s="3" t="s">
        <v>393</v>
      </c>
      <c r="B31" s="1"/>
      <c r="C31" s="34">
        <f>IF(COUNT('Cash Flow'!C72)=1,-'Cash Flow'!C72,"")</f>
        <v>3000</v>
      </c>
      <c r="D31" s="34">
        <f>IF(COUNT('Cash Flow'!D72)=1,-'Cash Flow'!D72,"")</f>
        <v>2000</v>
      </c>
      <c r="E31" s="34">
        <f>IF(COUNT('Cash Flow'!E72)=1,-'Cash Flow'!E72,"")</f>
        <v>2000</v>
      </c>
      <c r="F31" s="34">
        <f>IF(COUNT('Cash Flow'!F72)=1,-'Cash Flow'!F72,"")</f>
        <v>3000</v>
      </c>
      <c r="G31" s="34">
        <f>IF(COUNT('Cash Flow'!G72)=1,-'Cash Flow'!G72,"")</f>
        <v>2000</v>
      </c>
      <c r="H31" s="34">
        <f>IF(COUNT('Cash Flow'!H72)=1,-'Cash Flow'!H72,"")</f>
        <v>106</v>
      </c>
      <c r="I31" s="34">
        <f>IF(COUNT('Cash Flow'!I72)=1,-'Cash Flow'!I72,"")</f>
        <v>1500</v>
      </c>
      <c r="J31" s="34">
        <f>IF(COUNT('Cash Flow'!J72)=1,-'Cash Flow'!J72,"")</f>
        <v>1000</v>
      </c>
      <c r="K31" s="34">
        <f>IF(COUNT('Cash Flow'!K72)=1,-'Cash Flow'!K72,"")</f>
        <v>1000</v>
      </c>
      <c r="L31" s="34">
        <f>IF(COUNT('Cash Flow'!L72)=1,-'Cash Flow'!L72,"")</f>
        <v>1000</v>
      </c>
      <c r="M31" s="15"/>
      <c r="N31" s="34">
        <f>IF(COUNT('Cash Flow'!N129)=1,-'Cash Flow'!N129,"")</f>
        <v>146</v>
      </c>
      <c r="O31" s="34">
        <f>IF(COUNT('Cash Flow'!O129)=1,-'Cash Flow'!O129,"")</f>
        <v>315</v>
      </c>
      <c r="P31" s="34">
        <f>IF(COUNT('Cash Flow'!P129)=1,-'Cash Flow'!P129,"")</f>
        <v>299</v>
      </c>
      <c r="Q31" s="34">
        <f>IF(COUNT('Cash Flow'!Q129)=1,-'Cash Flow'!Q129,"")</f>
        <v>240</v>
      </c>
      <c r="R31" s="34">
        <f>IF(COUNT('Cash Flow'!R129)=1,-'Cash Flow'!R129,"")</f>
        <v>183</v>
      </c>
      <c r="S31" s="34">
        <f>IF(COUNT('Cash Flow'!S129)=1,-'Cash Flow'!S129,"")</f>
        <v>311</v>
      </c>
      <c r="T31" s="34">
        <f>IF(COUNT('Cash Flow'!T129)=1,-'Cash Flow'!T129,"")</f>
        <v>258</v>
      </c>
      <c r="U31" s="34">
        <f>IF(COUNT('Cash Flow'!U129)=1,-'Cash Flow'!U129,"")</f>
        <v>248</v>
      </c>
      <c r="V31" s="34">
        <f>IF(COUNT('Cash Flow'!V129)=1,-'Cash Flow'!V129,"")</f>
        <v>182</v>
      </c>
      <c r="W31" s="34">
        <f>IF(COUNT('Cash Flow'!W129)=1,-'Cash Flow'!W129,"")</f>
        <v>297</v>
      </c>
      <c r="X31" s="34">
        <f>IF(COUNT('Cash Flow'!X129)=1,-'Cash Flow'!X129,"")</f>
        <v>260</v>
      </c>
    </row>
    <row r="32" spans="1:24" ht="20" customHeight="1">
      <c r="A32" s="21" t="s">
        <v>394</v>
      </c>
      <c r="B32" s="1"/>
      <c r="C32" s="22"/>
      <c r="D32" s="32">
        <f>IF(COUNT('Income Statement'!D36,'Income Statement'!C36)=2,IF('Income Statement'!C36&lt;&gt;0,'Income Statement'!D36/'Income Statement'!C36-1,""),"")</f>
        <v>-9.6418732782369565E-3</v>
      </c>
      <c r="E32" s="32">
        <f>IF(COUNT('Income Statement'!E36,'Income Statement'!D36)=2,IF('Income Statement'!D36&lt;&gt;0,'Income Statement'!E36/'Income Statement'!D36-1,""),"")</f>
        <v>-9.0403337969402475E-3</v>
      </c>
      <c r="F32" s="32">
        <f>IF(COUNT('Income Statement'!F36,'Income Statement'!E36)=2,IF('Income Statement'!E36&lt;&gt;0,'Income Statement'!F36/'Income Statement'!E36-1,""),"")</f>
        <v>-1.2631578947368438E-2</v>
      </c>
      <c r="G32" s="32">
        <f>IF(COUNT('Income Statement'!G36,'Income Statement'!F36)=2,IF('Income Statement'!F36&lt;&gt;0,'Income Statement'!G36/'Income Statement'!F36-1,""),"")</f>
        <v>-1.0660980810234588E-2</v>
      </c>
      <c r="H32" s="32">
        <f>IF(COUNT('Income Statement'!H36,'Income Statement'!G36)=2,IF('Income Statement'!G36&lt;&gt;0,'Income Statement'!H36/'Income Statement'!G36-1,""),"")</f>
        <v>-2.1551724137931494E-3</v>
      </c>
      <c r="I32" s="32">
        <f>IF(COUNT('Income Statement'!I36,'Income Statement'!H36)=2,IF('Income Statement'!H36&lt;&gt;0,'Income Statement'!I36/'Income Statement'!H36-1,""),"")</f>
        <v>-1.4398848092153083E-3</v>
      </c>
      <c r="J32" s="32">
        <f>IF(COUNT('Income Statement'!J36,'Income Statement'!I36)=2,IF('Income Statement'!I36&lt;&gt;0,'Income Statement'!J36/'Income Statement'!I36-1,""),"")</f>
        <v>-2.8839221341023791E-3</v>
      </c>
      <c r="K32" s="32">
        <f>IF(COUNT('Income Statement'!K36,'Income Statement'!J36)=2,IF('Income Statement'!J36&lt;&gt;0,'Income Statement'!K36/'Income Statement'!J36-1,""),"")</f>
        <v>-3.6153289949385492E-3</v>
      </c>
      <c r="L32" s="32">
        <f>IF(COUNT('Income Statement'!L36,'Income Statement'!K36)=2,IF('Income Statement'!K36&lt;&gt;0,'Income Statement'!L36/'Income Statement'!K36-1,""),"")</f>
        <v>-3.6284470246734646E-3</v>
      </c>
      <c r="M32" s="24"/>
      <c r="N32" s="22"/>
      <c r="O32" s="22"/>
      <c r="P32" s="22"/>
      <c r="Q32" s="22"/>
      <c r="R32" s="32">
        <f>IF(COUNT('Income Statement'!R36,'Income Statement'!N36)=2,IF('Income Statement'!N36&lt;&gt;0,'Income Statement'!R36/'Income Statement'!N36-1,""),"")</f>
        <v>-2.8985507246376274E-3</v>
      </c>
      <c r="S32" s="32">
        <f>IF(COUNT('Income Statement'!S36,'Income Statement'!O36)=2,IF('Income Statement'!O36&lt;&gt;0,'Income Statement'!S36/'Income Statement'!O36-1,""),"")</f>
        <v>-4.35097897026826E-3</v>
      </c>
      <c r="T32" s="32">
        <f>IF(COUNT('Income Statement'!T36,'Income Statement'!P36)=2,IF('Income Statement'!P36&lt;&gt;0,'Income Statement'!T36/'Income Statement'!P36-1,""),"")</f>
        <v>-4.3541364296081353E-3</v>
      </c>
      <c r="U32" s="32" t="str">
        <f>IF(COUNT('Income Statement'!U36,'Income Statement'!Q36)=2,IF('Income Statement'!Q36&lt;&gt;0,'Income Statement'!U36/'Income Statement'!Q36-1,""),"")</f>
        <v/>
      </c>
      <c r="V32" s="32">
        <f>IF(COUNT('Income Statement'!V36,'Income Statement'!R36)=2,IF('Income Statement'!R36&lt;&gt;0,'Income Statement'!V36/'Income Statement'!R36-1,""),"")</f>
        <v>-3.6337209302325091E-3</v>
      </c>
      <c r="W32" s="32">
        <f>IF(COUNT('Income Statement'!W36,'Income Statement'!S36)=2,IF('Income Statement'!S36&lt;&gt;0,'Income Statement'!W36/'Income Statement'!S36-1,""),"")</f>
        <v>-2.9133284777859147E-3</v>
      </c>
      <c r="X32" s="32">
        <f>IF(COUNT('Income Statement'!X36,'Income Statement'!T36)=2,IF('Income Statement'!T36&lt;&gt;0,'Income Statement'!X36/'Income Statement'!T36-1,""),"")</f>
        <v>-3.6443148688046767E-3</v>
      </c>
    </row>
    <row r="33" spans="1:24" ht="22" customHeight="1">
      <c r="A33" s="3"/>
      <c r="B33" s="1"/>
      <c r="C33" s="2"/>
      <c r="D33" s="2"/>
      <c r="E33" s="2"/>
      <c r="F33" s="2"/>
      <c r="G33" s="2"/>
      <c r="H33" s="2"/>
      <c r="I33" s="2"/>
      <c r="J33" s="2"/>
      <c r="K33" s="2"/>
      <c r="L33" s="2"/>
      <c r="M33" s="2"/>
      <c r="N33" s="2"/>
      <c r="O33" s="2"/>
      <c r="P33" s="2"/>
      <c r="Q33" s="2"/>
      <c r="R33" s="2"/>
      <c r="S33" s="2"/>
      <c r="T33" s="2"/>
      <c r="U33" s="2"/>
      <c r="V33" s="2"/>
      <c r="W33" s="2"/>
      <c r="X33" s="2"/>
    </row>
    <row r="34" spans="1:24" ht="22" customHeight="1">
      <c r="A34" s="174" t="s">
        <v>376</v>
      </c>
      <c r="B34" s="174"/>
      <c r="C34" s="175"/>
      <c r="D34" s="175"/>
      <c r="E34" s="175"/>
      <c r="F34" s="175"/>
      <c r="G34" s="175"/>
      <c r="H34" s="175"/>
      <c r="I34" s="175"/>
      <c r="J34" s="175"/>
      <c r="K34" s="175"/>
      <c r="L34" s="175"/>
      <c r="M34" s="175"/>
      <c r="N34" s="175"/>
      <c r="O34" s="175"/>
      <c r="P34" s="175"/>
      <c r="Q34" s="175"/>
      <c r="R34" s="175"/>
      <c r="S34" s="175"/>
      <c r="T34" s="175"/>
      <c r="U34" s="175"/>
      <c r="V34" s="175"/>
      <c r="W34" s="175"/>
      <c r="X34" s="175"/>
    </row>
    <row r="35" spans="1:24" ht="24" customHeight="1">
      <c r="A35" s="16" t="s">
        <v>395</v>
      </c>
      <c r="B35" s="17"/>
      <c r="C35" s="38">
        <f>IF(COUNT('Balance Sheet'!C38,'Balance Sheet'!C43)=2,'Balance Sheet'!C38+'Balance Sheet'!C43,"")</f>
        <v>36945</v>
      </c>
      <c r="D35" s="38">
        <f>IF(COUNT('Balance Sheet'!D38,'Balance Sheet'!D43)=2,'Balance Sheet'!D38+'Balance Sheet'!D43,"")</f>
        <v>39281</v>
      </c>
      <c r="E35" s="38">
        <f>IF(COUNT('Balance Sheet'!E38,'Balance Sheet'!E43)=2,'Balance Sheet'!E38+'Balance Sheet'!E43,"")</f>
        <v>32321</v>
      </c>
      <c r="F35" s="38">
        <f>IF(COUNT('Balance Sheet'!F38,'Balance Sheet'!F43)=2,'Balance Sheet'!F38+'Balance Sheet'!F43,"")</f>
        <v>32068</v>
      </c>
      <c r="G35" s="38">
        <f>IF(COUNT('Balance Sheet'!G38,'Balance Sheet'!G43)=2,'Balance Sheet'!G38+'Balance Sheet'!G43,"")</f>
        <v>44150</v>
      </c>
      <c r="H35" s="38">
        <f>IF(COUNT('Balance Sheet'!H38,'Balance Sheet'!H43)=2,'Balance Sheet'!H38+'Balance Sheet'!H43,"")</f>
        <v>40334</v>
      </c>
      <c r="I35" s="38">
        <f>IF(COUNT('Balance Sheet'!I38,'Balance Sheet'!I43)=2,'Balance Sheet'!I38+'Balance Sheet'!I43,"")</f>
        <v>39071</v>
      </c>
      <c r="J35" s="38">
        <f>IF(COUNT('Balance Sheet'!J38,'Balance Sheet'!J43)=2,'Balance Sheet'!J38+'Balance Sheet'!J43,"")</f>
        <v>44105</v>
      </c>
      <c r="K35" s="38">
        <f>IF(COUNT('Balance Sheet'!K38,'Balance Sheet'!K43)=2,'Balance Sheet'!K38+'Balance Sheet'!K43,"")</f>
        <v>44306</v>
      </c>
      <c r="L35" s="38">
        <f>IF(COUNT('Balance Sheet'!L38,'Balance Sheet'!L43)=2,'Balance Sheet'!L38+'Balance Sheet'!L43,"")</f>
        <v>49182</v>
      </c>
      <c r="M35" s="20"/>
      <c r="N35" s="38">
        <f>IF(COUNT('Balance Sheet'!N38,'Balance Sheet'!N43)=2,'Balance Sheet'!N38+'Balance Sheet'!N43,"")</f>
        <v>45868</v>
      </c>
      <c r="O35" s="38">
        <f>IF(COUNT('Balance Sheet'!O38,'Balance Sheet'!O43)=2,'Balance Sheet'!O38+'Balance Sheet'!O43,"")</f>
        <v>44927</v>
      </c>
      <c r="P35" s="38">
        <f>IF(COUNT('Balance Sheet'!P38,'Balance Sheet'!P43)=2,'Balance Sheet'!P38+'Balance Sheet'!P43,"")</f>
        <v>45014</v>
      </c>
      <c r="Q35" s="38">
        <f>IF(COUNT('Balance Sheet'!Q38,'Balance Sheet'!Q43)=2,'Balance Sheet'!Q38+'Balance Sheet'!Q43,"")</f>
        <v>44306</v>
      </c>
      <c r="R35" s="38">
        <f>IF(COUNT('Balance Sheet'!R38,'Balance Sheet'!R43)=2,'Balance Sheet'!R38+'Balance Sheet'!R43,"")</f>
        <v>48518</v>
      </c>
      <c r="S35" s="38">
        <f>IF(COUNT('Balance Sheet'!S38,'Balance Sheet'!S43)=2,'Balance Sheet'!S38+'Balance Sheet'!S43,"")</f>
        <v>51384</v>
      </c>
      <c r="T35" s="38">
        <f>IF(COUNT('Balance Sheet'!T38,'Balance Sheet'!T43)=2,'Balance Sheet'!T38+'Balance Sheet'!T43,"")</f>
        <v>50849</v>
      </c>
      <c r="U35" s="38">
        <f>IF(COUNT('Balance Sheet'!U38,'Balance Sheet'!U43)=2,'Balance Sheet'!U38+'Balance Sheet'!U43,"")</f>
        <v>49182</v>
      </c>
      <c r="V35" s="38">
        <f>IF(COUNT('Balance Sheet'!V38,'Balance Sheet'!V43)=2,'Balance Sheet'!V38+'Balance Sheet'!V43,"")</f>
        <v>52728</v>
      </c>
      <c r="W35" s="38">
        <f>IF(COUNT('Balance Sheet'!W38,'Balance Sheet'!W43)=2,'Balance Sheet'!W38+'Balance Sheet'!W43,"")</f>
        <v>53214</v>
      </c>
      <c r="X35" s="38">
        <f>IF(COUNT('Balance Sheet'!X38,'Balance Sheet'!X43)=2,'Balance Sheet'!X38+'Balance Sheet'!X43,"")</f>
        <v>51881</v>
      </c>
    </row>
    <row r="36" spans="1:24" ht="22" customHeight="1">
      <c r="A36" s="3" t="s">
        <v>396</v>
      </c>
      <c r="B36" s="1"/>
      <c r="C36" s="34">
        <f>IF(COUNT('Derived Metrics'!C35,'Balance Sheet'!C14)=2,'Derived Metrics'!C35-'Balance Sheet'!C14,"")</f>
        <v>27787</v>
      </c>
      <c r="D36" s="34">
        <f>IF(COUNT('Derived Metrics'!D35,'Balance Sheet'!D14)=2,'Derived Metrics'!D35-'Balance Sheet'!D14,"")</f>
        <v>28671</v>
      </c>
      <c r="E36" s="34">
        <f>IF(COUNT('Derived Metrics'!E35,'Balance Sheet'!E14)=2,'Derived Metrics'!E35-'Balance Sheet'!E14,"")</f>
        <v>23600</v>
      </c>
      <c r="F36" s="34">
        <f>IF(COUNT('Derived Metrics'!F35,'Balance Sheet'!F14)=2,'Derived Metrics'!F35-'Balance Sheet'!F14,"")</f>
        <v>26559</v>
      </c>
      <c r="G36" s="34">
        <f>IF(COUNT('Derived Metrics'!G35,'Balance Sheet'!G14)=2,'Derived Metrics'!G35-'Balance Sheet'!G14,"")</f>
        <v>35965</v>
      </c>
      <c r="H36" s="34">
        <f>IF(COUNT('Derived Metrics'!H35,'Balance Sheet'!H14)=2,'Derived Metrics'!H35-'Balance Sheet'!H14,"")</f>
        <v>34738</v>
      </c>
      <c r="I36" s="34">
        <f>IF(COUNT('Derived Metrics'!I35,'Balance Sheet'!I14)=2,'Derived Metrics'!I35-'Balance Sheet'!I14,"")</f>
        <v>34117</v>
      </c>
      <c r="J36" s="34">
        <f>IF(COUNT('Derived Metrics'!J35,'Balance Sheet'!J14)=2,'Derived Metrics'!J35-'Balance Sheet'!J14,"")</f>
        <v>34394</v>
      </c>
      <c r="K36" s="34">
        <f>IF(COUNT('Derived Metrics'!K35,'Balance Sheet'!K14)=2,'Derived Metrics'!K35-'Balance Sheet'!K14,"")</f>
        <v>35801</v>
      </c>
      <c r="L36" s="34">
        <f>IF(COUNT('Derived Metrics'!L35,'Balance Sheet'!L14)=2,'Derived Metrics'!L35-'Balance Sheet'!L14,"")</f>
        <v>40023</v>
      </c>
      <c r="M36" s="15"/>
      <c r="N36" s="34">
        <f>IF(COUNT('Derived Metrics'!N35,'Balance Sheet'!N14)=2,'Derived Metrics'!N35-'Balance Sheet'!N14,"")</f>
        <v>37821</v>
      </c>
      <c r="O36" s="34">
        <f>IF(COUNT('Derived Metrics'!O35,'Balance Sheet'!O14)=2,'Derived Metrics'!O35-'Balance Sheet'!O14,"")</f>
        <v>38574</v>
      </c>
      <c r="P36" s="34">
        <f>IF(COUNT('Derived Metrics'!P35,'Balance Sheet'!P14)=2,'Derived Metrics'!P35-'Balance Sheet'!P14,"")</f>
        <v>37706</v>
      </c>
      <c r="Q36" s="34">
        <f>IF(COUNT('Derived Metrics'!Q35,'Balance Sheet'!Q14)=2,'Derived Metrics'!Q35-'Balance Sheet'!Q14,"")</f>
        <v>35801</v>
      </c>
      <c r="R36" s="34">
        <f>IF(COUNT('Derived Metrics'!R35,'Balance Sheet'!R14)=2,'Derived Metrics'!R35-'Balance Sheet'!R14,"")</f>
        <v>40250</v>
      </c>
      <c r="S36" s="34">
        <f>IF(COUNT('Derived Metrics'!S35,'Balance Sheet'!S14)=2,'Derived Metrics'!S35-'Balance Sheet'!S14,"")</f>
        <v>43753</v>
      </c>
      <c r="T36" s="34">
        <f>IF(COUNT('Derived Metrics'!T35,'Balance Sheet'!T14)=2,'Derived Metrics'!T35-'Balance Sheet'!T14,"")</f>
        <v>42723</v>
      </c>
      <c r="U36" s="34">
        <f>IF(COUNT('Derived Metrics'!U35,'Balance Sheet'!U14)=2,'Derived Metrics'!U35-'Balance Sheet'!U14,"")</f>
        <v>40023</v>
      </c>
      <c r="V36" s="34">
        <f>IF(COUNT('Derived Metrics'!V35,'Balance Sheet'!V14)=2,'Derived Metrics'!V35-'Balance Sheet'!V14,"")</f>
        <v>42253</v>
      </c>
      <c r="W36" s="34">
        <f>IF(COUNT('Derived Metrics'!W35,'Balance Sheet'!W14)=2,'Derived Metrics'!W35-'Balance Sheet'!W14,"")</f>
        <v>42963</v>
      </c>
      <c r="X36" s="34">
        <f>IF(COUNT('Derived Metrics'!X35,'Balance Sheet'!X14)=2,'Derived Metrics'!X35-'Balance Sheet'!X14,"")</f>
        <v>41206</v>
      </c>
    </row>
    <row r="37" spans="1:24" ht="36" customHeight="1">
      <c r="A37" s="3" t="s">
        <v>397</v>
      </c>
      <c r="B37" s="1"/>
      <c r="C37" s="34">
        <f>IF(COUNT('Derived Metrics'!C35,'Balance Sheet'!C14,'Balance Sheet'!C15)=3,'Derived Metrics'!C35-'Balance Sheet'!C14-'Balance Sheet'!C15,"")</f>
        <v>20820</v>
      </c>
      <c r="D37" s="34">
        <f>IF(COUNT('Derived Metrics'!D35,'Balance Sheet'!D14,'Balance Sheet'!D15)=3,'Derived Metrics'!D35-'Balance Sheet'!D14-'Balance Sheet'!D15,"")</f>
        <v>19771</v>
      </c>
      <c r="E37" s="34">
        <f>IF(COUNT('Derived Metrics'!E35,'Balance Sheet'!E14,'Balance Sheet'!E15)=3,'Derived Metrics'!E35-'Balance Sheet'!E14-'Balance Sheet'!E15,"")</f>
        <v>23328</v>
      </c>
      <c r="F37" s="34">
        <f>IF(COUNT('Derived Metrics'!F35,'Balance Sheet'!F14,'Balance Sheet'!F15)=3,'Derived Metrics'!F35-'Balance Sheet'!F14-'Balance Sheet'!F15,"")</f>
        <v>26330</v>
      </c>
      <c r="G37" s="34">
        <f>IF(COUNT('Derived Metrics'!G35,'Balance Sheet'!G14,'Balance Sheet'!G15)=3,'Derived Metrics'!G35-'Balance Sheet'!G14-'Balance Sheet'!G15,"")</f>
        <v>34599</v>
      </c>
      <c r="H37" s="34">
        <f>IF(COUNT('Derived Metrics'!H35,'Balance Sheet'!H14,'Balance Sheet'!H15)=3,'Derived Metrics'!H35-'Balance Sheet'!H14-'Balance Sheet'!H15,"")</f>
        <v>34346</v>
      </c>
      <c r="I37" s="34">
        <f>IF(COUNT('Derived Metrics'!I35,'Balance Sheet'!I14,'Balance Sheet'!I15)=3,'Derived Metrics'!I35-'Balance Sheet'!I14-'Balance Sheet'!I15,"")</f>
        <v>33723</v>
      </c>
      <c r="J37" s="34">
        <f>IF(COUNT('Derived Metrics'!J35,'Balance Sheet'!J14,'Balance Sheet'!J15)=3,'Derived Metrics'!J35-'Balance Sheet'!J14-'Balance Sheet'!J15,"")</f>
        <v>34102</v>
      </c>
      <c r="K37" s="34">
        <f>IF(COUNT('Derived Metrics'!K35,'Balance Sheet'!K14,'Balance Sheet'!K15)=3,'Derived Metrics'!K35-'Balance Sheet'!K14-'Balance Sheet'!K15,"")</f>
        <v>35040</v>
      </c>
      <c r="L37" s="34">
        <f>IF(COUNT('Derived Metrics'!L35,'Balance Sheet'!L14,'Balance Sheet'!L15)=3,'Derived Metrics'!L35-'Balance Sheet'!L14-'Balance Sheet'!L15,"")</f>
        <v>39652</v>
      </c>
      <c r="M37" s="15"/>
      <c r="N37" s="34">
        <f>IF(COUNT('Derived Metrics'!N35,'Balance Sheet'!N14,'Balance Sheet'!N15)=3,'Derived Metrics'!N35-'Balance Sheet'!N14-'Balance Sheet'!N15,"")</f>
        <v>37518</v>
      </c>
      <c r="O37" s="34">
        <f>IF(COUNT('Derived Metrics'!O35,'Balance Sheet'!O14,'Balance Sheet'!O15)=3,'Derived Metrics'!O35-'Balance Sheet'!O14-'Balance Sheet'!O15,"")</f>
        <v>38259</v>
      </c>
      <c r="P37" s="34">
        <f>IF(COUNT('Derived Metrics'!P35,'Balance Sheet'!P14,'Balance Sheet'!P15)=3,'Derived Metrics'!P35-'Balance Sheet'!P14-'Balance Sheet'!P15,"")</f>
        <v>36963</v>
      </c>
      <c r="Q37" s="34">
        <f>IF(COUNT('Derived Metrics'!Q35,'Balance Sheet'!Q14,'Balance Sheet'!Q15)=3,'Derived Metrics'!Q35-'Balance Sheet'!Q14-'Balance Sheet'!Q15,"")</f>
        <v>35040</v>
      </c>
      <c r="R37" s="34">
        <f>IF(COUNT('Derived Metrics'!R35,'Balance Sheet'!R14,'Balance Sheet'!R15)=3,'Derived Metrics'!R35-'Balance Sheet'!R14-'Balance Sheet'!R15,"")</f>
        <v>39936</v>
      </c>
      <c r="S37" s="34">
        <f>IF(COUNT('Derived Metrics'!S35,'Balance Sheet'!S14,'Balance Sheet'!S15)=3,'Derived Metrics'!S35-'Balance Sheet'!S14-'Balance Sheet'!S15,"")</f>
        <v>43411</v>
      </c>
      <c r="T37" s="34">
        <f>IF(COUNT('Derived Metrics'!T35,'Balance Sheet'!T14,'Balance Sheet'!T15)=3,'Derived Metrics'!T35-'Balance Sheet'!T14-'Balance Sheet'!T15,"")</f>
        <v>42188</v>
      </c>
      <c r="U37" s="34">
        <f>IF(COUNT('Derived Metrics'!U35,'Balance Sheet'!U14,'Balance Sheet'!U15)=3,'Derived Metrics'!U35-'Balance Sheet'!U14-'Balance Sheet'!U15,"")</f>
        <v>39652</v>
      </c>
      <c r="V37" s="34">
        <f>IF(COUNT('Derived Metrics'!V35,'Balance Sheet'!V14,'Balance Sheet'!V15)=3,'Derived Metrics'!V35-'Balance Sheet'!V14-'Balance Sheet'!V15,"")</f>
        <v>41900</v>
      </c>
      <c r="W37" s="34">
        <f>IF(COUNT('Derived Metrics'!W35,'Balance Sheet'!W14,'Balance Sheet'!W15)=3,'Derived Metrics'!W35-'Balance Sheet'!W14-'Balance Sheet'!W15,"")</f>
        <v>42498</v>
      </c>
      <c r="X37" s="34">
        <f>IF(COUNT('Derived Metrics'!X35,'Balance Sheet'!X14,'Balance Sheet'!X15)=3,'Derived Metrics'!X35-'Balance Sheet'!X14-'Balance Sheet'!X15,"")</f>
        <v>40718</v>
      </c>
    </row>
    <row r="38" spans="1:24" ht="22" customHeight="1">
      <c r="A38" s="3" t="s">
        <v>398</v>
      </c>
      <c r="B38" s="1"/>
      <c r="C38" s="34">
        <f>IF(COUNT('Derived Metrics'!C39,'Balance Sheet'!C14)=2,'Derived Metrics'!C39-'Balance Sheet'!C14,"")</f>
        <v>11</v>
      </c>
      <c r="D38" s="34">
        <f>IF(COUNT('Derived Metrics'!D39,'Balance Sheet'!D14)=2,'Derived Metrics'!D39-'Balance Sheet'!D14,"")</f>
        <v>47</v>
      </c>
      <c r="E38" s="34">
        <f>IF(COUNT('Derived Metrics'!E39,'Balance Sheet'!E14)=2,'Derived Metrics'!E39-'Balance Sheet'!E14,"")</f>
        <v>2048</v>
      </c>
      <c r="F38" s="34">
        <f>IF(COUNT('Derived Metrics'!F39,'Balance Sheet'!F14)=2,'Derived Metrics'!F39-'Balance Sheet'!F14,"")</f>
        <v>61</v>
      </c>
      <c r="G38" s="34">
        <f>IF(COUNT('Derived Metrics'!G39,'Balance Sheet'!G14)=2,'Derived Metrics'!G39-'Balance Sheet'!G14,"")</f>
        <v>69</v>
      </c>
      <c r="H38" s="34">
        <f>IF(COUNT('Derived Metrics'!H39,'Balance Sheet'!H14)=2,'Derived Metrics'!H39-'Balance Sheet'!H14,"")</f>
        <v>111</v>
      </c>
      <c r="I38" s="34">
        <f>IF(COUNT('Derived Metrics'!I39,'Balance Sheet'!I14)=2,'Derived Metrics'!I39-'Balance Sheet'!I14,"")</f>
        <v>146</v>
      </c>
      <c r="J38" s="34">
        <f>IF(COUNT('Derived Metrics'!J39,'Balance Sheet'!J14)=2,'Derived Metrics'!J39-'Balance Sheet'!J14,"")</f>
        <v>50</v>
      </c>
      <c r="K38" s="34">
        <f>IF(COUNT('Derived Metrics'!K39,'Balance Sheet'!K14)=2,'Derived Metrics'!K39-'Balance Sheet'!K14,"")</f>
        <v>48</v>
      </c>
      <c r="L38" s="34">
        <f>IF(COUNT('Derived Metrics'!L39,'Balance Sheet'!L14)=2,'Derived Metrics'!L39-'Balance Sheet'!L14,"")</f>
        <v>45</v>
      </c>
      <c r="M38" s="15"/>
      <c r="N38" s="34">
        <f>IF(COUNT('Derived Metrics'!N39,'Balance Sheet'!N14)=2,'Derived Metrics'!N39-'Balance Sheet'!N14,"")</f>
        <v>83</v>
      </c>
      <c r="O38" s="34">
        <f>IF(COUNT('Derived Metrics'!O39,'Balance Sheet'!O14)=2,'Derived Metrics'!O39-'Balance Sheet'!O14,"")</f>
        <v>65</v>
      </c>
      <c r="P38" s="34">
        <f>IF(COUNT('Derived Metrics'!P39,'Balance Sheet'!P14)=2,'Derived Metrics'!P39-'Balance Sheet'!P14,"")</f>
        <v>35</v>
      </c>
      <c r="Q38" s="34">
        <f>IF(COUNT('Derived Metrics'!Q39,'Balance Sheet'!Q14)=2,'Derived Metrics'!Q39-'Balance Sheet'!Q14,"")</f>
        <v>48</v>
      </c>
      <c r="R38" s="34">
        <f>IF(COUNT('Derived Metrics'!R39,'Balance Sheet'!R14)=2,'Derived Metrics'!R39-'Balance Sheet'!R14,"")</f>
        <v>51</v>
      </c>
      <c r="S38" s="34">
        <f>IF(COUNT('Derived Metrics'!S39,'Balance Sheet'!S14)=2,'Derived Metrics'!S39-'Balance Sheet'!S14,"")</f>
        <v>81</v>
      </c>
      <c r="T38" s="34">
        <f>IF(COUNT('Derived Metrics'!T39,'Balance Sheet'!T14)=2,'Derived Metrics'!T39-'Balance Sheet'!T14,"")</f>
        <v>45</v>
      </c>
      <c r="U38" s="34">
        <f>IF(COUNT('Derived Metrics'!U39,'Balance Sheet'!U14)=2,'Derived Metrics'!U39-'Balance Sheet'!U14,"")</f>
        <v>45</v>
      </c>
      <c r="V38" s="34">
        <f>IF(COUNT('Derived Metrics'!V39,'Balance Sheet'!V14)=2,'Derived Metrics'!V39-'Balance Sheet'!V14,"")</f>
        <v>76</v>
      </c>
      <c r="W38" s="34">
        <f>IF(COUNT('Derived Metrics'!W39,'Balance Sheet'!W14)=2,'Derived Metrics'!W39-'Balance Sheet'!W14,"")</f>
        <v>52</v>
      </c>
      <c r="X38" s="34">
        <f>IF(COUNT('Derived Metrics'!X39,'Balance Sheet'!X14)=2,'Derived Metrics'!X39-'Balance Sheet'!X14,"")</f>
        <v>53</v>
      </c>
    </row>
    <row r="39" spans="1:24" ht="22" customHeight="1">
      <c r="A39" s="3" t="s">
        <v>399</v>
      </c>
      <c r="B39" s="1"/>
      <c r="C39" s="34">
        <f>IF(COUNT('Cash Flow'!C89)=1,'Cash Flow'!C89,"")</f>
        <v>9169</v>
      </c>
      <c r="D39" s="34">
        <f>IF(COUNT('Cash Flow'!D89)=1,'Cash Flow'!D89,"")</f>
        <v>10657</v>
      </c>
      <c r="E39" s="34">
        <f>IF(COUNT('Cash Flow'!E89)=1,'Cash Flow'!E89,"")</f>
        <v>10769</v>
      </c>
      <c r="F39" s="34">
        <f>IF(COUNT('Cash Flow'!F89)=1,'Cash Flow'!F89,"")</f>
        <v>5570</v>
      </c>
      <c r="G39" s="34">
        <f>IF(COUNT('Cash Flow'!G89)=1,'Cash Flow'!G89,"")</f>
        <v>8254</v>
      </c>
      <c r="H39" s="34">
        <f>IF(COUNT('Cash Flow'!H89)=1,'Cash Flow'!H89,"")</f>
        <v>5707</v>
      </c>
      <c r="I39" s="34">
        <f>IF(COUNT('Cash Flow'!I89)=1,'Cash Flow'!I89,"")</f>
        <v>5100</v>
      </c>
      <c r="J39" s="34">
        <f>IF(COUNT('Cash Flow'!J89)=1,'Cash Flow'!J89,"")</f>
        <v>9761</v>
      </c>
      <c r="K39" s="34">
        <f>IF(COUNT('Cash Flow'!K89)=1,'Cash Flow'!K89,"")</f>
        <v>8553</v>
      </c>
      <c r="L39" s="34">
        <f>IF(COUNT('Cash Flow'!L89)=1,'Cash Flow'!L89,"")</f>
        <v>9204</v>
      </c>
      <c r="M39" s="15"/>
      <c r="N39" s="34">
        <f>IF(COUNT('Cash Flow'!N89)=1,'Cash Flow'!N89,"")</f>
        <v>8130</v>
      </c>
      <c r="O39" s="34">
        <f>IF(COUNT('Cash Flow'!O89)=1,'Cash Flow'!O89,"")</f>
        <v>6418</v>
      </c>
      <c r="P39" s="34">
        <f>IF(COUNT('Cash Flow'!P89)=1,'Cash Flow'!P89,"")</f>
        <v>7343</v>
      </c>
      <c r="Q39" s="34">
        <f>IF(COUNT('Cash Flow'!Q89)=1,'Cash Flow'!Q89,"")</f>
        <v>8553</v>
      </c>
      <c r="R39" s="34">
        <f>IF(COUNT('Cash Flow'!R89)=1,'Cash Flow'!R89,"")</f>
        <v>8319</v>
      </c>
      <c r="S39" s="34">
        <f>IF(COUNT('Cash Flow'!S89)=1,'Cash Flow'!S89,"")</f>
        <v>7712</v>
      </c>
      <c r="T39" s="34">
        <f>IF(COUNT('Cash Flow'!T89)=1,'Cash Flow'!T89,"")</f>
        <v>8171</v>
      </c>
      <c r="U39" s="34">
        <f>IF(COUNT('Cash Flow'!U89)=1,'Cash Flow'!U89,"")</f>
        <v>9204</v>
      </c>
      <c r="V39" s="34">
        <f>IF(COUNT('Cash Flow'!V89)=1,'Cash Flow'!V89,"")</f>
        <v>10551</v>
      </c>
      <c r="W39" s="34">
        <f>IF(COUNT('Cash Flow'!W89)=1,'Cash Flow'!W89,"")</f>
        <v>10303</v>
      </c>
      <c r="X39" s="34">
        <f>IF(COUNT('Cash Flow'!X89)=1,'Cash Flow'!X89,"")</f>
        <v>10728</v>
      </c>
    </row>
    <row r="40" spans="1:24" ht="22" customHeight="1">
      <c r="A40" s="3"/>
      <c r="B40" s="1"/>
      <c r="C40" s="2"/>
      <c r="D40" s="2"/>
      <c r="E40" s="2"/>
      <c r="F40" s="2"/>
      <c r="G40" s="2"/>
      <c r="H40" s="2"/>
      <c r="I40" s="2"/>
      <c r="J40" s="2"/>
      <c r="K40" s="2"/>
      <c r="L40" s="2"/>
      <c r="M40" s="2"/>
      <c r="N40" s="2"/>
      <c r="O40" s="2"/>
      <c r="P40" s="2"/>
      <c r="Q40" s="2"/>
      <c r="R40" s="2"/>
      <c r="S40" s="2"/>
      <c r="T40" s="2"/>
      <c r="U40" s="2"/>
      <c r="V40" s="2"/>
      <c r="W40" s="2"/>
      <c r="X40" s="2"/>
    </row>
    <row r="41" spans="1:24" ht="22" customHeight="1">
      <c r="A41" s="174" t="s">
        <v>377</v>
      </c>
      <c r="B41" s="174"/>
      <c r="C41" s="175"/>
      <c r="D41" s="175"/>
      <c r="E41" s="175"/>
      <c r="F41" s="175"/>
      <c r="G41" s="175"/>
      <c r="H41" s="175"/>
      <c r="I41" s="175"/>
      <c r="J41" s="175"/>
      <c r="K41" s="175"/>
      <c r="L41" s="175"/>
      <c r="M41" s="175"/>
      <c r="N41" s="175"/>
      <c r="O41" s="175"/>
      <c r="P41" s="175"/>
      <c r="Q41" s="175"/>
      <c r="R41" s="175"/>
      <c r="S41" s="175"/>
      <c r="T41" s="175"/>
      <c r="U41" s="175"/>
      <c r="V41" s="175"/>
      <c r="W41" s="175"/>
      <c r="X41" s="175"/>
    </row>
    <row r="42" spans="1:24" ht="18" customHeight="1">
      <c r="A42" s="163" t="s">
        <v>400</v>
      </c>
      <c r="B42" s="163"/>
      <c r="C42" s="173"/>
      <c r="D42" s="173"/>
      <c r="E42" s="173"/>
      <c r="F42" s="173"/>
      <c r="G42" s="173"/>
      <c r="H42" s="173"/>
      <c r="I42" s="173"/>
      <c r="J42" s="173"/>
      <c r="K42" s="173"/>
      <c r="L42" s="173"/>
      <c r="M42" s="173"/>
      <c r="N42" s="173"/>
      <c r="O42" s="173"/>
      <c r="P42" s="173"/>
      <c r="Q42" s="173"/>
      <c r="R42" s="173"/>
      <c r="S42" s="173"/>
      <c r="T42" s="173"/>
      <c r="U42" s="173"/>
      <c r="V42" s="173"/>
      <c r="W42" s="173"/>
      <c r="X42" s="173"/>
    </row>
    <row r="43" spans="1:24" ht="36" customHeight="1">
      <c r="A43" s="3" t="s">
        <v>401</v>
      </c>
      <c r="B43" s="1"/>
      <c r="C43" s="14"/>
      <c r="D43" s="14"/>
      <c r="E43" s="14"/>
      <c r="F43" s="14"/>
      <c r="G43" s="14"/>
      <c r="H43" s="34">
        <f>IF(COUNT('Note Schedules'!H50)=1,'Note Schedules'!H50,"")</f>
        <v>277</v>
      </c>
      <c r="I43" s="34">
        <f>IF(COUNT('Note Schedules'!I50)=1,'Note Schedules'!I50,"")</f>
        <v>813</v>
      </c>
      <c r="J43" s="34">
        <f>IF(COUNT('Note Schedules'!J50)=1,'Note Schedules'!J50,"")</f>
        <v>1616</v>
      </c>
      <c r="K43" s="34">
        <f>IF(COUNT('Note Schedules'!K50)=1,'Note Schedules'!K50,"")</f>
        <v>1346</v>
      </c>
      <c r="L43" s="34">
        <f>IF(COUNT('Note Schedules'!L50)=1,'Note Schedules'!L50,"")</f>
        <v>2526</v>
      </c>
      <c r="M43" s="15"/>
      <c r="N43" s="14"/>
      <c r="O43" s="14"/>
      <c r="P43" s="14"/>
      <c r="Q43" s="13">
        <f>IF(COUNT('Derived Metrics'!K43)=1,'Derived Metrics'!K43,"")</f>
        <v>1346</v>
      </c>
      <c r="R43" s="14"/>
      <c r="S43" s="14"/>
      <c r="T43" s="14"/>
      <c r="U43" s="13">
        <f>IF(COUNT('Derived Metrics'!L43)=1,'Derived Metrics'!L43,"")</f>
        <v>2526</v>
      </c>
      <c r="V43" s="14"/>
      <c r="W43" s="14"/>
      <c r="X43" s="14"/>
    </row>
    <row r="44" spans="1:24" ht="22" customHeight="1">
      <c r="A44" s="3" t="s">
        <v>402</v>
      </c>
      <c r="B44" s="1"/>
      <c r="C44" s="14"/>
      <c r="D44" s="14"/>
      <c r="E44" s="14"/>
      <c r="F44" s="14"/>
      <c r="G44" s="14"/>
      <c r="H44" s="34">
        <f>IF(COUNT('Balance Sheet'!H15,'Balance Sheet'!H33,'Derived Metrics'!H43)=3,'Balance Sheet'!H15+'Balance Sheet'!H33+'Derived Metrics'!H43,"")</f>
        <v>3019</v>
      </c>
      <c r="I44" s="34">
        <f>IF(COUNT('Balance Sheet'!I15,'Balance Sheet'!I33,'Derived Metrics'!I43)=3,'Balance Sheet'!I15+'Balance Sheet'!I33+'Derived Metrics'!I43,"")</f>
        <v>4280</v>
      </c>
      <c r="J44" s="34">
        <f>IF(COUNT('Balance Sheet'!J15,'Balance Sheet'!J33,'Derived Metrics'!J43)=3,'Balance Sheet'!J15+'Balance Sheet'!J33+'Derived Metrics'!J43,"")</f>
        <v>4622</v>
      </c>
      <c r="K44" s="34">
        <f>IF(COUNT('Balance Sheet'!K15,'Balance Sheet'!K33,'Derived Metrics'!K43)=3,'Balance Sheet'!K15+'Balance Sheet'!K33+'Derived Metrics'!K43,"")</f>
        <v>4092</v>
      </c>
      <c r="L44" s="34">
        <f>IF(COUNT('Balance Sheet'!L15,'Balance Sheet'!L33,'Derived Metrics'!L43)=3,'Balance Sheet'!L15+'Balance Sheet'!L33+'Derived Metrics'!L43,"")</f>
        <v>4935</v>
      </c>
      <c r="M44" s="15"/>
      <c r="N44" s="14"/>
      <c r="O44" s="14"/>
      <c r="P44" s="14"/>
      <c r="Q44" s="13">
        <f>IF(COUNT('Derived Metrics'!K44)=1,'Derived Metrics'!K44,"")</f>
        <v>4092</v>
      </c>
      <c r="R44" s="14"/>
      <c r="S44" s="14"/>
      <c r="T44" s="14"/>
      <c r="U44" s="13">
        <f>IF(COUNT('Derived Metrics'!L44)=1,'Derived Metrics'!L44,"")</f>
        <v>4935</v>
      </c>
      <c r="V44" s="14"/>
      <c r="W44" s="14"/>
      <c r="X44" s="14"/>
    </row>
    <row r="45" spans="1:24" ht="24" customHeight="1">
      <c r="A45" s="16" t="s">
        <v>403</v>
      </c>
      <c r="B45" s="17"/>
      <c r="C45" s="18"/>
      <c r="D45" s="18"/>
      <c r="E45" s="18"/>
      <c r="F45" s="18"/>
      <c r="G45" s="18"/>
      <c r="H45" s="38">
        <f>IF(COUNT('Balance Sheet'!H36,'Derived Metrics'!H39,'Derived Metrics'!H44)=3,'Balance Sheet'!H36-'Derived Metrics'!H39-'Derived Metrics'!H44,"")</f>
        <v>83651</v>
      </c>
      <c r="I45" s="38">
        <f>IF(COUNT('Balance Sheet'!I36,'Derived Metrics'!I39,'Derived Metrics'!I44)=3,'Balance Sheet'!I36-'Derived Metrics'!I39-'Derived Metrics'!I44,"")</f>
        <v>82807</v>
      </c>
      <c r="J45" s="38">
        <f>IF(COUNT('Balance Sheet'!J36,'Derived Metrics'!J39,'Derived Metrics'!J44)=3,'Balance Sheet'!J36-'Derived Metrics'!J39-'Derived Metrics'!J44,"")</f>
        <v>86112</v>
      </c>
      <c r="K45" s="38">
        <f>IF(COUNT('Balance Sheet'!K36,'Derived Metrics'!K39,'Derived Metrics'!K44)=3,'Balance Sheet'!K36-'Derived Metrics'!K39-'Derived Metrics'!K44,"")</f>
        <v>86822</v>
      </c>
      <c r="L45" s="38">
        <f>IF(COUNT('Balance Sheet'!L36,'Derived Metrics'!L39,'Derived Metrics'!L44)=3,'Balance Sheet'!L36-'Derived Metrics'!L39-'Derived Metrics'!L44,"")</f>
        <v>93260</v>
      </c>
      <c r="M45" s="20"/>
      <c r="N45" s="18"/>
      <c r="O45" s="18"/>
      <c r="P45" s="18"/>
      <c r="Q45" s="19">
        <f>IF(COUNT('Derived Metrics'!K45)=1,'Derived Metrics'!K45,"")</f>
        <v>86822</v>
      </c>
      <c r="R45" s="18"/>
      <c r="S45" s="18"/>
      <c r="T45" s="18"/>
      <c r="U45" s="19">
        <f>IF(COUNT('Derived Metrics'!L45)=1,'Derived Metrics'!L45,"")</f>
        <v>93260</v>
      </c>
      <c r="V45" s="18"/>
      <c r="W45" s="18"/>
      <c r="X45" s="18"/>
    </row>
    <row r="46" spans="1:24" ht="22" customHeight="1">
      <c r="A46" s="3" t="s">
        <v>404</v>
      </c>
      <c r="B46" s="1"/>
      <c r="C46" s="14"/>
      <c r="D46" s="14"/>
      <c r="E46" s="14"/>
      <c r="F46" s="14"/>
      <c r="G46" s="14"/>
      <c r="H46" s="14"/>
      <c r="I46" s="13">
        <f>IF(COUNT('Derived Metrics'!H45)=1,'Derived Metrics'!H45,"")</f>
        <v>83651</v>
      </c>
      <c r="J46" s="13">
        <f>IF(COUNT('Derived Metrics'!I45)=1,'Derived Metrics'!I45,"")</f>
        <v>82807</v>
      </c>
      <c r="K46" s="13">
        <f>IF(COUNT('Derived Metrics'!J45)=1,'Derived Metrics'!J45,"")</f>
        <v>86112</v>
      </c>
      <c r="L46" s="13">
        <f>IF(COUNT('Derived Metrics'!K45)=1,'Derived Metrics'!K45,"")</f>
        <v>86822</v>
      </c>
      <c r="M46" s="15"/>
      <c r="N46" s="14"/>
      <c r="O46" s="14"/>
      <c r="P46" s="14"/>
      <c r="Q46" s="13">
        <f>IF(COUNT('Derived Metrics'!K46)=1,'Derived Metrics'!K46,"")</f>
        <v>86112</v>
      </c>
      <c r="R46" s="14"/>
      <c r="S46" s="14"/>
      <c r="T46" s="14"/>
      <c r="U46" s="13">
        <f>IF(COUNT('Derived Metrics'!L46)=1,'Derived Metrics'!L46,"")</f>
        <v>86822</v>
      </c>
      <c r="V46" s="14"/>
      <c r="W46" s="14"/>
      <c r="X46" s="14"/>
    </row>
    <row r="47" spans="1:24" ht="22" customHeight="1">
      <c r="A47" s="3" t="s">
        <v>405</v>
      </c>
      <c r="B47" s="1"/>
      <c r="C47" s="14"/>
      <c r="D47" s="14"/>
      <c r="E47" s="14"/>
      <c r="F47" s="14"/>
      <c r="G47" s="14"/>
      <c r="H47" s="14"/>
      <c r="I47" s="13">
        <f>IF(COUNT('Derived Metrics'!I45,'Derived Metrics'!I46)=2,('Derived Metrics'!I45+'Derived Metrics'!I46)/2,"")</f>
        <v>83229</v>
      </c>
      <c r="J47" s="13">
        <f>IF(COUNT('Derived Metrics'!J45,'Derived Metrics'!J46)=2,('Derived Metrics'!J45+'Derived Metrics'!J46)/2,"")</f>
        <v>84459.5</v>
      </c>
      <c r="K47" s="13">
        <f>IF(COUNT('Derived Metrics'!K45,'Derived Metrics'!K46)=2,('Derived Metrics'!K45+'Derived Metrics'!K46)/2,"")</f>
        <v>86467</v>
      </c>
      <c r="L47" s="13">
        <f>IF(COUNT('Derived Metrics'!L45,'Derived Metrics'!L46)=2,('Derived Metrics'!L45+'Derived Metrics'!L46)/2,"")</f>
        <v>90041</v>
      </c>
      <c r="M47" s="15"/>
      <c r="N47" s="14"/>
      <c r="O47" s="14"/>
      <c r="P47" s="14"/>
      <c r="Q47" s="13">
        <f>IF(COUNT('Derived Metrics'!K47)=1,'Derived Metrics'!K47,"")</f>
        <v>86467</v>
      </c>
      <c r="R47" s="14"/>
      <c r="S47" s="14"/>
      <c r="T47" s="14"/>
      <c r="U47" s="13">
        <f>IF(COUNT('Derived Metrics'!L47)=1,'Derived Metrics'!L47,"")</f>
        <v>90041</v>
      </c>
      <c r="V47" s="14"/>
      <c r="W47" s="14"/>
      <c r="X47" s="14"/>
    </row>
    <row r="48" spans="1:24" ht="24" customHeight="1">
      <c r="A48" s="16" t="s">
        <v>406</v>
      </c>
      <c r="B48" s="17"/>
      <c r="C48" s="38">
        <f>IF(COUNT('Income Statement'!C21,'Income Statement'!C28)=2,'Income Statement'!C21-'Income Statement'!C28,"")</f>
        <v>7630</v>
      </c>
      <c r="D48" s="38">
        <f>IF(COUNT('Income Statement'!D21,'Income Statement'!D28)=2,'Income Statement'!D21-'Income Statement'!D28,"")</f>
        <v>5582</v>
      </c>
      <c r="E48" s="38">
        <f>IF(COUNT('Income Statement'!E21,'Income Statement'!E28)=2,'Income Statement'!E21-'Income Statement'!E28,"")</f>
        <v>13480</v>
      </c>
      <c r="F48" s="38">
        <f>IF(COUNT('Income Statement'!F21,'Income Statement'!F28)=2,'Income Statement'!F21-'Income Statement'!F28,"")</f>
        <v>8332</v>
      </c>
      <c r="G48" s="38">
        <f>IF(COUNT('Income Statement'!G21,'Income Statement'!G28)=2,'Income Statement'!G21-'Income Statement'!G28,"")</f>
        <v>8186</v>
      </c>
      <c r="H48" s="38">
        <f>IF(COUNT('Income Statement'!H21,'Income Statement'!H28)=2,'Income Statement'!H21-'Income Statement'!H28,"")</f>
        <v>9020</v>
      </c>
      <c r="I48" s="38">
        <f>IF(COUNT('Income Statement'!I21,'Income Statement'!I28)=2,'Income Statement'!I21-'Income Statement'!I28,"")</f>
        <v>9785</v>
      </c>
      <c r="J48" s="38">
        <f>IF(COUNT('Income Statement'!J21,'Income Statement'!J28)=2,'Income Statement'!J21-'Income Statement'!J28,"")</f>
        <v>9724</v>
      </c>
      <c r="K48" s="38">
        <f>IF(COUNT('Income Statement'!K21,'Income Statement'!K28)=2,'Income Statement'!K21-'Income Statement'!K28,"")</f>
        <v>10567</v>
      </c>
      <c r="L48" s="38">
        <f>IF(COUNT('Income Statement'!L21,'Income Statement'!L28)=2,'Income Statement'!L21-'Income Statement'!L28,"")</f>
        <v>9549</v>
      </c>
      <c r="M48" s="20"/>
      <c r="N48" s="38">
        <f>IF(COUNT('Income Statement'!N21,'Income Statement'!N28)=2,'Income Statement'!N21-'Income Statement'!N28,"")</f>
        <v>2197</v>
      </c>
      <c r="O48" s="38">
        <f>IF(COUNT('Income Statement'!O21,'Income Statement'!O28)=2,'Income Statement'!O21-'Income Statement'!O28,"")</f>
        <v>3272</v>
      </c>
      <c r="P48" s="38">
        <f>IF(COUNT('Income Statement'!P21,'Income Statement'!P28)=2,'Income Statement'!P21-'Income Statement'!P28,"")</f>
        <v>3123</v>
      </c>
      <c r="Q48" s="38">
        <f>IF(COUNT('Income Statement'!Q21,'Income Statement'!Q28)=2,'Income Statement'!Q21-'Income Statement'!Q28,"")</f>
        <v>1975</v>
      </c>
      <c r="R48" s="38">
        <f>IF(COUNT('Income Statement'!R21,'Income Statement'!R28)=2,'Income Statement'!R21-'Income Statement'!R28,"")</f>
        <v>2084</v>
      </c>
      <c r="S48" s="38">
        <f>IF(COUNT('Income Statement'!S21,'Income Statement'!S28)=2,'Income Statement'!S21-'Income Statement'!S28,"")</f>
        <v>1497</v>
      </c>
      <c r="T48" s="38">
        <f>IF(COUNT('Income Statement'!T21,'Income Statement'!T28)=2,'Income Statement'!T21-'Income Statement'!T28,"")</f>
        <v>2856</v>
      </c>
      <c r="U48" s="38">
        <f>IF(COUNT('Income Statement'!U21,'Income Statement'!U28)=2,'Income Statement'!U21-'Income Statement'!U28,"")</f>
        <v>3112</v>
      </c>
      <c r="V48" s="38">
        <f>IF(COUNT('Income Statement'!V21,'Income Statement'!V28)=2,'Income Statement'!V21-'Income Statement'!V28,"")</f>
        <v>2581</v>
      </c>
      <c r="W48" s="38">
        <f>IF(COUNT('Income Statement'!W21,'Income Statement'!W28)=2,'Income Statement'!W21-'Income Statement'!W28,"")</f>
        <v>3175</v>
      </c>
      <c r="X48" s="38">
        <f>IF(COUNT('Income Statement'!X21,'Income Statement'!X28)=2,'Income Statement'!X21-'Income Statement'!X28,"")</f>
        <v>3426</v>
      </c>
    </row>
    <row r="49" spans="1:24" ht="24" customHeight="1">
      <c r="A49" s="28" t="s">
        <v>407</v>
      </c>
      <c r="B49" s="17"/>
      <c r="C49" s="29"/>
      <c r="D49" s="29"/>
      <c r="E49" s="29"/>
      <c r="F49" s="29"/>
      <c r="G49" s="29"/>
      <c r="H49" s="29"/>
      <c r="I49" s="31">
        <f>IF(COUNT('Derived Metrics'!I48,'Derived Metrics'!I47)=2,IF('Derived Metrics'!I47&lt;&gt;0,'Derived Metrics'!I48/'Derived Metrics'!I47,""),"")</f>
        <v>0.11756719412704707</v>
      </c>
      <c r="J49" s="31">
        <f>IF(COUNT('Derived Metrics'!J48,'Derived Metrics'!J47)=2,IF('Derived Metrics'!J47&lt;&gt;0,'Derived Metrics'!J48/'Derived Metrics'!J47,""),"")</f>
        <v>0.11513210473658973</v>
      </c>
      <c r="K49" s="31">
        <f>IF(COUNT('Derived Metrics'!K48,'Derived Metrics'!K47)=2,IF('Derived Metrics'!K47&lt;&gt;0,'Derived Metrics'!K48/'Derived Metrics'!K47,""),"")</f>
        <v>0.12220847259648189</v>
      </c>
      <c r="L49" s="31">
        <f>IF(COUNT('Derived Metrics'!L48,'Derived Metrics'!L47)=2,IF('Derived Metrics'!L47&lt;&gt;0,'Derived Metrics'!L48/'Derived Metrics'!L47,""),"")</f>
        <v>0.10605168756455392</v>
      </c>
      <c r="M49" s="30"/>
      <c r="N49" s="29"/>
      <c r="O49" s="29"/>
      <c r="P49" s="29"/>
      <c r="Q49" s="31">
        <f>IF(COUNT('Derived Metrics'!K49)=1,'Derived Metrics'!K49,"")</f>
        <v>0.12220847259648189</v>
      </c>
      <c r="R49" s="29"/>
      <c r="S49" s="29"/>
      <c r="T49" s="29"/>
      <c r="U49" s="31">
        <f>IF(COUNT('Derived Metrics'!L49)=1,'Derived Metrics'!L49,"")</f>
        <v>0.10605168756455392</v>
      </c>
      <c r="V49" s="29"/>
      <c r="W49" s="29"/>
      <c r="X49" s="29"/>
    </row>
    <row r="50" spans="1:24" ht="20" customHeight="1">
      <c r="A50" s="21" t="s">
        <v>408</v>
      </c>
      <c r="B50" s="1"/>
      <c r="C50" s="35"/>
      <c r="D50" s="35"/>
      <c r="E50" s="35"/>
      <c r="F50" s="35"/>
      <c r="G50" s="35"/>
      <c r="H50" s="35"/>
      <c r="I50" s="36">
        <f>IF(COUNT('Income Statement'!I13,'Derived Metrics'!I47)=2,IF('Derived Metrics'!I47&lt;&gt;0,'Income Statement'!I13/'Derived Metrics'!I47,""),"")</f>
        <v>1.0380035804827645</v>
      </c>
      <c r="J50" s="36">
        <f>IF(COUNT('Income Statement'!J13,'Derived Metrics'!J47)=2,IF('Derived Metrics'!J47&lt;&gt;0,'Income Statement'!J13/'Derived Metrics'!J47,""),"")</f>
        <v>1.0830161201522623</v>
      </c>
      <c r="K50" s="36">
        <f>IF(COUNT('Income Statement'!K13,'Derived Metrics'!K47)=2,IF('Derived Metrics'!K47&lt;&gt;0,'Income Statement'!K13/'Derived Metrics'!K47,""),"")</f>
        <v>1.0623012247447003</v>
      </c>
      <c r="L50" s="36">
        <f>IF(COUNT('Income Statement'!L13,'Derived Metrics'!L47)=2,IF('Derived Metrics'!L47&lt;&gt;0,'Income Statement'!L13/'Derived Metrics'!L47,""),"")</f>
        <v>1.0431359047545008</v>
      </c>
      <c r="M50" s="37"/>
      <c r="N50" s="35"/>
      <c r="O50" s="35"/>
      <c r="P50" s="35"/>
      <c r="Q50" s="39">
        <f>IF(COUNT('Derived Metrics'!K50)=1,'Derived Metrics'!K50,"")</f>
        <v>1.0623012247447003</v>
      </c>
      <c r="R50" s="35"/>
      <c r="S50" s="35"/>
      <c r="T50" s="35"/>
      <c r="U50" s="39">
        <f>IF(COUNT('Derived Metrics'!L50)=1,'Derived Metrics'!L50,"")</f>
        <v>1.0431359047545008</v>
      </c>
      <c r="V50" s="35"/>
      <c r="W50" s="35"/>
      <c r="X50" s="35"/>
    </row>
    <row r="51" spans="1:24" ht="36" customHeight="1">
      <c r="A51" s="21" t="s">
        <v>409</v>
      </c>
      <c r="B51" s="1"/>
      <c r="C51" s="32">
        <f>IF(COUNT('Balance Sheet'!C55,'Note Schedules'!C311,'Income Statement'!C31)=3,IF(('Balance Sheet'!C55+'Note Schedules'!C311)/2&lt;&gt;0,'Income Statement'!C31/(('Balance Sheet'!C55+'Note Schedules'!C311)/2),""),"")</f>
        <v>0.54293557519087243</v>
      </c>
      <c r="D51" s="32">
        <f>IF(COUNT('Balance Sheet'!D55,'Balance Sheet'!C55,'Income Statement'!D31)=3,IF(('Balance Sheet'!D55+'Balance Sheet'!C55)/2&lt;&gt;0,'Income Statement'!D31/(('Balance Sheet'!D55+'Balance Sheet'!C55)/2),""),"")</f>
        <v>0.43578125700955544</v>
      </c>
      <c r="E51" s="32">
        <f>IF(COUNT('Balance Sheet'!E55,'Balance Sheet'!D55,'Income Statement'!E31)=3,IF(('Balance Sheet'!E55+'Balance Sheet'!D55)/2&lt;&gt;0,'Income Statement'!E31/(('Balance Sheet'!E55+'Balance Sheet'!D55)/2),""),"")</f>
        <v>0.97914955208700072</v>
      </c>
      <c r="F51" s="32">
        <f>IF(COUNT('Balance Sheet'!F55,'Balance Sheet'!E55,'Income Statement'!F31)=3,IF(('Balance Sheet'!F55+'Balance Sheet'!E55)/2&lt;&gt;0,'Income Statement'!F31/(('Balance Sheet'!F55+'Balance Sheet'!E55)/2),""),"")</f>
        <v>0.49918099918099917</v>
      </c>
      <c r="G51" s="32">
        <f>IF(COUNT('Balance Sheet'!G55,'Balance Sheet'!F55,'Income Statement'!G31)=3,IF(('Balance Sheet'!G55+'Balance Sheet'!F55)/2&lt;&gt;0,'Income Statement'!G31/(('Balance Sheet'!G55+'Balance Sheet'!F55)/2),""),"")</f>
        <v>0.50424929178470257</v>
      </c>
      <c r="H51" s="32">
        <f>IF(COUNT('Balance Sheet'!H55,'Balance Sheet'!G55,'Income Statement'!H31)=3,IF(('Balance Sheet'!H55+'Balance Sheet'!G55)/2&lt;&gt;0,'Income Statement'!H31/(('Balance Sheet'!H55+'Balance Sheet'!G55)/2),""),"")</f>
        <v>0.51652710445130012</v>
      </c>
      <c r="I51" s="32">
        <f>IF(COUNT('Balance Sheet'!I55,'Balance Sheet'!H55,'Income Statement'!I31)=3,IF(('Balance Sheet'!I55+'Balance Sheet'!H55)/2&lt;&gt;0,'Income Statement'!I31/(('Balance Sheet'!I55+'Balance Sheet'!H55)/2),""),"")</f>
        <v>0.53687635574837311</v>
      </c>
      <c r="J51" s="32">
        <f>IF(COUNT('Balance Sheet'!J55,'Balance Sheet'!I55,'Income Statement'!J31)=3,IF(('Balance Sheet'!J55+'Balance Sheet'!I55)/2&lt;&gt;0,'Income Statement'!J31/(('Balance Sheet'!J55+'Balance Sheet'!I55)/2),""),"")</f>
        <v>0.50903175137439693</v>
      </c>
      <c r="K51" s="32">
        <f>IF(COUNT('Balance Sheet'!K55,'Balance Sheet'!J55,'Income Statement'!K31)=3,IF(('Balance Sheet'!K55+'Balance Sheet'!J55)/2&lt;&gt;0,'Income Statement'!K31/(('Balance Sheet'!K55+'Balance Sheet'!J55)/2),""),"")</f>
        <v>0.52419001751313488</v>
      </c>
      <c r="L51" s="32">
        <f>IF(COUNT('Balance Sheet'!L55,'Balance Sheet'!K55,'Income Statement'!L31)=3,IF(('Balance Sheet'!L55+'Balance Sheet'!K55)/2&lt;&gt;0,'Income Statement'!L31/(('Balance Sheet'!L55+'Balance Sheet'!K55)/2),""),"")</f>
        <v>0.42864202668608736</v>
      </c>
      <c r="M51" s="24"/>
      <c r="N51" s="22"/>
      <c r="O51" s="22"/>
      <c r="P51" s="22"/>
      <c r="Q51" s="23">
        <f>IF(COUNT('Derived Metrics'!K51)=1,'Derived Metrics'!K51,"")</f>
        <v>0.52419001751313488</v>
      </c>
      <c r="R51" s="22"/>
      <c r="S51" s="22"/>
      <c r="T51" s="22"/>
      <c r="U51" s="23">
        <f>IF(COUNT('Derived Metrics'!L51)=1,'Derived Metrics'!L51,"")</f>
        <v>0.42864202668608736</v>
      </c>
      <c r="V51" s="22"/>
      <c r="W51" s="22"/>
      <c r="X51" s="22"/>
    </row>
    <row r="52" spans="1:24" ht="22" customHeight="1">
      <c r="A52" s="3"/>
      <c r="B52" s="1"/>
      <c r="C52" s="2"/>
      <c r="D52" s="2"/>
      <c r="E52" s="2"/>
      <c r="F52" s="2"/>
      <c r="G52" s="2"/>
      <c r="H52" s="2"/>
      <c r="I52" s="2"/>
      <c r="J52" s="2"/>
      <c r="K52" s="2"/>
      <c r="L52" s="2"/>
      <c r="M52" s="2"/>
      <c r="N52" s="2"/>
      <c r="O52" s="2"/>
      <c r="P52" s="2"/>
      <c r="Q52" s="2"/>
      <c r="R52" s="2"/>
      <c r="S52" s="2"/>
      <c r="T52" s="2"/>
      <c r="U52" s="2"/>
      <c r="V52" s="2"/>
      <c r="W52" s="2"/>
      <c r="X52" s="2"/>
    </row>
    <row r="53" spans="1:24" ht="22" customHeight="1">
      <c r="A53" s="174" t="s">
        <v>378</v>
      </c>
      <c r="B53" s="174"/>
      <c r="C53" s="175"/>
      <c r="D53" s="175"/>
      <c r="E53" s="175"/>
      <c r="F53" s="175"/>
      <c r="G53" s="175"/>
      <c r="H53" s="175"/>
      <c r="I53" s="175"/>
      <c r="J53" s="175"/>
      <c r="K53" s="175"/>
      <c r="L53" s="175"/>
      <c r="M53" s="175"/>
      <c r="N53" s="175"/>
      <c r="O53" s="175"/>
      <c r="P53" s="175"/>
      <c r="Q53" s="175"/>
      <c r="R53" s="175"/>
      <c r="S53" s="175"/>
      <c r="T53" s="175"/>
      <c r="U53" s="175"/>
      <c r="V53" s="175"/>
      <c r="W53" s="175"/>
      <c r="X53" s="175"/>
    </row>
    <row r="54" spans="1:24" ht="18" customHeight="1">
      <c r="A54" s="163" t="s">
        <v>410</v>
      </c>
      <c r="B54" s="163"/>
      <c r="C54" s="173"/>
      <c r="D54" s="173"/>
      <c r="E54" s="173"/>
      <c r="F54" s="173"/>
      <c r="G54" s="173"/>
      <c r="H54" s="173"/>
      <c r="I54" s="173"/>
      <c r="J54" s="173"/>
      <c r="K54" s="173"/>
      <c r="L54" s="173"/>
      <c r="M54" s="173"/>
      <c r="N54" s="173"/>
      <c r="O54" s="173"/>
      <c r="P54" s="173"/>
      <c r="Q54" s="173"/>
      <c r="R54" s="173"/>
      <c r="S54" s="173"/>
      <c r="T54" s="173"/>
      <c r="U54" s="173"/>
      <c r="V54" s="173"/>
      <c r="W54" s="173"/>
      <c r="X54" s="173"/>
    </row>
    <row r="55" spans="1:24" ht="22" customHeight="1">
      <c r="A55" s="3" t="s">
        <v>411</v>
      </c>
      <c r="B55" s="1"/>
      <c r="C55" s="34">
        <f>IF(COUNT('Balance Sheet'!C24,'Balance Sheet'!C14,'Balance Sheet'!C15)=3,'Balance Sheet'!C24-'Balance Sheet'!C14-'Balance Sheet'!C15,"")</f>
        <v>10325</v>
      </c>
      <c r="D55" s="34">
        <f>IF(COUNT('Balance Sheet'!D24,'Balance Sheet'!D14,'Balance Sheet'!D15,'Balance Sheet'!D16)=4,'Balance Sheet'!D24-'Balance Sheet'!D14-'Balance Sheet'!D15-'Balance Sheet'!D16,"")</f>
        <v>11517</v>
      </c>
      <c r="E55" s="34">
        <f>IF(COUNT('Balance Sheet'!E24,'Balance Sheet'!E14,'Balance Sheet'!E15,'Balance Sheet'!E16)=4,'Balance Sheet'!E24-'Balance Sheet'!E14-'Balance Sheet'!E15-'Balance Sheet'!E16,"")</f>
        <v>10903</v>
      </c>
      <c r="F55" s="34">
        <f>IF(COUNT('Balance Sheet'!F24,'Balance Sheet'!F14,'Balance Sheet'!F15)=3,'Balance Sheet'!F24-'Balance Sheet'!F14-'Balance Sheet'!F15,"")</f>
        <v>11907</v>
      </c>
      <c r="G55" s="34">
        <f>IF(COUNT('Balance Sheet'!G24,'Balance Sheet'!G14,'Balance Sheet'!G15,'Balance Sheet'!G23)=4,'Balance Sheet'!G24-'Balance Sheet'!G14-'Balance Sheet'!G15-'Balance Sheet'!G23,"")</f>
        <v>13450</v>
      </c>
      <c r="H55" s="34">
        <f>IF(COUNT('Balance Sheet'!H24,'Balance Sheet'!H14,'Balance Sheet'!H15,'Balance Sheet'!H23)=4,'Balance Sheet'!H24-'Balance Sheet'!H14-'Balance Sheet'!H15-'Balance Sheet'!H23,"")</f>
        <v>14007</v>
      </c>
      <c r="I55" s="34">
        <f>IF(COUNT('Balance Sheet'!I24,'Balance Sheet'!I14,'Balance Sheet'!I15)=3,'Balance Sheet'!I24-'Balance Sheet'!I14-'Balance Sheet'!I15,"")</f>
        <v>16191</v>
      </c>
      <c r="J55" s="34">
        <f>IF(COUNT('Balance Sheet'!J24,'Balance Sheet'!J14,'Balance Sheet'!J15)=3,'Balance Sheet'!J24-'Balance Sheet'!J14-'Balance Sheet'!J15,"")</f>
        <v>16947</v>
      </c>
      <c r="K55" s="34">
        <f>IF(COUNT('Balance Sheet'!K24,'Balance Sheet'!K14,'Balance Sheet'!K15)=3,'Balance Sheet'!K24-'Balance Sheet'!K14-'Balance Sheet'!K15,"")</f>
        <v>16560</v>
      </c>
      <c r="L55" s="34">
        <f>IF(COUNT('Balance Sheet'!L24,'Balance Sheet'!L14,'Balance Sheet'!L15)=3,'Balance Sheet'!L24-'Balance Sheet'!L14-'Balance Sheet'!L15,"")</f>
        <v>18419</v>
      </c>
      <c r="M55" s="15"/>
      <c r="N55" s="34">
        <f>IF(COUNT('Balance Sheet'!N24,'Balance Sheet'!N14,'Balance Sheet'!N15)=3,'Balance Sheet'!N24-'Balance Sheet'!N14-'Balance Sheet'!N15,"")</f>
        <v>17655</v>
      </c>
      <c r="O55" s="34">
        <f>IF(COUNT('Balance Sheet'!O24,'Balance Sheet'!O14,'Balance Sheet'!O15)=3,'Balance Sheet'!O24-'Balance Sheet'!O14-'Balance Sheet'!O15,"")</f>
        <v>19035</v>
      </c>
      <c r="P55" s="34">
        <f>IF(COUNT('Balance Sheet'!P24,'Balance Sheet'!P14,'Balance Sheet'!P15)=3,'Balance Sheet'!P24-'Balance Sheet'!P14-'Balance Sheet'!P15,"")</f>
        <v>18801</v>
      </c>
      <c r="Q55" s="34">
        <f>IF(COUNT('Balance Sheet'!Q24,'Balance Sheet'!Q14,'Balance Sheet'!Q15)=3,'Balance Sheet'!Q24-'Balance Sheet'!Q14-'Balance Sheet'!Q15,"")</f>
        <v>16560</v>
      </c>
      <c r="R55" s="34">
        <f>IF(COUNT('Balance Sheet'!R24,'Balance Sheet'!R14,'Balance Sheet'!R15)=3,'Balance Sheet'!R24-'Balance Sheet'!R14-'Balance Sheet'!R15,"")</f>
        <v>17706</v>
      </c>
      <c r="S55" s="34">
        <f>IF(COUNT('Balance Sheet'!S24,'Balance Sheet'!S14,'Balance Sheet'!S15)=3,'Balance Sheet'!S24-'Balance Sheet'!S14-'Balance Sheet'!S15,"")</f>
        <v>20237</v>
      </c>
      <c r="T55" s="34">
        <f>IF(COUNT('Balance Sheet'!T24,'Balance Sheet'!T14,'Balance Sheet'!T15)=3,'Balance Sheet'!T24-'Balance Sheet'!T14-'Balance Sheet'!T15,"")</f>
        <v>20061</v>
      </c>
      <c r="U55" s="34">
        <f>IF(COUNT('Balance Sheet'!U24,'Balance Sheet'!U14,'Balance Sheet'!U15)=3,'Balance Sheet'!U24-'Balance Sheet'!U14-'Balance Sheet'!U15,"")</f>
        <v>18419</v>
      </c>
      <c r="V55" s="34">
        <f>IF(COUNT('Balance Sheet'!V24,'Balance Sheet'!V14,'Balance Sheet'!V15)=3,'Balance Sheet'!V24-'Balance Sheet'!V14-'Balance Sheet'!V15,"")</f>
        <v>20088</v>
      </c>
      <c r="W55" s="34">
        <f>IF(COUNT('Balance Sheet'!W24,'Balance Sheet'!W14,'Balance Sheet'!W15)=3,'Balance Sheet'!W24-'Balance Sheet'!W14-'Balance Sheet'!W15,"")</f>
        <v>22059</v>
      </c>
      <c r="X55" s="34">
        <f>IF(COUNT('Balance Sheet'!X24,'Balance Sheet'!X14,'Balance Sheet'!X15)=3,'Balance Sheet'!X24-'Balance Sheet'!X14-'Balance Sheet'!X15,"")</f>
        <v>21396</v>
      </c>
    </row>
    <row r="56" spans="1:24" ht="22" customHeight="1">
      <c r="A56" s="3" t="s">
        <v>412</v>
      </c>
      <c r="B56" s="1"/>
      <c r="C56" s="34">
        <f>IF(COUNT('Note Schedules'!C39)=1,'Note Schedules'!C39,"")</f>
        <v>1097</v>
      </c>
      <c r="D56" s="34">
        <f>IF(COUNT('Note Schedules'!D39)=1,'Note Schedules'!D39,"")</f>
        <v>1161</v>
      </c>
      <c r="E56" s="34">
        <f>IF(COUNT('Note Schedules'!E39)=1,'Note Schedules'!E39,"")</f>
        <v>1329</v>
      </c>
      <c r="F56" s="34">
        <f>IF(COUNT('Note Schedules'!F39)=1,'Note Schedules'!F39,"")</f>
        <v>1351</v>
      </c>
      <c r="G56" s="34">
        <f>IF(COUNT('Note Schedules'!G39)=1,'Note Schedules'!G39,"")</f>
        <v>1430</v>
      </c>
      <c r="H56" s="34">
        <f>IF(COUNT('Note Schedules'!H39)=1,'Note Schedules'!H39,"")</f>
        <v>1508</v>
      </c>
      <c r="I56" s="34">
        <f>IF(COUNT('Note Schedules'!I39)=1,'Note Schedules'!I39,"")</f>
        <v>1610</v>
      </c>
      <c r="J56" s="34">
        <f>IF(COUNT('Note Schedules'!J39)=1,'Note Schedules'!J39,"")</f>
        <v>1767</v>
      </c>
      <c r="K56" s="34">
        <f>IF(COUNT('Note Schedules'!K39)=1,'Note Schedules'!K39,"")</f>
        <v>1885</v>
      </c>
      <c r="L56" s="34">
        <f>IF(COUNT('Note Schedules'!L39)=1,'Note Schedules'!L39,"")</f>
        <v>1967</v>
      </c>
      <c r="M56" s="15"/>
      <c r="N56" s="14"/>
      <c r="O56" s="14"/>
      <c r="P56" s="14"/>
      <c r="Q56" s="13">
        <f>IF(COUNT('Derived Metrics'!K56)=1,'Derived Metrics'!K56,"")</f>
        <v>1885</v>
      </c>
      <c r="R56" s="14"/>
      <c r="S56" s="14"/>
      <c r="T56" s="14"/>
      <c r="U56" s="13">
        <f>IF(COUNT('Derived Metrics'!L56)=1,'Derived Metrics'!L56,"")</f>
        <v>1967</v>
      </c>
      <c r="V56" s="14"/>
      <c r="W56" s="14"/>
      <c r="X56" s="14"/>
    </row>
    <row r="57" spans="1:24" ht="22" customHeight="1">
      <c r="A57" s="3" t="s">
        <v>413</v>
      </c>
      <c r="B57" s="1"/>
      <c r="C57" s="14"/>
      <c r="D57" s="14"/>
      <c r="E57" s="34">
        <f>IF(COUNT('Note Schedules'!E41)=1,'Note Schedules'!E41,"")</f>
        <v>1997</v>
      </c>
      <c r="F57" s="34">
        <f>IF(COUNT('Note Schedules'!F41)=1,'Note Schedules'!F41,"")</f>
        <v>58</v>
      </c>
      <c r="G57" s="14"/>
      <c r="H57" s="14"/>
      <c r="I57" s="14"/>
      <c r="J57" s="14"/>
      <c r="K57" s="14"/>
      <c r="L57" s="14"/>
      <c r="M57" s="15"/>
      <c r="N57" s="14"/>
      <c r="O57" s="14"/>
      <c r="P57" s="14"/>
      <c r="Q57" s="13" t="str">
        <f>IF(COUNT('Derived Metrics'!K57)=1,'Derived Metrics'!K57,"")</f>
        <v/>
      </c>
      <c r="R57" s="14"/>
      <c r="S57" s="14"/>
      <c r="T57" s="14"/>
      <c r="U57" s="13" t="str">
        <f>IF(COUNT('Derived Metrics'!L57)=1,'Derived Metrics'!L57,"")</f>
        <v/>
      </c>
      <c r="V57" s="14"/>
      <c r="W57" s="14"/>
      <c r="X57" s="14"/>
    </row>
    <row r="58" spans="1:24" ht="36" customHeight="1">
      <c r="A58" s="3" t="s">
        <v>414</v>
      </c>
      <c r="B58" s="1"/>
      <c r="C58" s="34">
        <f>IF(COUNT('Balance Sheet'!C41,'Balance Sheet'!C38,'Derived Metrics'!C56)=3,'Balance Sheet'!C41-'Balance Sheet'!C38-'Derived Metrics'!C56,"")</f>
        <v>13146</v>
      </c>
      <c r="D58" s="34">
        <f>IF(COUNT('Balance Sheet'!D41,'Balance Sheet'!D38,'Derived Metrics'!D56)=3,'Balance Sheet'!D41-'Balance Sheet'!D38-'Derived Metrics'!D56,"")</f>
        <v>13856</v>
      </c>
      <c r="E58" s="34">
        <f>IF(COUNT('Balance Sheet'!E41,'Balance Sheet'!E38,'Derived Metrics'!E56,'Derived Metrics'!E57)=4,'Balance Sheet'!E41-'Balance Sheet'!E38-'Derived Metrics'!E56-'Derived Metrics'!E57,"")</f>
        <v>14786</v>
      </c>
      <c r="F58" s="34">
        <f>IF(COUNT('Balance Sheet'!F41,'Balance Sheet'!F38,'Derived Metrics'!F56,'Derived Metrics'!F57)=4,'Balance Sheet'!F41-'Balance Sheet'!F38-'Derived Metrics'!F56-'Derived Metrics'!F57,"")</f>
        <v>16132</v>
      </c>
      <c r="G58" s="34">
        <f>IF(COUNT('Balance Sheet'!G41,'Balance Sheet'!G38,'Derived Metrics'!G56,'Balance Sheet'!G40)=4,'Balance Sheet'!G41-'Balance Sheet'!G38-'Derived Metrics'!G56-'Balance Sheet'!G40,"")</f>
        <v>18162</v>
      </c>
      <c r="H58" s="34">
        <f>IF(COUNT('Balance Sheet'!H41,'Balance Sheet'!H38,'Derived Metrics'!H56,'Balance Sheet'!H40)=4,'Balance Sheet'!H41-'Balance Sheet'!H38-'Derived Metrics'!H56-'Balance Sheet'!H40,"")</f>
        <v>19651</v>
      </c>
      <c r="I58" s="34">
        <f>IF(COUNT('Balance Sheet'!I41,'Balance Sheet'!I38,'Derived Metrics'!I56)=3,'Balance Sheet'!I41-'Balance Sheet'!I38-'Derived Metrics'!I56,"")</f>
        <v>21761</v>
      </c>
      <c r="J58" s="34">
        <f>IF(COUNT('Balance Sheet'!J41,'Balance Sheet'!J38,'Derived Metrics'!J56)=3,'Balance Sheet'!J41-'Balance Sheet'!J38-'Derived Metrics'!J56,"")</f>
        <v>23370</v>
      </c>
      <c r="K58" s="34">
        <f>IF(COUNT('Balance Sheet'!K41,'Balance Sheet'!K38,'Derived Metrics'!K56)=3,'Balance Sheet'!K41-'Balance Sheet'!K38-'Derived Metrics'!K56,"")</f>
        <v>22569</v>
      </c>
      <c r="L58" s="34">
        <f>IF(COUNT('Balance Sheet'!L41,'Balance Sheet'!L38,'Derived Metrics'!L56)=3,'Balance Sheet'!L41-'Balance Sheet'!L38-'Derived Metrics'!L56,"")</f>
        <v>23936</v>
      </c>
      <c r="M58" s="15"/>
      <c r="N58" s="14"/>
      <c r="O58" s="14"/>
      <c r="P58" s="14"/>
      <c r="Q58" s="13">
        <f>IF(COUNT('Derived Metrics'!K58)=1,'Derived Metrics'!K58,"")</f>
        <v>22569</v>
      </c>
      <c r="R58" s="14"/>
      <c r="S58" s="14"/>
      <c r="T58" s="14"/>
      <c r="U58" s="13">
        <f>IF(COUNT('Derived Metrics'!L58)=1,'Derived Metrics'!L58,"")</f>
        <v>23936</v>
      </c>
      <c r="V58" s="14"/>
      <c r="W58" s="14"/>
      <c r="X58" s="14"/>
    </row>
    <row r="59" spans="1:24" ht="36" customHeight="1">
      <c r="A59" s="16" t="s">
        <v>415</v>
      </c>
      <c r="B59" s="17"/>
      <c r="C59" s="19">
        <f>IF(COUNT('Derived Metrics'!C55,'Derived Metrics'!C58)=2,'Derived Metrics'!C55-'Derived Metrics'!C58,"")</f>
        <v>-2821</v>
      </c>
      <c r="D59" s="19">
        <f>IF(COUNT('Derived Metrics'!D55,'Derived Metrics'!D58)=2,'Derived Metrics'!D55-'Derived Metrics'!D58,"")</f>
        <v>-2339</v>
      </c>
      <c r="E59" s="19">
        <f>IF(COUNT('Derived Metrics'!E55,'Derived Metrics'!E58)=2,'Derived Metrics'!E55-'Derived Metrics'!E58,"")</f>
        <v>-3883</v>
      </c>
      <c r="F59" s="19">
        <f>IF(COUNT('Derived Metrics'!F55,'Derived Metrics'!F58)=2,'Derived Metrics'!F55-'Derived Metrics'!F58,"")</f>
        <v>-4225</v>
      </c>
      <c r="G59" s="19">
        <f>IF(COUNT('Derived Metrics'!G55,'Derived Metrics'!G58)=2,'Derived Metrics'!G55-'Derived Metrics'!G58,"")</f>
        <v>-4712</v>
      </c>
      <c r="H59" s="19">
        <f>IF(COUNT('Derived Metrics'!H55,'Derived Metrics'!H58)=2,'Derived Metrics'!H55-'Derived Metrics'!H58,"")</f>
        <v>-5644</v>
      </c>
      <c r="I59" s="19">
        <f>IF(COUNT('Derived Metrics'!I55,'Derived Metrics'!I58)=2,'Derived Metrics'!I55-'Derived Metrics'!I58,"")</f>
        <v>-5570</v>
      </c>
      <c r="J59" s="19">
        <f>IF(COUNT('Derived Metrics'!J55,'Derived Metrics'!J58)=2,'Derived Metrics'!J55-'Derived Metrics'!J58,"")</f>
        <v>-6423</v>
      </c>
      <c r="K59" s="19">
        <f>IF(COUNT('Derived Metrics'!K55,'Derived Metrics'!K58)=2,'Derived Metrics'!K55-'Derived Metrics'!K58,"")</f>
        <v>-6009</v>
      </c>
      <c r="L59" s="19">
        <f>IF(COUNT('Derived Metrics'!L55,'Derived Metrics'!L58)=2,'Derived Metrics'!L55-'Derived Metrics'!L58,"")</f>
        <v>-5517</v>
      </c>
      <c r="M59" s="20"/>
      <c r="N59" s="18"/>
      <c r="O59" s="18"/>
      <c r="P59" s="18"/>
      <c r="Q59" s="19">
        <f>IF(COUNT('Derived Metrics'!K59)=1,'Derived Metrics'!K59,"")</f>
        <v>-6009</v>
      </c>
      <c r="R59" s="18"/>
      <c r="S59" s="18"/>
      <c r="T59" s="18"/>
      <c r="U59" s="19">
        <f>IF(COUNT('Derived Metrics'!L59)=1,'Derived Metrics'!L59,"")</f>
        <v>-5517</v>
      </c>
      <c r="V59" s="18"/>
      <c r="W59" s="18"/>
      <c r="X59" s="18"/>
    </row>
    <row r="60" spans="1:24" ht="20" customHeight="1">
      <c r="A60" s="21" t="s">
        <v>416</v>
      </c>
      <c r="B60" s="1"/>
      <c r="C60" s="32">
        <f>IF(COUNT('Derived Metrics'!C59,'Income Statement'!C13)=2,IF('Income Statement'!C13&lt;&gt;0,'Derived Metrics'!C59/'Income Statement'!C13,""),"")</f>
        <v>-4.4921097469704935E-2</v>
      </c>
      <c r="D60" s="32">
        <f>IF(COUNT('Derived Metrics'!D59,'Income Statement'!D13)=2,IF('Income Statement'!D13&lt;&gt;0,'Derived Metrics'!D59/'Income Statement'!D13,""),"")</f>
        <v>-3.6820149547422278E-2</v>
      </c>
      <c r="E60" s="32">
        <f>IF(COUNT('Derived Metrics'!E59,'Income Statement'!E13)=2,IF('Income Statement'!E13&lt;&gt;0,'Derived Metrics'!E59/'Income Statement'!E13,""),"")</f>
        <v>-6.0051654010918484E-2</v>
      </c>
      <c r="F60" s="32">
        <f>IF(COUNT('Derived Metrics'!F59,'Income Statement'!F13)=2,IF('Income Statement'!F13&lt;&gt;0,'Derived Metrics'!F59/'Income Statement'!F13,""),"")</f>
        <v>-6.2908533226128258E-2</v>
      </c>
      <c r="G60" s="32">
        <f>IF(COUNT('Derived Metrics'!G59,'Income Statement'!G13)=2,IF('Income Statement'!G13&lt;&gt;0,'Derived Metrics'!G59/'Income Statement'!G13,""),"")</f>
        <v>-6.6958449383277441E-2</v>
      </c>
      <c r="H60" s="32">
        <f>IF(COUNT('Derived Metrics'!H59,'Income Statement'!H13)=2,IF('Income Statement'!H13&lt;&gt;0,'Derived Metrics'!H59/'Income Statement'!H13,""),"")</f>
        <v>-7.1016936356544283E-2</v>
      </c>
      <c r="I60" s="32">
        <f>IF(COUNT('Derived Metrics'!I59,'Income Statement'!I13)=2,IF('Income Statement'!I13&lt;&gt;0,'Derived Metrics'!I59/'Income Statement'!I13,""),"")</f>
        <v>-6.4473562366885825E-2</v>
      </c>
      <c r="J60" s="32">
        <f>IF(COUNT('Derived Metrics'!J59,'Income Statement'!J13)=2,IF('Income Statement'!J13&lt;&gt;0,'Derived Metrics'!J59/'Income Statement'!J13,""),"")</f>
        <v>-7.0218976506215086E-2</v>
      </c>
      <c r="K60" s="32">
        <f>IF(COUNT('Derived Metrics'!K59,'Income Statement'!K13)=2,IF('Income Statement'!K13&lt;&gt;0,'Derived Metrics'!K59/'Income Statement'!K13,""),"")</f>
        <v>-6.5419034554837024E-2</v>
      </c>
      <c r="L60" s="32">
        <f>IF(COUNT('Derived Metrics'!L59,'Income Statement'!L13)=2,IF('Income Statement'!L13&lt;&gt;0,'Derived Metrics'!L59/'Income Statement'!L13,""),"")</f>
        <v>-5.8738355070535E-2</v>
      </c>
      <c r="M60" s="24"/>
      <c r="N60" s="22"/>
      <c r="O60" s="22"/>
      <c r="P60" s="22"/>
      <c r="Q60" s="23">
        <f>IF(COUNT('Derived Metrics'!K60)=1,'Derived Metrics'!K60,"")</f>
        <v>-6.5419034554837024E-2</v>
      </c>
      <c r="R60" s="22"/>
      <c r="S60" s="22"/>
      <c r="T60" s="22"/>
      <c r="U60" s="23">
        <f>IF(COUNT('Derived Metrics'!L60)=1,'Derived Metrics'!L60,"")</f>
        <v>-5.8738355070535E-2</v>
      </c>
      <c r="V60" s="22"/>
      <c r="W60" s="22"/>
      <c r="X60" s="22"/>
    </row>
    <row r="61" spans="1:24" ht="22" customHeight="1">
      <c r="A61" s="3" t="s">
        <v>417</v>
      </c>
      <c r="B61" s="1"/>
      <c r="C61" s="34">
        <f>IF(COUNT('Note Schedules'!C19)=1,'Note Schedules'!C19,"")</f>
        <v>5709</v>
      </c>
      <c r="D61" s="34">
        <f>IF(COUNT('Note Schedules'!D19)=1,'Note Schedules'!D19,"")</f>
        <v>5956</v>
      </c>
      <c r="E61" s="34">
        <f>IF(COUNT('Note Schedules'!E19)=1,'Note Schedules'!E19,"")</f>
        <v>6079</v>
      </c>
      <c r="F61" s="34">
        <f>IF(COUNT('Note Schedules'!F19)=1,'Note Schedules'!F19,"")</f>
        <v>6447</v>
      </c>
      <c r="G61" s="34">
        <f>IF(COUNT('Note Schedules'!G19)=1,'Note Schedules'!G19,"")</f>
        <v>6892</v>
      </c>
      <c r="H61" s="34">
        <f>IF(COUNT('Note Schedules'!H19)=1,'Note Schedules'!H19,"")</f>
        <v>7172</v>
      </c>
      <c r="I61" s="34">
        <f>IF(COUNT('Note Schedules'!I19)=1,'Note Schedules'!I19,"")</f>
        <v>8192</v>
      </c>
      <c r="J61" s="34">
        <f>IF(COUNT('Note Schedules'!J19)=1,'Note Schedules'!J19,"")</f>
        <v>8675</v>
      </c>
      <c r="K61" s="34">
        <f>IF(COUNT('Note Schedules'!K19)=1,'Note Schedules'!K19,"")</f>
        <v>8487</v>
      </c>
      <c r="L61" s="34">
        <f>IF(COUNT('Note Schedules'!L19)=1,'Note Schedules'!L19,"")</f>
        <v>9265</v>
      </c>
      <c r="M61" s="15"/>
      <c r="N61" s="14"/>
      <c r="O61" s="14"/>
      <c r="P61" s="14"/>
      <c r="Q61" s="13">
        <f>IF(COUNT('Derived Metrics'!K61)=1,'Derived Metrics'!K61,"")</f>
        <v>8487</v>
      </c>
      <c r="R61" s="14"/>
      <c r="S61" s="14"/>
      <c r="T61" s="14"/>
      <c r="U61" s="13">
        <f>IF(COUNT('Derived Metrics'!L61)=1,'Derived Metrics'!L61,"")</f>
        <v>9265</v>
      </c>
      <c r="V61" s="14"/>
      <c r="W61" s="14"/>
      <c r="X61" s="14"/>
    </row>
    <row r="62" spans="1:24" ht="36" customHeight="1">
      <c r="A62" s="3" t="s">
        <v>418</v>
      </c>
      <c r="B62" s="1"/>
      <c r="C62" s="34">
        <f>IF(COUNT('Note Schedules'!C36)=1,'Note Schedules'!C36,"")</f>
        <v>6158</v>
      </c>
      <c r="D62" s="34">
        <f>IF(COUNT('Note Schedules'!D36)=1,'Note Schedules'!D36,"")</f>
        <v>6727</v>
      </c>
      <c r="E62" s="34">
        <f>IF(COUNT('Note Schedules'!E36)=1,'Note Schedules'!E36,"")</f>
        <v>7213</v>
      </c>
      <c r="F62" s="34">
        <f>IF(COUNT('Note Schedules'!F36)=1,'Note Schedules'!F36,"")</f>
        <v>8013</v>
      </c>
      <c r="G62" s="34">
        <f>IF(COUNT('Note Schedules'!G36)=1,'Note Schedules'!G36,"")</f>
        <v>8853</v>
      </c>
      <c r="H62" s="34">
        <f>IF(COUNT('Note Schedules'!H36)=1,'Note Schedules'!H36,"")</f>
        <v>9834</v>
      </c>
      <c r="I62" s="34">
        <f>IF(COUNT('Note Schedules'!I36)=1,'Note Schedules'!I36,"")</f>
        <v>10732</v>
      </c>
      <c r="J62" s="34">
        <f>IF(COUNT('Note Schedules'!J36)=1,'Note Schedules'!J36,"")</f>
        <v>11635</v>
      </c>
      <c r="K62" s="34">
        <f>IF(COUNT('Note Schedules'!K36)=1,'Note Schedules'!K36,"")</f>
        <v>10997</v>
      </c>
      <c r="L62" s="34">
        <f>IF(COUNT('Note Schedules'!L36)=1,'Note Schedules'!L36,"")</f>
        <v>11704</v>
      </c>
      <c r="M62" s="15"/>
      <c r="N62" s="14"/>
      <c r="O62" s="14"/>
      <c r="P62" s="14"/>
      <c r="Q62" s="13">
        <f>IF(COUNT('Derived Metrics'!K62)=1,'Derived Metrics'!K62,"")</f>
        <v>10997</v>
      </c>
      <c r="R62" s="14"/>
      <c r="S62" s="14"/>
      <c r="T62" s="14"/>
      <c r="U62" s="13">
        <f>IF(COUNT('Derived Metrics'!L62)=1,'Derived Metrics'!L62,"")</f>
        <v>11704</v>
      </c>
      <c r="V62" s="14"/>
      <c r="W62" s="14"/>
      <c r="X62" s="14"/>
    </row>
    <row r="63" spans="1:24" ht="22" customHeight="1">
      <c r="A63" s="3" t="s">
        <v>419</v>
      </c>
      <c r="B63" s="1"/>
      <c r="C63" s="41"/>
      <c r="D63" s="42">
        <f>IF(COUNT('Derived Metrics'!D61,'Derived Metrics'!C61,'Income Statement'!D13)=3,IF('Income Statement'!D13&lt;&gt;0,('Derived Metrics'!D61+'Derived Metrics'!C61)/2/'Income Statement'!D13*364,""),"")</f>
        <v>33.420385674931133</v>
      </c>
      <c r="E63" s="42">
        <f>IF(COUNT('Derived Metrics'!E61,'Derived Metrics'!D61,'Income Statement'!E13)=3,IF('Income Statement'!E13&lt;&gt;0,('Derived Metrics'!E61+'Derived Metrics'!D61)/2/'Income Statement'!E13*364,""),"")</f>
        <v>33.874669429795397</v>
      </c>
      <c r="F63" s="42">
        <f>IF(COUNT('Derived Metrics'!F61,'Derived Metrics'!E61,'Income Statement'!F13)=3,IF('Income Statement'!F13&lt;&gt;0,('Derived Metrics'!F61+'Derived Metrics'!E61)/2/'Income Statement'!F13*364,""),"")</f>
        <v>33.944283140513093</v>
      </c>
      <c r="G63" s="42">
        <f>IF(COUNT('Derived Metrics'!G61,'Derived Metrics'!F61,'Income Statement'!G13)=3,IF('Income Statement'!G13&lt;&gt;0,('Derived Metrics'!G61+'Derived Metrics'!F61)/2/'Income Statement'!G13*364,""),"")</f>
        <v>34.498067413175697</v>
      </c>
      <c r="H63" s="42">
        <f>IF(COUNT('Derived Metrics'!H61,'Derived Metrics'!G61,'Income Statement'!H13)=3,IF('Income Statement'!H13&lt;&gt;0,('Derived Metrics'!H61+'Derived Metrics'!G61)/2/'Income Statement'!H13*364,""),"")</f>
        <v>32.207363414450008</v>
      </c>
      <c r="I63" s="42">
        <f>IF(COUNT('Derived Metrics'!I61,'Derived Metrics'!H61,'Income Statement'!I13)=3,IF('Income Statement'!I13&lt;&gt;0,('Derived Metrics'!I61+'Derived Metrics'!H61)/2/'Income Statement'!I13*371,""),"")</f>
        <v>32.989420316695991</v>
      </c>
      <c r="J63" s="42">
        <f>IF(COUNT('Derived Metrics'!J61,'Derived Metrics'!I61,'Income Statement'!J13)=3,IF('Income Statement'!J13&lt;&gt;0,('Derived Metrics'!J61+'Derived Metrics'!I61)/2/'Income Statement'!J13*364,""),"")</f>
        <v>33.560297799302511</v>
      </c>
      <c r="K63" s="42">
        <f>IF(COUNT('Derived Metrics'!K61,'Derived Metrics'!J61,'Income Statement'!K13)=3,IF('Income Statement'!K13&lt;&gt;0,('Derived Metrics'!K61+'Derived Metrics'!J61)/2/'Income Statement'!K13*364,""),"")</f>
        <v>34.004877305288829</v>
      </c>
      <c r="L63" s="42">
        <f>IF(COUNT('Derived Metrics'!L61,'Derived Metrics'!K61,'Income Statement'!L13)=3,IF('Income Statement'!L13&lt;&gt;0,('Derived Metrics'!L61+'Derived Metrics'!K61)/2/'Income Statement'!L13*364,""),"")</f>
        <v>34.398339100346021</v>
      </c>
      <c r="M63" s="43"/>
      <c r="N63" s="41"/>
      <c r="O63" s="41"/>
      <c r="P63" s="41"/>
      <c r="Q63" s="40">
        <f>IF(COUNT('Derived Metrics'!K63)=1,'Derived Metrics'!K63,"")</f>
        <v>34.004877305288829</v>
      </c>
      <c r="R63" s="41"/>
      <c r="S63" s="41"/>
      <c r="T63" s="41"/>
      <c r="U63" s="40">
        <f>IF(COUNT('Derived Metrics'!L63)=1,'Derived Metrics'!L63,"")</f>
        <v>34.398339100346021</v>
      </c>
      <c r="V63" s="41"/>
      <c r="W63" s="41"/>
      <c r="X63" s="41"/>
    </row>
    <row r="64" spans="1:24" ht="22" customHeight="1">
      <c r="A64" s="3" t="s">
        <v>420</v>
      </c>
      <c r="B64" s="1"/>
      <c r="C64" s="42">
        <f>IF(COUNT('Balance Sheet'!C21,'Note Schedules'!C312,'Income Statement'!C15)=3,IF('Income Statement'!C15&lt;&gt;0,('Balance Sheet'!C21+'Note Schedules'!C312)/2/'Income Statement'!C15*371,""),"")</f>
        <v>35.77622067890298</v>
      </c>
      <c r="D64" s="42">
        <f>IF(COUNT('Balance Sheet'!D21,'Balance Sheet'!C21,'Income Statement'!D15)=3,IF('Income Statement'!D15&lt;&gt;0,('Balance Sheet'!D21+'Balance Sheet'!C21)/2/'Income Statement'!D15*364,""),"")</f>
        <v>35.836227253785246</v>
      </c>
      <c r="E64" s="42">
        <f>IF(COUNT('Balance Sheet'!E21,'Balance Sheet'!D21,'Income Statement'!E15)=3,IF('Income Statement'!E15&lt;&gt;0,('Balance Sheet'!E21+'Balance Sheet'!D21)/2/'Income Statement'!E15*364,""),"")</f>
        <v>37.631462509785237</v>
      </c>
      <c r="F64" s="42">
        <f>IF(COUNT('Balance Sheet'!F21,'Balance Sheet'!E21,'Income Statement'!F15)=3,IF('Income Statement'!F15&lt;&gt;0,('Balance Sheet'!F21+'Balance Sheet'!E21)/2/'Income Statement'!F15*364,""),"")</f>
        <v>39.055223682463826</v>
      </c>
      <c r="G64" s="42">
        <f>IF(COUNT('Balance Sheet'!G21,'Balance Sheet'!F21,'Income Statement'!G15)=3,IF('Income Statement'!G15&lt;&gt;0,('Balance Sheet'!G21+'Balance Sheet'!F21)/2/'Income Statement'!G15*364,""),"")</f>
        <v>42.985816271975345</v>
      </c>
      <c r="H64" s="42">
        <f>IF(COUNT('Balance Sheet'!H21,'Balance Sheet'!G21,'Income Statement'!H15)=3,IF('Income Statement'!H15&lt;&gt;0,('Balance Sheet'!H21+'Balance Sheet'!G21)/2/'Income Statement'!H15*364,""),"")</f>
        <v>41.819501011463245</v>
      </c>
      <c r="I64" s="42">
        <f>IF(COUNT('Balance Sheet'!I21,'Balance Sheet'!H21,'Income Statement'!I15)=3,IF('Income Statement'!I15&lt;&gt;0,('Balance Sheet'!I21+'Balance Sheet'!H21)/2/'Income Statement'!I15*371,""),"")</f>
        <v>43.746290910883282</v>
      </c>
      <c r="J64" s="42">
        <f>IF(COUNT('Balance Sheet'!J21,'Balance Sheet'!I21,'Income Statement'!J15)=3,IF('Income Statement'!J15&lt;&gt;0,('Balance Sheet'!J21+'Balance Sheet'!I21)/2/'Income Statement'!J15*364,""),"")</f>
        <v>45.872639144242015</v>
      </c>
      <c r="K64" s="42">
        <f>IF(COUNT('Balance Sheet'!K21,'Balance Sheet'!J21,'Income Statement'!K15)=3,IF('Income Statement'!K15&lt;&gt;0,('Balance Sheet'!K21+'Balance Sheet'!J21)/2/'Income Statement'!K15*364,""),"")</f>
        <v>46.389421234189349</v>
      </c>
      <c r="L64" s="42">
        <f>IF(COUNT('Balance Sheet'!L21,'Balance Sheet'!K21,'Income Statement'!L15)=3,IF('Income Statement'!L15&lt;&gt;0,('Balance Sheet'!L21+'Balance Sheet'!K21)/2/'Income Statement'!L15*364,""),"")</f>
        <v>47.124924534435515</v>
      </c>
      <c r="M64" s="43"/>
      <c r="N64" s="41"/>
      <c r="O64" s="41"/>
      <c r="P64" s="41"/>
      <c r="Q64" s="40">
        <f>IF(COUNT('Derived Metrics'!K64)=1,'Derived Metrics'!K64,"")</f>
        <v>46.389421234189349</v>
      </c>
      <c r="R64" s="41"/>
      <c r="S64" s="41"/>
      <c r="T64" s="41"/>
      <c r="U64" s="40">
        <f>IF(COUNT('Derived Metrics'!L64)=1,'Derived Metrics'!L64,"")</f>
        <v>47.124924534435515</v>
      </c>
      <c r="V64" s="41"/>
      <c r="W64" s="41"/>
      <c r="X64" s="41"/>
    </row>
    <row r="65" spans="1:24" ht="22" customHeight="1">
      <c r="A65" s="3"/>
      <c r="B65" s="1"/>
      <c r="C65" s="2"/>
      <c r="D65" s="2"/>
      <c r="E65" s="2"/>
      <c r="F65" s="2"/>
      <c r="G65" s="2"/>
      <c r="H65" s="2"/>
      <c r="I65" s="2"/>
      <c r="J65" s="2"/>
      <c r="K65" s="2"/>
      <c r="L65" s="2"/>
      <c r="M65" s="2"/>
      <c r="N65" s="2"/>
      <c r="O65" s="2"/>
      <c r="P65" s="2"/>
      <c r="Q65" s="2"/>
      <c r="R65" s="2"/>
      <c r="S65" s="2"/>
      <c r="T65" s="2"/>
      <c r="U65" s="2"/>
      <c r="V65" s="2"/>
      <c r="W65" s="2"/>
      <c r="X65" s="2"/>
    </row>
    <row r="66" spans="1:24" ht="22" customHeight="1">
      <c r="A66" s="174" t="s">
        <v>379</v>
      </c>
      <c r="B66" s="174"/>
      <c r="C66" s="175"/>
      <c r="D66" s="175"/>
      <c r="E66" s="175"/>
      <c r="F66" s="175"/>
      <c r="G66" s="175"/>
      <c r="H66" s="175"/>
      <c r="I66" s="175"/>
      <c r="J66" s="175"/>
      <c r="K66" s="175"/>
      <c r="L66" s="175"/>
      <c r="M66" s="175"/>
      <c r="N66" s="175"/>
      <c r="O66" s="175"/>
      <c r="P66" s="175"/>
      <c r="Q66" s="175"/>
      <c r="R66" s="175"/>
      <c r="S66" s="175"/>
      <c r="T66" s="175"/>
      <c r="U66" s="175"/>
      <c r="V66" s="175"/>
      <c r="W66" s="175"/>
      <c r="X66" s="175"/>
    </row>
    <row r="67" spans="1:24" ht="18" customHeight="1">
      <c r="A67" s="163" t="s">
        <v>421</v>
      </c>
      <c r="B67" s="163"/>
      <c r="C67" s="173"/>
      <c r="D67" s="173"/>
      <c r="E67" s="173"/>
      <c r="F67" s="173"/>
      <c r="G67" s="173"/>
      <c r="H67" s="173"/>
      <c r="I67" s="173"/>
      <c r="J67" s="173"/>
      <c r="K67" s="173"/>
      <c r="L67" s="173"/>
      <c r="M67" s="173"/>
      <c r="N67" s="173"/>
      <c r="O67" s="173"/>
      <c r="P67" s="173"/>
      <c r="Q67" s="173"/>
      <c r="R67" s="173"/>
      <c r="S67" s="173"/>
      <c r="T67" s="173"/>
      <c r="U67" s="173"/>
      <c r="V67" s="173"/>
      <c r="W67" s="173"/>
      <c r="X67" s="173"/>
    </row>
    <row r="68" spans="1:24" ht="22" customHeight="1">
      <c r="A68" s="3" t="s">
        <v>422</v>
      </c>
      <c r="B68" s="1"/>
      <c r="C68" s="14"/>
      <c r="D68" s="14"/>
      <c r="E68" s="14"/>
      <c r="F68" s="14"/>
      <c r="G68" s="14"/>
      <c r="H68" s="14"/>
      <c r="I68" s="14"/>
      <c r="J68" s="14"/>
      <c r="K68" s="14"/>
      <c r="L68" s="14"/>
      <c r="M68" s="15"/>
      <c r="N68" s="34">
        <f>IF(COUNT('Income Statement'!J13,'Income Statement'!N40,'Note Schedules'!N320)=3,'Income Statement'!J13+'Income Statement'!N40-'Note Schedules'!N320,"")</f>
        <v>91875</v>
      </c>
      <c r="O68" s="34">
        <f>IF(COUNT('Income Statement'!J13,'Income Statement'!O40,'Note Schedules'!O320)=3,'Income Statement'!J13+'Income Statement'!O40-'Note Schedules'!O320,"")</f>
        <v>92054</v>
      </c>
      <c r="P68" s="34">
        <f>IF(COUNT('Income Statement'!J13,'Income Statement'!P40,'Note Schedules'!P320)=3,'Income Statement'!J13+'Income Statement'!P40-'Note Schedules'!P320,"")</f>
        <v>91920</v>
      </c>
      <c r="Q68" s="34" t="str">
        <f>IF(COUNT('Income Statement'!J13,'Income Statement'!Q40,'Note Schedules'!Q320)=3,'Income Statement'!J13+'Income Statement'!Q40-'Note Schedules'!Q320,"")</f>
        <v/>
      </c>
      <c r="R68" s="34">
        <f>IF(COUNT('Income Statement'!K13,'Income Statement'!R40,'Income Statement'!N40)=3,'Income Statement'!K13+'Income Statement'!R40-'Income Statement'!N40,"")</f>
        <v>91523</v>
      </c>
      <c r="S68" s="34">
        <f>IF(COUNT('Income Statement'!K13,'Income Statement'!S40,'Income Statement'!O40)=3,'Income Statement'!K13+'Income Statement'!S40-'Income Statement'!O40,"")</f>
        <v>91748</v>
      </c>
      <c r="T68" s="34">
        <f>IF(COUNT('Income Statement'!K13,'Income Statement'!T40,'Income Statement'!P40)=3,'Income Statement'!K13+'Income Statement'!T40-'Income Statement'!P40,"")</f>
        <v>92366</v>
      </c>
      <c r="U68" s="34">
        <f>IF(COUNT('Income Statement'!K13,'Income Statement'!U40,'Income Statement'!Q40)=3,'Income Statement'!K13+'Income Statement'!U40-'Income Statement'!Q40,"")</f>
        <v>93925</v>
      </c>
      <c r="V68" s="34">
        <f>IF(COUNT('Income Statement'!L13,'Income Statement'!V40,'Income Statement'!R40)=3,'Income Statement'!L13+'Income Statement'!V40-'Income Statement'!R40,"")</f>
        <v>95449</v>
      </c>
      <c r="W68" s="34">
        <f>IF(COUNT('Income Statement'!L13,'Income Statement'!W40,'Income Statement'!S40)=3,'Income Statement'!L13+'Income Statement'!W40-'Income Statement'!S40,"")</f>
        <v>96904</v>
      </c>
      <c r="X68" s="34">
        <f>IF(COUNT('Income Statement'!L13,'Income Statement'!X40,'Income Statement'!T40)=3,'Income Statement'!L13+'Income Statement'!X40-'Income Statement'!T40,"")</f>
        <v>98241</v>
      </c>
    </row>
    <row r="69" spans="1:24" ht="22" customHeight="1">
      <c r="A69" s="3" t="s">
        <v>423</v>
      </c>
      <c r="B69" s="1"/>
      <c r="C69" s="14"/>
      <c r="D69" s="14"/>
      <c r="E69" s="14"/>
      <c r="F69" s="14"/>
      <c r="G69" s="14"/>
      <c r="H69" s="14"/>
      <c r="I69" s="14"/>
      <c r="J69" s="14"/>
      <c r="K69" s="14"/>
      <c r="L69" s="14"/>
      <c r="M69" s="15"/>
      <c r="N69" s="34">
        <f>IF(COUNT('Income Statement'!J21,'Income Statement'!N45,'Note Schedules'!N322)=3,'Income Statement'!J21+'Income Statement'!N45-'Note Schedules'!N322,"")</f>
        <v>12074</v>
      </c>
      <c r="O69" s="34">
        <f>IF(COUNT('Income Statement'!J21,'Income Statement'!O45,'Note Schedules'!O322)=3,'Income Statement'!J21+'Income Statement'!O45-'Note Schedules'!O322,"")</f>
        <v>12463</v>
      </c>
      <c r="P69" s="34">
        <f>IF(COUNT('Income Statement'!J21,'Income Statement'!P45,'Note Schedules'!P322)=3,'Income Statement'!J21+'Income Statement'!P45-'Note Schedules'!P322,"")</f>
        <v>12320</v>
      </c>
      <c r="Q69" s="34" t="str">
        <f>IF(COUNT('Income Statement'!J21,'Income Statement'!Q45,'Note Schedules'!Q322)=3,'Income Statement'!J21+'Income Statement'!Q45-'Note Schedules'!Q322,"")</f>
        <v/>
      </c>
      <c r="R69" s="34">
        <f>IF(COUNT('Income Statement'!K21,'Income Statement'!R45,'Income Statement'!N45)=3,'Income Statement'!K21+'Income Statement'!R45-'Income Statement'!N45,"")</f>
        <v>12753</v>
      </c>
      <c r="S69" s="34">
        <f>IF(COUNT('Income Statement'!K21,'Income Statement'!S45,'Income Statement'!O45)=3,'Income Statement'!K21+'Income Statement'!S45-'Income Statement'!O45,"")</f>
        <v>10494</v>
      </c>
      <c r="T69" s="34">
        <f>IF(COUNT('Income Statement'!K21,'Income Statement'!T45,'Income Statement'!P45)=3,'Income Statement'!K21+'Income Statement'!T45-'Income Statement'!P45,"")</f>
        <v>10191</v>
      </c>
      <c r="U69" s="34">
        <f>IF(COUNT('Income Statement'!K21,'Income Statement'!U45,'Income Statement'!Q45)=3,'Income Statement'!K21+'Income Statement'!U45-'Income Statement'!Q45,"")</f>
        <v>11498</v>
      </c>
      <c r="V69" s="34">
        <f>IF(COUNT('Income Statement'!L21,'Income Statement'!V45,'Income Statement'!R45)=3,'Income Statement'!L21+'Income Statement'!V45-'Income Statement'!R45,"")</f>
        <v>12128</v>
      </c>
      <c r="W69" s="34">
        <f>IF(COUNT('Income Statement'!L21,'Income Statement'!W45,'Income Statement'!S45)=3,'Income Statement'!L21+'Income Statement'!W45-'Income Statement'!S45,"")</f>
        <v>14362</v>
      </c>
      <c r="X69" s="34">
        <f>IF(COUNT('Income Statement'!L21,'Income Statement'!X45,'Income Statement'!T45)=3,'Income Statement'!L21+'Income Statement'!X45-'Income Statement'!T45,"")</f>
        <v>15053</v>
      </c>
    </row>
    <row r="70" spans="1:24" ht="22" customHeight="1">
      <c r="A70" s="3" t="s">
        <v>424</v>
      </c>
      <c r="B70" s="1"/>
      <c r="C70" s="14"/>
      <c r="D70" s="14"/>
      <c r="E70" s="14"/>
      <c r="F70" s="14"/>
      <c r="G70" s="14"/>
      <c r="H70" s="14"/>
      <c r="I70" s="14"/>
      <c r="J70" s="14"/>
      <c r="K70" s="14"/>
      <c r="L70" s="14"/>
      <c r="M70" s="15"/>
      <c r="N70" s="34">
        <f>IF(COUNT('Income Statement'!J28,'Income Statement'!N49,'Note Schedules'!N323)=3,'Income Statement'!J28+'Income Statement'!N49-'Note Schedules'!N323,"")</f>
        <v>2236</v>
      </c>
      <c r="O70" s="34">
        <f>IF(COUNT('Income Statement'!J28,'Income Statement'!O49,'Note Schedules'!O323)=3,'Income Statement'!J28+'Income Statement'!O49-'Note Schedules'!O323,"")</f>
        <v>2265</v>
      </c>
      <c r="P70" s="34">
        <f>IF(COUNT('Income Statement'!J28,'Income Statement'!P49,'Note Schedules'!P323)=3,'Income Statement'!J28+'Income Statement'!P49-'Note Schedules'!P323,"")</f>
        <v>2254</v>
      </c>
      <c r="Q70" s="34" t="str">
        <f>IF(COUNT('Income Statement'!J28,'Income Statement'!Q49,'Note Schedules'!Q323)=3,'Income Statement'!J28+'Income Statement'!Q49-'Note Schedules'!Q323,"")</f>
        <v/>
      </c>
      <c r="R70" s="34">
        <f>IF(COUNT('Income Statement'!K28,'Income Statement'!R49,'Income Statement'!N49)=3,'Income Statement'!K28+'Income Statement'!R49-'Income Statement'!N49,"")</f>
        <v>2299</v>
      </c>
      <c r="S70" s="34">
        <f>IF(COUNT('Income Statement'!K28,'Income Statement'!S49,'Income Statement'!O49)=3,'Income Statement'!K28+'Income Statement'!S49-'Income Statement'!O49,"")</f>
        <v>1815</v>
      </c>
      <c r="T70" s="34">
        <f>IF(COUNT('Income Statement'!K28,'Income Statement'!T49,'Income Statement'!P49)=3,'Income Statement'!K28+'Income Statement'!T49-'Income Statement'!P49,"")</f>
        <v>1779</v>
      </c>
      <c r="U70" s="34">
        <f>IF(COUNT('Income Statement'!K28,'Income Statement'!U49,'Income Statement'!Q49)=3,'Income Statement'!K28+'Income Statement'!U49-'Income Statement'!Q49,"")</f>
        <v>1949</v>
      </c>
      <c r="V70" s="34">
        <f>IF(COUNT('Income Statement'!L28,'Income Statement'!V49,'Income Statement'!R49)=3,'Income Statement'!L28+'Income Statement'!V49-'Income Statement'!R49,"")</f>
        <v>2082</v>
      </c>
      <c r="W70" s="34">
        <f>IF(COUNT('Income Statement'!L28,'Income Statement'!W49,'Income Statement'!S49)=3,'Income Statement'!L28+'Income Statement'!W49-'Income Statement'!S49,"")</f>
        <v>2638</v>
      </c>
      <c r="X70" s="34">
        <f>IF(COUNT('Income Statement'!L28,'Income Statement'!X49,'Income Statement'!T49)=3,'Income Statement'!L28+'Income Statement'!X49-'Income Statement'!T49,"")</f>
        <v>2759</v>
      </c>
    </row>
    <row r="71" spans="1:24" ht="22" customHeight="1">
      <c r="A71" s="3" t="s">
        <v>425</v>
      </c>
      <c r="B71" s="1"/>
      <c r="C71" s="14"/>
      <c r="D71" s="14"/>
      <c r="E71" s="14"/>
      <c r="F71" s="14"/>
      <c r="G71" s="14"/>
      <c r="H71" s="14"/>
      <c r="I71" s="14"/>
      <c r="J71" s="14"/>
      <c r="K71" s="14"/>
      <c r="L71" s="14"/>
      <c r="M71" s="15"/>
      <c r="N71" s="34">
        <f>IF(COUNT('Income Statement'!J31,'Income Statement'!N52,'Note Schedules'!N324)=3,'Income Statement'!J31+'Income Statement'!N52-'Note Schedules'!N324,"")</f>
        <v>9184</v>
      </c>
      <c r="O71" s="34">
        <f>IF(COUNT('Income Statement'!J31,'Income Statement'!O52,'Note Schedules'!O324)=3,'Income Statement'!J31+'Income Statement'!O52-'Note Schedules'!O324,"")</f>
        <v>9519</v>
      </c>
      <c r="P71" s="34">
        <f>IF(COUNT('Income Statement'!J31,'Income Statement'!P52,'Note Schedules'!P324)=3,'Income Statement'!J31+'Income Statement'!P52-'Note Schedules'!P324,"")</f>
        <v>9357</v>
      </c>
      <c r="Q71" s="34" t="str">
        <f>IF(COUNT('Income Statement'!J31,'Income Statement'!Q52,'Note Schedules'!Q324)=3,'Income Statement'!J31+'Income Statement'!Q52-'Note Schedules'!Q324,"")</f>
        <v/>
      </c>
      <c r="R71" s="34">
        <f>IF(COUNT('Income Statement'!K31,'Income Statement'!R52,'Income Statement'!N52)=3,'Income Statement'!K31+'Income Statement'!R52-'Income Statement'!N52,"")</f>
        <v>9370</v>
      </c>
      <c r="S71" s="34">
        <f>IF(COUNT('Income Statement'!K31,'Income Statement'!S52,'Income Statement'!O52)=3,'Income Statement'!K31+'Income Statement'!S52-'Income Statement'!O52,"")</f>
        <v>7550</v>
      </c>
      <c r="T71" s="34">
        <f>IF(COUNT('Income Statement'!K31,'Income Statement'!T52,'Income Statement'!P52)=3,'Income Statement'!K31+'Income Statement'!T52-'Income Statement'!P52,"")</f>
        <v>7223</v>
      </c>
      <c r="U71" s="34">
        <f>IF(COUNT('Income Statement'!K31,'Income Statement'!U52,'Income Statement'!Q52)=3,'Income Statement'!K31+'Income Statement'!U52-'Income Statement'!Q52,"")</f>
        <v>8240</v>
      </c>
      <c r="V71" s="34">
        <f>IF(COUNT('Income Statement'!L31,'Income Statement'!V52,'Income Statement'!R52)=3,'Income Statement'!L31+'Income Statement'!V52-'Income Statement'!R52,"")</f>
        <v>8733</v>
      </c>
      <c r="W71" s="34">
        <f>IF(COUNT('Income Statement'!L31,'Income Statement'!W52,'Income Statement'!S52)=3,'Income Statement'!L31+'Income Statement'!W52-'Income Statement'!S52,"")</f>
        <v>10451</v>
      </c>
      <c r="X71" s="34">
        <f>IF(COUNT('Income Statement'!L31,'Income Statement'!X52,'Income Statement'!T52)=3,'Income Statement'!L31+'Income Statement'!X52-'Income Statement'!T52,"")</f>
        <v>10896</v>
      </c>
    </row>
    <row r="72" spans="1:24" ht="22" customHeight="1">
      <c r="A72" s="3" t="s">
        <v>426</v>
      </c>
      <c r="B72" s="1"/>
      <c r="C72" s="14"/>
      <c r="D72" s="14"/>
      <c r="E72" s="14"/>
      <c r="F72" s="14"/>
      <c r="G72" s="14"/>
      <c r="H72" s="14"/>
      <c r="I72" s="14"/>
      <c r="J72" s="14"/>
      <c r="K72" s="14"/>
      <c r="L72" s="14"/>
      <c r="M72" s="15"/>
      <c r="N72" s="34">
        <f>IF(COUNT('Income Statement'!J29,'Income Statement'!N50,'Note Schedules'!N325)=3,'Income Statement'!J29+'Income Statement'!N50-'Note Schedules'!N325,"")</f>
        <v>9264</v>
      </c>
      <c r="O72" s="34">
        <f>IF(COUNT('Income Statement'!J29,'Income Statement'!O50,'Note Schedules'!O325)=3,'Income Statement'!J29+'Income Statement'!O50-'Note Schedules'!O325,"")</f>
        <v>9587</v>
      </c>
      <c r="P72" s="34">
        <f>IF(COUNT('Income Statement'!J29,'Income Statement'!P50,'Note Schedules'!P325)=3,'Income Statement'!J29+'Income Statement'!P50-'Note Schedules'!P325,"")</f>
        <v>9416</v>
      </c>
      <c r="Q72" s="34" t="str">
        <f>IF(COUNT('Income Statement'!J29,'Income Statement'!Q50,'Note Schedules'!Q325)=3,'Income Statement'!J29+'Income Statement'!Q50-'Note Schedules'!Q325,"")</f>
        <v/>
      </c>
      <c r="R72" s="34">
        <f>IF(COUNT('Income Statement'!K29,'Income Statement'!R50,'Income Statement'!N50)=3,'Income Statement'!K29+'Income Statement'!R50-'Income Statement'!N50,"")</f>
        <v>9416</v>
      </c>
      <c r="S72" s="34">
        <f>IF(COUNT('Income Statement'!K29,'Income Statement'!S50,'Income Statement'!O50)=3,'Income Statement'!K29+'Income Statement'!S50-'Income Statement'!O50,"")</f>
        <v>7601</v>
      </c>
      <c r="T72" s="34">
        <f>IF(COUNT('Income Statement'!K29,'Income Statement'!T50,'Income Statement'!P50)=3,'Income Statement'!K29+'Income Statement'!T50-'Income Statement'!P50,"")</f>
        <v>7274</v>
      </c>
      <c r="U72" s="34">
        <f>IF(COUNT('Income Statement'!K29,'Income Statement'!U50,'Income Statement'!Q50)=3,'Income Statement'!K29+'Income Statement'!U50-'Income Statement'!Q50,"")</f>
        <v>8295</v>
      </c>
      <c r="V72" s="34">
        <f>IF(COUNT('Income Statement'!L29,'Income Statement'!V50,'Income Statement'!R50)=3,'Income Statement'!L29+'Income Statement'!V50-'Income Statement'!R50,"")</f>
        <v>8790</v>
      </c>
      <c r="W72" s="34">
        <f>IF(COUNT('Income Statement'!L29,'Income Statement'!W50,'Income Statement'!S50)=3,'Income Statement'!L29+'Income Statement'!W50-'Income Statement'!S50,"")</f>
        <v>10515</v>
      </c>
      <c r="X72" s="34">
        <f>IF(COUNT('Income Statement'!L29,'Income Statement'!X50,'Income Statement'!T50)=3,'Income Statement'!L29+'Income Statement'!X50-'Income Statement'!T50,"")</f>
        <v>10967</v>
      </c>
    </row>
    <row r="73" spans="1:24" ht="22" customHeight="1">
      <c r="A73" s="3" t="s">
        <v>427</v>
      </c>
      <c r="B73" s="1"/>
      <c r="C73" s="14"/>
      <c r="D73" s="14"/>
      <c r="E73" s="14"/>
      <c r="F73" s="14"/>
      <c r="G73" s="14"/>
      <c r="H73" s="14"/>
      <c r="I73" s="14"/>
      <c r="J73" s="14"/>
      <c r="K73" s="14"/>
      <c r="L73" s="14"/>
      <c r="M73" s="15"/>
      <c r="N73" s="34">
        <f>IF(COUNT('Cash Flow'!J46,'Cash Flow'!N46,'Note Schedules'!N326)=3,('Cash Flow'!J46+'Cash Flow'!N46-'Note Schedules'!N326),"")</f>
        <v>12793</v>
      </c>
      <c r="O73" s="34">
        <f>IF(COUNT('Cash Flow'!J46,'Cash Flow'!O46,'Note Schedules'!O326)=3,('Cash Flow'!J46+'Cash Flow'!O46-'Note Schedules'!O326),"")</f>
        <v>12738</v>
      </c>
      <c r="P73" s="34">
        <f>IF(COUNT('Cash Flow'!J46,'Cash Flow'!P46,'Note Schedules'!P326)=3,('Cash Flow'!J46+'Cash Flow'!P46-'Note Schedules'!P326),"")</f>
        <v>12032</v>
      </c>
      <c r="Q73" s="34" t="str">
        <f>IF(COUNT('Cash Flow'!J46,'Cash Flow'!Q46,'Note Schedules'!Q326)=3,('Cash Flow'!J46+'Cash Flow'!Q46-'Note Schedules'!Q326),"")</f>
        <v/>
      </c>
      <c r="R73" s="34">
        <f>IF(COUNT('Cash Flow'!K46,'Cash Flow'!R46,'Cash Flow'!N46)=3,('Cash Flow'!K46+'Cash Flow'!R46-'Cash Flow'!N46),"")</f>
        <v>12575</v>
      </c>
      <c r="S73" s="34">
        <f>IF(COUNT('Cash Flow'!K46,'Cash Flow'!S46,'Cash Flow'!O46)=3,('Cash Flow'!K46+'Cash Flow'!S46-'Cash Flow'!O46),"")</f>
        <v>12188</v>
      </c>
      <c r="T73" s="34">
        <f>IF(COUNT('Cash Flow'!K46,'Cash Flow'!T46,'Cash Flow'!P46)=3,('Cash Flow'!K46+'Cash Flow'!T46-'Cash Flow'!P46),"")</f>
        <v>11755</v>
      </c>
      <c r="U73" s="34">
        <f>IF(COUNT('Cash Flow'!K46,'Cash Flow'!U46,'Cash Flow'!Q46)=3,('Cash Flow'!K46+'Cash Flow'!U46-'Cash Flow'!Q46),"")</f>
        <v>12087</v>
      </c>
      <c r="V73" s="34">
        <f>IF(COUNT('Cash Flow'!L46,'Cash Flow'!V46,'Cash Flow'!R46)=3,('Cash Flow'!L46+'Cash Flow'!V46-'Cash Flow'!R46),"")</f>
        <v>13101</v>
      </c>
      <c r="W73" s="34">
        <f>IF(COUNT('Cash Flow'!L46,'Cash Flow'!W46,'Cash Flow'!S46)=3,('Cash Flow'!L46+'Cash Flow'!W46-'Cash Flow'!S46),"")</f>
        <v>13456</v>
      </c>
      <c r="X73" s="34">
        <f>IF(COUNT('Cash Flow'!L46,'Cash Flow'!X46,'Cash Flow'!T46)=3,('Cash Flow'!L46+'Cash Flow'!X46-'Cash Flow'!T46),"")</f>
        <v>14569</v>
      </c>
    </row>
    <row r="74" spans="1:24" ht="22" customHeight="1">
      <c r="A74" s="3" t="s">
        <v>428</v>
      </c>
      <c r="B74" s="1"/>
      <c r="C74" s="14"/>
      <c r="D74" s="14"/>
      <c r="E74" s="14"/>
      <c r="F74" s="14"/>
      <c r="G74" s="14"/>
      <c r="H74" s="14"/>
      <c r="I74" s="14"/>
      <c r="J74" s="14"/>
      <c r="K74" s="14"/>
      <c r="L74" s="14"/>
      <c r="M74" s="15"/>
      <c r="N74" s="34">
        <f>IF(COUNT('Cash Flow'!J48,'Cash Flow'!N48,'Note Schedules'!N327)=3,-('Cash Flow'!J48+'Cash Flow'!N48-'Note Schedules'!N327),"")</f>
        <v>5551</v>
      </c>
      <c r="O74" s="34">
        <f>IF(COUNT('Cash Flow'!J48,'Cash Flow'!O48,'Note Schedules'!O327)=3,-('Cash Flow'!J48+'Cash Flow'!O48-'Note Schedules'!O327),"")</f>
        <v>5706</v>
      </c>
      <c r="P74" s="34">
        <f>IF(COUNT('Cash Flow'!J48,'Cash Flow'!P48,'Note Schedules'!P327)=3,-('Cash Flow'!J48+'Cash Flow'!P48-'Note Schedules'!P327),"")</f>
        <v>5831</v>
      </c>
      <c r="Q74" s="34" t="str">
        <f>IF(COUNT('Cash Flow'!J48,'Cash Flow'!Q48,'Note Schedules'!Q327)=3,-('Cash Flow'!J48+'Cash Flow'!Q48-'Note Schedules'!Q327),"")</f>
        <v/>
      </c>
      <c r="R74" s="34">
        <f>IF(COUNT('Cash Flow'!K48,'Cash Flow'!R48,'Cash Flow'!N48)=3,-('Cash Flow'!K48+'Cash Flow'!R48-'Cash Flow'!N48),"")</f>
        <v>5307</v>
      </c>
      <c r="S74" s="34">
        <f>IF(COUNT('Cash Flow'!K48,'Cash Flow'!S48,'Cash Flow'!O48)=3,-('Cash Flow'!K48+'Cash Flow'!S48-'Cash Flow'!O48),"")</f>
        <v>5124</v>
      </c>
      <c r="T74" s="34">
        <f>IF(COUNT('Cash Flow'!K48,'Cash Flow'!T48,'Cash Flow'!P48)=3,-('Cash Flow'!K48+'Cash Flow'!T48-'Cash Flow'!P48),"")</f>
        <v>4967</v>
      </c>
      <c r="U74" s="34">
        <f>IF(COUNT('Cash Flow'!K48,'Cash Flow'!U48,'Cash Flow'!Q48)=3,-('Cash Flow'!K48+'Cash Flow'!U48-'Cash Flow'!Q48),"")</f>
        <v>4415</v>
      </c>
      <c r="V74" s="34">
        <f>IF(COUNT('Cash Flow'!L48,'Cash Flow'!V48,'Cash Flow'!R48)=3,-('Cash Flow'!L48+'Cash Flow'!V48-'Cash Flow'!R48),"")</f>
        <v>4259</v>
      </c>
      <c r="W74" s="34">
        <f>IF(COUNT('Cash Flow'!L48,'Cash Flow'!W48,'Cash Flow'!S48)=3,-('Cash Flow'!L48+'Cash Flow'!W48-'Cash Flow'!S48),"")</f>
        <v>4174</v>
      </c>
      <c r="X74" s="34">
        <f>IF(COUNT('Cash Flow'!L48,'Cash Flow'!X48,'Cash Flow'!T48)=3,-('Cash Flow'!L48+'Cash Flow'!X48-'Cash Flow'!T48),"")</f>
        <v>4098</v>
      </c>
    </row>
    <row r="75" spans="1:24" ht="22" customHeight="1">
      <c r="A75" s="3" t="s">
        <v>429</v>
      </c>
      <c r="B75" s="1"/>
      <c r="C75" s="14"/>
      <c r="D75" s="14"/>
      <c r="E75" s="14"/>
      <c r="F75" s="14"/>
      <c r="G75" s="14"/>
      <c r="H75" s="14"/>
      <c r="I75" s="14"/>
      <c r="J75" s="14"/>
      <c r="K75" s="14"/>
      <c r="L75" s="14"/>
      <c r="M75" s="15"/>
      <c r="N75" s="13">
        <f>IF(COUNT('Derived Metrics'!N73,'Derived Metrics'!N74)=2,'Derived Metrics'!N73-'Derived Metrics'!N74,"")</f>
        <v>7242</v>
      </c>
      <c r="O75" s="13">
        <f>IF(COUNT('Derived Metrics'!O73,'Derived Metrics'!O74)=2,'Derived Metrics'!O73-'Derived Metrics'!O74,"")</f>
        <v>7032</v>
      </c>
      <c r="P75" s="13">
        <f>IF(COUNT('Derived Metrics'!P73,'Derived Metrics'!P74)=2,'Derived Metrics'!P73-'Derived Metrics'!P74,"")</f>
        <v>6201</v>
      </c>
      <c r="Q75" s="13" t="str">
        <f>IF(COUNT('Derived Metrics'!Q73,'Derived Metrics'!Q74)=2,'Derived Metrics'!Q73-'Derived Metrics'!Q74,"")</f>
        <v/>
      </c>
      <c r="R75" s="13">
        <f>IF(COUNT('Derived Metrics'!R73,'Derived Metrics'!R74)=2,'Derived Metrics'!R73-'Derived Metrics'!R74,"")</f>
        <v>7268</v>
      </c>
      <c r="S75" s="13">
        <f>IF(COUNT('Derived Metrics'!S73,'Derived Metrics'!S74)=2,'Derived Metrics'!S73-'Derived Metrics'!S74,"")</f>
        <v>7064</v>
      </c>
      <c r="T75" s="13">
        <f>IF(COUNT('Derived Metrics'!T73,'Derived Metrics'!T74)=2,'Derived Metrics'!T73-'Derived Metrics'!T74,"")</f>
        <v>6788</v>
      </c>
      <c r="U75" s="13">
        <f>IF(COUNT('Derived Metrics'!U73,'Derived Metrics'!U74)=2,'Derived Metrics'!U73-'Derived Metrics'!U74,"")</f>
        <v>7672</v>
      </c>
      <c r="V75" s="13">
        <f>IF(COUNT('Derived Metrics'!V73,'Derived Metrics'!V74)=2,'Derived Metrics'!V73-'Derived Metrics'!V74,"")</f>
        <v>8842</v>
      </c>
      <c r="W75" s="13">
        <f>IF(COUNT('Derived Metrics'!W73,'Derived Metrics'!W74)=2,'Derived Metrics'!W73-'Derived Metrics'!W74,"")</f>
        <v>9282</v>
      </c>
      <c r="X75" s="13">
        <f>IF(COUNT('Derived Metrics'!X73,'Derived Metrics'!X74)=2,'Derived Metrics'!X73-'Derived Metrics'!X74,"")</f>
        <v>10471</v>
      </c>
    </row>
    <row r="76" spans="1:24" ht="22" customHeight="1">
      <c r="A76" s="3" t="s">
        <v>430</v>
      </c>
      <c r="B76" s="1"/>
      <c r="C76" s="14"/>
      <c r="D76" s="14"/>
      <c r="E76" s="14"/>
      <c r="F76" s="14"/>
      <c r="G76" s="14"/>
      <c r="H76" s="14"/>
      <c r="I76" s="14"/>
      <c r="J76" s="14"/>
      <c r="K76" s="14"/>
      <c r="L76" s="14"/>
      <c r="M76" s="15"/>
      <c r="N76" s="13">
        <f>IF(COUNT('Derived Metrics'!N69,'Derived Metrics'!N70)=2,'Derived Metrics'!N69-'Derived Metrics'!N70,"")</f>
        <v>9838</v>
      </c>
      <c r="O76" s="13">
        <f>IF(COUNT('Derived Metrics'!O69,'Derived Metrics'!O70)=2,'Derived Metrics'!O69-'Derived Metrics'!O70,"")</f>
        <v>10198</v>
      </c>
      <c r="P76" s="13">
        <f>IF(COUNT('Derived Metrics'!P69,'Derived Metrics'!P70)=2,'Derived Metrics'!P69-'Derived Metrics'!P70,"")</f>
        <v>10066</v>
      </c>
      <c r="Q76" s="13" t="str">
        <f>IF(COUNT('Derived Metrics'!Q69,'Derived Metrics'!Q70)=2,'Derived Metrics'!Q69-'Derived Metrics'!Q70,"")</f>
        <v/>
      </c>
      <c r="R76" s="13">
        <f>IF(COUNT('Derived Metrics'!R69,'Derived Metrics'!R70)=2,'Derived Metrics'!R69-'Derived Metrics'!R70,"")</f>
        <v>10454</v>
      </c>
      <c r="S76" s="13">
        <f>IF(COUNT('Derived Metrics'!S69,'Derived Metrics'!S70)=2,'Derived Metrics'!S69-'Derived Metrics'!S70,"")</f>
        <v>8679</v>
      </c>
      <c r="T76" s="13">
        <f>IF(COUNT('Derived Metrics'!T69,'Derived Metrics'!T70)=2,'Derived Metrics'!T69-'Derived Metrics'!T70,"")</f>
        <v>8412</v>
      </c>
      <c r="U76" s="13">
        <f>IF(COUNT('Derived Metrics'!U69,'Derived Metrics'!U70)=2,'Derived Metrics'!U69-'Derived Metrics'!U70,"")</f>
        <v>9549</v>
      </c>
      <c r="V76" s="13">
        <f>IF(COUNT('Derived Metrics'!V69,'Derived Metrics'!V70)=2,'Derived Metrics'!V69-'Derived Metrics'!V70,"")</f>
        <v>10046</v>
      </c>
      <c r="W76" s="13">
        <f>IF(COUNT('Derived Metrics'!W69,'Derived Metrics'!W70)=2,'Derived Metrics'!W69-'Derived Metrics'!W70,"")</f>
        <v>11724</v>
      </c>
      <c r="X76" s="13">
        <f>IF(COUNT('Derived Metrics'!X69,'Derived Metrics'!X70)=2,'Derived Metrics'!X69-'Derived Metrics'!X70,"")</f>
        <v>12294</v>
      </c>
    </row>
    <row r="77" spans="1:24" ht="36" customHeight="1">
      <c r="A77" s="21" t="s">
        <v>431</v>
      </c>
      <c r="B77" s="1"/>
      <c r="C77" s="22"/>
      <c r="D77" s="22"/>
      <c r="E77" s="22"/>
      <c r="F77" s="22"/>
      <c r="G77" s="22"/>
      <c r="H77" s="22"/>
      <c r="I77" s="22"/>
      <c r="J77" s="22"/>
      <c r="K77" s="22"/>
      <c r="L77" s="22"/>
      <c r="M77" s="24"/>
      <c r="N77" s="22"/>
      <c r="O77" s="22"/>
      <c r="P77" s="22"/>
      <c r="Q77" s="23">
        <f>IF(COUNT('Derived Metrics'!K49)=1,'Derived Metrics'!K49,"")</f>
        <v>0.12220847259648189</v>
      </c>
      <c r="R77" s="22"/>
      <c r="S77" s="22"/>
      <c r="T77" s="22"/>
      <c r="U77" s="23">
        <f>IF(COUNT('Derived Metrics'!L49)=1,'Derived Metrics'!L49,"")</f>
        <v>0.10605168756455392</v>
      </c>
      <c r="V77" s="22"/>
      <c r="W77" s="22"/>
      <c r="X77" s="22"/>
    </row>
    <row r="78" spans="1:24" ht="22" customHeight="1">
      <c r="A78" s="3"/>
      <c r="B78" s="1"/>
      <c r="C78" s="2"/>
      <c r="D78" s="2"/>
      <c r="E78" s="2"/>
      <c r="F78" s="2"/>
      <c r="G78" s="2"/>
      <c r="H78" s="2"/>
      <c r="I78" s="2"/>
      <c r="J78" s="2"/>
      <c r="K78" s="2"/>
      <c r="L78" s="2"/>
      <c r="M78" s="2"/>
      <c r="N78" s="2"/>
      <c r="O78" s="2"/>
      <c r="P78" s="2"/>
      <c r="Q78" s="2"/>
      <c r="R78" s="2"/>
      <c r="S78" s="2"/>
      <c r="T78" s="2"/>
      <c r="U78" s="2"/>
      <c r="V78" s="2"/>
      <c r="W78" s="2"/>
      <c r="X78" s="2"/>
    </row>
    <row r="79" spans="1:24" ht="22" customHeight="1"/>
  </sheetData>
  <mergeCells count="17">
    <mergeCell ref="A67:X67"/>
    <mergeCell ref="A41:X41"/>
    <mergeCell ref="A42:X42"/>
    <mergeCell ref="A53:X53"/>
    <mergeCell ref="A54:X54"/>
    <mergeCell ref="A66:X66"/>
    <mergeCell ref="C9:L9"/>
    <mergeCell ref="N9:X9"/>
    <mergeCell ref="A14:X14"/>
    <mergeCell ref="A22:X22"/>
    <mergeCell ref="A34:X34"/>
    <mergeCell ref="A1:X1"/>
    <mergeCell ref="A2:X2"/>
    <mergeCell ref="C7:L7"/>
    <mergeCell ref="N7:X7"/>
    <mergeCell ref="C8:L8"/>
    <mergeCell ref="N8:X8"/>
  </mergeCells>
  <phoneticPr fontId="44" type="noConversion"/>
  <hyperlinks>
    <hyperlink ref="A3" location="'Contents'!A1" display="Metric (Return to Contents)" xr:uid="{00000000-0004-0000-0700-000000000000}"/>
    <hyperlink ref="C7" location="'Derived Metrics'!A14" display="Profitability" xr:uid="{00000000-0004-0000-0700-000001000000}"/>
    <hyperlink ref="N7" location="'Derived Metrics'!A22" display="Cash generation and shareholder returns" xr:uid="{00000000-0004-0000-0700-000002000000}"/>
    <hyperlink ref="C8" location="'Derived Metrics'!A34" display="Debt and cash" xr:uid="{00000000-0004-0000-0700-000003000000}"/>
    <hyperlink ref="N8" location="'Derived Metrics'!A41" display="Operating invested capital and returns" xr:uid="{00000000-0004-0000-0700-000004000000}"/>
    <hyperlink ref="C9" location="'Derived Metrics'!A53" display="Working capital and turnover" xr:uid="{00000000-0004-0000-0700-000005000000}"/>
    <hyperlink ref="N9" location="'Derived Metrics'!A66" display="Recent trailing twelve months" xr:uid="{00000000-0004-0000-0700-000006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B08958"/>
  </sheetPr>
  <dimension ref="A1:X410"/>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432</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433</v>
      </c>
      <c r="D7" s="176"/>
      <c r="E7" s="176"/>
      <c r="F7" s="176"/>
      <c r="G7" s="176"/>
      <c r="H7" s="176"/>
      <c r="I7" s="176"/>
      <c r="J7" s="176"/>
      <c r="K7" s="176"/>
      <c r="L7" s="176"/>
      <c r="M7" s="2"/>
      <c r="N7" s="176" t="s">
        <v>253</v>
      </c>
      <c r="O7" s="176"/>
      <c r="P7" s="176"/>
      <c r="Q7" s="176"/>
      <c r="R7" s="176"/>
      <c r="S7" s="176"/>
      <c r="T7" s="176"/>
      <c r="U7" s="176"/>
      <c r="V7" s="176"/>
      <c r="W7" s="176"/>
      <c r="X7" s="176"/>
    </row>
    <row r="8" spans="1:24" ht="22" customHeight="1">
      <c r="A8" s="3"/>
      <c r="B8" s="1"/>
      <c r="C8" s="176" t="s">
        <v>271</v>
      </c>
      <c r="D8" s="176"/>
      <c r="E8" s="176"/>
      <c r="F8" s="176"/>
      <c r="G8" s="176"/>
      <c r="H8" s="176"/>
      <c r="I8" s="176"/>
      <c r="J8" s="176"/>
      <c r="K8" s="176"/>
      <c r="L8" s="176"/>
      <c r="M8" s="2"/>
      <c r="N8" s="176" t="s">
        <v>434</v>
      </c>
      <c r="O8" s="176"/>
      <c r="P8" s="176"/>
      <c r="Q8" s="176"/>
      <c r="R8" s="176"/>
      <c r="S8" s="176"/>
      <c r="T8" s="176"/>
      <c r="U8" s="176"/>
      <c r="V8" s="176"/>
      <c r="W8" s="176"/>
      <c r="X8" s="176"/>
    </row>
    <row r="9" spans="1:24" ht="22" customHeight="1">
      <c r="A9" s="3"/>
      <c r="B9" s="1"/>
      <c r="C9" s="176" t="s">
        <v>435</v>
      </c>
      <c r="D9" s="176"/>
      <c r="E9" s="176"/>
      <c r="F9" s="176"/>
      <c r="G9" s="176"/>
      <c r="H9" s="176"/>
      <c r="I9" s="176"/>
      <c r="J9" s="176"/>
      <c r="K9" s="176"/>
      <c r="L9" s="176"/>
      <c r="M9" s="2"/>
      <c r="N9" s="176" t="s">
        <v>436</v>
      </c>
      <c r="O9" s="176"/>
      <c r="P9" s="176"/>
      <c r="Q9" s="176"/>
      <c r="R9" s="176"/>
      <c r="S9" s="176"/>
      <c r="T9" s="176"/>
      <c r="U9" s="176"/>
      <c r="V9" s="176"/>
      <c r="W9" s="176"/>
      <c r="X9" s="176"/>
    </row>
    <row r="10" spans="1:24" ht="22" customHeight="1">
      <c r="A10" s="3"/>
      <c r="B10" s="1"/>
      <c r="C10" s="176" t="s">
        <v>437</v>
      </c>
      <c r="D10" s="176"/>
      <c r="E10" s="176"/>
      <c r="F10" s="176"/>
      <c r="G10" s="176"/>
      <c r="H10" s="176"/>
      <c r="I10" s="176"/>
      <c r="J10" s="176"/>
      <c r="K10" s="176"/>
      <c r="L10" s="176"/>
      <c r="M10" s="2"/>
      <c r="N10" s="176" t="s">
        <v>438</v>
      </c>
      <c r="O10" s="176"/>
      <c r="P10" s="176"/>
      <c r="Q10" s="176"/>
      <c r="R10" s="176"/>
      <c r="S10" s="176"/>
      <c r="T10" s="176"/>
      <c r="U10" s="176"/>
      <c r="V10" s="176"/>
      <c r="W10" s="176"/>
      <c r="X10" s="176"/>
    </row>
    <row r="11" spans="1:24" ht="22" customHeight="1">
      <c r="A11" s="3"/>
      <c r="B11" s="1"/>
      <c r="C11" s="176" t="s">
        <v>372</v>
      </c>
      <c r="D11" s="176"/>
      <c r="E11" s="176"/>
      <c r="F11" s="176"/>
      <c r="G11" s="176"/>
      <c r="H11" s="176"/>
      <c r="I11" s="176"/>
      <c r="J11" s="176"/>
      <c r="K11" s="176"/>
      <c r="L11" s="176"/>
      <c r="M11" s="2"/>
      <c r="N11" s="176" t="s">
        <v>439</v>
      </c>
      <c r="O11" s="176"/>
      <c r="P11" s="176"/>
      <c r="Q11" s="176"/>
      <c r="R11" s="176"/>
      <c r="S11" s="176"/>
      <c r="T11" s="176"/>
      <c r="U11" s="176"/>
      <c r="V11" s="176"/>
      <c r="W11" s="176"/>
      <c r="X11" s="176"/>
    </row>
    <row r="12" spans="1:24" ht="22" customHeight="1">
      <c r="A12" s="3"/>
      <c r="B12" s="1"/>
      <c r="C12" s="176" t="s">
        <v>440</v>
      </c>
      <c r="D12" s="176"/>
      <c r="E12" s="176"/>
      <c r="F12" s="176"/>
      <c r="G12" s="176"/>
      <c r="H12" s="176"/>
      <c r="I12" s="176"/>
      <c r="J12" s="176"/>
      <c r="K12" s="176"/>
      <c r="L12" s="176"/>
      <c r="M12" s="2"/>
      <c r="N12" s="176" t="s">
        <v>441</v>
      </c>
      <c r="O12" s="176"/>
      <c r="P12" s="176"/>
      <c r="Q12" s="176"/>
      <c r="R12" s="176"/>
      <c r="S12" s="176"/>
      <c r="T12" s="176"/>
      <c r="U12" s="176"/>
      <c r="V12" s="176"/>
      <c r="W12" s="176"/>
      <c r="X12" s="176"/>
    </row>
    <row r="13" spans="1:24" ht="22" customHeight="1">
      <c r="A13" s="3"/>
      <c r="B13" s="1"/>
      <c r="C13" s="176" t="s">
        <v>442</v>
      </c>
      <c r="D13" s="176"/>
      <c r="E13" s="176"/>
      <c r="F13" s="176"/>
      <c r="G13" s="176"/>
      <c r="H13" s="176"/>
      <c r="I13" s="176"/>
      <c r="J13" s="176"/>
      <c r="K13" s="176"/>
      <c r="L13" s="176"/>
      <c r="M13" s="2"/>
      <c r="N13" s="176" t="s">
        <v>443</v>
      </c>
      <c r="O13" s="176"/>
      <c r="P13" s="176"/>
      <c r="Q13" s="176"/>
      <c r="R13" s="176"/>
      <c r="S13" s="176"/>
      <c r="T13" s="176"/>
      <c r="U13" s="176"/>
      <c r="V13" s="176"/>
      <c r="W13" s="176"/>
      <c r="X13" s="176"/>
    </row>
    <row r="14" spans="1:24" ht="22" customHeight="1">
      <c r="A14" s="3"/>
      <c r="B14" s="1"/>
      <c r="C14" s="176" t="s">
        <v>444</v>
      </c>
      <c r="D14" s="176"/>
      <c r="E14" s="176"/>
      <c r="F14" s="176"/>
      <c r="G14" s="176"/>
      <c r="H14" s="176"/>
      <c r="I14" s="176"/>
      <c r="J14" s="176"/>
      <c r="K14" s="176"/>
      <c r="L14" s="176"/>
      <c r="M14" s="2"/>
      <c r="N14" s="176" t="s">
        <v>445</v>
      </c>
      <c r="O14" s="176"/>
      <c r="P14" s="176"/>
      <c r="Q14" s="176"/>
      <c r="R14" s="176"/>
      <c r="S14" s="176"/>
      <c r="T14" s="176"/>
      <c r="U14" s="176"/>
      <c r="V14" s="176"/>
      <c r="W14" s="176"/>
      <c r="X14" s="176"/>
    </row>
    <row r="15" spans="1:24" ht="22" customHeight="1">
      <c r="A15" s="3"/>
      <c r="B15" s="1"/>
      <c r="C15" s="2"/>
      <c r="D15" s="2"/>
      <c r="E15" s="2"/>
      <c r="F15" s="2"/>
      <c r="G15" s="2"/>
      <c r="H15" s="2"/>
      <c r="I15" s="2"/>
      <c r="J15" s="2"/>
      <c r="K15" s="2"/>
      <c r="L15" s="2"/>
      <c r="M15" s="2"/>
      <c r="N15" s="2"/>
      <c r="O15" s="2"/>
      <c r="P15" s="2"/>
      <c r="Q15" s="2"/>
      <c r="R15" s="2"/>
      <c r="S15" s="2"/>
      <c r="T15" s="2"/>
      <c r="U15" s="2"/>
      <c r="V15" s="2"/>
      <c r="W15" s="2"/>
      <c r="X15" s="2"/>
    </row>
    <row r="16" spans="1:24" ht="22" customHeight="1">
      <c r="A16" s="3"/>
      <c r="B16" s="1"/>
      <c r="C16" s="2"/>
      <c r="D16" s="2"/>
      <c r="E16" s="2"/>
      <c r="F16" s="2"/>
      <c r="G16" s="2"/>
      <c r="H16" s="2"/>
      <c r="I16" s="2"/>
      <c r="J16" s="2"/>
      <c r="K16" s="2"/>
      <c r="L16" s="2"/>
      <c r="M16" s="2"/>
      <c r="N16" s="2"/>
      <c r="O16" s="2"/>
      <c r="P16" s="2"/>
      <c r="Q16" s="2"/>
      <c r="R16" s="2"/>
      <c r="S16" s="2"/>
      <c r="T16" s="2"/>
      <c r="U16" s="2"/>
      <c r="V16" s="2"/>
      <c r="W16" s="2"/>
      <c r="X16" s="2"/>
    </row>
    <row r="17" spans="1:24" ht="22" customHeight="1">
      <c r="A17" s="3"/>
      <c r="B17" s="1"/>
      <c r="C17" s="2"/>
      <c r="D17" s="2"/>
      <c r="E17" s="2"/>
      <c r="F17" s="2"/>
      <c r="G17" s="2"/>
      <c r="H17" s="2"/>
      <c r="I17" s="2"/>
      <c r="J17" s="2"/>
      <c r="K17" s="2"/>
      <c r="L17" s="2"/>
      <c r="M17" s="2"/>
      <c r="N17" s="2"/>
      <c r="O17" s="2"/>
      <c r="P17" s="2"/>
      <c r="Q17" s="2"/>
      <c r="R17" s="2"/>
      <c r="S17" s="2"/>
      <c r="T17" s="2"/>
      <c r="U17" s="2"/>
      <c r="V17" s="2"/>
      <c r="W17" s="2"/>
      <c r="X17" s="2"/>
    </row>
    <row r="18" spans="1:24" ht="22" customHeight="1">
      <c r="A18" s="174" t="s">
        <v>433</v>
      </c>
      <c r="B18" s="174"/>
      <c r="C18" s="175"/>
      <c r="D18" s="175"/>
      <c r="E18" s="175"/>
      <c r="F18" s="175"/>
      <c r="G18" s="175"/>
      <c r="H18" s="175"/>
      <c r="I18" s="175"/>
      <c r="J18" s="175"/>
      <c r="K18" s="175"/>
      <c r="L18" s="175"/>
      <c r="M18" s="175"/>
      <c r="N18" s="175"/>
      <c r="O18" s="175"/>
      <c r="P18" s="175"/>
      <c r="Q18" s="175"/>
      <c r="R18" s="175"/>
      <c r="S18" s="175"/>
      <c r="T18" s="175"/>
      <c r="U18" s="175"/>
      <c r="V18" s="175"/>
      <c r="W18" s="175"/>
      <c r="X18" s="175"/>
    </row>
    <row r="19" spans="1:24" ht="22" customHeight="1">
      <c r="A19" s="3" t="s">
        <v>446</v>
      </c>
      <c r="B19" s="1"/>
      <c r="C19" s="14">
        <v>5709</v>
      </c>
      <c r="D19" s="14">
        <v>5956</v>
      </c>
      <c r="E19" s="14">
        <v>6079</v>
      </c>
      <c r="F19" s="14">
        <v>6447</v>
      </c>
      <c r="G19" s="14">
        <v>6892</v>
      </c>
      <c r="H19" s="14">
        <v>7172</v>
      </c>
      <c r="I19" s="14">
        <v>8192</v>
      </c>
      <c r="J19" s="14">
        <v>8675</v>
      </c>
      <c r="K19" s="14">
        <v>8487</v>
      </c>
      <c r="L19" s="14">
        <v>9265</v>
      </c>
      <c r="M19" s="15"/>
      <c r="N19" s="14"/>
      <c r="O19" s="14"/>
      <c r="P19" s="14"/>
      <c r="Q19" s="14"/>
      <c r="R19" s="14"/>
      <c r="S19" s="14"/>
      <c r="T19" s="14"/>
      <c r="U19" s="14"/>
      <c r="V19" s="14"/>
      <c r="W19" s="14"/>
      <c r="X19" s="14"/>
    </row>
    <row r="20" spans="1:24" ht="22" customHeight="1">
      <c r="A20" s="3" t="s">
        <v>447</v>
      </c>
      <c r="B20" s="1"/>
      <c r="C20" s="14">
        <v>1119</v>
      </c>
      <c r="D20" s="14">
        <v>1197</v>
      </c>
      <c r="E20" s="14">
        <v>1164</v>
      </c>
      <c r="F20" s="14">
        <v>1480</v>
      </c>
      <c r="G20" s="14">
        <v>1713</v>
      </c>
      <c r="H20" s="14">
        <v>1655</v>
      </c>
      <c r="I20" s="14">
        <v>2121</v>
      </c>
      <c r="J20" s="14">
        <v>2315</v>
      </c>
      <c r="K20" s="14">
        <v>2202</v>
      </c>
      <c r="L20" s="14">
        <v>2471</v>
      </c>
      <c r="M20" s="15"/>
      <c r="N20" s="14"/>
      <c r="O20" s="14"/>
      <c r="P20" s="14"/>
      <c r="Q20" s="14"/>
      <c r="R20" s="14"/>
      <c r="S20" s="14"/>
      <c r="T20" s="14"/>
      <c r="U20" s="14"/>
      <c r="V20" s="14"/>
      <c r="W20" s="14"/>
      <c r="X20" s="14"/>
    </row>
    <row r="21" spans="1:24" ht="22" customHeight="1">
      <c r="A21" s="3" t="s">
        <v>448</v>
      </c>
      <c r="B21" s="1"/>
      <c r="C21" s="14">
        <v>130</v>
      </c>
      <c r="D21" s="14">
        <v>134</v>
      </c>
      <c r="E21" s="14">
        <v>129</v>
      </c>
      <c r="F21" s="14">
        <v>101</v>
      </c>
      <c r="G21" s="14">
        <v>105</v>
      </c>
      <c r="H21" s="14">
        <v>201</v>
      </c>
      <c r="I21" s="14">
        <v>147</v>
      </c>
      <c r="J21" s="14">
        <v>150</v>
      </c>
      <c r="K21" s="14">
        <v>175</v>
      </c>
      <c r="L21" s="14">
        <v>356</v>
      </c>
      <c r="M21" s="15"/>
      <c r="N21" s="14"/>
      <c r="O21" s="14"/>
      <c r="P21" s="14"/>
      <c r="Q21" s="14"/>
      <c r="R21" s="14"/>
      <c r="S21" s="14"/>
      <c r="T21" s="14"/>
      <c r="U21" s="14"/>
      <c r="V21" s="14"/>
      <c r="W21" s="14"/>
      <c r="X21" s="14"/>
    </row>
    <row r="22" spans="1:24" ht="22" customHeight="1">
      <c r="A22" s="3" t="s">
        <v>449</v>
      </c>
      <c r="B22" s="1"/>
      <c r="C22" s="14">
        <v>37</v>
      </c>
      <c r="D22" s="14">
        <v>26</v>
      </c>
      <c r="E22" s="14">
        <v>16</v>
      </c>
      <c r="F22" s="14">
        <v>22</v>
      </c>
      <c r="G22" s="14">
        <v>79</v>
      </c>
      <c r="H22" s="14">
        <v>-19</v>
      </c>
      <c r="I22" s="14">
        <v>21</v>
      </c>
      <c r="J22" s="14">
        <v>55</v>
      </c>
      <c r="K22" s="14">
        <v>228</v>
      </c>
      <c r="L22" s="14">
        <v>61</v>
      </c>
      <c r="M22" s="15"/>
      <c r="N22" s="14"/>
      <c r="O22" s="14"/>
      <c r="P22" s="14"/>
      <c r="Q22" s="14"/>
      <c r="R22" s="14"/>
      <c r="S22" s="14"/>
      <c r="T22" s="14"/>
      <c r="U22" s="14"/>
      <c r="V22" s="14"/>
      <c r="W22" s="14"/>
      <c r="X22" s="14"/>
    </row>
    <row r="23" spans="1:24" ht="22" customHeight="1">
      <c r="A23" s="3" t="s">
        <v>450</v>
      </c>
      <c r="B23" s="1"/>
      <c r="C23" s="14">
        <v>-30</v>
      </c>
      <c r="D23" s="14">
        <v>-35</v>
      </c>
      <c r="E23" s="14">
        <v>-33</v>
      </c>
      <c r="F23" s="14">
        <v>-30</v>
      </c>
      <c r="G23" s="14">
        <v>-32</v>
      </c>
      <c r="H23" s="14">
        <v>-25</v>
      </c>
      <c r="I23" s="14">
        <v>-12</v>
      </c>
      <c r="J23" s="14">
        <v>-26</v>
      </c>
      <c r="K23" s="14">
        <v>-36</v>
      </c>
      <c r="L23" s="14">
        <v>-55</v>
      </c>
      <c r="M23" s="15"/>
      <c r="N23" s="14"/>
      <c r="O23" s="14"/>
      <c r="P23" s="14"/>
      <c r="Q23" s="14"/>
      <c r="R23" s="14"/>
      <c r="S23" s="14"/>
      <c r="T23" s="14"/>
      <c r="U23" s="14"/>
      <c r="V23" s="14"/>
      <c r="W23" s="14"/>
      <c r="X23" s="14"/>
    </row>
    <row r="24" spans="1:24" ht="22" customHeight="1">
      <c r="A24" s="3" t="s">
        <v>451</v>
      </c>
      <c r="B24" s="1"/>
      <c r="C24" s="14">
        <v>-3</v>
      </c>
      <c r="D24" s="14">
        <v>4</v>
      </c>
      <c r="E24" s="14">
        <v>-11</v>
      </c>
      <c r="F24" s="14">
        <v>12</v>
      </c>
      <c r="G24" s="14">
        <v>5</v>
      </c>
      <c r="H24" s="14">
        <v>-10</v>
      </c>
      <c r="I24" s="14">
        <v>-6</v>
      </c>
      <c r="J24" s="14">
        <v>-4</v>
      </c>
      <c r="K24" s="14"/>
      <c r="L24" s="14"/>
      <c r="M24" s="15"/>
      <c r="N24" s="14"/>
      <c r="O24" s="14"/>
      <c r="P24" s="14"/>
      <c r="Q24" s="14"/>
      <c r="R24" s="14"/>
      <c r="S24" s="14"/>
      <c r="T24" s="14"/>
      <c r="U24" s="14"/>
      <c r="V24" s="14"/>
      <c r="W24" s="14"/>
      <c r="X24" s="14"/>
    </row>
    <row r="25" spans="1:24" ht="22" customHeight="1">
      <c r="A25" s="3" t="s">
        <v>452</v>
      </c>
      <c r="B25" s="1"/>
      <c r="C25" s="14">
        <v>134</v>
      </c>
      <c r="D25" s="14">
        <v>129</v>
      </c>
      <c r="E25" s="14">
        <v>101</v>
      </c>
      <c r="F25" s="14">
        <v>105</v>
      </c>
      <c r="G25" s="14">
        <v>201</v>
      </c>
      <c r="H25" s="14">
        <v>147</v>
      </c>
      <c r="I25" s="14">
        <v>150</v>
      </c>
      <c r="J25" s="14">
        <v>175</v>
      </c>
      <c r="K25" s="14">
        <v>356</v>
      </c>
      <c r="L25" s="14">
        <v>230</v>
      </c>
      <c r="M25" s="15"/>
      <c r="N25" s="14"/>
      <c r="O25" s="14"/>
      <c r="P25" s="14"/>
      <c r="Q25" s="14"/>
      <c r="R25" s="14"/>
      <c r="S25" s="14"/>
      <c r="T25" s="14"/>
      <c r="U25" s="14"/>
      <c r="V25" s="14"/>
      <c r="W25" s="14"/>
      <c r="X25" s="14"/>
    </row>
    <row r="26" spans="1:24" ht="22" customHeight="1">
      <c r="A26" s="3" t="s">
        <v>453</v>
      </c>
      <c r="B26" s="1"/>
      <c r="C26" s="14">
        <v>6694</v>
      </c>
      <c r="D26" s="14">
        <v>7024</v>
      </c>
      <c r="E26" s="14">
        <v>7142</v>
      </c>
      <c r="F26" s="14">
        <v>7822</v>
      </c>
      <c r="G26" s="14">
        <v>8404</v>
      </c>
      <c r="H26" s="14">
        <v>8680</v>
      </c>
      <c r="I26" s="14">
        <v>10163</v>
      </c>
      <c r="J26" s="14"/>
      <c r="K26" s="14"/>
      <c r="L26" s="14"/>
      <c r="M26" s="15"/>
      <c r="N26" s="14"/>
      <c r="O26" s="14"/>
      <c r="P26" s="14"/>
      <c r="Q26" s="14"/>
      <c r="R26" s="14"/>
      <c r="S26" s="14"/>
      <c r="T26" s="14"/>
      <c r="U26" s="14"/>
      <c r="V26" s="14"/>
      <c r="W26" s="14"/>
      <c r="X26" s="14"/>
    </row>
    <row r="27" spans="1:24" ht="22" customHeight="1">
      <c r="A27" s="3" t="s">
        <v>249</v>
      </c>
      <c r="B27" s="1"/>
      <c r="C27" s="14"/>
      <c r="D27" s="14"/>
      <c r="E27" s="14"/>
      <c r="F27" s="14"/>
      <c r="G27" s="14"/>
      <c r="H27" s="14"/>
      <c r="I27" s="14">
        <v>10163</v>
      </c>
      <c r="J27" s="14">
        <v>10815</v>
      </c>
      <c r="K27" s="14">
        <v>10333</v>
      </c>
      <c r="L27" s="14">
        <v>11506</v>
      </c>
      <c r="M27" s="15"/>
      <c r="N27" s="14"/>
      <c r="O27" s="14"/>
      <c r="P27" s="14"/>
      <c r="Q27" s="14"/>
      <c r="R27" s="14"/>
      <c r="S27" s="14"/>
      <c r="T27" s="14"/>
      <c r="U27" s="14"/>
      <c r="V27" s="14"/>
      <c r="W27" s="14"/>
      <c r="X27" s="14"/>
    </row>
    <row r="28" spans="1:24" ht="22" customHeight="1">
      <c r="A28" s="3" t="s">
        <v>454</v>
      </c>
      <c r="B28" s="1"/>
      <c r="C28" s="14"/>
      <c r="D28" s="14"/>
      <c r="E28" s="14"/>
      <c r="F28" s="14"/>
      <c r="G28" s="14"/>
      <c r="H28" s="14"/>
      <c r="I28" s="14">
        <v>-6</v>
      </c>
      <c r="J28" s="14">
        <v>-4</v>
      </c>
      <c r="K28" s="14">
        <v>-11</v>
      </c>
      <c r="L28" s="14">
        <v>-132</v>
      </c>
      <c r="M28" s="15"/>
      <c r="N28" s="14"/>
      <c r="O28" s="14"/>
      <c r="P28" s="14"/>
      <c r="Q28" s="14"/>
      <c r="R28" s="14"/>
      <c r="S28" s="14"/>
      <c r="T28" s="14"/>
      <c r="U28" s="14"/>
      <c r="V28" s="14"/>
      <c r="W28" s="14"/>
      <c r="X28" s="14"/>
    </row>
    <row r="29" spans="1:24" ht="22" customHeight="1">
      <c r="A29" s="3"/>
      <c r="B29" s="1"/>
      <c r="C29" s="2"/>
      <c r="D29" s="2"/>
      <c r="E29" s="2"/>
      <c r="F29" s="2"/>
      <c r="G29" s="2"/>
      <c r="H29" s="2"/>
      <c r="I29" s="2"/>
      <c r="J29" s="2"/>
      <c r="K29" s="2"/>
      <c r="L29" s="2"/>
      <c r="M29" s="2"/>
      <c r="N29" s="2"/>
      <c r="O29" s="2"/>
      <c r="P29" s="2"/>
      <c r="Q29" s="2"/>
      <c r="R29" s="2"/>
      <c r="S29" s="2"/>
      <c r="T29" s="2"/>
      <c r="U29" s="2"/>
      <c r="V29" s="2"/>
      <c r="W29" s="2"/>
      <c r="X29" s="2"/>
    </row>
    <row r="30" spans="1:24" ht="22" customHeight="1">
      <c r="A30" s="174" t="s">
        <v>253</v>
      </c>
      <c r="B30" s="174"/>
      <c r="C30" s="175"/>
      <c r="D30" s="175"/>
      <c r="E30" s="175"/>
      <c r="F30" s="175"/>
      <c r="G30" s="175"/>
      <c r="H30" s="175"/>
      <c r="I30" s="175"/>
      <c r="J30" s="175"/>
      <c r="K30" s="175"/>
      <c r="L30" s="175"/>
      <c r="M30" s="175"/>
      <c r="N30" s="175"/>
      <c r="O30" s="175"/>
      <c r="P30" s="175"/>
      <c r="Q30" s="175"/>
      <c r="R30" s="175"/>
      <c r="S30" s="175"/>
      <c r="T30" s="175"/>
      <c r="U30" s="175"/>
      <c r="V30" s="175"/>
      <c r="W30" s="175"/>
      <c r="X30" s="175"/>
    </row>
    <row r="31" spans="1:24" ht="22" customHeight="1">
      <c r="A31" s="3" t="s">
        <v>455</v>
      </c>
      <c r="B31" s="1"/>
      <c r="C31" s="14">
        <v>1315</v>
      </c>
      <c r="D31" s="14">
        <v>1344</v>
      </c>
      <c r="E31" s="14">
        <v>1312</v>
      </c>
      <c r="F31" s="14">
        <v>1395</v>
      </c>
      <c r="G31" s="14">
        <v>1720</v>
      </c>
      <c r="H31" s="14">
        <v>1898</v>
      </c>
      <c r="I31" s="14">
        <v>2366</v>
      </c>
      <c r="J31" s="14"/>
      <c r="K31" s="14"/>
      <c r="L31" s="14"/>
      <c r="M31" s="15"/>
      <c r="N31" s="14"/>
      <c r="O31" s="14"/>
      <c r="P31" s="14"/>
      <c r="Q31" s="14"/>
      <c r="R31" s="14"/>
      <c r="S31" s="14"/>
      <c r="T31" s="14"/>
      <c r="U31" s="14"/>
      <c r="V31" s="14"/>
      <c r="W31" s="14"/>
      <c r="X31" s="14"/>
    </row>
    <row r="32" spans="1:24" ht="22" customHeight="1">
      <c r="A32" s="3" t="s">
        <v>456</v>
      </c>
      <c r="B32" s="1"/>
      <c r="C32" s="14">
        <v>150</v>
      </c>
      <c r="D32" s="14">
        <v>167</v>
      </c>
      <c r="E32" s="14">
        <v>178</v>
      </c>
      <c r="F32" s="14">
        <v>200</v>
      </c>
      <c r="G32" s="14">
        <v>205</v>
      </c>
      <c r="H32" s="14">
        <v>151</v>
      </c>
      <c r="I32" s="14">
        <v>114</v>
      </c>
      <c r="J32" s="14"/>
      <c r="K32" s="14"/>
      <c r="L32" s="14"/>
      <c r="M32" s="15"/>
      <c r="N32" s="14"/>
      <c r="O32" s="14"/>
      <c r="P32" s="14"/>
      <c r="Q32" s="14"/>
      <c r="R32" s="14"/>
      <c r="S32" s="14"/>
      <c r="T32" s="14"/>
      <c r="U32" s="14"/>
      <c r="V32" s="14"/>
      <c r="W32" s="14"/>
      <c r="X32" s="14"/>
    </row>
    <row r="33" spans="1:24" ht="22" customHeight="1">
      <c r="A33" s="3" t="s">
        <v>457</v>
      </c>
      <c r="B33" s="1"/>
      <c r="C33" s="14">
        <v>1258</v>
      </c>
      <c r="D33" s="14">
        <v>1436</v>
      </c>
      <c r="E33" s="14">
        <v>1638</v>
      </c>
      <c r="F33" s="14">
        <v>1743</v>
      </c>
      <c r="G33" s="14">
        <v>2247</v>
      </c>
      <c r="H33" s="14">
        <v>2298</v>
      </c>
      <c r="I33" s="14">
        <v>2742</v>
      </c>
      <c r="J33" s="14"/>
      <c r="K33" s="14"/>
      <c r="L33" s="14"/>
      <c r="M33" s="15"/>
      <c r="N33" s="14"/>
      <c r="O33" s="14"/>
      <c r="P33" s="14"/>
      <c r="Q33" s="14"/>
      <c r="R33" s="14"/>
      <c r="S33" s="14"/>
      <c r="T33" s="14"/>
      <c r="U33" s="14"/>
      <c r="V33" s="14"/>
      <c r="W33" s="14"/>
      <c r="X33" s="14"/>
    </row>
    <row r="34" spans="1:24" ht="22" customHeight="1">
      <c r="A34" s="3"/>
      <c r="B34" s="1"/>
      <c r="C34" s="2"/>
      <c r="D34" s="2"/>
      <c r="E34" s="2"/>
      <c r="F34" s="2"/>
      <c r="G34" s="2"/>
      <c r="H34" s="2"/>
      <c r="I34" s="2"/>
      <c r="J34" s="2"/>
      <c r="K34" s="2"/>
      <c r="L34" s="2"/>
      <c r="M34" s="2"/>
      <c r="N34" s="2"/>
      <c r="O34" s="2"/>
      <c r="P34" s="2"/>
      <c r="Q34" s="2"/>
      <c r="R34" s="2"/>
      <c r="S34" s="2"/>
      <c r="T34" s="2"/>
      <c r="U34" s="2"/>
      <c r="V34" s="2"/>
      <c r="W34" s="2"/>
      <c r="X34" s="2"/>
    </row>
    <row r="35" spans="1:24" ht="22" customHeight="1">
      <c r="A35" s="174" t="s">
        <v>271</v>
      </c>
      <c r="B35" s="174"/>
      <c r="C35" s="175"/>
      <c r="D35" s="175"/>
      <c r="E35" s="175"/>
      <c r="F35" s="175"/>
      <c r="G35" s="175"/>
      <c r="H35" s="175"/>
      <c r="I35" s="175"/>
      <c r="J35" s="175"/>
      <c r="K35" s="175"/>
      <c r="L35" s="175"/>
      <c r="M35" s="175"/>
      <c r="N35" s="175"/>
      <c r="O35" s="175"/>
      <c r="P35" s="175"/>
      <c r="Q35" s="175"/>
      <c r="R35" s="175"/>
      <c r="S35" s="175"/>
      <c r="T35" s="175"/>
      <c r="U35" s="175"/>
      <c r="V35" s="175"/>
      <c r="W35" s="175"/>
      <c r="X35" s="175"/>
    </row>
    <row r="36" spans="1:24" ht="22" customHeight="1">
      <c r="A36" s="3" t="s">
        <v>458</v>
      </c>
      <c r="B36" s="1"/>
      <c r="C36" s="14">
        <v>6158</v>
      </c>
      <c r="D36" s="14">
        <v>6727</v>
      </c>
      <c r="E36" s="14">
        <v>7213</v>
      </c>
      <c r="F36" s="14">
        <v>8013</v>
      </c>
      <c r="G36" s="14">
        <v>8853</v>
      </c>
      <c r="H36" s="14">
        <v>9834</v>
      </c>
      <c r="I36" s="14">
        <v>10732</v>
      </c>
      <c r="J36" s="14">
        <v>11635</v>
      </c>
      <c r="K36" s="14">
        <v>10997</v>
      </c>
      <c r="L36" s="14">
        <v>11704</v>
      </c>
      <c r="M36" s="15"/>
      <c r="N36" s="14"/>
      <c r="O36" s="14"/>
      <c r="P36" s="14"/>
      <c r="Q36" s="14"/>
      <c r="R36" s="14"/>
      <c r="S36" s="14"/>
      <c r="T36" s="14"/>
      <c r="U36" s="14"/>
      <c r="V36" s="14"/>
      <c r="W36" s="14"/>
      <c r="X36" s="14"/>
    </row>
    <row r="37" spans="1:24" ht="22" customHeight="1">
      <c r="A37" s="3" t="s">
        <v>459</v>
      </c>
      <c r="B37" s="1"/>
      <c r="C37" s="14">
        <v>2444</v>
      </c>
      <c r="D37" s="14">
        <v>2390</v>
      </c>
      <c r="E37" s="14">
        <v>2541</v>
      </c>
      <c r="F37" s="14">
        <v>2765</v>
      </c>
      <c r="G37" s="14">
        <v>2935</v>
      </c>
      <c r="H37" s="14">
        <v>3087</v>
      </c>
      <c r="I37" s="14">
        <v>3637</v>
      </c>
      <c r="J37" s="14">
        <v>3523</v>
      </c>
      <c r="K37" s="14">
        <v>3458</v>
      </c>
      <c r="L37" s="14">
        <v>3512</v>
      </c>
      <c r="M37" s="15"/>
      <c r="N37" s="14"/>
      <c r="O37" s="14"/>
      <c r="P37" s="14"/>
      <c r="Q37" s="14"/>
      <c r="R37" s="14"/>
      <c r="S37" s="14"/>
      <c r="T37" s="14"/>
      <c r="U37" s="14"/>
      <c r="V37" s="14"/>
      <c r="W37" s="14"/>
      <c r="X37" s="14"/>
    </row>
    <row r="38" spans="1:24" ht="22" customHeight="1">
      <c r="A38" s="3" t="s">
        <v>460</v>
      </c>
      <c r="B38" s="1"/>
      <c r="C38" s="14">
        <v>1770</v>
      </c>
      <c r="D38" s="14">
        <v>1785</v>
      </c>
      <c r="E38" s="14">
        <v>1755</v>
      </c>
      <c r="F38" s="14">
        <v>1835</v>
      </c>
      <c r="G38" s="14">
        <v>2059</v>
      </c>
      <c r="H38" s="14">
        <v>2324</v>
      </c>
      <c r="I38" s="14">
        <v>2519</v>
      </c>
      <c r="J38" s="14">
        <v>2687</v>
      </c>
      <c r="K38" s="14">
        <v>2256</v>
      </c>
      <c r="L38" s="14">
        <v>2230</v>
      </c>
      <c r="M38" s="15"/>
      <c r="N38" s="14"/>
      <c r="O38" s="14"/>
      <c r="P38" s="14"/>
      <c r="Q38" s="14"/>
      <c r="R38" s="14"/>
      <c r="S38" s="14"/>
      <c r="T38" s="14"/>
      <c r="U38" s="14"/>
      <c r="V38" s="14"/>
      <c r="W38" s="14"/>
      <c r="X38" s="14"/>
    </row>
    <row r="39" spans="1:24" ht="22" customHeight="1">
      <c r="A39" s="3" t="s">
        <v>461</v>
      </c>
      <c r="B39" s="1"/>
      <c r="C39" s="14">
        <v>1097</v>
      </c>
      <c r="D39" s="14">
        <v>1161</v>
      </c>
      <c r="E39" s="14">
        <v>1329</v>
      </c>
      <c r="F39" s="14">
        <v>1351</v>
      </c>
      <c r="G39" s="14">
        <v>1430</v>
      </c>
      <c r="H39" s="14">
        <v>1508</v>
      </c>
      <c r="I39" s="14">
        <v>1610</v>
      </c>
      <c r="J39" s="14">
        <v>1767</v>
      </c>
      <c r="K39" s="14">
        <v>1885</v>
      </c>
      <c r="L39" s="14">
        <v>1967</v>
      </c>
      <c r="M39" s="15"/>
      <c r="N39" s="14"/>
      <c r="O39" s="14"/>
      <c r="P39" s="14"/>
      <c r="Q39" s="14"/>
      <c r="R39" s="14"/>
      <c r="S39" s="14"/>
      <c r="T39" s="14"/>
      <c r="U39" s="14"/>
      <c r="V39" s="14"/>
      <c r="W39" s="14"/>
      <c r="X39" s="14"/>
    </row>
    <row r="40" spans="1:24" ht="22" customHeight="1">
      <c r="A40" s="3" t="s">
        <v>462</v>
      </c>
      <c r="B40" s="1"/>
      <c r="C40" s="14">
        <v>2774</v>
      </c>
      <c r="D40" s="14">
        <v>2954</v>
      </c>
      <c r="E40" s="14">
        <v>3277</v>
      </c>
      <c r="F40" s="14">
        <v>3135</v>
      </c>
      <c r="G40" s="14">
        <v>3855</v>
      </c>
      <c r="H40" s="14">
        <v>3960</v>
      </c>
      <c r="I40" s="14">
        <v>4390</v>
      </c>
      <c r="J40" s="14">
        <v>4969</v>
      </c>
      <c r="K40" s="14">
        <v>5216</v>
      </c>
      <c r="L40" s="14">
        <v>5771</v>
      </c>
      <c r="M40" s="15"/>
      <c r="N40" s="14"/>
      <c r="O40" s="14"/>
      <c r="P40" s="14"/>
      <c r="Q40" s="14"/>
      <c r="R40" s="14"/>
      <c r="S40" s="14"/>
      <c r="T40" s="14"/>
      <c r="U40" s="14"/>
      <c r="V40" s="14"/>
      <c r="W40" s="14"/>
      <c r="X40" s="14"/>
    </row>
    <row r="41" spans="1:24" ht="22" customHeight="1">
      <c r="A41" s="3" t="s">
        <v>463</v>
      </c>
      <c r="B41" s="1"/>
      <c r="C41" s="14"/>
      <c r="D41" s="14">
        <v>0</v>
      </c>
      <c r="E41" s="14">
        <v>1997</v>
      </c>
      <c r="F41" s="14">
        <v>58</v>
      </c>
      <c r="G41" s="14"/>
      <c r="H41" s="14"/>
      <c r="I41" s="14"/>
      <c r="J41" s="14"/>
      <c r="K41" s="14"/>
      <c r="L41" s="14"/>
      <c r="M41" s="15"/>
      <c r="N41" s="14"/>
      <c r="O41" s="14"/>
      <c r="P41" s="14"/>
      <c r="Q41" s="14"/>
      <c r="R41" s="14"/>
      <c r="S41" s="14"/>
      <c r="T41" s="14"/>
      <c r="U41" s="14"/>
      <c r="V41" s="14"/>
      <c r="W41" s="14"/>
      <c r="X41" s="14"/>
    </row>
    <row r="42" spans="1:24" ht="22" customHeight="1">
      <c r="A42" s="3" t="s">
        <v>464</v>
      </c>
      <c r="B42" s="1"/>
      <c r="C42" s="14"/>
      <c r="D42" s="14"/>
      <c r="E42" s="14">
        <v>0</v>
      </c>
      <c r="F42" s="14">
        <v>442</v>
      </c>
      <c r="G42" s="14">
        <v>460</v>
      </c>
      <c r="H42" s="14">
        <v>446</v>
      </c>
      <c r="I42" s="14">
        <v>483</v>
      </c>
      <c r="J42" s="14">
        <v>556</v>
      </c>
      <c r="K42" s="14">
        <v>642</v>
      </c>
      <c r="L42" s="14">
        <v>719</v>
      </c>
      <c r="M42" s="15"/>
      <c r="N42" s="14"/>
      <c r="O42" s="14"/>
      <c r="P42" s="14"/>
      <c r="Q42" s="14"/>
      <c r="R42" s="14"/>
      <c r="S42" s="14"/>
      <c r="T42" s="14"/>
      <c r="U42" s="14"/>
      <c r="V42" s="14"/>
      <c r="W42" s="14"/>
      <c r="X42" s="14"/>
    </row>
    <row r="43" spans="1:24" ht="22" customHeight="1">
      <c r="A43" s="3"/>
      <c r="B43" s="1"/>
      <c r="C43" s="2"/>
      <c r="D43" s="2"/>
      <c r="E43" s="2"/>
      <c r="F43" s="2"/>
      <c r="G43" s="2"/>
      <c r="H43" s="2"/>
      <c r="I43" s="2"/>
      <c r="J43" s="2"/>
      <c r="K43" s="2"/>
      <c r="L43" s="2"/>
      <c r="M43" s="2"/>
      <c r="N43" s="2"/>
      <c r="O43" s="2"/>
      <c r="P43" s="2"/>
      <c r="Q43" s="2"/>
      <c r="R43" s="2"/>
      <c r="S43" s="2"/>
      <c r="T43" s="2"/>
      <c r="U43" s="2"/>
      <c r="V43" s="2"/>
      <c r="W43" s="2"/>
      <c r="X43" s="2"/>
    </row>
    <row r="44" spans="1:24" ht="22" customHeight="1">
      <c r="A44" s="174" t="s">
        <v>434</v>
      </c>
      <c r="B44" s="174"/>
      <c r="C44" s="175"/>
      <c r="D44" s="175"/>
      <c r="E44" s="175"/>
      <c r="F44" s="175"/>
      <c r="G44" s="175"/>
      <c r="H44" s="175"/>
      <c r="I44" s="175"/>
      <c r="J44" s="175"/>
      <c r="K44" s="175"/>
      <c r="L44" s="175"/>
      <c r="M44" s="175"/>
      <c r="N44" s="175"/>
      <c r="O44" s="175"/>
      <c r="P44" s="175"/>
      <c r="Q44" s="175"/>
      <c r="R44" s="175"/>
      <c r="S44" s="175"/>
      <c r="T44" s="175"/>
      <c r="U44" s="175"/>
      <c r="V44" s="175"/>
      <c r="W44" s="175"/>
      <c r="X44" s="175"/>
    </row>
    <row r="45" spans="1:24" ht="22" customHeight="1">
      <c r="A45" s="3" t="s">
        <v>465</v>
      </c>
      <c r="B45" s="1"/>
      <c r="C45" s="14">
        <v>105</v>
      </c>
      <c r="D45" s="14">
        <v>59</v>
      </c>
      <c r="E45" s="14">
        <v>86</v>
      </c>
      <c r="F45" s="14">
        <v>85</v>
      </c>
      <c r="G45" s="14">
        <v>109</v>
      </c>
      <c r="H45" s="14">
        <v>111</v>
      </c>
      <c r="I45" s="14">
        <v>202</v>
      </c>
      <c r="J45" s="14">
        <v>200</v>
      </c>
      <c r="K45" s="14">
        <v>111</v>
      </c>
      <c r="L45" s="14">
        <v>136</v>
      </c>
      <c r="M45" s="15"/>
      <c r="N45" s="14"/>
      <c r="O45" s="14"/>
      <c r="P45" s="14"/>
      <c r="Q45" s="14"/>
      <c r="R45" s="14"/>
      <c r="S45" s="14"/>
      <c r="T45" s="14"/>
      <c r="U45" s="14"/>
      <c r="V45" s="14"/>
      <c r="W45" s="14"/>
      <c r="X45" s="14"/>
    </row>
    <row r="46" spans="1:24" ht="22" customHeight="1">
      <c r="A46" s="3" t="s">
        <v>466</v>
      </c>
      <c r="B46" s="1"/>
      <c r="C46" s="14">
        <v>140</v>
      </c>
      <c r="D46" s="14">
        <v>134</v>
      </c>
      <c r="E46" s="14">
        <v>112</v>
      </c>
      <c r="F46" s="14">
        <v>147</v>
      </c>
      <c r="G46" s="14">
        <v>130</v>
      </c>
      <c r="H46" s="14">
        <v>119</v>
      </c>
      <c r="I46" s="14">
        <v>123</v>
      </c>
      <c r="J46" s="14">
        <v>103</v>
      </c>
      <c r="K46" s="14">
        <v>100</v>
      </c>
      <c r="L46" s="14">
        <v>205</v>
      </c>
      <c r="M46" s="15"/>
      <c r="N46" s="14"/>
      <c r="O46" s="14"/>
      <c r="P46" s="14"/>
      <c r="Q46" s="14"/>
      <c r="R46" s="14"/>
      <c r="S46" s="14"/>
      <c r="T46" s="14"/>
      <c r="U46" s="14"/>
      <c r="V46" s="14"/>
      <c r="W46" s="14"/>
      <c r="X46" s="14"/>
    </row>
    <row r="47" spans="1:24" ht="22" customHeight="1">
      <c r="A47" s="3" t="s">
        <v>467</v>
      </c>
      <c r="B47" s="1"/>
      <c r="C47" s="14">
        <v>53</v>
      </c>
      <c r="D47" s="14">
        <v>374</v>
      </c>
      <c r="E47" s="14">
        <v>269</v>
      </c>
      <c r="F47" s="14">
        <v>846</v>
      </c>
      <c r="G47" s="14">
        <v>910</v>
      </c>
      <c r="H47" s="14">
        <v>1260</v>
      </c>
      <c r="I47" s="14">
        <v>948</v>
      </c>
      <c r="J47" s="14">
        <v>1057</v>
      </c>
      <c r="K47" s="14">
        <v>1190</v>
      </c>
      <c r="L47" s="14">
        <v>1449</v>
      </c>
      <c r="M47" s="15"/>
      <c r="N47" s="14"/>
      <c r="O47" s="14"/>
      <c r="P47" s="14"/>
      <c r="Q47" s="14"/>
      <c r="R47" s="14"/>
      <c r="S47" s="14"/>
      <c r="T47" s="14"/>
      <c r="U47" s="14"/>
      <c r="V47" s="14"/>
      <c r="W47" s="14"/>
      <c r="X47" s="14"/>
    </row>
    <row r="48" spans="1:24" ht="22" customHeight="1">
      <c r="A48" s="3" t="s">
        <v>451</v>
      </c>
      <c r="B48" s="1"/>
      <c r="C48" s="14">
        <v>338</v>
      </c>
      <c r="D48" s="14">
        <v>346</v>
      </c>
      <c r="E48" s="14">
        <v>293</v>
      </c>
      <c r="F48" s="14">
        <v>385</v>
      </c>
      <c r="G48" s="14">
        <v>493</v>
      </c>
      <c r="H48" s="14">
        <v>694</v>
      </c>
      <c r="I48" s="14">
        <v>833</v>
      </c>
      <c r="J48" s="14">
        <v>780</v>
      </c>
      <c r="K48" s="14">
        <v>821</v>
      </c>
      <c r="L48" s="14">
        <v>923</v>
      </c>
      <c r="M48" s="15"/>
      <c r="N48" s="14"/>
      <c r="O48" s="14"/>
      <c r="P48" s="14"/>
      <c r="Q48" s="14"/>
      <c r="R48" s="14"/>
      <c r="S48" s="14"/>
      <c r="T48" s="14"/>
      <c r="U48" s="14"/>
      <c r="V48" s="14"/>
      <c r="W48" s="14"/>
      <c r="X48" s="14"/>
    </row>
    <row r="49" spans="1:24" ht="22" customHeight="1">
      <c r="A49" s="3" t="s">
        <v>468</v>
      </c>
      <c r="B49" s="1"/>
      <c r="C49" s="14"/>
      <c r="D49" s="14"/>
      <c r="E49" s="14">
        <v>0</v>
      </c>
      <c r="F49" s="14">
        <v>1548</v>
      </c>
      <c r="G49" s="14">
        <v>1670</v>
      </c>
      <c r="H49" s="14">
        <v>2020</v>
      </c>
      <c r="I49" s="14">
        <v>2373</v>
      </c>
      <c r="J49" s="14">
        <v>2905</v>
      </c>
      <c r="K49" s="14">
        <v>3383</v>
      </c>
      <c r="L49" s="14">
        <v>3745</v>
      </c>
      <c r="M49" s="15"/>
      <c r="N49" s="14"/>
      <c r="O49" s="14"/>
      <c r="P49" s="14"/>
      <c r="Q49" s="14"/>
      <c r="R49" s="14"/>
      <c r="S49" s="14"/>
      <c r="T49" s="14"/>
      <c r="U49" s="14"/>
      <c r="V49" s="14"/>
      <c r="W49" s="14"/>
      <c r="X49" s="14"/>
    </row>
    <row r="50" spans="1:24" ht="22" customHeight="1">
      <c r="A50" s="3" t="s">
        <v>469</v>
      </c>
      <c r="B50" s="1"/>
      <c r="C50" s="14"/>
      <c r="D50" s="14"/>
      <c r="E50" s="14"/>
      <c r="F50" s="14"/>
      <c r="G50" s="14"/>
      <c r="H50" s="14">
        <v>277</v>
      </c>
      <c r="I50" s="14">
        <v>813</v>
      </c>
      <c r="J50" s="14">
        <v>1616</v>
      </c>
      <c r="K50" s="14">
        <v>1346</v>
      </c>
      <c r="L50" s="14">
        <v>2526</v>
      </c>
      <c r="M50" s="15"/>
      <c r="N50" s="14"/>
      <c r="O50" s="14"/>
      <c r="P50" s="14"/>
      <c r="Q50" s="14"/>
      <c r="R50" s="14"/>
      <c r="S50" s="14"/>
      <c r="T50" s="14"/>
      <c r="U50" s="14"/>
      <c r="V50" s="14"/>
      <c r="W50" s="14"/>
      <c r="X50" s="14"/>
    </row>
    <row r="51" spans="1:24" ht="22" customHeight="1">
      <c r="A51" s="3"/>
      <c r="B51" s="1"/>
      <c r="C51" s="2"/>
      <c r="D51" s="2"/>
      <c r="E51" s="2"/>
      <c r="F51" s="2"/>
      <c r="G51" s="2"/>
      <c r="H51" s="2"/>
      <c r="I51" s="2"/>
      <c r="J51" s="2"/>
      <c r="K51" s="2"/>
      <c r="L51" s="2"/>
      <c r="M51" s="2"/>
      <c r="N51" s="2"/>
      <c r="O51" s="2"/>
      <c r="P51" s="2"/>
      <c r="Q51" s="2"/>
      <c r="R51" s="2"/>
      <c r="S51" s="2"/>
      <c r="T51" s="2"/>
      <c r="U51" s="2"/>
      <c r="V51" s="2"/>
      <c r="W51" s="2"/>
      <c r="X51" s="2"/>
    </row>
    <row r="52" spans="1:24" ht="22" customHeight="1">
      <c r="A52" s="174" t="s">
        <v>435</v>
      </c>
      <c r="B52" s="174"/>
      <c r="C52" s="175"/>
      <c r="D52" s="175"/>
      <c r="E52" s="175"/>
      <c r="F52" s="175"/>
      <c r="G52" s="175"/>
      <c r="H52" s="175"/>
      <c r="I52" s="175"/>
      <c r="J52" s="175"/>
      <c r="K52" s="175"/>
      <c r="L52" s="175"/>
      <c r="M52" s="175"/>
      <c r="N52" s="175"/>
      <c r="O52" s="175"/>
      <c r="P52" s="175"/>
      <c r="Q52" s="175"/>
      <c r="R52" s="175"/>
      <c r="S52" s="175"/>
      <c r="T52" s="175"/>
      <c r="U52" s="175"/>
      <c r="V52" s="175"/>
      <c r="W52" s="175"/>
      <c r="X52" s="175"/>
    </row>
    <row r="53" spans="1:24" ht="22" customHeight="1">
      <c r="A53" s="3" t="s">
        <v>470</v>
      </c>
      <c r="B53" s="1"/>
      <c r="C53" s="14">
        <v>1153</v>
      </c>
      <c r="D53" s="14">
        <v>1148</v>
      </c>
      <c r="E53" s="14">
        <v>1078</v>
      </c>
      <c r="F53" s="14">
        <v>1130</v>
      </c>
      <c r="G53" s="14">
        <v>1171</v>
      </c>
      <c r="H53" s="14">
        <v>1123</v>
      </c>
      <c r="I53" s="14">
        <v>1142</v>
      </c>
      <c r="J53" s="14">
        <v>1159</v>
      </c>
      <c r="K53" s="14">
        <v>1136</v>
      </c>
      <c r="L53" s="14">
        <v>1110</v>
      </c>
      <c r="M53" s="15"/>
      <c r="N53" s="14"/>
      <c r="O53" s="14"/>
      <c r="P53" s="14"/>
      <c r="Q53" s="14"/>
      <c r="R53" s="14"/>
      <c r="S53" s="14"/>
      <c r="T53" s="14"/>
      <c r="U53" s="14"/>
      <c r="V53" s="14"/>
      <c r="W53" s="14"/>
      <c r="X53" s="14"/>
    </row>
    <row r="54" spans="1:24" ht="22" customHeight="1">
      <c r="A54" s="3" t="s">
        <v>471</v>
      </c>
      <c r="B54" s="1"/>
      <c r="C54" s="14">
        <v>8306</v>
      </c>
      <c r="D54" s="14">
        <v>8796</v>
      </c>
      <c r="E54" s="14">
        <v>8941</v>
      </c>
      <c r="F54" s="14">
        <v>9314</v>
      </c>
      <c r="G54" s="14">
        <v>10214</v>
      </c>
      <c r="H54" s="14">
        <v>10279</v>
      </c>
      <c r="I54" s="14">
        <v>10816</v>
      </c>
      <c r="J54" s="14">
        <v>11579</v>
      </c>
      <c r="K54" s="14">
        <v>11938</v>
      </c>
      <c r="L54" s="14">
        <v>13875</v>
      </c>
      <c r="M54" s="15"/>
      <c r="N54" s="14"/>
      <c r="O54" s="14"/>
      <c r="P54" s="14"/>
      <c r="Q54" s="14"/>
      <c r="R54" s="14"/>
      <c r="S54" s="14"/>
      <c r="T54" s="14"/>
      <c r="U54" s="14"/>
      <c r="V54" s="14"/>
      <c r="W54" s="14"/>
      <c r="X54" s="14"/>
    </row>
    <row r="55" spans="1:24" ht="22" customHeight="1">
      <c r="A55" s="3" t="s">
        <v>472</v>
      </c>
      <c r="B55" s="1"/>
      <c r="C55" s="14">
        <v>25277</v>
      </c>
      <c r="D55" s="14">
        <v>27018</v>
      </c>
      <c r="E55" s="14">
        <v>27715</v>
      </c>
      <c r="F55" s="14">
        <v>29390</v>
      </c>
      <c r="G55" s="14">
        <v>31276</v>
      </c>
      <c r="H55" s="14">
        <v>31486</v>
      </c>
      <c r="I55" s="14">
        <v>33335</v>
      </c>
      <c r="J55" s="14">
        <v>36006</v>
      </c>
      <c r="K55" s="14">
        <v>36990</v>
      </c>
      <c r="L55" s="14">
        <v>41113</v>
      </c>
      <c r="M55" s="15"/>
      <c r="N55" s="14"/>
      <c r="O55" s="14"/>
      <c r="P55" s="14"/>
      <c r="Q55" s="14"/>
      <c r="R55" s="14"/>
      <c r="S55" s="14"/>
      <c r="T55" s="14"/>
      <c r="U55" s="14"/>
      <c r="V55" s="14"/>
      <c r="W55" s="14"/>
      <c r="X55" s="14"/>
    </row>
    <row r="56" spans="1:24" ht="22" customHeight="1">
      <c r="A56" s="3" t="s">
        <v>473</v>
      </c>
      <c r="B56" s="1"/>
      <c r="C56" s="14">
        <v>2082</v>
      </c>
      <c r="D56" s="14">
        <v>2144</v>
      </c>
      <c r="E56" s="14">
        <v>2430</v>
      </c>
      <c r="F56" s="14">
        <v>3169</v>
      </c>
      <c r="G56" s="14">
        <v>3679</v>
      </c>
      <c r="H56" s="14">
        <v>3940</v>
      </c>
      <c r="I56" s="14">
        <v>4491</v>
      </c>
      <c r="J56" s="14">
        <v>5695</v>
      </c>
      <c r="K56" s="14">
        <v>5941</v>
      </c>
      <c r="L56" s="14">
        <v>4811</v>
      </c>
      <c r="M56" s="15"/>
      <c r="N56" s="14"/>
      <c r="O56" s="14"/>
      <c r="P56" s="14"/>
      <c r="Q56" s="14"/>
      <c r="R56" s="14"/>
      <c r="S56" s="14"/>
      <c r="T56" s="14"/>
      <c r="U56" s="14"/>
      <c r="V56" s="14"/>
      <c r="W56" s="14"/>
      <c r="X56" s="14"/>
    </row>
    <row r="57" spans="1:24" ht="22" customHeight="1">
      <c r="A57" s="3" t="s">
        <v>259</v>
      </c>
      <c r="B57" s="1"/>
      <c r="C57" s="14">
        <v>-20227</v>
      </c>
      <c r="D57" s="14">
        <v>-21866</v>
      </c>
      <c r="E57" s="14">
        <v>-22575</v>
      </c>
      <c r="F57" s="14">
        <v>-23698</v>
      </c>
      <c r="G57" s="14">
        <v>-24971</v>
      </c>
      <c r="H57" s="14">
        <v>-24421</v>
      </c>
      <c r="I57" s="14">
        <v>-25493</v>
      </c>
      <c r="J57" s="14">
        <v>-27400</v>
      </c>
      <c r="K57" s="14">
        <v>-27997</v>
      </c>
      <c r="L57" s="14">
        <v>-31004</v>
      </c>
      <c r="M57" s="15"/>
      <c r="N57" s="14"/>
      <c r="O57" s="14"/>
      <c r="P57" s="14"/>
      <c r="Q57" s="14"/>
      <c r="R57" s="14"/>
      <c r="S57" s="14"/>
      <c r="T57" s="14"/>
      <c r="U57" s="14"/>
      <c r="V57" s="14"/>
      <c r="W57" s="14"/>
      <c r="X57" s="14"/>
    </row>
    <row r="58" spans="1:24" ht="22" customHeight="1">
      <c r="A58" s="3" t="s">
        <v>474</v>
      </c>
      <c r="B58" s="1"/>
      <c r="C58" s="14">
        <v>2217</v>
      </c>
      <c r="D58" s="14">
        <v>2227</v>
      </c>
      <c r="E58" s="14">
        <v>2241</v>
      </c>
      <c r="F58" s="14">
        <v>2257</v>
      </c>
      <c r="G58" s="14">
        <v>2335</v>
      </c>
      <c r="H58" s="14">
        <v>2484</v>
      </c>
      <c r="I58" s="14">
        <v>2523</v>
      </c>
      <c r="J58" s="14">
        <v>2714</v>
      </c>
      <c r="K58" s="14">
        <v>2945</v>
      </c>
      <c r="L58" s="14">
        <v>3213</v>
      </c>
      <c r="M58" s="15"/>
      <c r="N58" s="14"/>
      <c r="O58" s="14"/>
      <c r="P58" s="14"/>
      <c r="Q58" s="14"/>
      <c r="R58" s="14"/>
      <c r="S58" s="14"/>
      <c r="T58" s="14"/>
      <c r="U58" s="14"/>
      <c r="V58" s="14"/>
      <c r="W58" s="14"/>
      <c r="X58" s="14"/>
    </row>
    <row r="59" spans="1:24" ht="22" customHeight="1">
      <c r="A59" s="3"/>
      <c r="B59" s="1"/>
      <c r="C59" s="2"/>
      <c r="D59" s="2"/>
      <c r="E59" s="2"/>
      <c r="F59" s="2"/>
      <c r="G59" s="2"/>
      <c r="H59" s="2"/>
      <c r="I59" s="2"/>
      <c r="J59" s="2"/>
      <c r="K59" s="2"/>
      <c r="L59" s="2"/>
      <c r="M59" s="2"/>
      <c r="N59" s="2"/>
      <c r="O59" s="2"/>
      <c r="P59" s="2"/>
      <c r="Q59" s="2"/>
      <c r="R59" s="2"/>
      <c r="S59" s="2"/>
      <c r="T59" s="2"/>
      <c r="U59" s="2"/>
      <c r="V59" s="2"/>
      <c r="W59" s="2"/>
      <c r="X59" s="2"/>
    </row>
    <row r="60" spans="1:24" ht="22" customHeight="1">
      <c r="A60" s="174" t="s">
        <v>436</v>
      </c>
      <c r="B60" s="174"/>
      <c r="C60" s="175"/>
      <c r="D60" s="175"/>
      <c r="E60" s="175"/>
      <c r="F60" s="175"/>
      <c r="G60" s="175"/>
      <c r="H60" s="175"/>
      <c r="I60" s="175"/>
      <c r="J60" s="175"/>
      <c r="K60" s="175"/>
      <c r="L60" s="175"/>
      <c r="M60" s="175"/>
      <c r="N60" s="175"/>
      <c r="O60" s="175"/>
      <c r="P60" s="175"/>
      <c r="Q60" s="175"/>
      <c r="R60" s="175"/>
      <c r="S60" s="175"/>
      <c r="T60" s="175"/>
      <c r="U60" s="175"/>
      <c r="V60" s="175"/>
      <c r="W60" s="175"/>
      <c r="X60" s="175"/>
    </row>
    <row r="61" spans="1:24" ht="18" customHeight="1">
      <c r="A61" s="163" t="s">
        <v>475</v>
      </c>
      <c r="B61" s="163"/>
      <c r="C61" s="173"/>
      <c r="D61" s="173"/>
      <c r="E61" s="173"/>
      <c r="F61" s="173"/>
      <c r="G61" s="173"/>
      <c r="H61" s="173"/>
      <c r="I61" s="173"/>
      <c r="J61" s="173"/>
      <c r="K61" s="173"/>
      <c r="L61" s="173"/>
      <c r="M61" s="173"/>
      <c r="N61" s="173"/>
      <c r="O61" s="173"/>
      <c r="P61" s="173"/>
      <c r="Q61" s="173"/>
      <c r="R61" s="173"/>
      <c r="S61" s="173"/>
      <c r="T61" s="173"/>
      <c r="U61" s="173"/>
      <c r="V61" s="173"/>
      <c r="W61" s="173"/>
      <c r="X61" s="173"/>
    </row>
    <row r="62" spans="1:24" ht="22" customHeight="1">
      <c r="A62" s="3" t="s">
        <v>183</v>
      </c>
      <c r="B62" s="1"/>
      <c r="C62" s="14">
        <v>2630</v>
      </c>
      <c r="D62" s="14">
        <v>3452</v>
      </c>
      <c r="E62" s="14">
        <v>3864</v>
      </c>
      <c r="F62" s="14">
        <v>4123</v>
      </c>
      <c r="G62" s="14">
        <v>4070</v>
      </c>
      <c r="H62" s="14">
        <v>3740</v>
      </c>
      <c r="I62" s="14">
        <v>7305</v>
      </c>
      <c r="J62" s="14">
        <v>4120</v>
      </c>
      <c r="K62" s="14">
        <v>2590</v>
      </c>
      <c r="L62" s="14">
        <v>806</v>
      </c>
      <c r="M62" s="15"/>
      <c r="N62" s="14"/>
      <c r="O62" s="14"/>
      <c r="P62" s="14"/>
      <c r="Q62" s="14"/>
      <c r="R62" s="14"/>
      <c r="S62" s="14"/>
      <c r="T62" s="14"/>
      <c r="U62" s="14"/>
      <c r="V62" s="14"/>
      <c r="W62" s="14"/>
      <c r="X62" s="14"/>
    </row>
    <row r="63" spans="1:24" ht="22" customHeight="1">
      <c r="A63" s="3" t="s">
        <v>476</v>
      </c>
      <c r="B63" s="1"/>
      <c r="C63" s="14">
        <v>5923</v>
      </c>
      <c r="D63" s="14">
        <v>6150</v>
      </c>
      <c r="E63" s="14">
        <v>5325</v>
      </c>
      <c r="F63" s="14">
        <v>5189</v>
      </c>
      <c r="G63" s="14">
        <v>4999</v>
      </c>
      <c r="H63" s="14">
        <v>6081</v>
      </c>
      <c r="I63" s="14">
        <v>3400</v>
      </c>
      <c r="J63" s="14">
        <v>7297</v>
      </c>
      <c r="K63" s="14">
        <v>9356</v>
      </c>
      <c r="L63" s="14">
        <v>9438</v>
      </c>
      <c r="M63" s="15"/>
      <c r="N63" s="14"/>
      <c r="O63" s="14"/>
      <c r="P63" s="14"/>
      <c r="Q63" s="14"/>
      <c r="R63" s="14"/>
      <c r="S63" s="14"/>
      <c r="T63" s="14"/>
      <c r="U63" s="14"/>
      <c r="V63" s="14"/>
      <c r="W63" s="14"/>
      <c r="X63" s="14"/>
    </row>
    <row r="64" spans="1:24" ht="36" customHeight="1">
      <c r="A64" s="3" t="s">
        <v>477</v>
      </c>
      <c r="B64" s="1"/>
      <c r="C64" s="14">
        <v>8553</v>
      </c>
      <c r="D64" s="14">
        <v>9602</v>
      </c>
      <c r="E64" s="14">
        <v>9189</v>
      </c>
      <c r="F64" s="14">
        <v>9312</v>
      </c>
      <c r="G64" s="14">
        <v>9069</v>
      </c>
      <c r="H64" s="14">
        <v>9821</v>
      </c>
      <c r="I64" s="14">
        <v>10705</v>
      </c>
      <c r="J64" s="14">
        <v>11417</v>
      </c>
      <c r="K64" s="14">
        <v>11946</v>
      </c>
      <c r="L64" s="14">
        <v>10244</v>
      </c>
      <c r="M64" s="15"/>
      <c r="N64" s="14"/>
      <c r="O64" s="14"/>
      <c r="P64" s="14"/>
      <c r="Q64" s="14"/>
      <c r="R64" s="14"/>
      <c r="S64" s="14"/>
      <c r="T64" s="14"/>
      <c r="U64" s="14"/>
      <c r="V64" s="14"/>
      <c r="W64" s="14"/>
      <c r="X64" s="14"/>
    </row>
    <row r="65" spans="1:24" ht="22" customHeight="1">
      <c r="A65" s="3" t="s">
        <v>478</v>
      </c>
      <c r="B65" s="1"/>
      <c r="C65" s="14">
        <v>1219</v>
      </c>
      <c r="D65" s="14">
        <v>4925</v>
      </c>
      <c r="E65" s="14"/>
      <c r="F65" s="14"/>
      <c r="G65" s="14"/>
      <c r="H65" s="14"/>
      <c r="I65" s="14"/>
      <c r="J65" s="14"/>
      <c r="K65" s="14"/>
      <c r="L65" s="14"/>
      <c r="M65" s="15"/>
      <c r="N65" s="14"/>
      <c r="O65" s="14"/>
      <c r="P65" s="14"/>
      <c r="Q65" s="14"/>
      <c r="R65" s="14"/>
      <c r="S65" s="14"/>
      <c r="T65" s="14"/>
      <c r="U65" s="14"/>
      <c r="V65" s="14"/>
      <c r="W65" s="14"/>
      <c r="X65" s="14"/>
    </row>
    <row r="66" spans="1:24" ht="22" customHeight="1">
      <c r="A66" s="3" t="s">
        <v>476</v>
      </c>
      <c r="B66" s="1"/>
      <c r="C66" s="14">
        <v>824</v>
      </c>
      <c r="D66" s="14">
        <v>724</v>
      </c>
      <c r="E66" s="14"/>
      <c r="F66" s="14"/>
      <c r="G66" s="14"/>
      <c r="H66" s="14"/>
      <c r="I66" s="14"/>
      <c r="J66" s="14"/>
      <c r="K66" s="14"/>
      <c r="L66" s="14"/>
      <c r="M66" s="15"/>
      <c r="N66" s="14"/>
      <c r="O66" s="14"/>
      <c r="P66" s="14"/>
      <c r="Q66" s="14"/>
      <c r="R66" s="14"/>
      <c r="S66" s="14"/>
      <c r="T66" s="14"/>
      <c r="U66" s="14"/>
      <c r="V66" s="14"/>
      <c r="W66" s="14"/>
      <c r="X66" s="14"/>
    </row>
    <row r="67" spans="1:24" ht="22" customHeight="1">
      <c r="A67" s="3" t="s">
        <v>479</v>
      </c>
      <c r="B67" s="1"/>
      <c r="C67" s="14">
        <v>77</v>
      </c>
      <c r="D67" s="14">
        <v>136</v>
      </c>
      <c r="E67" s="14"/>
      <c r="F67" s="14"/>
      <c r="G67" s="14"/>
      <c r="H67" s="14"/>
      <c r="I67" s="14"/>
      <c r="J67" s="14"/>
      <c r="K67" s="14"/>
      <c r="L67" s="14"/>
      <c r="M67" s="15"/>
      <c r="N67" s="14"/>
      <c r="O67" s="14"/>
      <c r="P67" s="14"/>
      <c r="Q67" s="14"/>
      <c r="R67" s="14"/>
      <c r="S67" s="14"/>
      <c r="T67" s="14"/>
      <c r="U67" s="14"/>
      <c r="V67" s="14"/>
      <c r="W67" s="14"/>
      <c r="X67" s="14"/>
    </row>
    <row r="68" spans="1:24" ht="22" customHeight="1">
      <c r="A68" s="3" t="s">
        <v>480</v>
      </c>
      <c r="B68" s="1"/>
      <c r="C68" s="14">
        <v>109</v>
      </c>
      <c r="D68" s="14">
        <v>-1159</v>
      </c>
      <c r="E68" s="14"/>
      <c r="F68" s="14"/>
      <c r="G68" s="14"/>
      <c r="H68" s="14"/>
      <c r="I68" s="14"/>
      <c r="J68" s="14"/>
      <c r="K68" s="14"/>
      <c r="L68" s="14"/>
      <c r="M68" s="15"/>
      <c r="N68" s="14"/>
      <c r="O68" s="14"/>
      <c r="P68" s="14"/>
      <c r="Q68" s="14"/>
      <c r="R68" s="14"/>
      <c r="S68" s="14"/>
      <c r="T68" s="14"/>
      <c r="U68" s="14"/>
      <c r="V68" s="14"/>
      <c r="W68" s="14"/>
      <c r="X68" s="14"/>
    </row>
    <row r="69" spans="1:24" ht="22" customHeight="1">
      <c r="A69" s="3" t="s">
        <v>451</v>
      </c>
      <c r="B69" s="1"/>
      <c r="C69" s="14">
        <v>245</v>
      </c>
      <c r="D69" s="14">
        <v>50</v>
      </c>
      <c r="E69" s="14">
        <v>71</v>
      </c>
      <c r="F69" s="14">
        <v>167</v>
      </c>
      <c r="G69" s="14">
        <v>159</v>
      </c>
      <c r="H69" s="14">
        <v>254</v>
      </c>
      <c r="I69" s="14">
        <v>232</v>
      </c>
      <c r="J69" s="14">
        <v>350</v>
      </c>
      <c r="K69" s="14">
        <v>301</v>
      </c>
      <c r="L69" s="14">
        <v>486</v>
      </c>
      <c r="M69" s="15"/>
      <c r="N69" s="14"/>
      <c r="O69" s="14"/>
      <c r="P69" s="14"/>
      <c r="Q69" s="14"/>
      <c r="R69" s="14"/>
      <c r="S69" s="14"/>
      <c r="T69" s="14"/>
      <c r="U69" s="14"/>
      <c r="V69" s="14"/>
      <c r="W69" s="14"/>
      <c r="X69" s="14"/>
    </row>
    <row r="70" spans="1:24" ht="22" customHeight="1">
      <c r="A70" s="3" t="s">
        <v>478</v>
      </c>
      <c r="B70" s="1"/>
      <c r="C70" s="14">
        <v>1219</v>
      </c>
      <c r="D70" s="14">
        <v>4925</v>
      </c>
      <c r="E70" s="14">
        <v>437</v>
      </c>
      <c r="F70" s="14"/>
      <c r="G70" s="14"/>
      <c r="H70" s="14"/>
      <c r="I70" s="14"/>
      <c r="J70" s="14"/>
      <c r="K70" s="14"/>
      <c r="L70" s="14"/>
      <c r="M70" s="15"/>
      <c r="N70" s="14"/>
      <c r="O70" s="14"/>
      <c r="P70" s="14"/>
      <c r="Q70" s="14"/>
      <c r="R70" s="14"/>
      <c r="S70" s="14"/>
      <c r="T70" s="14"/>
      <c r="U70" s="14"/>
      <c r="V70" s="14"/>
      <c r="W70" s="14"/>
      <c r="X70" s="14"/>
    </row>
    <row r="71" spans="1:24" ht="22" customHeight="1">
      <c r="A71" s="3" t="s">
        <v>476</v>
      </c>
      <c r="B71" s="1"/>
      <c r="C71" s="14">
        <v>824</v>
      </c>
      <c r="D71" s="14">
        <v>724</v>
      </c>
      <c r="E71" s="14">
        <v>378</v>
      </c>
      <c r="F71" s="14"/>
      <c r="G71" s="14"/>
      <c r="H71" s="14"/>
      <c r="I71" s="14"/>
      <c r="J71" s="14"/>
      <c r="K71" s="14"/>
      <c r="L71" s="14"/>
      <c r="M71" s="15"/>
      <c r="N71" s="14"/>
      <c r="O71" s="14"/>
      <c r="P71" s="14"/>
      <c r="Q71" s="14"/>
      <c r="R71" s="14"/>
      <c r="S71" s="14"/>
      <c r="T71" s="14"/>
      <c r="U71" s="14"/>
      <c r="V71" s="14"/>
      <c r="W71" s="14"/>
      <c r="X71" s="14"/>
    </row>
    <row r="72" spans="1:24" ht="22" customHeight="1">
      <c r="A72" s="3" t="s">
        <v>479</v>
      </c>
      <c r="B72" s="1"/>
      <c r="C72" s="14">
        <v>77</v>
      </c>
      <c r="D72" s="14">
        <v>136</v>
      </c>
      <c r="E72" s="14">
        <v>63</v>
      </c>
      <c r="F72" s="14"/>
      <c r="G72" s="14"/>
      <c r="H72" s="14"/>
      <c r="I72" s="14"/>
      <c r="J72" s="14"/>
      <c r="K72" s="14"/>
      <c r="L72" s="14"/>
      <c r="M72" s="15"/>
      <c r="N72" s="14"/>
      <c r="O72" s="14"/>
      <c r="P72" s="14"/>
      <c r="Q72" s="14"/>
      <c r="R72" s="14"/>
      <c r="S72" s="14"/>
      <c r="T72" s="14"/>
      <c r="U72" s="14"/>
      <c r="V72" s="14"/>
      <c r="W72" s="14"/>
      <c r="X72" s="14"/>
    </row>
    <row r="73" spans="1:24" ht="22" customHeight="1">
      <c r="A73" s="3" t="s">
        <v>480</v>
      </c>
      <c r="B73" s="1"/>
      <c r="C73" s="14">
        <v>109</v>
      </c>
      <c r="D73" s="14">
        <v>-1159</v>
      </c>
      <c r="E73" s="14">
        <v>140</v>
      </c>
      <c r="F73" s="14"/>
      <c r="G73" s="14"/>
      <c r="H73" s="14"/>
      <c r="I73" s="14"/>
      <c r="J73" s="14"/>
      <c r="K73" s="14"/>
      <c r="L73" s="14"/>
      <c r="M73" s="15"/>
      <c r="N73" s="14"/>
      <c r="O73" s="14"/>
      <c r="P73" s="14"/>
      <c r="Q73" s="14"/>
      <c r="R73" s="14"/>
      <c r="S73" s="14"/>
      <c r="T73" s="14"/>
      <c r="U73" s="14"/>
      <c r="V73" s="14"/>
      <c r="W73" s="14"/>
      <c r="X73" s="14"/>
    </row>
    <row r="74" spans="1:24" ht="22" customHeight="1">
      <c r="A74" s="3" t="s">
        <v>478</v>
      </c>
      <c r="B74" s="1"/>
      <c r="C74" s="14"/>
      <c r="D74" s="14">
        <v>4925</v>
      </c>
      <c r="E74" s="14">
        <v>437</v>
      </c>
      <c r="F74" s="14">
        <v>652</v>
      </c>
      <c r="G74" s="14"/>
      <c r="H74" s="14"/>
      <c r="I74" s="14"/>
      <c r="J74" s="14"/>
      <c r="K74" s="14"/>
      <c r="L74" s="14"/>
      <c r="M74" s="15"/>
      <c r="N74" s="14"/>
      <c r="O74" s="14"/>
      <c r="P74" s="14"/>
      <c r="Q74" s="14"/>
      <c r="R74" s="14"/>
      <c r="S74" s="14"/>
      <c r="T74" s="14"/>
      <c r="U74" s="14"/>
      <c r="V74" s="14"/>
      <c r="W74" s="14"/>
      <c r="X74" s="14"/>
    </row>
    <row r="75" spans="1:24" ht="22" customHeight="1">
      <c r="A75" s="3" t="s">
        <v>479</v>
      </c>
      <c r="B75" s="1"/>
      <c r="C75" s="14"/>
      <c r="D75" s="14">
        <v>136</v>
      </c>
      <c r="E75" s="14">
        <v>63</v>
      </c>
      <c r="F75" s="14">
        <v>196</v>
      </c>
      <c r="G75" s="14">
        <v>110</v>
      </c>
      <c r="H75" s="14">
        <v>44</v>
      </c>
      <c r="I75" s="14">
        <v>246</v>
      </c>
      <c r="J75" s="14">
        <v>309</v>
      </c>
      <c r="K75" s="14">
        <v>255</v>
      </c>
      <c r="L75" s="14">
        <v>42</v>
      </c>
      <c r="M75" s="15"/>
      <c r="N75" s="14"/>
      <c r="O75" s="14"/>
      <c r="P75" s="14"/>
      <c r="Q75" s="14"/>
      <c r="R75" s="14"/>
      <c r="S75" s="14"/>
      <c r="T75" s="14"/>
      <c r="U75" s="14"/>
      <c r="V75" s="14"/>
      <c r="W75" s="14"/>
      <c r="X75" s="14"/>
    </row>
    <row r="76" spans="1:24" ht="22" customHeight="1">
      <c r="A76" s="3" t="s">
        <v>480</v>
      </c>
      <c r="B76" s="1"/>
      <c r="C76" s="14"/>
      <c r="D76" s="14">
        <v>-1159</v>
      </c>
      <c r="E76" s="14">
        <v>140</v>
      </c>
      <c r="F76" s="14">
        <v>325</v>
      </c>
      <c r="G76" s="14"/>
      <c r="H76" s="14"/>
      <c r="I76" s="14"/>
      <c r="J76" s="14"/>
      <c r="K76" s="14"/>
      <c r="L76" s="14"/>
      <c r="M76" s="15"/>
      <c r="N76" s="14"/>
      <c r="O76" s="14"/>
      <c r="P76" s="14"/>
      <c r="Q76" s="14"/>
      <c r="R76" s="14"/>
      <c r="S76" s="14"/>
      <c r="T76" s="14"/>
      <c r="U76" s="14"/>
      <c r="V76" s="14"/>
      <c r="W76" s="14"/>
      <c r="X76" s="14"/>
    </row>
    <row r="77" spans="1:24" ht="22" customHeight="1">
      <c r="A77" s="3" t="s">
        <v>481</v>
      </c>
      <c r="B77" s="1"/>
      <c r="C77" s="14"/>
      <c r="D77" s="14"/>
      <c r="E77" s="14">
        <v>437</v>
      </c>
      <c r="F77" s="14">
        <v>652</v>
      </c>
      <c r="G77" s="14">
        <v>715</v>
      </c>
      <c r="H77" s="14">
        <v>702</v>
      </c>
      <c r="I77" s="14">
        <v>1137</v>
      </c>
      <c r="J77" s="14">
        <v>1133</v>
      </c>
      <c r="K77" s="14">
        <v>1033</v>
      </c>
      <c r="L77" s="14">
        <v>299</v>
      </c>
      <c r="M77" s="15"/>
      <c r="N77" s="14"/>
      <c r="O77" s="14"/>
      <c r="P77" s="14"/>
      <c r="Q77" s="14"/>
      <c r="R77" s="14"/>
      <c r="S77" s="14"/>
      <c r="T77" s="14"/>
      <c r="U77" s="14"/>
      <c r="V77" s="14"/>
      <c r="W77" s="14"/>
      <c r="X77" s="14"/>
    </row>
    <row r="78" spans="1:24" ht="22" customHeight="1">
      <c r="A78" s="3" t="s">
        <v>481</v>
      </c>
      <c r="B78" s="1"/>
      <c r="C78" s="14"/>
      <c r="D78" s="14"/>
      <c r="E78" s="14">
        <v>140</v>
      </c>
      <c r="F78" s="14">
        <v>325</v>
      </c>
      <c r="G78" s="14">
        <v>273</v>
      </c>
      <c r="H78" s="14">
        <v>375</v>
      </c>
      <c r="I78" s="14">
        <v>22</v>
      </c>
      <c r="J78" s="14">
        <v>-109</v>
      </c>
      <c r="K78" s="14">
        <v>-306</v>
      </c>
      <c r="L78" s="14">
        <v>116</v>
      </c>
      <c r="M78" s="15"/>
      <c r="N78" s="14"/>
      <c r="O78" s="14"/>
      <c r="P78" s="14"/>
      <c r="Q78" s="14"/>
      <c r="R78" s="14"/>
      <c r="S78" s="14"/>
      <c r="T78" s="14"/>
      <c r="U78" s="14"/>
      <c r="V78" s="14"/>
      <c r="W78" s="14"/>
      <c r="X78" s="14"/>
    </row>
    <row r="79" spans="1:24" ht="22" customHeight="1">
      <c r="A79" s="3" t="s">
        <v>476</v>
      </c>
      <c r="B79" s="1"/>
      <c r="C79" s="14"/>
      <c r="D79" s="14"/>
      <c r="E79" s="14">
        <v>-4379</v>
      </c>
      <c r="F79" s="14">
        <v>-31</v>
      </c>
      <c r="G79" s="14">
        <v>-167</v>
      </c>
      <c r="H79" s="14">
        <v>-14</v>
      </c>
      <c r="I79" s="14">
        <v>-709</v>
      </c>
      <c r="J79" s="14">
        <v>-212</v>
      </c>
      <c r="K79" s="14">
        <v>-10</v>
      </c>
      <c r="L79" s="14">
        <v>-116</v>
      </c>
      <c r="M79" s="15"/>
      <c r="N79" s="14"/>
      <c r="O79" s="14"/>
      <c r="P79" s="14"/>
      <c r="Q79" s="14"/>
      <c r="R79" s="14"/>
      <c r="S79" s="14"/>
      <c r="T79" s="14"/>
      <c r="U79" s="14"/>
      <c r="V79" s="14"/>
      <c r="W79" s="14"/>
      <c r="X79" s="14"/>
    </row>
    <row r="80" spans="1:24" ht="22" customHeight="1">
      <c r="A80" s="3" t="s">
        <v>479</v>
      </c>
      <c r="B80" s="1"/>
      <c r="C80" s="14"/>
      <c r="D80" s="14"/>
      <c r="E80" s="14">
        <v>-9</v>
      </c>
      <c r="F80" s="14">
        <v>10</v>
      </c>
      <c r="G80" s="14">
        <v>31</v>
      </c>
      <c r="H80" s="14">
        <v>80</v>
      </c>
      <c r="I80" s="14">
        <v>4</v>
      </c>
      <c r="J80" s="14">
        <v>-60</v>
      </c>
      <c r="K80" s="14">
        <v>-58</v>
      </c>
      <c r="L80" s="14">
        <v>25</v>
      </c>
      <c r="M80" s="15"/>
      <c r="N80" s="14"/>
      <c r="O80" s="14"/>
      <c r="P80" s="14"/>
      <c r="Q80" s="14"/>
      <c r="R80" s="14"/>
      <c r="S80" s="14"/>
      <c r="T80" s="14"/>
      <c r="U80" s="14"/>
      <c r="V80" s="14"/>
      <c r="W80" s="14"/>
      <c r="X80" s="14"/>
    </row>
    <row r="81" spans="1:24" ht="22" customHeight="1">
      <c r="A81" s="3" t="s">
        <v>482</v>
      </c>
      <c r="B81" s="1"/>
      <c r="C81" s="14"/>
      <c r="D81" s="14"/>
      <c r="E81" s="14">
        <v>-4248</v>
      </c>
      <c r="F81" s="14">
        <v>304</v>
      </c>
      <c r="G81" s="14">
        <v>137</v>
      </c>
      <c r="H81" s="14">
        <v>441</v>
      </c>
      <c r="I81" s="14">
        <v>-683</v>
      </c>
      <c r="J81" s="14">
        <v>-381</v>
      </c>
      <c r="K81" s="14">
        <v>-374</v>
      </c>
      <c r="L81" s="14">
        <v>25</v>
      </c>
      <c r="M81" s="15"/>
      <c r="N81" s="14"/>
      <c r="O81" s="14"/>
      <c r="P81" s="14"/>
      <c r="Q81" s="14"/>
      <c r="R81" s="14"/>
      <c r="S81" s="14"/>
      <c r="T81" s="14"/>
      <c r="U81" s="14"/>
      <c r="V81" s="14"/>
      <c r="W81" s="14"/>
      <c r="X81" s="14"/>
    </row>
    <row r="82" spans="1:24" ht="22" customHeight="1">
      <c r="A82" s="3"/>
      <c r="B82" s="1"/>
      <c r="C82" s="2"/>
      <c r="D82" s="2"/>
      <c r="E82" s="2"/>
      <c r="F82" s="2"/>
      <c r="G82" s="2"/>
      <c r="H82" s="2"/>
      <c r="I82" s="2"/>
      <c r="J82" s="2"/>
      <c r="K82" s="2"/>
      <c r="L82" s="2"/>
      <c r="M82" s="2"/>
      <c r="N82" s="2"/>
      <c r="O82" s="2"/>
      <c r="P82" s="2"/>
      <c r="Q82" s="2"/>
      <c r="R82" s="2"/>
      <c r="S82" s="2"/>
      <c r="T82" s="2"/>
      <c r="U82" s="2"/>
      <c r="V82" s="2"/>
      <c r="W82" s="2"/>
      <c r="X82" s="2"/>
    </row>
    <row r="83" spans="1:24" ht="22" customHeight="1">
      <c r="A83" s="174" t="s">
        <v>437</v>
      </c>
      <c r="B83" s="174"/>
      <c r="C83" s="175"/>
      <c r="D83" s="175"/>
      <c r="E83" s="175"/>
      <c r="F83" s="175"/>
      <c r="G83" s="175"/>
      <c r="H83" s="175"/>
      <c r="I83" s="175"/>
      <c r="J83" s="175"/>
      <c r="K83" s="175"/>
      <c r="L83" s="175"/>
      <c r="M83" s="175"/>
      <c r="N83" s="175"/>
      <c r="O83" s="175"/>
      <c r="P83" s="175"/>
      <c r="Q83" s="175"/>
      <c r="R83" s="175"/>
      <c r="S83" s="175"/>
      <c r="T83" s="175"/>
      <c r="U83" s="175"/>
      <c r="V83" s="175"/>
      <c r="W83" s="175"/>
      <c r="X83" s="175"/>
    </row>
    <row r="84" spans="1:24" ht="18" customHeight="1">
      <c r="A84" s="163" t="s">
        <v>475</v>
      </c>
      <c r="B84" s="163"/>
      <c r="C84" s="173"/>
      <c r="D84" s="173"/>
      <c r="E84" s="173"/>
      <c r="F84" s="173"/>
      <c r="G84" s="173"/>
      <c r="H84" s="173"/>
      <c r="I84" s="173"/>
      <c r="J84" s="173"/>
      <c r="K84" s="173"/>
      <c r="L84" s="173"/>
      <c r="M84" s="173"/>
      <c r="N84" s="173"/>
      <c r="O84" s="173"/>
      <c r="P84" s="173"/>
      <c r="Q84" s="173"/>
      <c r="R84" s="173"/>
      <c r="S84" s="173"/>
      <c r="T84" s="173"/>
      <c r="U84" s="173"/>
      <c r="V84" s="173"/>
      <c r="W84" s="173"/>
      <c r="X84" s="173"/>
    </row>
    <row r="85" spans="1:24" ht="36" customHeight="1">
      <c r="A85" s="21" t="s">
        <v>483</v>
      </c>
      <c r="B85" s="1"/>
      <c r="C85" s="22">
        <v>0.35000000000000003</v>
      </c>
      <c r="D85" s="22">
        <v>0.35000000000000003</v>
      </c>
      <c r="E85" s="22">
        <v>0.21</v>
      </c>
      <c r="F85" s="22">
        <v>0.21</v>
      </c>
      <c r="G85" s="22">
        <v>0.21</v>
      </c>
      <c r="H85" s="22">
        <v>0.21</v>
      </c>
      <c r="I85" s="22">
        <v>0.21</v>
      </c>
      <c r="J85" s="22">
        <v>0.21</v>
      </c>
      <c r="K85" s="22">
        <v>0.21</v>
      </c>
      <c r="L85" s="22"/>
      <c r="M85" s="24"/>
      <c r="N85" s="22"/>
      <c r="O85" s="22"/>
      <c r="P85" s="22"/>
      <c r="Q85" s="22"/>
      <c r="R85" s="22"/>
      <c r="S85" s="22"/>
      <c r="T85" s="22"/>
      <c r="U85" s="22"/>
      <c r="V85" s="22"/>
      <c r="W85" s="22"/>
      <c r="X85" s="22"/>
    </row>
    <row r="86" spans="1:24" ht="36" customHeight="1">
      <c r="A86" s="21" t="s">
        <v>484</v>
      </c>
      <c r="B86" s="1"/>
      <c r="C86" s="22">
        <v>4.0000000000000001E-3</v>
      </c>
      <c r="D86" s="22">
        <v>9.0000000000000011E-3</v>
      </c>
      <c r="E86" s="22">
        <v>5.0000000000000001E-3</v>
      </c>
      <c r="F86" s="22">
        <v>1.6E-2</v>
      </c>
      <c r="G86" s="22">
        <v>1.2E-2</v>
      </c>
      <c r="H86" s="22">
        <v>0.01</v>
      </c>
      <c r="I86" s="22">
        <v>1.8000000000000002E-2</v>
      </c>
      <c r="J86" s="22">
        <v>1.8000000000000002E-2</v>
      </c>
      <c r="K86" s="22">
        <v>1.3000000000000001E-2</v>
      </c>
      <c r="L86" s="22">
        <v>2E-3</v>
      </c>
      <c r="M86" s="24"/>
      <c r="N86" s="22"/>
      <c r="O86" s="22"/>
      <c r="P86" s="22"/>
      <c r="Q86" s="22"/>
      <c r="R86" s="22"/>
      <c r="S86" s="22"/>
      <c r="T86" s="22"/>
      <c r="U86" s="22"/>
      <c r="V86" s="22"/>
      <c r="W86" s="22"/>
      <c r="X86" s="22"/>
    </row>
    <row r="87" spans="1:24" ht="36" customHeight="1">
      <c r="A87" s="21" t="s">
        <v>485</v>
      </c>
      <c r="B87" s="1"/>
      <c r="C87" s="22">
        <v>-0.08</v>
      </c>
      <c r="D87" s="22">
        <v>-9.4E-2</v>
      </c>
      <c r="E87" s="22">
        <v>-2.2000000000000002E-2</v>
      </c>
      <c r="F87" s="22">
        <v>-9.0000000000000011E-3</v>
      </c>
      <c r="G87" s="22">
        <v>-8.0000000000000002E-3</v>
      </c>
      <c r="H87" s="22">
        <v>-1.6E-2</v>
      </c>
      <c r="I87" s="22">
        <v>-1.4999999999999999E-2</v>
      </c>
      <c r="J87" s="22">
        <v>-2.5000000000000001E-2</v>
      </c>
      <c r="K87" s="22">
        <v>-2.5000000000000001E-2</v>
      </c>
      <c r="L87" s="22"/>
      <c r="M87" s="24"/>
      <c r="N87" s="22"/>
      <c r="O87" s="22"/>
      <c r="P87" s="22"/>
      <c r="Q87" s="22"/>
      <c r="R87" s="22"/>
      <c r="S87" s="22"/>
      <c r="T87" s="22"/>
      <c r="U87" s="22"/>
      <c r="V87" s="22"/>
      <c r="W87" s="22"/>
      <c r="X87" s="22"/>
    </row>
    <row r="88" spans="1:24" ht="20" customHeight="1">
      <c r="A88" s="21" t="s">
        <v>486</v>
      </c>
      <c r="B88" s="1"/>
      <c r="C88" s="22">
        <v>0</v>
      </c>
      <c r="D88" s="22">
        <v>0</v>
      </c>
      <c r="E88" s="22">
        <v>-7.8E-2</v>
      </c>
      <c r="F88" s="22"/>
      <c r="G88" s="22">
        <v>0</v>
      </c>
      <c r="H88" s="22">
        <v>0</v>
      </c>
      <c r="I88" s="22">
        <v>-0.03</v>
      </c>
      <c r="J88" s="22"/>
      <c r="K88" s="22"/>
      <c r="L88" s="22"/>
      <c r="M88" s="24"/>
      <c r="N88" s="22"/>
      <c r="O88" s="22"/>
      <c r="P88" s="22"/>
      <c r="Q88" s="22"/>
      <c r="R88" s="22"/>
      <c r="S88" s="22"/>
      <c r="T88" s="22"/>
      <c r="U88" s="22"/>
      <c r="V88" s="22"/>
      <c r="W88" s="22"/>
      <c r="X88" s="22"/>
    </row>
    <row r="89" spans="1:24" ht="20" customHeight="1">
      <c r="A89" s="21" t="s">
        <v>487</v>
      </c>
      <c r="B89" s="1"/>
      <c r="C89" s="22">
        <v>-0.02</v>
      </c>
      <c r="D89" s="22">
        <v>-3.1000000000000003E-2</v>
      </c>
      <c r="E89" s="22">
        <v>-6.0000000000000001E-3</v>
      </c>
      <c r="F89" s="22">
        <v>-6.0000000000000001E-3</v>
      </c>
      <c r="G89" s="22">
        <v>-5.0000000000000001E-3</v>
      </c>
      <c r="H89" s="22">
        <v>-5.0000000000000001E-3</v>
      </c>
      <c r="I89" s="22">
        <v>-6.0000000000000001E-3</v>
      </c>
      <c r="J89" s="22">
        <v>-4.0000000000000001E-3</v>
      </c>
      <c r="K89" s="22">
        <v>-4.0000000000000001E-3</v>
      </c>
      <c r="L89" s="22"/>
      <c r="M89" s="24"/>
      <c r="N89" s="22"/>
      <c r="O89" s="22"/>
      <c r="P89" s="22"/>
      <c r="Q89" s="22"/>
      <c r="R89" s="22"/>
      <c r="S89" s="22"/>
      <c r="T89" s="22"/>
      <c r="U89" s="22"/>
      <c r="V89" s="22"/>
      <c r="W89" s="22"/>
      <c r="X89" s="22"/>
    </row>
    <row r="90" spans="1:24" ht="20" customHeight="1">
      <c r="A90" s="21" t="s">
        <v>488</v>
      </c>
      <c r="B90" s="1"/>
      <c r="C90" s="22">
        <v>0.254</v>
      </c>
      <c r="D90" s="22">
        <v>0.48899999999999999</v>
      </c>
      <c r="E90" s="22">
        <v>-0.36700000000000005</v>
      </c>
      <c r="F90" s="22">
        <v>0.21</v>
      </c>
      <c r="G90" s="22">
        <v>0.20899999999999999</v>
      </c>
      <c r="H90" s="22">
        <v>0.218</v>
      </c>
      <c r="I90" s="22">
        <v>0.161</v>
      </c>
      <c r="J90" s="22">
        <v>0.19800000000000001</v>
      </c>
      <c r="K90" s="22">
        <v>0.19399999999999998</v>
      </c>
      <c r="L90" s="22"/>
      <c r="M90" s="24"/>
      <c r="N90" s="22"/>
      <c r="O90" s="22"/>
      <c r="P90" s="22"/>
      <c r="Q90" s="22"/>
      <c r="R90" s="22"/>
      <c r="S90" s="22"/>
      <c r="T90" s="22"/>
      <c r="U90" s="22"/>
      <c r="V90" s="22"/>
      <c r="W90" s="22"/>
      <c r="X90" s="22"/>
    </row>
    <row r="91" spans="1:24" ht="36" customHeight="1">
      <c r="A91" s="21" t="s">
        <v>489</v>
      </c>
      <c r="B91" s="1"/>
      <c r="C91" s="22">
        <v>0</v>
      </c>
      <c r="D91" s="22">
        <v>0.41399999999999998</v>
      </c>
      <c r="E91" s="22">
        <v>1E-3</v>
      </c>
      <c r="F91" s="22">
        <v>-1E-3</v>
      </c>
      <c r="G91" s="22">
        <v>0</v>
      </c>
      <c r="H91" s="22">
        <v>1.9E-2</v>
      </c>
      <c r="I91" s="22">
        <v>8.0000000000000002E-3</v>
      </c>
      <c r="J91" s="22"/>
      <c r="K91" s="22"/>
      <c r="L91" s="22"/>
      <c r="M91" s="24"/>
      <c r="N91" s="22"/>
      <c r="O91" s="22"/>
      <c r="P91" s="22"/>
      <c r="Q91" s="22"/>
      <c r="R91" s="22"/>
      <c r="S91" s="22"/>
      <c r="T91" s="22"/>
      <c r="U91" s="22"/>
      <c r="V91" s="22"/>
      <c r="W91" s="22"/>
      <c r="X91" s="22"/>
    </row>
    <row r="92" spans="1:24" ht="36" customHeight="1">
      <c r="A92" s="21" t="s">
        <v>490</v>
      </c>
      <c r="B92" s="1"/>
      <c r="C92" s="22">
        <v>0</v>
      </c>
      <c r="D92" s="22">
        <v>-0.159</v>
      </c>
      <c r="E92" s="22">
        <v>-4.0000000000000001E-3</v>
      </c>
      <c r="F92" s="22"/>
      <c r="G92" s="22"/>
      <c r="H92" s="22"/>
      <c r="I92" s="22"/>
      <c r="J92" s="22"/>
      <c r="K92" s="22"/>
      <c r="L92" s="22"/>
      <c r="M92" s="24"/>
      <c r="N92" s="22"/>
      <c r="O92" s="22"/>
      <c r="P92" s="22"/>
      <c r="Q92" s="22"/>
      <c r="R92" s="22"/>
      <c r="S92" s="22"/>
      <c r="T92" s="22"/>
      <c r="U92" s="22"/>
      <c r="V92" s="22"/>
      <c r="W92" s="22"/>
      <c r="X92" s="22"/>
    </row>
    <row r="93" spans="1:24" ht="36" customHeight="1">
      <c r="A93" s="21" t="s">
        <v>491</v>
      </c>
      <c r="B93" s="1"/>
      <c r="C93" s="22">
        <v>0</v>
      </c>
      <c r="D93" s="22">
        <v>0</v>
      </c>
      <c r="E93" s="22">
        <v>-0.47299999999999998</v>
      </c>
      <c r="F93" s="22"/>
      <c r="G93" s="22"/>
      <c r="H93" s="22"/>
      <c r="I93" s="22"/>
      <c r="J93" s="22"/>
      <c r="K93" s="22"/>
      <c r="L93" s="22"/>
      <c r="M93" s="24"/>
      <c r="N93" s="22"/>
      <c r="O93" s="22"/>
      <c r="P93" s="22"/>
      <c r="Q93" s="22"/>
      <c r="R93" s="22"/>
      <c r="S93" s="22"/>
      <c r="T93" s="22"/>
      <c r="U93" s="22"/>
      <c r="V93" s="22"/>
      <c r="W93" s="22"/>
      <c r="X93" s="22"/>
    </row>
    <row r="94" spans="1:24" ht="20" customHeight="1">
      <c r="A94" s="21" t="s">
        <v>492</v>
      </c>
      <c r="B94" s="1"/>
      <c r="C94" s="22"/>
      <c r="D94" s="22"/>
      <c r="E94" s="22"/>
      <c r="F94" s="22"/>
      <c r="G94" s="22">
        <v>0</v>
      </c>
      <c r="H94" s="22">
        <v>0</v>
      </c>
      <c r="I94" s="22">
        <v>-2.4E-2</v>
      </c>
      <c r="J94" s="22">
        <v>-1E-3</v>
      </c>
      <c r="K94" s="22">
        <v>0</v>
      </c>
      <c r="L94" s="22"/>
      <c r="M94" s="24"/>
      <c r="N94" s="22"/>
      <c r="O94" s="22"/>
      <c r="P94" s="22"/>
      <c r="Q94" s="22"/>
      <c r="R94" s="22"/>
      <c r="S94" s="22"/>
      <c r="T94" s="22"/>
      <c r="U94" s="22"/>
      <c r="V94" s="22"/>
      <c r="W94" s="22"/>
      <c r="X94" s="22"/>
    </row>
    <row r="95" spans="1:24" ht="22" customHeight="1">
      <c r="A95" s="3" t="s">
        <v>493</v>
      </c>
      <c r="B95" s="1"/>
      <c r="C95" s="14"/>
      <c r="D95" s="14"/>
      <c r="E95" s="14"/>
      <c r="F95" s="14"/>
      <c r="G95" s="14"/>
      <c r="H95" s="14"/>
      <c r="I95" s="14"/>
      <c r="J95" s="14"/>
      <c r="K95" s="14"/>
      <c r="L95" s="14">
        <v>2151</v>
      </c>
      <c r="M95" s="15"/>
      <c r="N95" s="14"/>
      <c r="O95" s="14"/>
      <c r="P95" s="14"/>
      <c r="Q95" s="14"/>
      <c r="R95" s="14"/>
      <c r="S95" s="14"/>
      <c r="T95" s="14"/>
      <c r="U95" s="14"/>
      <c r="V95" s="14"/>
      <c r="W95" s="14"/>
      <c r="X95" s="14"/>
    </row>
    <row r="96" spans="1:24" ht="20" customHeight="1">
      <c r="A96" s="21" t="s">
        <v>494</v>
      </c>
      <c r="B96" s="1"/>
      <c r="C96" s="22"/>
      <c r="D96" s="22"/>
      <c r="E96" s="22"/>
      <c r="F96" s="22"/>
      <c r="G96" s="22"/>
      <c r="H96" s="22"/>
      <c r="I96" s="22"/>
      <c r="J96" s="22"/>
      <c r="K96" s="22"/>
      <c r="L96" s="22">
        <v>0.21</v>
      </c>
      <c r="M96" s="24"/>
      <c r="N96" s="22"/>
      <c r="O96" s="22"/>
      <c r="P96" s="22"/>
      <c r="Q96" s="22"/>
      <c r="R96" s="22"/>
      <c r="S96" s="22"/>
      <c r="T96" s="22"/>
      <c r="U96" s="22"/>
      <c r="V96" s="22"/>
      <c r="W96" s="22"/>
      <c r="X96" s="22"/>
    </row>
    <row r="97" spans="1:24" ht="36" customHeight="1">
      <c r="A97" s="3" t="s">
        <v>495</v>
      </c>
      <c r="B97" s="1"/>
      <c r="C97" s="14"/>
      <c r="D97" s="14"/>
      <c r="E97" s="14"/>
      <c r="F97" s="14"/>
      <c r="G97" s="14"/>
      <c r="H97" s="14"/>
      <c r="I97" s="14"/>
      <c r="J97" s="14"/>
      <c r="K97" s="14"/>
      <c r="L97" s="14">
        <v>25</v>
      </c>
      <c r="M97" s="15"/>
      <c r="N97" s="14"/>
      <c r="O97" s="14"/>
      <c r="P97" s="14"/>
      <c r="Q97" s="14"/>
      <c r="R97" s="14"/>
      <c r="S97" s="14"/>
      <c r="T97" s="14"/>
      <c r="U97" s="14"/>
      <c r="V97" s="14"/>
      <c r="W97" s="14"/>
      <c r="X97" s="14"/>
    </row>
    <row r="98" spans="1:24" ht="36" customHeight="1">
      <c r="A98" s="21" t="s">
        <v>496</v>
      </c>
      <c r="B98" s="1"/>
      <c r="C98" s="22"/>
      <c r="D98" s="22"/>
      <c r="E98" s="22"/>
      <c r="F98" s="22"/>
      <c r="G98" s="22"/>
      <c r="H98" s="22"/>
      <c r="I98" s="22"/>
      <c r="J98" s="22"/>
      <c r="K98" s="22"/>
      <c r="L98" s="22">
        <v>1E-3</v>
      </c>
      <c r="M98" s="24"/>
      <c r="N98" s="22"/>
      <c r="O98" s="22"/>
      <c r="P98" s="22"/>
      <c r="Q98" s="22"/>
      <c r="R98" s="22"/>
      <c r="S98" s="22"/>
      <c r="T98" s="22"/>
      <c r="U98" s="22"/>
      <c r="V98" s="22"/>
      <c r="W98" s="22"/>
      <c r="X98" s="22"/>
    </row>
    <row r="99" spans="1:24" ht="22" customHeight="1">
      <c r="A99" s="3" t="s">
        <v>497</v>
      </c>
      <c r="B99" s="1"/>
      <c r="C99" s="14"/>
      <c r="D99" s="14"/>
      <c r="E99" s="14"/>
      <c r="F99" s="14"/>
      <c r="G99" s="14"/>
      <c r="H99" s="14"/>
      <c r="I99" s="14"/>
      <c r="J99" s="14"/>
      <c r="K99" s="14"/>
      <c r="L99" s="14">
        <v>-119</v>
      </c>
      <c r="M99" s="15"/>
      <c r="N99" s="14"/>
      <c r="O99" s="14"/>
      <c r="P99" s="14"/>
      <c r="Q99" s="14"/>
      <c r="R99" s="14"/>
      <c r="S99" s="14"/>
      <c r="T99" s="14"/>
      <c r="U99" s="14"/>
      <c r="V99" s="14"/>
      <c r="W99" s="14"/>
      <c r="X99" s="14"/>
    </row>
    <row r="100" spans="1:24" ht="36" customHeight="1">
      <c r="A100" s="21" t="s">
        <v>498</v>
      </c>
      <c r="B100" s="1"/>
      <c r="C100" s="22"/>
      <c r="D100" s="22"/>
      <c r="E100" s="22"/>
      <c r="F100" s="22"/>
      <c r="G100" s="22"/>
      <c r="H100" s="22"/>
      <c r="I100" s="22"/>
      <c r="J100" s="22"/>
      <c r="K100" s="22"/>
      <c r="L100" s="22">
        <v>-1.2E-2</v>
      </c>
      <c r="M100" s="24"/>
      <c r="N100" s="22"/>
      <c r="O100" s="22"/>
      <c r="P100" s="22"/>
      <c r="Q100" s="22"/>
      <c r="R100" s="22"/>
      <c r="S100" s="22"/>
      <c r="T100" s="22"/>
      <c r="U100" s="22"/>
      <c r="V100" s="22"/>
      <c r="W100" s="22"/>
      <c r="X100" s="22"/>
    </row>
    <row r="101" spans="1:24" ht="22" customHeight="1">
      <c r="A101" s="3" t="s">
        <v>499</v>
      </c>
      <c r="B101" s="1"/>
      <c r="C101" s="14"/>
      <c r="D101" s="14"/>
      <c r="E101" s="14"/>
      <c r="F101" s="14"/>
      <c r="G101" s="14"/>
      <c r="H101" s="14"/>
      <c r="I101" s="14"/>
      <c r="J101" s="14"/>
      <c r="K101" s="14"/>
      <c r="L101" s="14">
        <v>24</v>
      </c>
      <c r="M101" s="15"/>
      <c r="N101" s="14"/>
      <c r="O101" s="14"/>
      <c r="P101" s="14"/>
      <c r="Q101" s="14"/>
      <c r="R101" s="14"/>
      <c r="S101" s="14"/>
      <c r="T101" s="14"/>
      <c r="U101" s="14"/>
      <c r="V101" s="14"/>
      <c r="W101" s="14"/>
      <c r="X101" s="14"/>
    </row>
    <row r="102" spans="1:24" ht="20" customHeight="1">
      <c r="A102" s="21" t="s">
        <v>500</v>
      </c>
      <c r="B102" s="1"/>
      <c r="C102" s="22"/>
      <c r="D102" s="22"/>
      <c r="E102" s="22"/>
      <c r="F102" s="22"/>
      <c r="G102" s="22"/>
      <c r="H102" s="22"/>
      <c r="I102" s="22"/>
      <c r="J102" s="22"/>
      <c r="K102" s="22"/>
      <c r="L102" s="22">
        <v>2E-3</v>
      </c>
      <c r="M102" s="24"/>
      <c r="N102" s="22"/>
      <c r="O102" s="22"/>
      <c r="P102" s="22"/>
      <c r="Q102" s="22"/>
      <c r="R102" s="22"/>
      <c r="S102" s="22"/>
      <c r="T102" s="22"/>
      <c r="U102" s="22"/>
      <c r="V102" s="22"/>
      <c r="W102" s="22"/>
      <c r="X102" s="22"/>
    </row>
    <row r="103" spans="1:24" ht="22" customHeight="1">
      <c r="A103" s="3" t="s">
        <v>501</v>
      </c>
      <c r="B103" s="1"/>
      <c r="C103" s="14"/>
      <c r="D103" s="14"/>
      <c r="E103" s="14"/>
      <c r="F103" s="14"/>
      <c r="G103" s="14"/>
      <c r="H103" s="14"/>
      <c r="I103" s="14"/>
      <c r="J103" s="14"/>
      <c r="K103" s="14"/>
      <c r="L103" s="14">
        <v>-113</v>
      </c>
      <c r="M103" s="15"/>
      <c r="N103" s="14"/>
      <c r="O103" s="14"/>
      <c r="P103" s="14"/>
      <c r="Q103" s="14"/>
      <c r="R103" s="14"/>
      <c r="S103" s="14"/>
      <c r="T103" s="14"/>
      <c r="U103" s="14"/>
      <c r="V103" s="14"/>
      <c r="W103" s="14"/>
      <c r="X103" s="14"/>
    </row>
    <row r="104" spans="1:24" ht="20" customHeight="1">
      <c r="A104" s="21" t="s">
        <v>502</v>
      </c>
      <c r="B104" s="1"/>
      <c r="C104" s="22"/>
      <c r="D104" s="22"/>
      <c r="E104" s="22"/>
      <c r="F104" s="22"/>
      <c r="G104" s="22"/>
      <c r="H104" s="22"/>
      <c r="I104" s="22"/>
      <c r="J104" s="22"/>
      <c r="K104" s="22"/>
      <c r="L104" s="22">
        <v>-1.1000000000000001E-2</v>
      </c>
      <c r="M104" s="24"/>
      <c r="N104" s="22"/>
      <c r="O104" s="22"/>
      <c r="P104" s="22"/>
      <c r="Q104" s="22"/>
      <c r="R104" s="22"/>
      <c r="S104" s="22"/>
      <c r="T104" s="22"/>
      <c r="U104" s="22"/>
      <c r="V104" s="22"/>
      <c r="W104" s="22"/>
      <c r="X104" s="22"/>
    </row>
    <row r="105" spans="1:24" ht="22" customHeight="1">
      <c r="A105" s="3" t="s">
        <v>499</v>
      </c>
      <c r="B105" s="1"/>
      <c r="C105" s="14"/>
      <c r="D105" s="14"/>
      <c r="E105" s="14"/>
      <c r="F105" s="14"/>
      <c r="G105" s="14"/>
      <c r="H105" s="14"/>
      <c r="I105" s="14"/>
      <c r="J105" s="14"/>
      <c r="K105" s="14"/>
      <c r="L105" s="14">
        <v>-26</v>
      </c>
      <c r="M105" s="15"/>
      <c r="N105" s="14"/>
      <c r="O105" s="14"/>
      <c r="P105" s="14"/>
      <c r="Q105" s="14"/>
      <c r="R105" s="14"/>
      <c r="S105" s="14"/>
      <c r="T105" s="14"/>
      <c r="U105" s="14"/>
      <c r="V105" s="14"/>
      <c r="W105" s="14"/>
      <c r="X105" s="14"/>
    </row>
    <row r="106" spans="1:24" ht="20" customHeight="1">
      <c r="A106" s="21" t="s">
        <v>500</v>
      </c>
      <c r="B106" s="1"/>
      <c r="C106" s="22"/>
      <c r="D106" s="22"/>
      <c r="E106" s="22"/>
      <c r="F106" s="22"/>
      <c r="G106" s="22"/>
      <c r="H106" s="22"/>
      <c r="I106" s="22"/>
      <c r="J106" s="22"/>
      <c r="K106" s="22"/>
      <c r="L106" s="22">
        <v>-3.0000000000000001E-3</v>
      </c>
      <c r="M106" s="24"/>
      <c r="N106" s="22"/>
      <c r="O106" s="22"/>
      <c r="P106" s="22"/>
      <c r="Q106" s="22"/>
      <c r="R106" s="22"/>
      <c r="S106" s="22"/>
      <c r="T106" s="22"/>
      <c r="U106" s="22"/>
      <c r="V106" s="22"/>
      <c r="W106" s="22"/>
      <c r="X106" s="22"/>
    </row>
    <row r="107" spans="1:24" ht="36" customHeight="1">
      <c r="A107" s="21" t="s">
        <v>496</v>
      </c>
      <c r="B107" s="1"/>
      <c r="C107" s="22"/>
      <c r="D107" s="22"/>
      <c r="E107" s="22"/>
      <c r="F107" s="22"/>
      <c r="G107" s="22"/>
      <c r="H107" s="22"/>
      <c r="I107" s="22"/>
      <c r="J107" s="22"/>
      <c r="K107" s="22"/>
      <c r="L107" s="22">
        <v>-1.4999999999999999E-2</v>
      </c>
      <c r="M107" s="24"/>
      <c r="N107" s="22"/>
      <c r="O107" s="22"/>
      <c r="P107" s="22"/>
      <c r="Q107" s="22"/>
      <c r="R107" s="22"/>
      <c r="S107" s="22"/>
      <c r="T107" s="22"/>
      <c r="U107" s="22"/>
      <c r="V107" s="22"/>
      <c r="W107" s="22"/>
      <c r="X107" s="22"/>
    </row>
    <row r="108" spans="1:24" ht="22" customHeight="1">
      <c r="A108" s="3" t="s">
        <v>499</v>
      </c>
      <c r="B108" s="1"/>
      <c r="C108" s="14"/>
      <c r="D108" s="14"/>
      <c r="E108" s="14"/>
      <c r="F108" s="14"/>
      <c r="G108" s="14"/>
      <c r="H108" s="14"/>
      <c r="I108" s="14"/>
      <c r="J108" s="14"/>
      <c r="K108" s="14"/>
      <c r="L108" s="14">
        <v>32</v>
      </c>
      <c r="M108" s="15"/>
      <c r="N108" s="14"/>
      <c r="O108" s="14"/>
      <c r="P108" s="14"/>
      <c r="Q108" s="14"/>
      <c r="R108" s="14"/>
      <c r="S108" s="14"/>
      <c r="T108" s="14"/>
      <c r="U108" s="14"/>
      <c r="V108" s="14"/>
      <c r="W108" s="14"/>
      <c r="X108" s="14"/>
    </row>
    <row r="109" spans="1:24" ht="20" customHeight="1">
      <c r="A109" s="21" t="s">
        <v>500</v>
      </c>
      <c r="B109" s="1"/>
      <c r="C109" s="22"/>
      <c r="D109" s="22"/>
      <c r="E109" s="22"/>
      <c r="F109" s="22"/>
      <c r="G109" s="22"/>
      <c r="H109" s="22"/>
      <c r="I109" s="22"/>
      <c r="J109" s="22"/>
      <c r="K109" s="22"/>
      <c r="L109" s="22">
        <v>3.0000000000000001E-3</v>
      </c>
      <c r="M109" s="24"/>
      <c r="N109" s="22"/>
      <c r="O109" s="22"/>
      <c r="P109" s="22"/>
      <c r="Q109" s="22"/>
      <c r="R109" s="22"/>
      <c r="S109" s="22"/>
      <c r="T109" s="22"/>
      <c r="U109" s="22"/>
      <c r="V109" s="22"/>
      <c r="W109" s="22"/>
      <c r="X109" s="22"/>
    </row>
    <row r="110" spans="1:24" ht="22" customHeight="1">
      <c r="A110" s="3" t="s">
        <v>497</v>
      </c>
      <c r="B110" s="1"/>
      <c r="C110" s="14"/>
      <c r="D110" s="14"/>
      <c r="E110" s="14"/>
      <c r="F110" s="14"/>
      <c r="G110" s="14"/>
      <c r="H110" s="14"/>
      <c r="I110" s="14"/>
      <c r="J110" s="14"/>
      <c r="K110" s="14"/>
      <c r="L110" s="14">
        <v>-310</v>
      </c>
      <c r="M110" s="15"/>
      <c r="N110" s="14"/>
      <c r="O110" s="14"/>
      <c r="P110" s="14"/>
      <c r="Q110" s="14"/>
      <c r="R110" s="14"/>
      <c r="S110" s="14"/>
      <c r="T110" s="14"/>
      <c r="U110" s="14"/>
      <c r="V110" s="14"/>
      <c r="W110" s="14"/>
      <c r="X110" s="14"/>
    </row>
    <row r="111" spans="1:24" ht="36" customHeight="1">
      <c r="A111" s="21" t="s">
        <v>498</v>
      </c>
      <c r="B111" s="1"/>
      <c r="C111" s="22"/>
      <c r="D111" s="22"/>
      <c r="E111" s="22"/>
      <c r="F111" s="22"/>
      <c r="G111" s="22"/>
      <c r="H111" s="22"/>
      <c r="I111" s="22"/>
      <c r="J111" s="22"/>
      <c r="K111" s="22"/>
      <c r="L111" s="22">
        <v>-0.03</v>
      </c>
      <c r="M111" s="24"/>
      <c r="N111" s="22"/>
      <c r="O111" s="22"/>
      <c r="P111" s="22"/>
      <c r="Q111" s="22"/>
      <c r="R111" s="22"/>
      <c r="S111" s="22"/>
      <c r="T111" s="22"/>
      <c r="U111" s="22"/>
      <c r="V111" s="22"/>
      <c r="W111" s="22"/>
      <c r="X111" s="22"/>
    </row>
    <row r="112" spans="1:24" ht="22" customHeight="1">
      <c r="A112" s="3" t="s">
        <v>503</v>
      </c>
      <c r="B112" s="1"/>
      <c r="C112" s="14"/>
      <c r="D112" s="14"/>
      <c r="E112" s="14"/>
      <c r="F112" s="14"/>
      <c r="G112" s="14"/>
      <c r="H112" s="14"/>
      <c r="I112" s="14"/>
      <c r="J112" s="14"/>
      <c r="K112" s="14"/>
      <c r="L112" s="14">
        <v>21</v>
      </c>
      <c r="M112" s="15"/>
      <c r="N112" s="14"/>
      <c r="O112" s="14"/>
      <c r="P112" s="14"/>
      <c r="Q112" s="14"/>
      <c r="R112" s="14"/>
      <c r="S112" s="14"/>
      <c r="T112" s="14"/>
      <c r="U112" s="14"/>
      <c r="V112" s="14"/>
      <c r="W112" s="14"/>
      <c r="X112" s="14"/>
    </row>
    <row r="113" spans="1:24" ht="36" customHeight="1">
      <c r="A113" s="21" t="s">
        <v>504</v>
      </c>
      <c r="B113" s="1"/>
      <c r="C113" s="22"/>
      <c r="D113" s="22"/>
      <c r="E113" s="22"/>
      <c r="F113" s="22"/>
      <c r="G113" s="22"/>
      <c r="H113" s="22"/>
      <c r="I113" s="22"/>
      <c r="J113" s="22"/>
      <c r="K113" s="22"/>
      <c r="L113" s="22">
        <v>2E-3</v>
      </c>
      <c r="M113" s="24"/>
      <c r="N113" s="22"/>
      <c r="O113" s="22"/>
      <c r="P113" s="22"/>
      <c r="Q113" s="22"/>
      <c r="R113" s="22"/>
      <c r="S113" s="22"/>
      <c r="T113" s="22"/>
      <c r="U113" s="22"/>
      <c r="V113" s="22"/>
      <c r="W113" s="22"/>
      <c r="X113" s="22"/>
    </row>
    <row r="114" spans="1:24" ht="22" customHeight="1">
      <c r="A114" s="3" t="s">
        <v>505</v>
      </c>
      <c r="B114" s="1"/>
      <c r="C114" s="14"/>
      <c r="D114" s="14"/>
      <c r="E114" s="14"/>
      <c r="F114" s="14"/>
      <c r="G114" s="14"/>
      <c r="H114" s="14"/>
      <c r="I114" s="14"/>
      <c r="J114" s="14"/>
      <c r="K114" s="14"/>
      <c r="L114" s="14">
        <v>128</v>
      </c>
      <c r="M114" s="15"/>
      <c r="N114" s="14"/>
      <c r="O114" s="14"/>
      <c r="P114" s="14"/>
      <c r="Q114" s="14"/>
      <c r="R114" s="14"/>
      <c r="S114" s="14"/>
      <c r="T114" s="14"/>
      <c r="U114" s="14"/>
      <c r="V114" s="14"/>
      <c r="W114" s="14"/>
      <c r="X114" s="14"/>
    </row>
    <row r="115" spans="1:24" ht="36" customHeight="1">
      <c r="A115" s="21" t="s">
        <v>506</v>
      </c>
      <c r="B115" s="1"/>
      <c r="C115" s="22"/>
      <c r="D115" s="22"/>
      <c r="E115" s="22"/>
      <c r="F115" s="22"/>
      <c r="G115" s="22"/>
      <c r="H115" s="22"/>
      <c r="I115" s="22"/>
      <c r="J115" s="22"/>
      <c r="K115" s="22"/>
      <c r="L115" s="22">
        <v>1.3000000000000001E-2</v>
      </c>
      <c r="M115" s="24"/>
      <c r="N115" s="22"/>
      <c r="O115" s="22"/>
      <c r="P115" s="22"/>
      <c r="Q115" s="22"/>
      <c r="R115" s="22"/>
      <c r="S115" s="22"/>
      <c r="T115" s="22"/>
      <c r="U115" s="22"/>
      <c r="V115" s="22"/>
      <c r="W115" s="22"/>
      <c r="X115" s="22"/>
    </row>
    <row r="116" spans="1:24" ht="22" customHeight="1">
      <c r="A116" s="3" t="s">
        <v>507</v>
      </c>
      <c r="B116" s="1"/>
      <c r="C116" s="14"/>
      <c r="D116" s="14"/>
      <c r="E116" s="14"/>
      <c r="F116" s="14"/>
      <c r="G116" s="14"/>
      <c r="H116" s="14"/>
      <c r="I116" s="14"/>
      <c r="J116" s="14"/>
      <c r="K116" s="14"/>
      <c r="L116" s="14">
        <v>115</v>
      </c>
      <c r="M116" s="15"/>
      <c r="N116" s="14"/>
      <c r="O116" s="14"/>
      <c r="P116" s="14"/>
      <c r="Q116" s="14"/>
      <c r="R116" s="14"/>
      <c r="S116" s="14"/>
      <c r="T116" s="14"/>
      <c r="U116" s="14"/>
      <c r="V116" s="14"/>
      <c r="W116" s="14"/>
      <c r="X116" s="14"/>
    </row>
    <row r="117" spans="1:24" ht="36" customHeight="1">
      <c r="A117" s="21" t="s">
        <v>508</v>
      </c>
      <c r="B117" s="1"/>
      <c r="C117" s="22"/>
      <c r="D117" s="22"/>
      <c r="E117" s="22"/>
      <c r="F117" s="22"/>
      <c r="G117" s="22"/>
      <c r="H117" s="22"/>
      <c r="I117" s="22"/>
      <c r="J117" s="22"/>
      <c r="K117" s="22"/>
      <c r="L117" s="22">
        <v>1.1000000000000001E-2</v>
      </c>
      <c r="M117" s="24"/>
      <c r="N117" s="22"/>
      <c r="O117" s="22"/>
      <c r="P117" s="22"/>
      <c r="Q117" s="22"/>
      <c r="R117" s="22"/>
      <c r="S117" s="22"/>
      <c r="T117" s="22"/>
      <c r="U117" s="22"/>
      <c r="V117" s="22"/>
      <c r="W117" s="22"/>
      <c r="X117" s="22"/>
    </row>
    <row r="118" spans="1:24" ht="22" customHeight="1">
      <c r="A118" s="3" t="s">
        <v>499</v>
      </c>
      <c r="B118" s="1"/>
      <c r="C118" s="14"/>
      <c r="D118" s="14"/>
      <c r="E118" s="14"/>
      <c r="F118" s="14"/>
      <c r="G118" s="14"/>
      <c r="H118" s="14"/>
      <c r="I118" s="14"/>
      <c r="J118" s="14"/>
      <c r="K118" s="14"/>
      <c r="L118" s="14">
        <v>-110</v>
      </c>
      <c r="M118" s="15"/>
      <c r="N118" s="14"/>
      <c r="O118" s="14"/>
      <c r="P118" s="14"/>
      <c r="Q118" s="14"/>
      <c r="R118" s="14"/>
      <c r="S118" s="14"/>
      <c r="T118" s="14"/>
      <c r="U118" s="14"/>
      <c r="V118" s="14"/>
      <c r="W118" s="14"/>
      <c r="X118" s="14"/>
    </row>
    <row r="119" spans="1:24" ht="20" customHeight="1">
      <c r="A119" s="21" t="s">
        <v>500</v>
      </c>
      <c r="B119" s="1"/>
      <c r="C119" s="22"/>
      <c r="D119" s="22"/>
      <c r="E119" s="22"/>
      <c r="F119" s="22"/>
      <c r="G119" s="22"/>
      <c r="H119" s="22"/>
      <c r="I119" s="22"/>
      <c r="J119" s="22"/>
      <c r="K119" s="22"/>
      <c r="L119" s="22">
        <v>-0.01</v>
      </c>
      <c r="M119" s="24"/>
      <c r="N119" s="22"/>
      <c r="O119" s="22"/>
      <c r="P119" s="22"/>
      <c r="Q119" s="22"/>
      <c r="R119" s="22"/>
      <c r="S119" s="22"/>
      <c r="T119" s="22"/>
      <c r="U119" s="22"/>
      <c r="V119" s="22"/>
      <c r="W119" s="22"/>
      <c r="X119" s="22"/>
    </row>
    <row r="120" spans="1:24" ht="22" customHeight="1">
      <c r="A120" s="3" t="s">
        <v>509</v>
      </c>
      <c r="B120" s="1"/>
      <c r="C120" s="14"/>
      <c r="D120" s="14"/>
      <c r="E120" s="14"/>
      <c r="F120" s="14"/>
      <c r="G120" s="14"/>
      <c r="H120" s="14"/>
      <c r="I120" s="14"/>
      <c r="J120" s="14"/>
      <c r="K120" s="14"/>
      <c r="L120" s="14">
        <v>-29</v>
      </c>
      <c r="M120" s="15"/>
      <c r="N120" s="14"/>
      <c r="O120" s="14"/>
      <c r="P120" s="14"/>
      <c r="Q120" s="14"/>
      <c r="R120" s="14"/>
      <c r="S120" s="14"/>
      <c r="T120" s="14"/>
      <c r="U120" s="14"/>
      <c r="V120" s="14"/>
      <c r="W120" s="14"/>
      <c r="X120" s="14"/>
    </row>
    <row r="121" spans="1:24" ht="20" customHeight="1">
      <c r="A121" s="21" t="s">
        <v>510</v>
      </c>
      <c r="B121" s="1"/>
      <c r="C121" s="22"/>
      <c r="D121" s="22"/>
      <c r="E121" s="22"/>
      <c r="F121" s="22"/>
      <c r="G121" s="22"/>
      <c r="H121" s="22"/>
      <c r="I121" s="22"/>
      <c r="J121" s="22"/>
      <c r="K121" s="22"/>
      <c r="L121" s="22">
        <v>-3.0000000000000001E-3</v>
      </c>
      <c r="M121" s="24"/>
      <c r="N121" s="22"/>
      <c r="O121" s="22"/>
      <c r="P121" s="22"/>
      <c r="Q121" s="22"/>
      <c r="R121" s="22"/>
      <c r="S121" s="22"/>
      <c r="T121" s="22"/>
      <c r="U121" s="22"/>
      <c r="V121" s="22"/>
      <c r="W121" s="22"/>
      <c r="X121" s="22"/>
    </row>
    <row r="122" spans="1:24" ht="22" customHeight="1">
      <c r="A122" s="3" t="s">
        <v>511</v>
      </c>
      <c r="B122" s="1"/>
      <c r="C122" s="14"/>
      <c r="D122" s="14"/>
      <c r="E122" s="14"/>
      <c r="F122" s="14"/>
      <c r="G122" s="14"/>
      <c r="H122" s="14"/>
      <c r="I122" s="14"/>
      <c r="J122" s="14"/>
      <c r="K122" s="14"/>
      <c r="L122" s="14">
        <v>181</v>
      </c>
      <c r="M122" s="15"/>
      <c r="N122" s="14"/>
      <c r="O122" s="14"/>
      <c r="P122" s="14"/>
      <c r="Q122" s="14"/>
      <c r="R122" s="14"/>
      <c r="S122" s="14"/>
      <c r="T122" s="14"/>
      <c r="U122" s="14"/>
      <c r="V122" s="14"/>
      <c r="W122" s="14"/>
      <c r="X122" s="14"/>
    </row>
    <row r="123" spans="1:24" ht="36" customHeight="1">
      <c r="A123" s="21" t="s">
        <v>512</v>
      </c>
      <c r="B123" s="1"/>
      <c r="C123" s="22"/>
      <c r="D123" s="22"/>
      <c r="E123" s="22"/>
      <c r="F123" s="22"/>
      <c r="G123" s="22"/>
      <c r="H123" s="22"/>
      <c r="I123" s="22"/>
      <c r="J123" s="22"/>
      <c r="K123" s="22"/>
      <c r="L123" s="22">
        <v>1.8000000000000002E-2</v>
      </c>
      <c r="M123" s="24"/>
      <c r="N123" s="22"/>
      <c r="O123" s="22"/>
      <c r="P123" s="22"/>
      <c r="Q123" s="22"/>
      <c r="R123" s="22"/>
      <c r="S123" s="22"/>
      <c r="T123" s="22"/>
      <c r="U123" s="22"/>
      <c r="V123" s="22"/>
      <c r="W123" s="22"/>
      <c r="X123" s="22"/>
    </row>
    <row r="124" spans="1:24" ht="22" customHeight="1">
      <c r="A124" s="3" t="s">
        <v>513</v>
      </c>
      <c r="B124" s="1"/>
      <c r="C124" s="14"/>
      <c r="D124" s="14"/>
      <c r="E124" s="14"/>
      <c r="F124" s="14"/>
      <c r="G124" s="14"/>
      <c r="H124" s="14"/>
      <c r="I124" s="14"/>
      <c r="J124" s="14"/>
      <c r="K124" s="14"/>
      <c r="L124" s="14">
        <v>-31</v>
      </c>
      <c r="M124" s="15"/>
      <c r="N124" s="14"/>
      <c r="O124" s="14"/>
      <c r="P124" s="14"/>
      <c r="Q124" s="14"/>
      <c r="R124" s="14"/>
      <c r="S124" s="14"/>
      <c r="T124" s="14"/>
      <c r="U124" s="14"/>
      <c r="V124" s="14"/>
      <c r="W124" s="14"/>
      <c r="X124" s="14"/>
    </row>
    <row r="125" spans="1:24" ht="36" customHeight="1">
      <c r="A125" s="21" t="s">
        <v>514</v>
      </c>
      <c r="B125" s="1"/>
      <c r="C125" s="22"/>
      <c r="D125" s="22"/>
      <c r="E125" s="22"/>
      <c r="F125" s="22"/>
      <c r="G125" s="22"/>
      <c r="H125" s="22"/>
      <c r="I125" s="22"/>
      <c r="J125" s="22"/>
      <c r="K125" s="22"/>
      <c r="L125" s="22">
        <v>-3.0000000000000001E-3</v>
      </c>
      <c r="M125" s="24"/>
      <c r="N125" s="22"/>
      <c r="O125" s="22"/>
      <c r="P125" s="22"/>
      <c r="Q125" s="22"/>
      <c r="R125" s="22"/>
      <c r="S125" s="22"/>
      <c r="T125" s="22"/>
      <c r="U125" s="22"/>
      <c r="V125" s="22"/>
      <c r="W125" s="22"/>
      <c r="X125" s="22"/>
    </row>
    <row r="126" spans="1:24" ht="22" customHeight="1">
      <c r="A126" s="3" t="s">
        <v>499</v>
      </c>
      <c r="B126" s="1"/>
      <c r="C126" s="14"/>
      <c r="D126" s="14"/>
      <c r="E126" s="14"/>
      <c r="F126" s="14"/>
      <c r="G126" s="14"/>
      <c r="H126" s="14"/>
      <c r="I126" s="14"/>
      <c r="J126" s="14"/>
      <c r="K126" s="14"/>
      <c r="L126" s="14">
        <v>147</v>
      </c>
      <c r="M126" s="15"/>
      <c r="N126" s="14"/>
      <c r="O126" s="14"/>
      <c r="P126" s="14"/>
      <c r="Q126" s="14"/>
      <c r="R126" s="14"/>
      <c r="S126" s="14"/>
      <c r="T126" s="14"/>
      <c r="U126" s="14"/>
      <c r="V126" s="14"/>
      <c r="W126" s="14"/>
      <c r="X126" s="14"/>
    </row>
    <row r="127" spans="1:24" ht="20" customHeight="1">
      <c r="A127" s="21" t="s">
        <v>500</v>
      </c>
      <c r="B127" s="1"/>
      <c r="C127" s="22"/>
      <c r="D127" s="22"/>
      <c r="E127" s="22"/>
      <c r="F127" s="22"/>
      <c r="G127" s="22"/>
      <c r="H127" s="22"/>
      <c r="I127" s="22"/>
      <c r="J127" s="22"/>
      <c r="K127" s="22"/>
      <c r="L127" s="22">
        <v>1.4999999999999999E-2</v>
      </c>
      <c r="M127" s="24"/>
      <c r="N127" s="22"/>
      <c r="O127" s="22"/>
      <c r="P127" s="22"/>
      <c r="Q127" s="22"/>
      <c r="R127" s="22"/>
      <c r="S127" s="22"/>
      <c r="T127" s="22"/>
      <c r="U127" s="22"/>
      <c r="V127" s="22"/>
      <c r="W127" s="22"/>
      <c r="X127" s="22"/>
    </row>
    <row r="128" spans="1:24" ht="22" customHeight="1">
      <c r="A128" s="3" t="s">
        <v>515</v>
      </c>
      <c r="B128" s="1"/>
      <c r="C128" s="14"/>
      <c r="D128" s="14"/>
      <c r="E128" s="14"/>
      <c r="F128" s="14"/>
      <c r="G128" s="14"/>
      <c r="H128" s="14"/>
      <c r="I128" s="14"/>
      <c r="J128" s="14"/>
      <c r="K128" s="14"/>
      <c r="L128" s="14">
        <v>1949</v>
      </c>
      <c r="M128" s="15"/>
      <c r="N128" s="14"/>
      <c r="O128" s="14"/>
      <c r="P128" s="14"/>
      <c r="Q128" s="14"/>
      <c r="R128" s="14"/>
      <c r="S128" s="14"/>
      <c r="T128" s="14"/>
      <c r="U128" s="14"/>
      <c r="V128" s="14"/>
      <c r="W128" s="14"/>
      <c r="X128" s="14"/>
    </row>
    <row r="129" spans="1:24" ht="20" customHeight="1">
      <c r="A129" s="21" t="s">
        <v>516</v>
      </c>
      <c r="B129" s="1"/>
      <c r="C129" s="22"/>
      <c r="D129" s="22"/>
      <c r="E129" s="22"/>
      <c r="F129" s="22"/>
      <c r="G129" s="22"/>
      <c r="H129" s="22"/>
      <c r="I129" s="22"/>
      <c r="J129" s="22"/>
      <c r="K129" s="22"/>
      <c r="L129" s="22">
        <v>0.19</v>
      </c>
      <c r="M129" s="24"/>
      <c r="N129" s="22"/>
      <c r="O129" s="22"/>
      <c r="P129" s="22"/>
      <c r="Q129" s="22"/>
      <c r="R129" s="22"/>
      <c r="S129" s="22"/>
      <c r="T129" s="22"/>
      <c r="U129" s="22"/>
      <c r="V129" s="22"/>
      <c r="W129" s="22"/>
      <c r="X129" s="22"/>
    </row>
    <row r="130" spans="1:24" ht="22" customHeight="1">
      <c r="A130" s="3" t="s">
        <v>517</v>
      </c>
      <c r="B130" s="1"/>
      <c r="C130" s="14"/>
      <c r="D130" s="14"/>
      <c r="E130" s="14"/>
      <c r="F130" s="14"/>
      <c r="G130" s="14"/>
      <c r="H130" s="14"/>
      <c r="I130" s="14"/>
      <c r="J130" s="14"/>
      <c r="K130" s="14"/>
      <c r="L130" s="14">
        <v>1107</v>
      </c>
      <c r="M130" s="15"/>
      <c r="N130" s="14"/>
      <c r="O130" s="14"/>
      <c r="P130" s="14"/>
      <c r="Q130" s="14"/>
      <c r="R130" s="14"/>
      <c r="S130" s="14"/>
      <c r="T130" s="14"/>
      <c r="U130" s="14"/>
      <c r="V130" s="14"/>
      <c r="W130" s="14"/>
      <c r="X130" s="14"/>
    </row>
    <row r="131" spans="1:24" ht="22" customHeight="1">
      <c r="A131" s="3" t="s">
        <v>518</v>
      </c>
      <c r="B131" s="1"/>
      <c r="C131" s="14"/>
      <c r="D131" s="14"/>
      <c r="E131" s="14"/>
      <c r="F131" s="14"/>
      <c r="G131" s="14"/>
      <c r="H131" s="14"/>
      <c r="I131" s="14"/>
      <c r="J131" s="14"/>
      <c r="K131" s="14"/>
      <c r="L131" s="14">
        <v>243</v>
      </c>
      <c r="M131" s="15"/>
      <c r="N131" s="14"/>
      <c r="O131" s="14"/>
      <c r="P131" s="14"/>
      <c r="Q131" s="14"/>
      <c r="R131" s="14"/>
      <c r="S131" s="14"/>
      <c r="T131" s="14"/>
      <c r="U131" s="14"/>
      <c r="V131" s="14"/>
      <c r="W131" s="14"/>
      <c r="X131" s="14"/>
    </row>
    <row r="132" spans="1:24" ht="22" customHeight="1">
      <c r="A132" s="3" t="s">
        <v>519</v>
      </c>
      <c r="B132" s="1"/>
      <c r="C132" s="14"/>
      <c r="D132" s="14"/>
      <c r="E132" s="14"/>
      <c r="F132" s="14"/>
      <c r="G132" s="14"/>
      <c r="H132" s="14"/>
      <c r="I132" s="14"/>
      <c r="J132" s="14"/>
      <c r="K132" s="14"/>
      <c r="L132" s="14">
        <v>424</v>
      </c>
      <c r="M132" s="15"/>
      <c r="N132" s="14"/>
      <c r="O132" s="14"/>
      <c r="P132" s="14"/>
      <c r="Q132" s="14"/>
      <c r="R132" s="14"/>
      <c r="S132" s="14"/>
      <c r="T132" s="14"/>
      <c r="U132" s="14"/>
      <c r="V132" s="14"/>
      <c r="W132" s="14"/>
      <c r="X132" s="14"/>
    </row>
    <row r="133" spans="1:24" ht="22" customHeight="1">
      <c r="A133" s="3" t="s">
        <v>520</v>
      </c>
      <c r="B133" s="1"/>
      <c r="C133" s="14"/>
      <c r="D133" s="14"/>
      <c r="E133" s="14"/>
      <c r="F133" s="14"/>
      <c r="G133" s="14"/>
      <c r="H133" s="14"/>
      <c r="I133" s="14"/>
      <c r="J133" s="14"/>
      <c r="K133" s="14"/>
      <c r="L133" s="14">
        <v>313</v>
      </c>
      <c r="M133" s="15"/>
      <c r="N133" s="14"/>
      <c r="O133" s="14"/>
      <c r="P133" s="14"/>
      <c r="Q133" s="14"/>
      <c r="R133" s="14"/>
      <c r="S133" s="14"/>
      <c r="T133" s="14"/>
      <c r="U133" s="14"/>
      <c r="V133" s="14"/>
      <c r="W133" s="14"/>
      <c r="X133" s="14"/>
    </row>
    <row r="134" spans="1:24" ht="22" customHeight="1">
      <c r="A134" s="3" t="s">
        <v>521</v>
      </c>
      <c r="B134" s="1"/>
      <c r="C134" s="14"/>
      <c r="D134" s="14"/>
      <c r="E134" s="14"/>
      <c r="F134" s="14"/>
      <c r="G134" s="14"/>
      <c r="H134" s="14"/>
      <c r="I134" s="14"/>
      <c r="J134" s="14"/>
      <c r="K134" s="14"/>
      <c r="L134" s="14">
        <v>237</v>
      </c>
      <c r="M134" s="15"/>
      <c r="N134" s="14"/>
      <c r="O134" s="14"/>
      <c r="P134" s="14"/>
      <c r="Q134" s="14"/>
      <c r="R134" s="14"/>
      <c r="S134" s="14"/>
      <c r="T134" s="14"/>
      <c r="U134" s="14"/>
      <c r="V134" s="14"/>
      <c r="W134" s="14"/>
      <c r="X134" s="14"/>
    </row>
    <row r="135" spans="1:24" ht="22" customHeight="1">
      <c r="A135" s="3" t="s">
        <v>499</v>
      </c>
      <c r="B135" s="1"/>
      <c r="C135" s="14"/>
      <c r="D135" s="14"/>
      <c r="E135" s="14"/>
      <c r="F135" s="14"/>
      <c r="G135" s="14"/>
      <c r="H135" s="14"/>
      <c r="I135" s="14"/>
      <c r="J135" s="14"/>
      <c r="K135" s="14"/>
      <c r="L135" s="14">
        <v>759</v>
      </c>
      <c r="M135" s="15"/>
      <c r="N135" s="14"/>
      <c r="O135" s="14"/>
      <c r="P135" s="14"/>
      <c r="Q135" s="14"/>
      <c r="R135" s="14"/>
      <c r="S135" s="14"/>
      <c r="T135" s="14"/>
      <c r="U135" s="14"/>
      <c r="V135" s="14"/>
      <c r="W135" s="14"/>
      <c r="X135" s="14"/>
    </row>
    <row r="136" spans="1:24" ht="22" customHeight="1">
      <c r="A136" s="3" t="s">
        <v>522</v>
      </c>
      <c r="B136" s="1"/>
      <c r="C136" s="14"/>
      <c r="D136" s="14"/>
      <c r="E136" s="14"/>
      <c r="F136" s="14"/>
      <c r="G136" s="14"/>
      <c r="H136" s="14"/>
      <c r="I136" s="14"/>
      <c r="J136" s="14"/>
      <c r="K136" s="14"/>
      <c r="L136" s="14">
        <v>1733</v>
      </c>
      <c r="M136" s="15"/>
      <c r="N136" s="14"/>
      <c r="O136" s="14"/>
      <c r="P136" s="14"/>
      <c r="Q136" s="14"/>
      <c r="R136" s="14"/>
      <c r="S136" s="14"/>
      <c r="T136" s="14"/>
      <c r="U136" s="14"/>
      <c r="V136" s="14"/>
      <c r="W136" s="14"/>
      <c r="X136" s="14"/>
    </row>
    <row r="137" spans="1:24" ht="24" customHeight="1">
      <c r="A137" s="16" t="s">
        <v>523</v>
      </c>
      <c r="B137" s="17"/>
      <c r="C137" s="18"/>
      <c r="D137" s="18"/>
      <c r="E137" s="18"/>
      <c r="F137" s="18"/>
      <c r="G137" s="18"/>
      <c r="H137" s="18"/>
      <c r="I137" s="18"/>
      <c r="J137" s="18"/>
      <c r="K137" s="18"/>
      <c r="L137" s="18">
        <v>3083</v>
      </c>
      <c r="M137" s="20"/>
      <c r="N137" s="18"/>
      <c r="O137" s="18"/>
      <c r="P137" s="18"/>
      <c r="Q137" s="18"/>
      <c r="R137" s="18"/>
      <c r="S137" s="18"/>
      <c r="T137" s="18"/>
      <c r="U137" s="18"/>
      <c r="V137" s="18"/>
      <c r="W137" s="18"/>
      <c r="X137" s="18"/>
    </row>
    <row r="138" spans="1:24" ht="22" customHeight="1">
      <c r="A138" s="3"/>
      <c r="B138" s="1"/>
      <c r="C138" s="2"/>
      <c r="D138" s="2"/>
      <c r="E138" s="2"/>
      <c r="F138" s="2"/>
      <c r="G138" s="2"/>
      <c r="H138" s="2"/>
      <c r="I138" s="2"/>
      <c r="J138" s="2"/>
      <c r="K138" s="2"/>
      <c r="L138" s="2"/>
      <c r="M138" s="2"/>
      <c r="N138" s="2"/>
      <c r="O138" s="2"/>
      <c r="P138" s="2"/>
      <c r="Q138" s="2"/>
      <c r="R138" s="2"/>
      <c r="S138" s="2"/>
      <c r="T138" s="2"/>
      <c r="U138" s="2"/>
      <c r="V138" s="2"/>
      <c r="W138" s="2"/>
      <c r="X138" s="2"/>
    </row>
    <row r="139" spans="1:24" ht="22" customHeight="1">
      <c r="A139" s="174" t="s">
        <v>438</v>
      </c>
      <c r="B139" s="174"/>
      <c r="C139" s="175"/>
      <c r="D139" s="175"/>
      <c r="E139" s="175"/>
      <c r="F139" s="175"/>
      <c r="G139" s="175"/>
      <c r="H139" s="175"/>
      <c r="I139" s="175"/>
      <c r="J139" s="175"/>
      <c r="K139" s="175"/>
      <c r="L139" s="175"/>
      <c r="M139" s="175"/>
      <c r="N139" s="175"/>
      <c r="O139" s="175"/>
      <c r="P139" s="175"/>
      <c r="Q139" s="175"/>
      <c r="R139" s="175"/>
      <c r="S139" s="175"/>
      <c r="T139" s="175"/>
      <c r="U139" s="175"/>
      <c r="V139" s="175"/>
      <c r="W139" s="175"/>
      <c r="X139" s="175"/>
    </row>
    <row r="140" spans="1:24" ht="18" customHeight="1">
      <c r="A140" s="163" t="s">
        <v>475</v>
      </c>
      <c r="B140" s="16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row>
    <row r="141" spans="1:24" ht="22" customHeight="1">
      <c r="A141" s="3" t="s">
        <v>524</v>
      </c>
      <c r="B141" s="1"/>
      <c r="C141" s="14">
        <v>839</v>
      </c>
      <c r="D141" s="14">
        <v>578</v>
      </c>
      <c r="E141" s="14">
        <v>578</v>
      </c>
      <c r="F141" s="14">
        <v>578</v>
      </c>
      <c r="G141" s="14">
        <v>578</v>
      </c>
      <c r="H141" s="14">
        <v>578</v>
      </c>
      <c r="I141" s="14">
        <v>578</v>
      </c>
      <c r="J141" s="14">
        <v>578</v>
      </c>
      <c r="K141" s="14">
        <v>578</v>
      </c>
      <c r="L141" s="14">
        <v>578</v>
      </c>
      <c r="M141" s="15"/>
      <c r="N141" s="14"/>
      <c r="O141" s="14"/>
      <c r="P141" s="14"/>
      <c r="Q141" s="14"/>
      <c r="R141" s="14"/>
      <c r="S141" s="14"/>
      <c r="T141" s="14"/>
      <c r="U141" s="14"/>
      <c r="V141" s="14"/>
      <c r="W141" s="14"/>
      <c r="X141" s="14"/>
    </row>
    <row r="142" spans="1:24" ht="22" customHeight="1">
      <c r="A142" s="3" t="s">
        <v>525</v>
      </c>
      <c r="B142" s="1"/>
      <c r="C142" s="14">
        <v>1967</v>
      </c>
      <c r="D142" s="14">
        <v>1397</v>
      </c>
      <c r="E142" s="14">
        <v>1303</v>
      </c>
      <c r="F142" s="14">
        <v>1583</v>
      </c>
      <c r="G142" s="14">
        <v>1851</v>
      </c>
      <c r="H142" s="14">
        <v>2036</v>
      </c>
      <c r="I142" s="14">
        <v>2126</v>
      </c>
      <c r="J142" s="14">
        <v>1978</v>
      </c>
      <c r="K142" s="14">
        <v>1868</v>
      </c>
      <c r="L142" s="14">
        <v>2047</v>
      </c>
      <c r="M142" s="15"/>
      <c r="N142" s="14"/>
      <c r="O142" s="14"/>
      <c r="P142" s="14"/>
      <c r="Q142" s="14"/>
      <c r="R142" s="14"/>
      <c r="S142" s="14"/>
      <c r="T142" s="14"/>
      <c r="U142" s="14"/>
      <c r="V142" s="14"/>
      <c r="W142" s="14"/>
      <c r="X142" s="14"/>
    </row>
    <row r="143" spans="1:24" ht="22" customHeight="1">
      <c r="A143" s="3" t="s">
        <v>526</v>
      </c>
      <c r="B143" s="1"/>
      <c r="C143" s="14">
        <v>4124</v>
      </c>
      <c r="D143" s="14">
        <v>3169</v>
      </c>
      <c r="E143" s="14">
        <v>0</v>
      </c>
      <c r="F143" s="14"/>
      <c r="G143" s="14"/>
      <c r="H143" s="14"/>
      <c r="I143" s="14"/>
      <c r="J143" s="14"/>
      <c r="K143" s="14"/>
      <c r="L143" s="14"/>
      <c r="M143" s="15"/>
      <c r="N143" s="14"/>
      <c r="O143" s="14"/>
      <c r="P143" s="14"/>
      <c r="Q143" s="14"/>
      <c r="R143" s="14"/>
      <c r="S143" s="14"/>
      <c r="T143" s="14"/>
      <c r="U143" s="14"/>
      <c r="V143" s="14"/>
      <c r="W143" s="14"/>
      <c r="X143" s="14"/>
    </row>
    <row r="144" spans="1:24" ht="22" customHeight="1">
      <c r="A144" s="3" t="s">
        <v>527</v>
      </c>
      <c r="B144" s="1"/>
      <c r="C144" s="14">
        <v>7175</v>
      </c>
      <c r="D144" s="14">
        <v>5194</v>
      </c>
      <c r="E144" s="14">
        <v>2366</v>
      </c>
      <c r="F144" s="14">
        <v>3008</v>
      </c>
      <c r="G144" s="14">
        <v>3463</v>
      </c>
      <c r="H144" s="14">
        <v>4038</v>
      </c>
      <c r="I144" s="14">
        <v>4337</v>
      </c>
      <c r="J144" s="14">
        <v>4318</v>
      </c>
      <c r="K144" s="14">
        <v>4119</v>
      </c>
      <c r="L144" s="14">
        <v>4656</v>
      </c>
      <c r="M144" s="15"/>
      <c r="N144" s="14"/>
      <c r="O144" s="14"/>
      <c r="P144" s="14"/>
      <c r="Q144" s="14"/>
      <c r="R144" s="14"/>
      <c r="S144" s="14"/>
      <c r="T144" s="14"/>
      <c r="U144" s="14"/>
      <c r="V144" s="14"/>
      <c r="W144" s="14"/>
      <c r="X144" s="14"/>
    </row>
    <row r="145" spans="1:24" ht="22" customHeight="1">
      <c r="A145" s="3" t="s">
        <v>528</v>
      </c>
      <c r="B145" s="1"/>
      <c r="C145" s="14">
        <v>1255</v>
      </c>
      <c r="D145" s="14">
        <v>1400</v>
      </c>
      <c r="E145" s="14">
        <v>4353</v>
      </c>
      <c r="F145" s="14">
        <v>4168</v>
      </c>
      <c r="G145" s="14">
        <v>5008</v>
      </c>
      <c r="H145" s="14">
        <v>4974</v>
      </c>
      <c r="I145" s="14">
        <v>5342</v>
      </c>
      <c r="J145" s="14">
        <v>6877</v>
      </c>
      <c r="K145" s="14">
        <v>6737</v>
      </c>
      <c r="L145" s="14">
        <v>6849</v>
      </c>
      <c r="M145" s="15"/>
      <c r="N145" s="14"/>
      <c r="O145" s="14"/>
      <c r="P145" s="14"/>
      <c r="Q145" s="14"/>
      <c r="R145" s="14"/>
      <c r="S145" s="14"/>
      <c r="T145" s="14"/>
      <c r="U145" s="14"/>
      <c r="V145" s="14"/>
      <c r="W145" s="14"/>
      <c r="X145" s="14"/>
    </row>
    <row r="146" spans="1:24" ht="22" customHeight="1">
      <c r="A146" s="3" t="s">
        <v>529</v>
      </c>
      <c r="B146" s="1"/>
      <c r="C146" s="14">
        <v>219</v>
      </c>
      <c r="D146" s="14">
        <v>107</v>
      </c>
      <c r="E146" s="14">
        <v>106</v>
      </c>
      <c r="F146" s="14">
        <v>94</v>
      </c>
      <c r="G146" s="14">
        <v>90</v>
      </c>
      <c r="H146" s="14">
        <v>98</v>
      </c>
      <c r="I146" s="14">
        <v>120</v>
      </c>
      <c r="J146" s="14">
        <v>137</v>
      </c>
      <c r="K146" s="14">
        <v>148</v>
      </c>
      <c r="L146" s="14">
        <v>141</v>
      </c>
      <c r="M146" s="15"/>
      <c r="N146" s="14"/>
      <c r="O146" s="14"/>
      <c r="P146" s="14"/>
      <c r="Q146" s="14"/>
      <c r="R146" s="14"/>
      <c r="S146" s="14"/>
      <c r="T146" s="14"/>
      <c r="U146" s="14"/>
      <c r="V146" s="14"/>
      <c r="W146" s="14"/>
      <c r="X146" s="14"/>
    </row>
    <row r="147" spans="1:24" ht="22" customHeight="1">
      <c r="A147" s="3" t="s">
        <v>530</v>
      </c>
      <c r="B147" s="1"/>
      <c r="C147" s="14">
        <v>316</v>
      </c>
      <c r="D147" s="14">
        <v>198</v>
      </c>
      <c r="E147" s="14">
        <v>167</v>
      </c>
      <c r="F147" s="14">
        <v>154</v>
      </c>
      <c r="G147" s="14">
        <v>153</v>
      </c>
      <c r="H147" s="14">
        <v>147</v>
      </c>
      <c r="I147" s="14">
        <v>118</v>
      </c>
      <c r="J147" s="14">
        <v>114</v>
      </c>
      <c r="K147" s="14">
        <v>104</v>
      </c>
      <c r="L147" s="14">
        <v>96</v>
      </c>
      <c r="M147" s="15"/>
      <c r="N147" s="14"/>
      <c r="O147" s="14"/>
      <c r="P147" s="14"/>
      <c r="Q147" s="14"/>
      <c r="R147" s="14"/>
      <c r="S147" s="14"/>
      <c r="T147" s="14"/>
      <c r="U147" s="14"/>
      <c r="V147" s="14"/>
      <c r="W147" s="14"/>
      <c r="X147" s="14"/>
    </row>
    <row r="148" spans="1:24" ht="22" customHeight="1">
      <c r="A148" s="3" t="s">
        <v>531</v>
      </c>
      <c r="B148" s="1"/>
      <c r="C148" s="14">
        <v>614</v>
      </c>
      <c r="D148" s="14">
        <v>338</v>
      </c>
      <c r="E148" s="14">
        <v>303</v>
      </c>
      <c r="F148" s="14">
        <v>350</v>
      </c>
      <c r="G148" s="14">
        <v>373</v>
      </c>
      <c r="H148" s="14">
        <v>379</v>
      </c>
      <c r="I148" s="14">
        <v>349</v>
      </c>
      <c r="J148" s="14">
        <v>412</v>
      </c>
      <c r="K148" s="14">
        <v>415</v>
      </c>
      <c r="L148" s="14">
        <v>372</v>
      </c>
      <c r="M148" s="15"/>
      <c r="N148" s="14"/>
      <c r="O148" s="14"/>
      <c r="P148" s="14"/>
      <c r="Q148" s="14"/>
      <c r="R148" s="14"/>
      <c r="S148" s="14"/>
      <c r="T148" s="14"/>
      <c r="U148" s="14"/>
      <c r="V148" s="14"/>
      <c r="W148" s="14"/>
      <c r="X148" s="14"/>
    </row>
    <row r="149" spans="1:24" ht="22" customHeight="1">
      <c r="A149" s="3" t="s">
        <v>532</v>
      </c>
      <c r="B149" s="1"/>
      <c r="C149" s="14">
        <v>419</v>
      </c>
      <c r="D149" s="14">
        <v>22</v>
      </c>
      <c r="E149" s="14">
        <v>221</v>
      </c>
      <c r="F149" s="14">
        <v>104</v>
      </c>
      <c r="G149" s="14">
        <v>80</v>
      </c>
      <c r="H149" s="14">
        <v>0</v>
      </c>
      <c r="I149" s="14"/>
      <c r="J149" s="14"/>
      <c r="K149" s="14"/>
      <c r="L149" s="14"/>
      <c r="M149" s="15"/>
      <c r="N149" s="14"/>
      <c r="O149" s="14"/>
      <c r="P149" s="14"/>
      <c r="Q149" s="14"/>
      <c r="R149" s="14"/>
      <c r="S149" s="14"/>
      <c r="T149" s="14"/>
      <c r="U149" s="14"/>
      <c r="V149" s="14"/>
      <c r="W149" s="14"/>
      <c r="X149" s="14"/>
    </row>
    <row r="150" spans="1:24" ht="22" customHeight="1">
      <c r="A150" s="3" t="s">
        <v>533</v>
      </c>
      <c r="B150" s="1"/>
      <c r="C150" s="14">
        <v>189</v>
      </c>
      <c r="D150" s="14">
        <v>157</v>
      </c>
      <c r="E150" s="14">
        <v>110</v>
      </c>
      <c r="F150" s="14">
        <v>126</v>
      </c>
      <c r="G150" s="14">
        <v>150</v>
      </c>
      <c r="H150" s="14">
        <v>149</v>
      </c>
      <c r="I150" s="14">
        <v>144</v>
      </c>
      <c r="J150" s="14">
        <v>176</v>
      </c>
      <c r="K150" s="14">
        <v>202</v>
      </c>
      <c r="L150" s="14">
        <v>181</v>
      </c>
      <c r="M150" s="15"/>
      <c r="N150" s="14"/>
      <c r="O150" s="14"/>
      <c r="P150" s="14"/>
      <c r="Q150" s="14"/>
      <c r="R150" s="14"/>
      <c r="S150" s="14"/>
      <c r="T150" s="14"/>
      <c r="U150" s="14"/>
      <c r="V150" s="14"/>
      <c r="W150" s="14"/>
      <c r="X150" s="14"/>
    </row>
    <row r="151" spans="1:24" ht="22" customHeight="1">
      <c r="A151" s="3" t="s">
        <v>451</v>
      </c>
      <c r="B151" s="1"/>
      <c r="C151" s="14">
        <v>839</v>
      </c>
      <c r="D151" s="14">
        <v>893</v>
      </c>
      <c r="E151" s="14">
        <v>739</v>
      </c>
      <c r="F151" s="14">
        <v>741</v>
      </c>
      <c r="G151" s="14">
        <v>866</v>
      </c>
      <c r="H151" s="14">
        <v>842</v>
      </c>
      <c r="I151" s="14">
        <v>1050</v>
      </c>
      <c r="J151" s="14">
        <v>1031</v>
      </c>
      <c r="K151" s="14">
        <v>948</v>
      </c>
      <c r="L151" s="14">
        <v>927</v>
      </c>
      <c r="M151" s="15"/>
      <c r="N151" s="14"/>
      <c r="O151" s="14"/>
      <c r="P151" s="14"/>
      <c r="Q151" s="14"/>
      <c r="R151" s="14"/>
      <c r="S151" s="14"/>
      <c r="T151" s="14"/>
      <c r="U151" s="14"/>
      <c r="V151" s="14"/>
      <c r="W151" s="14"/>
      <c r="X151" s="14"/>
    </row>
    <row r="152" spans="1:24" ht="22" customHeight="1">
      <c r="A152" s="3" t="s">
        <v>534</v>
      </c>
      <c r="B152" s="1"/>
      <c r="C152" s="14">
        <v>3851</v>
      </c>
      <c r="D152" s="14">
        <v>3115</v>
      </c>
      <c r="E152" s="14">
        <v>6984</v>
      </c>
      <c r="F152" s="14">
        <v>6875</v>
      </c>
      <c r="G152" s="14">
        <v>8237</v>
      </c>
      <c r="H152" s="14">
        <v>8150</v>
      </c>
      <c r="I152" s="14">
        <v>9421</v>
      </c>
      <c r="J152" s="14">
        <v>11375</v>
      </c>
      <c r="K152" s="14">
        <v>11182</v>
      </c>
      <c r="L152" s="14">
        <v>11515</v>
      </c>
      <c r="M152" s="15"/>
      <c r="N152" s="14"/>
      <c r="O152" s="14"/>
      <c r="P152" s="14"/>
      <c r="Q152" s="14"/>
      <c r="R152" s="14"/>
      <c r="S152" s="14"/>
      <c r="T152" s="14"/>
      <c r="U152" s="14"/>
      <c r="V152" s="14"/>
      <c r="W152" s="14"/>
      <c r="X152" s="14"/>
    </row>
    <row r="153" spans="1:24" ht="22" customHeight="1">
      <c r="A153" s="3" t="s">
        <v>535</v>
      </c>
      <c r="B153" s="1"/>
      <c r="C153" s="14">
        <v>-1110</v>
      </c>
      <c r="D153" s="14">
        <v>-1163</v>
      </c>
      <c r="E153" s="14">
        <v>-3753</v>
      </c>
      <c r="F153" s="14">
        <v>-3599</v>
      </c>
      <c r="G153" s="14">
        <v>-4686</v>
      </c>
      <c r="H153" s="14">
        <v>-4628</v>
      </c>
      <c r="I153" s="14">
        <v>-5013</v>
      </c>
      <c r="J153" s="14">
        <v>-6478</v>
      </c>
      <c r="K153" s="14">
        <v>-6185</v>
      </c>
      <c r="L153" s="14">
        <v>-6120</v>
      </c>
      <c r="M153" s="15"/>
      <c r="N153" s="14"/>
      <c r="O153" s="14"/>
      <c r="P153" s="14"/>
      <c r="Q153" s="14"/>
      <c r="R153" s="14"/>
      <c r="S153" s="14"/>
      <c r="T153" s="14"/>
      <c r="U153" s="14"/>
      <c r="V153" s="14"/>
      <c r="W153" s="14"/>
      <c r="X153" s="14"/>
    </row>
    <row r="154" spans="1:24" ht="22" customHeight="1">
      <c r="A154" s="3" t="s">
        <v>536</v>
      </c>
      <c r="B154" s="1"/>
      <c r="C154" s="14">
        <v>2741</v>
      </c>
      <c r="D154" s="14">
        <v>1952</v>
      </c>
      <c r="E154" s="14">
        <v>3231</v>
      </c>
      <c r="F154" s="14">
        <v>3276</v>
      </c>
      <c r="G154" s="14">
        <v>3551</v>
      </c>
      <c r="H154" s="14">
        <v>3522</v>
      </c>
      <c r="I154" s="14">
        <v>4408</v>
      </c>
      <c r="J154" s="14">
        <v>4897</v>
      </c>
      <c r="K154" s="14">
        <v>4997</v>
      </c>
      <c r="L154" s="14">
        <v>5395</v>
      </c>
      <c r="M154" s="15"/>
      <c r="N154" s="14"/>
      <c r="O154" s="14"/>
      <c r="P154" s="14"/>
      <c r="Q154" s="14"/>
      <c r="R154" s="14"/>
      <c r="S154" s="14"/>
      <c r="T154" s="14"/>
      <c r="U154" s="14"/>
      <c r="V154" s="14"/>
      <c r="W154" s="14"/>
      <c r="X154" s="14"/>
    </row>
    <row r="155" spans="1:24" ht="22" customHeight="1">
      <c r="A155" s="3" t="s">
        <v>537</v>
      </c>
      <c r="B155" s="1"/>
      <c r="C155" s="14">
        <v>4434</v>
      </c>
      <c r="D155" s="14">
        <v>3242</v>
      </c>
      <c r="E155" s="14"/>
      <c r="F155" s="14"/>
      <c r="G155" s="14"/>
      <c r="H155" s="14"/>
      <c r="I155" s="14"/>
      <c r="J155" s="14"/>
      <c r="K155" s="14"/>
      <c r="L155" s="14"/>
      <c r="M155" s="15"/>
      <c r="N155" s="14"/>
      <c r="O155" s="14"/>
      <c r="P155" s="14"/>
      <c r="Q155" s="14"/>
      <c r="R155" s="14"/>
      <c r="S155" s="14"/>
      <c r="T155" s="14"/>
      <c r="U155" s="14"/>
      <c r="V155" s="14"/>
      <c r="W155" s="14"/>
      <c r="X155" s="14"/>
    </row>
    <row r="156" spans="1:24" ht="22" customHeight="1">
      <c r="A156" s="3" t="s">
        <v>538</v>
      </c>
      <c r="B156" s="1"/>
      <c r="C156" s="14"/>
      <c r="D156" s="14">
        <v>0</v>
      </c>
      <c r="E156" s="14">
        <v>414</v>
      </c>
      <c r="F156" s="14">
        <v>335</v>
      </c>
      <c r="G156" s="14">
        <v>504</v>
      </c>
      <c r="H156" s="14">
        <v>504</v>
      </c>
      <c r="I156" s="14">
        <v>492</v>
      </c>
      <c r="J156" s="14">
        <v>492</v>
      </c>
      <c r="K156" s="14">
        <v>488</v>
      </c>
      <c r="L156" s="14">
        <v>488</v>
      </c>
      <c r="M156" s="15"/>
      <c r="N156" s="14"/>
      <c r="O156" s="14"/>
      <c r="P156" s="14"/>
      <c r="Q156" s="14"/>
      <c r="R156" s="14"/>
      <c r="S156" s="14"/>
      <c r="T156" s="14"/>
      <c r="U156" s="14"/>
      <c r="V156" s="14"/>
      <c r="W156" s="14"/>
      <c r="X156" s="14"/>
    </row>
    <row r="157" spans="1:24" ht="22" customHeight="1">
      <c r="A157" s="3" t="s">
        <v>526</v>
      </c>
      <c r="B157" s="1"/>
      <c r="C157" s="14"/>
      <c r="D157" s="14">
        <v>0</v>
      </c>
      <c r="E157" s="14">
        <v>985</v>
      </c>
      <c r="F157" s="14">
        <v>793</v>
      </c>
      <c r="G157" s="14">
        <v>1146</v>
      </c>
      <c r="H157" s="14">
        <v>1111</v>
      </c>
      <c r="I157" s="14">
        <v>1614</v>
      </c>
      <c r="J157" s="14">
        <v>1758</v>
      </c>
      <c r="K157" s="14">
        <v>1599</v>
      </c>
      <c r="L157" s="14">
        <v>1996</v>
      </c>
      <c r="M157" s="15"/>
      <c r="N157" s="14"/>
      <c r="O157" s="14"/>
      <c r="P157" s="14"/>
      <c r="Q157" s="14"/>
      <c r="R157" s="14"/>
      <c r="S157" s="14"/>
      <c r="T157" s="14"/>
      <c r="U157" s="14"/>
      <c r="V157" s="14"/>
      <c r="W157" s="14"/>
      <c r="X157" s="14"/>
    </row>
    <row r="158" spans="1:24" ht="22" customHeight="1">
      <c r="A158" s="3" t="s">
        <v>539</v>
      </c>
      <c r="B158" s="1"/>
      <c r="C158" s="14"/>
      <c r="D158" s="14">
        <v>3242</v>
      </c>
      <c r="E158" s="14">
        <v>-865</v>
      </c>
      <c r="F158" s="14"/>
      <c r="G158" s="14"/>
      <c r="H158" s="14">
        <v>516</v>
      </c>
      <c r="I158" s="14">
        <v>-71</v>
      </c>
      <c r="J158" s="14">
        <v>-579</v>
      </c>
      <c r="K158" s="14">
        <v>-878</v>
      </c>
      <c r="L158" s="14">
        <v>-739</v>
      </c>
      <c r="M158" s="15"/>
      <c r="N158" s="14"/>
      <c r="O158" s="14"/>
      <c r="P158" s="14"/>
      <c r="Q158" s="14"/>
      <c r="R158" s="14"/>
      <c r="S158" s="14"/>
      <c r="T158" s="14"/>
      <c r="U158" s="14"/>
      <c r="V158" s="14"/>
      <c r="W158" s="14"/>
      <c r="X158" s="14"/>
    </row>
    <row r="159" spans="1:24" ht="22" customHeight="1">
      <c r="A159" s="3" t="s">
        <v>468</v>
      </c>
      <c r="B159" s="1"/>
      <c r="C159" s="14"/>
      <c r="D159" s="14"/>
      <c r="E159" s="14">
        <v>0</v>
      </c>
      <c r="F159" s="14">
        <v>345</v>
      </c>
      <c r="G159" s="14">
        <v>371</v>
      </c>
      <c r="H159" s="14">
        <v>450</v>
      </c>
      <c r="I159" s="14">
        <v>534</v>
      </c>
      <c r="J159" s="14">
        <v>660</v>
      </c>
      <c r="K159" s="14">
        <v>772</v>
      </c>
      <c r="L159" s="14">
        <v>819</v>
      </c>
      <c r="M159" s="15"/>
      <c r="N159" s="14"/>
      <c r="O159" s="14"/>
      <c r="P159" s="14"/>
      <c r="Q159" s="14"/>
      <c r="R159" s="14"/>
      <c r="S159" s="14"/>
      <c r="T159" s="14"/>
      <c r="U159" s="14"/>
      <c r="V159" s="14"/>
      <c r="W159" s="14"/>
      <c r="X159" s="14"/>
    </row>
    <row r="160" spans="1:24" ht="22" customHeight="1">
      <c r="A160" s="3" t="s">
        <v>540</v>
      </c>
      <c r="B160" s="1"/>
      <c r="C160" s="14"/>
      <c r="D160" s="14"/>
      <c r="E160" s="14">
        <v>0</v>
      </c>
      <c r="F160" s="14">
        <v>345</v>
      </c>
      <c r="G160" s="14">
        <v>371</v>
      </c>
      <c r="H160" s="14">
        <v>450</v>
      </c>
      <c r="I160" s="14">
        <v>534</v>
      </c>
      <c r="J160" s="14">
        <v>660</v>
      </c>
      <c r="K160" s="14">
        <v>773</v>
      </c>
      <c r="L160" s="14">
        <v>819</v>
      </c>
      <c r="M160" s="15"/>
      <c r="N160" s="14"/>
      <c r="O160" s="14"/>
      <c r="P160" s="14"/>
      <c r="Q160" s="14"/>
      <c r="R160" s="14"/>
      <c r="S160" s="14"/>
      <c r="T160" s="14"/>
      <c r="U160" s="14"/>
      <c r="V160" s="14"/>
      <c r="W160" s="14"/>
      <c r="X160" s="14"/>
    </row>
    <row r="161" spans="1:24" ht="22" customHeight="1">
      <c r="A161" s="3" t="s">
        <v>541</v>
      </c>
      <c r="B161" s="1"/>
      <c r="C161" s="14"/>
      <c r="D161" s="14"/>
      <c r="E161" s="14">
        <v>-865</v>
      </c>
      <c r="F161" s="14">
        <v>-268</v>
      </c>
      <c r="G161" s="14">
        <v>-88</v>
      </c>
      <c r="H161" s="14"/>
      <c r="I161" s="14"/>
      <c r="J161" s="14"/>
      <c r="K161" s="14"/>
      <c r="L161" s="14"/>
      <c r="M161" s="15"/>
      <c r="N161" s="14"/>
      <c r="O161" s="14"/>
      <c r="P161" s="14"/>
      <c r="Q161" s="14"/>
      <c r="R161" s="14"/>
      <c r="S161" s="14"/>
      <c r="T161" s="14"/>
      <c r="U161" s="14"/>
      <c r="V161" s="14"/>
      <c r="W161" s="14"/>
      <c r="X161" s="14"/>
    </row>
    <row r="162" spans="1:24" ht="22" customHeight="1">
      <c r="A162" s="3" t="s">
        <v>542</v>
      </c>
      <c r="B162" s="1"/>
      <c r="C162" s="14"/>
      <c r="D162" s="14"/>
      <c r="E162" s="14"/>
      <c r="F162" s="14"/>
      <c r="G162" s="14">
        <v>0</v>
      </c>
      <c r="H162" s="14">
        <v>216</v>
      </c>
      <c r="I162" s="14">
        <v>189</v>
      </c>
      <c r="J162" s="14">
        <v>167</v>
      </c>
      <c r="K162" s="14">
        <v>112</v>
      </c>
      <c r="L162" s="14">
        <v>238</v>
      </c>
      <c r="M162" s="15"/>
      <c r="N162" s="14"/>
      <c r="O162" s="14"/>
      <c r="P162" s="14"/>
      <c r="Q162" s="14"/>
      <c r="R162" s="14"/>
      <c r="S162" s="14"/>
      <c r="T162" s="14"/>
      <c r="U162" s="14"/>
      <c r="V162" s="14"/>
      <c r="W162" s="14"/>
      <c r="X162" s="14"/>
    </row>
    <row r="163" spans="1:24" ht="22" customHeight="1">
      <c r="A163" s="3" t="s">
        <v>543</v>
      </c>
      <c r="B163" s="1"/>
      <c r="C163" s="14"/>
      <c r="D163" s="14"/>
      <c r="E163" s="14"/>
      <c r="F163" s="14"/>
      <c r="G163" s="14">
        <v>-88</v>
      </c>
      <c r="H163" s="14">
        <v>516</v>
      </c>
      <c r="I163" s="14"/>
      <c r="J163" s="14"/>
      <c r="K163" s="14"/>
      <c r="L163" s="14"/>
      <c r="M163" s="15"/>
      <c r="N163" s="14"/>
      <c r="O163" s="14"/>
      <c r="P163" s="14"/>
      <c r="Q163" s="14"/>
      <c r="R163" s="14"/>
      <c r="S163" s="14"/>
      <c r="T163" s="14"/>
      <c r="U163" s="14"/>
      <c r="V163" s="14"/>
      <c r="W163" s="14"/>
      <c r="X163" s="14"/>
    </row>
    <row r="164" spans="1:24" ht="22" customHeight="1">
      <c r="A164" s="3" t="s">
        <v>544</v>
      </c>
      <c r="B164" s="1"/>
      <c r="C164" s="14"/>
      <c r="D164" s="14"/>
      <c r="E164" s="14"/>
      <c r="F164" s="14"/>
      <c r="G164" s="14"/>
      <c r="H164" s="14">
        <v>0</v>
      </c>
      <c r="I164" s="14">
        <v>186</v>
      </c>
      <c r="J164" s="14">
        <v>93</v>
      </c>
      <c r="K164" s="14">
        <v>0</v>
      </c>
      <c r="L164" s="14"/>
      <c r="M164" s="15"/>
      <c r="N164" s="14"/>
      <c r="O164" s="14"/>
      <c r="P164" s="14"/>
      <c r="Q164" s="14"/>
      <c r="R164" s="14"/>
      <c r="S164" s="14"/>
      <c r="T164" s="14"/>
      <c r="U164" s="14"/>
      <c r="V164" s="14"/>
      <c r="W164" s="14"/>
      <c r="X164" s="14"/>
    </row>
    <row r="165" spans="1:24" ht="22" customHeight="1">
      <c r="A165" s="3" t="s">
        <v>545</v>
      </c>
      <c r="B165" s="1"/>
      <c r="C165" s="14"/>
      <c r="D165" s="14"/>
      <c r="E165" s="14"/>
      <c r="F165" s="14"/>
      <c r="G165" s="14"/>
      <c r="H165" s="14">
        <v>0</v>
      </c>
      <c r="I165" s="14">
        <v>150</v>
      </c>
      <c r="J165" s="14">
        <v>210</v>
      </c>
      <c r="K165" s="14">
        <v>256</v>
      </c>
      <c r="L165" s="14">
        <v>134</v>
      </c>
      <c r="M165" s="15"/>
      <c r="N165" s="14"/>
      <c r="O165" s="14"/>
      <c r="P165" s="14"/>
      <c r="Q165" s="14"/>
      <c r="R165" s="14"/>
      <c r="S165" s="14"/>
      <c r="T165" s="14"/>
      <c r="U165" s="14"/>
      <c r="V165" s="14"/>
      <c r="W165" s="14"/>
      <c r="X165" s="14"/>
    </row>
    <row r="166" spans="1:24" ht="22" customHeight="1">
      <c r="A166" s="3" t="s">
        <v>546</v>
      </c>
      <c r="B166" s="1"/>
      <c r="C166" s="14"/>
      <c r="D166" s="14"/>
      <c r="E166" s="14"/>
      <c r="F166" s="14"/>
      <c r="G166" s="14"/>
      <c r="H166" s="14"/>
      <c r="I166" s="14"/>
      <c r="J166" s="14"/>
      <c r="K166" s="14"/>
      <c r="L166" s="14">
        <v>12</v>
      </c>
      <c r="M166" s="15"/>
      <c r="N166" s="14"/>
      <c r="O166" s="14"/>
      <c r="P166" s="14"/>
      <c r="Q166" s="14"/>
      <c r="R166" s="14"/>
      <c r="S166" s="14"/>
      <c r="T166" s="14"/>
      <c r="U166" s="14"/>
      <c r="V166" s="14"/>
      <c r="W166" s="14"/>
      <c r="X166" s="14"/>
    </row>
    <row r="167" spans="1:24" ht="22" customHeight="1">
      <c r="A167" s="3" t="s">
        <v>546</v>
      </c>
      <c r="B167" s="1"/>
      <c r="C167" s="14"/>
      <c r="D167" s="14"/>
      <c r="E167" s="14"/>
      <c r="F167" s="14"/>
      <c r="G167" s="14"/>
      <c r="H167" s="14"/>
      <c r="I167" s="14"/>
      <c r="J167" s="14"/>
      <c r="K167" s="14"/>
      <c r="L167" s="14">
        <v>-149</v>
      </c>
      <c r="M167" s="15"/>
      <c r="N167" s="14"/>
      <c r="O167" s="14"/>
      <c r="P167" s="14"/>
      <c r="Q167" s="14"/>
      <c r="R167" s="14"/>
      <c r="S167" s="14"/>
      <c r="T167" s="14"/>
      <c r="U167" s="14"/>
      <c r="V167" s="14"/>
      <c r="W167" s="14"/>
      <c r="X167" s="14"/>
    </row>
    <row r="168" spans="1:24" ht="22" customHeight="1">
      <c r="A168" s="3"/>
      <c r="B168" s="1"/>
      <c r="C168" s="2"/>
      <c r="D168" s="2"/>
      <c r="E168" s="2"/>
      <c r="F168" s="2"/>
      <c r="G168" s="2"/>
      <c r="H168" s="2"/>
      <c r="I168" s="2"/>
      <c r="J168" s="2"/>
      <c r="K168" s="2"/>
      <c r="L168" s="2"/>
      <c r="M168" s="2"/>
      <c r="N168" s="2"/>
      <c r="O168" s="2"/>
      <c r="P168" s="2"/>
      <c r="Q168" s="2"/>
      <c r="R168" s="2"/>
      <c r="S168" s="2"/>
      <c r="T168" s="2"/>
      <c r="U168" s="2"/>
      <c r="V168" s="2"/>
      <c r="W168" s="2"/>
      <c r="X168" s="2"/>
    </row>
    <row r="169" spans="1:24" ht="22" customHeight="1">
      <c r="A169" s="174" t="s">
        <v>372</v>
      </c>
      <c r="B169" s="174"/>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row>
    <row r="170" spans="1:24" ht="18" customHeight="1">
      <c r="A170" s="163" t="s">
        <v>547</v>
      </c>
      <c r="B170" s="16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row>
    <row r="171" spans="1:24" ht="22" customHeight="1">
      <c r="A171" s="3" t="s">
        <v>548</v>
      </c>
      <c r="B171" s="1"/>
      <c r="C171" s="14">
        <v>284</v>
      </c>
      <c r="D171" s="14">
        <v>292</v>
      </c>
      <c r="E171" s="14">
        <v>256</v>
      </c>
      <c r="F171" s="14">
        <v>237</v>
      </c>
      <c r="G171" s="14">
        <v>264</v>
      </c>
      <c r="H171" s="14">
        <v>301</v>
      </c>
      <c r="I171" s="14">
        <v>343</v>
      </c>
      <c r="J171" s="14">
        <v>380</v>
      </c>
      <c r="K171" s="14">
        <v>362</v>
      </c>
      <c r="L171" s="14">
        <v>288</v>
      </c>
      <c r="M171" s="15"/>
      <c r="N171" s="14">
        <v>97</v>
      </c>
      <c r="O171" s="14">
        <v>86</v>
      </c>
      <c r="P171" s="14">
        <v>77</v>
      </c>
      <c r="Q171" s="14"/>
      <c r="R171" s="14">
        <v>77</v>
      </c>
      <c r="S171" s="14">
        <v>54</v>
      </c>
      <c r="T171" s="14">
        <v>76</v>
      </c>
      <c r="U171" s="14"/>
      <c r="V171" s="14">
        <v>93</v>
      </c>
      <c r="W171" s="14">
        <v>69</v>
      </c>
      <c r="X171" s="14">
        <v>78</v>
      </c>
    </row>
    <row r="172" spans="1:24" ht="22" customHeight="1">
      <c r="A172" s="3" t="s">
        <v>549</v>
      </c>
      <c r="B172" s="1"/>
      <c r="C172" s="14">
        <v>5</v>
      </c>
      <c r="D172" s="14">
        <v>13</v>
      </c>
      <c r="E172" s="14">
        <v>20</v>
      </c>
      <c r="F172" s="14">
        <v>8</v>
      </c>
      <c r="G172" s="14">
        <v>11</v>
      </c>
      <c r="H172" s="14">
        <v>20</v>
      </c>
      <c r="I172" s="14">
        <v>30</v>
      </c>
      <c r="J172" s="14">
        <v>19</v>
      </c>
      <c r="K172" s="14">
        <v>7</v>
      </c>
      <c r="L172" s="14">
        <v>13</v>
      </c>
      <c r="M172" s="15"/>
      <c r="N172" s="14">
        <v>5</v>
      </c>
      <c r="O172" s="14">
        <v>5</v>
      </c>
      <c r="P172" s="14">
        <v>4</v>
      </c>
      <c r="Q172" s="14"/>
      <c r="R172" s="14">
        <v>4</v>
      </c>
      <c r="S172" s="14">
        <v>-7</v>
      </c>
      <c r="T172" s="14">
        <v>2</v>
      </c>
      <c r="U172" s="14"/>
      <c r="V172" s="14">
        <v>2</v>
      </c>
      <c r="W172" s="14">
        <v>3</v>
      </c>
      <c r="X172" s="14">
        <v>2</v>
      </c>
    </row>
    <row r="173" spans="1:24" ht="22" customHeight="1">
      <c r="A173" s="3"/>
      <c r="B173" s="1"/>
      <c r="C173" s="2"/>
      <c r="D173" s="2"/>
      <c r="E173" s="2"/>
      <c r="F173" s="2"/>
      <c r="G173" s="2"/>
      <c r="H173" s="2"/>
      <c r="I173" s="2"/>
      <c r="J173" s="2"/>
      <c r="K173" s="2"/>
      <c r="L173" s="2"/>
      <c r="M173" s="2"/>
      <c r="N173" s="2"/>
      <c r="O173" s="2"/>
      <c r="P173" s="2"/>
      <c r="Q173" s="2"/>
      <c r="R173" s="2"/>
      <c r="S173" s="2"/>
      <c r="T173" s="2"/>
      <c r="U173" s="2"/>
      <c r="V173" s="2"/>
      <c r="W173" s="2"/>
      <c r="X173" s="2"/>
    </row>
    <row r="174" spans="1:24" ht="22" customHeight="1">
      <c r="A174" s="174" t="s">
        <v>439</v>
      </c>
      <c r="B174" s="174"/>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row>
    <row r="175" spans="1:24" ht="18" customHeight="1">
      <c r="A175" s="163" t="s">
        <v>547</v>
      </c>
      <c r="B175" s="16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row>
    <row r="176" spans="1:24" ht="22" customHeight="1">
      <c r="A176" s="3" t="s">
        <v>550</v>
      </c>
      <c r="B176" s="1"/>
      <c r="C176" s="14"/>
      <c r="D176" s="14"/>
      <c r="E176" s="14"/>
      <c r="F176" s="14"/>
      <c r="G176" s="14"/>
      <c r="H176" s="14"/>
      <c r="I176" s="14"/>
      <c r="J176" s="14"/>
      <c r="K176" s="14"/>
      <c r="L176" s="14"/>
      <c r="M176" s="15"/>
      <c r="N176" s="14"/>
      <c r="O176" s="14">
        <v>183</v>
      </c>
      <c r="P176" s="14">
        <v>260</v>
      </c>
      <c r="Q176" s="14"/>
      <c r="R176" s="14"/>
      <c r="S176" s="14">
        <v>131</v>
      </c>
      <c r="T176" s="14">
        <v>207</v>
      </c>
      <c r="U176" s="14"/>
      <c r="V176" s="14"/>
      <c r="W176" s="14">
        <v>162</v>
      </c>
      <c r="X176" s="14">
        <v>240</v>
      </c>
    </row>
    <row r="177" spans="1:24" ht="22" customHeight="1">
      <c r="A177" s="3" t="s">
        <v>551</v>
      </c>
      <c r="B177" s="1"/>
      <c r="C177" s="14"/>
      <c r="D177" s="14"/>
      <c r="E177" s="14"/>
      <c r="F177" s="14"/>
      <c r="G177" s="14"/>
      <c r="H177" s="14"/>
      <c r="I177" s="14"/>
      <c r="J177" s="14"/>
      <c r="K177" s="14"/>
      <c r="L177" s="14"/>
      <c r="M177" s="15"/>
      <c r="N177" s="14"/>
      <c r="O177" s="14">
        <v>10</v>
      </c>
      <c r="P177" s="14">
        <v>14</v>
      </c>
      <c r="Q177" s="14"/>
      <c r="R177" s="14"/>
      <c r="S177" s="14">
        <v>-3</v>
      </c>
      <c r="T177" s="14">
        <v>-1</v>
      </c>
      <c r="U177" s="14"/>
      <c r="V177" s="14"/>
      <c r="W177" s="14">
        <v>5</v>
      </c>
      <c r="X177" s="14">
        <v>7</v>
      </c>
    </row>
    <row r="178" spans="1:24" ht="22" customHeight="1">
      <c r="A178" s="3"/>
      <c r="B178" s="1"/>
      <c r="C178" s="2"/>
      <c r="D178" s="2"/>
      <c r="E178" s="2"/>
      <c r="F178" s="2"/>
      <c r="G178" s="2"/>
      <c r="H178" s="2"/>
      <c r="I178" s="2"/>
      <c r="J178" s="2"/>
      <c r="K178" s="2"/>
      <c r="L178" s="2"/>
      <c r="M178" s="2"/>
      <c r="N178" s="2"/>
      <c r="O178" s="2"/>
      <c r="P178" s="2"/>
      <c r="Q178" s="2"/>
      <c r="R178" s="2"/>
      <c r="S178" s="2"/>
      <c r="T178" s="2"/>
      <c r="U178" s="2"/>
      <c r="V178" s="2"/>
      <c r="W178" s="2"/>
      <c r="X178" s="2"/>
    </row>
    <row r="179" spans="1:24" ht="22" customHeight="1">
      <c r="A179" s="174" t="s">
        <v>440</v>
      </c>
      <c r="B179" s="174"/>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row>
    <row r="180" spans="1:24" ht="22" customHeight="1">
      <c r="A180" s="3" t="s">
        <v>552</v>
      </c>
      <c r="B180" s="1"/>
      <c r="C180" s="14">
        <v>6379</v>
      </c>
      <c r="D180" s="14"/>
      <c r="E180" s="14"/>
      <c r="F180" s="14"/>
      <c r="G180" s="14"/>
      <c r="H180" s="14"/>
      <c r="I180" s="14"/>
      <c r="J180" s="14"/>
      <c r="K180" s="14"/>
      <c r="L180" s="14"/>
      <c r="M180" s="15"/>
      <c r="N180" s="14"/>
      <c r="O180" s="14"/>
      <c r="P180" s="14"/>
      <c r="Q180" s="14"/>
      <c r="R180" s="14"/>
      <c r="S180" s="14"/>
      <c r="T180" s="14"/>
      <c r="U180" s="14"/>
      <c r="V180" s="14"/>
      <c r="W180" s="14"/>
      <c r="X180" s="14"/>
    </row>
    <row r="181" spans="1:24" ht="22" customHeight="1">
      <c r="A181" s="3" t="s">
        <v>553</v>
      </c>
      <c r="B181" s="1"/>
      <c r="C181" s="14">
        <v>-309</v>
      </c>
      <c r="D181" s="14"/>
      <c r="E181" s="14"/>
      <c r="F181" s="14"/>
      <c r="G181" s="14"/>
      <c r="H181" s="14"/>
      <c r="I181" s="14"/>
      <c r="J181" s="14"/>
      <c r="K181" s="14"/>
      <c r="L181" s="14"/>
      <c r="M181" s="15"/>
      <c r="N181" s="14"/>
      <c r="O181" s="14"/>
      <c r="P181" s="14"/>
      <c r="Q181" s="14"/>
      <c r="R181" s="14"/>
      <c r="S181" s="14"/>
      <c r="T181" s="14"/>
      <c r="U181" s="14"/>
      <c r="V181" s="14"/>
      <c r="W181" s="14"/>
      <c r="X181" s="14"/>
    </row>
    <row r="182" spans="1:24" ht="22" customHeight="1">
      <c r="A182" s="3" t="s">
        <v>554</v>
      </c>
      <c r="B182" s="1"/>
      <c r="C182" s="14">
        <v>7</v>
      </c>
      <c r="D182" s="14"/>
      <c r="E182" s="14"/>
      <c r="F182" s="14"/>
      <c r="G182" s="14"/>
      <c r="H182" s="14"/>
      <c r="I182" s="14"/>
      <c r="J182" s="14"/>
      <c r="K182" s="14"/>
      <c r="L182" s="14"/>
      <c r="M182" s="15"/>
      <c r="N182" s="14"/>
      <c r="O182" s="14"/>
      <c r="P182" s="14"/>
      <c r="Q182" s="14"/>
      <c r="R182" s="14"/>
      <c r="S182" s="14"/>
      <c r="T182" s="14"/>
      <c r="U182" s="14"/>
      <c r="V182" s="14"/>
      <c r="W182" s="14"/>
      <c r="X182" s="14"/>
    </row>
    <row r="183" spans="1:24" ht="22" customHeight="1">
      <c r="A183" s="3" t="s">
        <v>555</v>
      </c>
      <c r="B183" s="1"/>
      <c r="C183" s="14">
        <v>-302</v>
      </c>
      <c r="D183" s="14"/>
      <c r="E183" s="14"/>
      <c r="F183" s="14"/>
      <c r="G183" s="14"/>
      <c r="H183" s="14"/>
      <c r="I183" s="14"/>
      <c r="J183" s="14"/>
      <c r="K183" s="14"/>
      <c r="L183" s="14"/>
      <c r="M183" s="15"/>
      <c r="N183" s="14"/>
      <c r="O183" s="14"/>
      <c r="P183" s="14"/>
      <c r="Q183" s="14"/>
      <c r="R183" s="14"/>
      <c r="S183" s="14"/>
      <c r="T183" s="14"/>
      <c r="U183" s="14"/>
      <c r="V183" s="14"/>
      <c r="W183" s="14"/>
      <c r="X183" s="14"/>
    </row>
    <row r="184" spans="1:24" ht="36" customHeight="1">
      <c r="A184" s="3" t="s">
        <v>556</v>
      </c>
      <c r="B184" s="1"/>
      <c r="C184" s="14">
        <v>150</v>
      </c>
      <c r="D184" s="14"/>
      <c r="E184" s="14"/>
      <c r="F184" s="14"/>
      <c r="G184" s="14"/>
      <c r="H184" s="14"/>
      <c r="I184" s="14"/>
      <c r="J184" s="14"/>
      <c r="K184" s="14"/>
      <c r="L184" s="14"/>
      <c r="M184" s="15"/>
      <c r="N184" s="14"/>
      <c r="O184" s="14"/>
      <c r="P184" s="14"/>
      <c r="Q184" s="14"/>
      <c r="R184" s="14"/>
      <c r="S184" s="14"/>
      <c r="T184" s="14"/>
      <c r="U184" s="14"/>
      <c r="V184" s="14"/>
      <c r="W184" s="14"/>
      <c r="X184" s="14"/>
    </row>
    <row r="185" spans="1:24" ht="36" customHeight="1">
      <c r="A185" s="3" t="s">
        <v>557</v>
      </c>
      <c r="B185" s="1"/>
      <c r="C185" s="14">
        <v>-63</v>
      </c>
      <c r="D185" s="14"/>
      <c r="E185" s="14"/>
      <c r="F185" s="14"/>
      <c r="G185" s="14"/>
      <c r="H185" s="14"/>
      <c r="I185" s="14"/>
      <c r="J185" s="14"/>
      <c r="K185" s="14"/>
      <c r="L185" s="14"/>
      <c r="M185" s="15"/>
      <c r="N185" s="14"/>
      <c r="O185" s="14"/>
      <c r="P185" s="14"/>
      <c r="Q185" s="14"/>
      <c r="R185" s="14"/>
      <c r="S185" s="14"/>
      <c r="T185" s="14"/>
      <c r="U185" s="14"/>
      <c r="V185" s="14"/>
      <c r="W185" s="14"/>
      <c r="X185" s="14"/>
    </row>
    <row r="186" spans="1:24" ht="36" customHeight="1">
      <c r="A186" s="3" t="s">
        <v>558</v>
      </c>
      <c r="B186" s="1"/>
      <c r="C186" s="14">
        <v>87</v>
      </c>
      <c r="D186" s="14"/>
      <c r="E186" s="14"/>
      <c r="F186" s="14"/>
      <c r="G186" s="14"/>
      <c r="H186" s="14"/>
      <c r="I186" s="14"/>
      <c r="J186" s="14"/>
      <c r="K186" s="14"/>
      <c r="L186" s="14"/>
      <c r="M186" s="15"/>
      <c r="N186" s="14"/>
      <c r="O186" s="14"/>
      <c r="P186" s="14"/>
      <c r="Q186" s="14"/>
      <c r="R186" s="14"/>
      <c r="S186" s="14"/>
      <c r="T186" s="14"/>
      <c r="U186" s="14"/>
      <c r="V186" s="14"/>
      <c r="W186" s="14"/>
      <c r="X186" s="14"/>
    </row>
    <row r="187" spans="1:24" ht="22" customHeight="1">
      <c r="A187" s="3" t="s">
        <v>559</v>
      </c>
      <c r="B187" s="1"/>
      <c r="C187" s="14">
        <v>-74</v>
      </c>
      <c r="D187" s="14"/>
      <c r="E187" s="14"/>
      <c r="F187" s="14"/>
      <c r="G187" s="14"/>
      <c r="H187" s="14"/>
      <c r="I187" s="14"/>
      <c r="J187" s="14"/>
      <c r="K187" s="14"/>
      <c r="L187" s="14"/>
      <c r="M187" s="15"/>
      <c r="N187" s="14"/>
      <c r="O187" s="14"/>
      <c r="P187" s="14"/>
      <c r="Q187" s="14"/>
      <c r="R187" s="14"/>
      <c r="S187" s="14"/>
      <c r="T187" s="14"/>
      <c r="U187" s="14"/>
      <c r="V187" s="14"/>
      <c r="W187" s="14"/>
      <c r="X187" s="14"/>
    </row>
    <row r="188" spans="1:24" ht="22" customHeight="1">
      <c r="A188" s="3" t="s">
        <v>560</v>
      </c>
      <c r="B188" s="1"/>
      <c r="C188" s="14">
        <v>33</v>
      </c>
      <c r="D188" s="14"/>
      <c r="E188" s="14"/>
      <c r="F188" s="14"/>
      <c r="G188" s="14"/>
      <c r="H188" s="14"/>
      <c r="I188" s="14"/>
      <c r="J188" s="14"/>
      <c r="K188" s="14"/>
      <c r="L188" s="14"/>
      <c r="M188" s="15"/>
      <c r="N188" s="14"/>
      <c r="O188" s="14"/>
      <c r="P188" s="14"/>
      <c r="Q188" s="14"/>
      <c r="R188" s="14"/>
      <c r="S188" s="14"/>
      <c r="T188" s="14"/>
      <c r="U188" s="14"/>
      <c r="V188" s="14"/>
      <c r="W188" s="14"/>
      <c r="X188" s="14"/>
    </row>
    <row r="189" spans="1:24" ht="22" customHeight="1">
      <c r="A189" s="3" t="s">
        <v>561</v>
      </c>
      <c r="B189" s="1"/>
      <c r="C189" s="14">
        <v>-41</v>
      </c>
      <c r="D189" s="14"/>
      <c r="E189" s="14"/>
      <c r="F189" s="14"/>
      <c r="G189" s="14"/>
      <c r="H189" s="14"/>
      <c r="I189" s="14"/>
      <c r="J189" s="14"/>
      <c r="K189" s="14"/>
      <c r="L189" s="14"/>
      <c r="M189" s="15"/>
      <c r="N189" s="14"/>
      <c r="O189" s="14"/>
      <c r="P189" s="14"/>
      <c r="Q189" s="14"/>
      <c r="R189" s="14"/>
      <c r="S189" s="14"/>
      <c r="T189" s="14"/>
      <c r="U189" s="14"/>
      <c r="V189" s="14"/>
      <c r="W189" s="14"/>
      <c r="X189" s="14"/>
    </row>
    <row r="190" spans="1:24" ht="36" customHeight="1">
      <c r="A190" s="3" t="s">
        <v>556</v>
      </c>
      <c r="B190" s="1"/>
      <c r="C190" s="14">
        <v>407</v>
      </c>
      <c r="D190" s="14"/>
      <c r="E190" s="14"/>
      <c r="F190" s="14"/>
      <c r="G190" s="14"/>
      <c r="H190" s="14"/>
      <c r="I190" s="14"/>
      <c r="J190" s="14"/>
      <c r="K190" s="14"/>
      <c r="L190" s="14"/>
      <c r="M190" s="15"/>
      <c r="N190" s="14"/>
      <c r="O190" s="14"/>
      <c r="P190" s="14"/>
      <c r="Q190" s="14"/>
      <c r="R190" s="14"/>
      <c r="S190" s="14"/>
      <c r="T190" s="14"/>
      <c r="U190" s="14"/>
      <c r="V190" s="14"/>
      <c r="W190" s="14"/>
      <c r="X190" s="14"/>
    </row>
    <row r="191" spans="1:24" ht="36" customHeight="1">
      <c r="A191" s="3" t="s">
        <v>557</v>
      </c>
      <c r="B191" s="1"/>
      <c r="C191" s="14">
        <v>-144</v>
      </c>
      <c r="D191" s="14"/>
      <c r="E191" s="14"/>
      <c r="F191" s="14"/>
      <c r="G191" s="14"/>
      <c r="H191" s="14"/>
      <c r="I191" s="14"/>
      <c r="J191" s="14"/>
      <c r="K191" s="14"/>
      <c r="L191" s="14"/>
      <c r="M191" s="15"/>
      <c r="N191" s="14"/>
      <c r="O191" s="14"/>
      <c r="P191" s="14"/>
      <c r="Q191" s="14"/>
      <c r="R191" s="14"/>
      <c r="S191" s="14"/>
      <c r="T191" s="14"/>
      <c r="U191" s="14"/>
      <c r="V191" s="14"/>
      <c r="W191" s="14"/>
      <c r="X191" s="14"/>
    </row>
    <row r="192" spans="1:24" ht="36" customHeight="1">
      <c r="A192" s="3" t="s">
        <v>558</v>
      </c>
      <c r="B192" s="1"/>
      <c r="C192" s="14">
        <v>263</v>
      </c>
      <c r="D192" s="14"/>
      <c r="E192" s="14"/>
      <c r="F192" s="14"/>
      <c r="G192" s="14"/>
      <c r="H192" s="14"/>
      <c r="I192" s="14"/>
      <c r="J192" s="14"/>
      <c r="K192" s="14"/>
      <c r="L192" s="14"/>
      <c r="M192" s="15"/>
      <c r="N192" s="14"/>
      <c r="O192" s="14"/>
      <c r="P192" s="14"/>
      <c r="Q192" s="14"/>
      <c r="R192" s="14"/>
      <c r="S192" s="14"/>
      <c r="T192" s="14"/>
      <c r="U192" s="14"/>
      <c r="V192" s="14"/>
      <c r="W192" s="14"/>
      <c r="X192" s="14"/>
    </row>
    <row r="193" spans="1:24" ht="36" customHeight="1">
      <c r="A193" s="3" t="s">
        <v>562</v>
      </c>
      <c r="B193" s="1"/>
      <c r="C193" s="14">
        <v>-750</v>
      </c>
      <c r="D193" s="14"/>
      <c r="E193" s="14"/>
      <c r="F193" s="14"/>
      <c r="G193" s="14"/>
      <c r="H193" s="14"/>
      <c r="I193" s="14"/>
      <c r="J193" s="14"/>
      <c r="K193" s="14"/>
      <c r="L193" s="14"/>
      <c r="M193" s="15"/>
      <c r="N193" s="14"/>
      <c r="O193" s="14"/>
      <c r="P193" s="14"/>
      <c r="Q193" s="14"/>
      <c r="R193" s="14"/>
      <c r="S193" s="14"/>
      <c r="T193" s="14"/>
      <c r="U193" s="14"/>
      <c r="V193" s="14"/>
      <c r="W193" s="14"/>
      <c r="X193" s="14"/>
    </row>
    <row r="194" spans="1:24" ht="36" customHeight="1">
      <c r="A194" s="3" t="s">
        <v>563</v>
      </c>
      <c r="B194" s="1"/>
      <c r="C194" s="14">
        <v>171</v>
      </c>
      <c r="D194" s="14"/>
      <c r="E194" s="14"/>
      <c r="F194" s="14"/>
      <c r="G194" s="14"/>
      <c r="H194" s="14"/>
      <c r="I194" s="14"/>
      <c r="J194" s="14"/>
      <c r="K194" s="14"/>
      <c r="L194" s="14"/>
      <c r="M194" s="15"/>
      <c r="N194" s="14"/>
      <c r="O194" s="14"/>
      <c r="P194" s="14"/>
      <c r="Q194" s="14"/>
      <c r="R194" s="14"/>
      <c r="S194" s="14"/>
      <c r="T194" s="14"/>
      <c r="U194" s="14"/>
      <c r="V194" s="14"/>
      <c r="W194" s="14"/>
      <c r="X194" s="14"/>
    </row>
    <row r="195" spans="1:24" ht="36" customHeight="1">
      <c r="A195" s="3" t="s">
        <v>564</v>
      </c>
      <c r="B195" s="1"/>
      <c r="C195" s="14">
        <v>-579</v>
      </c>
      <c r="D195" s="14"/>
      <c r="E195" s="14"/>
      <c r="F195" s="14"/>
      <c r="G195" s="14"/>
      <c r="H195" s="14"/>
      <c r="I195" s="14"/>
      <c r="J195" s="14"/>
      <c r="K195" s="14"/>
      <c r="L195" s="14"/>
      <c r="M195" s="15"/>
      <c r="N195" s="14"/>
      <c r="O195" s="14"/>
      <c r="P195" s="14"/>
      <c r="Q195" s="14"/>
      <c r="R195" s="14"/>
      <c r="S195" s="14"/>
      <c r="T195" s="14"/>
      <c r="U195" s="14"/>
      <c r="V195" s="14"/>
      <c r="W195" s="14"/>
      <c r="X195" s="14"/>
    </row>
    <row r="196" spans="1:24" ht="22" customHeight="1">
      <c r="A196" s="3" t="s">
        <v>565</v>
      </c>
      <c r="B196" s="1"/>
      <c r="C196" s="14">
        <v>-43</v>
      </c>
      <c r="D196" s="14"/>
      <c r="E196" s="14"/>
      <c r="F196" s="14"/>
      <c r="G196" s="14"/>
      <c r="H196" s="14"/>
      <c r="I196" s="14"/>
      <c r="J196" s="14"/>
      <c r="K196" s="14"/>
      <c r="L196" s="14"/>
      <c r="M196" s="15"/>
      <c r="N196" s="14"/>
      <c r="O196" s="14"/>
      <c r="P196" s="14"/>
      <c r="Q196" s="14"/>
      <c r="R196" s="14"/>
      <c r="S196" s="14"/>
      <c r="T196" s="14"/>
      <c r="U196" s="14"/>
      <c r="V196" s="14"/>
      <c r="W196" s="14"/>
      <c r="X196" s="14"/>
    </row>
    <row r="197" spans="1:24" ht="22" customHeight="1">
      <c r="A197" s="3" t="s">
        <v>566</v>
      </c>
      <c r="B197" s="1"/>
      <c r="C197" s="14">
        <v>19</v>
      </c>
      <c r="D197" s="14"/>
      <c r="E197" s="14"/>
      <c r="F197" s="14"/>
      <c r="G197" s="14"/>
      <c r="H197" s="14"/>
      <c r="I197" s="14"/>
      <c r="J197" s="14"/>
      <c r="K197" s="14"/>
      <c r="L197" s="14"/>
      <c r="M197" s="15"/>
      <c r="N197" s="14"/>
      <c r="O197" s="14"/>
      <c r="P197" s="14"/>
      <c r="Q197" s="14"/>
      <c r="R197" s="14"/>
      <c r="S197" s="14"/>
      <c r="T197" s="14"/>
      <c r="U197" s="14"/>
      <c r="V197" s="14"/>
      <c r="W197" s="14"/>
      <c r="X197" s="14"/>
    </row>
    <row r="198" spans="1:24" ht="22" customHeight="1">
      <c r="A198" s="3" t="s">
        <v>567</v>
      </c>
      <c r="B198" s="1"/>
      <c r="C198" s="14">
        <v>-24</v>
      </c>
      <c r="D198" s="14"/>
      <c r="E198" s="14"/>
      <c r="F198" s="14"/>
      <c r="G198" s="14"/>
      <c r="H198" s="14"/>
      <c r="I198" s="14"/>
      <c r="J198" s="14"/>
      <c r="K198" s="14"/>
      <c r="L198" s="14"/>
      <c r="M198" s="15"/>
      <c r="N198" s="14"/>
      <c r="O198" s="14"/>
      <c r="P198" s="14"/>
      <c r="Q198" s="14"/>
      <c r="R198" s="14"/>
      <c r="S198" s="14"/>
      <c r="T198" s="14"/>
      <c r="U198" s="14"/>
      <c r="V198" s="14"/>
      <c r="W198" s="14"/>
      <c r="X198" s="14"/>
    </row>
    <row r="199" spans="1:24" ht="24" customHeight="1">
      <c r="A199" s="16" t="s">
        <v>568</v>
      </c>
      <c r="B199" s="17"/>
      <c r="C199" s="18">
        <v>-619</v>
      </c>
      <c r="D199" s="18"/>
      <c r="E199" s="18"/>
      <c r="F199" s="18"/>
      <c r="G199" s="18"/>
      <c r="H199" s="18"/>
      <c r="I199" s="18"/>
      <c r="J199" s="18"/>
      <c r="K199" s="18"/>
      <c r="L199" s="18"/>
      <c r="M199" s="20"/>
      <c r="N199" s="18"/>
      <c r="O199" s="18"/>
      <c r="P199" s="18"/>
      <c r="Q199" s="18"/>
      <c r="R199" s="18"/>
      <c r="S199" s="18"/>
      <c r="T199" s="18"/>
      <c r="U199" s="18"/>
      <c r="V199" s="18"/>
      <c r="W199" s="18"/>
      <c r="X199" s="18"/>
    </row>
    <row r="200" spans="1:24" ht="24" customHeight="1">
      <c r="A200" s="16" t="s">
        <v>569</v>
      </c>
      <c r="B200" s="17"/>
      <c r="C200" s="18">
        <v>23</v>
      </c>
      <c r="D200" s="18"/>
      <c r="E200" s="18"/>
      <c r="F200" s="18"/>
      <c r="G200" s="18"/>
      <c r="H200" s="18"/>
      <c r="I200" s="18"/>
      <c r="J200" s="18"/>
      <c r="K200" s="18"/>
      <c r="L200" s="18"/>
      <c r="M200" s="20"/>
      <c r="N200" s="18"/>
      <c r="O200" s="18"/>
      <c r="P200" s="18"/>
      <c r="Q200" s="18"/>
      <c r="R200" s="18"/>
      <c r="S200" s="18"/>
      <c r="T200" s="18"/>
      <c r="U200" s="18"/>
      <c r="V200" s="18"/>
      <c r="W200" s="18"/>
      <c r="X200" s="18"/>
    </row>
    <row r="201" spans="1:24" ht="24" customHeight="1">
      <c r="A201" s="16" t="s">
        <v>570</v>
      </c>
      <c r="B201" s="17"/>
      <c r="C201" s="18">
        <v>-596</v>
      </c>
      <c r="D201" s="18"/>
      <c r="E201" s="18"/>
      <c r="F201" s="18"/>
      <c r="G201" s="18"/>
      <c r="H201" s="18"/>
      <c r="I201" s="18"/>
      <c r="J201" s="18"/>
      <c r="K201" s="18"/>
      <c r="L201" s="18"/>
      <c r="M201" s="20"/>
      <c r="N201" s="18"/>
      <c r="O201" s="18"/>
      <c r="P201" s="18"/>
      <c r="Q201" s="18"/>
      <c r="R201" s="18"/>
      <c r="S201" s="18"/>
      <c r="T201" s="18"/>
      <c r="U201" s="18"/>
      <c r="V201" s="18"/>
      <c r="W201" s="18"/>
      <c r="X201" s="18"/>
    </row>
    <row r="202" spans="1:24" ht="22" customHeight="1">
      <c r="A202" s="3" t="s">
        <v>571</v>
      </c>
      <c r="B202" s="1"/>
      <c r="C202" s="14">
        <v>5783</v>
      </c>
      <c r="D202" s="14"/>
      <c r="E202" s="14"/>
      <c r="F202" s="14"/>
      <c r="G202" s="14"/>
      <c r="H202" s="14"/>
      <c r="I202" s="14"/>
      <c r="J202" s="14"/>
      <c r="K202" s="14"/>
      <c r="L202" s="14"/>
      <c r="M202" s="15"/>
      <c r="N202" s="14"/>
      <c r="O202" s="14"/>
      <c r="P202" s="14"/>
      <c r="Q202" s="14"/>
      <c r="R202" s="14"/>
      <c r="S202" s="14"/>
      <c r="T202" s="14"/>
      <c r="U202" s="14"/>
      <c r="V202" s="14"/>
      <c r="W202" s="14"/>
      <c r="X202" s="14"/>
    </row>
    <row r="203" spans="1:24" ht="36" customHeight="1">
      <c r="A203" s="3" t="s">
        <v>572</v>
      </c>
      <c r="B203" s="1"/>
      <c r="C203" s="14">
        <v>-54</v>
      </c>
      <c r="D203" s="14"/>
      <c r="E203" s="14"/>
      <c r="F203" s="14"/>
      <c r="G203" s="14"/>
      <c r="H203" s="14"/>
      <c r="I203" s="14"/>
      <c r="J203" s="14"/>
      <c r="K203" s="14"/>
      <c r="L203" s="14"/>
      <c r="M203" s="15"/>
      <c r="N203" s="14"/>
      <c r="O203" s="14"/>
      <c r="P203" s="14"/>
      <c r="Q203" s="14"/>
      <c r="R203" s="14"/>
      <c r="S203" s="14"/>
      <c r="T203" s="14"/>
      <c r="U203" s="14"/>
      <c r="V203" s="14"/>
      <c r="W203" s="14"/>
      <c r="X203" s="14"/>
    </row>
    <row r="204" spans="1:24" ht="36" customHeight="1">
      <c r="A204" s="3" t="s">
        <v>573</v>
      </c>
      <c r="B204" s="1"/>
      <c r="C204" s="14">
        <v>5729</v>
      </c>
      <c r="D204" s="14"/>
      <c r="E204" s="14"/>
      <c r="F204" s="14"/>
      <c r="G204" s="14"/>
      <c r="H204" s="14"/>
      <c r="I204" s="14"/>
      <c r="J204" s="14"/>
      <c r="K204" s="14"/>
      <c r="L204" s="14"/>
      <c r="M204" s="15"/>
      <c r="N204" s="14"/>
      <c r="O204" s="14"/>
      <c r="P204" s="14"/>
      <c r="Q204" s="14"/>
      <c r="R204" s="14"/>
      <c r="S204" s="14"/>
      <c r="T204" s="14"/>
      <c r="U204" s="14"/>
      <c r="V204" s="14"/>
      <c r="W204" s="14"/>
      <c r="X204" s="14"/>
    </row>
    <row r="205" spans="1:24" ht="22" customHeight="1">
      <c r="A205" s="3" t="s">
        <v>233</v>
      </c>
      <c r="B205" s="1"/>
      <c r="C205" s="14">
        <v>6379</v>
      </c>
      <c r="D205" s="14">
        <v>4908</v>
      </c>
      <c r="E205" s="14">
        <v>12559</v>
      </c>
      <c r="F205" s="14">
        <v>7353</v>
      </c>
      <c r="G205" s="14">
        <v>7175</v>
      </c>
      <c r="H205" s="14">
        <v>7679</v>
      </c>
      <c r="I205" s="14">
        <v>8978</v>
      </c>
      <c r="J205" s="14">
        <v>9155</v>
      </c>
      <c r="K205" s="14">
        <v>9626</v>
      </c>
      <c r="L205" s="14">
        <v>8295</v>
      </c>
      <c r="M205" s="15"/>
      <c r="N205" s="14">
        <v>2053</v>
      </c>
      <c r="O205" s="14">
        <v>3094</v>
      </c>
      <c r="P205" s="14">
        <v>2945</v>
      </c>
      <c r="Q205" s="14"/>
      <c r="R205" s="14">
        <v>1843</v>
      </c>
      <c r="S205" s="14">
        <v>1279</v>
      </c>
      <c r="T205" s="14">
        <v>2618</v>
      </c>
      <c r="U205" s="14"/>
      <c r="V205" s="14">
        <v>2338</v>
      </c>
      <c r="W205" s="14">
        <v>3004</v>
      </c>
      <c r="X205" s="14">
        <v>3070</v>
      </c>
    </row>
    <row r="206" spans="1:24" ht="22" customHeight="1">
      <c r="A206" s="3" t="s">
        <v>574</v>
      </c>
      <c r="B206" s="1"/>
      <c r="C206" s="14">
        <v>-302</v>
      </c>
      <c r="D206" s="14">
        <v>1109</v>
      </c>
      <c r="E206" s="14">
        <v>-1641</v>
      </c>
      <c r="F206" s="14">
        <v>628</v>
      </c>
      <c r="G206" s="14">
        <v>-650</v>
      </c>
      <c r="H206" s="14">
        <v>-369</v>
      </c>
      <c r="I206" s="14"/>
      <c r="J206" s="14">
        <v>-307</v>
      </c>
      <c r="K206" s="14">
        <v>-1962</v>
      </c>
      <c r="L206" s="14">
        <v>1723</v>
      </c>
      <c r="M206" s="15"/>
      <c r="N206" s="14">
        <v>-182</v>
      </c>
      <c r="O206" s="14">
        <v>-267</v>
      </c>
      <c r="P206" s="14">
        <v>-512</v>
      </c>
      <c r="Q206" s="14"/>
      <c r="R206" s="14">
        <v>436</v>
      </c>
      <c r="S206" s="14">
        <v>961</v>
      </c>
      <c r="T206" s="14">
        <v>39</v>
      </c>
      <c r="U206" s="14"/>
      <c r="V206" s="14">
        <v>719</v>
      </c>
      <c r="W206" s="14"/>
      <c r="X206" s="14"/>
    </row>
    <row r="207" spans="1:24" ht="22" customHeight="1">
      <c r="A207" s="3" t="s">
        <v>575</v>
      </c>
      <c r="B207" s="1"/>
      <c r="C207" s="14">
        <v>46</v>
      </c>
      <c r="D207" s="14">
        <v>-36</v>
      </c>
      <c r="E207" s="14">
        <v>40</v>
      </c>
      <c r="F207" s="14">
        <v>-90</v>
      </c>
      <c r="G207" s="14">
        <v>7</v>
      </c>
      <c r="H207" s="14">
        <v>155</v>
      </c>
      <c r="I207" s="14"/>
      <c r="J207" s="14">
        <v>-32</v>
      </c>
      <c r="K207" s="14">
        <v>113</v>
      </c>
      <c r="L207" s="14">
        <v>44</v>
      </c>
      <c r="M207" s="15"/>
      <c r="N207" s="14">
        <v>3</v>
      </c>
      <c r="O207" s="14">
        <v>42</v>
      </c>
      <c r="P207" s="14">
        <v>-24</v>
      </c>
      <c r="Q207" s="14"/>
      <c r="R207" s="14">
        <v>22</v>
      </c>
      <c r="S207" s="14">
        <v>-18</v>
      </c>
      <c r="T207" s="14">
        <v>23</v>
      </c>
      <c r="U207" s="14"/>
      <c r="V207" s="14">
        <v>55</v>
      </c>
      <c r="W207" s="14"/>
      <c r="X207" s="14"/>
    </row>
    <row r="208" spans="1:24" ht="22" customHeight="1">
      <c r="A208" s="3" t="s">
        <v>576</v>
      </c>
      <c r="B208" s="1"/>
      <c r="C208" s="14">
        <v>-316</v>
      </c>
      <c r="D208" s="14">
        <v>-159</v>
      </c>
      <c r="E208" s="14">
        <v>-467</v>
      </c>
      <c r="F208" s="14">
        <v>283</v>
      </c>
      <c r="G208" s="14">
        <v>-532</v>
      </c>
      <c r="H208" s="14">
        <v>770</v>
      </c>
      <c r="I208" s="14"/>
      <c r="J208" s="14">
        <v>-358</v>
      </c>
      <c r="K208" s="14">
        <v>5</v>
      </c>
      <c r="L208" s="14">
        <v>452</v>
      </c>
      <c r="M208" s="15"/>
      <c r="N208" s="14">
        <v>11</v>
      </c>
      <c r="O208" s="14">
        <v>9</v>
      </c>
      <c r="P208" s="14">
        <v>21</v>
      </c>
      <c r="Q208" s="14"/>
      <c r="R208" s="14">
        <v>10</v>
      </c>
      <c r="S208" s="14">
        <v>-19</v>
      </c>
      <c r="T208" s="14">
        <v>21</v>
      </c>
      <c r="U208" s="14"/>
      <c r="V208" s="14">
        <v>6</v>
      </c>
      <c r="W208" s="14"/>
      <c r="X208" s="14"/>
    </row>
    <row r="209" spans="1:24" ht="22" customHeight="1">
      <c r="A209" s="3" t="s">
        <v>577</v>
      </c>
      <c r="B209" s="1"/>
      <c r="C209" s="14">
        <v>-24</v>
      </c>
      <c r="D209" s="14">
        <v>-68</v>
      </c>
      <c r="E209" s="14"/>
      <c r="F209" s="14"/>
      <c r="G209" s="14"/>
      <c r="H209" s="14"/>
      <c r="I209" s="14"/>
      <c r="J209" s="14"/>
      <c r="K209" s="14"/>
      <c r="L209" s="14"/>
      <c r="M209" s="15"/>
      <c r="N209" s="14"/>
      <c r="O209" s="14"/>
      <c r="P209" s="14"/>
      <c r="Q209" s="14"/>
      <c r="R209" s="14"/>
      <c r="S209" s="14"/>
      <c r="T209" s="14"/>
      <c r="U209" s="14"/>
      <c r="V209" s="14"/>
      <c r="W209" s="14"/>
      <c r="X209" s="14"/>
    </row>
    <row r="210" spans="1:24" ht="22" customHeight="1">
      <c r="A210" s="3" t="s">
        <v>451</v>
      </c>
      <c r="B210" s="1"/>
      <c r="C210" s="14">
        <v>0</v>
      </c>
      <c r="D210" s="14">
        <v>16</v>
      </c>
      <c r="E210" s="14">
        <v>0</v>
      </c>
      <c r="F210" s="14">
        <v>-2</v>
      </c>
      <c r="G210" s="14">
        <v>-1</v>
      </c>
      <c r="H210" s="14">
        <v>22</v>
      </c>
      <c r="I210" s="14"/>
      <c r="J210" s="14"/>
      <c r="K210" s="14"/>
      <c r="L210" s="14"/>
      <c r="M210" s="15"/>
      <c r="N210" s="14"/>
      <c r="O210" s="14"/>
      <c r="P210" s="14"/>
      <c r="Q210" s="14"/>
      <c r="R210" s="14"/>
      <c r="S210" s="14"/>
      <c r="T210" s="14"/>
      <c r="U210" s="14"/>
      <c r="V210" s="14"/>
      <c r="W210" s="14"/>
      <c r="X210" s="14"/>
    </row>
    <row r="211" spans="1:24" ht="36" customHeight="1">
      <c r="A211" s="3" t="s">
        <v>578</v>
      </c>
      <c r="B211" s="1"/>
      <c r="C211" s="14">
        <v>-596</v>
      </c>
      <c r="D211" s="14">
        <v>862</v>
      </c>
      <c r="E211" s="14">
        <v>-2062</v>
      </c>
      <c r="F211" s="14">
        <v>819</v>
      </c>
      <c r="G211" s="14">
        <v>-1176</v>
      </c>
      <c r="H211" s="14">
        <v>578</v>
      </c>
      <c r="I211" s="14"/>
      <c r="J211" s="14"/>
      <c r="K211" s="14"/>
      <c r="L211" s="14"/>
      <c r="M211" s="15"/>
      <c r="N211" s="14">
        <v>355</v>
      </c>
      <c r="O211" s="14"/>
      <c r="P211" s="14"/>
      <c r="Q211" s="14"/>
      <c r="R211" s="14"/>
      <c r="S211" s="14"/>
      <c r="T211" s="14"/>
      <c r="U211" s="14"/>
      <c r="V211" s="14"/>
      <c r="W211" s="14"/>
      <c r="X211" s="14"/>
    </row>
    <row r="212" spans="1:24" ht="22" customHeight="1">
      <c r="A212" s="3" t="s">
        <v>440</v>
      </c>
      <c r="B212" s="1"/>
      <c r="C212" s="14">
        <v>5783</v>
      </c>
      <c r="D212" s="14">
        <v>5770</v>
      </c>
      <c r="E212" s="14">
        <v>10497</v>
      </c>
      <c r="F212" s="14">
        <v>8172</v>
      </c>
      <c r="G212" s="14">
        <v>5999</v>
      </c>
      <c r="H212" s="14">
        <v>8257</v>
      </c>
      <c r="I212" s="14"/>
      <c r="J212" s="14">
        <v>8923</v>
      </c>
      <c r="K212" s="14">
        <v>7548</v>
      </c>
      <c r="L212" s="14">
        <v>10883</v>
      </c>
      <c r="M212" s="15"/>
      <c r="N212" s="14">
        <v>2408</v>
      </c>
      <c r="O212" s="14">
        <v>2487</v>
      </c>
      <c r="P212" s="14">
        <v>2079</v>
      </c>
      <c r="Q212" s="14"/>
      <c r="R212" s="14">
        <v>2377</v>
      </c>
      <c r="S212" s="14">
        <v>2267</v>
      </c>
      <c r="T212" s="14">
        <v>3111</v>
      </c>
      <c r="U212" s="14"/>
      <c r="V212" s="14">
        <v>3020</v>
      </c>
      <c r="W212" s="14"/>
      <c r="X212" s="14"/>
    </row>
    <row r="213" spans="1:24" ht="36" customHeight="1">
      <c r="A213" s="3" t="s">
        <v>579</v>
      </c>
      <c r="B213" s="1"/>
      <c r="C213" s="14">
        <v>-54</v>
      </c>
      <c r="D213" s="14">
        <v>-51</v>
      </c>
      <c r="E213" s="14">
        <v>-44</v>
      </c>
      <c r="F213" s="14">
        <v>-39</v>
      </c>
      <c r="G213" s="14"/>
      <c r="H213" s="14"/>
      <c r="I213" s="14"/>
      <c r="J213" s="14"/>
      <c r="K213" s="14"/>
      <c r="L213" s="14"/>
      <c r="M213" s="15"/>
      <c r="N213" s="14"/>
      <c r="O213" s="14"/>
      <c r="P213" s="14"/>
      <c r="Q213" s="14"/>
      <c r="R213" s="14"/>
      <c r="S213" s="14"/>
      <c r="T213" s="14"/>
      <c r="U213" s="14"/>
      <c r="V213" s="14"/>
      <c r="W213" s="14"/>
      <c r="X213" s="14"/>
    </row>
    <row r="214" spans="1:24" ht="22" customHeight="1">
      <c r="A214" s="3" t="s">
        <v>580</v>
      </c>
      <c r="B214" s="1"/>
      <c r="C214" s="14">
        <v>5729</v>
      </c>
      <c r="D214" s="14">
        <v>5719</v>
      </c>
      <c r="E214" s="14">
        <v>10453</v>
      </c>
      <c r="F214" s="14">
        <v>8133</v>
      </c>
      <c r="G214" s="14">
        <v>5944</v>
      </c>
      <c r="H214" s="14">
        <v>8196</v>
      </c>
      <c r="I214" s="14"/>
      <c r="J214" s="14">
        <v>8842</v>
      </c>
      <c r="K214" s="14">
        <v>7500</v>
      </c>
      <c r="L214" s="14">
        <v>10828</v>
      </c>
      <c r="M214" s="15"/>
      <c r="N214" s="14">
        <v>2397</v>
      </c>
      <c r="O214" s="14">
        <v>2476</v>
      </c>
      <c r="P214" s="14">
        <v>2064</v>
      </c>
      <c r="Q214" s="14"/>
      <c r="R214" s="14">
        <v>2368</v>
      </c>
      <c r="S214" s="14">
        <v>2251</v>
      </c>
      <c r="T214" s="14">
        <v>3096</v>
      </c>
      <c r="U214" s="14"/>
      <c r="V214" s="14">
        <v>3009</v>
      </c>
      <c r="W214" s="14"/>
      <c r="X214" s="14"/>
    </row>
    <row r="215" spans="1:24" ht="22" customHeight="1">
      <c r="A215" s="3" t="s">
        <v>581</v>
      </c>
      <c r="B215" s="1"/>
      <c r="C215" s="14">
        <v>-24</v>
      </c>
      <c r="D215" s="14">
        <v>-68</v>
      </c>
      <c r="E215" s="14">
        <v>6</v>
      </c>
      <c r="F215" s="14">
        <v>-2</v>
      </c>
      <c r="G215" s="14"/>
      <c r="H215" s="14"/>
      <c r="I215" s="14"/>
      <c r="J215" s="14"/>
      <c r="K215" s="14"/>
      <c r="L215" s="14"/>
      <c r="M215" s="15"/>
      <c r="N215" s="14"/>
      <c r="O215" s="14"/>
      <c r="P215" s="14"/>
      <c r="Q215" s="14"/>
      <c r="R215" s="14"/>
      <c r="S215" s="14"/>
      <c r="T215" s="14"/>
      <c r="U215" s="14"/>
      <c r="V215" s="14"/>
      <c r="W215" s="14"/>
      <c r="X215" s="14"/>
    </row>
    <row r="216" spans="1:24" ht="22" customHeight="1">
      <c r="A216" s="3" t="s">
        <v>574</v>
      </c>
      <c r="B216" s="1"/>
      <c r="C216" s="14"/>
      <c r="D216" s="14"/>
      <c r="E216" s="14">
        <v>-1641</v>
      </c>
      <c r="F216" s="14">
        <v>628</v>
      </c>
      <c r="G216" s="14">
        <v>-650</v>
      </c>
      <c r="H216" s="14">
        <v>-369</v>
      </c>
      <c r="I216" s="14">
        <v>-643</v>
      </c>
      <c r="J216" s="14">
        <v>-307</v>
      </c>
      <c r="K216" s="14"/>
      <c r="L216" s="14"/>
      <c r="M216" s="15"/>
      <c r="N216" s="14"/>
      <c r="O216" s="14"/>
      <c r="P216" s="14"/>
      <c r="Q216" s="14"/>
      <c r="R216" s="14"/>
      <c r="S216" s="14">
        <v>961</v>
      </c>
      <c r="T216" s="14">
        <v>39</v>
      </c>
      <c r="U216" s="14"/>
      <c r="V216" s="14"/>
      <c r="W216" s="14">
        <v>155</v>
      </c>
      <c r="X216" s="14">
        <v>-858</v>
      </c>
    </row>
    <row r="217" spans="1:24" ht="22" customHeight="1">
      <c r="A217" s="3" t="s">
        <v>575</v>
      </c>
      <c r="B217" s="1"/>
      <c r="C217" s="14"/>
      <c r="D217" s="14"/>
      <c r="E217" s="14">
        <v>40</v>
      </c>
      <c r="F217" s="14">
        <v>-90</v>
      </c>
      <c r="G217" s="14">
        <v>7</v>
      </c>
      <c r="H217" s="14">
        <v>155</v>
      </c>
      <c r="I217" s="14">
        <v>-158</v>
      </c>
      <c r="J217" s="14">
        <v>-32</v>
      </c>
      <c r="K217" s="14"/>
      <c r="L217" s="14"/>
      <c r="M217" s="15"/>
      <c r="N217" s="14"/>
      <c r="O217" s="14"/>
      <c r="P217" s="14"/>
      <c r="Q217" s="14"/>
      <c r="R217" s="14"/>
      <c r="S217" s="14">
        <v>-18</v>
      </c>
      <c r="T217" s="14">
        <v>23</v>
      </c>
      <c r="U217" s="14"/>
      <c r="V217" s="14"/>
      <c r="W217" s="14">
        <v>40</v>
      </c>
      <c r="X217" s="14">
        <v>-41</v>
      </c>
    </row>
    <row r="218" spans="1:24" ht="22" customHeight="1">
      <c r="A218" s="3" t="s">
        <v>576</v>
      </c>
      <c r="B218" s="1"/>
      <c r="C218" s="14"/>
      <c r="D218" s="14"/>
      <c r="E218" s="14">
        <v>-467</v>
      </c>
      <c r="F218" s="14">
        <v>283</v>
      </c>
      <c r="G218" s="14">
        <v>-532</v>
      </c>
      <c r="H218" s="14">
        <v>770</v>
      </c>
      <c r="I218" s="14">
        <v>389</v>
      </c>
      <c r="J218" s="14">
        <v>-358</v>
      </c>
      <c r="K218" s="14"/>
      <c r="L218" s="14"/>
      <c r="M218" s="15"/>
      <c r="N218" s="14"/>
      <c r="O218" s="14"/>
      <c r="P218" s="14"/>
      <c r="Q218" s="14"/>
      <c r="R218" s="14"/>
      <c r="S218" s="14">
        <v>-19</v>
      </c>
      <c r="T218" s="14">
        <v>21</v>
      </c>
      <c r="U218" s="14"/>
      <c r="V218" s="14"/>
      <c r="W218" s="14">
        <v>21</v>
      </c>
      <c r="X218" s="14">
        <v>203</v>
      </c>
    </row>
    <row r="219" spans="1:24" ht="22" customHeight="1">
      <c r="A219" s="3" t="s">
        <v>451</v>
      </c>
      <c r="B219" s="1"/>
      <c r="C219" s="14"/>
      <c r="D219" s="14"/>
      <c r="E219" s="14">
        <v>6</v>
      </c>
      <c r="F219" s="14">
        <v>-2</v>
      </c>
      <c r="G219" s="14">
        <v>-1</v>
      </c>
      <c r="H219" s="14">
        <v>22</v>
      </c>
      <c r="I219" s="14">
        <v>4</v>
      </c>
      <c r="J219" s="14"/>
      <c r="K219" s="14"/>
      <c r="L219" s="14"/>
      <c r="M219" s="15"/>
      <c r="N219" s="14"/>
      <c r="O219" s="14"/>
      <c r="P219" s="14"/>
      <c r="Q219" s="14"/>
      <c r="R219" s="14"/>
      <c r="S219" s="14"/>
      <c r="T219" s="14"/>
      <c r="U219" s="14"/>
      <c r="V219" s="14"/>
      <c r="W219" s="14"/>
      <c r="X219" s="14"/>
    </row>
    <row r="220" spans="1:24" ht="36" customHeight="1">
      <c r="A220" s="3" t="s">
        <v>582</v>
      </c>
      <c r="B220" s="1"/>
      <c r="C220" s="14"/>
      <c r="D220" s="14"/>
      <c r="E220" s="14">
        <v>-2062</v>
      </c>
      <c r="F220" s="14">
        <v>819</v>
      </c>
      <c r="G220" s="14">
        <v>-1176</v>
      </c>
      <c r="H220" s="14">
        <v>578</v>
      </c>
      <c r="I220" s="14">
        <v>-408</v>
      </c>
      <c r="J220" s="14">
        <v>-232</v>
      </c>
      <c r="K220" s="14"/>
      <c r="L220" s="14"/>
      <c r="M220" s="15"/>
      <c r="N220" s="14"/>
      <c r="O220" s="14"/>
      <c r="P220" s="14"/>
      <c r="Q220" s="14"/>
      <c r="R220" s="14"/>
      <c r="S220" s="14"/>
      <c r="T220" s="14"/>
      <c r="U220" s="14"/>
      <c r="V220" s="14"/>
      <c r="W220" s="14"/>
      <c r="X220" s="14"/>
    </row>
    <row r="221" spans="1:24" ht="22" customHeight="1">
      <c r="A221" s="3" t="s">
        <v>440</v>
      </c>
      <c r="B221" s="1"/>
      <c r="C221" s="14"/>
      <c r="D221" s="14"/>
      <c r="E221" s="14">
        <v>10497</v>
      </c>
      <c r="F221" s="14">
        <v>8172</v>
      </c>
      <c r="G221" s="14">
        <v>5999</v>
      </c>
      <c r="H221" s="14">
        <v>8257</v>
      </c>
      <c r="I221" s="14">
        <v>8570</v>
      </c>
      <c r="J221" s="14">
        <v>8923</v>
      </c>
      <c r="K221" s="14"/>
      <c r="L221" s="14"/>
      <c r="M221" s="15"/>
      <c r="N221" s="14"/>
      <c r="O221" s="14"/>
      <c r="P221" s="14"/>
      <c r="Q221" s="14"/>
      <c r="R221" s="14"/>
      <c r="S221" s="14">
        <v>2267</v>
      </c>
      <c r="T221" s="14">
        <v>3111</v>
      </c>
      <c r="U221" s="14"/>
      <c r="V221" s="14"/>
      <c r="W221" s="14">
        <v>3003</v>
      </c>
      <c r="X221" s="14">
        <v>2426</v>
      </c>
    </row>
    <row r="222" spans="1:24" ht="36" customHeight="1">
      <c r="A222" s="3" t="s">
        <v>583</v>
      </c>
      <c r="B222" s="1"/>
      <c r="C222" s="14"/>
      <c r="D222" s="14"/>
      <c r="E222" s="14">
        <v>44</v>
      </c>
      <c r="F222" s="14">
        <v>39</v>
      </c>
      <c r="G222" s="14">
        <v>55</v>
      </c>
      <c r="H222" s="14">
        <v>61</v>
      </c>
      <c r="I222" s="14">
        <v>64</v>
      </c>
      <c r="J222" s="14">
        <v>81</v>
      </c>
      <c r="K222" s="14"/>
      <c r="L222" s="14"/>
      <c r="M222" s="15"/>
      <c r="N222" s="14"/>
      <c r="O222" s="14"/>
      <c r="P222" s="14"/>
      <c r="Q222" s="14"/>
      <c r="R222" s="14"/>
      <c r="S222" s="14">
        <v>16</v>
      </c>
      <c r="T222" s="14">
        <v>15</v>
      </c>
      <c r="U222" s="14"/>
      <c r="V222" s="14"/>
      <c r="W222" s="14">
        <v>23</v>
      </c>
      <c r="X222" s="14">
        <v>22</v>
      </c>
    </row>
    <row r="223" spans="1:24" ht="22" customHeight="1">
      <c r="A223" s="3" t="s">
        <v>580</v>
      </c>
      <c r="B223" s="1"/>
      <c r="C223" s="14"/>
      <c r="D223" s="14"/>
      <c r="E223" s="14">
        <v>10453</v>
      </c>
      <c r="F223" s="14">
        <v>8133</v>
      </c>
      <c r="G223" s="14">
        <v>5944</v>
      </c>
      <c r="H223" s="14">
        <v>8196</v>
      </c>
      <c r="I223" s="14">
        <v>8506</v>
      </c>
      <c r="J223" s="14">
        <v>8842</v>
      </c>
      <c r="K223" s="14"/>
      <c r="L223" s="14"/>
      <c r="M223" s="15"/>
      <c r="N223" s="14"/>
      <c r="O223" s="14"/>
      <c r="P223" s="14"/>
      <c r="Q223" s="14"/>
      <c r="R223" s="14"/>
      <c r="S223" s="14">
        <v>2251</v>
      </c>
      <c r="T223" s="14">
        <v>3096</v>
      </c>
      <c r="U223" s="14"/>
      <c r="V223" s="14"/>
      <c r="W223" s="14">
        <v>2980</v>
      </c>
      <c r="X223" s="14">
        <v>2404</v>
      </c>
    </row>
    <row r="224" spans="1:24" ht="36" customHeight="1">
      <c r="A224" s="3" t="s">
        <v>583</v>
      </c>
      <c r="B224" s="1"/>
      <c r="C224" s="14"/>
      <c r="D224" s="14"/>
      <c r="E224" s="14"/>
      <c r="F224" s="14">
        <v>39</v>
      </c>
      <c r="G224" s="14">
        <v>55</v>
      </c>
      <c r="H224" s="14">
        <v>61</v>
      </c>
      <c r="I224" s="14"/>
      <c r="J224" s="14">
        <v>81</v>
      </c>
      <c r="K224" s="14">
        <v>48</v>
      </c>
      <c r="L224" s="14">
        <v>55</v>
      </c>
      <c r="M224" s="15"/>
      <c r="N224" s="14"/>
      <c r="O224" s="14"/>
      <c r="P224" s="14"/>
      <c r="Q224" s="14"/>
      <c r="R224" s="14"/>
      <c r="S224" s="14"/>
      <c r="T224" s="14"/>
      <c r="U224" s="14"/>
      <c r="V224" s="14"/>
      <c r="W224" s="14"/>
      <c r="X224" s="14"/>
    </row>
    <row r="225" spans="1:24" ht="22" customHeight="1">
      <c r="A225" s="3" t="s">
        <v>584</v>
      </c>
      <c r="B225" s="1"/>
      <c r="C225" s="14"/>
      <c r="D225" s="14"/>
      <c r="E225" s="14"/>
      <c r="F225" s="14"/>
      <c r="G225" s="14"/>
      <c r="H225" s="14">
        <v>22</v>
      </c>
      <c r="I225" s="14">
        <v>4</v>
      </c>
      <c r="J225" s="14">
        <v>465</v>
      </c>
      <c r="K225" s="14"/>
      <c r="L225" s="14"/>
      <c r="M225" s="15"/>
      <c r="N225" s="14"/>
      <c r="O225" s="14"/>
      <c r="P225" s="14"/>
      <c r="Q225" s="14"/>
      <c r="R225" s="14"/>
      <c r="S225" s="14">
        <v>64</v>
      </c>
      <c r="T225" s="14">
        <v>410</v>
      </c>
      <c r="U225" s="14"/>
      <c r="V225" s="14"/>
      <c r="W225" s="14">
        <v>-217</v>
      </c>
      <c r="X225" s="14">
        <v>52</v>
      </c>
    </row>
    <row r="226" spans="1:24" ht="22" customHeight="1">
      <c r="A226" s="3" t="s">
        <v>584</v>
      </c>
      <c r="B226" s="1"/>
      <c r="C226" s="14"/>
      <c r="D226" s="14"/>
      <c r="E226" s="14"/>
      <c r="F226" s="14"/>
      <c r="G226" s="14"/>
      <c r="H226" s="14"/>
      <c r="I226" s="14"/>
      <c r="J226" s="14">
        <v>465</v>
      </c>
      <c r="K226" s="14">
        <v>-234</v>
      </c>
      <c r="L226" s="14">
        <v>369</v>
      </c>
      <c r="M226" s="15"/>
      <c r="N226" s="14">
        <v>523</v>
      </c>
      <c r="O226" s="14">
        <v>-391</v>
      </c>
      <c r="P226" s="14">
        <v>-351</v>
      </c>
      <c r="Q226" s="14"/>
      <c r="R226" s="14">
        <v>66</v>
      </c>
      <c r="S226" s="14">
        <v>64</v>
      </c>
      <c r="T226" s="14">
        <v>410</v>
      </c>
      <c r="U226" s="14"/>
      <c r="V226" s="14">
        <v>-98</v>
      </c>
      <c r="W226" s="14"/>
      <c r="X226" s="14"/>
    </row>
    <row r="227" spans="1:24" ht="36" customHeight="1">
      <c r="A227" s="3" t="s">
        <v>585</v>
      </c>
      <c r="B227" s="1"/>
      <c r="C227" s="14"/>
      <c r="D227" s="14"/>
      <c r="E227" s="14"/>
      <c r="F227" s="14"/>
      <c r="G227" s="14"/>
      <c r="H227" s="14"/>
      <c r="I227" s="14"/>
      <c r="J227" s="14"/>
      <c r="K227" s="14"/>
      <c r="L227" s="14"/>
      <c r="M227" s="15"/>
      <c r="N227" s="14">
        <v>11</v>
      </c>
      <c r="O227" s="14">
        <v>11</v>
      </c>
      <c r="P227" s="14">
        <v>15</v>
      </c>
      <c r="Q227" s="14"/>
      <c r="R227" s="14">
        <v>9</v>
      </c>
      <c r="S227" s="14">
        <v>16</v>
      </c>
      <c r="T227" s="14">
        <v>15</v>
      </c>
      <c r="U227" s="14"/>
      <c r="V227" s="14">
        <v>11</v>
      </c>
      <c r="W227" s="14"/>
      <c r="X227" s="14"/>
    </row>
    <row r="228" spans="1:24" ht="22" customHeight="1">
      <c r="A228" s="3" t="s">
        <v>574</v>
      </c>
      <c r="B228" s="1"/>
      <c r="C228" s="14"/>
      <c r="D228" s="14"/>
      <c r="E228" s="14"/>
      <c r="F228" s="14"/>
      <c r="G228" s="14"/>
      <c r="H228" s="14"/>
      <c r="I228" s="14">
        <v>-643</v>
      </c>
      <c r="J228" s="14">
        <v>-307</v>
      </c>
      <c r="K228" s="14">
        <v>-1962</v>
      </c>
      <c r="L228" s="14"/>
      <c r="M228" s="15"/>
      <c r="N228" s="14"/>
      <c r="O228" s="14">
        <v>-267</v>
      </c>
      <c r="P228" s="14">
        <v>-512</v>
      </c>
      <c r="Q228" s="14"/>
      <c r="R228" s="14"/>
      <c r="S228" s="14"/>
      <c r="T228" s="14"/>
      <c r="U228" s="14"/>
      <c r="V228" s="14"/>
      <c r="W228" s="14"/>
      <c r="X228" s="14"/>
    </row>
    <row r="229" spans="1:24" ht="22" customHeight="1">
      <c r="A229" s="3" t="s">
        <v>575</v>
      </c>
      <c r="B229" s="1"/>
      <c r="C229" s="14"/>
      <c r="D229" s="14"/>
      <c r="E229" s="14"/>
      <c r="F229" s="14"/>
      <c r="G229" s="14"/>
      <c r="H229" s="14"/>
      <c r="I229" s="14">
        <v>-158</v>
      </c>
      <c r="J229" s="14">
        <v>-32</v>
      </c>
      <c r="K229" s="14">
        <v>113</v>
      </c>
      <c r="L229" s="14"/>
      <c r="M229" s="15"/>
      <c r="N229" s="14"/>
      <c r="O229" s="14">
        <v>42</v>
      </c>
      <c r="P229" s="14">
        <v>-24</v>
      </c>
      <c r="Q229" s="14"/>
      <c r="R229" s="14"/>
      <c r="S229" s="14"/>
      <c r="T229" s="14"/>
      <c r="U229" s="14"/>
      <c r="V229" s="14"/>
      <c r="W229" s="14"/>
      <c r="X229" s="14"/>
    </row>
    <row r="230" spans="1:24" ht="22" customHeight="1">
      <c r="A230" s="3" t="s">
        <v>576</v>
      </c>
      <c r="B230" s="1"/>
      <c r="C230" s="14"/>
      <c r="D230" s="14"/>
      <c r="E230" s="14"/>
      <c r="F230" s="14"/>
      <c r="G230" s="14"/>
      <c r="H230" s="14"/>
      <c r="I230" s="14">
        <v>389</v>
      </c>
      <c r="J230" s="14">
        <v>-358</v>
      </c>
      <c r="K230" s="14">
        <v>5</v>
      </c>
      <c r="L230" s="14"/>
      <c r="M230" s="15"/>
      <c r="N230" s="14"/>
      <c r="O230" s="14">
        <v>9</v>
      </c>
      <c r="P230" s="14">
        <v>21</v>
      </c>
      <c r="Q230" s="14"/>
      <c r="R230" s="14"/>
      <c r="S230" s="14"/>
      <c r="T230" s="14"/>
      <c r="U230" s="14"/>
      <c r="V230" s="14"/>
      <c r="W230" s="14"/>
      <c r="X230" s="14"/>
    </row>
    <row r="231" spans="1:24" ht="22" customHeight="1">
      <c r="A231" s="3" t="s">
        <v>584</v>
      </c>
      <c r="B231" s="1"/>
      <c r="C231" s="14"/>
      <c r="D231" s="14"/>
      <c r="E231" s="14"/>
      <c r="F231" s="14"/>
      <c r="G231" s="14"/>
      <c r="H231" s="14"/>
      <c r="I231" s="14">
        <v>4</v>
      </c>
      <c r="J231" s="14">
        <v>465</v>
      </c>
      <c r="K231" s="14">
        <v>-234</v>
      </c>
      <c r="L231" s="14"/>
      <c r="M231" s="15"/>
      <c r="N231" s="14"/>
      <c r="O231" s="14">
        <v>-391</v>
      </c>
      <c r="P231" s="14">
        <v>-351</v>
      </c>
      <c r="Q231" s="14"/>
      <c r="R231" s="14"/>
      <c r="S231" s="14"/>
      <c r="T231" s="14"/>
      <c r="U231" s="14"/>
      <c r="V231" s="14"/>
      <c r="W231" s="14"/>
      <c r="X231" s="14"/>
    </row>
    <row r="232" spans="1:24" ht="36" customHeight="1">
      <c r="A232" s="3" t="s">
        <v>586</v>
      </c>
      <c r="B232" s="1"/>
      <c r="C232" s="14"/>
      <c r="D232" s="14"/>
      <c r="E232" s="14"/>
      <c r="F232" s="14"/>
      <c r="G232" s="14"/>
      <c r="H232" s="14"/>
      <c r="I232" s="14"/>
      <c r="J232" s="14"/>
      <c r="K232" s="14"/>
      <c r="L232" s="14"/>
      <c r="M232" s="15"/>
      <c r="N232" s="14"/>
      <c r="O232" s="14">
        <v>-607</v>
      </c>
      <c r="P232" s="14">
        <v>-866</v>
      </c>
      <c r="Q232" s="14"/>
      <c r="R232" s="14"/>
      <c r="S232" s="14"/>
      <c r="T232" s="14"/>
      <c r="U232" s="14"/>
      <c r="V232" s="14"/>
      <c r="W232" s="14"/>
      <c r="X232" s="14"/>
    </row>
    <row r="233" spans="1:24" ht="22" customHeight="1">
      <c r="A233" s="3" t="s">
        <v>440</v>
      </c>
      <c r="B233" s="1"/>
      <c r="C233" s="14"/>
      <c r="D233" s="14"/>
      <c r="E233" s="14"/>
      <c r="F233" s="14"/>
      <c r="G233" s="14"/>
      <c r="H233" s="14"/>
      <c r="I233" s="14">
        <v>8570</v>
      </c>
      <c r="J233" s="14">
        <v>8923</v>
      </c>
      <c r="K233" s="14">
        <v>7548</v>
      </c>
      <c r="L233" s="14"/>
      <c r="M233" s="15"/>
      <c r="N233" s="14"/>
      <c r="O233" s="14">
        <v>2487</v>
      </c>
      <c r="P233" s="14">
        <v>2079</v>
      </c>
      <c r="Q233" s="14"/>
      <c r="R233" s="14"/>
      <c r="S233" s="14"/>
      <c r="T233" s="14"/>
      <c r="U233" s="14"/>
      <c r="V233" s="14"/>
      <c r="W233" s="14"/>
      <c r="X233" s="14"/>
    </row>
    <row r="234" spans="1:24" ht="36" customHeight="1">
      <c r="A234" s="3" t="s">
        <v>585</v>
      </c>
      <c r="B234" s="1"/>
      <c r="C234" s="14"/>
      <c r="D234" s="14"/>
      <c r="E234" s="14"/>
      <c r="F234" s="14"/>
      <c r="G234" s="14"/>
      <c r="H234" s="14"/>
      <c r="I234" s="14"/>
      <c r="J234" s="14"/>
      <c r="K234" s="14"/>
      <c r="L234" s="14"/>
      <c r="M234" s="15"/>
      <c r="N234" s="14"/>
      <c r="O234" s="14">
        <v>11</v>
      </c>
      <c r="P234" s="14">
        <v>15</v>
      </c>
      <c r="Q234" s="14"/>
      <c r="R234" s="14"/>
      <c r="S234" s="14"/>
      <c r="T234" s="14"/>
      <c r="U234" s="14"/>
      <c r="V234" s="14"/>
      <c r="W234" s="14"/>
      <c r="X234" s="14"/>
    </row>
    <row r="235" spans="1:24" ht="22" customHeight="1">
      <c r="A235" s="3" t="s">
        <v>580</v>
      </c>
      <c r="B235" s="1"/>
      <c r="C235" s="14"/>
      <c r="D235" s="14"/>
      <c r="E235" s="14"/>
      <c r="F235" s="14"/>
      <c r="G235" s="14"/>
      <c r="H235" s="14"/>
      <c r="I235" s="14">
        <v>8506</v>
      </c>
      <c r="J235" s="14">
        <v>8842</v>
      </c>
      <c r="K235" s="14">
        <v>7500</v>
      </c>
      <c r="L235" s="14"/>
      <c r="M235" s="15"/>
      <c r="N235" s="14"/>
      <c r="O235" s="14">
        <v>2476</v>
      </c>
      <c r="P235" s="14">
        <v>2064</v>
      </c>
      <c r="Q235" s="14"/>
      <c r="R235" s="14"/>
      <c r="S235" s="14"/>
      <c r="T235" s="14"/>
      <c r="U235" s="14"/>
      <c r="V235" s="14"/>
      <c r="W235" s="14"/>
      <c r="X235" s="14"/>
    </row>
    <row r="236" spans="1:24" ht="24" customHeight="1">
      <c r="A236" s="16" t="s">
        <v>587</v>
      </c>
      <c r="B236" s="17"/>
      <c r="C236" s="18"/>
      <c r="D236" s="18"/>
      <c r="E236" s="18"/>
      <c r="F236" s="18"/>
      <c r="G236" s="18"/>
      <c r="H236" s="18"/>
      <c r="I236" s="18">
        <v>-408</v>
      </c>
      <c r="J236" s="18">
        <v>-232</v>
      </c>
      <c r="K236" s="18">
        <v>-2078</v>
      </c>
      <c r="L236" s="18"/>
      <c r="M236" s="20"/>
      <c r="N236" s="18"/>
      <c r="O236" s="18"/>
      <c r="P236" s="18"/>
      <c r="Q236" s="18"/>
      <c r="R236" s="18"/>
      <c r="S236" s="18"/>
      <c r="T236" s="18"/>
      <c r="U236" s="18"/>
      <c r="V236" s="18"/>
      <c r="W236" s="18"/>
      <c r="X236" s="18"/>
    </row>
    <row r="237" spans="1:24" ht="36" customHeight="1">
      <c r="A237" s="3" t="s">
        <v>583</v>
      </c>
      <c r="B237" s="1"/>
      <c r="C237" s="14"/>
      <c r="D237" s="14"/>
      <c r="E237" s="14"/>
      <c r="F237" s="14"/>
      <c r="G237" s="14"/>
      <c r="H237" s="14"/>
      <c r="I237" s="14">
        <v>64</v>
      </c>
      <c r="J237" s="14">
        <v>81</v>
      </c>
      <c r="K237" s="14">
        <v>48</v>
      </c>
      <c r="L237" s="14"/>
      <c r="M237" s="15"/>
      <c r="N237" s="14"/>
      <c r="O237" s="14"/>
      <c r="P237" s="14"/>
      <c r="Q237" s="14"/>
      <c r="R237" s="14"/>
      <c r="S237" s="14"/>
      <c r="T237" s="14"/>
      <c r="U237" s="14"/>
      <c r="V237" s="14"/>
      <c r="W237" s="14"/>
      <c r="X237" s="14"/>
    </row>
    <row r="238" spans="1:24" ht="22" customHeight="1">
      <c r="A238" s="3" t="s">
        <v>574</v>
      </c>
      <c r="B238" s="1"/>
      <c r="C238" s="14"/>
      <c r="D238" s="14"/>
      <c r="E238" s="14"/>
      <c r="F238" s="14"/>
      <c r="G238" s="14"/>
      <c r="H238" s="14"/>
      <c r="I238" s="14"/>
      <c r="J238" s="14"/>
      <c r="K238" s="14"/>
      <c r="L238" s="14"/>
      <c r="M238" s="15"/>
      <c r="N238" s="14">
        <v>-182</v>
      </c>
      <c r="O238" s="14"/>
      <c r="P238" s="14"/>
      <c r="Q238" s="14"/>
      <c r="R238" s="14">
        <v>436</v>
      </c>
      <c r="S238" s="14"/>
      <c r="T238" s="14"/>
      <c r="U238" s="14"/>
      <c r="V238" s="14"/>
      <c r="W238" s="14"/>
      <c r="X238" s="14"/>
    </row>
    <row r="239" spans="1:24" ht="22" customHeight="1">
      <c r="A239" s="3" t="s">
        <v>575</v>
      </c>
      <c r="B239" s="1"/>
      <c r="C239" s="14"/>
      <c r="D239" s="14"/>
      <c r="E239" s="14"/>
      <c r="F239" s="14"/>
      <c r="G239" s="14"/>
      <c r="H239" s="14"/>
      <c r="I239" s="14"/>
      <c r="J239" s="14"/>
      <c r="K239" s="14"/>
      <c r="L239" s="14"/>
      <c r="M239" s="15"/>
      <c r="N239" s="14">
        <v>3</v>
      </c>
      <c r="O239" s="14"/>
      <c r="P239" s="14"/>
      <c r="Q239" s="14"/>
      <c r="R239" s="14">
        <v>22</v>
      </c>
      <c r="S239" s="14"/>
      <c r="T239" s="14"/>
      <c r="U239" s="14"/>
      <c r="V239" s="14"/>
      <c r="W239" s="14"/>
      <c r="X239" s="14"/>
    </row>
    <row r="240" spans="1:24" ht="22" customHeight="1">
      <c r="A240" s="3" t="s">
        <v>576</v>
      </c>
      <c r="B240" s="1"/>
      <c r="C240" s="14"/>
      <c r="D240" s="14"/>
      <c r="E240" s="14"/>
      <c r="F240" s="14"/>
      <c r="G240" s="14"/>
      <c r="H240" s="14"/>
      <c r="I240" s="14"/>
      <c r="J240" s="14"/>
      <c r="K240" s="14"/>
      <c r="L240" s="14"/>
      <c r="M240" s="15"/>
      <c r="N240" s="14">
        <v>11</v>
      </c>
      <c r="O240" s="14"/>
      <c r="P240" s="14"/>
      <c r="Q240" s="14"/>
      <c r="R240" s="14">
        <v>10</v>
      </c>
      <c r="S240" s="14"/>
      <c r="T240" s="14"/>
      <c r="U240" s="14"/>
      <c r="V240" s="14"/>
      <c r="W240" s="14"/>
      <c r="X240" s="14"/>
    </row>
    <row r="241" spans="1:24" ht="22" customHeight="1">
      <c r="A241" s="3" t="s">
        <v>584</v>
      </c>
      <c r="B241" s="1"/>
      <c r="C241" s="14"/>
      <c r="D241" s="14"/>
      <c r="E241" s="14"/>
      <c r="F241" s="14"/>
      <c r="G241" s="14"/>
      <c r="H241" s="14"/>
      <c r="I241" s="14"/>
      <c r="J241" s="14"/>
      <c r="K241" s="14"/>
      <c r="L241" s="14"/>
      <c r="M241" s="15"/>
      <c r="N241" s="14">
        <v>523</v>
      </c>
      <c r="O241" s="14"/>
      <c r="P241" s="14"/>
      <c r="Q241" s="14"/>
      <c r="R241" s="14">
        <v>66</v>
      </c>
      <c r="S241" s="14"/>
      <c r="T241" s="14"/>
      <c r="U241" s="14"/>
      <c r="V241" s="14"/>
      <c r="W241" s="14"/>
      <c r="X241" s="14"/>
    </row>
    <row r="242" spans="1:24" ht="24" customHeight="1">
      <c r="A242" s="16" t="s">
        <v>588</v>
      </c>
      <c r="B242" s="17"/>
      <c r="C242" s="18"/>
      <c r="D242" s="18"/>
      <c r="E242" s="18"/>
      <c r="F242" s="18"/>
      <c r="G242" s="18"/>
      <c r="H242" s="18"/>
      <c r="I242" s="18"/>
      <c r="J242" s="18"/>
      <c r="K242" s="18"/>
      <c r="L242" s="18"/>
      <c r="M242" s="20"/>
      <c r="N242" s="18">
        <v>355</v>
      </c>
      <c r="O242" s="18"/>
      <c r="P242" s="18"/>
      <c r="Q242" s="18"/>
      <c r="R242" s="18">
        <v>534</v>
      </c>
      <c r="S242" s="18"/>
      <c r="T242" s="18"/>
      <c r="U242" s="18"/>
      <c r="V242" s="18"/>
      <c r="W242" s="18"/>
      <c r="X242" s="18"/>
    </row>
    <row r="243" spans="1:24" ht="22" customHeight="1">
      <c r="A243" s="3" t="s">
        <v>440</v>
      </c>
      <c r="B243" s="1"/>
      <c r="C243" s="14"/>
      <c r="D243" s="14"/>
      <c r="E243" s="14"/>
      <c r="F243" s="14"/>
      <c r="G243" s="14"/>
      <c r="H243" s="14"/>
      <c r="I243" s="14"/>
      <c r="J243" s="14"/>
      <c r="K243" s="14"/>
      <c r="L243" s="14"/>
      <c r="M243" s="15"/>
      <c r="N243" s="14">
        <v>2408</v>
      </c>
      <c r="O243" s="14"/>
      <c r="P243" s="14"/>
      <c r="Q243" s="14"/>
      <c r="R243" s="14">
        <v>2377</v>
      </c>
      <c r="S243" s="14"/>
      <c r="T243" s="14"/>
      <c r="U243" s="14"/>
      <c r="V243" s="14"/>
      <c r="W243" s="14"/>
      <c r="X243" s="14"/>
    </row>
    <row r="244" spans="1:24" ht="36" customHeight="1">
      <c r="A244" s="3" t="s">
        <v>585</v>
      </c>
      <c r="B244" s="1"/>
      <c r="C244" s="14"/>
      <c r="D244" s="14"/>
      <c r="E244" s="14"/>
      <c r="F244" s="14"/>
      <c r="G244" s="14"/>
      <c r="H244" s="14"/>
      <c r="I244" s="14"/>
      <c r="J244" s="14"/>
      <c r="K244" s="14"/>
      <c r="L244" s="14"/>
      <c r="M244" s="15"/>
      <c r="N244" s="14">
        <v>11</v>
      </c>
      <c r="O244" s="14"/>
      <c r="P244" s="14"/>
      <c r="Q244" s="14"/>
      <c r="R244" s="14">
        <v>9</v>
      </c>
      <c r="S244" s="14"/>
      <c r="T244" s="14"/>
      <c r="U244" s="14"/>
      <c r="V244" s="14"/>
      <c r="W244" s="14"/>
      <c r="X244" s="14"/>
    </row>
    <row r="245" spans="1:24" ht="22" customHeight="1">
      <c r="A245" s="3" t="s">
        <v>580</v>
      </c>
      <c r="B245" s="1"/>
      <c r="C245" s="14"/>
      <c r="D245" s="14"/>
      <c r="E245" s="14"/>
      <c r="F245" s="14"/>
      <c r="G245" s="14"/>
      <c r="H245" s="14"/>
      <c r="I245" s="14"/>
      <c r="J245" s="14"/>
      <c r="K245" s="14"/>
      <c r="L245" s="14"/>
      <c r="M245" s="15"/>
      <c r="N245" s="14">
        <v>2397</v>
      </c>
      <c r="O245" s="14"/>
      <c r="P245" s="14"/>
      <c r="Q245" s="14"/>
      <c r="R245" s="14">
        <v>2368</v>
      </c>
      <c r="S245" s="14"/>
      <c r="T245" s="14"/>
      <c r="U245" s="14"/>
      <c r="V245" s="14"/>
      <c r="W245" s="14"/>
      <c r="X245" s="14"/>
    </row>
    <row r="246" spans="1:24" ht="24" customHeight="1">
      <c r="A246" s="16" t="s">
        <v>589</v>
      </c>
      <c r="B246" s="17"/>
      <c r="C246" s="18"/>
      <c r="D246" s="18"/>
      <c r="E246" s="18"/>
      <c r="F246" s="18"/>
      <c r="G246" s="18"/>
      <c r="H246" s="18"/>
      <c r="I246" s="18"/>
      <c r="J246" s="18">
        <v>-232</v>
      </c>
      <c r="K246" s="18">
        <v>-2078</v>
      </c>
      <c r="L246" s="18">
        <v>2588</v>
      </c>
      <c r="M246" s="20"/>
      <c r="N246" s="18"/>
      <c r="O246" s="18">
        <v>-607</v>
      </c>
      <c r="P246" s="18">
        <v>-866</v>
      </c>
      <c r="Q246" s="18"/>
      <c r="R246" s="18"/>
      <c r="S246" s="18">
        <v>988</v>
      </c>
      <c r="T246" s="18">
        <v>493</v>
      </c>
      <c r="U246" s="18"/>
      <c r="V246" s="18"/>
      <c r="W246" s="18"/>
      <c r="X246" s="18"/>
    </row>
    <row r="247" spans="1:24" ht="24" customHeight="1">
      <c r="A247" s="16" t="s">
        <v>588</v>
      </c>
      <c r="B247" s="17"/>
      <c r="C247" s="18"/>
      <c r="D247" s="18"/>
      <c r="E247" s="18"/>
      <c r="F247" s="18"/>
      <c r="G247" s="18"/>
      <c r="H247" s="18"/>
      <c r="I247" s="18"/>
      <c r="J247" s="18"/>
      <c r="K247" s="18"/>
      <c r="L247" s="18"/>
      <c r="M247" s="20"/>
      <c r="N247" s="18"/>
      <c r="O247" s="18"/>
      <c r="P247" s="18"/>
      <c r="Q247" s="18"/>
      <c r="R247" s="18">
        <v>534</v>
      </c>
      <c r="S247" s="18"/>
      <c r="T247" s="18"/>
      <c r="U247" s="18"/>
      <c r="V247" s="18">
        <v>682</v>
      </c>
      <c r="W247" s="18"/>
      <c r="X247" s="18"/>
    </row>
    <row r="248" spans="1:24" ht="24" customHeight="1">
      <c r="A248" s="16" t="s">
        <v>590</v>
      </c>
      <c r="B248" s="17"/>
      <c r="C248" s="18"/>
      <c r="D248" s="18"/>
      <c r="E248" s="18"/>
      <c r="F248" s="18"/>
      <c r="G248" s="18"/>
      <c r="H248" s="18"/>
      <c r="I248" s="18"/>
      <c r="J248" s="18"/>
      <c r="K248" s="18"/>
      <c r="L248" s="18"/>
      <c r="M248" s="20"/>
      <c r="N248" s="18"/>
      <c r="O248" s="18"/>
      <c r="P248" s="18"/>
      <c r="Q248" s="18"/>
      <c r="R248" s="18"/>
      <c r="S248" s="18">
        <v>988</v>
      </c>
      <c r="T248" s="18">
        <v>493</v>
      </c>
      <c r="U248" s="18"/>
      <c r="V248" s="18"/>
      <c r="W248" s="18">
        <v>-1</v>
      </c>
      <c r="X248" s="18">
        <v>-644</v>
      </c>
    </row>
    <row r="249" spans="1:24" ht="22" customHeight="1">
      <c r="A249" s="3"/>
      <c r="B249" s="1"/>
      <c r="C249" s="2"/>
      <c r="D249" s="2"/>
      <c r="E249" s="2"/>
      <c r="F249" s="2"/>
      <c r="G249" s="2"/>
      <c r="H249" s="2"/>
      <c r="I249" s="2"/>
      <c r="J249" s="2"/>
      <c r="K249" s="2"/>
      <c r="L249" s="2"/>
      <c r="M249" s="2"/>
      <c r="N249" s="2"/>
      <c r="O249" s="2"/>
      <c r="P249" s="2"/>
      <c r="Q249" s="2"/>
      <c r="R249" s="2"/>
      <c r="S249" s="2"/>
      <c r="T249" s="2"/>
      <c r="U249" s="2"/>
      <c r="V249" s="2"/>
      <c r="W249" s="2"/>
      <c r="X249" s="2"/>
    </row>
    <row r="250" spans="1:24" ht="22" customHeight="1">
      <c r="A250" s="174" t="s">
        <v>441</v>
      </c>
      <c r="B250" s="174"/>
      <c r="C250" s="175"/>
      <c r="D250" s="175"/>
      <c r="E250" s="175"/>
      <c r="F250" s="175"/>
      <c r="G250" s="175"/>
      <c r="H250" s="175"/>
      <c r="I250" s="175"/>
      <c r="J250" s="175"/>
      <c r="K250" s="175"/>
      <c r="L250" s="175"/>
      <c r="M250" s="175"/>
      <c r="N250" s="175"/>
      <c r="O250" s="175"/>
      <c r="P250" s="175"/>
      <c r="Q250" s="175"/>
      <c r="R250" s="175"/>
      <c r="S250" s="175"/>
      <c r="T250" s="175"/>
      <c r="U250" s="175"/>
      <c r="V250" s="175"/>
      <c r="W250" s="175"/>
      <c r="X250" s="175"/>
    </row>
    <row r="251" spans="1:24" ht="18" customHeight="1">
      <c r="A251" s="163" t="s">
        <v>591</v>
      </c>
      <c r="B251" s="16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row>
    <row r="252" spans="1:24" ht="22" customHeight="1">
      <c r="A252" s="3" t="s">
        <v>233</v>
      </c>
      <c r="B252" s="1"/>
      <c r="C252" s="14"/>
      <c r="D252" s="14"/>
      <c r="E252" s="14"/>
      <c r="F252" s="14"/>
      <c r="G252" s="14"/>
      <c r="H252" s="14"/>
      <c r="I252" s="14"/>
      <c r="J252" s="14"/>
      <c r="K252" s="14"/>
      <c r="L252" s="14"/>
      <c r="M252" s="15"/>
      <c r="N252" s="14"/>
      <c r="O252" s="14">
        <v>5147</v>
      </c>
      <c r="P252" s="14">
        <v>8092</v>
      </c>
      <c r="Q252" s="14"/>
      <c r="R252" s="14"/>
      <c r="S252" s="14">
        <v>3122</v>
      </c>
      <c r="T252" s="14">
        <v>5740</v>
      </c>
      <c r="U252" s="14"/>
      <c r="V252" s="14"/>
      <c r="W252" s="14">
        <v>5342</v>
      </c>
      <c r="X252" s="14">
        <v>8412</v>
      </c>
    </row>
    <row r="253" spans="1:24" ht="22" customHeight="1">
      <c r="A253" s="3" t="s">
        <v>574</v>
      </c>
      <c r="B253" s="1"/>
      <c r="C253" s="14"/>
      <c r="D253" s="14"/>
      <c r="E253" s="14"/>
      <c r="F253" s="14"/>
      <c r="G253" s="14"/>
      <c r="H253" s="14"/>
      <c r="I253" s="14"/>
      <c r="J253" s="14"/>
      <c r="K253" s="14"/>
      <c r="L253" s="14"/>
      <c r="M253" s="15"/>
      <c r="N253" s="14"/>
      <c r="O253" s="14">
        <v>-449</v>
      </c>
      <c r="P253" s="14">
        <v>-961</v>
      </c>
      <c r="Q253" s="14"/>
      <c r="R253" s="14"/>
      <c r="S253" s="14"/>
      <c r="T253" s="14"/>
      <c r="U253" s="14"/>
      <c r="V253" s="14"/>
      <c r="W253" s="14"/>
      <c r="X253" s="14"/>
    </row>
    <row r="254" spans="1:24" ht="22" customHeight="1">
      <c r="A254" s="3" t="s">
        <v>575</v>
      </c>
      <c r="B254" s="1"/>
      <c r="C254" s="14"/>
      <c r="D254" s="14"/>
      <c r="E254" s="14"/>
      <c r="F254" s="14"/>
      <c r="G254" s="14"/>
      <c r="H254" s="14"/>
      <c r="I254" s="14"/>
      <c r="J254" s="14"/>
      <c r="K254" s="14"/>
      <c r="L254" s="14"/>
      <c r="M254" s="15"/>
      <c r="N254" s="14"/>
      <c r="O254" s="14">
        <v>45</v>
      </c>
      <c r="P254" s="14">
        <v>21</v>
      </c>
      <c r="Q254" s="14"/>
      <c r="R254" s="14"/>
      <c r="S254" s="14"/>
      <c r="T254" s="14"/>
      <c r="U254" s="14"/>
      <c r="V254" s="14"/>
      <c r="W254" s="14"/>
      <c r="X254" s="14"/>
    </row>
    <row r="255" spans="1:24" ht="22" customHeight="1">
      <c r="A255" s="3" t="s">
        <v>576</v>
      </c>
      <c r="B255" s="1"/>
      <c r="C255" s="14"/>
      <c r="D255" s="14"/>
      <c r="E255" s="14"/>
      <c r="F255" s="14"/>
      <c r="G255" s="14"/>
      <c r="H255" s="14"/>
      <c r="I255" s="14"/>
      <c r="J255" s="14"/>
      <c r="K255" s="14"/>
      <c r="L255" s="14"/>
      <c r="M255" s="15"/>
      <c r="N255" s="14"/>
      <c r="O255" s="14">
        <v>20</v>
      </c>
      <c r="P255" s="14">
        <v>41</v>
      </c>
      <c r="Q255" s="14"/>
      <c r="R255" s="14"/>
      <c r="S255" s="14"/>
      <c r="T255" s="14"/>
      <c r="U255" s="14"/>
      <c r="V255" s="14"/>
      <c r="W255" s="14"/>
      <c r="X255" s="14"/>
    </row>
    <row r="256" spans="1:24" ht="22" customHeight="1">
      <c r="A256" s="3" t="s">
        <v>584</v>
      </c>
      <c r="B256" s="1"/>
      <c r="C256" s="14"/>
      <c r="D256" s="14"/>
      <c r="E256" s="14"/>
      <c r="F256" s="14"/>
      <c r="G256" s="14"/>
      <c r="H256" s="14"/>
      <c r="I256" s="14"/>
      <c r="J256" s="14"/>
      <c r="K256" s="14"/>
      <c r="L256" s="14"/>
      <c r="M256" s="15"/>
      <c r="N256" s="14"/>
      <c r="O256" s="14">
        <v>132</v>
      </c>
      <c r="P256" s="14">
        <v>-219</v>
      </c>
      <c r="Q256" s="14"/>
      <c r="R256" s="14"/>
      <c r="S256" s="14"/>
      <c r="T256" s="14"/>
      <c r="U256" s="14"/>
      <c r="V256" s="14"/>
      <c r="W256" s="14"/>
      <c r="X256" s="14"/>
    </row>
    <row r="257" spans="1:24" ht="36" customHeight="1">
      <c r="A257" s="3" t="s">
        <v>586</v>
      </c>
      <c r="B257" s="1"/>
      <c r="C257" s="14"/>
      <c r="D257" s="14"/>
      <c r="E257" s="14"/>
      <c r="F257" s="14"/>
      <c r="G257" s="14"/>
      <c r="H257" s="14"/>
      <c r="I257" s="14"/>
      <c r="J257" s="14"/>
      <c r="K257" s="14"/>
      <c r="L257" s="14"/>
      <c r="M257" s="15"/>
      <c r="N257" s="14"/>
      <c r="O257" s="14">
        <v>-252</v>
      </c>
      <c r="P257" s="14">
        <v>-1118</v>
      </c>
      <c r="Q257" s="14"/>
      <c r="R257" s="14"/>
      <c r="S257" s="14"/>
      <c r="T257" s="14"/>
      <c r="U257" s="14"/>
      <c r="V257" s="14"/>
      <c r="W257" s="14"/>
      <c r="X257" s="14"/>
    </row>
    <row r="258" spans="1:24" ht="22" customHeight="1">
      <c r="A258" s="3" t="s">
        <v>440</v>
      </c>
      <c r="B258" s="1"/>
      <c r="C258" s="14"/>
      <c r="D258" s="14"/>
      <c r="E258" s="14"/>
      <c r="F258" s="14"/>
      <c r="G258" s="14"/>
      <c r="H258" s="14"/>
      <c r="I258" s="14"/>
      <c r="J258" s="14"/>
      <c r="K258" s="14"/>
      <c r="L258" s="14"/>
      <c r="M258" s="15"/>
      <c r="N258" s="14"/>
      <c r="O258" s="14">
        <v>4895</v>
      </c>
      <c r="P258" s="14">
        <v>6974</v>
      </c>
      <c r="Q258" s="14"/>
      <c r="R258" s="14"/>
      <c r="S258" s="14"/>
      <c r="T258" s="14"/>
      <c r="U258" s="14"/>
      <c r="V258" s="14"/>
      <c r="W258" s="14"/>
      <c r="X258" s="14"/>
    </row>
    <row r="259" spans="1:24" ht="36" customHeight="1">
      <c r="A259" s="3" t="s">
        <v>585</v>
      </c>
      <c r="B259" s="1"/>
      <c r="C259" s="14"/>
      <c r="D259" s="14"/>
      <c r="E259" s="14"/>
      <c r="F259" s="14"/>
      <c r="G259" s="14"/>
      <c r="H259" s="14"/>
      <c r="I259" s="14"/>
      <c r="J259" s="14"/>
      <c r="K259" s="14"/>
      <c r="L259" s="14"/>
      <c r="M259" s="15"/>
      <c r="N259" s="14"/>
      <c r="O259" s="14">
        <v>22</v>
      </c>
      <c r="P259" s="14">
        <v>37</v>
      </c>
      <c r="Q259" s="14"/>
      <c r="R259" s="14"/>
      <c r="S259" s="14"/>
      <c r="T259" s="14"/>
      <c r="U259" s="14"/>
      <c r="V259" s="14"/>
      <c r="W259" s="14"/>
      <c r="X259" s="14"/>
    </row>
    <row r="260" spans="1:24" ht="22" customHeight="1">
      <c r="A260" s="3" t="s">
        <v>580</v>
      </c>
      <c r="B260" s="1"/>
      <c r="C260" s="14"/>
      <c r="D260" s="14"/>
      <c r="E260" s="14"/>
      <c r="F260" s="14"/>
      <c r="G260" s="14"/>
      <c r="H260" s="14"/>
      <c r="I260" s="14"/>
      <c r="J260" s="14"/>
      <c r="K260" s="14"/>
      <c r="L260" s="14"/>
      <c r="M260" s="15"/>
      <c r="N260" s="14"/>
      <c r="O260" s="14">
        <v>4873</v>
      </c>
      <c r="P260" s="14">
        <v>6937</v>
      </c>
      <c r="Q260" s="14"/>
      <c r="R260" s="14"/>
      <c r="S260" s="14"/>
      <c r="T260" s="14"/>
      <c r="U260" s="14"/>
      <c r="V260" s="14"/>
      <c r="W260" s="14"/>
      <c r="X260" s="14"/>
    </row>
    <row r="261" spans="1:24" ht="22" customHeight="1">
      <c r="A261" s="3" t="s">
        <v>574</v>
      </c>
      <c r="B261" s="1"/>
      <c r="C261" s="14"/>
      <c r="D261" s="14"/>
      <c r="E261" s="14"/>
      <c r="F261" s="14"/>
      <c r="G261" s="14"/>
      <c r="H261" s="14"/>
      <c r="I261" s="14"/>
      <c r="J261" s="14"/>
      <c r="K261" s="14"/>
      <c r="L261" s="14"/>
      <c r="M261" s="15"/>
      <c r="N261" s="14"/>
      <c r="O261" s="14">
        <v>-449</v>
      </c>
      <c r="P261" s="14">
        <v>-961</v>
      </c>
      <c r="Q261" s="14"/>
      <c r="R261" s="14"/>
      <c r="S261" s="14">
        <v>1397</v>
      </c>
      <c r="T261" s="14">
        <v>1436</v>
      </c>
      <c r="U261" s="14"/>
      <c r="V261" s="14"/>
      <c r="W261" s="14"/>
      <c r="X261" s="14"/>
    </row>
    <row r="262" spans="1:24" ht="22" customHeight="1">
      <c r="A262" s="3" t="s">
        <v>575</v>
      </c>
      <c r="B262" s="1"/>
      <c r="C262" s="14"/>
      <c r="D262" s="14"/>
      <c r="E262" s="14"/>
      <c r="F262" s="14"/>
      <c r="G262" s="14"/>
      <c r="H262" s="14"/>
      <c r="I262" s="14"/>
      <c r="J262" s="14"/>
      <c r="K262" s="14"/>
      <c r="L262" s="14"/>
      <c r="M262" s="15"/>
      <c r="N262" s="14"/>
      <c r="O262" s="14">
        <v>45</v>
      </c>
      <c r="P262" s="14">
        <v>21</v>
      </c>
      <c r="Q262" s="14"/>
      <c r="R262" s="14"/>
      <c r="S262" s="14">
        <v>4</v>
      </c>
      <c r="T262" s="14">
        <v>27</v>
      </c>
      <c r="U262" s="14"/>
      <c r="V262" s="14"/>
      <c r="W262" s="14"/>
      <c r="X262" s="14"/>
    </row>
    <row r="263" spans="1:24" ht="22" customHeight="1">
      <c r="A263" s="3" t="s">
        <v>576</v>
      </c>
      <c r="B263" s="1"/>
      <c r="C263" s="14"/>
      <c r="D263" s="14"/>
      <c r="E263" s="14"/>
      <c r="F263" s="14"/>
      <c r="G263" s="14"/>
      <c r="H263" s="14"/>
      <c r="I263" s="14"/>
      <c r="J263" s="14"/>
      <c r="K263" s="14"/>
      <c r="L263" s="14"/>
      <c r="M263" s="15"/>
      <c r="N263" s="14"/>
      <c r="O263" s="14">
        <v>20</v>
      </c>
      <c r="P263" s="14">
        <v>41</v>
      </c>
      <c r="Q263" s="14"/>
      <c r="R263" s="14"/>
      <c r="S263" s="14">
        <v>-9</v>
      </c>
      <c r="T263" s="14">
        <v>12</v>
      </c>
      <c r="U263" s="14"/>
      <c r="V263" s="14"/>
      <c r="W263" s="14"/>
      <c r="X263" s="14"/>
    </row>
    <row r="264" spans="1:24" ht="22" customHeight="1">
      <c r="A264" s="3" t="s">
        <v>584</v>
      </c>
      <c r="B264" s="1"/>
      <c r="C264" s="14"/>
      <c r="D264" s="14"/>
      <c r="E264" s="14"/>
      <c r="F264" s="14"/>
      <c r="G264" s="14"/>
      <c r="H264" s="14"/>
      <c r="I264" s="14"/>
      <c r="J264" s="14"/>
      <c r="K264" s="14"/>
      <c r="L264" s="14"/>
      <c r="M264" s="15"/>
      <c r="N264" s="14"/>
      <c r="O264" s="14">
        <v>132</v>
      </c>
      <c r="P264" s="14">
        <v>-219</v>
      </c>
      <c r="Q264" s="14"/>
      <c r="R264" s="14"/>
      <c r="S264" s="14">
        <v>130</v>
      </c>
      <c r="T264" s="14">
        <v>540</v>
      </c>
      <c r="U264" s="14"/>
      <c r="V264" s="14"/>
      <c r="W264" s="14"/>
      <c r="X264" s="14"/>
    </row>
    <row r="265" spans="1:24" ht="24" customHeight="1">
      <c r="A265" s="16" t="s">
        <v>589</v>
      </c>
      <c r="B265" s="17"/>
      <c r="C265" s="18"/>
      <c r="D265" s="18"/>
      <c r="E265" s="18"/>
      <c r="F265" s="18"/>
      <c r="G265" s="18"/>
      <c r="H265" s="18"/>
      <c r="I265" s="18"/>
      <c r="J265" s="18"/>
      <c r="K265" s="18"/>
      <c r="L265" s="18"/>
      <c r="M265" s="20"/>
      <c r="N265" s="18"/>
      <c r="O265" s="18">
        <v>-252</v>
      </c>
      <c r="P265" s="18">
        <v>-1118</v>
      </c>
      <c r="Q265" s="18"/>
      <c r="R265" s="18"/>
      <c r="S265" s="18">
        <v>1522</v>
      </c>
      <c r="T265" s="18">
        <v>2015</v>
      </c>
      <c r="U265" s="18"/>
      <c r="V265" s="18"/>
      <c r="W265" s="18"/>
      <c r="X265" s="18"/>
    </row>
    <row r="266" spans="1:24" ht="22" customHeight="1">
      <c r="A266" s="3" t="s">
        <v>440</v>
      </c>
      <c r="B266" s="1"/>
      <c r="C266" s="14"/>
      <c r="D266" s="14"/>
      <c r="E266" s="14"/>
      <c r="F266" s="14"/>
      <c r="G266" s="14"/>
      <c r="H266" s="14"/>
      <c r="I266" s="14"/>
      <c r="J266" s="14"/>
      <c r="K266" s="14"/>
      <c r="L266" s="14"/>
      <c r="M266" s="15"/>
      <c r="N266" s="14"/>
      <c r="O266" s="14">
        <v>4895</v>
      </c>
      <c r="P266" s="14">
        <v>6974</v>
      </c>
      <c r="Q266" s="14"/>
      <c r="R266" s="14"/>
      <c r="S266" s="14">
        <v>4644</v>
      </c>
      <c r="T266" s="14">
        <v>7755</v>
      </c>
      <c r="U266" s="14"/>
      <c r="V266" s="14"/>
      <c r="W266" s="14"/>
      <c r="X266" s="14"/>
    </row>
    <row r="267" spans="1:24" ht="36" customHeight="1">
      <c r="A267" s="3" t="s">
        <v>585</v>
      </c>
      <c r="B267" s="1"/>
      <c r="C267" s="14"/>
      <c r="D267" s="14"/>
      <c r="E267" s="14"/>
      <c r="F267" s="14"/>
      <c r="G267" s="14"/>
      <c r="H267" s="14"/>
      <c r="I267" s="14"/>
      <c r="J267" s="14"/>
      <c r="K267" s="14"/>
      <c r="L267" s="14"/>
      <c r="M267" s="15"/>
      <c r="N267" s="14"/>
      <c r="O267" s="14">
        <v>22</v>
      </c>
      <c r="P267" s="14">
        <v>37</v>
      </c>
      <c r="Q267" s="14"/>
      <c r="R267" s="14"/>
      <c r="S267" s="14">
        <v>25</v>
      </c>
      <c r="T267" s="14">
        <v>40</v>
      </c>
      <c r="U267" s="14"/>
      <c r="V267" s="14"/>
      <c r="W267" s="14"/>
      <c r="X267" s="14"/>
    </row>
    <row r="268" spans="1:24" ht="22" customHeight="1">
      <c r="A268" s="3" t="s">
        <v>580</v>
      </c>
      <c r="B268" s="1"/>
      <c r="C268" s="14"/>
      <c r="D268" s="14"/>
      <c r="E268" s="14"/>
      <c r="F268" s="14"/>
      <c r="G268" s="14"/>
      <c r="H268" s="14"/>
      <c r="I268" s="14"/>
      <c r="J268" s="14"/>
      <c r="K268" s="14"/>
      <c r="L268" s="14"/>
      <c r="M268" s="15"/>
      <c r="N268" s="14"/>
      <c r="O268" s="14">
        <v>4873</v>
      </c>
      <c r="P268" s="14">
        <v>6937</v>
      </c>
      <c r="Q268" s="14"/>
      <c r="R268" s="14"/>
      <c r="S268" s="14">
        <v>4619</v>
      </c>
      <c r="T268" s="14">
        <v>7715</v>
      </c>
      <c r="U268" s="14"/>
      <c r="V268" s="14"/>
      <c r="W268" s="14"/>
      <c r="X268" s="14"/>
    </row>
    <row r="269" spans="1:24" ht="22" customHeight="1">
      <c r="A269" s="3" t="s">
        <v>574</v>
      </c>
      <c r="B269" s="1"/>
      <c r="C269" s="14"/>
      <c r="D269" s="14"/>
      <c r="E269" s="14"/>
      <c r="F269" s="14"/>
      <c r="G269" s="14"/>
      <c r="H269" s="14"/>
      <c r="I269" s="14"/>
      <c r="J269" s="14"/>
      <c r="K269" s="14"/>
      <c r="L269" s="14"/>
      <c r="M269" s="15"/>
      <c r="N269" s="14"/>
      <c r="O269" s="14"/>
      <c r="P269" s="14"/>
      <c r="Q269" s="14"/>
      <c r="R269" s="14"/>
      <c r="S269" s="14">
        <v>1397</v>
      </c>
      <c r="T269" s="14">
        <v>1436</v>
      </c>
      <c r="U269" s="14"/>
      <c r="V269" s="14"/>
      <c r="W269" s="14">
        <v>874</v>
      </c>
      <c r="X269" s="14">
        <v>16</v>
      </c>
    </row>
    <row r="270" spans="1:24" ht="22" customHeight="1">
      <c r="A270" s="3" t="s">
        <v>575</v>
      </c>
      <c r="B270" s="1"/>
      <c r="C270" s="14"/>
      <c r="D270" s="14"/>
      <c r="E270" s="14"/>
      <c r="F270" s="14"/>
      <c r="G270" s="14"/>
      <c r="H270" s="14"/>
      <c r="I270" s="14"/>
      <c r="J270" s="14"/>
      <c r="K270" s="14"/>
      <c r="L270" s="14"/>
      <c r="M270" s="15"/>
      <c r="N270" s="14"/>
      <c r="O270" s="14"/>
      <c r="P270" s="14"/>
      <c r="Q270" s="14"/>
      <c r="R270" s="14"/>
      <c r="S270" s="14">
        <v>4</v>
      </c>
      <c r="T270" s="14">
        <v>27</v>
      </c>
      <c r="U270" s="14"/>
      <c r="V270" s="14"/>
      <c r="W270" s="14">
        <v>95</v>
      </c>
      <c r="X270" s="14">
        <v>54</v>
      </c>
    </row>
    <row r="271" spans="1:24" ht="22" customHeight="1">
      <c r="A271" s="3" t="s">
        <v>576</v>
      </c>
      <c r="B271" s="1"/>
      <c r="C271" s="14"/>
      <c r="D271" s="14"/>
      <c r="E271" s="14"/>
      <c r="F271" s="14"/>
      <c r="G271" s="14"/>
      <c r="H271" s="14"/>
      <c r="I271" s="14"/>
      <c r="J271" s="14"/>
      <c r="K271" s="14"/>
      <c r="L271" s="14"/>
      <c r="M271" s="15"/>
      <c r="N271" s="14"/>
      <c r="O271" s="14"/>
      <c r="P271" s="14"/>
      <c r="Q271" s="14"/>
      <c r="R271" s="14"/>
      <c r="S271" s="14">
        <v>-9</v>
      </c>
      <c r="T271" s="14">
        <v>12</v>
      </c>
      <c r="U271" s="14"/>
      <c r="V271" s="14"/>
      <c r="W271" s="14">
        <v>27</v>
      </c>
      <c r="X271" s="14">
        <v>230</v>
      </c>
    </row>
    <row r="272" spans="1:24" ht="22" customHeight="1">
      <c r="A272" s="3" t="s">
        <v>584</v>
      </c>
      <c r="B272" s="1"/>
      <c r="C272" s="14"/>
      <c r="D272" s="14"/>
      <c r="E272" s="14"/>
      <c r="F272" s="14"/>
      <c r="G272" s="14"/>
      <c r="H272" s="14"/>
      <c r="I272" s="14"/>
      <c r="J272" s="14"/>
      <c r="K272" s="14"/>
      <c r="L272" s="14"/>
      <c r="M272" s="15"/>
      <c r="N272" s="14"/>
      <c r="O272" s="14"/>
      <c r="P272" s="14"/>
      <c r="Q272" s="14"/>
      <c r="R272" s="14"/>
      <c r="S272" s="14">
        <v>130</v>
      </c>
      <c r="T272" s="14">
        <v>540</v>
      </c>
      <c r="U272" s="14"/>
      <c r="V272" s="14"/>
      <c r="W272" s="14">
        <v>-315</v>
      </c>
      <c r="X272" s="14">
        <v>-263</v>
      </c>
    </row>
    <row r="273" spans="1:24" ht="24" customHeight="1">
      <c r="A273" s="16" t="s">
        <v>590</v>
      </c>
      <c r="B273" s="17"/>
      <c r="C273" s="18"/>
      <c r="D273" s="18"/>
      <c r="E273" s="18"/>
      <c r="F273" s="18"/>
      <c r="G273" s="18"/>
      <c r="H273" s="18"/>
      <c r="I273" s="18"/>
      <c r="J273" s="18"/>
      <c r="K273" s="18"/>
      <c r="L273" s="18"/>
      <c r="M273" s="20"/>
      <c r="N273" s="18"/>
      <c r="O273" s="18"/>
      <c r="P273" s="18"/>
      <c r="Q273" s="18"/>
      <c r="R273" s="18"/>
      <c r="S273" s="18">
        <v>1522</v>
      </c>
      <c r="T273" s="18">
        <v>2015</v>
      </c>
      <c r="U273" s="18"/>
      <c r="V273" s="18"/>
      <c r="W273" s="18">
        <v>681</v>
      </c>
      <c r="X273" s="18">
        <v>37</v>
      </c>
    </row>
    <row r="274" spans="1:24" ht="22" customHeight="1">
      <c r="A274" s="3" t="s">
        <v>440</v>
      </c>
      <c r="B274" s="1"/>
      <c r="C274" s="14"/>
      <c r="D274" s="14"/>
      <c r="E274" s="14"/>
      <c r="F274" s="14"/>
      <c r="G274" s="14"/>
      <c r="H274" s="14"/>
      <c r="I274" s="14"/>
      <c r="J274" s="14"/>
      <c r="K274" s="14"/>
      <c r="L274" s="14"/>
      <c r="M274" s="15"/>
      <c r="N274" s="14"/>
      <c r="O274" s="14"/>
      <c r="P274" s="14"/>
      <c r="Q274" s="14"/>
      <c r="R274" s="14"/>
      <c r="S274" s="14">
        <v>4644</v>
      </c>
      <c r="T274" s="14">
        <v>7755</v>
      </c>
      <c r="U274" s="14"/>
      <c r="V274" s="14"/>
      <c r="W274" s="14">
        <v>6023</v>
      </c>
      <c r="X274" s="14">
        <v>8449</v>
      </c>
    </row>
    <row r="275" spans="1:24" ht="36" customHeight="1">
      <c r="A275" s="3" t="s">
        <v>583</v>
      </c>
      <c r="B275" s="1"/>
      <c r="C275" s="14"/>
      <c r="D275" s="14"/>
      <c r="E275" s="14"/>
      <c r="F275" s="14"/>
      <c r="G275" s="14"/>
      <c r="H275" s="14"/>
      <c r="I275" s="14"/>
      <c r="J275" s="14"/>
      <c r="K275" s="14"/>
      <c r="L275" s="14"/>
      <c r="M275" s="15"/>
      <c r="N275" s="14"/>
      <c r="O275" s="14"/>
      <c r="P275" s="14"/>
      <c r="Q275" s="14"/>
      <c r="R275" s="14"/>
      <c r="S275" s="14">
        <v>25</v>
      </c>
      <c r="T275" s="14">
        <v>40</v>
      </c>
      <c r="U275" s="14"/>
      <c r="V275" s="14"/>
      <c r="W275" s="14">
        <v>34</v>
      </c>
      <c r="X275" s="14">
        <v>56</v>
      </c>
    </row>
    <row r="276" spans="1:24" ht="22" customHeight="1">
      <c r="A276" s="3" t="s">
        <v>580</v>
      </c>
      <c r="B276" s="1"/>
      <c r="C276" s="14"/>
      <c r="D276" s="14"/>
      <c r="E276" s="14"/>
      <c r="F276" s="14"/>
      <c r="G276" s="14"/>
      <c r="H276" s="14"/>
      <c r="I276" s="14"/>
      <c r="J276" s="14"/>
      <c r="K276" s="14"/>
      <c r="L276" s="14"/>
      <c r="M276" s="15"/>
      <c r="N276" s="14"/>
      <c r="O276" s="14"/>
      <c r="P276" s="14"/>
      <c r="Q276" s="14"/>
      <c r="R276" s="14"/>
      <c r="S276" s="14">
        <v>4619</v>
      </c>
      <c r="T276" s="14">
        <v>7715</v>
      </c>
      <c r="U276" s="14"/>
      <c r="V276" s="14"/>
      <c r="W276" s="14">
        <v>5989</v>
      </c>
      <c r="X276" s="14">
        <v>8393</v>
      </c>
    </row>
    <row r="277" spans="1:24" ht="22" customHeight="1">
      <c r="A277" s="3"/>
      <c r="B277" s="1"/>
      <c r="C277" s="2"/>
      <c r="D277" s="2"/>
      <c r="E277" s="2"/>
      <c r="F277" s="2"/>
      <c r="G277" s="2"/>
      <c r="H277" s="2"/>
      <c r="I277" s="2"/>
      <c r="J277" s="2"/>
      <c r="K277" s="2"/>
      <c r="L277" s="2"/>
      <c r="M277" s="2"/>
      <c r="N277" s="2"/>
      <c r="O277" s="2"/>
      <c r="P277" s="2"/>
      <c r="Q277" s="2"/>
      <c r="R277" s="2"/>
      <c r="S277" s="2"/>
      <c r="T277" s="2"/>
      <c r="U277" s="2"/>
      <c r="V277" s="2"/>
      <c r="W277" s="2"/>
      <c r="X277" s="2"/>
    </row>
    <row r="278" spans="1:24" ht="22" customHeight="1">
      <c r="A278" s="174" t="s">
        <v>442</v>
      </c>
      <c r="B278" s="174"/>
      <c r="C278" s="175"/>
      <c r="D278" s="175"/>
      <c r="E278" s="175"/>
      <c r="F278" s="175"/>
      <c r="G278" s="175"/>
      <c r="H278" s="175"/>
      <c r="I278" s="175"/>
      <c r="J278" s="175"/>
      <c r="K278" s="175"/>
      <c r="L278" s="175"/>
      <c r="M278" s="175"/>
      <c r="N278" s="175"/>
      <c r="O278" s="175"/>
      <c r="P278" s="175"/>
      <c r="Q278" s="175"/>
      <c r="R278" s="175"/>
      <c r="S278" s="175"/>
      <c r="T278" s="175"/>
      <c r="U278" s="175"/>
      <c r="V278" s="175"/>
      <c r="W278" s="175"/>
      <c r="X278" s="175"/>
    </row>
    <row r="279" spans="1:24" ht="22" customHeight="1">
      <c r="A279" s="3" t="s">
        <v>592</v>
      </c>
      <c r="B279" s="1"/>
      <c r="C279" s="14">
        <v>701</v>
      </c>
      <c r="D279" s="14"/>
      <c r="E279" s="14"/>
      <c r="F279" s="14"/>
      <c r="G279" s="14"/>
      <c r="H279" s="14"/>
      <c r="I279" s="14"/>
      <c r="J279" s="14"/>
      <c r="K279" s="14"/>
      <c r="L279" s="14"/>
      <c r="M279" s="15"/>
      <c r="N279" s="14"/>
      <c r="O279" s="14"/>
      <c r="P279" s="14"/>
      <c r="Q279" s="14"/>
      <c r="R279" s="14"/>
      <c r="S279" s="14"/>
      <c r="T279" s="14"/>
      <c r="U279" s="14"/>
      <c r="V279" s="14"/>
      <c r="W279" s="14"/>
      <c r="X279" s="14"/>
    </row>
    <row r="280" spans="1:24" ht="22" customHeight="1">
      <c r="A280" s="3" t="s">
        <v>593</v>
      </c>
      <c r="B280" s="1"/>
      <c r="C280" s="14">
        <v>1102</v>
      </c>
      <c r="D280" s="14">
        <v>1123</v>
      </c>
      <c r="E280" s="14">
        <v>1388</v>
      </c>
      <c r="F280" s="14">
        <v>1076</v>
      </c>
      <c r="G280" s="14">
        <v>1156</v>
      </c>
      <c r="H280" s="14">
        <v>1184</v>
      </c>
      <c r="I280" s="14">
        <v>1043</v>
      </c>
      <c r="J280" s="14">
        <v>1401</v>
      </c>
      <c r="K280" s="14">
        <v>1585</v>
      </c>
      <c r="L280" s="14">
        <v>1748</v>
      </c>
      <c r="M280" s="15"/>
      <c r="N280" s="14"/>
      <c r="O280" s="14"/>
      <c r="P280" s="14"/>
      <c r="Q280" s="14"/>
      <c r="R280" s="14"/>
      <c r="S280" s="14"/>
      <c r="T280" s="14"/>
      <c r="U280" s="14"/>
      <c r="V280" s="14"/>
      <c r="W280" s="14"/>
      <c r="X280" s="14"/>
    </row>
    <row r="281" spans="1:24" ht="22" customHeight="1">
      <c r="A281" s="3" t="s">
        <v>594</v>
      </c>
      <c r="B281" s="1"/>
      <c r="C281" s="14">
        <v>1393</v>
      </c>
      <c r="D281" s="14">
        <v>1962</v>
      </c>
      <c r="E281" s="14">
        <v>1203</v>
      </c>
      <c r="F281" s="14">
        <v>2226</v>
      </c>
      <c r="G281" s="14">
        <v>1770</v>
      </c>
      <c r="H281" s="14">
        <v>1933</v>
      </c>
      <c r="I281" s="14">
        <v>2766</v>
      </c>
      <c r="J281" s="14">
        <v>2532</v>
      </c>
      <c r="K281" s="14">
        <v>3064</v>
      </c>
      <c r="L281" s="14">
        <v>3083</v>
      </c>
      <c r="M281" s="15"/>
      <c r="N281" s="14"/>
      <c r="O281" s="14"/>
      <c r="P281" s="14"/>
      <c r="Q281" s="14"/>
      <c r="R281" s="14"/>
      <c r="S281" s="14"/>
      <c r="T281" s="14"/>
      <c r="U281" s="14"/>
      <c r="V281" s="14"/>
      <c r="W281" s="14"/>
      <c r="X281" s="14"/>
    </row>
    <row r="282" spans="1:24" ht="22" customHeight="1">
      <c r="A282" s="3" t="s">
        <v>595</v>
      </c>
      <c r="B282" s="1"/>
      <c r="C282" s="14"/>
      <c r="D282" s="14"/>
      <c r="E282" s="14"/>
      <c r="F282" s="14"/>
      <c r="G282" s="14"/>
      <c r="H282" s="14">
        <v>0</v>
      </c>
      <c r="I282" s="14">
        <v>0</v>
      </c>
      <c r="J282" s="14">
        <v>94</v>
      </c>
      <c r="K282" s="14">
        <v>0</v>
      </c>
      <c r="L282" s="14">
        <v>0</v>
      </c>
      <c r="M282" s="15"/>
      <c r="N282" s="14"/>
      <c r="O282" s="14"/>
      <c r="P282" s="14"/>
      <c r="Q282" s="14"/>
      <c r="R282" s="14"/>
      <c r="S282" s="14"/>
      <c r="T282" s="14"/>
      <c r="U282" s="14"/>
      <c r="V282" s="14"/>
      <c r="W282" s="14"/>
      <c r="X282" s="14"/>
    </row>
    <row r="283" spans="1:24" ht="22" customHeight="1">
      <c r="A283" s="3" t="s">
        <v>596</v>
      </c>
      <c r="B283" s="1"/>
      <c r="C283" s="14"/>
      <c r="D283" s="14"/>
      <c r="E283" s="14"/>
      <c r="F283" s="14"/>
      <c r="G283" s="14"/>
      <c r="H283" s="14"/>
      <c r="I283" s="14"/>
      <c r="J283" s="14">
        <v>0</v>
      </c>
      <c r="K283" s="14">
        <v>0</v>
      </c>
      <c r="L283" s="14">
        <v>554</v>
      </c>
      <c r="M283" s="15"/>
      <c r="N283" s="14"/>
      <c r="O283" s="14"/>
      <c r="P283" s="14"/>
      <c r="Q283" s="14"/>
      <c r="R283" s="14"/>
      <c r="S283" s="14"/>
      <c r="T283" s="14"/>
      <c r="U283" s="14"/>
      <c r="V283" s="14"/>
      <c r="W283" s="14"/>
      <c r="X283" s="14"/>
    </row>
    <row r="284" spans="1:24" ht="22" customHeight="1">
      <c r="A284" s="3"/>
      <c r="B284" s="1"/>
      <c r="C284" s="2"/>
      <c r="D284" s="2"/>
      <c r="E284" s="2"/>
      <c r="F284" s="2"/>
      <c r="G284" s="2"/>
      <c r="H284" s="2"/>
      <c r="I284" s="2"/>
      <c r="J284" s="2"/>
      <c r="K284" s="2"/>
      <c r="L284" s="2"/>
      <c r="M284" s="2"/>
      <c r="N284" s="2"/>
      <c r="O284" s="2"/>
      <c r="P284" s="2"/>
      <c r="Q284" s="2"/>
      <c r="R284" s="2"/>
      <c r="S284" s="2"/>
      <c r="T284" s="2"/>
      <c r="U284" s="2"/>
      <c r="V284" s="2"/>
      <c r="W284" s="2"/>
      <c r="X284" s="2"/>
    </row>
    <row r="285" spans="1:24" ht="22" customHeight="1">
      <c r="A285" s="174" t="s">
        <v>443</v>
      </c>
      <c r="B285" s="174"/>
      <c r="C285" s="175"/>
      <c r="D285" s="175"/>
      <c r="E285" s="175"/>
      <c r="F285" s="175"/>
      <c r="G285" s="175"/>
      <c r="H285" s="175"/>
      <c r="I285" s="175"/>
      <c r="J285" s="175"/>
      <c r="K285" s="175"/>
      <c r="L285" s="175"/>
      <c r="M285" s="175"/>
      <c r="N285" s="175"/>
      <c r="O285" s="175"/>
      <c r="P285" s="175"/>
      <c r="Q285" s="175"/>
      <c r="R285" s="175"/>
      <c r="S285" s="175"/>
      <c r="T285" s="175"/>
      <c r="U285" s="175"/>
      <c r="V285" s="175"/>
      <c r="W285" s="175"/>
      <c r="X285" s="175"/>
    </row>
    <row r="286" spans="1:24" ht="22" customHeight="1">
      <c r="A286" s="3" t="s">
        <v>246</v>
      </c>
      <c r="B286" s="1"/>
      <c r="C286" s="14"/>
      <c r="D286" s="14">
        <v>10610</v>
      </c>
      <c r="E286" s="14">
        <v>8721</v>
      </c>
      <c r="F286" s="14">
        <v>5509</v>
      </c>
      <c r="G286" s="14">
        <v>8185</v>
      </c>
      <c r="H286" s="14">
        <v>5596</v>
      </c>
      <c r="I286" s="14">
        <v>4954</v>
      </c>
      <c r="J286" s="14">
        <v>9711</v>
      </c>
      <c r="K286" s="14">
        <v>8505</v>
      </c>
      <c r="L286" s="14">
        <v>9159</v>
      </c>
      <c r="M286" s="15"/>
      <c r="N286" s="14"/>
      <c r="O286" s="14"/>
      <c r="P286" s="14"/>
      <c r="Q286" s="14"/>
      <c r="R286" s="14"/>
      <c r="S286" s="14"/>
      <c r="T286" s="14"/>
      <c r="U286" s="14"/>
      <c r="V286" s="14"/>
      <c r="W286" s="14"/>
      <c r="X286" s="14"/>
    </row>
    <row r="287" spans="1:24" ht="22" customHeight="1">
      <c r="A287" s="3" t="s">
        <v>597</v>
      </c>
      <c r="B287" s="1"/>
      <c r="C287" s="14"/>
      <c r="D287" s="14">
        <v>0</v>
      </c>
      <c r="E287" s="14">
        <v>1997</v>
      </c>
      <c r="F287" s="14">
        <v>0</v>
      </c>
      <c r="G287" s="14"/>
      <c r="H287" s="14"/>
      <c r="I287" s="14"/>
      <c r="J287" s="14"/>
      <c r="K287" s="14"/>
      <c r="L287" s="14"/>
      <c r="M287" s="15"/>
      <c r="N287" s="14"/>
      <c r="O287" s="14"/>
      <c r="P287" s="14"/>
      <c r="Q287" s="14"/>
      <c r="R287" s="14"/>
      <c r="S287" s="14"/>
      <c r="T287" s="14"/>
      <c r="U287" s="14"/>
      <c r="V287" s="14"/>
      <c r="W287" s="14"/>
      <c r="X287" s="14"/>
    </row>
    <row r="288" spans="1:24" ht="22" customHeight="1">
      <c r="A288" s="3" t="s">
        <v>598</v>
      </c>
      <c r="B288" s="1"/>
      <c r="C288" s="14"/>
      <c r="D288" s="14">
        <v>47</v>
      </c>
      <c r="E288" s="14">
        <v>51</v>
      </c>
      <c r="F288" s="14">
        <v>61</v>
      </c>
      <c r="G288" s="14">
        <v>69</v>
      </c>
      <c r="H288" s="14">
        <v>111</v>
      </c>
      <c r="I288" s="14">
        <v>146</v>
      </c>
      <c r="J288" s="14">
        <v>50</v>
      </c>
      <c r="K288" s="14">
        <v>48</v>
      </c>
      <c r="L288" s="14">
        <v>45</v>
      </c>
      <c r="M288" s="15"/>
      <c r="N288" s="14"/>
      <c r="O288" s="14"/>
      <c r="P288" s="14"/>
      <c r="Q288" s="14"/>
      <c r="R288" s="14"/>
      <c r="S288" s="14"/>
      <c r="T288" s="14"/>
      <c r="U288" s="14"/>
      <c r="V288" s="14"/>
      <c r="W288" s="14"/>
      <c r="X288" s="14"/>
    </row>
    <row r="289" spans="1:24" ht="24" customHeight="1">
      <c r="A289" s="16" t="s">
        <v>599</v>
      </c>
      <c r="B289" s="17"/>
      <c r="C289" s="18"/>
      <c r="D289" s="18">
        <v>10657</v>
      </c>
      <c r="E289" s="18">
        <v>10769</v>
      </c>
      <c r="F289" s="18">
        <v>5570</v>
      </c>
      <c r="G289" s="18">
        <v>8254</v>
      </c>
      <c r="H289" s="18">
        <v>5707</v>
      </c>
      <c r="I289" s="18">
        <v>5100</v>
      </c>
      <c r="J289" s="18">
        <v>9761</v>
      </c>
      <c r="K289" s="18">
        <v>8553</v>
      </c>
      <c r="L289" s="18">
        <v>9204</v>
      </c>
      <c r="M289" s="20"/>
      <c r="N289" s="18"/>
      <c r="O289" s="18"/>
      <c r="P289" s="18"/>
      <c r="Q289" s="18"/>
      <c r="R289" s="18"/>
      <c r="S289" s="18"/>
      <c r="T289" s="18"/>
      <c r="U289" s="18"/>
      <c r="V289" s="18"/>
      <c r="W289" s="18"/>
      <c r="X289" s="18"/>
    </row>
    <row r="290" spans="1:24" ht="22" customHeight="1">
      <c r="A290" s="3"/>
      <c r="B290" s="1"/>
      <c r="C290" s="2"/>
      <c r="D290" s="2"/>
      <c r="E290" s="2"/>
      <c r="F290" s="2"/>
      <c r="G290" s="2"/>
      <c r="H290" s="2"/>
      <c r="I290" s="2"/>
      <c r="J290" s="2"/>
      <c r="K290" s="2"/>
      <c r="L290" s="2"/>
      <c r="M290" s="2"/>
      <c r="N290" s="2"/>
      <c r="O290" s="2"/>
      <c r="P290" s="2"/>
      <c r="Q290" s="2"/>
      <c r="R290" s="2"/>
      <c r="S290" s="2"/>
      <c r="T290" s="2"/>
      <c r="U290" s="2"/>
      <c r="V290" s="2"/>
      <c r="W290" s="2"/>
      <c r="X290" s="2"/>
    </row>
    <row r="291" spans="1:24" ht="22" customHeight="1">
      <c r="A291" s="174" t="s">
        <v>444</v>
      </c>
      <c r="B291" s="174"/>
      <c r="C291" s="175"/>
      <c r="D291" s="175"/>
      <c r="E291" s="175"/>
      <c r="F291" s="175"/>
      <c r="G291" s="175"/>
      <c r="H291" s="175"/>
      <c r="I291" s="175"/>
      <c r="J291" s="175"/>
      <c r="K291" s="175"/>
      <c r="L291" s="175"/>
      <c r="M291" s="175"/>
      <c r="N291" s="175"/>
      <c r="O291" s="175"/>
      <c r="P291" s="175"/>
      <c r="Q291" s="175"/>
      <c r="R291" s="175"/>
      <c r="S291" s="175"/>
      <c r="T291" s="175"/>
      <c r="U291" s="175"/>
      <c r="V291" s="175"/>
      <c r="W291" s="175"/>
      <c r="X291" s="175"/>
    </row>
    <row r="292" spans="1:24" ht="22" customHeight="1">
      <c r="A292" s="163" t="s">
        <v>600</v>
      </c>
      <c r="B292" s="16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row>
    <row r="293" spans="1:24" ht="22" customHeight="1">
      <c r="A293" s="163" t="s">
        <v>601</v>
      </c>
      <c r="B293" s="16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row>
    <row r="294" spans="1:24" ht="22" customHeight="1">
      <c r="A294" s="163" t="s">
        <v>602</v>
      </c>
      <c r="B294" s="16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row>
    <row r="295" spans="1:24" ht="22" customHeight="1">
      <c r="A295" s="163" t="s">
        <v>603</v>
      </c>
      <c r="B295" s="16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row>
    <row r="296" spans="1:24" ht="22" customHeight="1">
      <c r="A296" s="163" t="s">
        <v>604</v>
      </c>
      <c r="B296" s="16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row>
    <row r="297" spans="1:24" ht="22" customHeight="1">
      <c r="A297" s="163" t="s">
        <v>605</v>
      </c>
      <c r="B297" s="16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row>
    <row r="298" spans="1:24" ht="22" customHeight="1">
      <c r="A298" s="163" t="s">
        <v>606</v>
      </c>
      <c r="B298" s="16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row>
    <row r="299" spans="1:24" ht="22" customHeight="1">
      <c r="A299" s="163" t="s">
        <v>607</v>
      </c>
      <c r="B299" s="16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row>
    <row r="300" spans="1:24" ht="22" customHeight="1">
      <c r="A300" s="163" t="s">
        <v>608</v>
      </c>
      <c r="B300" s="16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row>
    <row r="301" spans="1:24" ht="22" customHeight="1">
      <c r="A301" s="163" t="s">
        <v>609</v>
      </c>
      <c r="B301" s="16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row>
    <row r="302" spans="1:24" ht="22" customHeight="1">
      <c r="A302" s="163" t="s">
        <v>610</v>
      </c>
      <c r="B302" s="16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row>
    <row r="303" spans="1:24" ht="36" customHeight="1">
      <c r="A303" s="163" t="s">
        <v>611</v>
      </c>
      <c r="B303" s="16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row>
    <row r="304" spans="1:24" ht="22" customHeight="1">
      <c r="A304" s="163" t="s">
        <v>612</v>
      </c>
      <c r="B304" s="16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row>
    <row r="305" spans="1:24" ht="22" customHeight="1">
      <c r="A305" s="163" t="s">
        <v>613</v>
      </c>
      <c r="B305" s="16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row>
    <row r="306" spans="1:24" ht="22" customHeight="1">
      <c r="A306" s="163" t="s">
        <v>614</v>
      </c>
      <c r="B306" s="16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row>
    <row r="307" spans="1:24" ht="22" customHeight="1">
      <c r="A307" s="3"/>
      <c r="B307" s="1"/>
      <c r="C307" s="2"/>
      <c r="D307" s="2"/>
      <c r="E307" s="2"/>
      <c r="F307" s="2"/>
      <c r="G307" s="2"/>
      <c r="H307" s="2"/>
      <c r="I307" s="2"/>
      <c r="J307" s="2"/>
      <c r="K307" s="2"/>
      <c r="L307" s="2"/>
      <c r="M307" s="2"/>
      <c r="N307" s="2"/>
      <c r="O307" s="2"/>
      <c r="P307" s="2"/>
      <c r="Q307" s="2"/>
      <c r="R307" s="2"/>
      <c r="S307" s="2"/>
      <c r="T307" s="2"/>
      <c r="U307" s="2"/>
      <c r="V307" s="2"/>
      <c r="W307" s="2"/>
      <c r="X307" s="2"/>
    </row>
    <row r="308" spans="1:24" ht="22" customHeight="1">
      <c r="A308" s="174" t="s">
        <v>615</v>
      </c>
      <c r="B308" s="174"/>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row>
    <row r="309" spans="1:24" ht="18" customHeight="1">
      <c r="A309" s="163" t="s">
        <v>616</v>
      </c>
      <c r="B309" s="16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row>
    <row r="310" spans="1:24" ht="22" customHeight="1">
      <c r="A310" s="3" t="s">
        <v>617</v>
      </c>
      <c r="B310" s="1"/>
      <c r="C310" s="14">
        <v>69667</v>
      </c>
      <c r="D310" s="14"/>
      <c r="E310" s="14"/>
      <c r="F310" s="14"/>
      <c r="G310" s="14"/>
      <c r="H310" s="14"/>
      <c r="I310" s="14"/>
      <c r="J310" s="14"/>
      <c r="K310" s="14"/>
      <c r="L310" s="14"/>
      <c r="M310" s="15"/>
      <c r="N310" s="14"/>
      <c r="O310" s="14"/>
      <c r="P310" s="14"/>
      <c r="Q310" s="14"/>
      <c r="R310" s="14"/>
      <c r="S310" s="14"/>
      <c r="T310" s="14"/>
      <c r="U310" s="14"/>
      <c r="V310" s="14"/>
      <c r="W310" s="14"/>
      <c r="X310" s="14"/>
    </row>
    <row r="311" spans="1:24" ht="22" customHeight="1">
      <c r="A311" s="3" t="s">
        <v>618</v>
      </c>
      <c r="B311" s="1"/>
      <c r="C311" s="14">
        <v>12068</v>
      </c>
      <c r="D311" s="14"/>
      <c r="E311" s="14"/>
      <c r="F311" s="14"/>
      <c r="G311" s="14"/>
      <c r="H311" s="14"/>
      <c r="I311" s="14"/>
      <c r="J311" s="14"/>
      <c r="K311" s="14"/>
      <c r="L311" s="14"/>
      <c r="M311" s="15"/>
      <c r="N311" s="14"/>
      <c r="O311" s="14"/>
      <c r="P311" s="14"/>
      <c r="Q311" s="14"/>
      <c r="R311" s="14"/>
      <c r="S311" s="14"/>
      <c r="T311" s="14"/>
      <c r="U311" s="14"/>
      <c r="V311" s="14"/>
      <c r="W311" s="14"/>
      <c r="X311" s="14"/>
    </row>
    <row r="312" spans="1:24" ht="22" customHeight="1">
      <c r="A312" s="3" t="s">
        <v>619</v>
      </c>
      <c r="B312" s="1"/>
      <c r="C312" s="14">
        <v>2720</v>
      </c>
      <c r="D312" s="14"/>
      <c r="E312" s="14"/>
      <c r="F312" s="14"/>
      <c r="G312" s="14"/>
      <c r="H312" s="14"/>
      <c r="I312" s="14"/>
      <c r="J312" s="14"/>
      <c r="K312" s="14"/>
      <c r="L312" s="14"/>
      <c r="M312" s="15"/>
      <c r="N312" s="14"/>
      <c r="O312" s="14"/>
      <c r="P312" s="14"/>
      <c r="Q312" s="14"/>
      <c r="R312" s="14"/>
      <c r="S312" s="14"/>
      <c r="T312" s="14"/>
      <c r="U312" s="14"/>
      <c r="V312" s="14"/>
      <c r="W312" s="14"/>
      <c r="X312" s="14"/>
    </row>
    <row r="313" spans="1:24" ht="22" customHeight="1">
      <c r="A313" s="3" t="s">
        <v>620</v>
      </c>
      <c r="B313" s="1"/>
      <c r="C313" s="14">
        <v>63056</v>
      </c>
      <c r="D313" s="14"/>
      <c r="E313" s="14"/>
      <c r="F313" s="14"/>
      <c r="G313" s="14"/>
      <c r="H313" s="14"/>
      <c r="I313" s="14"/>
      <c r="J313" s="14"/>
      <c r="K313" s="14"/>
      <c r="L313" s="14"/>
      <c r="M313" s="15"/>
      <c r="N313" s="14"/>
      <c r="O313" s="14"/>
      <c r="P313" s="14"/>
      <c r="Q313" s="14"/>
      <c r="R313" s="14"/>
      <c r="S313" s="14"/>
      <c r="T313" s="14"/>
      <c r="U313" s="14"/>
      <c r="V313" s="14"/>
      <c r="W313" s="14"/>
      <c r="X313" s="14"/>
    </row>
    <row r="314" spans="1:24" ht="22" customHeight="1">
      <c r="A314" s="3" t="s">
        <v>621</v>
      </c>
      <c r="B314" s="1"/>
      <c r="C314" s="14">
        <v>34325</v>
      </c>
      <c r="D314" s="14"/>
      <c r="E314" s="14"/>
      <c r="F314" s="14"/>
      <c r="G314" s="14"/>
      <c r="H314" s="14"/>
      <c r="I314" s="14"/>
      <c r="J314" s="14"/>
      <c r="K314" s="14"/>
      <c r="L314" s="14"/>
      <c r="M314" s="15"/>
      <c r="N314" s="14"/>
      <c r="O314" s="14"/>
      <c r="P314" s="14"/>
      <c r="Q314" s="14"/>
      <c r="R314" s="14"/>
      <c r="S314" s="14"/>
      <c r="T314" s="14"/>
      <c r="U314" s="14"/>
      <c r="V314" s="14"/>
      <c r="W314" s="14"/>
      <c r="X314" s="14"/>
    </row>
    <row r="315" spans="1:24" ht="22" customHeight="1">
      <c r="A315" s="3" t="s">
        <v>622</v>
      </c>
      <c r="B315" s="1"/>
      <c r="C315" s="14">
        <v>8353</v>
      </c>
      <c r="D315" s="14"/>
      <c r="E315" s="14"/>
      <c r="F315" s="14"/>
      <c r="G315" s="14"/>
      <c r="H315" s="14"/>
      <c r="I315" s="14"/>
      <c r="J315" s="14"/>
      <c r="K315" s="14"/>
      <c r="L315" s="14"/>
      <c r="M315" s="15"/>
      <c r="N315" s="14"/>
      <c r="O315" s="14"/>
      <c r="P315" s="14"/>
      <c r="Q315" s="14"/>
      <c r="R315" s="14"/>
      <c r="S315" s="14"/>
      <c r="T315" s="14"/>
      <c r="U315" s="14"/>
      <c r="V315" s="14"/>
      <c r="W315" s="14"/>
      <c r="X315" s="14"/>
    </row>
    <row r="316" spans="1:24" ht="36" customHeight="1">
      <c r="A316" s="3" t="s">
        <v>623</v>
      </c>
      <c r="B316" s="1"/>
      <c r="C316" s="14">
        <v>5452</v>
      </c>
      <c r="D316" s="14"/>
      <c r="E316" s="14"/>
      <c r="F316" s="14"/>
      <c r="G316" s="14"/>
      <c r="H316" s="14"/>
      <c r="I316" s="14"/>
      <c r="J316" s="14"/>
      <c r="K316" s="14"/>
      <c r="L316" s="14"/>
      <c r="M316" s="15"/>
      <c r="N316" s="14"/>
      <c r="O316" s="14"/>
      <c r="P316" s="14"/>
      <c r="Q316" s="14"/>
      <c r="R316" s="14"/>
      <c r="S316" s="14"/>
      <c r="T316" s="14"/>
      <c r="U316" s="14"/>
      <c r="V316" s="14"/>
      <c r="W316" s="14"/>
      <c r="X316" s="14"/>
    </row>
    <row r="317" spans="1:24" ht="22" customHeight="1">
      <c r="A317" s="3"/>
      <c r="B317" s="1"/>
      <c r="C317" s="2"/>
      <c r="D317" s="2"/>
      <c r="E317" s="2"/>
      <c r="F317" s="2"/>
      <c r="G317" s="2"/>
      <c r="H317" s="2"/>
      <c r="I317" s="2"/>
      <c r="J317" s="2"/>
      <c r="K317" s="2"/>
      <c r="L317" s="2"/>
      <c r="M317" s="2"/>
      <c r="N317" s="2"/>
      <c r="O317" s="2"/>
      <c r="P317" s="2"/>
      <c r="Q317" s="2"/>
      <c r="R317" s="2"/>
      <c r="S317" s="2"/>
      <c r="T317" s="2"/>
      <c r="U317" s="2"/>
      <c r="V317" s="2"/>
      <c r="W317" s="2"/>
      <c r="X317" s="2"/>
    </row>
    <row r="318" spans="1:24" ht="22" customHeight="1">
      <c r="A318" s="174" t="s">
        <v>624</v>
      </c>
      <c r="B318" s="174"/>
      <c r="C318" s="175"/>
      <c r="D318" s="175"/>
      <c r="E318" s="175"/>
      <c r="F318" s="175"/>
      <c r="G318" s="175"/>
      <c r="H318" s="175"/>
      <c r="I318" s="175"/>
      <c r="J318" s="175"/>
      <c r="K318" s="175"/>
      <c r="L318" s="175"/>
      <c r="M318" s="175"/>
      <c r="N318" s="175"/>
      <c r="O318" s="175"/>
      <c r="P318" s="175"/>
      <c r="Q318" s="175"/>
      <c r="R318" s="175"/>
      <c r="S318" s="175"/>
      <c r="T318" s="175"/>
      <c r="U318" s="175"/>
      <c r="V318" s="175"/>
      <c r="W318" s="175"/>
      <c r="X318" s="175"/>
    </row>
    <row r="319" spans="1:24" ht="18" customHeight="1">
      <c r="A319" s="163" t="s">
        <v>625</v>
      </c>
      <c r="B319" s="16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row>
    <row r="320" spans="1:24" ht="22" customHeight="1">
      <c r="A320" s="3" t="s">
        <v>626</v>
      </c>
      <c r="B320" s="1"/>
      <c r="C320" s="14"/>
      <c r="D320" s="14"/>
      <c r="E320" s="14"/>
      <c r="F320" s="14"/>
      <c r="G320" s="14"/>
      <c r="H320" s="14"/>
      <c r="I320" s="14"/>
      <c r="J320" s="14"/>
      <c r="K320" s="14"/>
      <c r="L320" s="14"/>
      <c r="M320" s="15"/>
      <c r="N320" s="14">
        <v>17846</v>
      </c>
      <c r="O320" s="14">
        <v>40168</v>
      </c>
      <c r="P320" s="14">
        <v>63621</v>
      </c>
      <c r="Q320" s="14"/>
      <c r="R320" s="14"/>
      <c r="S320" s="14"/>
      <c r="T320" s="14"/>
      <c r="U320" s="14"/>
      <c r="V320" s="14"/>
      <c r="W320" s="14"/>
      <c r="X320" s="14"/>
    </row>
    <row r="321" spans="1:24" ht="22" customHeight="1">
      <c r="A321" s="3" t="s">
        <v>627</v>
      </c>
      <c r="B321" s="1"/>
      <c r="C321" s="14"/>
      <c r="D321" s="14"/>
      <c r="E321" s="14"/>
      <c r="F321" s="14"/>
      <c r="G321" s="14"/>
      <c r="H321" s="14"/>
      <c r="I321" s="14"/>
      <c r="J321" s="14"/>
      <c r="K321" s="14"/>
      <c r="L321" s="14"/>
      <c r="M321" s="15"/>
      <c r="N321" s="14">
        <v>9858</v>
      </c>
      <c r="O321" s="14">
        <v>22059</v>
      </c>
      <c r="P321" s="14">
        <v>34837</v>
      </c>
      <c r="Q321" s="14"/>
      <c r="R321" s="14"/>
      <c r="S321" s="14"/>
      <c r="T321" s="14"/>
      <c r="U321" s="14"/>
      <c r="V321" s="14"/>
      <c r="W321" s="14"/>
      <c r="X321" s="14"/>
    </row>
    <row r="322" spans="1:24" ht="22" customHeight="1">
      <c r="A322" s="3" t="s">
        <v>628</v>
      </c>
      <c r="B322" s="1"/>
      <c r="C322" s="14"/>
      <c r="D322" s="14"/>
      <c r="E322" s="14"/>
      <c r="F322" s="14"/>
      <c r="G322" s="14"/>
      <c r="H322" s="14"/>
      <c r="I322" s="14"/>
      <c r="J322" s="14"/>
      <c r="K322" s="14"/>
      <c r="L322" s="14"/>
      <c r="M322" s="15"/>
      <c r="N322" s="14">
        <v>2629</v>
      </c>
      <c r="O322" s="14">
        <v>6288</v>
      </c>
      <c r="P322" s="14">
        <v>10303</v>
      </c>
      <c r="Q322" s="14"/>
      <c r="R322" s="14"/>
      <c r="S322" s="14"/>
      <c r="T322" s="14"/>
      <c r="U322" s="14"/>
      <c r="V322" s="14"/>
      <c r="W322" s="14"/>
      <c r="X322" s="14"/>
    </row>
    <row r="323" spans="1:24" ht="22" customHeight="1">
      <c r="A323" s="3" t="s">
        <v>629</v>
      </c>
      <c r="B323" s="1"/>
      <c r="C323" s="14"/>
      <c r="D323" s="14"/>
      <c r="E323" s="14"/>
      <c r="F323" s="14"/>
      <c r="G323" s="14"/>
      <c r="H323" s="14"/>
      <c r="I323" s="14"/>
      <c r="J323" s="14"/>
      <c r="K323" s="14"/>
      <c r="L323" s="14"/>
      <c r="M323" s="15"/>
      <c r="N323" s="14">
        <v>546</v>
      </c>
      <c r="O323" s="14">
        <v>1293</v>
      </c>
      <c r="P323" s="14">
        <v>2053</v>
      </c>
      <c r="Q323" s="14"/>
      <c r="R323" s="14"/>
      <c r="S323" s="14"/>
      <c r="T323" s="14"/>
      <c r="U323" s="14"/>
      <c r="V323" s="14"/>
      <c r="W323" s="14"/>
      <c r="X323" s="14"/>
    </row>
    <row r="324" spans="1:24" ht="36" customHeight="1">
      <c r="A324" s="3" t="s">
        <v>630</v>
      </c>
      <c r="B324" s="1"/>
      <c r="C324" s="14"/>
      <c r="D324" s="14"/>
      <c r="E324" s="14"/>
      <c r="F324" s="14"/>
      <c r="G324" s="14"/>
      <c r="H324" s="14"/>
      <c r="I324" s="14"/>
      <c r="J324" s="14"/>
      <c r="K324" s="14"/>
      <c r="L324" s="14"/>
      <c r="M324" s="15"/>
      <c r="N324" s="14">
        <v>1932</v>
      </c>
      <c r="O324" s="14">
        <v>4680</v>
      </c>
      <c r="P324" s="14">
        <v>7772</v>
      </c>
      <c r="Q324" s="14"/>
      <c r="R324" s="14"/>
      <c r="S324" s="14"/>
      <c r="T324" s="14"/>
      <c r="U324" s="14"/>
      <c r="V324" s="14"/>
      <c r="W324" s="14"/>
      <c r="X324" s="14"/>
    </row>
    <row r="325" spans="1:24" ht="22" customHeight="1">
      <c r="A325" s="3" t="s">
        <v>631</v>
      </c>
      <c r="B325" s="1"/>
      <c r="C325" s="14"/>
      <c r="D325" s="14"/>
      <c r="E325" s="14"/>
      <c r="F325" s="14"/>
      <c r="G325" s="14"/>
      <c r="H325" s="14"/>
      <c r="I325" s="14"/>
      <c r="J325" s="14"/>
      <c r="K325" s="14"/>
      <c r="L325" s="14"/>
      <c r="M325" s="15"/>
      <c r="N325" s="14">
        <v>1944</v>
      </c>
      <c r="O325" s="14">
        <v>4715</v>
      </c>
      <c r="P325" s="14">
        <v>7831</v>
      </c>
      <c r="Q325" s="14"/>
      <c r="R325" s="14"/>
      <c r="S325" s="14"/>
      <c r="T325" s="14"/>
      <c r="U325" s="14"/>
      <c r="V325" s="14"/>
      <c r="W325" s="14"/>
      <c r="X325" s="14"/>
    </row>
    <row r="326" spans="1:24" ht="22" customHeight="1">
      <c r="A326" s="3" t="s">
        <v>632</v>
      </c>
      <c r="B326" s="1"/>
      <c r="C326" s="14"/>
      <c r="D326" s="14"/>
      <c r="E326" s="14"/>
      <c r="F326" s="14"/>
      <c r="G326" s="14"/>
      <c r="H326" s="14"/>
      <c r="I326" s="14"/>
      <c r="J326" s="14"/>
      <c r="K326" s="14"/>
      <c r="L326" s="14"/>
      <c r="M326" s="15"/>
      <c r="N326" s="14">
        <v>-392</v>
      </c>
      <c r="O326" s="14">
        <v>2019</v>
      </c>
      <c r="P326" s="14">
        <v>7630</v>
      </c>
      <c r="Q326" s="14"/>
      <c r="R326" s="14"/>
      <c r="S326" s="14"/>
      <c r="T326" s="14"/>
      <c r="U326" s="14"/>
      <c r="V326" s="14"/>
      <c r="W326" s="14"/>
      <c r="X326" s="14"/>
    </row>
    <row r="327" spans="1:24" ht="36" customHeight="1">
      <c r="A327" s="3" t="s">
        <v>633</v>
      </c>
      <c r="B327" s="1"/>
      <c r="C327" s="14"/>
      <c r="D327" s="14"/>
      <c r="E327" s="14"/>
      <c r="F327" s="14"/>
      <c r="G327" s="14"/>
      <c r="H327" s="14"/>
      <c r="I327" s="14"/>
      <c r="J327" s="14"/>
      <c r="K327" s="14"/>
      <c r="L327" s="14"/>
      <c r="M327" s="15"/>
      <c r="N327" s="14">
        <v>-581</v>
      </c>
      <c r="O327" s="14">
        <v>-1513</v>
      </c>
      <c r="P327" s="14">
        <v>-2537</v>
      </c>
      <c r="Q327" s="14"/>
      <c r="R327" s="14"/>
      <c r="S327" s="14"/>
      <c r="T327" s="14"/>
      <c r="U327" s="14"/>
      <c r="V327" s="14"/>
      <c r="W327" s="14"/>
      <c r="X327" s="14"/>
    </row>
    <row r="328" spans="1:24" ht="22" customHeight="1">
      <c r="A328" s="3"/>
      <c r="B328" s="1"/>
      <c r="C328" s="2"/>
      <c r="D328" s="2"/>
      <c r="E328" s="2"/>
      <c r="F328" s="2"/>
      <c r="G328" s="2"/>
      <c r="H328" s="2"/>
      <c r="I328" s="2"/>
      <c r="J328" s="2"/>
      <c r="K328" s="2"/>
      <c r="L328" s="2"/>
      <c r="M328" s="2"/>
      <c r="N328" s="2"/>
      <c r="O328" s="2"/>
      <c r="P328" s="2"/>
      <c r="Q328" s="2"/>
      <c r="R328" s="2"/>
      <c r="S328" s="2"/>
      <c r="T328" s="2"/>
      <c r="U328" s="2"/>
      <c r="V328" s="2"/>
      <c r="W328" s="2"/>
      <c r="X328" s="2"/>
    </row>
    <row r="329" spans="1:24" ht="22" customHeight="1">
      <c r="A329" s="174" t="s">
        <v>634</v>
      </c>
      <c r="B329" s="174"/>
      <c r="C329" s="175"/>
      <c r="D329" s="175"/>
      <c r="E329" s="175"/>
      <c r="F329" s="175"/>
      <c r="G329" s="175"/>
      <c r="H329" s="175"/>
      <c r="I329" s="175"/>
      <c r="J329" s="175"/>
      <c r="K329" s="175"/>
      <c r="L329" s="175"/>
      <c r="M329" s="175"/>
      <c r="N329" s="175"/>
      <c r="O329" s="175"/>
      <c r="P329" s="175"/>
      <c r="Q329" s="175"/>
      <c r="R329" s="175"/>
      <c r="S329" s="175"/>
      <c r="T329" s="175"/>
      <c r="U329" s="175"/>
      <c r="V329" s="175"/>
      <c r="W329" s="175"/>
      <c r="X329" s="175"/>
    </row>
    <row r="330" spans="1:24" ht="18" customHeight="1">
      <c r="A330" s="163" t="s">
        <v>635</v>
      </c>
      <c r="B330" s="16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row>
    <row r="331" spans="1:24" ht="22" customHeight="1">
      <c r="A331" s="3" t="s">
        <v>636</v>
      </c>
      <c r="B331" s="1"/>
      <c r="C331" s="14"/>
      <c r="D331" s="14"/>
      <c r="E331" s="14"/>
      <c r="F331" s="14"/>
      <c r="G331" s="14"/>
      <c r="H331" s="14"/>
      <c r="I331" s="14"/>
      <c r="J331" s="14"/>
      <c r="K331" s="14"/>
      <c r="L331" s="14"/>
      <c r="M331" s="15"/>
      <c r="N331" s="13">
        <f>IF(COUNT('Note Schedules'!N320)=1,'Note Schedules'!N320,"")</f>
        <v>17846</v>
      </c>
      <c r="O331" s="14">
        <v>22322</v>
      </c>
      <c r="P331" s="14">
        <v>23453</v>
      </c>
      <c r="Q331" s="34">
        <f>IF(COUNT('Income Statement'!J13,'Note Schedules'!P320)=2,'Income Statement'!J13-'Note Schedules'!P320,"")</f>
        <v>27850</v>
      </c>
      <c r="R331" s="14"/>
      <c r="S331" s="14"/>
      <c r="T331" s="14"/>
      <c r="U331" s="14"/>
      <c r="V331" s="14"/>
      <c r="W331" s="14"/>
      <c r="X331" s="14"/>
    </row>
    <row r="332" spans="1:24" ht="22" customHeight="1">
      <c r="A332" s="3" t="s">
        <v>637</v>
      </c>
      <c r="B332" s="1"/>
      <c r="C332" s="14"/>
      <c r="D332" s="14"/>
      <c r="E332" s="14"/>
      <c r="F332" s="14"/>
      <c r="G332" s="14"/>
      <c r="H332" s="14"/>
      <c r="I332" s="14"/>
      <c r="J332" s="14"/>
      <c r="K332" s="14"/>
      <c r="L332" s="14"/>
      <c r="M332" s="15"/>
      <c r="N332" s="13">
        <f>IF(COUNT('Note Schedules'!N321)=1,'Note Schedules'!N321,"")</f>
        <v>9858</v>
      </c>
      <c r="O332" s="14">
        <v>12201</v>
      </c>
      <c r="P332" s="14">
        <v>12778</v>
      </c>
      <c r="Q332" s="34">
        <f>IF(COUNT('Income Statement'!J16,'Note Schedules'!P321)=2,'Income Statement'!J16-'Note Schedules'!P321,"")</f>
        <v>14753</v>
      </c>
      <c r="R332" s="14"/>
      <c r="S332" s="14"/>
      <c r="T332" s="14"/>
      <c r="U332" s="14"/>
      <c r="V332" s="14"/>
      <c r="W332" s="14"/>
      <c r="X332" s="14"/>
    </row>
    <row r="333" spans="1:24" ht="22" customHeight="1">
      <c r="A333" s="3" t="s">
        <v>638</v>
      </c>
      <c r="B333" s="1"/>
      <c r="C333" s="14"/>
      <c r="D333" s="14"/>
      <c r="E333" s="14"/>
      <c r="F333" s="14"/>
      <c r="G333" s="14"/>
      <c r="H333" s="14"/>
      <c r="I333" s="14"/>
      <c r="J333" s="14"/>
      <c r="K333" s="14"/>
      <c r="L333" s="14"/>
      <c r="M333" s="15"/>
      <c r="N333" s="13">
        <f>IF(COUNT('Note Schedules'!N322)=1,'Note Schedules'!N322,"")</f>
        <v>2629</v>
      </c>
      <c r="O333" s="14">
        <v>3659</v>
      </c>
      <c r="P333" s="14">
        <v>4015</v>
      </c>
      <c r="Q333" s="34">
        <f>IF(COUNT('Income Statement'!J21,'Note Schedules'!P322)=2,'Income Statement'!J21-'Note Schedules'!P322,"")</f>
        <v>1683</v>
      </c>
      <c r="R333" s="14"/>
      <c r="S333" s="14"/>
      <c r="T333" s="14"/>
      <c r="U333" s="14"/>
      <c r="V333" s="14"/>
      <c r="W333" s="14"/>
      <c r="X333" s="14"/>
    </row>
    <row r="334" spans="1:24" ht="36" customHeight="1">
      <c r="A334" s="3" t="s">
        <v>639</v>
      </c>
      <c r="B334" s="1"/>
      <c r="C334" s="14"/>
      <c r="D334" s="14"/>
      <c r="E334" s="14"/>
      <c r="F334" s="14"/>
      <c r="G334" s="14"/>
      <c r="H334" s="14"/>
      <c r="I334" s="14"/>
      <c r="J334" s="14"/>
      <c r="K334" s="14"/>
      <c r="L334" s="14"/>
      <c r="M334" s="15"/>
      <c r="N334" s="13">
        <f>IF(COUNT('Note Schedules'!N324)=1,'Note Schedules'!N324,"")</f>
        <v>1932</v>
      </c>
      <c r="O334" s="14">
        <v>2748</v>
      </c>
      <c r="P334" s="14">
        <v>3092</v>
      </c>
      <c r="Q334" s="34">
        <f>IF(COUNT('Income Statement'!J31,'Note Schedules'!P324)=2,'Income Statement'!J31-'Note Schedules'!P324,"")</f>
        <v>1302</v>
      </c>
      <c r="R334" s="14"/>
      <c r="S334" s="14"/>
      <c r="T334" s="14"/>
      <c r="U334" s="14"/>
      <c r="V334" s="14"/>
      <c r="W334" s="14"/>
      <c r="X334" s="14"/>
    </row>
    <row r="335" spans="1:24" ht="22" customHeight="1">
      <c r="A335" s="3"/>
      <c r="B335" s="1"/>
      <c r="C335" s="2"/>
      <c r="D335" s="2"/>
      <c r="E335" s="2"/>
      <c r="F335" s="2"/>
      <c r="G335" s="2"/>
      <c r="H335" s="2"/>
      <c r="I335" s="2"/>
      <c r="J335" s="2"/>
      <c r="K335" s="2"/>
      <c r="L335" s="2"/>
      <c r="M335" s="2"/>
      <c r="N335" s="2"/>
      <c r="O335" s="2"/>
      <c r="P335" s="2"/>
      <c r="Q335" s="2"/>
      <c r="R335" s="2"/>
      <c r="S335" s="2"/>
      <c r="T335" s="2"/>
      <c r="U335" s="2"/>
      <c r="V335" s="2"/>
      <c r="W335" s="2"/>
      <c r="X335" s="2"/>
    </row>
    <row r="336" spans="1:24" ht="22" customHeight="1">
      <c r="A336" s="174" t="s">
        <v>445</v>
      </c>
      <c r="B336" s="174"/>
      <c r="C336" s="175"/>
      <c r="D336" s="175"/>
      <c r="E336" s="175"/>
      <c r="F336" s="175"/>
      <c r="G336" s="175"/>
      <c r="H336" s="175"/>
      <c r="I336" s="175"/>
      <c r="J336" s="175"/>
      <c r="K336" s="175"/>
      <c r="L336" s="175"/>
      <c r="M336" s="175"/>
      <c r="N336" s="175"/>
      <c r="O336" s="175"/>
      <c r="P336" s="175"/>
      <c r="Q336" s="175"/>
      <c r="R336" s="175"/>
      <c r="S336" s="175"/>
      <c r="T336" s="175"/>
      <c r="U336" s="175"/>
      <c r="V336" s="175"/>
      <c r="W336" s="175"/>
      <c r="X336" s="175"/>
    </row>
    <row r="337" spans="1:24" ht="18" customHeight="1">
      <c r="A337" s="163" t="s">
        <v>640</v>
      </c>
      <c r="B337" s="16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row>
    <row r="338" spans="1:24" ht="22" customHeight="1">
      <c r="A338" s="3" t="s">
        <v>641</v>
      </c>
      <c r="B338" s="1"/>
      <c r="C338" s="14">
        <v>-11386</v>
      </c>
      <c r="D338" s="14">
        <v>-10277</v>
      </c>
      <c r="E338" s="14">
        <v>-11918</v>
      </c>
      <c r="F338" s="14">
        <v>-11290</v>
      </c>
      <c r="G338" s="14">
        <v>-11940</v>
      </c>
      <c r="H338" s="14">
        <v>-12309</v>
      </c>
      <c r="I338" s="14">
        <v>-12948</v>
      </c>
      <c r="J338" s="14">
        <v>-13255</v>
      </c>
      <c r="K338" s="14">
        <v>-15217</v>
      </c>
      <c r="L338" s="14">
        <v>-13494</v>
      </c>
      <c r="M338" s="15"/>
      <c r="N338" s="14">
        <v>-13437</v>
      </c>
      <c r="O338" s="14">
        <v>-13704</v>
      </c>
      <c r="P338" s="14">
        <v>-14216</v>
      </c>
      <c r="Q338" s="14"/>
      <c r="R338" s="14">
        <v>-14781</v>
      </c>
      <c r="S338" s="14">
        <v>-13820</v>
      </c>
      <c r="T338" s="14">
        <v>-13781</v>
      </c>
      <c r="U338" s="14"/>
      <c r="V338" s="14">
        <v>-12775</v>
      </c>
      <c r="W338" s="14">
        <v>-12620</v>
      </c>
      <c r="X338" s="14">
        <v>-13478</v>
      </c>
    </row>
    <row r="339" spans="1:24" ht="22" customHeight="1">
      <c r="A339" s="3" t="s">
        <v>642</v>
      </c>
      <c r="B339" s="1"/>
      <c r="C339" s="14">
        <v>83</v>
      </c>
      <c r="D339" s="14">
        <v>47</v>
      </c>
      <c r="E339" s="14">
        <v>87</v>
      </c>
      <c r="F339" s="14">
        <v>-3</v>
      </c>
      <c r="G339" s="14">
        <v>4</v>
      </c>
      <c r="H339" s="14">
        <v>159</v>
      </c>
      <c r="I339" s="14">
        <v>1</v>
      </c>
      <c r="J339" s="14">
        <v>-31</v>
      </c>
      <c r="K339" s="14">
        <v>82</v>
      </c>
      <c r="L339" s="14">
        <v>126</v>
      </c>
      <c r="M339" s="15"/>
      <c r="N339" s="14">
        <v>-28</v>
      </c>
      <c r="O339" s="14">
        <v>14</v>
      </c>
      <c r="P339" s="14">
        <v>-10</v>
      </c>
      <c r="Q339" s="14"/>
      <c r="R339" s="14">
        <v>104</v>
      </c>
      <c r="S339" s="14">
        <v>86</v>
      </c>
      <c r="T339" s="14">
        <v>109</v>
      </c>
      <c r="U339" s="14"/>
      <c r="V339" s="14">
        <v>181</v>
      </c>
      <c r="W339" s="14">
        <v>221</v>
      </c>
      <c r="X339" s="14">
        <v>180</v>
      </c>
    </row>
    <row r="340" spans="1:24" ht="22" customHeight="1">
      <c r="A340" s="3" t="s">
        <v>643</v>
      </c>
      <c r="B340" s="1"/>
      <c r="C340" s="14">
        <v>-2645</v>
      </c>
      <c r="D340" s="14">
        <v>-2804</v>
      </c>
      <c r="E340" s="14">
        <v>-3271</v>
      </c>
      <c r="F340" s="14">
        <v>-2988</v>
      </c>
      <c r="G340" s="14">
        <v>-3520</v>
      </c>
      <c r="H340" s="14">
        <v>-2750</v>
      </c>
      <c r="I340" s="14">
        <v>-2361</v>
      </c>
      <c r="J340" s="14">
        <v>-2719</v>
      </c>
      <c r="K340" s="14">
        <v>-2714</v>
      </c>
      <c r="L340" s="14">
        <v>-2262</v>
      </c>
      <c r="M340" s="15"/>
      <c r="N340" s="14">
        <v>-2708</v>
      </c>
      <c r="O340" s="14">
        <v>-2699</v>
      </c>
      <c r="P340" s="14">
        <v>-2678</v>
      </c>
      <c r="Q340" s="14"/>
      <c r="R340" s="14">
        <v>-2704</v>
      </c>
      <c r="S340" s="14">
        <v>-2723</v>
      </c>
      <c r="T340" s="14">
        <v>-2702</v>
      </c>
      <c r="U340" s="14"/>
      <c r="V340" s="14">
        <v>-2256</v>
      </c>
      <c r="W340" s="14">
        <v>-2235</v>
      </c>
      <c r="X340" s="14">
        <v>-2032</v>
      </c>
    </row>
    <row r="341" spans="1:24" ht="22" customHeight="1">
      <c r="A341" s="3" t="s">
        <v>644</v>
      </c>
      <c r="B341" s="1"/>
      <c r="C341" s="14">
        <v>64</v>
      </c>
      <c r="D341" s="14">
        <v>-4</v>
      </c>
      <c r="E341" s="14">
        <v>2</v>
      </c>
      <c r="F341" s="14">
        <v>0</v>
      </c>
      <c r="G341" s="14"/>
      <c r="H341" s="14"/>
      <c r="I341" s="14"/>
      <c r="J341" s="14"/>
      <c r="K341" s="14"/>
      <c r="L341" s="14"/>
      <c r="M341" s="15"/>
      <c r="N341" s="14"/>
      <c r="O341" s="14"/>
      <c r="P341" s="14"/>
      <c r="Q341" s="14"/>
      <c r="R341" s="14"/>
      <c r="S341" s="14"/>
      <c r="T341" s="14"/>
      <c r="U341" s="14"/>
      <c r="V341" s="14"/>
      <c r="W341" s="14"/>
      <c r="X341" s="14"/>
    </row>
    <row r="342" spans="1:24" ht="22" customHeight="1">
      <c r="A342" s="3" t="s">
        <v>645</v>
      </c>
      <c r="B342" s="1"/>
      <c r="C342" s="14">
        <v>-35</v>
      </c>
      <c r="D342" s="14">
        <v>-19</v>
      </c>
      <c r="E342" s="14">
        <v>-19</v>
      </c>
      <c r="F342" s="14">
        <v>-19</v>
      </c>
      <c r="G342" s="14"/>
      <c r="H342" s="14"/>
      <c r="I342" s="14"/>
      <c r="J342" s="14"/>
      <c r="K342" s="14"/>
      <c r="L342" s="14"/>
      <c r="M342" s="15"/>
      <c r="N342" s="14"/>
      <c r="O342" s="14"/>
      <c r="P342" s="14"/>
      <c r="Q342" s="14"/>
      <c r="R342" s="14"/>
      <c r="S342" s="14"/>
      <c r="T342" s="14"/>
      <c r="U342" s="14"/>
      <c r="V342" s="14"/>
      <c r="W342" s="14"/>
      <c r="X342" s="14"/>
    </row>
    <row r="343" spans="1:24" ht="36" customHeight="1">
      <c r="A343" s="3" t="s">
        <v>646</v>
      </c>
      <c r="B343" s="1"/>
      <c r="C343" s="14">
        <v>-13919</v>
      </c>
      <c r="D343" s="14">
        <v>-13057</v>
      </c>
      <c r="E343" s="14">
        <v>-15119</v>
      </c>
      <c r="F343" s="14">
        <v>-14300</v>
      </c>
      <c r="G343" s="14">
        <v>-15476</v>
      </c>
      <c r="H343" s="14">
        <v>-14898</v>
      </c>
      <c r="I343" s="14">
        <v>-15302</v>
      </c>
      <c r="J343" s="14">
        <v>-15534</v>
      </c>
      <c r="K343" s="14">
        <v>-17612</v>
      </c>
      <c r="L343" s="14">
        <v>-15024</v>
      </c>
      <c r="M343" s="15"/>
      <c r="N343" s="14">
        <v>-15179</v>
      </c>
      <c r="O343" s="14">
        <v>-15786</v>
      </c>
      <c r="P343" s="14">
        <v>-16652</v>
      </c>
      <c r="Q343" s="14"/>
      <c r="R343" s="14">
        <v>-17078</v>
      </c>
      <c r="S343" s="14">
        <v>-16090</v>
      </c>
      <c r="T343" s="14">
        <v>-15597</v>
      </c>
      <c r="U343" s="14"/>
      <c r="V343" s="14">
        <v>-14342</v>
      </c>
      <c r="W343" s="14">
        <v>-14343</v>
      </c>
      <c r="X343" s="14">
        <v>-14987</v>
      </c>
    </row>
    <row r="344" spans="1:24" ht="36" customHeight="1">
      <c r="A344" s="3" t="s">
        <v>647</v>
      </c>
      <c r="B344" s="1"/>
      <c r="C344" s="14"/>
      <c r="D344" s="14">
        <v>1049</v>
      </c>
      <c r="E344" s="14">
        <v>-1664</v>
      </c>
      <c r="F344" s="14">
        <v>636</v>
      </c>
      <c r="G344" s="14"/>
      <c r="H344" s="14">
        <v>-340</v>
      </c>
      <c r="I344" s="14">
        <v>-603</v>
      </c>
      <c r="J344" s="14">
        <v>-442</v>
      </c>
      <c r="K344" s="14"/>
      <c r="L344" s="14"/>
      <c r="M344" s="15"/>
      <c r="N344" s="14">
        <v>-168</v>
      </c>
      <c r="O344" s="14">
        <v>-295</v>
      </c>
      <c r="P344" s="14">
        <v>-544</v>
      </c>
      <c r="Q344" s="14"/>
      <c r="R344" s="14"/>
      <c r="S344" s="14"/>
      <c r="T344" s="14"/>
      <c r="U344" s="14"/>
      <c r="V344" s="14"/>
      <c r="W344" s="14"/>
      <c r="X344" s="14">
        <v>-876</v>
      </c>
    </row>
    <row r="345" spans="1:24" ht="36" customHeight="1">
      <c r="A345" s="3" t="s">
        <v>648</v>
      </c>
      <c r="B345" s="1"/>
      <c r="C345" s="14"/>
      <c r="D345" s="14">
        <v>130</v>
      </c>
      <c r="E345" s="14">
        <v>-61</v>
      </c>
      <c r="F345" s="14">
        <v>-131</v>
      </c>
      <c r="G345" s="14"/>
      <c r="H345" s="14">
        <v>248</v>
      </c>
      <c r="I345" s="14">
        <v>-78</v>
      </c>
      <c r="J345" s="14">
        <v>-188</v>
      </c>
      <c r="K345" s="14"/>
      <c r="L345" s="14"/>
      <c r="M345" s="15"/>
      <c r="N345" s="14">
        <v>-47</v>
      </c>
      <c r="O345" s="14">
        <v>3</v>
      </c>
      <c r="P345" s="14">
        <v>-34</v>
      </c>
      <c r="Q345" s="14"/>
      <c r="R345" s="14"/>
      <c r="S345" s="14"/>
      <c r="T345" s="14"/>
      <c r="U345" s="14"/>
      <c r="V345" s="14"/>
      <c r="W345" s="14"/>
      <c r="X345" s="14">
        <v>-17</v>
      </c>
    </row>
    <row r="346" spans="1:24" ht="36" customHeight="1">
      <c r="A346" s="3" t="s">
        <v>649</v>
      </c>
      <c r="B346" s="1"/>
      <c r="C346" s="14"/>
      <c r="D346" s="14">
        <v>-375</v>
      </c>
      <c r="E346" s="14">
        <v>-813</v>
      </c>
      <c r="F346" s="14">
        <v>-89</v>
      </c>
      <c r="G346" s="14"/>
      <c r="H346" s="14">
        <v>702</v>
      </c>
      <c r="I346" s="14">
        <v>48</v>
      </c>
      <c r="J346" s="14">
        <v>-493</v>
      </c>
      <c r="K346" s="14"/>
      <c r="L346" s="14"/>
      <c r="M346" s="15"/>
      <c r="N346" s="14">
        <v>4</v>
      </c>
      <c r="O346" s="14">
        <v>-1</v>
      </c>
      <c r="P346" s="14">
        <v>0</v>
      </c>
      <c r="Q346" s="14"/>
      <c r="R346" s="14"/>
      <c r="S346" s="14"/>
      <c r="T346" s="14"/>
      <c r="U346" s="14"/>
      <c r="V346" s="14"/>
      <c r="W346" s="14"/>
      <c r="X346" s="14">
        <v>87</v>
      </c>
    </row>
    <row r="347" spans="1:24" ht="36" customHeight="1">
      <c r="A347" s="3" t="s">
        <v>650</v>
      </c>
      <c r="B347" s="1"/>
      <c r="C347" s="14"/>
      <c r="D347" s="14">
        <v>25</v>
      </c>
      <c r="E347" s="14">
        <v>6</v>
      </c>
      <c r="F347" s="14">
        <v>-2</v>
      </c>
      <c r="G347" s="14"/>
      <c r="H347" s="14"/>
      <c r="I347" s="14"/>
      <c r="J347" s="14"/>
      <c r="K347" s="14"/>
      <c r="L347" s="14"/>
      <c r="M347" s="15"/>
      <c r="N347" s="14"/>
      <c r="O347" s="14"/>
      <c r="P347" s="14"/>
      <c r="Q347" s="14"/>
      <c r="R347" s="14"/>
      <c r="S347" s="14"/>
      <c r="T347" s="14"/>
      <c r="U347" s="14"/>
      <c r="V347" s="14"/>
      <c r="W347" s="14"/>
      <c r="X347" s="14"/>
    </row>
    <row r="348" spans="1:24" ht="36" customHeight="1">
      <c r="A348" s="3" t="s">
        <v>651</v>
      </c>
      <c r="B348" s="1"/>
      <c r="C348" s="14"/>
      <c r="D348" s="14">
        <v>0</v>
      </c>
      <c r="E348" s="14">
        <v>0</v>
      </c>
      <c r="F348" s="14">
        <v>0</v>
      </c>
      <c r="G348" s="14"/>
      <c r="H348" s="14"/>
      <c r="I348" s="14"/>
      <c r="J348" s="14"/>
      <c r="K348" s="14"/>
      <c r="L348" s="14"/>
      <c r="M348" s="15"/>
      <c r="N348" s="14"/>
      <c r="O348" s="14"/>
      <c r="P348" s="14"/>
      <c r="Q348" s="14"/>
      <c r="R348" s="14"/>
      <c r="S348" s="14"/>
      <c r="T348" s="14"/>
      <c r="U348" s="14"/>
      <c r="V348" s="14"/>
      <c r="W348" s="14"/>
      <c r="X348" s="14"/>
    </row>
    <row r="349" spans="1:24" ht="50" customHeight="1">
      <c r="A349" s="3" t="s">
        <v>652</v>
      </c>
      <c r="B349" s="1"/>
      <c r="C349" s="14"/>
      <c r="D349" s="14">
        <v>829</v>
      </c>
      <c r="E349" s="14">
        <v>-2532</v>
      </c>
      <c r="F349" s="14">
        <v>414</v>
      </c>
      <c r="G349" s="14"/>
      <c r="H349" s="14">
        <v>632</v>
      </c>
      <c r="I349" s="14">
        <v>-625</v>
      </c>
      <c r="J349" s="14">
        <v>-515</v>
      </c>
      <c r="K349" s="14"/>
      <c r="L349" s="14"/>
      <c r="M349" s="15"/>
      <c r="N349" s="14">
        <v>474</v>
      </c>
      <c r="O349" s="14">
        <v>-804</v>
      </c>
      <c r="P349" s="14">
        <v>-1038</v>
      </c>
      <c r="Q349" s="14"/>
      <c r="R349" s="14"/>
      <c r="S349" s="14"/>
      <c r="T349" s="14"/>
      <c r="U349" s="14"/>
      <c r="V349" s="14"/>
      <c r="W349" s="14"/>
      <c r="X349" s="14">
        <v>-737</v>
      </c>
    </row>
    <row r="350" spans="1:24" ht="36" customHeight="1">
      <c r="A350" s="3" t="s">
        <v>653</v>
      </c>
      <c r="B350" s="1"/>
      <c r="C350" s="14"/>
      <c r="D350" s="14">
        <v>0</v>
      </c>
      <c r="E350" s="14">
        <v>44</v>
      </c>
      <c r="F350" s="14">
        <v>0</v>
      </c>
      <c r="G350" s="14"/>
      <c r="H350" s="14">
        <v>18</v>
      </c>
      <c r="I350" s="14">
        <v>0</v>
      </c>
      <c r="J350" s="14">
        <v>108</v>
      </c>
      <c r="K350" s="14">
        <v>0</v>
      </c>
      <c r="L350" s="14">
        <v>0</v>
      </c>
      <c r="M350" s="15"/>
      <c r="N350" s="14">
        <v>0</v>
      </c>
      <c r="O350" s="14">
        <v>0</v>
      </c>
      <c r="P350" s="14">
        <v>0</v>
      </c>
      <c r="Q350" s="14"/>
      <c r="R350" s="14">
        <v>0</v>
      </c>
      <c r="S350" s="14">
        <v>0</v>
      </c>
      <c r="T350" s="14">
        <v>0</v>
      </c>
      <c r="U350" s="14"/>
      <c r="V350" s="14">
        <v>0</v>
      </c>
      <c r="W350" s="14">
        <v>0</v>
      </c>
      <c r="X350" s="14">
        <v>0</v>
      </c>
    </row>
    <row r="351" spans="1:24" ht="36" customHeight="1">
      <c r="A351" s="3" t="s">
        <v>654</v>
      </c>
      <c r="B351" s="1"/>
      <c r="C351" s="14"/>
      <c r="D351" s="14">
        <v>-171</v>
      </c>
      <c r="E351" s="14">
        <v>111</v>
      </c>
      <c r="F351" s="14">
        <v>14</v>
      </c>
      <c r="G351" s="14"/>
      <c r="H351" s="14">
        <v>-48</v>
      </c>
      <c r="I351" s="14">
        <v>-129</v>
      </c>
      <c r="J351" s="14">
        <v>146</v>
      </c>
      <c r="K351" s="14">
        <v>158</v>
      </c>
      <c r="L351" s="14">
        <v>-132</v>
      </c>
      <c r="M351" s="15"/>
      <c r="N351" s="14">
        <v>51</v>
      </c>
      <c r="O351" s="14">
        <v>53</v>
      </c>
      <c r="P351" s="14">
        <v>7</v>
      </c>
      <c r="Q351" s="14"/>
      <c r="R351" s="14">
        <v>-31</v>
      </c>
      <c r="S351" s="14">
        <v>-53</v>
      </c>
      <c r="T351" s="14">
        <v>-5</v>
      </c>
      <c r="U351" s="14"/>
      <c r="V351" s="14">
        <v>-37</v>
      </c>
      <c r="W351" s="14">
        <v>-52</v>
      </c>
      <c r="X351" s="14">
        <v>-37</v>
      </c>
    </row>
    <row r="352" spans="1:24" ht="36" customHeight="1">
      <c r="A352" s="3" t="s">
        <v>655</v>
      </c>
      <c r="B352" s="1"/>
      <c r="C352" s="14"/>
      <c r="D352" s="14">
        <v>158</v>
      </c>
      <c r="E352" s="14">
        <v>218</v>
      </c>
      <c r="F352" s="14">
        <v>468</v>
      </c>
      <c r="G352" s="14"/>
      <c r="H352" s="14">
        <v>299</v>
      </c>
      <c r="I352" s="14">
        <v>440</v>
      </c>
      <c r="J352" s="14">
        <v>37</v>
      </c>
      <c r="K352" s="14">
        <v>285</v>
      </c>
      <c r="L352" s="14">
        <v>362</v>
      </c>
      <c r="M352" s="15"/>
      <c r="N352" s="14">
        <v>9</v>
      </c>
      <c r="O352" s="14">
        <v>12</v>
      </c>
      <c r="P352" s="14">
        <v>25</v>
      </c>
      <c r="Q352" s="14"/>
      <c r="R352" s="14">
        <v>17</v>
      </c>
      <c r="S352" s="14">
        <v>18</v>
      </c>
      <c r="T352" s="14">
        <v>33</v>
      </c>
      <c r="U352" s="14"/>
      <c r="V352" s="14">
        <v>19</v>
      </c>
      <c r="W352" s="14">
        <v>22</v>
      </c>
      <c r="X352" s="14">
        <v>175</v>
      </c>
    </row>
    <row r="353" spans="1:24" ht="36" customHeight="1">
      <c r="A353" s="3" t="s">
        <v>656</v>
      </c>
      <c r="B353" s="1"/>
      <c r="C353" s="14"/>
      <c r="D353" s="14">
        <v>-99</v>
      </c>
      <c r="E353" s="14">
        <v>0</v>
      </c>
      <c r="F353" s="14">
        <v>0</v>
      </c>
      <c r="G353" s="14"/>
      <c r="H353" s="14"/>
      <c r="I353" s="14"/>
      <c r="J353" s="14"/>
      <c r="K353" s="14"/>
      <c r="L353" s="14"/>
      <c r="M353" s="15"/>
      <c r="N353" s="14"/>
      <c r="O353" s="14"/>
      <c r="P353" s="14"/>
      <c r="Q353" s="14"/>
      <c r="R353" s="14"/>
      <c r="S353" s="14"/>
      <c r="T353" s="14"/>
      <c r="U353" s="14"/>
      <c r="V353" s="14"/>
      <c r="W353" s="14"/>
      <c r="X353" s="14"/>
    </row>
    <row r="354" spans="1:24" ht="36" customHeight="1">
      <c r="A354" s="3" t="s">
        <v>657</v>
      </c>
      <c r="B354" s="1"/>
      <c r="C354" s="14"/>
      <c r="D354" s="14">
        <v>0</v>
      </c>
      <c r="E354" s="14">
        <v>0</v>
      </c>
      <c r="F354" s="14">
        <v>0</v>
      </c>
      <c r="G354" s="14"/>
      <c r="H354" s="14"/>
      <c r="I354" s="14"/>
      <c r="J354" s="14"/>
      <c r="K354" s="14"/>
      <c r="L354" s="14"/>
      <c r="M354" s="15"/>
      <c r="N354" s="14"/>
      <c r="O354" s="14"/>
      <c r="P354" s="14"/>
      <c r="Q354" s="14"/>
      <c r="R354" s="14"/>
      <c r="S354" s="14"/>
      <c r="T354" s="14"/>
      <c r="U354" s="14"/>
      <c r="V354" s="14"/>
      <c r="W354" s="14"/>
      <c r="X354" s="14"/>
    </row>
    <row r="355" spans="1:24" ht="50" customHeight="1">
      <c r="A355" s="3" t="s">
        <v>658</v>
      </c>
      <c r="B355" s="1"/>
      <c r="C355" s="14"/>
      <c r="D355" s="14">
        <v>-112</v>
      </c>
      <c r="E355" s="14">
        <v>373</v>
      </c>
      <c r="F355" s="14">
        <v>482</v>
      </c>
      <c r="G355" s="14"/>
      <c r="H355" s="14">
        <v>269</v>
      </c>
      <c r="I355" s="14">
        <v>311</v>
      </c>
      <c r="J355" s="14">
        <v>291</v>
      </c>
      <c r="K355" s="14">
        <v>443</v>
      </c>
      <c r="L355" s="14">
        <v>230</v>
      </c>
      <c r="M355" s="15"/>
      <c r="N355" s="14">
        <v>60</v>
      </c>
      <c r="O355" s="14">
        <v>65</v>
      </c>
      <c r="P355" s="14">
        <v>32</v>
      </c>
      <c r="Q355" s="14"/>
      <c r="R355" s="14">
        <v>-14</v>
      </c>
      <c r="S355" s="14">
        <v>-35</v>
      </c>
      <c r="T355" s="14">
        <v>28</v>
      </c>
      <c r="U355" s="14"/>
      <c r="V355" s="14">
        <v>-18</v>
      </c>
      <c r="W355" s="14">
        <v>-30</v>
      </c>
      <c r="X355" s="14">
        <v>138</v>
      </c>
    </row>
    <row r="356" spans="1:24" ht="36" customHeight="1">
      <c r="A356" s="3" t="s">
        <v>659</v>
      </c>
      <c r="B356" s="1"/>
      <c r="C356" s="14"/>
      <c r="D356" s="14">
        <v>-2825</v>
      </c>
      <c r="E356" s="14"/>
      <c r="F356" s="14"/>
      <c r="G356" s="14"/>
      <c r="H356" s="14"/>
      <c r="I356" s="14"/>
      <c r="J356" s="14"/>
      <c r="K356" s="14"/>
      <c r="L356" s="14"/>
      <c r="M356" s="15"/>
      <c r="N356" s="14"/>
      <c r="O356" s="14"/>
      <c r="P356" s="14"/>
      <c r="Q356" s="14"/>
      <c r="R356" s="14"/>
      <c r="S356" s="14"/>
      <c r="T356" s="14"/>
      <c r="U356" s="14"/>
      <c r="V356" s="14"/>
      <c r="W356" s="14"/>
      <c r="X356" s="14"/>
    </row>
    <row r="357" spans="1:24" ht="36" customHeight="1">
      <c r="A357" s="3" t="s">
        <v>660</v>
      </c>
      <c r="B357" s="1"/>
      <c r="C357" s="14"/>
      <c r="D357" s="14">
        <v>2</v>
      </c>
      <c r="E357" s="14"/>
      <c r="F357" s="14"/>
      <c r="G357" s="14"/>
      <c r="H357" s="14"/>
      <c r="I357" s="14"/>
      <c r="J357" s="14"/>
      <c r="K357" s="14"/>
      <c r="L357" s="14"/>
      <c r="M357" s="15"/>
      <c r="N357" s="14"/>
      <c r="O357" s="14"/>
      <c r="P357" s="14"/>
      <c r="Q357" s="14"/>
      <c r="R357" s="14"/>
      <c r="S357" s="14"/>
      <c r="T357" s="14"/>
      <c r="U357" s="14"/>
      <c r="V357" s="14"/>
      <c r="W357" s="14"/>
      <c r="X357" s="14"/>
    </row>
    <row r="358" spans="1:24" ht="36" customHeight="1">
      <c r="A358" s="3" t="s">
        <v>661</v>
      </c>
      <c r="B358" s="1"/>
      <c r="C358" s="14"/>
      <c r="D358" s="14">
        <v>178</v>
      </c>
      <c r="E358" s="14"/>
      <c r="F358" s="14"/>
      <c r="G358" s="14"/>
      <c r="H358" s="14"/>
      <c r="I358" s="14"/>
      <c r="J358" s="14"/>
      <c r="K358" s="14"/>
      <c r="L358" s="14"/>
      <c r="M358" s="15"/>
      <c r="N358" s="14"/>
      <c r="O358" s="14"/>
      <c r="P358" s="14"/>
      <c r="Q358" s="14"/>
      <c r="R358" s="14"/>
      <c r="S358" s="14"/>
      <c r="T358" s="14"/>
      <c r="U358" s="14"/>
      <c r="V358" s="14"/>
      <c r="W358" s="14"/>
      <c r="X358" s="14"/>
    </row>
    <row r="359" spans="1:24" ht="36" customHeight="1">
      <c r="A359" s="3" t="s">
        <v>662</v>
      </c>
      <c r="B359" s="1"/>
      <c r="C359" s="14"/>
      <c r="D359" s="14">
        <v>3</v>
      </c>
      <c r="E359" s="14"/>
      <c r="F359" s="14"/>
      <c r="G359" s="14"/>
      <c r="H359" s="14"/>
      <c r="I359" s="14"/>
      <c r="J359" s="14"/>
      <c r="K359" s="14"/>
      <c r="L359" s="14"/>
      <c r="M359" s="15"/>
      <c r="N359" s="14"/>
      <c r="O359" s="14"/>
      <c r="P359" s="14"/>
      <c r="Q359" s="14"/>
      <c r="R359" s="14"/>
      <c r="S359" s="14"/>
      <c r="T359" s="14"/>
      <c r="U359" s="14"/>
      <c r="V359" s="14"/>
      <c r="W359" s="14"/>
      <c r="X359" s="14"/>
    </row>
    <row r="360" spans="1:24" ht="22" customHeight="1">
      <c r="A360" s="3" t="s">
        <v>663</v>
      </c>
      <c r="B360" s="1"/>
      <c r="C360" s="14"/>
      <c r="D360" s="14">
        <v>0</v>
      </c>
      <c r="E360" s="14"/>
      <c r="F360" s="14"/>
      <c r="G360" s="14"/>
      <c r="H360" s="14"/>
      <c r="I360" s="14"/>
      <c r="J360" s="14"/>
      <c r="K360" s="14"/>
      <c r="L360" s="14"/>
      <c r="M360" s="15"/>
      <c r="N360" s="14"/>
      <c r="O360" s="14"/>
      <c r="P360" s="14"/>
      <c r="Q360" s="14"/>
      <c r="R360" s="14"/>
      <c r="S360" s="14"/>
      <c r="T360" s="14"/>
      <c r="U360" s="14"/>
      <c r="V360" s="14"/>
      <c r="W360" s="14"/>
      <c r="X360" s="14"/>
    </row>
    <row r="361" spans="1:24" ht="36" customHeight="1">
      <c r="A361" s="3" t="s">
        <v>664</v>
      </c>
      <c r="B361" s="1"/>
      <c r="C361" s="14"/>
      <c r="D361" s="14">
        <v>-2642</v>
      </c>
      <c r="E361" s="14"/>
      <c r="F361" s="14"/>
      <c r="G361" s="14"/>
      <c r="H361" s="14"/>
      <c r="I361" s="14"/>
      <c r="J361" s="14"/>
      <c r="K361" s="14"/>
      <c r="L361" s="14"/>
      <c r="M361" s="15"/>
      <c r="N361" s="14"/>
      <c r="O361" s="14"/>
      <c r="P361" s="14"/>
      <c r="Q361" s="14"/>
      <c r="R361" s="14"/>
      <c r="S361" s="14"/>
      <c r="T361" s="14"/>
      <c r="U361" s="14"/>
      <c r="V361" s="14"/>
      <c r="W361" s="14"/>
      <c r="X361" s="14"/>
    </row>
    <row r="362" spans="1:24" ht="22" customHeight="1">
      <c r="A362" s="3" t="s">
        <v>665</v>
      </c>
      <c r="B362" s="1"/>
      <c r="C362" s="14"/>
      <c r="D362" s="14">
        <v>60</v>
      </c>
      <c r="E362" s="14">
        <v>-21</v>
      </c>
      <c r="F362" s="14">
        <v>-8</v>
      </c>
      <c r="G362" s="14"/>
      <c r="H362" s="14">
        <v>-47</v>
      </c>
      <c r="I362" s="14">
        <v>-36</v>
      </c>
      <c r="J362" s="14">
        <v>27</v>
      </c>
      <c r="K362" s="14">
        <v>3</v>
      </c>
      <c r="L362" s="14">
        <v>90</v>
      </c>
      <c r="M362" s="15"/>
      <c r="N362" s="14">
        <v>-14</v>
      </c>
      <c r="O362" s="14">
        <v>28</v>
      </c>
      <c r="P362" s="14">
        <v>32</v>
      </c>
      <c r="Q362" s="14"/>
      <c r="R362" s="14">
        <v>26</v>
      </c>
      <c r="S362" s="14">
        <v>46</v>
      </c>
      <c r="T362" s="14">
        <v>6</v>
      </c>
      <c r="U362" s="14"/>
      <c r="V362" s="14">
        <v>-38</v>
      </c>
      <c r="W362" s="14">
        <v>10</v>
      </c>
      <c r="X362" s="14">
        <v>18</v>
      </c>
    </row>
    <row r="363" spans="1:24" ht="22" customHeight="1">
      <c r="A363" s="3" t="s">
        <v>666</v>
      </c>
      <c r="B363" s="1"/>
      <c r="C363" s="14"/>
      <c r="D363" s="14">
        <v>5</v>
      </c>
      <c r="E363" s="14">
        <v>-10</v>
      </c>
      <c r="F363" s="14">
        <v>27</v>
      </c>
      <c r="G363" s="14"/>
      <c r="H363" s="14">
        <v>-45</v>
      </c>
      <c r="I363" s="14">
        <v>49</v>
      </c>
      <c r="J363" s="14">
        <v>10</v>
      </c>
      <c r="K363" s="14">
        <v>-39</v>
      </c>
      <c r="L363" s="14">
        <v>-10</v>
      </c>
      <c r="M363" s="15"/>
      <c r="N363" s="14">
        <v>-1</v>
      </c>
      <c r="O363" s="14">
        <v>-14</v>
      </c>
      <c r="P363" s="14">
        <v>3</v>
      </c>
      <c r="Q363" s="14"/>
      <c r="R363" s="14">
        <v>-5</v>
      </c>
      <c r="S363" s="14">
        <v>8</v>
      </c>
      <c r="T363" s="14">
        <v>-7</v>
      </c>
      <c r="U363" s="14"/>
      <c r="V363" s="14">
        <v>-16</v>
      </c>
      <c r="W363" s="14">
        <v>-1</v>
      </c>
      <c r="X363" s="14">
        <v>13</v>
      </c>
    </row>
    <row r="364" spans="1:24" ht="22" customHeight="1">
      <c r="A364" s="3" t="s">
        <v>667</v>
      </c>
      <c r="B364" s="1"/>
      <c r="C364" s="14"/>
      <c r="D364" s="14">
        <v>58</v>
      </c>
      <c r="E364" s="14">
        <v>128</v>
      </c>
      <c r="F364" s="14">
        <v>-96</v>
      </c>
      <c r="G364" s="14"/>
      <c r="H364" s="14">
        <v>-231</v>
      </c>
      <c r="I364" s="14">
        <v>-99</v>
      </c>
      <c r="J364" s="14">
        <v>98</v>
      </c>
      <c r="K364" s="14">
        <v>0</v>
      </c>
      <c r="L364" s="14">
        <v>-144</v>
      </c>
      <c r="M364" s="15"/>
      <c r="N364" s="14">
        <v>-2</v>
      </c>
      <c r="O364" s="14">
        <v>-2</v>
      </c>
      <c r="P364" s="14">
        <v>-4</v>
      </c>
      <c r="Q364" s="14"/>
      <c r="R364" s="14">
        <v>-3</v>
      </c>
      <c r="S364" s="14">
        <v>5</v>
      </c>
      <c r="T364" s="14">
        <v>-6</v>
      </c>
      <c r="U364" s="14"/>
      <c r="V364" s="14">
        <v>-3</v>
      </c>
      <c r="W364" s="14">
        <v>-5</v>
      </c>
      <c r="X364" s="14">
        <v>-59</v>
      </c>
    </row>
    <row r="365" spans="1:24" ht="22" customHeight="1">
      <c r="A365" s="3" t="s">
        <v>668</v>
      </c>
      <c r="B365" s="1"/>
      <c r="C365" s="14"/>
      <c r="D365" s="14">
        <v>6</v>
      </c>
      <c r="E365" s="14">
        <v>0</v>
      </c>
      <c r="F365" s="14">
        <v>0</v>
      </c>
      <c r="G365" s="14"/>
      <c r="H365" s="14"/>
      <c r="I365" s="14"/>
      <c r="J365" s="14"/>
      <c r="K365" s="14"/>
      <c r="L365" s="14"/>
      <c r="M365" s="15"/>
      <c r="N365" s="14"/>
      <c r="O365" s="14"/>
      <c r="P365" s="14"/>
      <c r="Q365" s="14"/>
      <c r="R365" s="14"/>
      <c r="S365" s="14"/>
      <c r="T365" s="14"/>
      <c r="U365" s="14"/>
      <c r="V365" s="14"/>
      <c r="W365" s="14"/>
      <c r="X365" s="14"/>
    </row>
    <row r="366" spans="1:24" ht="22" customHeight="1">
      <c r="A366" s="3" t="s">
        <v>669</v>
      </c>
      <c r="B366" s="1"/>
      <c r="C366" s="14"/>
      <c r="D366" s="14">
        <v>16</v>
      </c>
      <c r="E366" s="14">
        <v>0</v>
      </c>
      <c r="F366" s="14">
        <v>0</v>
      </c>
      <c r="G366" s="14"/>
      <c r="H366" s="14"/>
      <c r="I366" s="14"/>
      <c r="J366" s="14"/>
      <c r="K366" s="14"/>
      <c r="L366" s="14"/>
      <c r="M366" s="15"/>
      <c r="N366" s="14"/>
      <c r="O366" s="14"/>
      <c r="P366" s="14"/>
      <c r="Q366" s="14"/>
      <c r="R366" s="14"/>
      <c r="S366" s="14"/>
      <c r="T366" s="14"/>
      <c r="U366" s="14"/>
      <c r="V366" s="14"/>
      <c r="W366" s="14"/>
      <c r="X366" s="14"/>
    </row>
    <row r="367" spans="1:24" ht="36" customHeight="1">
      <c r="A367" s="3" t="s">
        <v>670</v>
      </c>
      <c r="B367" s="1"/>
      <c r="C367" s="14"/>
      <c r="D367" s="14">
        <v>145</v>
      </c>
      <c r="E367" s="14">
        <v>97</v>
      </c>
      <c r="F367" s="14">
        <v>-77</v>
      </c>
      <c r="G367" s="14"/>
      <c r="H367" s="14">
        <v>-323</v>
      </c>
      <c r="I367" s="14">
        <v>-90</v>
      </c>
      <c r="J367" s="14">
        <v>-8</v>
      </c>
      <c r="K367" s="14">
        <v>36</v>
      </c>
      <c r="L367" s="14">
        <v>-177</v>
      </c>
      <c r="M367" s="15"/>
      <c r="N367" s="14">
        <v>-179</v>
      </c>
      <c r="O367" s="14">
        <v>132</v>
      </c>
      <c r="P367" s="14">
        <v>140</v>
      </c>
      <c r="Q367" s="14"/>
      <c r="R367" s="14">
        <v>-3</v>
      </c>
      <c r="S367" s="14">
        <v>39</v>
      </c>
      <c r="T367" s="14">
        <v>-133</v>
      </c>
      <c r="U367" s="14"/>
      <c r="V367" s="14">
        <v>-26</v>
      </c>
      <c r="W367" s="14">
        <v>72</v>
      </c>
      <c r="X367" s="14">
        <v>-45</v>
      </c>
    </row>
    <row r="368" spans="1:24" ht="36" customHeight="1">
      <c r="A368" s="3" t="s">
        <v>671</v>
      </c>
      <c r="B368" s="1"/>
      <c r="C368" s="14"/>
      <c r="D368" s="14">
        <v>1049</v>
      </c>
      <c r="E368" s="14">
        <v>-1620</v>
      </c>
      <c r="F368" s="14">
        <v>636</v>
      </c>
      <c r="G368" s="14"/>
      <c r="H368" s="14">
        <v>-322</v>
      </c>
      <c r="I368" s="14">
        <v>-603</v>
      </c>
      <c r="J368" s="14">
        <v>-334</v>
      </c>
      <c r="K368" s="14">
        <v>-1965</v>
      </c>
      <c r="L368" s="14"/>
      <c r="M368" s="15"/>
      <c r="N368" s="14">
        <v>-168</v>
      </c>
      <c r="O368" s="14">
        <v>-295</v>
      </c>
      <c r="P368" s="14">
        <v>-544</v>
      </c>
      <c r="Q368" s="14"/>
      <c r="R368" s="14"/>
      <c r="S368" s="14"/>
      <c r="T368" s="14"/>
      <c r="U368" s="14"/>
      <c r="V368" s="14"/>
      <c r="W368" s="14"/>
      <c r="X368" s="14">
        <v>-876</v>
      </c>
    </row>
    <row r="369" spans="1:24" ht="22" customHeight="1">
      <c r="A369" s="3" t="s">
        <v>672</v>
      </c>
      <c r="B369" s="1"/>
      <c r="C369" s="14"/>
      <c r="D369" s="14">
        <v>-41</v>
      </c>
      <c r="E369" s="14">
        <v>50</v>
      </c>
      <c r="F369" s="14">
        <v>-117</v>
      </c>
      <c r="G369" s="14"/>
      <c r="H369" s="14">
        <v>200</v>
      </c>
      <c r="I369" s="14">
        <v>-207</v>
      </c>
      <c r="J369" s="14">
        <v>-42</v>
      </c>
      <c r="K369" s="14">
        <v>152</v>
      </c>
      <c r="L369" s="14"/>
      <c r="M369" s="15"/>
      <c r="N369" s="14">
        <v>4</v>
      </c>
      <c r="O369" s="14">
        <v>56</v>
      </c>
      <c r="P369" s="14">
        <v>-27</v>
      </c>
      <c r="Q369" s="14"/>
      <c r="R369" s="14"/>
      <c r="S369" s="14"/>
      <c r="T369" s="14"/>
      <c r="U369" s="14"/>
      <c r="V369" s="14"/>
      <c r="W369" s="14"/>
      <c r="X369" s="14">
        <v>-54</v>
      </c>
    </row>
    <row r="370" spans="1:24" ht="36" customHeight="1">
      <c r="A370" s="3" t="s">
        <v>673</v>
      </c>
      <c r="B370" s="1"/>
      <c r="C370" s="14"/>
      <c r="D370" s="14">
        <v>-217</v>
      </c>
      <c r="E370" s="14">
        <v>-595</v>
      </c>
      <c r="F370" s="14">
        <v>379</v>
      </c>
      <c r="G370" s="14"/>
      <c r="H370" s="14">
        <v>1001</v>
      </c>
      <c r="I370" s="14">
        <v>488</v>
      </c>
      <c r="J370" s="14">
        <v>-456</v>
      </c>
      <c r="K370" s="14">
        <v>5</v>
      </c>
      <c r="L370" s="14"/>
      <c r="M370" s="15"/>
      <c r="N370" s="14">
        <v>13</v>
      </c>
      <c r="O370" s="14">
        <v>11</v>
      </c>
      <c r="P370" s="14">
        <v>25</v>
      </c>
      <c r="Q370" s="14"/>
      <c r="R370" s="14"/>
      <c r="S370" s="14"/>
      <c r="T370" s="14"/>
      <c r="U370" s="14"/>
      <c r="V370" s="14"/>
      <c r="W370" s="14"/>
      <c r="X370" s="14">
        <v>262</v>
      </c>
    </row>
    <row r="371" spans="1:24" ht="36" customHeight="1">
      <c r="A371" s="3" t="s">
        <v>674</v>
      </c>
      <c r="B371" s="1"/>
      <c r="C371" s="14"/>
      <c r="D371" s="14">
        <v>-74</v>
      </c>
      <c r="E371" s="14">
        <v>6</v>
      </c>
      <c r="F371" s="14">
        <v>-2</v>
      </c>
      <c r="G371" s="14"/>
      <c r="H371" s="14"/>
      <c r="I371" s="14"/>
      <c r="J371" s="14"/>
      <c r="K371" s="14"/>
      <c r="L371" s="14"/>
      <c r="M371" s="15"/>
      <c r="N371" s="14"/>
      <c r="O371" s="14"/>
      <c r="P371" s="14"/>
      <c r="Q371" s="14"/>
      <c r="R371" s="14"/>
      <c r="S371" s="14"/>
      <c r="T371" s="14"/>
      <c r="U371" s="14"/>
      <c r="V371" s="14"/>
      <c r="W371" s="14"/>
      <c r="X371" s="14"/>
    </row>
    <row r="372" spans="1:24" ht="22" customHeight="1">
      <c r="A372" s="3" t="s">
        <v>675</v>
      </c>
      <c r="B372" s="1"/>
      <c r="C372" s="14"/>
      <c r="D372" s="14">
        <v>0</v>
      </c>
      <c r="E372" s="14">
        <v>0</v>
      </c>
      <c r="F372" s="14">
        <v>0</v>
      </c>
      <c r="G372" s="14"/>
      <c r="H372" s="14"/>
      <c r="I372" s="14"/>
      <c r="J372" s="14"/>
      <c r="K372" s="14"/>
      <c r="L372" s="14"/>
      <c r="M372" s="15"/>
      <c r="N372" s="14"/>
      <c r="O372" s="14"/>
      <c r="P372" s="14"/>
      <c r="Q372" s="14"/>
      <c r="R372" s="14"/>
      <c r="S372" s="14"/>
      <c r="T372" s="14"/>
      <c r="U372" s="14"/>
      <c r="V372" s="14"/>
      <c r="W372" s="14"/>
      <c r="X372" s="14"/>
    </row>
    <row r="373" spans="1:24" ht="36" customHeight="1">
      <c r="A373" s="3" t="s">
        <v>676</v>
      </c>
      <c r="B373" s="1"/>
      <c r="C373" s="14"/>
      <c r="D373" s="14">
        <v>717</v>
      </c>
      <c r="E373" s="14">
        <v>-2159</v>
      </c>
      <c r="F373" s="14">
        <v>896</v>
      </c>
      <c r="G373" s="14"/>
      <c r="H373" s="14">
        <v>901</v>
      </c>
      <c r="I373" s="14">
        <v>-314</v>
      </c>
      <c r="J373" s="14">
        <v>-224</v>
      </c>
      <c r="K373" s="14">
        <v>-2114</v>
      </c>
      <c r="L373" s="14"/>
      <c r="M373" s="15"/>
      <c r="N373" s="14">
        <v>534</v>
      </c>
      <c r="O373" s="14">
        <v>-739</v>
      </c>
      <c r="P373" s="14">
        <v>-1006</v>
      </c>
      <c r="Q373" s="14"/>
      <c r="R373" s="14"/>
      <c r="S373" s="14"/>
      <c r="T373" s="14"/>
      <c r="U373" s="14"/>
      <c r="V373" s="14"/>
      <c r="W373" s="14"/>
      <c r="X373" s="14">
        <v>-599</v>
      </c>
    </row>
    <row r="374" spans="1:24" ht="36" customHeight="1">
      <c r="A374" s="3" t="s">
        <v>677</v>
      </c>
      <c r="B374" s="1"/>
      <c r="C374" s="14"/>
      <c r="D374" s="14"/>
      <c r="E374" s="14"/>
      <c r="F374" s="14"/>
      <c r="G374" s="14">
        <v>-20</v>
      </c>
      <c r="H374" s="14">
        <v>2</v>
      </c>
      <c r="I374" s="14">
        <v>6</v>
      </c>
      <c r="J374" s="14">
        <v>471</v>
      </c>
      <c r="K374" s="14"/>
      <c r="L374" s="14"/>
      <c r="M374" s="15"/>
      <c r="N374" s="14">
        <v>994</v>
      </c>
      <c r="O374" s="14"/>
      <c r="P374" s="14"/>
      <c r="Q374" s="14"/>
      <c r="R374" s="14"/>
      <c r="S374" s="14"/>
      <c r="T374" s="14"/>
      <c r="U374" s="14"/>
      <c r="V374" s="14"/>
      <c r="W374" s="14"/>
      <c r="X374" s="14"/>
    </row>
    <row r="375" spans="1:24" ht="36" customHeight="1">
      <c r="A375" s="3" t="s">
        <v>678</v>
      </c>
      <c r="B375" s="1"/>
      <c r="C375" s="14"/>
      <c r="D375" s="14"/>
      <c r="E375" s="14"/>
      <c r="F375" s="14"/>
      <c r="G375" s="14"/>
      <c r="H375" s="14">
        <v>22</v>
      </c>
      <c r="I375" s="14">
        <v>8</v>
      </c>
      <c r="J375" s="14">
        <v>608</v>
      </c>
      <c r="K375" s="14"/>
      <c r="L375" s="14"/>
      <c r="M375" s="15"/>
      <c r="N375" s="14">
        <v>685</v>
      </c>
      <c r="O375" s="14">
        <v>-511</v>
      </c>
      <c r="P375" s="14">
        <v>-460</v>
      </c>
      <c r="Q375" s="14"/>
      <c r="R375" s="14"/>
      <c r="S375" s="14"/>
      <c r="T375" s="14"/>
      <c r="U375" s="14"/>
      <c r="V375" s="14"/>
      <c r="W375" s="14"/>
      <c r="X375" s="14">
        <v>69</v>
      </c>
    </row>
    <row r="376" spans="1:24" ht="36" customHeight="1">
      <c r="A376" s="3" t="s">
        <v>679</v>
      </c>
      <c r="B376" s="1"/>
      <c r="C376" s="14"/>
      <c r="D376" s="14"/>
      <c r="E376" s="14"/>
      <c r="F376" s="14"/>
      <c r="G376" s="14"/>
      <c r="H376" s="14">
        <v>0</v>
      </c>
      <c r="I376" s="14">
        <v>0</v>
      </c>
      <c r="J376" s="14">
        <v>0</v>
      </c>
      <c r="K376" s="14">
        <v>0</v>
      </c>
      <c r="L376" s="14">
        <v>0</v>
      </c>
      <c r="M376" s="15"/>
      <c r="N376" s="14">
        <v>0</v>
      </c>
      <c r="O376" s="14">
        <v>0</v>
      </c>
      <c r="P376" s="14">
        <v>0</v>
      </c>
      <c r="Q376" s="14"/>
      <c r="R376" s="14">
        <v>0</v>
      </c>
      <c r="S376" s="14">
        <v>0</v>
      </c>
      <c r="T376" s="14">
        <v>0</v>
      </c>
      <c r="U376" s="14"/>
      <c r="V376" s="14">
        <v>0</v>
      </c>
      <c r="W376" s="14">
        <v>0</v>
      </c>
      <c r="X376" s="14">
        <v>0</v>
      </c>
    </row>
    <row r="377" spans="1:24" ht="36" customHeight="1">
      <c r="A377" s="3" t="s">
        <v>680</v>
      </c>
      <c r="B377" s="1"/>
      <c r="C377" s="14"/>
      <c r="D377" s="14"/>
      <c r="E377" s="14"/>
      <c r="F377" s="14"/>
      <c r="G377" s="14"/>
      <c r="H377" s="14">
        <v>22</v>
      </c>
      <c r="I377" s="14">
        <v>8</v>
      </c>
      <c r="J377" s="14">
        <v>608</v>
      </c>
      <c r="K377" s="14">
        <v>-306</v>
      </c>
      <c r="L377" s="14"/>
      <c r="M377" s="15"/>
      <c r="N377" s="14">
        <v>685</v>
      </c>
      <c r="O377" s="14">
        <v>-511</v>
      </c>
      <c r="P377" s="14">
        <v>-460</v>
      </c>
      <c r="Q377" s="14"/>
      <c r="R377" s="14"/>
      <c r="S377" s="14"/>
      <c r="T377" s="14"/>
      <c r="U377" s="14"/>
      <c r="V377" s="14"/>
      <c r="W377" s="14"/>
      <c r="X377" s="14">
        <v>69</v>
      </c>
    </row>
    <row r="378" spans="1:24" ht="22" customHeight="1">
      <c r="A378" s="3" t="s">
        <v>681</v>
      </c>
      <c r="B378" s="1"/>
      <c r="C378" s="14"/>
      <c r="D378" s="14"/>
      <c r="E378" s="14"/>
      <c r="F378" s="14"/>
      <c r="G378" s="14"/>
      <c r="H378" s="14">
        <v>0</v>
      </c>
      <c r="I378" s="14">
        <v>-4</v>
      </c>
      <c r="J378" s="14">
        <v>-143</v>
      </c>
      <c r="K378" s="14">
        <v>72</v>
      </c>
      <c r="L378" s="14">
        <v>-113</v>
      </c>
      <c r="M378" s="15"/>
      <c r="N378" s="14">
        <v>-162</v>
      </c>
      <c r="O378" s="14">
        <v>120</v>
      </c>
      <c r="P378" s="14">
        <v>109</v>
      </c>
      <c r="Q378" s="14"/>
      <c r="R378" s="14">
        <v>-21</v>
      </c>
      <c r="S378" s="14">
        <v>-20</v>
      </c>
      <c r="T378" s="14">
        <v>-126</v>
      </c>
      <c r="U378" s="14"/>
      <c r="V378" s="14">
        <v>31</v>
      </c>
      <c r="W378" s="14">
        <v>68</v>
      </c>
      <c r="X378" s="14">
        <v>-17</v>
      </c>
    </row>
    <row r="379" spans="1:24" ht="36" customHeight="1">
      <c r="A379" s="3" t="s">
        <v>682</v>
      </c>
      <c r="B379" s="1"/>
      <c r="C379" s="14"/>
      <c r="D379" s="14"/>
      <c r="E379" s="14"/>
      <c r="F379" s="14"/>
      <c r="G379" s="14"/>
      <c r="H379" s="14"/>
      <c r="I379" s="14"/>
      <c r="J379" s="14"/>
      <c r="K379" s="14">
        <v>237</v>
      </c>
      <c r="L379" s="14">
        <v>606</v>
      </c>
      <c r="M379" s="15"/>
      <c r="N379" s="14"/>
      <c r="O379" s="14">
        <v>603</v>
      </c>
      <c r="P379" s="14">
        <v>252</v>
      </c>
      <c r="Q379" s="14"/>
      <c r="R379" s="14">
        <v>303</v>
      </c>
      <c r="S379" s="14">
        <v>367</v>
      </c>
      <c r="T379" s="14">
        <v>777</v>
      </c>
      <c r="U379" s="14"/>
      <c r="V379" s="14">
        <v>508</v>
      </c>
      <c r="W379" s="14">
        <v>291</v>
      </c>
      <c r="X379" s="14">
        <v>343</v>
      </c>
    </row>
    <row r="380" spans="1:24" ht="36" customHeight="1">
      <c r="A380" s="3" t="s">
        <v>683</v>
      </c>
      <c r="B380" s="1"/>
      <c r="C380" s="14"/>
      <c r="D380" s="14"/>
      <c r="E380" s="14"/>
      <c r="F380" s="14"/>
      <c r="G380" s="14"/>
      <c r="H380" s="14"/>
      <c r="I380" s="14"/>
      <c r="J380" s="14"/>
      <c r="K380" s="14">
        <v>-1965</v>
      </c>
      <c r="L380" s="14"/>
      <c r="M380" s="15"/>
      <c r="N380" s="14"/>
      <c r="O380" s="14"/>
      <c r="P380" s="14"/>
      <c r="Q380" s="14"/>
      <c r="R380" s="14"/>
      <c r="S380" s="14"/>
      <c r="T380" s="14"/>
      <c r="U380" s="14"/>
      <c r="V380" s="14"/>
      <c r="W380" s="14"/>
      <c r="X380" s="14"/>
    </row>
    <row r="381" spans="1:24" ht="36" customHeight="1">
      <c r="A381" s="3" t="s">
        <v>684</v>
      </c>
      <c r="B381" s="1"/>
      <c r="C381" s="14"/>
      <c r="D381" s="14"/>
      <c r="E381" s="14"/>
      <c r="F381" s="14"/>
      <c r="G381" s="14"/>
      <c r="H381" s="14"/>
      <c r="I381" s="14"/>
      <c r="J381" s="14"/>
      <c r="K381" s="14">
        <v>-6</v>
      </c>
      <c r="L381" s="14"/>
      <c r="M381" s="15"/>
      <c r="N381" s="14"/>
      <c r="O381" s="14"/>
      <c r="P381" s="14"/>
      <c r="Q381" s="14"/>
      <c r="R381" s="14"/>
      <c r="S381" s="14"/>
      <c r="T381" s="14"/>
      <c r="U381" s="14"/>
      <c r="V381" s="14"/>
      <c r="W381" s="14"/>
      <c r="X381" s="14"/>
    </row>
    <row r="382" spans="1:24" ht="36" customHeight="1">
      <c r="A382" s="3" t="s">
        <v>685</v>
      </c>
      <c r="B382" s="1"/>
      <c r="C382" s="14"/>
      <c r="D382" s="14"/>
      <c r="E382" s="14"/>
      <c r="F382" s="14"/>
      <c r="G382" s="14"/>
      <c r="H382" s="14"/>
      <c r="I382" s="14"/>
      <c r="J382" s="14"/>
      <c r="K382" s="14">
        <v>-280</v>
      </c>
      <c r="L382" s="14"/>
      <c r="M382" s="15"/>
      <c r="N382" s="14"/>
      <c r="O382" s="14"/>
      <c r="P382" s="14"/>
      <c r="Q382" s="14"/>
      <c r="R382" s="14"/>
      <c r="S382" s="14"/>
      <c r="T382" s="14"/>
      <c r="U382" s="14"/>
      <c r="V382" s="14"/>
      <c r="W382" s="14"/>
      <c r="X382" s="14"/>
    </row>
    <row r="383" spans="1:24" ht="36" customHeight="1">
      <c r="A383" s="3" t="s">
        <v>686</v>
      </c>
      <c r="B383" s="1"/>
      <c r="C383" s="14"/>
      <c r="D383" s="14"/>
      <c r="E383" s="14"/>
      <c r="F383" s="14"/>
      <c r="G383" s="14"/>
      <c r="H383" s="14"/>
      <c r="I383" s="14"/>
      <c r="J383" s="14"/>
      <c r="K383" s="14">
        <v>-306</v>
      </c>
      <c r="L383" s="14"/>
      <c r="M383" s="15"/>
      <c r="N383" s="14"/>
      <c r="O383" s="14"/>
      <c r="P383" s="14"/>
      <c r="Q383" s="14"/>
      <c r="R383" s="14"/>
      <c r="S383" s="14"/>
      <c r="T383" s="14"/>
      <c r="U383" s="14"/>
      <c r="V383" s="14"/>
      <c r="W383" s="14"/>
      <c r="X383" s="14"/>
    </row>
    <row r="384" spans="1:24" ht="36" customHeight="1">
      <c r="A384" s="3" t="s">
        <v>687</v>
      </c>
      <c r="B384" s="1"/>
      <c r="C384" s="14"/>
      <c r="D384" s="14"/>
      <c r="E384" s="14"/>
      <c r="F384" s="14"/>
      <c r="G384" s="14"/>
      <c r="H384" s="14"/>
      <c r="I384" s="14"/>
      <c r="J384" s="14"/>
      <c r="K384" s="14">
        <v>-2557</v>
      </c>
      <c r="L384" s="14"/>
      <c r="M384" s="15"/>
      <c r="N384" s="14"/>
      <c r="O384" s="14"/>
      <c r="P384" s="14"/>
      <c r="Q384" s="14"/>
      <c r="R384" s="14"/>
      <c r="S384" s="14"/>
      <c r="T384" s="14"/>
      <c r="U384" s="14"/>
      <c r="V384" s="14"/>
      <c r="W384" s="14"/>
      <c r="X384" s="14"/>
    </row>
    <row r="385" spans="1:24" ht="36" customHeight="1">
      <c r="A385" s="3" t="s">
        <v>688</v>
      </c>
      <c r="B385" s="1"/>
      <c r="C385" s="14"/>
      <c r="D385" s="14"/>
      <c r="E385" s="14"/>
      <c r="F385" s="14"/>
      <c r="G385" s="14"/>
      <c r="H385" s="14"/>
      <c r="I385" s="14"/>
      <c r="J385" s="14"/>
      <c r="K385" s="14"/>
      <c r="L385" s="14"/>
      <c r="M385" s="15"/>
      <c r="N385" s="14"/>
      <c r="O385" s="14"/>
      <c r="P385" s="14"/>
      <c r="Q385" s="14"/>
      <c r="R385" s="14">
        <v>410</v>
      </c>
      <c r="S385" s="14">
        <v>915</v>
      </c>
      <c r="T385" s="14">
        <v>33</v>
      </c>
      <c r="U385" s="14"/>
      <c r="V385" s="14">
        <v>757</v>
      </c>
      <c r="W385" s="14">
        <v>145</v>
      </c>
      <c r="X385" s="14"/>
    </row>
    <row r="386" spans="1:24" ht="36" customHeight="1">
      <c r="A386" s="3" t="s">
        <v>689</v>
      </c>
      <c r="B386" s="1"/>
      <c r="C386" s="14"/>
      <c r="D386" s="14"/>
      <c r="E386" s="14"/>
      <c r="F386" s="14"/>
      <c r="G386" s="14"/>
      <c r="H386" s="14"/>
      <c r="I386" s="14"/>
      <c r="J386" s="14"/>
      <c r="K386" s="14"/>
      <c r="L386" s="14"/>
      <c r="M386" s="15"/>
      <c r="N386" s="14"/>
      <c r="O386" s="14"/>
      <c r="P386" s="14"/>
      <c r="Q386" s="14"/>
      <c r="R386" s="14">
        <v>58</v>
      </c>
      <c r="S386" s="14">
        <v>27</v>
      </c>
      <c r="T386" s="14">
        <v>35</v>
      </c>
      <c r="U386" s="14"/>
      <c r="V386" s="14">
        <v>108</v>
      </c>
      <c r="W386" s="14">
        <v>93</v>
      </c>
      <c r="X386" s="14"/>
    </row>
    <row r="387" spans="1:24" ht="36" customHeight="1">
      <c r="A387" s="3" t="s">
        <v>690</v>
      </c>
      <c r="B387" s="1"/>
      <c r="C387" s="14"/>
      <c r="D387" s="14"/>
      <c r="E387" s="14"/>
      <c r="F387" s="14"/>
      <c r="G387" s="14"/>
      <c r="H387" s="14"/>
      <c r="I387" s="14"/>
      <c r="J387" s="14"/>
      <c r="K387" s="14"/>
      <c r="L387" s="14"/>
      <c r="M387" s="15"/>
      <c r="N387" s="14"/>
      <c r="O387" s="14"/>
      <c r="P387" s="14"/>
      <c r="Q387" s="14"/>
      <c r="R387" s="14">
        <v>-4</v>
      </c>
      <c r="S387" s="14">
        <v>-42</v>
      </c>
      <c r="T387" s="14">
        <v>-6</v>
      </c>
      <c r="U387" s="14"/>
      <c r="V387" s="14">
        <v>-10</v>
      </c>
      <c r="W387" s="14">
        <v>4</v>
      </c>
      <c r="X387" s="14"/>
    </row>
    <row r="388" spans="1:24" ht="36" customHeight="1">
      <c r="A388" s="3" t="s">
        <v>691</v>
      </c>
      <c r="B388" s="1"/>
      <c r="C388" s="14"/>
      <c r="D388" s="14"/>
      <c r="E388" s="14"/>
      <c r="F388" s="14"/>
      <c r="G388" s="14"/>
      <c r="H388" s="14"/>
      <c r="I388" s="14"/>
      <c r="J388" s="14"/>
      <c r="K388" s="14"/>
      <c r="L388" s="14"/>
      <c r="M388" s="15"/>
      <c r="N388" s="14"/>
      <c r="O388" s="14"/>
      <c r="P388" s="14"/>
      <c r="Q388" s="14"/>
      <c r="R388" s="14">
        <v>87</v>
      </c>
      <c r="S388" s="14">
        <v>84</v>
      </c>
      <c r="T388" s="14">
        <v>536</v>
      </c>
      <c r="U388" s="14"/>
      <c r="V388" s="14">
        <v>-129</v>
      </c>
      <c r="W388" s="14">
        <v>-285</v>
      </c>
      <c r="X388" s="14"/>
    </row>
    <row r="389" spans="1:24" ht="50" customHeight="1">
      <c r="A389" s="3" t="s">
        <v>692</v>
      </c>
      <c r="B389" s="1"/>
      <c r="C389" s="14"/>
      <c r="D389" s="14"/>
      <c r="E389" s="14"/>
      <c r="F389" s="14"/>
      <c r="G389" s="14"/>
      <c r="H389" s="14"/>
      <c r="I389" s="14"/>
      <c r="J389" s="14"/>
      <c r="K389" s="14"/>
      <c r="L389" s="14"/>
      <c r="M389" s="15"/>
      <c r="N389" s="14"/>
      <c r="O389" s="14"/>
      <c r="P389" s="14"/>
      <c r="Q389" s="14"/>
      <c r="R389" s="14">
        <v>551</v>
      </c>
      <c r="S389" s="14">
        <v>984</v>
      </c>
      <c r="T389" s="14">
        <v>598</v>
      </c>
      <c r="U389" s="14"/>
      <c r="V389" s="14">
        <v>726</v>
      </c>
      <c r="W389" s="14">
        <v>-43</v>
      </c>
      <c r="X389" s="14"/>
    </row>
    <row r="390" spans="1:24" ht="36" customHeight="1">
      <c r="A390" s="3" t="s">
        <v>693</v>
      </c>
      <c r="B390" s="1"/>
      <c r="C390" s="14"/>
      <c r="D390" s="14"/>
      <c r="E390" s="14"/>
      <c r="F390" s="14"/>
      <c r="G390" s="14"/>
      <c r="H390" s="14"/>
      <c r="I390" s="14"/>
      <c r="J390" s="14"/>
      <c r="K390" s="14"/>
      <c r="L390" s="14">
        <v>1633</v>
      </c>
      <c r="M390" s="15"/>
      <c r="N390" s="14"/>
      <c r="O390" s="14"/>
      <c r="P390" s="14"/>
      <c r="Q390" s="14"/>
      <c r="R390" s="14">
        <v>410</v>
      </c>
      <c r="S390" s="14"/>
      <c r="T390" s="14">
        <v>33</v>
      </c>
      <c r="U390" s="14"/>
      <c r="V390" s="14"/>
      <c r="W390" s="14"/>
      <c r="X390" s="14"/>
    </row>
    <row r="391" spans="1:24" ht="22" customHeight="1">
      <c r="A391" s="3" t="s">
        <v>694</v>
      </c>
      <c r="B391" s="1"/>
      <c r="C391" s="14"/>
      <c r="D391" s="14"/>
      <c r="E391" s="14"/>
      <c r="F391" s="14"/>
      <c r="G391" s="14"/>
      <c r="H391" s="14"/>
      <c r="I391" s="14"/>
      <c r="J391" s="14"/>
      <c r="K391" s="14"/>
      <c r="L391" s="14">
        <v>54</v>
      </c>
      <c r="M391" s="15"/>
      <c r="N391" s="14"/>
      <c r="O391" s="14"/>
      <c r="P391" s="14"/>
      <c r="Q391" s="14"/>
      <c r="R391" s="14">
        <v>27</v>
      </c>
      <c r="S391" s="14"/>
      <c r="T391" s="14">
        <v>30</v>
      </c>
      <c r="U391" s="14"/>
      <c r="V391" s="14"/>
      <c r="W391" s="14"/>
      <c r="X391" s="14"/>
    </row>
    <row r="392" spans="1:24" ht="36" customHeight="1">
      <c r="A392" s="3" t="s">
        <v>695</v>
      </c>
      <c r="B392" s="1"/>
      <c r="C392" s="14"/>
      <c r="D392" s="14"/>
      <c r="E392" s="14"/>
      <c r="F392" s="14"/>
      <c r="G392" s="14"/>
      <c r="H392" s="14"/>
      <c r="I392" s="14"/>
      <c r="J392" s="14"/>
      <c r="K392" s="14"/>
      <c r="L392" s="14">
        <v>596</v>
      </c>
      <c r="M392" s="15"/>
      <c r="N392" s="14"/>
      <c r="O392" s="14"/>
      <c r="P392" s="14"/>
      <c r="Q392" s="14"/>
      <c r="R392" s="14">
        <v>13</v>
      </c>
      <c r="S392" s="14"/>
      <c r="T392" s="14">
        <v>27</v>
      </c>
      <c r="U392" s="14"/>
      <c r="V392" s="14"/>
      <c r="W392" s="14"/>
      <c r="X392" s="14"/>
    </row>
    <row r="393" spans="1:24" ht="36" customHeight="1">
      <c r="A393" s="3" t="s">
        <v>696</v>
      </c>
      <c r="B393" s="1"/>
      <c r="C393" s="14"/>
      <c r="D393" s="14"/>
      <c r="E393" s="14"/>
      <c r="F393" s="14"/>
      <c r="G393" s="14"/>
      <c r="H393" s="14"/>
      <c r="I393" s="14"/>
      <c r="J393" s="14"/>
      <c r="K393" s="14"/>
      <c r="L393" s="14">
        <v>482</v>
      </c>
      <c r="M393" s="15"/>
      <c r="N393" s="14"/>
      <c r="O393" s="14"/>
      <c r="P393" s="14"/>
      <c r="Q393" s="14"/>
      <c r="R393" s="14">
        <v>87</v>
      </c>
      <c r="S393" s="14"/>
      <c r="T393" s="14">
        <v>536</v>
      </c>
      <c r="U393" s="14"/>
      <c r="V393" s="14"/>
      <c r="W393" s="14"/>
      <c r="X393" s="14"/>
    </row>
    <row r="394" spans="1:24" ht="36" customHeight="1">
      <c r="A394" s="3" t="s">
        <v>697</v>
      </c>
      <c r="B394" s="1"/>
      <c r="C394" s="14"/>
      <c r="D394" s="14"/>
      <c r="E394" s="14"/>
      <c r="F394" s="14"/>
      <c r="G394" s="14"/>
      <c r="H394" s="14"/>
      <c r="I394" s="14"/>
      <c r="J394" s="14"/>
      <c r="K394" s="14"/>
      <c r="L394" s="14">
        <v>2765</v>
      </c>
      <c r="M394" s="15"/>
      <c r="N394" s="14"/>
      <c r="O394" s="14"/>
      <c r="P394" s="14"/>
      <c r="Q394" s="14"/>
      <c r="R394" s="14">
        <v>537</v>
      </c>
      <c r="S394" s="14"/>
      <c r="T394" s="14">
        <v>626</v>
      </c>
      <c r="U394" s="14"/>
      <c r="V394" s="14"/>
      <c r="W394" s="14"/>
      <c r="X394" s="14"/>
    </row>
    <row r="395" spans="1:24" ht="36" customHeight="1">
      <c r="A395" s="3" t="s">
        <v>698</v>
      </c>
      <c r="B395" s="1"/>
      <c r="C395" s="14"/>
      <c r="D395" s="14"/>
      <c r="E395" s="14"/>
      <c r="F395" s="14"/>
      <c r="G395" s="14"/>
      <c r="H395" s="14"/>
      <c r="I395" s="14"/>
      <c r="J395" s="14"/>
      <c r="K395" s="14"/>
      <c r="L395" s="14"/>
      <c r="M395" s="15"/>
      <c r="N395" s="14"/>
      <c r="O395" s="14"/>
      <c r="P395" s="14"/>
      <c r="Q395" s="14"/>
      <c r="R395" s="14"/>
      <c r="S395" s="14">
        <v>915</v>
      </c>
      <c r="T395" s="14"/>
      <c r="U395" s="14"/>
      <c r="V395" s="14">
        <v>757</v>
      </c>
      <c r="W395" s="14">
        <v>145</v>
      </c>
      <c r="X395" s="14"/>
    </row>
    <row r="396" spans="1:24" ht="22" customHeight="1">
      <c r="A396" s="3" t="s">
        <v>699</v>
      </c>
      <c r="B396" s="1"/>
      <c r="C396" s="14"/>
      <c r="D396" s="14"/>
      <c r="E396" s="14"/>
      <c r="F396" s="14"/>
      <c r="G396" s="14"/>
      <c r="H396" s="14"/>
      <c r="I396" s="14"/>
      <c r="J396" s="14"/>
      <c r="K396" s="14"/>
      <c r="L396" s="14"/>
      <c r="M396" s="15"/>
      <c r="N396" s="14"/>
      <c r="O396" s="14"/>
      <c r="P396" s="14"/>
      <c r="Q396" s="14"/>
      <c r="R396" s="14"/>
      <c r="S396" s="14">
        <v>-26</v>
      </c>
      <c r="T396" s="14"/>
      <c r="U396" s="14"/>
      <c r="V396" s="14">
        <v>71</v>
      </c>
      <c r="W396" s="14">
        <v>41</v>
      </c>
      <c r="X396" s="14"/>
    </row>
    <row r="397" spans="1:24" ht="36" customHeight="1">
      <c r="A397" s="3" t="s">
        <v>700</v>
      </c>
      <c r="B397" s="1"/>
      <c r="C397" s="14"/>
      <c r="D397" s="14"/>
      <c r="E397" s="14"/>
      <c r="F397" s="14"/>
      <c r="G397" s="14"/>
      <c r="H397" s="14"/>
      <c r="I397" s="14"/>
      <c r="J397" s="14"/>
      <c r="K397" s="14"/>
      <c r="L397" s="14"/>
      <c r="M397" s="15"/>
      <c r="N397" s="14"/>
      <c r="O397" s="14"/>
      <c r="P397" s="14"/>
      <c r="Q397" s="14"/>
      <c r="R397" s="14"/>
      <c r="S397" s="14">
        <v>-24</v>
      </c>
      <c r="T397" s="14"/>
      <c r="U397" s="14"/>
      <c r="V397" s="14">
        <v>9</v>
      </c>
      <c r="W397" s="14">
        <v>26</v>
      </c>
      <c r="X397" s="14"/>
    </row>
    <row r="398" spans="1:24" ht="36" customHeight="1">
      <c r="A398" s="3" t="s">
        <v>701</v>
      </c>
      <c r="B398" s="1"/>
      <c r="C398" s="14"/>
      <c r="D398" s="14"/>
      <c r="E398" s="14"/>
      <c r="F398" s="14"/>
      <c r="G398" s="14"/>
      <c r="H398" s="14"/>
      <c r="I398" s="14"/>
      <c r="J398" s="14"/>
      <c r="K398" s="14"/>
      <c r="L398" s="14"/>
      <c r="M398" s="15"/>
      <c r="N398" s="14"/>
      <c r="O398" s="14"/>
      <c r="P398" s="14"/>
      <c r="Q398" s="14"/>
      <c r="R398" s="14"/>
      <c r="S398" s="14">
        <v>84</v>
      </c>
      <c r="T398" s="14"/>
      <c r="U398" s="14"/>
      <c r="V398" s="14">
        <v>-129</v>
      </c>
      <c r="W398" s="14">
        <v>-285</v>
      </c>
      <c r="X398" s="14"/>
    </row>
    <row r="399" spans="1:24" ht="36" customHeight="1">
      <c r="A399" s="3" t="s">
        <v>702</v>
      </c>
      <c r="B399" s="1"/>
      <c r="C399" s="14"/>
      <c r="D399" s="14"/>
      <c r="E399" s="14"/>
      <c r="F399" s="14"/>
      <c r="G399" s="14"/>
      <c r="H399" s="14"/>
      <c r="I399" s="14"/>
      <c r="J399" s="14"/>
      <c r="K399" s="14"/>
      <c r="L399" s="14"/>
      <c r="M399" s="15"/>
      <c r="N399" s="14"/>
      <c r="O399" s="14"/>
      <c r="P399" s="14"/>
      <c r="Q399" s="14"/>
      <c r="R399" s="14"/>
      <c r="S399" s="14">
        <v>949</v>
      </c>
      <c r="T399" s="14"/>
      <c r="U399" s="14"/>
      <c r="V399" s="14">
        <v>708</v>
      </c>
      <c r="W399" s="14">
        <v>-73</v>
      </c>
      <c r="X399" s="14"/>
    </row>
    <row r="400" spans="1:24" ht="36" customHeight="1">
      <c r="A400" s="3" t="s">
        <v>703</v>
      </c>
      <c r="B400" s="1"/>
      <c r="C400" s="14"/>
      <c r="D400" s="14"/>
      <c r="E400" s="14"/>
      <c r="F400" s="14"/>
      <c r="G400" s="14"/>
      <c r="H400" s="14"/>
      <c r="I400" s="14"/>
      <c r="J400" s="14"/>
      <c r="K400" s="14"/>
      <c r="L400" s="14">
        <v>1633</v>
      </c>
      <c r="M400" s="15"/>
      <c r="N400" s="14"/>
      <c r="O400" s="14"/>
      <c r="P400" s="14"/>
      <c r="Q400" s="14"/>
      <c r="R400" s="14"/>
      <c r="S400" s="14"/>
      <c r="T400" s="14"/>
      <c r="U400" s="14"/>
      <c r="V400" s="14"/>
      <c r="W400" s="14"/>
      <c r="X400" s="14"/>
    </row>
    <row r="401" spans="1:24" ht="36" customHeight="1">
      <c r="A401" s="3" t="s">
        <v>704</v>
      </c>
      <c r="B401" s="1"/>
      <c r="C401" s="14"/>
      <c r="D401" s="14"/>
      <c r="E401" s="14"/>
      <c r="F401" s="14"/>
      <c r="G401" s="14"/>
      <c r="H401" s="14"/>
      <c r="I401" s="14"/>
      <c r="J401" s="14"/>
      <c r="K401" s="14"/>
      <c r="L401" s="14">
        <v>186</v>
      </c>
      <c r="M401" s="15"/>
      <c r="N401" s="14"/>
      <c r="O401" s="14"/>
      <c r="P401" s="14"/>
      <c r="Q401" s="14"/>
      <c r="R401" s="14"/>
      <c r="S401" s="14"/>
      <c r="T401" s="14"/>
      <c r="U401" s="14"/>
      <c r="V401" s="14"/>
      <c r="W401" s="14"/>
      <c r="X401" s="14"/>
    </row>
    <row r="402" spans="1:24" ht="36" customHeight="1">
      <c r="A402" s="3" t="s">
        <v>705</v>
      </c>
      <c r="B402" s="1"/>
      <c r="C402" s="14"/>
      <c r="D402" s="14"/>
      <c r="E402" s="14"/>
      <c r="F402" s="14"/>
      <c r="G402" s="14"/>
      <c r="H402" s="14"/>
      <c r="I402" s="14"/>
      <c r="J402" s="14"/>
      <c r="K402" s="14"/>
      <c r="L402" s="14">
        <v>234</v>
      </c>
      <c r="M402" s="15"/>
      <c r="N402" s="14"/>
      <c r="O402" s="14"/>
      <c r="P402" s="14"/>
      <c r="Q402" s="14"/>
      <c r="R402" s="14"/>
      <c r="S402" s="14"/>
      <c r="T402" s="14"/>
      <c r="U402" s="14"/>
      <c r="V402" s="14"/>
      <c r="W402" s="14"/>
      <c r="X402" s="14"/>
    </row>
    <row r="403" spans="1:24" ht="36" customHeight="1">
      <c r="A403" s="3" t="s">
        <v>706</v>
      </c>
      <c r="B403" s="1"/>
      <c r="C403" s="14"/>
      <c r="D403" s="14"/>
      <c r="E403" s="14"/>
      <c r="F403" s="14"/>
      <c r="G403" s="14"/>
      <c r="H403" s="14"/>
      <c r="I403" s="14"/>
      <c r="J403" s="14"/>
      <c r="K403" s="14"/>
      <c r="L403" s="14">
        <v>482</v>
      </c>
      <c r="M403" s="15"/>
      <c r="N403" s="14"/>
      <c r="O403" s="14"/>
      <c r="P403" s="14"/>
      <c r="Q403" s="14"/>
      <c r="R403" s="14"/>
      <c r="S403" s="14"/>
      <c r="T403" s="14"/>
      <c r="U403" s="14"/>
      <c r="V403" s="14"/>
      <c r="W403" s="14"/>
      <c r="X403" s="14"/>
    </row>
    <row r="404" spans="1:24" ht="36" customHeight="1">
      <c r="A404" s="3" t="s">
        <v>707</v>
      </c>
      <c r="B404" s="1"/>
      <c r="C404" s="14"/>
      <c r="D404" s="14"/>
      <c r="E404" s="14"/>
      <c r="F404" s="14"/>
      <c r="G404" s="14"/>
      <c r="H404" s="14"/>
      <c r="I404" s="14"/>
      <c r="J404" s="14"/>
      <c r="K404" s="14"/>
      <c r="L404" s="14">
        <v>2535</v>
      </c>
      <c r="M404" s="15"/>
      <c r="N404" s="14"/>
      <c r="O404" s="14"/>
      <c r="P404" s="14"/>
      <c r="Q404" s="14"/>
      <c r="R404" s="14"/>
      <c r="S404" s="14"/>
      <c r="T404" s="14"/>
      <c r="U404" s="14"/>
      <c r="V404" s="14"/>
      <c r="W404" s="14"/>
      <c r="X404" s="14"/>
    </row>
    <row r="405" spans="1:24" ht="36" customHeight="1">
      <c r="A405" s="3" t="s">
        <v>708</v>
      </c>
      <c r="B405" s="1"/>
      <c r="C405" s="14"/>
      <c r="D405" s="14"/>
      <c r="E405" s="14"/>
      <c r="F405" s="14"/>
      <c r="G405" s="14"/>
      <c r="H405" s="14"/>
      <c r="I405" s="14"/>
      <c r="J405" s="14"/>
      <c r="K405" s="14"/>
      <c r="L405" s="14"/>
      <c r="M405" s="15"/>
      <c r="N405" s="14"/>
      <c r="O405" s="14"/>
      <c r="P405" s="14"/>
      <c r="Q405" s="14"/>
      <c r="R405" s="14"/>
      <c r="S405" s="14"/>
      <c r="T405" s="14"/>
      <c r="U405" s="14"/>
      <c r="V405" s="14">
        <v>757</v>
      </c>
      <c r="W405" s="14"/>
      <c r="X405" s="14"/>
    </row>
    <row r="406" spans="1:24" ht="36" customHeight="1">
      <c r="A406" s="3" t="s">
        <v>709</v>
      </c>
      <c r="B406" s="1"/>
      <c r="C406" s="14"/>
      <c r="D406" s="14"/>
      <c r="E406" s="14"/>
      <c r="F406" s="14"/>
      <c r="G406" s="14"/>
      <c r="H406" s="14"/>
      <c r="I406" s="14"/>
      <c r="J406" s="14"/>
      <c r="K406" s="14"/>
      <c r="L406" s="14"/>
      <c r="M406" s="15"/>
      <c r="N406" s="14"/>
      <c r="O406" s="14"/>
      <c r="P406" s="14"/>
      <c r="Q406" s="14"/>
      <c r="R406" s="14"/>
      <c r="S406" s="14"/>
      <c r="T406" s="14"/>
      <c r="U406" s="14"/>
      <c r="V406" s="14">
        <v>108</v>
      </c>
      <c r="W406" s="14"/>
      <c r="X406" s="14"/>
    </row>
    <row r="407" spans="1:24" ht="36" customHeight="1">
      <c r="A407" s="3" t="s">
        <v>710</v>
      </c>
      <c r="B407" s="1"/>
      <c r="C407" s="14"/>
      <c r="D407" s="14"/>
      <c r="E407" s="14"/>
      <c r="F407" s="14"/>
      <c r="G407" s="14"/>
      <c r="H407" s="14"/>
      <c r="I407" s="14"/>
      <c r="J407" s="14"/>
      <c r="K407" s="14"/>
      <c r="L407" s="14"/>
      <c r="M407" s="15"/>
      <c r="N407" s="14"/>
      <c r="O407" s="14"/>
      <c r="P407" s="14"/>
      <c r="Q407" s="14"/>
      <c r="R407" s="14"/>
      <c r="S407" s="14"/>
      <c r="T407" s="14"/>
      <c r="U407" s="14"/>
      <c r="V407" s="14">
        <v>-10</v>
      </c>
      <c r="W407" s="14"/>
      <c r="X407" s="14"/>
    </row>
    <row r="408" spans="1:24" ht="36" customHeight="1">
      <c r="A408" s="3" t="s">
        <v>711</v>
      </c>
      <c r="B408" s="1"/>
      <c r="C408" s="14"/>
      <c r="D408" s="14"/>
      <c r="E408" s="14"/>
      <c r="F408" s="14"/>
      <c r="G408" s="14"/>
      <c r="H408" s="14"/>
      <c r="I408" s="14"/>
      <c r="J408" s="14"/>
      <c r="K408" s="14"/>
      <c r="L408" s="14"/>
      <c r="M408" s="15"/>
      <c r="N408" s="14"/>
      <c r="O408" s="14"/>
      <c r="P408" s="14"/>
      <c r="Q408" s="14"/>
      <c r="R408" s="14"/>
      <c r="S408" s="14"/>
      <c r="T408" s="14"/>
      <c r="U408" s="14"/>
      <c r="V408" s="14">
        <v>-129</v>
      </c>
      <c r="W408" s="14"/>
      <c r="X408" s="14"/>
    </row>
    <row r="409" spans="1:24" ht="50" customHeight="1">
      <c r="A409" s="3" t="s">
        <v>712</v>
      </c>
      <c r="B409" s="1"/>
      <c r="C409" s="14"/>
      <c r="D409" s="14"/>
      <c r="E409" s="14"/>
      <c r="F409" s="14"/>
      <c r="G409" s="14"/>
      <c r="H409" s="14"/>
      <c r="I409" s="14"/>
      <c r="J409" s="14"/>
      <c r="K409" s="14"/>
      <c r="L409" s="14"/>
      <c r="M409" s="15"/>
      <c r="N409" s="14"/>
      <c r="O409" s="14"/>
      <c r="P409" s="14"/>
      <c r="Q409" s="14"/>
      <c r="R409" s="14"/>
      <c r="S409" s="14"/>
      <c r="T409" s="14"/>
      <c r="U409" s="14"/>
      <c r="V409" s="14">
        <v>726</v>
      </c>
      <c r="W409" s="14"/>
      <c r="X409" s="14"/>
    </row>
    <row r="410" spans="1:24" ht="22" customHeight="1">
      <c r="A410" s="3"/>
      <c r="B410" s="1"/>
      <c r="C410" s="2"/>
      <c r="D410" s="2"/>
      <c r="E410" s="2"/>
      <c r="F410" s="2"/>
      <c r="G410" s="2"/>
      <c r="H410" s="2"/>
      <c r="I410" s="2"/>
      <c r="J410" s="2"/>
      <c r="K410" s="2"/>
      <c r="L410" s="2"/>
      <c r="M410" s="2"/>
      <c r="N410" s="2"/>
      <c r="O410" s="2"/>
      <c r="P410" s="2"/>
      <c r="Q410" s="2"/>
      <c r="R410" s="2"/>
      <c r="S410" s="2"/>
      <c r="T410" s="2"/>
      <c r="U410" s="2"/>
      <c r="V410" s="2"/>
      <c r="W410" s="2"/>
      <c r="X410" s="2"/>
    </row>
  </sheetData>
  <mergeCells count="62">
    <mergeCell ref="A329:X329"/>
    <mergeCell ref="A330:X330"/>
    <mergeCell ref="A336:X336"/>
    <mergeCell ref="A337:X337"/>
    <mergeCell ref="A306:X306"/>
    <mergeCell ref="A308:X308"/>
    <mergeCell ref="A309:X309"/>
    <mergeCell ref="A318:X318"/>
    <mergeCell ref="A319:X319"/>
    <mergeCell ref="A301:X301"/>
    <mergeCell ref="A302:X302"/>
    <mergeCell ref="A303:X303"/>
    <mergeCell ref="A304:X304"/>
    <mergeCell ref="A305:X305"/>
    <mergeCell ref="A296:X296"/>
    <mergeCell ref="A297:X297"/>
    <mergeCell ref="A298:X298"/>
    <mergeCell ref="A299:X299"/>
    <mergeCell ref="A300:X300"/>
    <mergeCell ref="A291:X291"/>
    <mergeCell ref="A292:X292"/>
    <mergeCell ref="A293:X293"/>
    <mergeCell ref="A294:X294"/>
    <mergeCell ref="A295:X295"/>
    <mergeCell ref="A179:X179"/>
    <mergeCell ref="A250:X250"/>
    <mergeCell ref="A251:X251"/>
    <mergeCell ref="A278:X278"/>
    <mergeCell ref="A285:X285"/>
    <mergeCell ref="A140:X140"/>
    <mergeCell ref="A169:X169"/>
    <mergeCell ref="A170:X170"/>
    <mergeCell ref="A174:X174"/>
    <mergeCell ref="A175:X175"/>
    <mergeCell ref="A60:X60"/>
    <mergeCell ref="A61:X61"/>
    <mergeCell ref="A83:X83"/>
    <mergeCell ref="A84:X84"/>
    <mergeCell ref="A139:X139"/>
    <mergeCell ref="A18:X18"/>
    <mergeCell ref="A30:X30"/>
    <mergeCell ref="A35:X35"/>
    <mergeCell ref="A44:X44"/>
    <mergeCell ref="A52:X52"/>
    <mergeCell ref="C12:L12"/>
    <mergeCell ref="N12:X12"/>
    <mergeCell ref="C13:L13"/>
    <mergeCell ref="N13:X13"/>
    <mergeCell ref="C14:L14"/>
    <mergeCell ref="N14:X14"/>
    <mergeCell ref="C9:L9"/>
    <mergeCell ref="N9:X9"/>
    <mergeCell ref="C10:L10"/>
    <mergeCell ref="N10:X10"/>
    <mergeCell ref="C11:L11"/>
    <mergeCell ref="N11:X11"/>
    <mergeCell ref="A1:X1"/>
    <mergeCell ref="A2:X2"/>
    <mergeCell ref="C7:L7"/>
    <mergeCell ref="N7:X7"/>
    <mergeCell ref="C8:L8"/>
    <mergeCell ref="N8:X8"/>
  </mergeCells>
  <phoneticPr fontId="44" type="noConversion"/>
  <hyperlinks>
    <hyperlink ref="A3" location="'Contents'!A1" display="Metric (Return to Contents)" xr:uid="{00000000-0004-0000-0800-000000000000}"/>
    <hyperlink ref="C7" location="'Note Schedules'!A18" display="Accounts and notes receivable and credit losses" xr:uid="{00000000-0004-0000-0800-000001000000}"/>
    <hyperlink ref="N7" location="'Note Schedules'!A30" display="Inventories" xr:uid="{00000000-0004-0000-0800-000002000000}"/>
    <hyperlink ref="C8" location="'Note Schedules'!A35" display="Accounts payable and other current liabilities" xr:uid="{00000000-0004-0000-0800-000003000000}"/>
    <hyperlink ref="N8" location="'Note Schedules'!A44" display="Other assets and investments" xr:uid="{00000000-0004-0000-0800-000004000000}"/>
    <hyperlink ref="C9" location="'Note Schedules'!A52" display="Property, plant and equipment components" xr:uid="{00000000-0004-0000-0800-000005000000}"/>
    <hyperlink ref="N9" location="'Note Schedules'!A60" display="Pretax income and current / deferred income taxes" xr:uid="{00000000-0004-0000-0800-000006000000}"/>
    <hyperlink ref="C10" location="'Note Schedules'!A83" display="Income tax rate reconciliation and FY2025 tax disaggregation" xr:uid="{00000000-0004-0000-0800-000007000000}"/>
    <hyperlink ref="N10" location="'Note Schedules'!A139" display="Deferred income tax assets and liabilities" xr:uid="{00000000-0004-0000-0800-000008000000}"/>
    <hyperlink ref="C11" location="'Note Schedules'!A169" display="Share-based compensation expense" xr:uid="{00000000-0004-0000-0800-000009000000}"/>
    <hyperlink ref="N11" location="'Note Schedules'!A174" display="Share-based compensation expense: YTD" xr:uid="{00000000-0004-0000-0800-00000A000000}"/>
    <hyperlink ref="C12" location="'Note Schedules'!A179" display="Comprehensive income" xr:uid="{00000000-0004-0000-0800-00000B000000}"/>
    <hyperlink ref="N12" location="'Note Schedules'!A250" display="Comprehensive income: YTD" xr:uid="{00000000-0004-0000-0800-00000C000000}"/>
    <hyperlink ref="C13" location="'Note Schedules'!A278" display="Supplemental cash flow information" xr:uid="{00000000-0004-0000-0800-00000D000000}"/>
    <hyperlink ref="N13" location="'Note Schedules'!A285" display="Cash and restricted cash reconciliation" xr:uid="{00000000-0004-0000-0800-00000E000000}"/>
    <hyperlink ref="C14" location="'Note Schedules'!A291" display="Accounting policies and comparability" xr:uid="{00000000-0004-0000-0800-00000F000000}"/>
    <hyperlink ref="N14" location="'Note Schedules'!A336" display="Accumulated other comprehensive income components" xr:uid="{00000000-0004-0000-0800-00001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08958"/>
  </sheetPr>
  <dimension ref="A1:X71"/>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713</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714</v>
      </c>
      <c r="D7" s="176"/>
      <c r="E7" s="176"/>
      <c r="F7" s="176"/>
      <c r="G7" s="176"/>
      <c r="H7" s="176"/>
      <c r="I7" s="176"/>
      <c r="J7" s="176"/>
      <c r="K7" s="176"/>
      <c r="L7" s="176"/>
      <c r="M7" s="2"/>
      <c r="N7" s="176" t="s">
        <v>715</v>
      </c>
      <c r="O7" s="176"/>
      <c r="P7" s="176"/>
      <c r="Q7" s="176"/>
      <c r="R7" s="176"/>
      <c r="S7" s="176"/>
      <c r="T7" s="176"/>
      <c r="U7" s="176"/>
      <c r="V7" s="176"/>
      <c r="W7" s="176"/>
      <c r="X7" s="176"/>
    </row>
    <row r="8" spans="1:24" ht="22" customHeight="1">
      <c r="A8" s="3"/>
      <c r="B8" s="1"/>
      <c r="C8" s="176" t="s">
        <v>716</v>
      </c>
      <c r="D8" s="176"/>
      <c r="E8" s="176"/>
      <c r="F8" s="176"/>
      <c r="G8" s="176"/>
      <c r="H8" s="176"/>
      <c r="I8" s="176"/>
      <c r="J8" s="176"/>
      <c r="K8" s="176"/>
      <c r="L8" s="176"/>
      <c r="M8" s="2"/>
      <c r="N8" s="176" t="s">
        <v>717</v>
      </c>
      <c r="O8" s="176"/>
      <c r="P8" s="176"/>
      <c r="Q8" s="176"/>
      <c r="R8" s="176"/>
      <c r="S8" s="176"/>
      <c r="T8" s="176"/>
      <c r="U8" s="176"/>
      <c r="V8" s="176"/>
      <c r="W8" s="176"/>
      <c r="X8" s="176"/>
    </row>
    <row r="9" spans="1:24" ht="22" customHeight="1">
      <c r="A9" s="3"/>
      <c r="B9" s="1"/>
      <c r="C9" s="176" t="s">
        <v>718</v>
      </c>
      <c r="D9" s="176"/>
      <c r="E9" s="176"/>
      <c r="F9" s="176"/>
      <c r="G9" s="176"/>
      <c r="H9" s="176"/>
      <c r="I9" s="176"/>
      <c r="J9" s="176"/>
      <c r="K9" s="176"/>
      <c r="L9" s="176"/>
      <c r="M9" s="2"/>
      <c r="N9" s="176" t="s">
        <v>719</v>
      </c>
      <c r="O9" s="176"/>
      <c r="P9" s="176"/>
      <c r="Q9" s="176"/>
      <c r="R9" s="176"/>
      <c r="S9" s="176"/>
      <c r="T9" s="176"/>
      <c r="U9" s="176"/>
      <c r="V9" s="176"/>
      <c r="W9" s="176"/>
      <c r="X9" s="176"/>
    </row>
    <row r="10" spans="1:24" ht="22" customHeight="1">
      <c r="A10" s="3"/>
      <c r="B10" s="1"/>
      <c r="C10" s="2"/>
      <c r="D10" s="2"/>
      <c r="E10" s="2"/>
      <c r="F10" s="2"/>
      <c r="G10" s="2"/>
      <c r="H10" s="2"/>
      <c r="I10" s="2"/>
      <c r="J10" s="2"/>
      <c r="K10" s="2"/>
      <c r="L10" s="2"/>
      <c r="M10" s="2"/>
      <c r="N10" s="2"/>
      <c r="O10" s="2"/>
      <c r="P10" s="2"/>
      <c r="Q10" s="2"/>
      <c r="R10" s="2"/>
      <c r="S10" s="2"/>
      <c r="T10" s="2"/>
      <c r="U10" s="2"/>
      <c r="V10" s="2"/>
      <c r="W10" s="2"/>
      <c r="X10" s="2"/>
    </row>
    <row r="11" spans="1:24" ht="22" customHeight="1">
      <c r="A11" s="3"/>
      <c r="B11" s="1"/>
      <c r="C11" s="2"/>
      <c r="D11" s="2"/>
      <c r="E11" s="2"/>
      <c r="F11" s="2"/>
      <c r="G11" s="2"/>
      <c r="H11" s="2"/>
      <c r="I11" s="2"/>
      <c r="J11" s="2"/>
      <c r="K11" s="2"/>
      <c r="L11" s="2"/>
      <c r="M11" s="2"/>
      <c r="N11" s="2"/>
      <c r="O11" s="2"/>
      <c r="P11" s="2"/>
      <c r="Q11" s="2"/>
      <c r="R11" s="2"/>
      <c r="S11" s="2"/>
      <c r="T11" s="2"/>
      <c r="U11" s="2"/>
      <c r="V11" s="2"/>
      <c r="W11" s="2"/>
      <c r="X11" s="2"/>
    </row>
    <row r="12" spans="1:24" ht="22" customHeight="1">
      <c r="A12" s="3"/>
      <c r="B12" s="1"/>
      <c r="C12" s="2"/>
      <c r="D12" s="2"/>
      <c r="E12" s="2"/>
      <c r="F12" s="2"/>
      <c r="G12" s="2"/>
      <c r="H12" s="2"/>
      <c r="I12" s="2"/>
      <c r="J12" s="2"/>
      <c r="K12" s="2"/>
      <c r="L12" s="2"/>
      <c r="M12" s="2"/>
      <c r="N12" s="2"/>
      <c r="O12" s="2"/>
      <c r="P12" s="2"/>
      <c r="Q12" s="2"/>
      <c r="R12" s="2"/>
      <c r="S12" s="2"/>
      <c r="T12" s="2"/>
      <c r="U12" s="2"/>
      <c r="V12" s="2"/>
      <c r="W12" s="2"/>
      <c r="X12" s="2"/>
    </row>
    <row r="13" spans="1:24" ht="22" customHeight="1">
      <c r="A13" s="174" t="s">
        <v>714</v>
      </c>
      <c r="B13" s="174"/>
      <c r="C13" s="175"/>
      <c r="D13" s="175"/>
      <c r="E13" s="175"/>
      <c r="F13" s="175"/>
      <c r="G13" s="175"/>
      <c r="H13" s="175"/>
      <c r="I13" s="175"/>
      <c r="J13" s="175"/>
      <c r="K13" s="175"/>
      <c r="L13" s="175"/>
      <c r="M13" s="175"/>
      <c r="N13" s="175"/>
      <c r="O13" s="175"/>
      <c r="P13" s="175"/>
      <c r="Q13" s="175"/>
      <c r="R13" s="175"/>
      <c r="S13" s="175"/>
      <c r="T13" s="175"/>
      <c r="U13" s="175"/>
      <c r="V13" s="175"/>
      <c r="W13" s="175"/>
      <c r="X13" s="175"/>
    </row>
    <row r="14" spans="1:24" ht="18" customHeight="1">
      <c r="A14" s="163" t="s">
        <v>720</v>
      </c>
      <c r="B14" s="163"/>
      <c r="C14" s="173"/>
      <c r="D14" s="173"/>
      <c r="E14" s="173"/>
      <c r="F14" s="173"/>
      <c r="G14" s="173"/>
      <c r="H14" s="173"/>
      <c r="I14" s="173"/>
      <c r="J14" s="173"/>
      <c r="K14" s="173"/>
      <c r="L14" s="173"/>
      <c r="M14" s="173"/>
      <c r="N14" s="173"/>
      <c r="O14" s="173"/>
      <c r="P14" s="173"/>
      <c r="Q14" s="173"/>
      <c r="R14" s="173"/>
      <c r="S14" s="173"/>
      <c r="T14" s="173"/>
      <c r="U14" s="173"/>
      <c r="V14" s="173"/>
      <c r="W14" s="173"/>
      <c r="X14" s="173"/>
    </row>
    <row r="15" spans="1:24" ht="36" customHeight="1">
      <c r="A15" s="3" t="s">
        <v>270</v>
      </c>
      <c r="B15" s="1"/>
      <c r="C15" s="34">
        <f>IF(COUNT('Balance Sheet'!C38)=1,'Balance Sheet'!C38,"")</f>
        <v>6892</v>
      </c>
      <c r="D15" s="34">
        <f>IF(COUNT('Balance Sheet'!D38)=1,'Balance Sheet'!D38,"")</f>
        <v>5485</v>
      </c>
      <c r="E15" s="34">
        <f>IF(COUNT('Balance Sheet'!E38)=1,'Balance Sheet'!E38,"")</f>
        <v>4026</v>
      </c>
      <c r="F15" s="34">
        <f>IF(COUNT('Balance Sheet'!F38)=1,'Balance Sheet'!F38,"")</f>
        <v>2920</v>
      </c>
      <c r="G15" s="34">
        <f>IF(COUNT('Balance Sheet'!G38)=1,'Balance Sheet'!G38,"")</f>
        <v>3780</v>
      </c>
      <c r="H15" s="34">
        <f>IF(COUNT('Balance Sheet'!H38)=1,'Balance Sheet'!H38,"")</f>
        <v>4308</v>
      </c>
      <c r="I15" s="34">
        <f>IF(COUNT('Balance Sheet'!I38)=1,'Balance Sheet'!I38,"")</f>
        <v>3414</v>
      </c>
      <c r="J15" s="34">
        <f>IF(COUNT('Balance Sheet'!J38)=1,'Balance Sheet'!J38,"")</f>
        <v>6510</v>
      </c>
      <c r="K15" s="34">
        <f>IF(COUNT('Balance Sheet'!K38)=1,'Balance Sheet'!K38,"")</f>
        <v>7082</v>
      </c>
      <c r="L15" s="34">
        <f>IF(COUNT('Balance Sheet'!L38)=1,'Balance Sheet'!L38,"")</f>
        <v>6861</v>
      </c>
      <c r="M15" s="15"/>
      <c r="N15" s="34">
        <f>IF(COUNT('Balance Sheet'!N38)=1,'Balance Sheet'!N38,"")</f>
        <v>8161</v>
      </c>
      <c r="O15" s="34">
        <f>IF(COUNT('Balance Sheet'!O38)=1,'Balance Sheet'!O38,"")</f>
        <v>8289</v>
      </c>
      <c r="P15" s="34">
        <f>IF(COUNT('Balance Sheet'!P38)=1,'Balance Sheet'!P38,"")</f>
        <v>6524</v>
      </c>
      <c r="Q15" s="34">
        <f>IF(COUNT('Balance Sheet'!Q38)=1,'Balance Sheet'!Q38,"")</f>
        <v>7082</v>
      </c>
      <c r="R15" s="34">
        <f>IF(COUNT('Balance Sheet'!R38)=1,'Balance Sheet'!R38,"")</f>
        <v>9099</v>
      </c>
      <c r="S15" s="34">
        <f>IF(COUNT('Balance Sheet'!S38)=1,'Balance Sheet'!S38,"")</f>
        <v>12056</v>
      </c>
      <c r="T15" s="34">
        <f>IF(COUNT('Balance Sheet'!T38)=1,'Balance Sheet'!T38,"")</f>
        <v>6736</v>
      </c>
      <c r="U15" s="34">
        <f>IF(COUNT('Balance Sheet'!U38)=1,'Balance Sheet'!U38,"")</f>
        <v>6861</v>
      </c>
      <c r="V15" s="34">
        <f>IF(COUNT('Balance Sheet'!V38)=1,'Balance Sheet'!V38,"")</f>
        <v>10151</v>
      </c>
      <c r="W15" s="34">
        <f>IF(COUNT('Balance Sheet'!W38)=1,'Balance Sheet'!W38,"")</f>
        <v>10602</v>
      </c>
      <c r="X15" s="34">
        <f>IF(COUNT('Balance Sheet'!X38)=1,'Balance Sheet'!X38,"")</f>
        <v>9223</v>
      </c>
    </row>
    <row r="16" spans="1:24" ht="22" customHeight="1">
      <c r="A16" s="3" t="s">
        <v>275</v>
      </c>
      <c r="B16" s="1"/>
      <c r="C16" s="34">
        <f>IF(COUNT('Balance Sheet'!C43)=1,'Balance Sheet'!C43,"")</f>
        <v>30053</v>
      </c>
      <c r="D16" s="34">
        <f>IF(COUNT('Balance Sheet'!D43)=1,'Balance Sheet'!D43,"")</f>
        <v>33796</v>
      </c>
      <c r="E16" s="34">
        <f>IF(COUNT('Balance Sheet'!E43)=1,'Balance Sheet'!E43,"")</f>
        <v>28295</v>
      </c>
      <c r="F16" s="34">
        <f>IF(COUNT('Balance Sheet'!F43)=1,'Balance Sheet'!F43,"")</f>
        <v>29148</v>
      </c>
      <c r="G16" s="34">
        <f>IF(COUNT('Balance Sheet'!G43)=1,'Balance Sheet'!G43,"")</f>
        <v>40370</v>
      </c>
      <c r="H16" s="34">
        <f>IF(COUNT('Balance Sheet'!H43)=1,'Balance Sheet'!H43,"")</f>
        <v>36026</v>
      </c>
      <c r="I16" s="34">
        <f>IF(COUNT('Balance Sheet'!I43)=1,'Balance Sheet'!I43,"")</f>
        <v>35657</v>
      </c>
      <c r="J16" s="34">
        <f>IF(COUNT('Balance Sheet'!J43)=1,'Balance Sheet'!J43,"")</f>
        <v>37595</v>
      </c>
      <c r="K16" s="34">
        <f>IF(COUNT('Balance Sheet'!K43)=1,'Balance Sheet'!K43,"")</f>
        <v>37224</v>
      </c>
      <c r="L16" s="34">
        <f>IF(COUNT('Balance Sheet'!L43)=1,'Balance Sheet'!L43,"")</f>
        <v>42321</v>
      </c>
      <c r="M16" s="15"/>
      <c r="N16" s="34">
        <f>IF(COUNT('Balance Sheet'!N43)=1,'Balance Sheet'!N43,"")</f>
        <v>37707</v>
      </c>
      <c r="O16" s="34">
        <f>IF(COUNT('Balance Sheet'!O43)=1,'Balance Sheet'!O43,"")</f>
        <v>36638</v>
      </c>
      <c r="P16" s="34">
        <f>IF(COUNT('Balance Sheet'!P43)=1,'Balance Sheet'!P43,"")</f>
        <v>38490</v>
      </c>
      <c r="Q16" s="34">
        <f>IF(COUNT('Balance Sheet'!Q43)=1,'Balance Sheet'!Q43,"")</f>
        <v>37224</v>
      </c>
      <c r="R16" s="34">
        <f>IF(COUNT('Balance Sheet'!R43)=1,'Balance Sheet'!R43,"")</f>
        <v>39419</v>
      </c>
      <c r="S16" s="34">
        <f>IF(COUNT('Balance Sheet'!S43)=1,'Balance Sheet'!S43,"")</f>
        <v>39328</v>
      </c>
      <c r="T16" s="34">
        <f>IF(COUNT('Balance Sheet'!T43)=1,'Balance Sheet'!T43,"")</f>
        <v>44113</v>
      </c>
      <c r="U16" s="34">
        <f>IF(COUNT('Balance Sheet'!U43)=1,'Balance Sheet'!U43,"")</f>
        <v>42321</v>
      </c>
      <c r="V16" s="34">
        <f>IF(COUNT('Balance Sheet'!V43)=1,'Balance Sheet'!V43,"")</f>
        <v>42577</v>
      </c>
      <c r="W16" s="34">
        <f>IF(COUNT('Balance Sheet'!W43)=1,'Balance Sheet'!W43,"")</f>
        <v>42612</v>
      </c>
      <c r="X16" s="34">
        <f>IF(COUNT('Balance Sheet'!X43)=1,'Balance Sheet'!X43,"")</f>
        <v>42658</v>
      </c>
    </row>
    <row r="17" spans="1:24" ht="22" customHeight="1">
      <c r="A17" s="3"/>
      <c r="B17" s="1"/>
      <c r="C17" s="2"/>
      <c r="D17" s="2"/>
      <c r="E17" s="2"/>
      <c r="F17" s="2"/>
      <c r="G17" s="2"/>
      <c r="H17" s="2"/>
      <c r="I17" s="2"/>
      <c r="J17" s="2"/>
      <c r="K17" s="2"/>
      <c r="L17" s="2"/>
      <c r="M17" s="2"/>
      <c r="N17" s="2"/>
      <c r="O17" s="2"/>
      <c r="P17" s="2"/>
      <c r="Q17" s="2"/>
      <c r="R17" s="2"/>
      <c r="S17" s="2"/>
      <c r="T17" s="2"/>
      <c r="U17" s="2"/>
      <c r="V17" s="2"/>
      <c r="W17" s="2"/>
      <c r="X17" s="2"/>
    </row>
    <row r="18" spans="1:24" ht="22" customHeight="1">
      <c r="A18" s="174" t="s">
        <v>715</v>
      </c>
      <c r="B18" s="174"/>
      <c r="C18" s="175"/>
      <c r="D18" s="175"/>
      <c r="E18" s="175"/>
      <c r="F18" s="175"/>
      <c r="G18" s="175"/>
      <c r="H18" s="175"/>
      <c r="I18" s="175"/>
      <c r="J18" s="175"/>
      <c r="K18" s="175"/>
      <c r="L18" s="175"/>
      <c r="M18" s="175"/>
      <c r="N18" s="175"/>
      <c r="O18" s="175"/>
      <c r="P18" s="175"/>
      <c r="Q18" s="175"/>
      <c r="R18" s="175"/>
      <c r="S18" s="175"/>
      <c r="T18" s="175"/>
      <c r="U18" s="175"/>
      <c r="V18" s="175"/>
      <c r="W18" s="175"/>
      <c r="X18" s="175"/>
    </row>
    <row r="19" spans="1:24" ht="18" customHeight="1">
      <c r="A19" s="163" t="s">
        <v>721</v>
      </c>
      <c r="B19" s="163"/>
      <c r="C19" s="173"/>
      <c r="D19" s="173"/>
      <c r="E19" s="173"/>
      <c r="F19" s="173"/>
      <c r="G19" s="173"/>
      <c r="H19" s="173"/>
      <c r="I19" s="173"/>
      <c r="J19" s="173"/>
      <c r="K19" s="173"/>
      <c r="L19" s="173"/>
      <c r="M19" s="173"/>
      <c r="N19" s="173"/>
      <c r="O19" s="173"/>
      <c r="P19" s="173"/>
      <c r="Q19" s="173"/>
      <c r="R19" s="173"/>
      <c r="S19" s="173"/>
      <c r="T19" s="173"/>
      <c r="U19" s="173"/>
      <c r="V19" s="173"/>
      <c r="W19" s="173"/>
      <c r="X19" s="173"/>
    </row>
    <row r="20" spans="1:24" ht="36" customHeight="1">
      <c r="A20" s="3" t="s">
        <v>722</v>
      </c>
      <c r="B20" s="1"/>
      <c r="C20" s="14"/>
      <c r="D20" s="14"/>
      <c r="E20" s="14"/>
      <c r="F20" s="14"/>
      <c r="G20" s="14"/>
      <c r="H20" s="14"/>
      <c r="I20" s="14"/>
      <c r="J20" s="14"/>
      <c r="K20" s="14">
        <v>7082</v>
      </c>
      <c r="L20" s="14">
        <v>6861</v>
      </c>
      <c r="M20" s="15"/>
      <c r="N20" s="14"/>
      <c r="O20" s="14"/>
      <c r="P20" s="14"/>
      <c r="Q20" s="14"/>
      <c r="R20" s="14"/>
      <c r="S20" s="14"/>
      <c r="T20" s="14"/>
      <c r="U20" s="14"/>
      <c r="V20" s="14"/>
      <c r="W20" s="14"/>
      <c r="X20" s="14"/>
    </row>
    <row r="21" spans="1:24" ht="36" customHeight="1">
      <c r="A21" s="3" t="s">
        <v>723</v>
      </c>
      <c r="B21" s="1"/>
      <c r="C21" s="14"/>
      <c r="D21" s="14"/>
      <c r="E21" s="14"/>
      <c r="F21" s="14"/>
      <c r="G21" s="14"/>
      <c r="H21" s="14"/>
      <c r="I21" s="14"/>
      <c r="J21" s="14"/>
      <c r="K21" s="14">
        <v>41228</v>
      </c>
      <c r="L21" s="14">
        <v>46351</v>
      </c>
      <c r="M21" s="15"/>
      <c r="N21" s="14"/>
      <c r="O21" s="14"/>
      <c r="P21" s="14"/>
      <c r="Q21" s="14"/>
      <c r="R21" s="14"/>
      <c r="S21" s="14"/>
      <c r="T21" s="14"/>
      <c r="U21" s="14"/>
      <c r="V21" s="14"/>
      <c r="W21" s="14"/>
      <c r="X21" s="14"/>
    </row>
    <row r="22" spans="1:24" ht="36" customHeight="1">
      <c r="A22" s="16" t="s">
        <v>724</v>
      </c>
      <c r="B22" s="17"/>
      <c r="C22" s="18"/>
      <c r="D22" s="18"/>
      <c r="E22" s="18"/>
      <c r="F22" s="18"/>
      <c r="G22" s="18"/>
      <c r="H22" s="18"/>
      <c r="I22" s="18"/>
      <c r="J22" s="18"/>
      <c r="K22" s="18">
        <v>37224</v>
      </c>
      <c r="L22" s="18">
        <v>42321</v>
      </c>
      <c r="M22" s="20"/>
      <c r="N22" s="18"/>
      <c r="O22" s="18"/>
      <c r="P22" s="18"/>
      <c r="Q22" s="18"/>
      <c r="R22" s="18"/>
      <c r="S22" s="18"/>
      <c r="T22" s="18"/>
      <c r="U22" s="18"/>
      <c r="V22" s="18"/>
      <c r="W22" s="18"/>
      <c r="X22" s="18"/>
    </row>
    <row r="23" spans="1:24" ht="22" customHeight="1">
      <c r="A23" s="3" t="s">
        <v>725</v>
      </c>
      <c r="B23" s="1"/>
      <c r="C23" s="14"/>
      <c r="D23" s="14"/>
      <c r="E23" s="14"/>
      <c r="F23" s="14"/>
      <c r="G23" s="14"/>
      <c r="H23" s="14"/>
      <c r="I23" s="14"/>
      <c r="J23" s="14"/>
      <c r="K23" s="14">
        <v>4004</v>
      </c>
      <c r="L23" s="14">
        <v>4030</v>
      </c>
      <c r="M23" s="15"/>
      <c r="N23" s="14"/>
      <c r="O23" s="14"/>
      <c r="P23" s="14"/>
      <c r="Q23" s="14"/>
      <c r="R23" s="14"/>
      <c r="S23" s="14"/>
      <c r="T23" s="14"/>
      <c r="U23" s="14"/>
      <c r="V23" s="14"/>
      <c r="W23" s="14"/>
      <c r="X23" s="14"/>
    </row>
    <row r="24" spans="1:24" ht="22" customHeight="1">
      <c r="A24" s="3" t="s">
        <v>726</v>
      </c>
      <c r="B24" s="1"/>
      <c r="C24" s="14"/>
      <c r="D24" s="14"/>
      <c r="E24" s="14"/>
      <c r="F24" s="14"/>
      <c r="G24" s="14"/>
      <c r="H24" s="14"/>
      <c r="I24" s="14"/>
      <c r="J24" s="14"/>
      <c r="K24" s="14">
        <v>4004</v>
      </c>
      <c r="L24" s="14">
        <v>4030</v>
      </c>
      <c r="M24" s="15"/>
      <c r="N24" s="14"/>
      <c r="O24" s="14"/>
      <c r="P24" s="14"/>
      <c r="Q24" s="14"/>
      <c r="R24" s="14"/>
      <c r="S24" s="14"/>
      <c r="T24" s="14"/>
      <c r="U24" s="14"/>
      <c r="V24" s="14"/>
      <c r="W24" s="14"/>
      <c r="X24" s="14"/>
    </row>
    <row r="25" spans="1:24" ht="22" customHeight="1">
      <c r="A25" s="3" t="s">
        <v>727</v>
      </c>
      <c r="B25" s="1"/>
      <c r="C25" s="14"/>
      <c r="D25" s="14"/>
      <c r="E25" s="14"/>
      <c r="F25" s="14"/>
      <c r="G25" s="14"/>
      <c r="H25" s="14"/>
      <c r="I25" s="14"/>
      <c r="J25" s="14"/>
      <c r="K25" s="14">
        <v>2818</v>
      </c>
      <c r="L25" s="14">
        <v>2641</v>
      </c>
      <c r="M25" s="15"/>
      <c r="N25" s="14"/>
      <c r="O25" s="14"/>
      <c r="P25" s="14"/>
      <c r="Q25" s="14"/>
      <c r="R25" s="14"/>
      <c r="S25" s="14"/>
      <c r="T25" s="14"/>
      <c r="U25" s="14"/>
      <c r="V25" s="14"/>
      <c r="W25" s="14"/>
      <c r="X25" s="14"/>
    </row>
    <row r="26" spans="1:24" ht="22" customHeight="1">
      <c r="A26" s="3" t="s">
        <v>728</v>
      </c>
      <c r="B26" s="1"/>
      <c r="C26" s="14"/>
      <c r="D26" s="14"/>
      <c r="E26" s="14"/>
      <c r="F26" s="14"/>
      <c r="G26" s="14"/>
      <c r="H26" s="14"/>
      <c r="I26" s="14"/>
      <c r="J26" s="14"/>
      <c r="K26" s="14">
        <v>260</v>
      </c>
      <c r="L26" s="14">
        <v>190</v>
      </c>
      <c r="M26" s="15"/>
      <c r="N26" s="14"/>
      <c r="O26" s="14"/>
      <c r="P26" s="14"/>
      <c r="Q26" s="14"/>
      <c r="R26" s="14"/>
      <c r="S26" s="14"/>
      <c r="T26" s="14"/>
      <c r="U26" s="14"/>
      <c r="V26" s="14"/>
      <c r="W26" s="14"/>
      <c r="X26" s="14"/>
    </row>
    <row r="27" spans="1:24" ht="22" customHeight="1">
      <c r="A27" s="3" t="s">
        <v>729</v>
      </c>
      <c r="B27" s="1"/>
      <c r="C27" s="14"/>
      <c r="D27" s="14"/>
      <c r="E27" s="14"/>
      <c r="F27" s="14"/>
      <c r="G27" s="14"/>
      <c r="H27" s="14"/>
      <c r="I27" s="14"/>
      <c r="J27" s="14"/>
      <c r="K27" s="14">
        <v>3999</v>
      </c>
      <c r="L27" s="14">
        <v>0</v>
      </c>
      <c r="M27" s="15"/>
      <c r="N27" s="14"/>
      <c r="O27" s="14"/>
      <c r="P27" s="14"/>
      <c r="Q27" s="14"/>
      <c r="R27" s="14"/>
      <c r="S27" s="14"/>
      <c r="T27" s="14"/>
      <c r="U27" s="14"/>
      <c r="V27" s="14"/>
      <c r="W27" s="14"/>
      <c r="X27" s="14"/>
    </row>
    <row r="28" spans="1:24" ht="22" customHeight="1">
      <c r="A28" s="3" t="s">
        <v>730</v>
      </c>
      <c r="B28" s="1"/>
      <c r="C28" s="14"/>
      <c r="D28" s="14"/>
      <c r="E28" s="14"/>
      <c r="F28" s="14"/>
      <c r="G28" s="14"/>
      <c r="H28" s="14"/>
      <c r="I28" s="14"/>
      <c r="J28" s="14"/>
      <c r="K28" s="14">
        <v>3941</v>
      </c>
      <c r="L28" s="14">
        <v>4003</v>
      </c>
      <c r="M28" s="15"/>
      <c r="N28" s="14"/>
      <c r="O28" s="14"/>
      <c r="P28" s="14"/>
      <c r="Q28" s="14"/>
      <c r="R28" s="14"/>
      <c r="S28" s="14"/>
      <c r="T28" s="14"/>
      <c r="U28" s="14"/>
      <c r="V28" s="14"/>
      <c r="W28" s="14"/>
      <c r="X28" s="14"/>
    </row>
    <row r="29" spans="1:24" ht="22" customHeight="1">
      <c r="A29" s="3" t="s">
        <v>731</v>
      </c>
      <c r="B29" s="1"/>
      <c r="C29" s="14"/>
      <c r="D29" s="14"/>
      <c r="E29" s="14"/>
      <c r="F29" s="14"/>
      <c r="G29" s="14"/>
      <c r="H29" s="14"/>
      <c r="I29" s="14"/>
      <c r="J29" s="14"/>
      <c r="K29" s="14">
        <v>3370</v>
      </c>
      <c r="L29" s="14">
        <v>3933</v>
      </c>
      <c r="M29" s="15"/>
      <c r="N29" s="14"/>
      <c r="O29" s="14"/>
      <c r="P29" s="14"/>
      <c r="Q29" s="14"/>
      <c r="R29" s="14"/>
      <c r="S29" s="14"/>
      <c r="T29" s="14"/>
      <c r="U29" s="14"/>
      <c r="V29" s="14"/>
      <c r="W29" s="14"/>
      <c r="X29" s="14"/>
    </row>
    <row r="30" spans="1:24" ht="22" customHeight="1">
      <c r="A30" s="3" t="s">
        <v>732</v>
      </c>
      <c r="B30" s="1"/>
      <c r="C30" s="14"/>
      <c r="D30" s="14"/>
      <c r="E30" s="14"/>
      <c r="F30" s="14"/>
      <c r="G30" s="14"/>
      <c r="H30" s="14"/>
      <c r="I30" s="14"/>
      <c r="J30" s="14"/>
      <c r="K30" s="14">
        <v>3240</v>
      </c>
      <c r="L30" s="14">
        <v>4203</v>
      </c>
      <c r="M30" s="15"/>
      <c r="N30" s="14"/>
      <c r="O30" s="14"/>
      <c r="P30" s="14"/>
      <c r="Q30" s="14"/>
      <c r="R30" s="14"/>
      <c r="S30" s="14"/>
      <c r="T30" s="14"/>
      <c r="U30" s="14"/>
      <c r="V30" s="14"/>
      <c r="W30" s="14"/>
      <c r="X30" s="14"/>
    </row>
    <row r="31" spans="1:24" ht="22" customHeight="1">
      <c r="A31" s="3" t="s">
        <v>733</v>
      </c>
      <c r="B31" s="1"/>
      <c r="C31" s="14"/>
      <c r="D31" s="14"/>
      <c r="E31" s="14"/>
      <c r="F31" s="14"/>
      <c r="G31" s="14"/>
      <c r="H31" s="14"/>
      <c r="I31" s="14"/>
      <c r="J31" s="14"/>
      <c r="K31" s="14">
        <v>3239</v>
      </c>
      <c r="L31" s="14">
        <v>4043</v>
      </c>
      <c r="M31" s="15"/>
      <c r="N31" s="14"/>
      <c r="O31" s="14"/>
      <c r="P31" s="14"/>
      <c r="Q31" s="14"/>
      <c r="R31" s="14"/>
      <c r="S31" s="14"/>
      <c r="T31" s="14"/>
      <c r="U31" s="14"/>
      <c r="V31" s="14"/>
      <c r="W31" s="14"/>
      <c r="X31" s="14"/>
    </row>
    <row r="32" spans="1:24" ht="22" customHeight="1">
      <c r="A32" s="3" t="s">
        <v>734</v>
      </c>
      <c r="B32" s="1"/>
      <c r="C32" s="14"/>
      <c r="D32" s="14"/>
      <c r="E32" s="14"/>
      <c r="F32" s="14"/>
      <c r="G32" s="14"/>
      <c r="H32" s="14"/>
      <c r="I32" s="14"/>
      <c r="J32" s="14"/>
      <c r="K32" s="14">
        <v>2472</v>
      </c>
      <c r="L32" s="14">
        <v>4171</v>
      </c>
      <c r="M32" s="15"/>
      <c r="N32" s="14"/>
      <c r="O32" s="14"/>
      <c r="P32" s="14"/>
      <c r="Q32" s="14"/>
      <c r="R32" s="14"/>
      <c r="S32" s="14"/>
      <c r="T32" s="14"/>
      <c r="U32" s="14"/>
      <c r="V32" s="14"/>
      <c r="W32" s="14"/>
      <c r="X32" s="14"/>
    </row>
    <row r="33" spans="1:24" ht="22" customHeight="1">
      <c r="A33" s="3" t="s">
        <v>735</v>
      </c>
      <c r="B33" s="1"/>
      <c r="C33" s="14"/>
      <c r="D33" s="14"/>
      <c r="E33" s="14"/>
      <c r="F33" s="14"/>
      <c r="G33" s="14"/>
      <c r="H33" s="14"/>
      <c r="I33" s="14"/>
      <c r="J33" s="14"/>
      <c r="K33" s="14">
        <v>20928</v>
      </c>
      <c r="L33" s="14">
        <v>25956</v>
      </c>
      <c r="M33" s="15"/>
      <c r="N33" s="14"/>
      <c r="O33" s="14"/>
      <c r="P33" s="14"/>
      <c r="Q33" s="14"/>
      <c r="R33" s="14"/>
      <c r="S33" s="14"/>
      <c r="T33" s="14"/>
      <c r="U33" s="14"/>
      <c r="V33" s="14"/>
      <c r="W33" s="14"/>
      <c r="X33" s="14"/>
    </row>
    <row r="34" spans="1:24" ht="22" customHeight="1">
      <c r="A34" s="3" t="s">
        <v>736</v>
      </c>
      <c r="B34" s="1"/>
      <c r="C34" s="14"/>
      <c r="D34" s="14"/>
      <c r="E34" s="14"/>
      <c r="F34" s="14"/>
      <c r="G34" s="14"/>
      <c r="H34" s="14"/>
      <c r="I34" s="14"/>
      <c r="J34" s="14"/>
      <c r="K34" s="14">
        <v>39</v>
      </c>
      <c r="L34" s="14">
        <v>42</v>
      </c>
      <c r="M34" s="15"/>
      <c r="N34" s="14"/>
      <c r="O34" s="14"/>
      <c r="P34" s="14"/>
      <c r="Q34" s="14"/>
      <c r="R34" s="14"/>
      <c r="S34" s="14"/>
      <c r="T34" s="14"/>
      <c r="U34" s="14"/>
      <c r="V34" s="14"/>
      <c r="W34" s="14"/>
      <c r="X34" s="14"/>
    </row>
    <row r="35" spans="1:24" ht="22" customHeight="1">
      <c r="A35" s="3"/>
      <c r="B35" s="1"/>
      <c r="C35" s="2"/>
      <c r="D35" s="2"/>
      <c r="E35" s="2"/>
      <c r="F35" s="2"/>
      <c r="G35" s="2"/>
      <c r="H35" s="2"/>
      <c r="I35" s="2"/>
      <c r="J35" s="2"/>
      <c r="K35" s="2"/>
      <c r="L35" s="2"/>
      <c r="M35" s="2"/>
      <c r="N35" s="2"/>
      <c r="O35" s="2"/>
      <c r="P35" s="2"/>
      <c r="Q35" s="2"/>
      <c r="R35" s="2"/>
      <c r="S35" s="2"/>
      <c r="T35" s="2"/>
      <c r="U35" s="2"/>
      <c r="V35" s="2"/>
      <c r="W35" s="2"/>
      <c r="X35" s="2"/>
    </row>
    <row r="36" spans="1:24" ht="22" customHeight="1">
      <c r="A36" s="174" t="s">
        <v>716</v>
      </c>
      <c r="B36" s="174"/>
      <c r="C36" s="175"/>
      <c r="D36" s="175"/>
      <c r="E36" s="175"/>
      <c r="F36" s="175"/>
      <c r="G36" s="175"/>
      <c r="H36" s="175"/>
      <c r="I36" s="175"/>
      <c r="J36" s="175"/>
      <c r="K36" s="175"/>
      <c r="L36" s="175"/>
      <c r="M36" s="175"/>
      <c r="N36" s="175"/>
      <c r="O36" s="175"/>
      <c r="P36" s="175"/>
      <c r="Q36" s="175"/>
      <c r="R36" s="175"/>
      <c r="S36" s="175"/>
      <c r="T36" s="175"/>
      <c r="U36" s="175"/>
      <c r="V36" s="175"/>
      <c r="W36" s="175"/>
      <c r="X36" s="175"/>
    </row>
    <row r="37" spans="1:24" ht="18" customHeight="1">
      <c r="A37" s="163" t="s">
        <v>737</v>
      </c>
      <c r="B37" s="163"/>
      <c r="C37" s="173"/>
      <c r="D37" s="173"/>
      <c r="E37" s="173"/>
      <c r="F37" s="173"/>
      <c r="G37" s="173"/>
      <c r="H37" s="173"/>
      <c r="I37" s="173"/>
      <c r="J37" s="173"/>
      <c r="K37" s="173"/>
      <c r="L37" s="173"/>
      <c r="M37" s="173"/>
      <c r="N37" s="173"/>
      <c r="O37" s="173"/>
      <c r="P37" s="173"/>
      <c r="Q37" s="173"/>
      <c r="R37" s="173"/>
      <c r="S37" s="173"/>
      <c r="T37" s="173"/>
      <c r="U37" s="173"/>
      <c r="V37" s="173"/>
      <c r="W37" s="173"/>
      <c r="X37" s="173"/>
    </row>
    <row r="38" spans="1:24" ht="20" customHeight="1">
      <c r="A38" s="21" t="s">
        <v>738</v>
      </c>
      <c r="B38" s="1"/>
      <c r="C38" s="22"/>
      <c r="D38" s="22"/>
      <c r="E38" s="22"/>
      <c r="F38" s="22"/>
      <c r="G38" s="22"/>
      <c r="H38" s="22"/>
      <c r="I38" s="22"/>
      <c r="J38" s="22"/>
      <c r="K38" s="22"/>
      <c r="L38" s="22"/>
      <c r="M38" s="24"/>
      <c r="N38" s="22"/>
      <c r="O38" s="22"/>
      <c r="P38" s="22"/>
      <c r="Q38" s="22"/>
      <c r="R38" s="22"/>
      <c r="S38" s="22"/>
      <c r="T38" s="22"/>
      <c r="U38" s="22"/>
      <c r="V38" s="22">
        <v>3.3000000000000002E-2</v>
      </c>
      <c r="W38" s="22">
        <v>3.3000000000000002E-2</v>
      </c>
      <c r="X38" s="22">
        <v>3.3000000000000002E-2</v>
      </c>
    </row>
    <row r="39" spans="1:24" ht="20" customHeight="1">
      <c r="A39" s="21" t="s">
        <v>739</v>
      </c>
      <c r="B39" s="1"/>
      <c r="C39" s="22"/>
      <c r="D39" s="22"/>
      <c r="E39" s="22"/>
      <c r="F39" s="22"/>
      <c r="G39" s="22"/>
      <c r="H39" s="22"/>
      <c r="I39" s="22"/>
      <c r="J39" s="22"/>
      <c r="K39" s="22"/>
      <c r="L39" s="22"/>
      <c r="M39" s="24"/>
      <c r="N39" s="22"/>
      <c r="O39" s="22"/>
      <c r="P39" s="22"/>
      <c r="Q39" s="22"/>
      <c r="R39" s="22"/>
      <c r="S39" s="22"/>
      <c r="T39" s="22"/>
      <c r="U39" s="22"/>
      <c r="V39" s="22">
        <v>3.7000000000000005E-2</v>
      </c>
      <c r="W39" s="22">
        <v>3.7000000000000005E-2</v>
      </c>
      <c r="X39" s="22">
        <v>3.7000000000000005E-2</v>
      </c>
    </row>
    <row r="40" spans="1:24" ht="20" customHeight="1">
      <c r="A40" s="21" t="s">
        <v>740</v>
      </c>
      <c r="B40" s="1"/>
      <c r="C40" s="22"/>
      <c r="D40" s="22"/>
      <c r="E40" s="22"/>
      <c r="F40" s="22"/>
      <c r="G40" s="22"/>
      <c r="H40" s="22"/>
      <c r="I40" s="22"/>
      <c r="J40" s="22"/>
      <c r="K40" s="22"/>
      <c r="L40" s="22"/>
      <c r="M40" s="24"/>
      <c r="N40" s="22"/>
      <c r="O40" s="22"/>
      <c r="P40" s="22"/>
      <c r="Q40" s="22"/>
      <c r="R40" s="22"/>
      <c r="S40" s="22"/>
      <c r="T40" s="22"/>
      <c r="U40" s="22"/>
      <c r="V40" s="22">
        <v>4.1500000000000002E-2</v>
      </c>
      <c r="W40" s="22">
        <v>4.1500000000000002E-2</v>
      </c>
      <c r="X40" s="22">
        <v>4.1500000000000002E-2</v>
      </c>
    </row>
    <row r="41" spans="1:24" ht="22" customHeight="1">
      <c r="A41" s="3"/>
      <c r="B41" s="1"/>
      <c r="C41" s="2"/>
      <c r="D41" s="2"/>
      <c r="E41" s="2"/>
      <c r="F41" s="2"/>
      <c r="G41" s="2"/>
      <c r="H41" s="2"/>
      <c r="I41" s="2"/>
      <c r="J41" s="2"/>
      <c r="K41" s="2"/>
      <c r="L41" s="2"/>
      <c r="M41" s="2"/>
      <c r="N41" s="2"/>
      <c r="O41" s="2"/>
      <c r="P41" s="2"/>
      <c r="Q41" s="2"/>
      <c r="R41" s="2"/>
      <c r="S41" s="2"/>
      <c r="T41" s="2"/>
      <c r="U41" s="2"/>
      <c r="V41" s="2"/>
      <c r="W41" s="2"/>
      <c r="X41" s="2"/>
    </row>
    <row r="42" spans="1:24" ht="22" customHeight="1">
      <c r="A42" s="174" t="s">
        <v>717</v>
      </c>
      <c r="B42" s="174"/>
      <c r="C42" s="175"/>
      <c r="D42" s="175"/>
      <c r="E42" s="175"/>
      <c r="F42" s="175"/>
      <c r="G42" s="175"/>
      <c r="H42" s="175"/>
      <c r="I42" s="175"/>
      <c r="J42" s="175"/>
      <c r="K42" s="175"/>
      <c r="L42" s="175"/>
      <c r="M42" s="175"/>
      <c r="N42" s="175"/>
      <c r="O42" s="175"/>
      <c r="P42" s="175"/>
      <c r="Q42" s="175"/>
      <c r="R42" s="175"/>
      <c r="S42" s="175"/>
      <c r="T42" s="175"/>
      <c r="U42" s="175"/>
      <c r="V42" s="175"/>
      <c r="W42" s="175"/>
      <c r="X42" s="175"/>
    </row>
    <row r="43" spans="1:24" ht="18" customHeight="1">
      <c r="A43" s="163" t="s">
        <v>741</v>
      </c>
      <c r="B43" s="163"/>
      <c r="C43" s="173"/>
      <c r="D43" s="173"/>
      <c r="E43" s="173"/>
      <c r="F43" s="173"/>
      <c r="G43" s="173"/>
      <c r="H43" s="173"/>
      <c r="I43" s="173"/>
      <c r="J43" s="173"/>
      <c r="K43" s="173"/>
      <c r="L43" s="173"/>
      <c r="M43" s="173"/>
      <c r="N43" s="173"/>
      <c r="O43" s="173"/>
      <c r="P43" s="173"/>
      <c r="Q43" s="173"/>
      <c r="R43" s="173"/>
      <c r="S43" s="173"/>
      <c r="T43" s="173"/>
      <c r="U43" s="173"/>
      <c r="V43" s="173"/>
      <c r="W43" s="173"/>
      <c r="X43" s="173"/>
    </row>
    <row r="44" spans="1:24" ht="22" customHeight="1">
      <c r="A44" s="3" t="s">
        <v>742</v>
      </c>
      <c r="B44" s="1"/>
      <c r="C44" s="14"/>
      <c r="D44" s="14"/>
      <c r="E44" s="14"/>
      <c r="F44" s="14"/>
      <c r="G44" s="14"/>
      <c r="H44" s="14"/>
      <c r="I44" s="14"/>
      <c r="J44" s="14"/>
      <c r="K44" s="14"/>
      <c r="L44" s="14">
        <v>858</v>
      </c>
      <c r="M44" s="15"/>
      <c r="N44" s="14"/>
      <c r="O44" s="14"/>
      <c r="P44" s="14"/>
      <c r="Q44" s="14"/>
      <c r="R44" s="14"/>
      <c r="S44" s="14"/>
      <c r="T44" s="14"/>
      <c r="U44" s="14"/>
      <c r="V44" s="14"/>
      <c r="W44" s="14"/>
      <c r="X44" s="14"/>
    </row>
    <row r="45" spans="1:24" ht="22" customHeight="1">
      <c r="A45" s="3" t="s">
        <v>743</v>
      </c>
      <c r="B45" s="1"/>
      <c r="C45" s="14"/>
      <c r="D45" s="14"/>
      <c r="E45" s="14"/>
      <c r="F45" s="14"/>
      <c r="G45" s="14"/>
      <c r="H45" s="14"/>
      <c r="I45" s="14"/>
      <c r="J45" s="14"/>
      <c r="K45" s="14"/>
      <c r="L45" s="14">
        <v>750</v>
      </c>
      <c r="M45" s="15"/>
      <c r="N45" s="14"/>
      <c r="O45" s="14"/>
      <c r="P45" s="14"/>
      <c r="Q45" s="14"/>
      <c r="R45" s="14"/>
      <c r="S45" s="14"/>
      <c r="T45" s="14"/>
      <c r="U45" s="14"/>
      <c r="V45" s="14"/>
      <c r="W45" s="14"/>
      <c r="X45" s="14"/>
    </row>
    <row r="46" spans="1:24" ht="22" customHeight="1">
      <c r="A46" s="3" t="s">
        <v>744</v>
      </c>
      <c r="B46" s="1"/>
      <c r="C46" s="14"/>
      <c r="D46" s="14"/>
      <c r="E46" s="14"/>
      <c r="F46" s="14"/>
      <c r="G46" s="14"/>
      <c r="H46" s="14"/>
      <c r="I46" s="14"/>
      <c r="J46" s="14"/>
      <c r="K46" s="14"/>
      <c r="L46" s="14">
        <v>631</v>
      </c>
      <c r="M46" s="15"/>
      <c r="N46" s="14"/>
      <c r="O46" s="14"/>
      <c r="P46" s="14"/>
      <c r="Q46" s="14"/>
      <c r="R46" s="14"/>
      <c r="S46" s="14"/>
      <c r="T46" s="14"/>
      <c r="U46" s="14"/>
      <c r="V46" s="14"/>
      <c r="W46" s="14"/>
      <c r="X46" s="14"/>
    </row>
    <row r="47" spans="1:24" ht="22" customHeight="1">
      <c r="A47" s="3" t="s">
        <v>745</v>
      </c>
      <c r="B47" s="1"/>
      <c r="C47" s="14"/>
      <c r="D47" s="14"/>
      <c r="E47" s="14"/>
      <c r="F47" s="14"/>
      <c r="G47" s="14"/>
      <c r="H47" s="14"/>
      <c r="I47" s="14"/>
      <c r="J47" s="14"/>
      <c r="K47" s="14"/>
      <c r="L47" s="14">
        <v>512</v>
      </c>
      <c r="M47" s="15"/>
      <c r="N47" s="14"/>
      <c r="O47" s="14"/>
      <c r="P47" s="14"/>
      <c r="Q47" s="14"/>
      <c r="R47" s="14"/>
      <c r="S47" s="14"/>
      <c r="T47" s="14"/>
      <c r="U47" s="14"/>
      <c r="V47" s="14"/>
      <c r="W47" s="14"/>
      <c r="X47" s="14"/>
    </row>
    <row r="48" spans="1:24" ht="22" customHeight="1">
      <c r="A48" s="3" t="s">
        <v>746</v>
      </c>
      <c r="B48" s="1"/>
      <c r="C48" s="14"/>
      <c r="D48" s="14"/>
      <c r="E48" s="14"/>
      <c r="F48" s="14"/>
      <c r="G48" s="14"/>
      <c r="H48" s="14"/>
      <c r="I48" s="14"/>
      <c r="J48" s="14"/>
      <c r="K48" s="14"/>
      <c r="L48" s="14">
        <v>434</v>
      </c>
      <c r="M48" s="15"/>
      <c r="N48" s="14"/>
      <c r="O48" s="14"/>
      <c r="P48" s="14"/>
      <c r="Q48" s="14"/>
      <c r="R48" s="14"/>
      <c r="S48" s="14"/>
      <c r="T48" s="14"/>
      <c r="U48" s="14"/>
      <c r="V48" s="14"/>
      <c r="W48" s="14"/>
      <c r="X48" s="14"/>
    </row>
    <row r="49" spans="1:24" ht="22" customHeight="1">
      <c r="A49" s="3" t="s">
        <v>747</v>
      </c>
      <c r="B49" s="1"/>
      <c r="C49" s="14"/>
      <c r="D49" s="14"/>
      <c r="E49" s="14"/>
      <c r="F49" s="14"/>
      <c r="G49" s="14"/>
      <c r="H49" s="14"/>
      <c r="I49" s="14"/>
      <c r="J49" s="14"/>
      <c r="K49" s="14"/>
      <c r="L49" s="14">
        <v>1342</v>
      </c>
      <c r="M49" s="15"/>
      <c r="N49" s="14"/>
      <c r="O49" s="14"/>
      <c r="P49" s="14"/>
      <c r="Q49" s="14"/>
      <c r="R49" s="14"/>
      <c r="S49" s="14"/>
      <c r="T49" s="14"/>
      <c r="U49" s="14"/>
      <c r="V49" s="14"/>
      <c r="W49" s="14"/>
      <c r="X49" s="14"/>
    </row>
    <row r="50" spans="1:24" ht="22" customHeight="1">
      <c r="A50" s="3" t="s">
        <v>748</v>
      </c>
      <c r="B50" s="1"/>
      <c r="C50" s="14"/>
      <c r="D50" s="14"/>
      <c r="E50" s="14"/>
      <c r="F50" s="14"/>
      <c r="G50" s="14"/>
      <c r="H50" s="14"/>
      <c r="I50" s="14"/>
      <c r="J50" s="14"/>
      <c r="K50" s="14"/>
      <c r="L50" s="14">
        <v>4527</v>
      </c>
      <c r="M50" s="15"/>
      <c r="N50" s="14"/>
      <c r="O50" s="14"/>
      <c r="P50" s="14"/>
      <c r="Q50" s="14"/>
      <c r="R50" s="14"/>
      <c r="S50" s="14"/>
      <c r="T50" s="14"/>
      <c r="U50" s="14"/>
      <c r="V50" s="14"/>
      <c r="W50" s="14"/>
      <c r="X50" s="14"/>
    </row>
    <row r="51" spans="1:24" ht="22" customHeight="1">
      <c r="A51" s="3" t="s">
        <v>749</v>
      </c>
      <c r="B51" s="1"/>
      <c r="C51" s="14"/>
      <c r="D51" s="14"/>
      <c r="E51" s="14"/>
      <c r="F51" s="14"/>
      <c r="G51" s="14"/>
      <c r="H51" s="14"/>
      <c r="I51" s="14"/>
      <c r="J51" s="14"/>
      <c r="K51" s="14"/>
      <c r="L51" s="14">
        <v>681</v>
      </c>
      <c r="M51" s="15"/>
      <c r="N51" s="14"/>
      <c r="O51" s="14"/>
      <c r="P51" s="14"/>
      <c r="Q51" s="14"/>
      <c r="R51" s="14"/>
      <c r="S51" s="14"/>
      <c r="T51" s="14"/>
      <c r="U51" s="14"/>
      <c r="V51" s="14"/>
      <c r="W51" s="14"/>
      <c r="X51" s="14"/>
    </row>
    <row r="52" spans="1:24" ht="36" customHeight="1">
      <c r="A52" s="3" t="s">
        <v>750</v>
      </c>
      <c r="B52" s="1"/>
      <c r="C52" s="14"/>
      <c r="D52" s="14"/>
      <c r="E52" s="14"/>
      <c r="F52" s="14"/>
      <c r="G52" s="14"/>
      <c r="H52" s="14"/>
      <c r="I52" s="14"/>
      <c r="J52" s="14"/>
      <c r="K52" s="14"/>
      <c r="L52" s="14">
        <v>3846</v>
      </c>
      <c r="M52" s="15"/>
      <c r="N52" s="14"/>
      <c r="O52" s="14"/>
      <c r="P52" s="14"/>
      <c r="Q52" s="14"/>
      <c r="R52" s="14"/>
      <c r="S52" s="14"/>
      <c r="T52" s="14"/>
      <c r="U52" s="14"/>
      <c r="V52" s="14"/>
      <c r="W52" s="14"/>
      <c r="X52" s="14"/>
    </row>
    <row r="53" spans="1:24" ht="22" customHeight="1">
      <c r="A53" s="3"/>
      <c r="B53" s="1"/>
      <c r="C53" s="2"/>
      <c r="D53" s="2"/>
      <c r="E53" s="2"/>
      <c r="F53" s="2"/>
      <c r="G53" s="2"/>
      <c r="H53" s="2"/>
      <c r="I53" s="2"/>
      <c r="J53" s="2"/>
      <c r="K53" s="2"/>
      <c r="L53" s="2"/>
      <c r="M53" s="2"/>
      <c r="N53" s="2"/>
      <c r="O53" s="2"/>
      <c r="P53" s="2"/>
      <c r="Q53" s="2"/>
      <c r="R53" s="2"/>
      <c r="S53" s="2"/>
      <c r="T53" s="2"/>
      <c r="U53" s="2"/>
      <c r="V53" s="2"/>
      <c r="W53" s="2"/>
      <c r="X53" s="2"/>
    </row>
    <row r="54" spans="1:24" ht="22" customHeight="1">
      <c r="A54" s="174" t="s">
        <v>718</v>
      </c>
      <c r="B54" s="174"/>
      <c r="C54" s="175"/>
      <c r="D54" s="175"/>
      <c r="E54" s="175"/>
      <c r="F54" s="175"/>
      <c r="G54" s="175"/>
      <c r="H54" s="175"/>
      <c r="I54" s="175"/>
      <c r="J54" s="175"/>
      <c r="K54" s="175"/>
      <c r="L54" s="175"/>
      <c r="M54" s="175"/>
      <c r="N54" s="175"/>
      <c r="O54" s="175"/>
      <c r="P54" s="175"/>
      <c r="Q54" s="175"/>
      <c r="R54" s="175"/>
      <c r="S54" s="175"/>
      <c r="T54" s="175"/>
      <c r="U54" s="175"/>
      <c r="V54" s="175"/>
      <c r="W54" s="175"/>
      <c r="X54" s="175"/>
    </row>
    <row r="55" spans="1:24" ht="22" customHeight="1">
      <c r="A55" s="3" t="s">
        <v>751</v>
      </c>
      <c r="B55" s="1"/>
      <c r="C55" s="14"/>
      <c r="D55" s="14"/>
      <c r="E55" s="14"/>
      <c r="F55" s="14">
        <v>474</v>
      </c>
      <c r="G55" s="14">
        <v>539</v>
      </c>
      <c r="H55" s="14">
        <v>563</v>
      </c>
      <c r="I55" s="14">
        <v>585</v>
      </c>
      <c r="J55" s="14">
        <v>666</v>
      </c>
      <c r="K55" s="14">
        <v>788</v>
      </c>
      <c r="L55" s="14">
        <v>880</v>
      </c>
      <c r="M55" s="15"/>
      <c r="N55" s="14"/>
      <c r="O55" s="14"/>
      <c r="P55" s="14"/>
      <c r="Q55" s="14"/>
      <c r="R55" s="14"/>
      <c r="S55" s="14"/>
      <c r="T55" s="14"/>
      <c r="U55" s="14"/>
      <c r="V55" s="14"/>
      <c r="W55" s="14"/>
      <c r="X55" s="14"/>
    </row>
    <row r="56" spans="1:24" ht="22" customHeight="1">
      <c r="A56" s="3" t="s">
        <v>752</v>
      </c>
      <c r="B56" s="1"/>
      <c r="C56" s="14"/>
      <c r="D56" s="14"/>
      <c r="E56" s="14"/>
      <c r="F56" s="14">
        <v>101</v>
      </c>
      <c r="G56" s="14">
        <v>111</v>
      </c>
      <c r="H56" s="14">
        <v>112</v>
      </c>
      <c r="I56" s="14">
        <v>115</v>
      </c>
      <c r="J56" s="14">
        <v>146</v>
      </c>
      <c r="K56" s="14">
        <v>165</v>
      </c>
      <c r="L56" s="14">
        <v>185</v>
      </c>
      <c r="M56" s="15"/>
      <c r="N56" s="14"/>
      <c r="O56" s="14"/>
      <c r="P56" s="14"/>
      <c r="Q56" s="14"/>
      <c r="R56" s="14"/>
      <c r="S56" s="14"/>
      <c r="T56" s="14"/>
      <c r="U56" s="14"/>
      <c r="V56" s="14"/>
      <c r="W56" s="14"/>
      <c r="X56" s="14"/>
    </row>
    <row r="57" spans="1:24" ht="22" customHeight="1">
      <c r="A57" s="3" t="s">
        <v>753</v>
      </c>
      <c r="B57" s="1"/>
      <c r="C57" s="14"/>
      <c r="D57" s="14"/>
      <c r="E57" s="14"/>
      <c r="F57" s="14">
        <v>379</v>
      </c>
      <c r="G57" s="14">
        <v>436</v>
      </c>
      <c r="H57" s="14">
        <v>469</v>
      </c>
      <c r="I57" s="14">
        <v>510</v>
      </c>
      <c r="J57" s="14">
        <v>582</v>
      </c>
      <c r="K57" s="14">
        <v>566</v>
      </c>
      <c r="L57" s="14">
        <v>570</v>
      </c>
      <c r="M57" s="15"/>
      <c r="N57" s="14"/>
      <c r="O57" s="14"/>
      <c r="P57" s="14"/>
      <c r="Q57" s="14"/>
      <c r="R57" s="14"/>
      <c r="S57" s="14"/>
      <c r="T57" s="14"/>
      <c r="U57" s="14"/>
      <c r="V57" s="14"/>
      <c r="W57" s="14"/>
      <c r="X57" s="14"/>
    </row>
    <row r="58" spans="1:24" ht="36" customHeight="1">
      <c r="A58" s="3" t="s">
        <v>754</v>
      </c>
      <c r="B58" s="1"/>
      <c r="C58" s="14"/>
      <c r="D58" s="14"/>
      <c r="E58" s="14"/>
      <c r="F58" s="14">
        <v>478</v>
      </c>
      <c r="G58" s="14">
        <v>555</v>
      </c>
      <c r="H58" s="14">
        <v>567</v>
      </c>
      <c r="I58" s="14">
        <v>573</v>
      </c>
      <c r="J58" s="14">
        <v>655</v>
      </c>
      <c r="K58" s="14">
        <v>775</v>
      </c>
      <c r="L58" s="14">
        <v>866</v>
      </c>
      <c r="M58" s="15"/>
      <c r="N58" s="14"/>
      <c r="O58" s="14"/>
      <c r="P58" s="14"/>
      <c r="Q58" s="14"/>
      <c r="R58" s="14"/>
      <c r="S58" s="14"/>
      <c r="T58" s="14"/>
      <c r="U58" s="14"/>
      <c r="V58" s="14"/>
      <c r="W58" s="14"/>
      <c r="X58" s="14"/>
    </row>
    <row r="59" spans="1:24" ht="36" customHeight="1">
      <c r="A59" s="3" t="s">
        <v>369</v>
      </c>
      <c r="B59" s="1"/>
      <c r="C59" s="14"/>
      <c r="D59" s="14"/>
      <c r="E59" s="14"/>
      <c r="F59" s="14">
        <v>479</v>
      </c>
      <c r="G59" s="14">
        <v>621</v>
      </c>
      <c r="H59" s="14">
        <v>934</v>
      </c>
      <c r="I59" s="14">
        <v>871</v>
      </c>
      <c r="J59" s="14">
        <v>1088</v>
      </c>
      <c r="K59" s="14">
        <v>1218</v>
      </c>
      <c r="L59" s="14">
        <v>1046</v>
      </c>
      <c r="M59" s="15"/>
      <c r="N59" s="14"/>
      <c r="O59" s="14"/>
      <c r="P59" s="14"/>
      <c r="Q59" s="14"/>
      <c r="R59" s="14"/>
      <c r="S59" s="14"/>
      <c r="T59" s="14"/>
      <c r="U59" s="14"/>
      <c r="V59" s="14"/>
      <c r="W59" s="14"/>
      <c r="X59" s="14"/>
    </row>
    <row r="60" spans="1:24" ht="22" customHeight="1">
      <c r="A60" s="3" t="s">
        <v>468</v>
      </c>
      <c r="B60" s="1"/>
      <c r="C60" s="14"/>
      <c r="D60" s="14"/>
      <c r="E60" s="14"/>
      <c r="F60" s="14">
        <v>1548</v>
      </c>
      <c r="G60" s="14">
        <v>1670</v>
      </c>
      <c r="H60" s="14">
        <v>2020</v>
      </c>
      <c r="I60" s="14">
        <v>2373</v>
      </c>
      <c r="J60" s="14">
        <v>2905</v>
      </c>
      <c r="K60" s="14">
        <v>3383</v>
      </c>
      <c r="L60" s="14">
        <v>3745</v>
      </c>
      <c r="M60" s="15"/>
      <c r="N60" s="14"/>
      <c r="O60" s="14"/>
      <c r="P60" s="14"/>
      <c r="Q60" s="14"/>
      <c r="R60" s="14"/>
      <c r="S60" s="14"/>
      <c r="T60" s="14"/>
      <c r="U60" s="14"/>
      <c r="V60" s="14"/>
      <c r="W60" s="14"/>
      <c r="X60" s="14"/>
    </row>
    <row r="61" spans="1:24" ht="22" customHeight="1">
      <c r="A61" s="3" t="s">
        <v>464</v>
      </c>
      <c r="B61" s="1"/>
      <c r="C61" s="14"/>
      <c r="D61" s="14"/>
      <c r="E61" s="14"/>
      <c r="F61" s="14">
        <v>442</v>
      </c>
      <c r="G61" s="14">
        <v>460</v>
      </c>
      <c r="H61" s="14">
        <v>446</v>
      </c>
      <c r="I61" s="14">
        <v>483</v>
      </c>
      <c r="J61" s="14">
        <v>556</v>
      </c>
      <c r="K61" s="14">
        <v>642</v>
      </c>
      <c r="L61" s="14">
        <v>719</v>
      </c>
      <c r="M61" s="15"/>
      <c r="N61" s="14"/>
      <c r="O61" s="14"/>
      <c r="P61" s="14"/>
      <c r="Q61" s="14"/>
      <c r="R61" s="14"/>
      <c r="S61" s="14"/>
      <c r="T61" s="14"/>
      <c r="U61" s="14"/>
      <c r="V61" s="14"/>
      <c r="W61" s="14"/>
      <c r="X61" s="14"/>
    </row>
    <row r="62" spans="1:24" ht="22" customHeight="1">
      <c r="A62" s="3" t="s">
        <v>755</v>
      </c>
      <c r="B62" s="1"/>
      <c r="C62" s="14"/>
      <c r="D62" s="14"/>
      <c r="E62" s="14"/>
      <c r="F62" s="14">
        <v>1118</v>
      </c>
      <c r="G62" s="14">
        <v>1233</v>
      </c>
      <c r="H62" s="14">
        <v>1598</v>
      </c>
      <c r="I62" s="14">
        <v>1933</v>
      </c>
      <c r="J62" s="14">
        <v>2400</v>
      </c>
      <c r="K62" s="14">
        <v>2803</v>
      </c>
      <c r="L62" s="14">
        <v>3127</v>
      </c>
      <c r="M62" s="15"/>
      <c r="N62" s="14"/>
      <c r="O62" s="14"/>
      <c r="P62" s="14"/>
      <c r="Q62" s="14"/>
      <c r="R62" s="14"/>
      <c r="S62" s="14"/>
      <c r="T62" s="14"/>
      <c r="U62" s="14"/>
      <c r="V62" s="14"/>
      <c r="W62" s="14"/>
      <c r="X62" s="14"/>
    </row>
    <row r="63" spans="1:24" ht="20" customHeight="1">
      <c r="A63" s="21" t="s">
        <v>756</v>
      </c>
      <c r="B63" s="1"/>
      <c r="C63" s="22"/>
      <c r="D63" s="22"/>
      <c r="E63" s="22"/>
      <c r="F63" s="22">
        <v>0.04</v>
      </c>
      <c r="G63" s="22">
        <v>0.04</v>
      </c>
      <c r="H63" s="22">
        <v>0.03</v>
      </c>
      <c r="I63" s="22">
        <v>0.03</v>
      </c>
      <c r="J63" s="22">
        <v>0.04</v>
      </c>
      <c r="K63" s="22">
        <v>0.04</v>
      </c>
      <c r="L63" s="22">
        <v>0.05</v>
      </c>
      <c r="M63" s="24"/>
      <c r="N63" s="22"/>
      <c r="O63" s="22"/>
      <c r="P63" s="22"/>
      <c r="Q63" s="22"/>
      <c r="R63" s="22"/>
      <c r="S63" s="22"/>
      <c r="T63" s="22"/>
      <c r="U63" s="22"/>
      <c r="V63" s="22"/>
      <c r="W63" s="22"/>
      <c r="X63" s="22"/>
    </row>
    <row r="64" spans="1:24" ht="22" customHeight="1">
      <c r="A64" s="3"/>
      <c r="B64" s="1"/>
      <c r="C64" s="2"/>
      <c r="D64" s="2"/>
      <c r="E64" s="2"/>
      <c r="F64" s="2"/>
      <c r="G64" s="2"/>
      <c r="H64" s="2"/>
      <c r="I64" s="2"/>
      <c r="J64" s="2"/>
      <c r="K64" s="2"/>
      <c r="L64" s="2"/>
      <c r="M64" s="2"/>
      <c r="N64" s="2"/>
      <c r="O64" s="2"/>
      <c r="P64" s="2"/>
      <c r="Q64" s="2"/>
      <c r="R64" s="2"/>
      <c r="S64" s="2"/>
      <c r="T64" s="2"/>
      <c r="U64" s="2"/>
      <c r="V64" s="2"/>
      <c r="W64" s="2"/>
      <c r="X64" s="2"/>
    </row>
    <row r="65" spans="1:24" ht="22" customHeight="1">
      <c r="A65" s="174" t="s">
        <v>719</v>
      </c>
      <c r="B65" s="174"/>
      <c r="C65" s="175"/>
      <c r="D65" s="175"/>
      <c r="E65" s="175"/>
      <c r="F65" s="175"/>
      <c r="G65" s="175"/>
      <c r="H65" s="175"/>
      <c r="I65" s="175"/>
      <c r="J65" s="175"/>
      <c r="K65" s="175"/>
      <c r="L65" s="175"/>
      <c r="M65" s="175"/>
      <c r="N65" s="175"/>
      <c r="O65" s="175"/>
      <c r="P65" s="175"/>
      <c r="Q65" s="175"/>
      <c r="R65" s="175"/>
      <c r="S65" s="175"/>
      <c r="T65" s="175"/>
      <c r="U65" s="175"/>
      <c r="V65" s="175"/>
      <c r="W65" s="175"/>
      <c r="X65" s="175"/>
    </row>
    <row r="66" spans="1:24" ht="22" customHeight="1">
      <c r="A66" s="3" t="s">
        <v>757</v>
      </c>
      <c r="B66" s="1"/>
      <c r="C66" s="14"/>
      <c r="D66" s="14"/>
      <c r="E66" s="14"/>
      <c r="F66" s="14"/>
      <c r="G66" s="14"/>
      <c r="H66" s="14"/>
      <c r="I66" s="14"/>
      <c r="J66" s="14"/>
      <c r="K66" s="14">
        <v>1655</v>
      </c>
      <c r="L66" s="14">
        <v>1478</v>
      </c>
      <c r="M66" s="15"/>
      <c r="N66" s="14"/>
      <c r="O66" s="14"/>
      <c r="P66" s="14"/>
      <c r="Q66" s="14"/>
      <c r="R66" s="14"/>
      <c r="S66" s="14"/>
      <c r="T66" s="14"/>
      <c r="U66" s="14"/>
      <c r="V66" s="14"/>
      <c r="W66" s="14"/>
      <c r="X66" s="14"/>
    </row>
    <row r="67" spans="1:24" ht="22" customHeight="1">
      <c r="A67" s="3" t="s">
        <v>758</v>
      </c>
      <c r="B67" s="1"/>
      <c r="C67" s="14"/>
      <c r="D67" s="14"/>
      <c r="E67" s="14"/>
      <c r="F67" s="14"/>
      <c r="G67" s="14"/>
      <c r="H67" s="14"/>
      <c r="I67" s="14"/>
      <c r="J67" s="14"/>
      <c r="K67" s="14">
        <v>6552</v>
      </c>
      <c r="L67" s="14">
        <v>6668</v>
      </c>
      <c r="M67" s="15"/>
      <c r="N67" s="14"/>
      <c r="O67" s="14"/>
      <c r="P67" s="14"/>
      <c r="Q67" s="14"/>
      <c r="R67" s="14"/>
      <c r="S67" s="14"/>
      <c r="T67" s="14"/>
      <c r="U67" s="14"/>
      <c r="V67" s="14"/>
      <c r="W67" s="14"/>
      <c r="X67" s="14"/>
    </row>
    <row r="68" spans="1:24" ht="22" customHeight="1">
      <c r="A68" s="3" t="s">
        <v>759</v>
      </c>
      <c r="B68" s="1"/>
      <c r="C68" s="14"/>
      <c r="D68" s="14"/>
      <c r="E68" s="14"/>
      <c r="F68" s="14"/>
      <c r="G68" s="14"/>
      <c r="H68" s="14"/>
      <c r="I68" s="14"/>
      <c r="J68" s="14"/>
      <c r="K68" s="14">
        <v>-6636</v>
      </c>
      <c r="L68" s="14">
        <v>-6547</v>
      </c>
      <c r="M68" s="15"/>
      <c r="N68" s="14"/>
      <c r="O68" s="14"/>
      <c r="P68" s="14"/>
      <c r="Q68" s="14"/>
      <c r="R68" s="14"/>
      <c r="S68" s="14"/>
      <c r="T68" s="14"/>
      <c r="U68" s="14"/>
      <c r="V68" s="14"/>
      <c r="W68" s="14"/>
      <c r="X68" s="14"/>
    </row>
    <row r="69" spans="1:24" ht="22" customHeight="1">
      <c r="A69" s="3" t="s">
        <v>454</v>
      </c>
      <c r="B69" s="1"/>
      <c r="C69" s="14"/>
      <c r="D69" s="14"/>
      <c r="E69" s="14"/>
      <c r="F69" s="14"/>
      <c r="G69" s="14"/>
      <c r="H69" s="14"/>
      <c r="I69" s="14"/>
      <c r="J69" s="14"/>
      <c r="K69" s="14">
        <v>-93</v>
      </c>
      <c r="L69" s="14">
        <v>82</v>
      </c>
      <c r="M69" s="15"/>
      <c r="N69" s="14"/>
      <c r="O69" s="14"/>
      <c r="P69" s="14"/>
      <c r="Q69" s="14"/>
      <c r="R69" s="14"/>
      <c r="S69" s="14"/>
      <c r="T69" s="14"/>
      <c r="U69" s="14"/>
      <c r="V69" s="14"/>
      <c r="W69" s="14"/>
      <c r="X69" s="14"/>
    </row>
    <row r="70" spans="1:24" ht="22" customHeight="1">
      <c r="A70" s="3" t="s">
        <v>760</v>
      </c>
      <c r="B70" s="1"/>
      <c r="C70" s="14"/>
      <c r="D70" s="14"/>
      <c r="E70" s="14"/>
      <c r="F70" s="14"/>
      <c r="G70" s="14"/>
      <c r="H70" s="14"/>
      <c r="I70" s="14"/>
      <c r="J70" s="14"/>
      <c r="K70" s="14">
        <v>1478</v>
      </c>
      <c r="L70" s="14">
        <v>1681</v>
      </c>
      <c r="M70" s="15"/>
      <c r="N70" s="14"/>
      <c r="O70" s="14"/>
      <c r="P70" s="14"/>
      <c r="Q70" s="14"/>
      <c r="R70" s="14"/>
      <c r="S70" s="14"/>
      <c r="T70" s="14"/>
      <c r="U70" s="14"/>
      <c r="V70" s="14"/>
      <c r="W70" s="14"/>
      <c r="X70" s="14"/>
    </row>
    <row r="71" spans="1:24" ht="22" customHeight="1">
      <c r="A71" s="3"/>
      <c r="B71" s="1"/>
      <c r="C71" s="2"/>
      <c r="D71" s="2"/>
      <c r="E71" s="2"/>
      <c r="F71" s="2"/>
      <c r="G71" s="2"/>
      <c r="H71" s="2"/>
      <c r="I71" s="2"/>
      <c r="J71" s="2"/>
      <c r="K71" s="2"/>
      <c r="L71" s="2"/>
      <c r="M71" s="2"/>
      <c r="N71" s="2"/>
      <c r="O71" s="2"/>
      <c r="P71" s="2"/>
      <c r="Q71" s="2"/>
      <c r="R71" s="2"/>
      <c r="S71" s="2"/>
      <c r="T71" s="2"/>
      <c r="U71" s="2"/>
      <c r="V71" s="2"/>
      <c r="W71" s="2"/>
      <c r="X71" s="2"/>
    </row>
  </sheetData>
  <mergeCells count="18">
    <mergeCell ref="A54:X54"/>
    <mergeCell ref="A65:X65"/>
    <mergeCell ref="A19:X19"/>
    <mergeCell ref="A36:X36"/>
    <mergeCell ref="A37:X37"/>
    <mergeCell ref="A42:X42"/>
    <mergeCell ref="A43:X43"/>
    <mergeCell ref="C9:L9"/>
    <mergeCell ref="N9:X9"/>
    <mergeCell ref="A13:X13"/>
    <mergeCell ref="A14:X14"/>
    <mergeCell ref="A18:X18"/>
    <mergeCell ref="A1:X1"/>
    <mergeCell ref="A2:X2"/>
    <mergeCell ref="C7:L7"/>
    <mergeCell ref="N7:X7"/>
    <mergeCell ref="C8:L8"/>
    <mergeCell ref="N8:X8"/>
  </mergeCells>
  <phoneticPr fontId="44" type="noConversion"/>
  <hyperlinks>
    <hyperlink ref="A3" location="'Contents'!A1" display="Metric (Return to Contents)" xr:uid="{00000000-0004-0000-0900-000000000000}"/>
    <hyperlink ref="C7" location="'Debt &amp; Leases'!A13" display="Interest-bearing debt balances: ten-year history and recent periods" xr:uid="{00000000-0004-0000-0900-000001000000}"/>
    <hyperlink ref="N7" location="'Debt &amp; Leases'!A18" display="FY2025 debt composition and maturity groups" xr:uid="{00000000-0004-0000-0900-000002000000}"/>
    <hyperlink ref="C8" location="'Debt &amp; Leases'!A36" display="Recent debt issuances: interest rates and principal" xr:uid="{00000000-0004-0000-0900-000003000000}"/>
    <hyperlink ref="N8" location="'Debt &amp; Leases'!A42" display="FY2025 operating lease payment maturities" xr:uid="{00000000-0004-0000-0900-000004000000}"/>
    <hyperlink ref="C9" location="'Debt &amp; Leases'!A54" display="Operating lease costs and balances" xr:uid="{00000000-0004-0000-0900-000005000000}"/>
    <hyperlink ref="N9" location="'Debt &amp; Leases'!A65" display="Supplier finance" xr:uid="{00000000-0004-0000-0900-000006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B08958"/>
  </sheetPr>
  <dimension ref="A1:X116"/>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761</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762</v>
      </c>
      <c r="D7" s="176"/>
      <c r="E7" s="176"/>
      <c r="F7" s="176"/>
      <c r="G7" s="176"/>
      <c r="H7" s="176"/>
      <c r="I7" s="176"/>
      <c r="J7" s="176"/>
      <c r="K7" s="176"/>
      <c r="L7" s="176"/>
      <c r="M7" s="2"/>
      <c r="N7" s="176" t="s">
        <v>763</v>
      </c>
      <c r="O7" s="176"/>
      <c r="P7" s="176"/>
      <c r="Q7" s="176"/>
      <c r="R7" s="176"/>
      <c r="S7" s="176"/>
      <c r="T7" s="176"/>
      <c r="U7" s="176"/>
      <c r="V7" s="176"/>
      <c r="W7" s="176"/>
      <c r="X7" s="176"/>
    </row>
    <row r="8" spans="1:24" ht="22" customHeight="1">
      <c r="A8" s="3"/>
      <c r="B8" s="1"/>
      <c r="C8" s="2"/>
      <c r="D8" s="2"/>
      <c r="E8" s="2"/>
      <c r="F8" s="2"/>
      <c r="G8" s="2"/>
      <c r="H8" s="2"/>
      <c r="I8" s="2"/>
      <c r="J8" s="2"/>
      <c r="K8" s="2"/>
      <c r="L8" s="2"/>
      <c r="M8" s="2"/>
      <c r="N8" s="2"/>
      <c r="O8" s="2"/>
      <c r="P8" s="2"/>
      <c r="Q8" s="2"/>
      <c r="R8" s="2"/>
      <c r="S8" s="2"/>
      <c r="T8" s="2"/>
      <c r="U8" s="2"/>
      <c r="V8" s="2"/>
      <c r="W8" s="2"/>
      <c r="X8" s="2"/>
    </row>
    <row r="9" spans="1:24" ht="22" customHeight="1">
      <c r="A9" s="3"/>
      <c r="B9" s="1"/>
      <c r="C9" s="2"/>
      <c r="D9" s="2"/>
      <c r="E9" s="2"/>
      <c r="F9" s="2"/>
      <c r="G9" s="2"/>
      <c r="H9" s="2"/>
      <c r="I9" s="2"/>
      <c r="J9" s="2"/>
      <c r="K9" s="2"/>
      <c r="L9" s="2"/>
      <c r="M9" s="2"/>
      <c r="N9" s="2"/>
      <c r="O9" s="2"/>
      <c r="P9" s="2"/>
      <c r="Q9" s="2"/>
      <c r="R9" s="2"/>
      <c r="S9" s="2"/>
      <c r="T9" s="2"/>
      <c r="U9" s="2"/>
      <c r="V9" s="2"/>
      <c r="W9" s="2"/>
      <c r="X9" s="2"/>
    </row>
    <row r="10" spans="1:24" ht="22" customHeight="1">
      <c r="A10" s="3"/>
      <c r="B10" s="1"/>
      <c r="C10" s="2"/>
      <c r="D10" s="2"/>
      <c r="E10" s="2"/>
      <c r="F10" s="2"/>
      <c r="G10" s="2"/>
      <c r="H10" s="2"/>
      <c r="I10" s="2"/>
      <c r="J10" s="2"/>
      <c r="K10" s="2"/>
      <c r="L10" s="2"/>
      <c r="M10" s="2"/>
      <c r="N10" s="2"/>
      <c r="O10" s="2"/>
      <c r="P10" s="2"/>
      <c r="Q10" s="2"/>
      <c r="R10" s="2"/>
      <c r="S10" s="2"/>
      <c r="T10" s="2"/>
      <c r="U10" s="2"/>
      <c r="V10" s="2"/>
      <c r="W10" s="2"/>
      <c r="X10" s="2"/>
    </row>
    <row r="11" spans="1:24" ht="22" customHeight="1">
      <c r="A11" s="174" t="s">
        <v>762</v>
      </c>
      <c r="B11" s="174"/>
      <c r="C11" s="175"/>
      <c r="D11" s="175"/>
      <c r="E11" s="175"/>
      <c r="F11" s="175"/>
      <c r="G11" s="175"/>
      <c r="H11" s="175"/>
      <c r="I11" s="175"/>
      <c r="J11" s="175"/>
      <c r="K11" s="175"/>
      <c r="L11" s="175"/>
      <c r="M11" s="175"/>
      <c r="N11" s="175"/>
      <c r="O11" s="175"/>
      <c r="P11" s="175"/>
      <c r="Q11" s="175"/>
      <c r="R11" s="175"/>
      <c r="S11" s="175"/>
      <c r="T11" s="175"/>
      <c r="U11" s="175"/>
      <c r="V11" s="175"/>
      <c r="W11" s="175"/>
      <c r="X11" s="175"/>
    </row>
    <row r="12" spans="1:24" ht="18" customHeight="1">
      <c r="A12" s="163" t="s">
        <v>764</v>
      </c>
      <c r="B12" s="163"/>
      <c r="C12" s="173"/>
      <c r="D12" s="173"/>
      <c r="E12" s="173"/>
      <c r="F12" s="173"/>
      <c r="G12" s="173"/>
      <c r="H12" s="173"/>
      <c r="I12" s="173"/>
      <c r="J12" s="173"/>
      <c r="K12" s="173"/>
      <c r="L12" s="173"/>
      <c r="M12" s="173"/>
      <c r="N12" s="173"/>
      <c r="O12" s="173"/>
      <c r="P12" s="173"/>
      <c r="Q12" s="173"/>
      <c r="R12" s="173"/>
      <c r="S12" s="173"/>
      <c r="T12" s="173"/>
      <c r="U12" s="173"/>
      <c r="V12" s="173"/>
      <c r="W12" s="173"/>
      <c r="X12" s="173"/>
    </row>
    <row r="13" spans="1:24" ht="24" customHeight="1">
      <c r="A13" s="177" t="s">
        <v>765</v>
      </c>
      <c r="B13" s="178"/>
      <c r="C13" s="179"/>
      <c r="D13" s="179"/>
      <c r="E13" s="179"/>
      <c r="F13" s="179"/>
      <c r="G13" s="179"/>
      <c r="H13" s="179"/>
      <c r="I13" s="179"/>
      <c r="J13" s="179"/>
      <c r="K13" s="179"/>
      <c r="L13" s="179"/>
      <c r="M13" s="12"/>
      <c r="N13" s="179"/>
      <c r="O13" s="179"/>
      <c r="P13" s="179"/>
      <c r="Q13" s="179"/>
      <c r="R13" s="179"/>
      <c r="S13" s="179"/>
      <c r="T13" s="179"/>
      <c r="U13" s="179"/>
      <c r="V13" s="179"/>
      <c r="W13" s="179"/>
      <c r="X13" s="179"/>
    </row>
    <row r="14" spans="1:24" ht="22" customHeight="1">
      <c r="A14" s="3" t="s">
        <v>766</v>
      </c>
      <c r="B14" s="1"/>
      <c r="C14" s="14">
        <v>82</v>
      </c>
      <c r="D14" s="14">
        <v>0</v>
      </c>
      <c r="E14" s="14"/>
      <c r="F14" s="14"/>
      <c r="G14" s="14"/>
      <c r="H14" s="14"/>
      <c r="I14" s="14"/>
      <c r="J14" s="14"/>
      <c r="K14" s="14"/>
      <c r="L14" s="14"/>
      <c r="M14" s="15"/>
      <c r="N14" s="14"/>
      <c r="O14" s="14"/>
      <c r="P14" s="14"/>
      <c r="Q14" s="14"/>
      <c r="R14" s="14"/>
      <c r="S14" s="14"/>
      <c r="T14" s="14"/>
      <c r="U14" s="14"/>
      <c r="V14" s="14"/>
      <c r="W14" s="14"/>
      <c r="X14" s="14"/>
    </row>
    <row r="15" spans="1:24" ht="22" customHeight="1">
      <c r="A15" s="3" t="s">
        <v>767</v>
      </c>
      <c r="B15" s="1"/>
      <c r="C15" s="14">
        <v>0</v>
      </c>
      <c r="D15" s="14">
        <v>0</v>
      </c>
      <c r="E15" s="14"/>
      <c r="F15" s="14"/>
      <c r="G15" s="14"/>
      <c r="H15" s="14"/>
      <c r="I15" s="14"/>
      <c r="J15" s="14"/>
      <c r="K15" s="14"/>
      <c r="L15" s="14"/>
      <c r="M15" s="15"/>
      <c r="N15" s="14"/>
      <c r="O15" s="14"/>
      <c r="P15" s="14"/>
      <c r="Q15" s="14"/>
      <c r="R15" s="14"/>
      <c r="S15" s="14"/>
      <c r="T15" s="14"/>
      <c r="U15" s="14"/>
      <c r="V15" s="14"/>
      <c r="W15" s="14"/>
      <c r="X15" s="14"/>
    </row>
    <row r="16" spans="1:24" ht="22" customHeight="1">
      <c r="A16" s="3" t="s">
        <v>768</v>
      </c>
      <c r="B16" s="1"/>
      <c r="C16" s="14">
        <v>11369</v>
      </c>
      <c r="D16" s="14">
        <v>14510</v>
      </c>
      <c r="E16" s="14"/>
      <c r="F16" s="14"/>
      <c r="G16" s="14"/>
      <c r="H16" s="14"/>
      <c r="I16" s="14"/>
      <c r="J16" s="14"/>
      <c r="K16" s="14"/>
      <c r="L16" s="14"/>
      <c r="M16" s="15"/>
      <c r="N16" s="14"/>
      <c r="O16" s="14"/>
      <c r="P16" s="14"/>
      <c r="Q16" s="14"/>
      <c r="R16" s="14"/>
      <c r="S16" s="14"/>
      <c r="T16" s="14"/>
      <c r="U16" s="14"/>
      <c r="V16" s="14"/>
      <c r="W16" s="14"/>
      <c r="X16" s="14"/>
    </row>
    <row r="17" spans="1:24" ht="22" customHeight="1">
      <c r="A17" s="3" t="s">
        <v>769</v>
      </c>
      <c r="B17" s="1"/>
      <c r="C17" s="14">
        <v>0</v>
      </c>
      <c r="D17" s="14">
        <v>0</v>
      </c>
      <c r="E17" s="14"/>
      <c r="F17" s="14"/>
      <c r="G17" s="14"/>
      <c r="H17" s="14"/>
      <c r="I17" s="14"/>
      <c r="J17" s="14"/>
      <c r="K17" s="14"/>
      <c r="L17" s="14"/>
      <c r="M17" s="15"/>
      <c r="N17" s="14"/>
      <c r="O17" s="14"/>
      <c r="P17" s="14"/>
      <c r="Q17" s="14"/>
      <c r="R17" s="14"/>
      <c r="S17" s="14"/>
      <c r="T17" s="14"/>
      <c r="U17" s="14"/>
      <c r="V17" s="14"/>
      <c r="W17" s="14"/>
      <c r="X17" s="14"/>
    </row>
    <row r="18" spans="1:24" ht="36" customHeight="1">
      <c r="A18" s="3" t="s">
        <v>770</v>
      </c>
      <c r="B18" s="1"/>
      <c r="C18" s="14">
        <v>11451</v>
      </c>
      <c r="D18" s="14">
        <v>14510</v>
      </c>
      <c r="E18" s="14"/>
      <c r="F18" s="14"/>
      <c r="G18" s="14"/>
      <c r="H18" s="14"/>
      <c r="I18" s="14"/>
      <c r="J18" s="14"/>
      <c r="K18" s="14"/>
      <c r="L18" s="14"/>
      <c r="M18" s="15"/>
      <c r="N18" s="14"/>
      <c r="O18" s="14"/>
      <c r="P18" s="14"/>
      <c r="Q18" s="14"/>
      <c r="R18" s="14"/>
      <c r="S18" s="14"/>
      <c r="T18" s="14"/>
      <c r="U18" s="14"/>
      <c r="V18" s="14"/>
      <c r="W18" s="14"/>
      <c r="X18" s="14"/>
    </row>
    <row r="19" spans="1:24" ht="36" customHeight="1">
      <c r="A19" s="3" t="s">
        <v>771</v>
      </c>
      <c r="B19" s="1"/>
      <c r="C19" s="14">
        <v>0</v>
      </c>
      <c r="D19" s="14">
        <v>0</v>
      </c>
      <c r="E19" s="14"/>
      <c r="F19" s="14"/>
      <c r="G19" s="14"/>
      <c r="H19" s="14"/>
      <c r="I19" s="14"/>
      <c r="J19" s="14"/>
      <c r="K19" s="14"/>
      <c r="L19" s="14"/>
      <c r="M19" s="15"/>
      <c r="N19" s="14"/>
      <c r="O19" s="14"/>
      <c r="P19" s="14"/>
      <c r="Q19" s="14"/>
      <c r="R19" s="14"/>
      <c r="S19" s="14"/>
      <c r="T19" s="14"/>
      <c r="U19" s="14"/>
      <c r="V19" s="14"/>
      <c r="W19" s="14"/>
      <c r="X19" s="14"/>
    </row>
    <row r="20" spans="1:24" ht="22" customHeight="1">
      <c r="A20" s="3" t="s">
        <v>772</v>
      </c>
      <c r="B20" s="1"/>
      <c r="C20" s="14">
        <v>193</v>
      </c>
      <c r="D20" s="14">
        <v>228</v>
      </c>
      <c r="E20" s="14">
        <v>196</v>
      </c>
      <c r="F20" s="14">
        <v>229</v>
      </c>
      <c r="G20" s="14"/>
      <c r="H20" s="14"/>
      <c r="I20" s="14"/>
      <c r="J20" s="14"/>
      <c r="K20" s="14"/>
      <c r="L20" s="14"/>
      <c r="M20" s="15"/>
      <c r="N20" s="14"/>
      <c r="O20" s="14"/>
      <c r="P20" s="14"/>
      <c r="Q20" s="14"/>
      <c r="R20" s="14"/>
      <c r="S20" s="14"/>
      <c r="T20" s="14"/>
      <c r="U20" s="14"/>
      <c r="V20" s="14"/>
      <c r="W20" s="14"/>
      <c r="X20" s="14"/>
    </row>
    <row r="21" spans="1:24" ht="22" customHeight="1">
      <c r="A21" s="3" t="s">
        <v>773</v>
      </c>
      <c r="B21" s="1"/>
      <c r="C21" s="14">
        <v>0</v>
      </c>
      <c r="D21" s="14">
        <v>0</v>
      </c>
      <c r="E21" s="14">
        <v>0</v>
      </c>
      <c r="F21" s="14">
        <v>0</v>
      </c>
      <c r="G21" s="14"/>
      <c r="H21" s="14"/>
      <c r="I21" s="14"/>
      <c r="J21" s="14"/>
      <c r="K21" s="14"/>
      <c r="L21" s="14"/>
      <c r="M21" s="15"/>
      <c r="N21" s="14"/>
      <c r="O21" s="14"/>
      <c r="P21" s="14"/>
      <c r="Q21" s="14"/>
      <c r="R21" s="14"/>
      <c r="S21" s="14"/>
      <c r="T21" s="14"/>
      <c r="U21" s="14"/>
      <c r="V21" s="14"/>
      <c r="W21" s="14"/>
      <c r="X21" s="14"/>
    </row>
    <row r="22" spans="1:24" ht="22" customHeight="1">
      <c r="A22" s="3" t="s">
        <v>774</v>
      </c>
      <c r="B22" s="1"/>
      <c r="C22" s="14">
        <v>25</v>
      </c>
      <c r="D22" s="14">
        <v>27</v>
      </c>
      <c r="E22" s="14">
        <v>22</v>
      </c>
      <c r="F22" s="14">
        <v>17</v>
      </c>
      <c r="G22" s="14">
        <v>18</v>
      </c>
      <c r="H22" s="14">
        <v>21</v>
      </c>
      <c r="I22" s="14">
        <v>14</v>
      </c>
      <c r="J22" s="14">
        <v>13</v>
      </c>
      <c r="K22" s="14">
        <v>15</v>
      </c>
      <c r="L22" s="14"/>
      <c r="M22" s="15"/>
      <c r="N22" s="14">
        <v>13</v>
      </c>
      <c r="O22" s="14">
        <v>13</v>
      </c>
      <c r="P22" s="14">
        <v>17</v>
      </c>
      <c r="Q22" s="14"/>
      <c r="R22" s="14">
        <v>9</v>
      </c>
      <c r="S22" s="14">
        <v>8</v>
      </c>
      <c r="T22" s="14">
        <v>9</v>
      </c>
      <c r="U22" s="14"/>
      <c r="V22" s="14"/>
      <c r="W22" s="14"/>
      <c r="X22" s="14"/>
    </row>
    <row r="23" spans="1:24" ht="22" customHeight="1">
      <c r="A23" s="3" t="s">
        <v>775</v>
      </c>
      <c r="B23" s="1"/>
      <c r="C23" s="14">
        <v>0</v>
      </c>
      <c r="D23" s="14">
        <v>0</v>
      </c>
      <c r="E23" s="14">
        <v>0</v>
      </c>
      <c r="F23" s="14">
        <v>0</v>
      </c>
      <c r="G23" s="14">
        <v>0</v>
      </c>
      <c r="H23" s="14">
        <v>0</v>
      </c>
      <c r="I23" s="14">
        <v>0</v>
      </c>
      <c r="J23" s="14">
        <v>0</v>
      </c>
      <c r="K23" s="14">
        <v>0</v>
      </c>
      <c r="L23" s="14"/>
      <c r="M23" s="15"/>
      <c r="N23" s="14">
        <v>0</v>
      </c>
      <c r="O23" s="14">
        <v>0</v>
      </c>
      <c r="P23" s="14">
        <v>0</v>
      </c>
      <c r="Q23" s="14"/>
      <c r="R23" s="14">
        <v>0</v>
      </c>
      <c r="S23" s="14">
        <v>0</v>
      </c>
      <c r="T23" s="14">
        <v>0</v>
      </c>
      <c r="U23" s="14"/>
      <c r="V23" s="14"/>
      <c r="W23" s="14"/>
      <c r="X23" s="14"/>
    </row>
    <row r="24" spans="1:24" ht="22" customHeight="1">
      <c r="A24" s="3" t="s">
        <v>776</v>
      </c>
      <c r="B24" s="1"/>
      <c r="C24" s="14">
        <v>0</v>
      </c>
      <c r="D24" s="14">
        <v>0</v>
      </c>
      <c r="E24" s="14">
        <v>0</v>
      </c>
      <c r="F24" s="14">
        <v>0</v>
      </c>
      <c r="G24" s="14">
        <v>0</v>
      </c>
      <c r="H24" s="14">
        <v>0</v>
      </c>
      <c r="I24" s="14">
        <v>0</v>
      </c>
      <c r="J24" s="14">
        <v>0</v>
      </c>
      <c r="K24" s="14">
        <v>0</v>
      </c>
      <c r="L24" s="14">
        <v>0</v>
      </c>
      <c r="M24" s="15"/>
      <c r="N24" s="14">
        <v>0</v>
      </c>
      <c r="O24" s="14">
        <v>0</v>
      </c>
      <c r="P24" s="14">
        <v>0</v>
      </c>
      <c r="Q24" s="14"/>
      <c r="R24" s="14">
        <v>0</v>
      </c>
      <c r="S24" s="14">
        <v>0</v>
      </c>
      <c r="T24" s="14">
        <v>0</v>
      </c>
      <c r="U24" s="14"/>
      <c r="V24" s="14">
        <v>0</v>
      </c>
      <c r="W24" s="14">
        <v>0</v>
      </c>
      <c r="X24" s="14">
        <v>0</v>
      </c>
    </row>
    <row r="25" spans="1:24" ht="22" customHeight="1">
      <c r="A25" s="3" t="s">
        <v>777</v>
      </c>
      <c r="B25" s="1"/>
      <c r="C25" s="14">
        <v>472</v>
      </c>
      <c r="D25" s="14">
        <v>503</v>
      </c>
      <c r="E25" s="14">
        <v>450</v>
      </c>
      <c r="F25" s="14">
        <v>468</v>
      </c>
      <c r="G25" s="14">
        <v>477</v>
      </c>
      <c r="H25" s="14">
        <v>505</v>
      </c>
      <c r="I25" s="14">
        <v>434</v>
      </c>
      <c r="J25" s="14">
        <v>477</v>
      </c>
      <c r="K25" s="14">
        <v>503</v>
      </c>
      <c r="L25" s="14">
        <v>495</v>
      </c>
      <c r="M25" s="15"/>
      <c r="N25" s="14">
        <v>491</v>
      </c>
      <c r="O25" s="14">
        <v>493</v>
      </c>
      <c r="P25" s="14">
        <v>490</v>
      </c>
      <c r="Q25" s="14"/>
      <c r="R25" s="14">
        <v>479</v>
      </c>
      <c r="S25" s="14">
        <v>481</v>
      </c>
      <c r="T25" s="14">
        <v>485</v>
      </c>
      <c r="U25" s="14"/>
      <c r="V25" s="14">
        <v>469</v>
      </c>
      <c r="W25" s="14">
        <v>503</v>
      </c>
      <c r="X25" s="14">
        <v>506</v>
      </c>
    </row>
    <row r="26" spans="1:24" ht="22" customHeight="1">
      <c r="A26" s="3" t="s">
        <v>778</v>
      </c>
      <c r="B26" s="1"/>
      <c r="C26" s="14"/>
      <c r="D26" s="14">
        <v>14510</v>
      </c>
      <c r="E26" s="14">
        <v>3658</v>
      </c>
      <c r="F26" s="14">
        <v>0</v>
      </c>
      <c r="G26" s="14"/>
      <c r="H26" s="14">
        <v>0</v>
      </c>
      <c r="I26" s="14">
        <v>660</v>
      </c>
      <c r="J26" s="14">
        <v>1334</v>
      </c>
      <c r="K26" s="14">
        <v>1041</v>
      </c>
      <c r="L26" s="14">
        <v>2127</v>
      </c>
      <c r="M26" s="15"/>
      <c r="N26" s="14">
        <v>2027</v>
      </c>
      <c r="O26" s="14">
        <v>1519</v>
      </c>
      <c r="P26" s="14">
        <v>1061</v>
      </c>
      <c r="Q26" s="14"/>
      <c r="R26" s="14">
        <v>1130</v>
      </c>
      <c r="S26" s="14">
        <v>1219</v>
      </c>
      <c r="T26" s="14">
        <v>2344</v>
      </c>
      <c r="U26" s="14"/>
      <c r="V26" s="14">
        <v>1998</v>
      </c>
      <c r="W26" s="14">
        <v>1712</v>
      </c>
      <c r="X26" s="14">
        <v>1782</v>
      </c>
    </row>
    <row r="27" spans="1:24" ht="22" customHeight="1">
      <c r="A27" s="3" t="s">
        <v>779</v>
      </c>
      <c r="B27" s="1"/>
      <c r="C27" s="14"/>
      <c r="D27" s="14">
        <v>0</v>
      </c>
      <c r="E27" s="14">
        <v>0</v>
      </c>
      <c r="F27" s="14">
        <v>0</v>
      </c>
      <c r="G27" s="14"/>
      <c r="H27" s="14">
        <v>0</v>
      </c>
      <c r="I27" s="14">
        <v>0</v>
      </c>
      <c r="J27" s="14">
        <v>0</v>
      </c>
      <c r="K27" s="14">
        <v>0</v>
      </c>
      <c r="L27" s="14">
        <v>0</v>
      </c>
      <c r="M27" s="15"/>
      <c r="N27" s="14">
        <v>0</v>
      </c>
      <c r="O27" s="14">
        <v>0</v>
      </c>
      <c r="P27" s="14">
        <v>0</v>
      </c>
      <c r="Q27" s="14"/>
      <c r="R27" s="14">
        <v>0</v>
      </c>
      <c r="S27" s="14">
        <v>0</v>
      </c>
      <c r="T27" s="14">
        <v>0</v>
      </c>
      <c r="U27" s="14"/>
      <c r="V27" s="14">
        <v>0</v>
      </c>
      <c r="W27" s="14">
        <v>0</v>
      </c>
      <c r="X27" s="14">
        <v>0</v>
      </c>
    </row>
    <row r="28" spans="1:24" ht="22" customHeight="1">
      <c r="A28" s="3" t="s">
        <v>780</v>
      </c>
      <c r="B28" s="1"/>
      <c r="C28" s="14"/>
      <c r="D28" s="14"/>
      <c r="E28" s="14"/>
      <c r="F28" s="14">
        <v>229</v>
      </c>
      <c r="G28" s="14">
        <v>231</v>
      </c>
      <c r="H28" s="14">
        <v>337</v>
      </c>
      <c r="I28" s="14">
        <v>257</v>
      </c>
      <c r="J28" s="14">
        <v>292</v>
      </c>
      <c r="K28" s="14">
        <v>336</v>
      </c>
      <c r="L28" s="14">
        <v>341</v>
      </c>
      <c r="M28" s="15"/>
      <c r="N28" s="14">
        <v>303</v>
      </c>
      <c r="O28" s="14">
        <v>315</v>
      </c>
      <c r="P28" s="14">
        <v>318</v>
      </c>
      <c r="Q28" s="14"/>
      <c r="R28" s="14">
        <v>314</v>
      </c>
      <c r="S28" s="14">
        <v>322</v>
      </c>
      <c r="T28" s="14">
        <v>325</v>
      </c>
      <c r="U28" s="14"/>
      <c r="V28" s="14">
        <v>336</v>
      </c>
      <c r="W28" s="14">
        <v>376</v>
      </c>
      <c r="X28" s="14">
        <v>382</v>
      </c>
    </row>
    <row r="29" spans="1:24" ht="22" customHeight="1">
      <c r="A29" s="3" t="s">
        <v>781</v>
      </c>
      <c r="B29" s="1"/>
      <c r="C29" s="14"/>
      <c r="D29" s="14"/>
      <c r="E29" s="14"/>
      <c r="F29" s="14">
        <v>0</v>
      </c>
      <c r="G29" s="14">
        <v>0</v>
      </c>
      <c r="H29" s="14">
        <v>0</v>
      </c>
      <c r="I29" s="14">
        <v>0</v>
      </c>
      <c r="J29" s="14">
        <v>0</v>
      </c>
      <c r="K29" s="14">
        <v>0</v>
      </c>
      <c r="L29" s="14">
        <v>0</v>
      </c>
      <c r="M29" s="15"/>
      <c r="N29" s="14">
        <v>0</v>
      </c>
      <c r="O29" s="14">
        <v>0</v>
      </c>
      <c r="P29" s="14">
        <v>0</v>
      </c>
      <c r="Q29" s="14"/>
      <c r="R29" s="14">
        <v>0</v>
      </c>
      <c r="S29" s="14">
        <v>0</v>
      </c>
      <c r="T29" s="14">
        <v>0</v>
      </c>
      <c r="U29" s="14"/>
      <c r="V29" s="14">
        <v>0</v>
      </c>
      <c r="W29" s="14">
        <v>0</v>
      </c>
      <c r="X29" s="14">
        <v>0</v>
      </c>
    </row>
    <row r="30" spans="1:24" ht="22" customHeight="1">
      <c r="A30" s="3" t="s">
        <v>782</v>
      </c>
      <c r="B30" s="1"/>
      <c r="C30" s="14"/>
      <c r="D30" s="14"/>
      <c r="E30" s="14"/>
      <c r="F30" s="14">
        <v>0</v>
      </c>
      <c r="G30" s="14">
        <v>0</v>
      </c>
      <c r="H30" s="14">
        <v>0</v>
      </c>
      <c r="I30" s="14"/>
      <c r="J30" s="14"/>
      <c r="K30" s="14">
        <v>0</v>
      </c>
      <c r="L30" s="14">
        <v>0</v>
      </c>
      <c r="M30" s="15"/>
      <c r="N30" s="14"/>
      <c r="O30" s="14"/>
      <c r="P30" s="14"/>
      <c r="Q30" s="14"/>
      <c r="R30" s="14"/>
      <c r="S30" s="14">
        <v>0</v>
      </c>
      <c r="T30" s="14">
        <v>0</v>
      </c>
      <c r="U30" s="14"/>
      <c r="V30" s="14">
        <v>0</v>
      </c>
      <c r="W30" s="14">
        <v>0</v>
      </c>
      <c r="X30" s="14">
        <v>0</v>
      </c>
    </row>
    <row r="31" spans="1:24" ht="22" customHeight="1">
      <c r="A31" s="3" t="s">
        <v>783</v>
      </c>
      <c r="B31" s="1"/>
      <c r="C31" s="14"/>
      <c r="D31" s="14"/>
      <c r="E31" s="14"/>
      <c r="F31" s="14">
        <v>0</v>
      </c>
      <c r="G31" s="14">
        <v>861</v>
      </c>
      <c r="H31" s="14">
        <v>0</v>
      </c>
      <c r="I31" s="14"/>
      <c r="J31" s="14"/>
      <c r="K31" s="14">
        <v>0</v>
      </c>
      <c r="L31" s="14">
        <v>278</v>
      </c>
      <c r="M31" s="15"/>
      <c r="N31" s="14"/>
      <c r="O31" s="14"/>
      <c r="P31" s="14"/>
      <c r="Q31" s="14"/>
      <c r="R31" s="14"/>
      <c r="S31" s="14">
        <v>226</v>
      </c>
      <c r="T31" s="14">
        <v>180</v>
      </c>
      <c r="U31" s="14"/>
      <c r="V31" s="14">
        <v>162</v>
      </c>
      <c r="W31" s="14">
        <v>117</v>
      </c>
      <c r="X31" s="14">
        <v>12</v>
      </c>
    </row>
    <row r="32" spans="1:24" ht="22" customHeight="1">
      <c r="A32" s="3" t="s">
        <v>784</v>
      </c>
      <c r="B32" s="1"/>
      <c r="C32" s="14"/>
      <c r="D32" s="14"/>
      <c r="E32" s="14"/>
      <c r="F32" s="14"/>
      <c r="G32" s="14"/>
      <c r="H32" s="14"/>
      <c r="I32" s="14"/>
      <c r="J32" s="14">
        <v>1700</v>
      </c>
      <c r="K32" s="14"/>
      <c r="L32" s="14"/>
      <c r="M32" s="15"/>
      <c r="N32" s="14">
        <v>1500</v>
      </c>
      <c r="O32" s="14">
        <v>1400</v>
      </c>
      <c r="P32" s="14"/>
      <c r="Q32" s="14"/>
      <c r="R32" s="14"/>
      <c r="S32" s="14"/>
      <c r="T32" s="14"/>
      <c r="U32" s="14"/>
      <c r="V32" s="14"/>
      <c r="W32" s="14"/>
      <c r="X32" s="14"/>
    </row>
    <row r="33" spans="1:24" ht="22" customHeight="1">
      <c r="A33" s="3" t="s">
        <v>785</v>
      </c>
      <c r="B33" s="1"/>
      <c r="C33" s="14"/>
      <c r="D33" s="14"/>
      <c r="E33" s="14"/>
      <c r="F33" s="14"/>
      <c r="G33" s="14"/>
      <c r="H33" s="14"/>
      <c r="I33" s="14"/>
      <c r="J33" s="14">
        <v>3800</v>
      </c>
      <c r="K33" s="14"/>
      <c r="L33" s="14"/>
      <c r="M33" s="15"/>
      <c r="N33" s="14">
        <v>3900</v>
      </c>
      <c r="O33" s="14">
        <v>3000</v>
      </c>
      <c r="P33" s="14"/>
      <c r="Q33" s="14"/>
      <c r="R33" s="14"/>
      <c r="S33" s="14"/>
      <c r="T33" s="14"/>
      <c r="U33" s="14"/>
      <c r="V33" s="14"/>
      <c r="W33" s="14"/>
      <c r="X33" s="14"/>
    </row>
    <row r="34" spans="1:24" ht="22" customHeight="1">
      <c r="A34" s="3" t="s">
        <v>786</v>
      </c>
      <c r="B34" s="1"/>
      <c r="C34" s="14"/>
      <c r="D34" s="14"/>
      <c r="E34" s="14"/>
      <c r="F34" s="14"/>
      <c r="G34" s="14"/>
      <c r="H34" s="14"/>
      <c r="I34" s="14"/>
      <c r="J34" s="14">
        <v>1300</v>
      </c>
      <c r="K34" s="14"/>
      <c r="L34" s="14"/>
      <c r="M34" s="15"/>
      <c r="N34" s="14">
        <v>1300</v>
      </c>
      <c r="O34" s="14">
        <v>700</v>
      </c>
      <c r="P34" s="14"/>
      <c r="Q34" s="14"/>
      <c r="R34" s="14"/>
      <c r="S34" s="14"/>
      <c r="T34" s="14"/>
      <c r="U34" s="14"/>
      <c r="V34" s="14"/>
      <c r="W34" s="14"/>
      <c r="X34" s="14"/>
    </row>
    <row r="35" spans="1:24" ht="22" customHeight="1">
      <c r="A35" s="3" t="s">
        <v>787</v>
      </c>
      <c r="B35" s="1"/>
      <c r="C35" s="14"/>
      <c r="D35" s="14"/>
      <c r="E35" s="14"/>
      <c r="F35" s="14"/>
      <c r="G35" s="14"/>
      <c r="H35" s="14"/>
      <c r="I35" s="14"/>
      <c r="J35" s="14">
        <v>3000</v>
      </c>
      <c r="K35" s="14"/>
      <c r="L35" s="14"/>
      <c r="M35" s="15"/>
      <c r="N35" s="14">
        <v>3000</v>
      </c>
      <c r="O35" s="14">
        <v>2900</v>
      </c>
      <c r="P35" s="14"/>
      <c r="Q35" s="14"/>
      <c r="R35" s="14"/>
      <c r="S35" s="14"/>
      <c r="T35" s="14"/>
      <c r="U35" s="14"/>
      <c r="V35" s="14"/>
      <c r="W35" s="14"/>
      <c r="X35" s="14"/>
    </row>
    <row r="36" spans="1:24" ht="36" customHeight="1">
      <c r="A36" s="3" t="s">
        <v>788</v>
      </c>
      <c r="B36" s="1"/>
      <c r="C36" s="14"/>
      <c r="D36" s="14"/>
      <c r="E36" s="14"/>
      <c r="F36" s="14"/>
      <c r="G36" s="14"/>
      <c r="H36" s="14"/>
      <c r="I36" s="14"/>
      <c r="J36" s="14"/>
      <c r="K36" s="14"/>
      <c r="L36" s="14"/>
      <c r="M36" s="15"/>
      <c r="N36" s="14">
        <v>23</v>
      </c>
      <c r="O36" s="14">
        <v>23</v>
      </c>
      <c r="P36" s="14">
        <v>23</v>
      </c>
      <c r="Q36" s="14"/>
      <c r="R36" s="14"/>
      <c r="S36" s="14"/>
      <c r="T36" s="14"/>
      <c r="U36" s="14"/>
      <c r="V36" s="14"/>
      <c r="W36" s="14"/>
      <c r="X36" s="14"/>
    </row>
    <row r="37" spans="1:24" ht="22" customHeight="1">
      <c r="A37" s="3" t="s">
        <v>789</v>
      </c>
      <c r="B37" s="1"/>
      <c r="C37" s="14"/>
      <c r="D37" s="14"/>
      <c r="E37" s="14"/>
      <c r="F37" s="14"/>
      <c r="G37" s="14"/>
      <c r="H37" s="14"/>
      <c r="I37" s="14"/>
      <c r="J37" s="14">
        <v>1700</v>
      </c>
      <c r="K37" s="14">
        <v>1400</v>
      </c>
      <c r="L37" s="14">
        <v>1500</v>
      </c>
      <c r="M37" s="15"/>
      <c r="N37" s="14"/>
      <c r="O37" s="14"/>
      <c r="P37" s="14">
        <v>1400</v>
      </c>
      <c r="Q37" s="14"/>
      <c r="R37" s="14">
        <v>1400</v>
      </c>
      <c r="S37" s="14">
        <v>1300</v>
      </c>
      <c r="T37" s="14">
        <v>1300</v>
      </c>
      <c r="U37" s="14"/>
      <c r="V37" s="14">
        <v>1400</v>
      </c>
      <c r="W37" s="14">
        <v>1600</v>
      </c>
      <c r="X37" s="14">
        <v>1700</v>
      </c>
    </row>
    <row r="38" spans="1:24" ht="22" customHeight="1">
      <c r="A38" s="3" t="s">
        <v>790</v>
      </c>
      <c r="B38" s="1"/>
      <c r="C38" s="14"/>
      <c r="D38" s="14"/>
      <c r="E38" s="14"/>
      <c r="F38" s="14"/>
      <c r="G38" s="14"/>
      <c r="H38" s="14"/>
      <c r="I38" s="14"/>
      <c r="J38" s="14">
        <v>3800</v>
      </c>
      <c r="K38" s="14">
        <v>3100</v>
      </c>
      <c r="L38" s="14">
        <v>3100</v>
      </c>
      <c r="M38" s="15"/>
      <c r="N38" s="14"/>
      <c r="O38" s="14"/>
      <c r="P38" s="14">
        <v>3100</v>
      </c>
      <c r="Q38" s="14"/>
      <c r="R38" s="14">
        <v>3000</v>
      </c>
      <c r="S38" s="14">
        <v>3100</v>
      </c>
      <c r="T38" s="14">
        <v>3200</v>
      </c>
      <c r="U38" s="14"/>
      <c r="V38" s="14">
        <v>2900</v>
      </c>
      <c r="W38" s="14">
        <v>2900</v>
      </c>
      <c r="X38" s="14">
        <v>4000</v>
      </c>
    </row>
    <row r="39" spans="1:24" ht="22" customHeight="1">
      <c r="A39" s="3" t="s">
        <v>791</v>
      </c>
      <c r="B39" s="1"/>
      <c r="C39" s="14"/>
      <c r="D39" s="14"/>
      <c r="E39" s="14"/>
      <c r="F39" s="14"/>
      <c r="G39" s="14"/>
      <c r="H39" s="14"/>
      <c r="I39" s="14"/>
      <c r="J39" s="14">
        <v>1300</v>
      </c>
      <c r="K39" s="14">
        <v>1200</v>
      </c>
      <c r="L39" s="14">
        <v>1700</v>
      </c>
      <c r="M39" s="15"/>
      <c r="N39" s="14"/>
      <c r="O39" s="14"/>
      <c r="P39" s="14">
        <v>1200</v>
      </c>
      <c r="Q39" s="14"/>
      <c r="R39" s="14">
        <v>1200</v>
      </c>
      <c r="S39" s="14">
        <v>1200</v>
      </c>
      <c r="T39" s="14">
        <v>1700</v>
      </c>
      <c r="U39" s="14"/>
      <c r="V39" s="14">
        <v>1700</v>
      </c>
      <c r="W39" s="14">
        <v>1000</v>
      </c>
      <c r="X39" s="14">
        <v>1300</v>
      </c>
    </row>
    <row r="40" spans="1:24" ht="22" customHeight="1">
      <c r="A40" s="3" t="s">
        <v>792</v>
      </c>
      <c r="B40" s="1"/>
      <c r="C40" s="14"/>
      <c r="D40" s="14"/>
      <c r="E40" s="14"/>
      <c r="F40" s="14"/>
      <c r="G40" s="14"/>
      <c r="H40" s="14"/>
      <c r="I40" s="14"/>
      <c r="J40" s="14">
        <v>0</v>
      </c>
      <c r="K40" s="14">
        <v>2000</v>
      </c>
      <c r="L40" s="14">
        <v>2000</v>
      </c>
      <c r="M40" s="15"/>
      <c r="N40" s="14"/>
      <c r="O40" s="14"/>
      <c r="P40" s="14"/>
      <c r="Q40" s="14"/>
      <c r="R40" s="14">
        <v>2000</v>
      </c>
      <c r="S40" s="14">
        <v>2000</v>
      </c>
      <c r="T40" s="14">
        <v>2000</v>
      </c>
      <c r="U40" s="14"/>
      <c r="V40" s="14">
        <v>2000</v>
      </c>
      <c r="W40" s="14">
        <v>2000</v>
      </c>
      <c r="X40" s="14">
        <v>2000</v>
      </c>
    </row>
    <row r="41" spans="1:24" ht="22" customHeight="1">
      <c r="A41" s="3" t="s">
        <v>793</v>
      </c>
      <c r="B41" s="1"/>
      <c r="C41" s="14"/>
      <c r="D41" s="14"/>
      <c r="E41" s="14"/>
      <c r="F41" s="14"/>
      <c r="G41" s="14"/>
      <c r="H41" s="14"/>
      <c r="I41" s="14"/>
      <c r="J41" s="14">
        <v>1156</v>
      </c>
      <c r="K41" s="14">
        <v>785</v>
      </c>
      <c r="L41" s="14">
        <v>1852</v>
      </c>
      <c r="M41" s="15"/>
      <c r="N41" s="14">
        <v>1847</v>
      </c>
      <c r="O41" s="14">
        <v>1337</v>
      </c>
      <c r="P41" s="14"/>
      <c r="Q41" s="14"/>
      <c r="R41" s="14">
        <v>888</v>
      </c>
      <c r="S41" s="14">
        <v>958</v>
      </c>
      <c r="T41" s="14"/>
      <c r="U41" s="14"/>
      <c r="V41" s="14">
        <v>1756</v>
      </c>
      <c r="W41" s="14">
        <v>1453</v>
      </c>
      <c r="X41" s="14"/>
    </row>
    <row r="42" spans="1:24" ht="22" customHeight="1">
      <c r="A42" s="3" t="s">
        <v>794</v>
      </c>
      <c r="B42" s="1"/>
      <c r="C42" s="14"/>
      <c r="D42" s="14"/>
      <c r="E42" s="14"/>
      <c r="F42" s="14"/>
      <c r="G42" s="14"/>
      <c r="H42" s="14"/>
      <c r="I42" s="14"/>
      <c r="J42" s="14"/>
      <c r="K42" s="14">
        <v>-350</v>
      </c>
      <c r="L42" s="14">
        <v>507</v>
      </c>
      <c r="M42" s="15"/>
      <c r="N42" s="14"/>
      <c r="O42" s="14">
        <v>-503</v>
      </c>
      <c r="P42" s="14">
        <v>-453</v>
      </c>
      <c r="Q42" s="14"/>
      <c r="R42" s="14"/>
      <c r="S42" s="14">
        <v>77</v>
      </c>
      <c r="T42" s="14">
        <v>535</v>
      </c>
      <c r="U42" s="14"/>
      <c r="V42" s="14"/>
      <c r="W42" s="14"/>
      <c r="X42" s="14">
        <v>43</v>
      </c>
    </row>
    <row r="43" spans="1:24" ht="22" customHeight="1">
      <c r="A43" s="3" t="s">
        <v>795</v>
      </c>
      <c r="B43" s="1"/>
      <c r="C43" s="14"/>
      <c r="D43" s="14"/>
      <c r="E43" s="14"/>
      <c r="F43" s="14"/>
      <c r="G43" s="14"/>
      <c r="H43" s="14"/>
      <c r="I43" s="14"/>
      <c r="J43" s="14"/>
      <c r="K43" s="14">
        <v>-21</v>
      </c>
      <c r="L43" s="14">
        <v>-30</v>
      </c>
      <c r="M43" s="15"/>
      <c r="N43" s="14"/>
      <c r="O43" s="14">
        <v>-7</v>
      </c>
      <c r="P43" s="14">
        <v>-7</v>
      </c>
      <c r="Q43" s="14"/>
      <c r="R43" s="14">
        <v>-7</v>
      </c>
      <c r="S43" s="14">
        <v>-7</v>
      </c>
      <c r="T43" s="14">
        <v>-6</v>
      </c>
      <c r="U43" s="14"/>
      <c r="V43" s="14">
        <v>-14</v>
      </c>
      <c r="W43" s="14">
        <v>-14</v>
      </c>
      <c r="X43" s="14">
        <v>-14</v>
      </c>
    </row>
    <row r="44" spans="1:24" ht="24" customHeight="1">
      <c r="A44" s="16" t="s">
        <v>796</v>
      </c>
      <c r="B44" s="17"/>
      <c r="C44" s="18"/>
      <c r="D44" s="18"/>
      <c r="E44" s="18"/>
      <c r="F44" s="18"/>
      <c r="G44" s="18"/>
      <c r="H44" s="18"/>
      <c r="I44" s="18"/>
      <c r="J44" s="18"/>
      <c r="K44" s="18"/>
      <c r="L44" s="18"/>
      <c r="M44" s="20"/>
      <c r="N44" s="18"/>
      <c r="O44" s="18">
        <v>1337</v>
      </c>
      <c r="P44" s="18">
        <v>877</v>
      </c>
      <c r="Q44" s="18"/>
      <c r="R44" s="18">
        <v>888</v>
      </c>
      <c r="S44" s="18">
        <v>958</v>
      </c>
      <c r="T44" s="18">
        <v>2077</v>
      </c>
      <c r="U44" s="18"/>
      <c r="V44" s="18">
        <v>1756</v>
      </c>
      <c r="W44" s="18">
        <v>1453</v>
      </c>
      <c r="X44" s="18">
        <v>1482</v>
      </c>
    </row>
    <row r="45" spans="1:24" ht="22" customHeight="1">
      <c r="A45" s="3" t="s">
        <v>797</v>
      </c>
      <c r="B45" s="1"/>
      <c r="C45" s="14"/>
      <c r="D45" s="14"/>
      <c r="E45" s="14"/>
      <c r="F45" s="14"/>
      <c r="G45" s="14"/>
      <c r="H45" s="14"/>
      <c r="I45" s="14"/>
      <c r="J45" s="14">
        <v>0</v>
      </c>
      <c r="K45" s="14">
        <v>256</v>
      </c>
      <c r="L45" s="14">
        <v>275</v>
      </c>
      <c r="M45" s="15"/>
      <c r="N45" s="14">
        <v>0</v>
      </c>
      <c r="O45" s="14">
        <v>0</v>
      </c>
      <c r="P45" s="14"/>
      <c r="Q45" s="14"/>
      <c r="R45" s="14">
        <v>242</v>
      </c>
      <c r="S45" s="14">
        <v>261</v>
      </c>
      <c r="T45" s="14"/>
      <c r="U45" s="14"/>
      <c r="V45" s="14">
        <v>242</v>
      </c>
      <c r="W45" s="14">
        <v>259</v>
      </c>
      <c r="X45" s="14"/>
    </row>
    <row r="46" spans="1:24" ht="22" customHeight="1">
      <c r="A46" s="3" t="s">
        <v>798</v>
      </c>
      <c r="B46" s="1"/>
      <c r="C46" s="14"/>
      <c r="D46" s="14"/>
      <c r="E46" s="14"/>
      <c r="F46" s="14"/>
      <c r="G46" s="14"/>
      <c r="H46" s="14"/>
      <c r="I46" s="14"/>
      <c r="J46" s="14"/>
      <c r="K46" s="14"/>
      <c r="L46" s="14"/>
      <c r="M46" s="15"/>
      <c r="N46" s="14"/>
      <c r="O46" s="14">
        <v>0</v>
      </c>
      <c r="P46" s="14">
        <v>0</v>
      </c>
      <c r="Q46" s="14"/>
      <c r="R46" s="14"/>
      <c r="S46" s="14">
        <v>19</v>
      </c>
      <c r="T46" s="14">
        <v>6</v>
      </c>
      <c r="U46" s="14"/>
      <c r="V46" s="14"/>
      <c r="W46" s="14">
        <v>17</v>
      </c>
      <c r="X46" s="14"/>
    </row>
    <row r="47" spans="1:24" ht="24" customHeight="1">
      <c r="A47" s="16" t="s">
        <v>799</v>
      </c>
      <c r="B47" s="17"/>
      <c r="C47" s="18"/>
      <c r="D47" s="18"/>
      <c r="E47" s="18"/>
      <c r="F47" s="18"/>
      <c r="G47" s="18"/>
      <c r="H47" s="18"/>
      <c r="I47" s="18"/>
      <c r="J47" s="18"/>
      <c r="K47" s="18"/>
      <c r="L47" s="18"/>
      <c r="M47" s="20"/>
      <c r="N47" s="18"/>
      <c r="O47" s="18">
        <v>0</v>
      </c>
      <c r="P47" s="18">
        <v>0</v>
      </c>
      <c r="Q47" s="18"/>
      <c r="R47" s="18">
        <v>242</v>
      </c>
      <c r="S47" s="18">
        <v>261</v>
      </c>
      <c r="T47" s="18">
        <v>267</v>
      </c>
      <c r="U47" s="18"/>
      <c r="V47" s="18">
        <v>242</v>
      </c>
      <c r="W47" s="18">
        <v>259</v>
      </c>
      <c r="X47" s="18">
        <v>300</v>
      </c>
    </row>
    <row r="48" spans="1:24" ht="36" customHeight="1">
      <c r="A48" s="16" t="s">
        <v>800</v>
      </c>
      <c r="B48" s="17"/>
      <c r="C48" s="18"/>
      <c r="D48" s="18"/>
      <c r="E48" s="18"/>
      <c r="F48" s="18"/>
      <c r="G48" s="18"/>
      <c r="H48" s="18"/>
      <c r="I48" s="18"/>
      <c r="J48" s="18"/>
      <c r="K48" s="18"/>
      <c r="L48" s="18"/>
      <c r="M48" s="20"/>
      <c r="N48" s="18"/>
      <c r="O48" s="18">
        <v>1337</v>
      </c>
      <c r="P48" s="18"/>
      <c r="Q48" s="18"/>
      <c r="R48" s="18"/>
      <c r="S48" s="18">
        <v>1219</v>
      </c>
      <c r="T48" s="18"/>
      <c r="U48" s="18"/>
      <c r="V48" s="18"/>
      <c r="W48" s="18"/>
      <c r="X48" s="18"/>
    </row>
    <row r="49" spans="1:24" ht="22" customHeight="1">
      <c r="A49" s="3" t="s">
        <v>801</v>
      </c>
      <c r="B49" s="1"/>
      <c r="C49" s="14"/>
      <c r="D49" s="14"/>
      <c r="E49" s="14"/>
      <c r="F49" s="14"/>
      <c r="G49" s="14"/>
      <c r="H49" s="14"/>
      <c r="I49" s="14"/>
      <c r="J49" s="14"/>
      <c r="K49" s="14">
        <v>0</v>
      </c>
      <c r="L49" s="14">
        <v>590</v>
      </c>
      <c r="M49" s="15"/>
      <c r="N49" s="14"/>
      <c r="O49" s="14"/>
      <c r="P49" s="14">
        <v>0</v>
      </c>
      <c r="Q49" s="14"/>
      <c r="R49" s="14"/>
      <c r="S49" s="14"/>
      <c r="T49" s="14">
        <v>590</v>
      </c>
      <c r="U49" s="14"/>
      <c r="V49" s="14"/>
      <c r="W49" s="14"/>
      <c r="X49" s="14">
        <v>0</v>
      </c>
    </row>
    <row r="50" spans="1:24" ht="36" customHeight="1">
      <c r="A50" s="16" t="s">
        <v>802</v>
      </c>
      <c r="B50" s="17"/>
      <c r="C50" s="18"/>
      <c r="D50" s="18"/>
      <c r="E50" s="18"/>
      <c r="F50" s="18"/>
      <c r="G50" s="18"/>
      <c r="H50" s="18"/>
      <c r="I50" s="18"/>
      <c r="J50" s="18"/>
      <c r="K50" s="18"/>
      <c r="L50" s="18"/>
      <c r="M50" s="20"/>
      <c r="N50" s="18"/>
      <c r="O50" s="18"/>
      <c r="P50" s="18">
        <v>877</v>
      </c>
      <c r="Q50" s="18"/>
      <c r="R50" s="18">
        <v>1130</v>
      </c>
      <c r="S50" s="18">
        <v>1219</v>
      </c>
      <c r="T50" s="18">
        <v>2344</v>
      </c>
      <c r="U50" s="18"/>
      <c r="V50" s="18">
        <v>1998</v>
      </c>
      <c r="W50" s="18">
        <v>1712</v>
      </c>
      <c r="X50" s="18">
        <v>1782</v>
      </c>
    </row>
    <row r="51" spans="1:24" ht="22" customHeight="1">
      <c r="A51" s="3" t="s">
        <v>803</v>
      </c>
      <c r="B51" s="1"/>
      <c r="C51" s="14"/>
      <c r="D51" s="14"/>
      <c r="E51" s="14"/>
      <c r="F51" s="14"/>
      <c r="G51" s="14"/>
      <c r="H51" s="14"/>
      <c r="I51" s="14"/>
      <c r="J51" s="14"/>
      <c r="K51" s="14">
        <v>1156</v>
      </c>
      <c r="L51" s="14">
        <v>785</v>
      </c>
      <c r="M51" s="15"/>
      <c r="N51" s="14"/>
      <c r="O51" s="14"/>
      <c r="P51" s="14"/>
      <c r="Q51" s="14"/>
      <c r="R51" s="14"/>
      <c r="S51" s="14"/>
      <c r="T51" s="14"/>
      <c r="U51" s="14"/>
      <c r="V51" s="14"/>
      <c r="W51" s="14"/>
      <c r="X51" s="14"/>
    </row>
    <row r="52" spans="1:24" ht="24" customHeight="1">
      <c r="A52" s="16" t="s">
        <v>804</v>
      </c>
      <c r="B52" s="17"/>
      <c r="C52" s="18"/>
      <c r="D52" s="18"/>
      <c r="E52" s="18"/>
      <c r="F52" s="18"/>
      <c r="G52" s="18"/>
      <c r="H52" s="18"/>
      <c r="I52" s="18"/>
      <c r="J52" s="18"/>
      <c r="K52" s="18">
        <v>785</v>
      </c>
      <c r="L52" s="18">
        <v>1852</v>
      </c>
      <c r="M52" s="20"/>
      <c r="N52" s="18"/>
      <c r="O52" s="18"/>
      <c r="P52" s="18"/>
      <c r="Q52" s="18"/>
      <c r="R52" s="18"/>
      <c r="S52" s="18"/>
      <c r="T52" s="18"/>
      <c r="U52" s="18"/>
      <c r="V52" s="18"/>
      <c r="W52" s="18"/>
      <c r="X52" s="18"/>
    </row>
    <row r="53" spans="1:24" ht="22" customHeight="1">
      <c r="A53" s="3" t="s">
        <v>805</v>
      </c>
      <c r="B53" s="1"/>
      <c r="C53" s="14"/>
      <c r="D53" s="14"/>
      <c r="E53" s="14"/>
      <c r="F53" s="14"/>
      <c r="G53" s="14"/>
      <c r="H53" s="14"/>
      <c r="I53" s="14"/>
      <c r="J53" s="14"/>
      <c r="K53" s="14">
        <v>0</v>
      </c>
      <c r="L53" s="14">
        <v>256</v>
      </c>
      <c r="M53" s="15"/>
      <c r="N53" s="14"/>
      <c r="O53" s="14"/>
      <c r="P53" s="14"/>
      <c r="Q53" s="14"/>
      <c r="R53" s="14"/>
      <c r="S53" s="14"/>
      <c r="T53" s="14"/>
      <c r="U53" s="14"/>
      <c r="V53" s="14"/>
      <c r="W53" s="14"/>
      <c r="X53" s="14"/>
    </row>
    <row r="54" spans="1:24" ht="22" customHeight="1">
      <c r="A54" s="3" t="s">
        <v>806</v>
      </c>
      <c r="B54" s="1"/>
      <c r="C54" s="14"/>
      <c r="D54" s="14"/>
      <c r="E54" s="14"/>
      <c r="F54" s="14"/>
      <c r="G54" s="14"/>
      <c r="H54" s="14"/>
      <c r="I54" s="14"/>
      <c r="J54" s="14"/>
      <c r="K54" s="14">
        <v>184</v>
      </c>
      <c r="L54" s="14">
        <v>0</v>
      </c>
      <c r="M54" s="15"/>
      <c r="N54" s="14"/>
      <c r="O54" s="14"/>
      <c r="P54" s="14"/>
      <c r="Q54" s="14"/>
      <c r="R54" s="14"/>
      <c r="S54" s="14"/>
      <c r="T54" s="14"/>
      <c r="U54" s="14"/>
      <c r="V54" s="14"/>
      <c r="W54" s="14"/>
      <c r="X54" s="14"/>
    </row>
    <row r="55" spans="1:24" ht="22" customHeight="1">
      <c r="A55" s="3" t="s">
        <v>807</v>
      </c>
      <c r="B55" s="1"/>
      <c r="C55" s="14"/>
      <c r="D55" s="14"/>
      <c r="E55" s="14"/>
      <c r="F55" s="14"/>
      <c r="G55" s="14"/>
      <c r="H55" s="14"/>
      <c r="I55" s="14"/>
      <c r="J55" s="14"/>
      <c r="K55" s="14">
        <v>72</v>
      </c>
      <c r="L55" s="14">
        <v>19</v>
      </c>
      <c r="M55" s="15"/>
      <c r="N55" s="14"/>
      <c r="O55" s="14"/>
      <c r="P55" s="14"/>
      <c r="Q55" s="14"/>
      <c r="R55" s="14"/>
      <c r="S55" s="14"/>
      <c r="T55" s="14">
        <v>6</v>
      </c>
      <c r="U55" s="14"/>
      <c r="V55" s="14"/>
      <c r="W55" s="14"/>
      <c r="X55" s="14">
        <v>41</v>
      </c>
    </row>
    <row r="56" spans="1:24" ht="24" customHeight="1">
      <c r="A56" s="16" t="s">
        <v>808</v>
      </c>
      <c r="B56" s="17"/>
      <c r="C56" s="18"/>
      <c r="D56" s="18"/>
      <c r="E56" s="18"/>
      <c r="F56" s="18"/>
      <c r="G56" s="18"/>
      <c r="H56" s="18"/>
      <c r="I56" s="18"/>
      <c r="J56" s="18"/>
      <c r="K56" s="18">
        <v>256</v>
      </c>
      <c r="L56" s="18">
        <v>275</v>
      </c>
      <c r="M56" s="20"/>
      <c r="N56" s="18"/>
      <c r="O56" s="18"/>
      <c r="P56" s="18"/>
      <c r="Q56" s="18"/>
      <c r="R56" s="18"/>
      <c r="S56" s="18"/>
      <c r="T56" s="18"/>
      <c r="U56" s="18"/>
      <c r="V56" s="18"/>
      <c r="W56" s="18"/>
      <c r="X56" s="18"/>
    </row>
    <row r="57" spans="1:24" ht="36" customHeight="1">
      <c r="A57" s="16" t="s">
        <v>809</v>
      </c>
      <c r="B57" s="17"/>
      <c r="C57" s="18"/>
      <c r="D57" s="18"/>
      <c r="E57" s="18"/>
      <c r="F57" s="18"/>
      <c r="G57" s="18"/>
      <c r="H57" s="18"/>
      <c r="I57" s="18"/>
      <c r="J57" s="18"/>
      <c r="K57" s="18">
        <v>1041</v>
      </c>
      <c r="L57" s="18">
        <v>2127</v>
      </c>
      <c r="M57" s="20"/>
      <c r="N57" s="18"/>
      <c r="O57" s="18"/>
      <c r="P57" s="18"/>
      <c r="Q57" s="18"/>
      <c r="R57" s="18"/>
      <c r="S57" s="18"/>
      <c r="T57" s="18"/>
      <c r="U57" s="18"/>
      <c r="V57" s="18"/>
      <c r="W57" s="18"/>
      <c r="X57" s="18"/>
    </row>
    <row r="58" spans="1:24" ht="22" customHeight="1">
      <c r="A58" s="3" t="s">
        <v>810</v>
      </c>
      <c r="B58" s="1"/>
      <c r="C58" s="14"/>
      <c r="D58" s="14"/>
      <c r="E58" s="14"/>
      <c r="F58" s="14"/>
      <c r="G58" s="14"/>
      <c r="H58" s="14"/>
      <c r="I58" s="14"/>
      <c r="J58" s="14"/>
      <c r="K58" s="14"/>
      <c r="L58" s="14"/>
      <c r="M58" s="15"/>
      <c r="N58" s="14"/>
      <c r="O58" s="14"/>
      <c r="P58" s="14"/>
      <c r="Q58" s="14"/>
      <c r="R58" s="14">
        <v>110</v>
      </c>
      <c r="S58" s="14">
        <v>77</v>
      </c>
      <c r="T58" s="14"/>
      <c r="U58" s="14"/>
      <c r="V58" s="14">
        <v>-82</v>
      </c>
      <c r="W58" s="14">
        <v>-289</v>
      </c>
      <c r="X58" s="14"/>
    </row>
    <row r="59" spans="1:24" ht="22" customHeight="1">
      <c r="A59" s="3" t="s">
        <v>811</v>
      </c>
      <c r="B59" s="1"/>
      <c r="C59" s="14"/>
      <c r="D59" s="14"/>
      <c r="E59" s="14"/>
      <c r="F59" s="14"/>
      <c r="G59" s="14"/>
      <c r="H59" s="14"/>
      <c r="I59" s="14"/>
      <c r="J59" s="14"/>
      <c r="K59" s="14"/>
      <c r="L59" s="14"/>
      <c r="M59" s="15"/>
      <c r="N59" s="14"/>
      <c r="O59" s="14"/>
      <c r="P59" s="14"/>
      <c r="Q59" s="14"/>
      <c r="R59" s="14">
        <v>-14</v>
      </c>
      <c r="S59" s="14"/>
      <c r="T59" s="14"/>
      <c r="U59" s="14"/>
      <c r="V59" s="14">
        <v>-33</v>
      </c>
      <c r="W59" s="14"/>
      <c r="X59" s="14"/>
    </row>
    <row r="60" spans="1:24" ht="24" customHeight="1">
      <c r="A60" s="177" t="s">
        <v>812</v>
      </c>
      <c r="B60" s="178"/>
      <c r="C60" s="179"/>
      <c r="D60" s="179"/>
      <c r="E60" s="179"/>
      <c r="F60" s="179"/>
      <c r="G60" s="179"/>
      <c r="H60" s="179"/>
      <c r="I60" s="179"/>
      <c r="J60" s="179"/>
      <c r="K60" s="179"/>
      <c r="L60" s="179"/>
      <c r="M60" s="12"/>
      <c r="N60" s="179"/>
      <c r="O60" s="179"/>
      <c r="P60" s="179"/>
      <c r="Q60" s="179"/>
      <c r="R60" s="179"/>
      <c r="S60" s="179"/>
      <c r="T60" s="179"/>
      <c r="U60" s="179"/>
      <c r="V60" s="179"/>
      <c r="W60" s="179"/>
      <c r="X60" s="179"/>
    </row>
    <row r="61" spans="1:24" ht="22" customHeight="1">
      <c r="A61" s="3" t="s">
        <v>813</v>
      </c>
      <c r="B61" s="1"/>
      <c r="C61" s="14">
        <v>66</v>
      </c>
      <c r="D61" s="14">
        <v>24</v>
      </c>
      <c r="E61" s="14">
        <v>1</v>
      </c>
      <c r="F61" s="14">
        <v>0</v>
      </c>
      <c r="G61" s="14">
        <v>2</v>
      </c>
      <c r="H61" s="14">
        <v>0</v>
      </c>
      <c r="I61" s="14"/>
      <c r="J61" s="14"/>
      <c r="K61" s="14"/>
      <c r="L61" s="14"/>
      <c r="M61" s="15"/>
      <c r="N61" s="14"/>
      <c r="O61" s="14"/>
      <c r="P61" s="14"/>
      <c r="Q61" s="14"/>
      <c r="R61" s="14"/>
      <c r="S61" s="14"/>
      <c r="T61" s="14"/>
      <c r="U61" s="14"/>
      <c r="V61" s="14"/>
      <c r="W61" s="14"/>
      <c r="X61" s="14"/>
    </row>
    <row r="62" spans="1:24" ht="22" customHeight="1">
      <c r="A62" s="3" t="s">
        <v>814</v>
      </c>
      <c r="B62" s="1"/>
      <c r="C62" s="14">
        <v>71</v>
      </c>
      <c r="D62" s="14">
        <v>130</v>
      </c>
      <c r="E62" s="14">
        <v>108</v>
      </c>
      <c r="F62" s="14">
        <v>5</v>
      </c>
      <c r="G62" s="14">
        <v>0</v>
      </c>
      <c r="H62" s="14">
        <v>0</v>
      </c>
      <c r="I62" s="14"/>
      <c r="J62" s="14"/>
      <c r="K62" s="14"/>
      <c r="L62" s="14"/>
      <c r="M62" s="15"/>
      <c r="N62" s="14"/>
      <c r="O62" s="14"/>
      <c r="P62" s="14"/>
      <c r="Q62" s="14"/>
      <c r="R62" s="14"/>
      <c r="S62" s="14"/>
      <c r="T62" s="14"/>
      <c r="U62" s="14"/>
      <c r="V62" s="14"/>
      <c r="W62" s="14"/>
      <c r="X62" s="14"/>
    </row>
    <row r="63" spans="1:24" ht="22" customHeight="1">
      <c r="A63" s="3" t="s">
        <v>815</v>
      </c>
      <c r="B63" s="1"/>
      <c r="C63" s="14"/>
      <c r="D63" s="14"/>
      <c r="E63" s="14"/>
      <c r="F63" s="14"/>
      <c r="G63" s="14"/>
      <c r="H63" s="14"/>
      <c r="I63" s="14"/>
      <c r="J63" s="14">
        <v>0</v>
      </c>
      <c r="K63" s="14">
        <v>0</v>
      </c>
      <c r="L63" s="14">
        <v>19</v>
      </c>
      <c r="M63" s="15"/>
      <c r="N63" s="14"/>
      <c r="O63" s="14"/>
      <c r="P63" s="14"/>
      <c r="Q63" s="14"/>
      <c r="R63" s="14">
        <v>4</v>
      </c>
      <c r="S63" s="14">
        <v>7</v>
      </c>
      <c r="T63" s="14">
        <v>31</v>
      </c>
      <c r="U63" s="14"/>
      <c r="V63" s="14">
        <v>5</v>
      </c>
      <c r="W63" s="14">
        <v>0</v>
      </c>
      <c r="X63" s="14">
        <v>0</v>
      </c>
    </row>
    <row r="64" spans="1:24" ht="22" customHeight="1">
      <c r="A64" s="3" t="s">
        <v>816</v>
      </c>
      <c r="B64" s="1"/>
      <c r="C64" s="14"/>
      <c r="D64" s="14"/>
      <c r="E64" s="14"/>
      <c r="F64" s="14"/>
      <c r="G64" s="14"/>
      <c r="H64" s="14"/>
      <c r="I64" s="14"/>
      <c r="J64" s="14">
        <v>0</v>
      </c>
      <c r="K64" s="14">
        <v>46</v>
      </c>
      <c r="L64" s="14">
        <v>3</v>
      </c>
      <c r="M64" s="15"/>
      <c r="N64" s="14"/>
      <c r="O64" s="14"/>
      <c r="P64" s="14"/>
      <c r="Q64" s="14"/>
      <c r="R64" s="14">
        <v>14</v>
      </c>
      <c r="S64" s="14">
        <v>10</v>
      </c>
      <c r="T64" s="14">
        <v>1</v>
      </c>
      <c r="U64" s="14"/>
      <c r="V64" s="14">
        <v>10</v>
      </c>
      <c r="W64" s="14">
        <v>21</v>
      </c>
      <c r="X64" s="14">
        <v>38</v>
      </c>
    </row>
    <row r="65" spans="1:24" ht="24" customHeight="1">
      <c r="A65" s="177" t="s">
        <v>817</v>
      </c>
      <c r="B65" s="178"/>
      <c r="C65" s="179"/>
      <c r="D65" s="179"/>
      <c r="E65" s="179"/>
      <c r="F65" s="179"/>
      <c r="G65" s="179"/>
      <c r="H65" s="179"/>
      <c r="I65" s="179"/>
      <c r="J65" s="179"/>
      <c r="K65" s="179"/>
      <c r="L65" s="179"/>
      <c r="M65" s="12"/>
      <c r="N65" s="179"/>
      <c r="O65" s="179"/>
      <c r="P65" s="179"/>
      <c r="Q65" s="179"/>
      <c r="R65" s="179"/>
      <c r="S65" s="179"/>
      <c r="T65" s="179"/>
      <c r="U65" s="179"/>
      <c r="V65" s="179"/>
      <c r="W65" s="179"/>
      <c r="X65" s="179"/>
    </row>
    <row r="66" spans="1:24" ht="22" customHeight="1">
      <c r="A66" s="3" t="s">
        <v>818</v>
      </c>
      <c r="B66" s="1"/>
      <c r="C66" s="14">
        <v>51</v>
      </c>
      <c r="D66" s="14">
        <v>15</v>
      </c>
      <c r="E66" s="14">
        <v>44</v>
      </c>
      <c r="F66" s="14">
        <v>5</v>
      </c>
      <c r="G66" s="14">
        <v>9</v>
      </c>
      <c r="H66" s="14">
        <v>29</v>
      </c>
      <c r="I66" s="14">
        <v>24</v>
      </c>
      <c r="J66" s="14">
        <v>3</v>
      </c>
      <c r="K66" s="14"/>
      <c r="L66" s="14"/>
      <c r="M66" s="15"/>
      <c r="N66" s="14">
        <v>9</v>
      </c>
      <c r="O66" s="14">
        <v>14</v>
      </c>
      <c r="P66" s="14"/>
      <c r="Q66" s="14"/>
      <c r="R66" s="14"/>
      <c r="S66" s="14"/>
      <c r="T66" s="14"/>
      <c r="U66" s="14"/>
      <c r="V66" s="14"/>
      <c r="W66" s="14"/>
      <c r="X66" s="14"/>
    </row>
    <row r="67" spans="1:24" ht="22" customHeight="1">
      <c r="A67" s="3" t="s">
        <v>819</v>
      </c>
      <c r="B67" s="1"/>
      <c r="C67" s="14">
        <v>8</v>
      </c>
      <c r="D67" s="14">
        <v>31</v>
      </c>
      <c r="E67" s="14">
        <v>14</v>
      </c>
      <c r="F67" s="14">
        <v>32</v>
      </c>
      <c r="G67" s="14">
        <v>71</v>
      </c>
      <c r="H67" s="14">
        <v>14</v>
      </c>
      <c r="I67" s="14">
        <v>22</v>
      </c>
      <c r="J67" s="14">
        <v>31</v>
      </c>
      <c r="K67" s="14"/>
      <c r="L67" s="14"/>
      <c r="M67" s="15"/>
      <c r="N67" s="14">
        <v>16</v>
      </c>
      <c r="O67" s="14">
        <v>13</v>
      </c>
      <c r="P67" s="14"/>
      <c r="Q67" s="14"/>
      <c r="R67" s="14"/>
      <c r="S67" s="14"/>
      <c r="T67" s="14"/>
      <c r="U67" s="14"/>
      <c r="V67" s="14"/>
      <c r="W67" s="14"/>
      <c r="X67" s="14"/>
    </row>
    <row r="68" spans="1:24" ht="22" customHeight="1">
      <c r="A68" s="3" t="s">
        <v>813</v>
      </c>
      <c r="B68" s="1"/>
      <c r="C68" s="14">
        <v>0</v>
      </c>
      <c r="D68" s="14">
        <v>0</v>
      </c>
      <c r="E68" s="14">
        <v>0</v>
      </c>
      <c r="F68" s="14">
        <v>0</v>
      </c>
      <c r="G68" s="14">
        <v>13</v>
      </c>
      <c r="H68" s="14">
        <v>14</v>
      </c>
      <c r="I68" s="14">
        <v>0</v>
      </c>
      <c r="J68" s="14">
        <v>5</v>
      </c>
      <c r="K68" s="14"/>
      <c r="L68" s="14"/>
      <c r="M68" s="15"/>
      <c r="N68" s="14">
        <v>0</v>
      </c>
      <c r="O68" s="14">
        <v>0</v>
      </c>
      <c r="P68" s="14"/>
      <c r="Q68" s="14"/>
      <c r="R68" s="14"/>
      <c r="S68" s="14"/>
      <c r="T68" s="14"/>
      <c r="U68" s="14"/>
      <c r="V68" s="14"/>
      <c r="W68" s="14"/>
      <c r="X68" s="14"/>
    </row>
    <row r="69" spans="1:24" ht="22" customHeight="1">
      <c r="A69" s="3" t="s">
        <v>814</v>
      </c>
      <c r="B69" s="1"/>
      <c r="C69" s="14">
        <v>408</v>
      </c>
      <c r="D69" s="14">
        <v>213</v>
      </c>
      <c r="E69" s="14">
        <v>323</v>
      </c>
      <c r="F69" s="14">
        <v>390</v>
      </c>
      <c r="G69" s="14">
        <v>307</v>
      </c>
      <c r="H69" s="14">
        <v>264</v>
      </c>
      <c r="I69" s="14">
        <v>164</v>
      </c>
      <c r="J69" s="14">
        <v>135</v>
      </c>
      <c r="K69" s="14"/>
      <c r="L69" s="14"/>
      <c r="M69" s="15"/>
      <c r="N69" s="14">
        <v>155</v>
      </c>
      <c r="O69" s="14">
        <v>152</v>
      </c>
      <c r="P69" s="14"/>
      <c r="Q69" s="14"/>
      <c r="R69" s="14"/>
      <c r="S69" s="14"/>
      <c r="T69" s="14"/>
      <c r="U69" s="14"/>
      <c r="V69" s="14"/>
      <c r="W69" s="14"/>
      <c r="X69" s="14"/>
    </row>
    <row r="70" spans="1:24" ht="22" customHeight="1">
      <c r="A70" s="3" t="s">
        <v>820</v>
      </c>
      <c r="B70" s="1"/>
      <c r="C70" s="14">
        <v>0</v>
      </c>
      <c r="D70" s="14">
        <v>0</v>
      </c>
      <c r="E70" s="14">
        <v>0</v>
      </c>
      <c r="F70" s="14">
        <v>2</v>
      </c>
      <c r="G70" s="14">
        <v>32</v>
      </c>
      <c r="H70" s="14">
        <v>70</v>
      </c>
      <c r="I70" s="14">
        <v>2</v>
      </c>
      <c r="J70" s="14">
        <v>10</v>
      </c>
      <c r="K70" s="14"/>
      <c r="L70" s="14"/>
      <c r="M70" s="15"/>
      <c r="N70" s="14">
        <v>4</v>
      </c>
      <c r="O70" s="14">
        <v>23</v>
      </c>
      <c r="P70" s="14"/>
      <c r="Q70" s="14"/>
      <c r="R70" s="14"/>
      <c r="S70" s="14"/>
      <c r="T70" s="14"/>
      <c r="U70" s="14"/>
      <c r="V70" s="14"/>
      <c r="W70" s="14"/>
      <c r="X70" s="14"/>
    </row>
    <row r="71" spans="1:24" ht="22" customHeight="1">
      <c r="A71" s="3" t="s">
        <v>821</v>
      </c>
      <c r="B71" s="1"/>
      <c r="C71" s="14">
        <v>1</v>
      </c>
      <c r="D71" s="14">
        <v>2</v>
      </c>
      <c r="E71" s="14">
        <v>1</v>
      </c>
      <c r="F71" s="14">
        <v>5</v>
      </c>
      <c r="G71" s="14">
        <v>0</v>
      </c>
      <c r="H71" s="14">
        <v>5</v>
      </c>
      <c r="I71" s="14">
        <v>60</v>
      </c>
      <c r="J71" s="14">
        <v>24</v>
      </c>
      <c r="K71" s="14"/>
      <c r="L71" s="14"/>
      <c r="M71" s="15"/>
      <c r="N71" s="14">
        <v>26</v>
      </c>
      <c r="O71" s="14">
        <v>8</v>
      </c>
      <c r="P71" s="14"/>
      <c r="Q71" s="14"/>
      <c r="R71" s="14"/>
      <c r="S71" s="14"/>
      <c r="T71" s="14"/>
      <c r="U71" s="14"/>
      <c r="V71" s="14"/>
      <c r="W71" s="14"/>
      <c r="X71" s="14"/>
    </row>
    <row r="72" spans="1:24" ht="36" customHeight="1">
      <c r="A72" s="3" t="s">
        <v>822</v>
      </c>
      <c r="B72" s="1"/>
      <c r="C72" s="14">
        <v>53</v>
      </c>
      <c r="D72" s="14">
        <v>17</v>
      </c>
      <c r="E72" s="14">
        <v>44</v>
      </c>
      <c r="F72" s="14">
        <v>9</v>
      </c>
      <c r="G72" s="14">
        <v>54</v>
      </c>
      <c r="H72" s="14">
        <v>113</v>
      </c>
      <c r="I72" s="14">
        <v>26</v>
      </c>
      <c r="J72" s="14">
        <v>18</v>
      </c>
      <c r="K72" s="14">
        <v>82</v>
      </c>
      <c r="L72" s="14">
        <v>122</v>
      </c>
      <c r="M72" s="15"/>
      <c r="N72" s="14">
        <v>13</v>
      </c>
      <c r="O72" s="14">
        <v>37</v>
      </c>
      <c r="P72" s="14">
        <v>39</v>
      </c>
      <c r="Q72" s="14"/>
      <c r="R72" s="14">
        <v>79</v>
      </c>
      <c r="S72" s="14">
        <v>79</v>
      </c>
      <c r="T72" s="14">
        <v>94</v>
      </c>
      <c r="U72" s="14"/>
      <c r="V72" s="14">
        <v>145</v>
      </c>
      <c r="W72" s="14">
        <v>162</v>
      </c>
      <c r="X72" s="14">
        <v>68</v>
      </c>
    </row>
    <row r="73" spans="1:24" ht="36" customHeight="1">
      <c r="A73" s="3" t="s">
        <v>823</v>
      </c>
      <c r="B73" s="1"/>
      <c r="C73" s="14">
        <v>417</v>
      </c>
      <c r="D73" s="14">
        <v>246</v>
      </c>
      <c r="E73" s="14">
        <v>341</v>
      </c>
      <c r="F73" s="14">
        <v>432</v>
      </c>
      <c r="G73" s="14">
        <v>378</v>
      </c>
      <c r="H73" s="14">
        <v>283</v>
      </c>
      <c r="I73" s="14">
        <v>246</v>
      </c>
      <c r="J73" s="14">
        <v>190</v>
      </c>
      <c r="K73" s="14">
        <v>174</v>
      </c>
      <c r="L73" s="14">
        <v>135</v>
      </c>
      <c r="M73" s="15"/>
      <c r="N73" s="14">
        <v>197</v>
      </c>
      <c r="O73" s="14">
        <v>173</v>
      </c>
      <c r="P73" s="14">
        <v>165</v>
      </c>
      <c r="Q73" s="14"/>
      <c r="R73" s="14">
        <v>159</v>
      </c>
      <c r="S73" s="14">
        <v>164</v>
      </c>
      <c r="T73" s="14">
        <v>145</v>
      </c>
      <c r="U73" s="14"/>
      <c r="V73" s="14">
        <v>147</v>
      </c>
      <c r="W73" s="14">
        <v>22</v>
      </c>
      <c r="X73" s="14">
        <v>35</v>
      </c>
    </row>
    <row r="74" spans="1:24" ht="22" customHeight="1">
      <c r="A74" s="3" t="s">
        <v>824</v>
      </c>
      <c r="B74" s="1"/>
      <c r="C74" s="14"/>
      <c r="D74" s="14"/>
      <c r="E74" s="14"/>
      <c r="F74" s="14"/>
      <c r="G74" s="14"/>
      <c r="H74" s="14"/>
      <c r="I74" s="14"/>
      <c r="J74" s="14">
        <v>3</v>
      </c>
      <c r="K74" s="14">
        <v>55</v>
      </c>
      <c r="L74" s="14">
        <v>6</v>
      </c>
      <c r="M74" s="15"/>
      <c r="N74" s="14"/>
      <c r="O74" s="14"/>
      <c r="P74" s="14">
        <v>35</v>
      </c>
      <c r="Q74" s="14"/>
      <c r="R74" s="14">
        <v>27</v>
      </c>
      <c r="S74" s="14">
        <v>5</v>
      </c>
      <c r="T74" s="14">
        <v>8</v>
      </c>
      <c r="U74" s="14"/>
      <c r="V74" s="14">
        <v>7</v>
      </c>
      <c r="W74" s="14">
        <v>18</v>
      </c>
      <c r="X74" s="14">
        <v>8</v>
      </c>
    </row>
    <row r="75" spans="1:24" ht="22" customHeight="1">
      <c r="A75" s="3" t="s">
        <v>825</v>
      </c>
      <c r="B75" s="1"/>
      <c r="C75" s="14"/>
      <c r="D75" s="14"/>
      <c r="E75" s="14"/>
      <c r="F75" s="14"/>
      <c r="G75" s="14"/>
      <c r="H75" s="14"/>
      <c r="I75" s="14"/>
      <c r="J75" s="14">
        <v>31</v>
      </c>
      <c r="K75" s="14">
        <v>3</v>
      </c>
      <c r="L75" s="14">
        <v>28</v>
      </c>
      <c r="M75" s="15"/>
      <c r="N75" s="14"/>
      <c r="O75" s="14"/>
      <c r="P75" s="14">
        <v>11</v>
      </c>
      <c r="Q75" s="14"/>
      <c r="R75" s="14">
        <v>8</v>
      </c>
      <c r="S75" s="14">
        <v>40</v>
      </c>
      <c r="T75" s="14">
        <v>32</v>
      </c>
      <c r="U75" s="14"/>
      <c r="V75" s="14">
        <v>32</v>
      </c>
      <c r="W75" s="14">
        <v>20</v>
      </c>
      <c r="X75" s="14">
        <v>20</v>
      </c>
    </row>
    <row r="76" spans="1:24" ht="22" customHeight="1">
      <c r="A76" s="3" t="s">
        <v>826</v>
      </c>
      <c r="B76" s="1"/>
      <c r="C76" s="14"/>
      <c r="D76" s="14"/>
      <c r="E76" s="14"/>
      <c r="F76" s="14"/>
      <c r="G76" s="14"/>
      <c r="H76" s="14"/>
      <c r="I76" s="14"/>
      <c r="J76" s="14">
        <v>5</v>
      </c>
      <c r="K76" s="14">
        <v>0</v>
      </c>
      <c r="L76" s="14">
        <v>0</v>
      </c>
      <c r="M76" s="15"/>
      <c r="N76" s="14"/>
      <c r="O76" s="14"/>
      <c r="P76" s="14">
        <v>0</v>
      </c>
      <c r="Q76" s="14"/>
      <c r="R76" s="14">
        <v>0</v>
      </c>
      <c r="S76" s="14">
        <v>0</v>
      </c>
      <c r="T76" s="14">
        <v>0</v>
      </c>
      <c r="U76" s="14"/>
      <c r="V76" s="14">
        <v>0</v>
      </c>
      <c r="W76" s="14">
        <v>0</v>
      </c>
      <c r="X76" s="14">
        <v>0</v>
      </c>
    </row>
    <row r="77" spans="1:24" ht="22" customHeight="1">
      <c r="A77" s="3" t="s">
        <v>827</v>
      </c>
      <c r="B77" s="1"/>
      <c r="C77" s="14"/>
      <c r="D77" s="14"/>
      <c r="E77" s="14"/>
      <c r="F77" s="14"/>
      <c r="G77" s="14"/>
      <c r="H77" s="14"/>
      <c r="I77" s="14"/>
      <c r="J77" s="14">
        <v>135</v>
      </c>
      <c r="K77" s="14">
        <v>165</v>
      </c>
      <c r="L77" s="14">
        <v>102</v>
      </c>
      <c r="M77" s="15"/>
      <c r="N77" s="14"/>
      <c r="O77" s="14"/>
      <c r="P77" s="14">
        <v>138</v>
      </c>
      <c r="Q77" s="14"/>
      <c r="R77" s="14">
        <v>146</v>
      </c>
      <c r="S77" s="14">
        <v>110</v>
      </c>
      <c r="T77" s="14">
        <v>105</v>
      </c>
      <c r="U77" s="14"/>
      <c r="V77" s="14">
        <v>113</v>
      </c>
      <c r="W77" s="14">
        <v>0</v>
      </c>
      <c r="X77" s="14">
        <v>0</v>
      </c>
    </row>
    <row r="78" spans="1:24" ht="22" customHeight="1">
      <c r="A78" s="3" t="s">
        <v>828</v>
      </c>
      <c r="B78" s="1"/>
      <c r="C78" s="14"/>
      <c r="D78" s="14"/>
      <c r="E78" s="14"/>
      <c r="F78" s="14"/>
      <c r="G78" s="14"/>
      <c r="H78" s="14"/>
      <c r="I78" s="14"/>
      <c r="J78" s="14">
        <v>10</v>
      </c>
      <c r="K78" s="14">
        <v>27</v>
      </c>
      <c r="L78" s="14">
        <v>116</v>
      </c>
      <c r="M78" s="15"/>
      <c r="N78" s="14"/>
      <c r="O78" s="14"/>
      <c r="P78" s="14">
        <v>4</v>
      </c>
      <c r="Q78" s="14"/>
      <c r="R78" s="14">
        <v>52</v>
      </c>
      <c r="S78" s="14">
        <v>74</v>
      </c>
      <c r="T78" s="14">
        <v>86</v>
      </c>
      <c r="U78" s="14"/>
      <c r="V78" s="14">
        <v>138</v>
      </c>
      <c r="W78" s="14">
        <v>144</v>
      </c>
      <c r="X78" s="14">
        <v>60</v>
      </c>
    </row>
    <row r="79" spans="1:24" ht="22" customHeight="1">
      <c r="A79" s="3" t="s">
        <v>829</v>
      </c>
      <c r="B79" s="1"/>
      <c r="C79" s="14"/>
      <c r="D79" s="14"/>
      <c r="E79" s="14"/>
      <c r="F79" s="14"/>
      <c r="G79" s="14"/>
      <c r="H79" s="14"/>
      <c r="I79" s="14"/>
      <c r="J79" s="14">
        <v>24</v>
      </c>
      <c r="K79" s="14">
        <v>6</v>
      </c>
      <c r="L79" s="14">
        <v>5</v>
      </c>
      <c r="M79" s="15"/>
      <c r="N79" s="14"/>
      <c r="O79" s="14"/>
      <c r="P79" s="14">
        <v>16</v>
      </c>
      <c r="Q79" s="14"/>
      <c r="R79" s="14">
        <v>5</v>
      </c>
      <c r="S79" s="14">
        <v>14</v>
      </c>
      <c r="T79" s="14">
        <v>8</v>
      </c>
      <c r="U79" s="14"/>
      <c r="V79" s="14">
        <v>2</v>
      </c>
      <c r="W79" s="14">
        <v>2</v>
      </c>
      <c r="X79" s="14">
        <v>15</v>
      </c>
    </row>
    <row r="80" spans="1:24" ht="24" customHeight="1">
      <c r="A80" s="177" t="s">
        <v>830</v>
      </c>
      <c r="B80" s="178"/>
      <c r="C80" s="179"/>
      <c r="D80" s="179"/>
      <c r="E80" s="179"/>
      <c r="F80" s="179"/>
      <c r="G80" s="179"/>
      <c r="H80" s="179"/>
      <c r="I80" s="179"/>
      <c r="J80" s="179"/>
      <c r="K80" s="179"/>
      <c r="L80" s="179"/>
      <c r="M80" s="12"/>
      <c r="N80" s="179"/>
      <c r="O80" s="179"/>
      <c r="P80" s="179"/>
      <c r="Q80" s="179"/>
      <c r="R80" s="179"/>
      <c r="S80" s="179"/>
      <c r="T80" s="179"/>
      <c r="U80" s="179"/>
      <c r="V80" s="179"/>
      <c r="W80" s="179"/>
      <c r="X80" s="179"/>
    </row>
    <row r="81" spans="1:24" ht="22" customHeight="1">
      <c r="A81" s="3" t="s">
        <v>818</v>
      </c>
      <c r="B81" s="1"/>
      <c r="C81" s="14">
        <v>2</v>
      </c>
      <c r="D81" s="14">
        <v>10</v>
      </c>
      <c r="E81" s="14">
        <v>3</v>
      </c>
      <c r="F81" s="14">
        <v>3</v>
      </c>
      <c r="G81" s="14">
        <v>4</v>
      </c>
      <c r="H81" s="14">
        <v>19</v>
      </c>
      <c r="I81" s="14">
        <v>21</v>
      </c>
      <c r="J81" s="14">
        <v>33</v>
      </c>
      <c r="K81" s="14"/>
      <c r="L81" s="14"/>
      <c r="M81" s="15"/>
      <c r="N81" s="14">
        <v>8</v>
      </c>
      <c r="O81" s="14">
        <v>14</v>
      </c>
      <c r="P81" s="14"/>
      <c r="Q81" s="14"/>
      <c r="R81" s="14"/>
      <c r="S81" s="14"/>
      <c r="T81" s="14"/>
      <c r="U81" s="14"/>
      <c r="V81" s="14"/>
      <c r="W81" s="14"/>
      <c r="X81" s="14"/>
    </row>
    <row r="82" spans="1:24" ht="22" customHeight="1">
      <c r="A82" s="3" t="s">
        <v>819</v>
      </c>
      <c r="B82" s="1"/>
      <c r="C82" s="14">
        <v>15</v>
      </c>
      <c r="D82" s="14">
        <v>3</v>
      </c>
      <c r="E82" s="14">
        <v>10</v>
      </c>
      <c r="F82" s="14">
        <v>2</v>
      </c>
      <c r="G82" s="14">
        <v>8</v>
      </c>
      <c r="H82" s="14">
        <v>7</v>
      </c>
      <c r="I82" s="14">
        <v>21</v>
      </c>
      <c r="J82" s="14">
        <v>38</v>
      </c>
      <c r="K82" s="14"/>
      <c r="L82" s="14"/>
      <c r="M82" s="15"/>
      <c r="N82" s="14">
        <v>17</v>
      </c>
      <c r="O82" s="14">
        <v>14</v>
      </c>
      <c r="P82" s="14"/>
      <c r="Q82" s="14"/>
      <c r="R82" s="14"/>
      <c r="S82" s="14"/>
      <c r="T82" s="14"/>
      <c r="U82" s="14"/>
      <c r="V82" s="14"/>
      <c r="W82" s="14"/>
      <c r="X82" s="14"/>
    </row>
    <row r="83" spans="1:24" ht="22" customHeight="1">
      <c r="A83" s="3" t="s">
        <v>813</v>
      </c>
      <c r="B83" s="1"/>
      <c r="C83" s="14">
        <v>0</v>
      </c>
      <c r="D83" s="14"/>
      <c r="E83" s="14"/>
      <c r="F83" s="14"/>
      <c r="G83" s="14"/>
      <c r="H83" s="14"/>
      <c r="I83" s="14"/>
      <c r="J83" s="14"/>
      <c r="K83" s="14"/>
      <c r="L83" s="14"/>
      <c r="M83" s="15"/>
      <c r="N83" s="14"/>
      <c r="O83" s="14"/>
      <c r="P83" s="14"/>
      <c r="Q83" s="14"/>
      <c r="R83" s="14"/>
      <c r="S83" s="14"/>
      <c r="T83" s="14"/>
      <c r="U83" s="14"/>
      <c r="V83" s="14"/>
      <c r="W83" s="14"/>
      <c r="X83" s="14"/>
    </row>
    <row r="84" spans="1:24" ht="22" customHeight="1">
      <c r="A84" s="3" t="s">
        <v>814</v>
      </c>
      <c r="B84" s="1"/>
      <c r="C84" s="14">
        <v>0</v>
      </c>
      <c r="D84" s="14"/>
      <c r="E84" s="14"/>
      <c r="F84" s="14"/>
      <c r="G84" s="14"/>
      <c r="H84" s="14"/>
      <c r="I84" s="14"/>
      <c r="J84" s="14"/>
      <c r="K84" s="14"/>
      <c r="L84" s="14"/>
      <c r="M84" s="15"/>
      <c r="N84" s="14"/>
      <c r="O84" s="14"/>
      <c r="P84" s="14"/>
      <c r="Q84" s="14"/>
      <c r="R84" s="14"/>
      <c r="S84" s="14"/>
      <c r="T84" s="14"/>
      <c r="U84" s="14"/>
      <c r="V84" s="14"/>
      <c r="W84" s="14"/>
      <c r="X84" s="14"/>
    </row>
    <row r="85" spans="1:24" ht="22" customHeight="1">
      <c r="A85" s="3" t="s">
        <v>820</v>
      </c>
      <c r="B85" s="1"/>
      <c r="C85" s="14">
        <v>1</v>
      </c>
      <c r="D85" s="14">
        <v>0</v>
      </c>
      <c r="E85" s="14">
        <v>2</v>
      </c>
      <c r="F85" s="14">
        <v>23</v>
      </c>
      <c r="G85" s="14">
        <v>19</v>
      </c>
      <c r="H85" s="14">
        <v>35</v>
      </c>
      <c r="I85" s="14">
        <v>11</v>
      </c>
      <c r="J85" s="14">
        <v>5</v>
      </c>
      <c r="K85" s="14"/>
      <c r="L85" s="14"/>
      <c r="M85" s="15"/>
      <c r="N85" s="14">
        <v>7</v>
      </c>
      <c r="O85" s="14">
        <v>7</v>
      </c>
      <c r="P85" s="14"/>
      <c r="Q85" s="14"/>
      <c r="R85" s="14"/>
      <c r="S85" s="14"/>
      <c r="T85" s="14"/>
      <c r="U85" s="14"/>
      <c r="V85" s="14"/>
      <c r="W85" s="14"/>
      <c r="X85" s="14"/>
    </row>
    <row r="86" spans="1:24" ht="22" customHeight="1">
      <c r="A86" s="3" t="s">
        <v>821</v>
      </c>
      <c r="B86" s="1"/>
      <c r="C86" s="14">
        <v>1</v>
      </c>
      <c r="D86" s="14">
        <v>19</v>
      </c>
      <c r="E86" s="14">
        <v>17</v>
      </c>
      <c r="F86" s="14">
        <v>7</v>
      </c>
      <c r="G86" s="14">
        <v>7</v>
      </c>
      <c r="H86" s="14">
        <v>22</v>
      </c>
      <c r="I86" s="14">
        <v>51</v>
      </c>
      <c r="J86" s="14">
        <v>13</v>
      </c>
      <c r="K86" s="14"/>
      <c r="L86" s="14"/>
      <c r="M86" s="15"/>
      <c r="N86" s="14">
        <v>7</v>
      </c>
      <c r="O86" s="14">
        <v>3</v>
      </c>
      <c r="P86" s="14"/>
      <c r="Q86" s="14"/>
      <c r="R86" s="14"/>
      <c r="S86" s="14"/>
      <c r="T86" s="14"/>
      <c r="U86" s="14"/>
      <c r="V86" s="14"/>
      <c r="W86" s="14"/>
      <c r="X86" s="14"/>
    </row>
    <row r="87" spans="1:24" ht="36" customHeight="1">
      <c r="A87" s="3" t="s">
        <v>831</v>
      </c>
      <c r="B87" s="1"/>
      <c r="C87" s="14">
        <v>63</v>
      </c>
      <c r="D87" s="14">
        <v>95</v>
      </c>
      <c r="E87" s="14">
        <v>10</v>
      </c>
      <c r="F87" s="14">
        <v>32</v>
      </c>
      <c r="G87" s="14">
        <v>23</v>
      </c>
      <c r="H87" s="14">
        <v>54</v>
      </c>
      <c r="I87" s="14">
        <v>32</v>
      </c>
      <c r="J87" s="14">
        <v>38</v>
      </c>
      <c r="K87" s="14">
        <v>31</v>
      </c>
      <c r="L87" s="14">
        <v>10</v>
      </c>
      <c r="M87" s="15"/>
      <c r="N87" s="14">
        <v>15</v>
      </c>
      <c r="O87" s="14">
        <v>21</v>
      </c>
      <c r="P87" s="14">
        <v>20</v>
      </c>
      <c r="Q87" s="14"/>
      <c r="R87" s="14">
        <v>9</v>
      </c>
      <c r="S87" s="14">
        <v>11</v>
      </c>
      <c r="T87" s="14">
        <v>7</v>
      </c>
      <c r="U87" s="14"/>
      <c r="V87" s="14">
        <v>35</v>
      </c>
      <c r="W87" s="14">
        <v>45</v>
      </c>
      <c r="X87" s="14">
        <v>34</v>
      </c>
    </row>
    <row r="88" spans="1:24" ht="36" customHeight="1">
      <c r="A88" s="3" t="s">
        <v>832</v>
      </c>
      <c r="B88" s="1"/>
      <c r="C88" s="14">
        <v>41</v>
      </c>
      <c r="D88" s="14">
        <v>34</v>
      </c>
      <c r="E88" s="14">
        <v>119</v>
      </c>
      <c r="F88" s="14">
        <v>33</v>
      </c>
      <c r="G88" s="14">
        <v>15</v>
      </c>
      <c r="H88" s="14">
        <v>29</v>
      </c>
      <c r="I88" s="14">
        <v>72</v>
      </c>
      <c r="J88" s="14">
        <v>51</v>
      </c>
      <c r="K88" s="14">
        <v>22</v>
      </c>
      <c r="L88" s="14">
        <v>41</v>
      </c>
      <c r="M88" s="15"/>
      <c r="N88" s="14">
        <v>24</v>
      </c>
      <c r="O88" s="14">
        <v>17</v>
      </c>
      <c r="P88" s="14">
        <v>23</v>
      </c>
      <c r="Q88" s="14"/>
      <c r="R88" s="14">
        <v>20</v>
      </c>
      <c r="S88" s="14">
        <v>39</v>
      </c>
      <c r="T88" s="14">
        <v>23</v>
      </c>
      <c r="U88" s="14"/>
      <c r="V88" s="14">
        <v>9</v>
      </c>
      <c r="W88" s="14">
        <v>9</v>
      </c>
      <c r="X88" s="14">
        <v>30</v>
      </c>
    </row>
    <row r="89" spans="1:24" ht="24" customHeight="1">
      <c r="A89" s="16" t="s">
        <v>833</v>
      </c>
      <c r="B89" s="17"/>
      <c r="C89" s="18">
        <v>182</v>
      </c>
      <c r="D89" s="18">
        <v>136</v>
      </c>
      <c r="E89" s="18">
        <v>55</v>
      </c>
      <c r="F89" s="18">
        <v>41</v>
      </c>
      <c r="G89" s="18">
        <v>79</v>
      </c>
      <c r="H89" s="18">
        <v>167</v>
      </c>
      <c r="I89" s="18">
        <v>58</v>
      </c>
      <c r="J89" s="18">
        <v>56</v>
      </c>
      <c r="K89" s="18">
        <v>114</v>
      </c>
      <c r="L89" s="18">
        <v>151</v>
      </c>
      <c r="M89" s="20"/>
      <c r="N89" s="18">
        <v>28</v>
      </c>
      <c r="O89" s="18">
        <v>58</v>
      </c>
      <c r="P89" s="18">
        <v>59</v>
      </c>
      <c r="Q89" s="18"/>
      <c r="R89" s="18">
        <v>93</v>
      </c>
      <c r="S89" s="18">
        <v>97</v>
      </c>
      <c r="T89" s="18">
        <v>132</v>
      </c>
      <c r="U89" s="18"/>
      <c r="V89" s="18">
        <v>185</v>
      </c>
      <c r="W89" s="18">
        <v>207</v>
      </c>
      <c r="X89" s="18">
        <v>104</v>
      </c>
    </row>
    <row r="90" spans="1:24" ht="24" customHeight="1">
      <c r="A90" s="16" t="s">
        <v>834</v>
      </c>
      <c r="B90" s="17"/>
      <c r="C90" s="18">
        <v>529</v>
      </c>
      <c r="D90" s="18">
        <v>410</v>
      </c>
      <c r="E90" s="18">
        <v>568</v>
      </c>
      <c r="F90" s="18">
        <v>470</v>
      </c>
      <c r="G90" s="18">
        <v>393</v>
      </c>
      <c r="H90" s="18">
        <v>312</v>
      </c>
      <c r="I90" s="18">
        <v>318</v>
      </c>
      <c r="J90" s="18">
        <v>241</v>
      </c>
      <c r="K90" s="18">
        <v>246</v>
      </c>
      <c r="L90" s="18">
        <v>214</v>
      </c>
      <c r="M90" s="20"/>
      <c r="N90" s="18">
        <v>221</v>
      </c>
      <c r="O90" s="18">
        <v>190</v>
      </c>
      <c r="P90" s="18">
        <v>201</v>
      </c>
      <c r="Q90" s="18"/>
      <c r="R90" s="18">
        <v>194</v>
      </c>
      <c r="S90" s="18">
        <v>225</v>
      </c>
      <c r="T90" s="18">
        <v>185</v>
      </c>
      <c r="U90" s="18"/>
      <c r="V90" s="18">
        <v>237</v>
      </c>
      <c r="W90" s="18">
        <v>156</v>
      </c>
      <c r="X90" s="18">
        <v>238</v>
      </c>
    </row>
    <row r="91" spans="1:24" ht="24" customHeight="1">
      <c r="A91" s="16" t="s">
        <v>835</v>
      </c>
      <c r="B91" s="17"/>
      <c r="C91" s="18">
        <v>11851</v>
      </c>
      <c r="D91" s="18">
        <v>14901</v>
      </c>
      <c r="E91" s="18">
        <v>3931</v>
      </c>
      <c r="F91" s="18">
        <v>287</v>
      </c>
      <c r="G91" s="18">
        <v>328</v>
      </c>
      <c r="H91" s="18">
        <v>525</v>
      </c>
      <c r="I91" s="18">
        <v>989</v>
      </c>
      <c r="J91" s="18">
        <v>1695</v>
      </c>
      <c r="K91" s="18">
        <v>1491</v>
      </c>
      <c r="L91" s="18">
        <v>2619</v>
      </c>
      <c r="M91" s="20"/>
      <c r="N91" s="18">
        <v>2371</v>
      </c>
      <c r="O91" s="18">
        <v>1905</v>
      </c>
      <c r="P91" s="18">
        <v>1455</v>
      </c>
      <c r="Q91" s="18"/>
      <c r="R91" s="18">
        <v>1546</v>
      </c>
      <c r="S91" s="18">
        <v>1646</v>
      </c>
      <c r="T91" s="18">
        <v>2810</v>
      </c>
      <c r="U91" s="18"/>
      <c r="V91" s="18">
        <v>2519</v>
      </c>
      <c r="W91" s="18">
        <v>2295</v>
      </c>
      <c r="X91" s="18">
        <v>2268</v>
      </c>
    </row>
    <row r="92" spans="1:24" ht="24" customHeight="1">
      <c r="A92" s="16" t="s">
        <v>836</v>
      </c>
      <c r="B92" s="17"/>
      <c r="C92" s="18">
        <v>1001</v>
      </c>
      <c r="D92" s="18">
        <v>913</v>
      </c>
      <c r="E92" s="18">
        <v>1018</v>
      </c>
      <c r="F92" s="18">
        <v>938</v>
      </c>
      <c r="G92" s="18">
        <v>1731</v>
      </c>
      <c r="H92" s="18">
        <v>817</v>
      </c>
      <c r="I92" s="18">
        <v>752</v>
      </c>
      <c r="J92" s="18">
        <v>718</v>
      </c>
      <c r="K92" s="18">
        <v>749</v>
      </c>
      <c r="L92" s="18">
        <v>987</v>
      </c>
      <c r="M92" s="20"/>
      <c r="N92" s="18">
        <v>712</v>
      </c>
      <c r="O92" s="18">
        <v>683</v>
      </c>
      <c r="P92" s="18">
        <v>691</v>
      </c>
      <c r="Q92" s="18"/>
      <c r="R92" s="18">
        <v>673</v>
      </c>
      <c r="S92" s="18">
        <v>932</v>
      </c>
      <c r="T92" s="18">
        <v>850</v>
      </c>
      <c r="U92" s="18"/>
      <c r="V92" s="18">
        <v>868</v>
      </c>
      <c r="W92" s="18">
        <v>776</v>
      </c>
      <c r="X92" s="18">
        <v>756</v>
      </c>
    </row>
    <row r="93" spans="1:24" ht="22" customHeight="1">
      <c r="A93" s="3" t="s">
        <v>824</v>
      </c>
      <c r="B93" s="1"/>
      <c r="C93" s="14"/>
      <c r="D93" s="14"/>
      <c r="E93" s="14"/>
      <c r="F93" s="14"/>
      <c r="G93" s="14"/>
      <c r="H93" s="14"/>
      <c r="I93" s="14"/>
      <c r="J93" s="14">
        <v>33</v>
      </c>
      <c r="K93" s="14">
        <v>28</v>
      </c>
      <c r="L93" s="14">
        <v>6</v>
      </c>
      <c r="M93" s="15"/>
      <c r="N93" s="14"/>
      <c r="O93" s="14"/>
      <c r="P93" s="14">
        <v>17</v>
      </c>
      <c r="Q93" s="14"/>
      <c r="R93" s="14">
        <v>6</v>
      </c>
      <c r="S93" s="14">
        <v>10</v>
      </c>
      <c r="T93" s="14">
        <v>6</v>
      </c>
      <c r="U93" s="14"/>
      <c r="V93" s="14">
        <v>4</v>
      </c>
      <c r="W93" s="14">
        <v>16</v>
      </c>
      <c r="X93" s="14">
        <v>1</v>
      </c>
    </row>
    <row r="94" spans="1:24" ht="22" customHeight="1">
      <c r="A94" s="3" t="s">
        <v>825</v>
      </c>
      <c r="B94" s="1"/>
      <c r="C94" s="14"/>
      <c r="D94" s="14"/>
      <c r="E94" s="14"/>
      <c r="F94" s="14"/>
      <c r="G94" s="14"/>
      <c r="H94" s="14"/>
      <c r="I94" s="14"/>
      <c r="J94" s="14">
        <v>38</v>
      </c>
      <c r="K94" s="14">
        <v>12</v>
      </c>
      <c r="L94" s="14">
        <v>32</v>
      </c>
      <c r="M94" s="15"/>
      <c r="N94" s="14"/>
      <c r="O94" s="14"/>
      <c r="P94" s="14">
        <v>14</v>
      </c>
      <c r="Q94" s="14"/>
      <c r="R94" s="14">
        <v>11</v>
      </c>
      <c r="S94" s="14">
        <v>28</v>
      </c>
      <c r="T94" s="14">
        <v>12</v>
      </c>
      <c r="U94" s="14"/>
      <c r="V94" s="14">
        <v>8</v>
      </c>
      <c r="W94" s="14">
        <v>7</v>
      </c>
      <c r="X94" s="14">
        <v>23</v>
      </c>
    </row>
    <row r="95" spans="1:24" ht="22" customHeight="1">
      <c r="A95" s="3" t="s">
        <v>828</v>
      </c>
      <c r="B95" s="1"/>
      <c r="C95" s="14"/>
      <c r="D95" s="14"/>
      <c r="E95" s="14"/>
      <c r="F95" s="14"/>
      <c r="G95" s="14"/>
      <c r="H95" s="14"/>
      <c r="I95" s="14"/>
      <c r="J95" s="14">
        <v>5</v>
      </c>
      <c r="K95" s="14">
        <v>3</v>
      </c>
      <c r="L95" s="14">
        <v>4</v>
      </c>
      <c r="M95" s="15"/>
      <c r="N95" s="14"/>
      <c r="O95" s="14"/>
      <c r="P95" s="14">
        <v>3</v>
      </c>
      <c r="Q95" s="14"/>
      <c r="R95" s="14">
        <v>3</v>
      </c>
      <c r="S95" s="14">
        <v>1</v>
      </c>
      <c r="T95" s="14">
        <v>1</v>
      </c>
      <c r="U95" s="14"/>
      <c r="V95" s="14">
        <v>31</v>
      </c>
      <c r="W95" s="14">
        <v>29</v>
      </c>
      <c r="X95" s="14">
        <v>33</v>
      </c>
    </row>
    <row r="96" spans="1:24" ht="22" customHeight="1">
      <c r="A96" s="3" t="s">
        <v>829</v>
      </c>
      <c r="B96" s="1"/>
      <c r="C96" s="14"/>
      <c r="D96" s="14"/>
      <c r="E96" s="14"/>
      <c r="F96" s="14"/>
      <c r="G96" s="14"/>
      <c r="H96" s="14"/>
      <c r="I96" s="14"/>
      <c r="J96" s="14">
        <v>13</v>
      </c>
      <c r="K96" s="14">
        <v>10</v>
      </c>
      <c r="L96" s="14">
        <v>9</v>
      </c>
      <c r="M96" s="15"/>
      <c r="N96" s="14"/>
      <c r="O96" s="14"/>
      <c r="P96" s="14">
        <v>9</v>
      </c>
      <c r="Q96" s="14"/>
      <c r="R96" s="14">
        <v>9</v>
      </c>
      <c r="S96" s="14">
        <v>11</v>
      </c>
      <c r="T96" s="14">
        <v>11</v>
      </c>
      <c r="U96" s="14"/>
      <c r="V96" s="14">
        <v>1</v>
      </c>
      <c r="W96" s="14">
        <v>2</v>
      </c>
      <c r="X96" s="14">
        <v>7</v>
      </c>
    </row>
    <row r="97" spans="1:24" ht="24" customHeight="1">
      <c r="A97" s="177" t="s">
        <v>837</v>
      </c>
      <c r="B97" s="178"/>
      <c r="C97" s="179"/>
      <c r="D97" s="179"/>
      <c r="E97" s="179"/>
      <c r="F97" s="179"/>
      <c r="G97" s="179"/>
      <c r="H97" s="179"/>
      <c r="I97" s="179"/>
      <c r="J97" s="179"/>
      <c r="K97" s="179"/>
      <c r="L97" s="179"/>
      <c r="M97" s="12"/>
      <c r="N97" s="179"/>
      <c r="O97" s="179"/>
      <c r="P97" s="179"/>
      <c r="Q97" s="179"/>
      <c r="R97" s="179"/>
      <c r="S97" s="179"/>
      <c r="T97" s="179"/>
      <c r="U97" s="179"/>
      <c r="V97" s="179"/>
      <c r="W97" s="179"/>
      <c r="X97" s="179"/>
    </row>
    <row r="98" spans="1:24" ht="22" customHeight="1">
      <c r="A98" s="3" t="s">
        <v>838</v>
      </c>
      <c r="B98" s="1"/>
      <c r="C98" s="14"/>
      <c r="D98" s="14"/>
      <c r="E98" s="14"/>
      <c r="F98" s="14"/>
      <c r="G98" s="14"/>
      <c r="H98" s="14"/>
      <c r="I98" s="14"/>
      <c r="J98" s="14">
        <v>3000</v>
      </c>
      <c r="K98" s="14">
        <v>2900</v>
      </c>
      <c r="L98" s="14">
        <v>4400</v>
      </c>
      <c r="M98" s="15"/>
      <c r="N98" s="14"/>
      <c r="O98" s="14"/>
      <c r="P98" s="14">
        <v>3100</v>
      </c>
      <c r="Q98" s="14"/>
      <c r="R98" s="14">
        <v>3000</v>
      </c>
      <c r="S98" s="14">
        <v>3200</v>
      </c>
      <c r="T98" s="14">
        <v>4300</v>
      </c>
      <c r="U98" s="14"/>
      <c r="V98" s="14">
        <v>11600</v>
      </c>
      <c r="W98" s="14">
        <v>11700</v>
      </c>
      <c r="X98" s="14">
        <v>11700</v>
      </c>
    </row>
    <row r="99" spans="1:24" ht="24" customHeight="1">
      <c r="A99" s="177" t="s">
        <v>839</v>
      </c>
      <c r="B99" s="178"/>
      <c r="C99" s="179"/>
      <c r="D99" s="179"/>
      <c r="E99" s="179"/>
      <c r="F99" s="179"/>
      <c r="G99" s="179"/>
      <c r="H99" s="179"/>
      <c r="I99" s="179"/>
      <c r="J99" s="179"/>
      <c r="K99" s="179"/>
      <c r="L99" s="179"/>
      <c r="M99" s="12"/>
      <c r="N99" s="179"/>
      <c r="O99" s="179"/>
      <c r="P99" s="179"/>
      <c r="Q99" s="179"/>
      <c r="R99" s="179"/>
      <c r="S99" s="179"/>
      <c r="T99" s="179"/>
      <c r="U99" s="179"/>
      <c r="V99" s="179"/>
      <c r="W99" s="179"/>
      <c r="X99" s="179"/>
    </row>
    <row r="100" spans="1:24" ht="22" customHeight="1">
      <c r="A100" s="3" t="s">
        <v>826</v>
      </c>
      <c r="B100" s="1"/>
      <c r="C100" s="14"/>
      <c r="D100" s="14"/>
      <c r="E100" s="14"/>
      <c r="F100" s="14"/>
      <c r="G100" s="14"/>
      <c r="H100" s="14"/>
      <c r="I100" s="14"/>
      <c r="J100" s="14">
        <v>0</v>
      </c>
      <c r="K100" s="14">
        <v>1</v>
      </c>
      <c r="L100" s="14">
        <v>0</v>
      </c>
      <c r="M100" s="15"/>
      <c r="N100" s="14"/>
      <c r="O100" s="14"/>
      <c r="P100" s="14">
        <v>0</v>
      </c>
      <c r="Q100" s="14"/>
      <c r="R100" s="14">
        <v>1</v>
      </c>
      <c r="S100" s="14">
        <v>0</v>
      </c>
      <c r="T100" s="14">
        <v>0</v>
      </c>
      <c r="U100" s="14"/>
      <c r="V100" s="14">
        <v>0</v>
      </c>
      <c r="W100" s="14">
        <v>0</v>
      </c>
      <c r="X100" s="14">
        <v>1</v>
      </c>
    </row>
    <row r="101" spans="1:24" ht="22" customHeight="1">
      <c r="A101" s="3" t="s">
        <v>827</v>
      </c>
      <c r="B101" s="1"/>
      <c r="C101" s="14"/>
      <c r="D101" s="14"/>
      <c r="E101" s="14"/>
      <c r="F101" s="14"/>
      <c r="G101" s="14"/>
      <c r="H101" s="14"/>
      <c r="I101" s="14"/>
      <c r="J101" s="14">
        <v>0</v>
      </c>
      <c r="K101" s="14">
        <v>4</v>
      </c>
      <c r="L101" s="14">
        <v>34</v>
      </c>
      <c r="M101" s="15"/>
      <c r="N101" s="14"/>
      <c r="O101" s="14"/>
      <c r="P101" s="14">
        <v>13</v>
      </c>
      <c r="Q101" s="14"/>
      <c r="R101" s="14">
        <v>1</v>
      </c>
      <c r="S101" s="14">
        <v>12</v>
      </c>
      <c r="T101" s="14">
        <v>16</v>
      </c>
      <c r="U101" s="14"/>
      <c r="V101" s="14">
        <v>71</v>
      </c>
      <c r="W101" s="14">
        <v>104</v>
      </c>
      <c r="X101" s="14">
        <v>132</v>
      </c>
    </row>
    <row r="102" spans="1:24" ht="36" customHeight="1">
      <c r="A102" s="3" t="s">
        <v>840</v>
      </c>
      <c r="B102" s="1"/>
      <c r="C102" s="14"/>
      <c r="D102" s="14"/>
      <c r="E102" s="14"/>
      <c r="F102" s="14"/>
      <c r="G102" s="14"/>
      <c r="H102" s="14"/>
      <c r="I102" s="14"/>
      <c r="J102" s="14">
        <v>0</v>
      </c>
      <c r="K102" s="14">
        <v>1</v>
      </c>
      <c r="L102" s="14">
        <v>0</v>
      </c>
      <c r="M102" s="15"/>
      <c r="N102" s="14"/>
      <c r="O102" s="14"/>
      <c r="P102" s="14">
        <v>0</v>
      </c>
      <c r="Q102" s="14"/>
      <c r="R102" s="14"/>
      <c r="S102" s="14"/>
      <c r="T102" s="14"/>
      <c r="U102" s="14"/>
      <c r="V102" s="14">
        <v>0</v>
      </c>
      <c r="W102" s="14">
        <v>0</v>
      </c>
      <c r="X102" s="14">
        <v>2</v>
      </c>
    </row>
    <row r="103" spans="1:24" ht="36" customHeight="1">
      <c r="A103" s="3" t="s">
        <v>841</v>
      </c>
      <c r="B103" s="1"/>
      <c r="C103" s="14"/>
      <c r="D103" s="14"/>
      <c r="E103" s="14"/>
      <c r="F103" s="14"/>
      <c r="G103" s="14"/>
      <c r="H103" s="14"/>
      <c r="I103" s="14"/>
      <c r="J103" s="14">
        <v>0</v>
      </c>
      <c r="K103" s="14">
        <v>4</v>
      </c>
      <c r="L103" s="14">
        <v>35</v>
      </c>
      <c r="M103" s="15"/>
      <c r="N103" s="14"/>
      <c r="O103" s="14"/>
      <c r="P103" s="14">
        <v>13</v>
      </c>
      <c r="Q103" s="14"/>
      <c r="R103" s="14"/>
      <c r="S103" s="14"/>
      <c r="T103" s="14"/>
      <c r="U103" s="14"/>
      <c r="V103" s="14">
        <v>71</v>
      </c>
      <c r="W103" s="14">
        <v>104</v>
      </c>
      <c r="X103" s="14">
        <v>135</v>
      </c>
    </row>
    <row r="104" spans="1:24" ht="22" customHeight="1">
      <c r="A104" s="3" t="s">
        <v>824</v>
      </c>
      <c r="B104" s="1"/>
      <c r="C104" s="14"/>
      <c r="D104" s="14"/>
      <c r="E104" s="14"/>
      <c r="F104" s="14"/>
      <c r="G104" s="14"/>
      <c r="H104" s="14"/>
      <c r="I104" s="14"/>
      <c r="J104" s="14"/>
      <c r="K104" s="14">
        <v>0</v>
      </c>
      <c r="L104" s="14">
        <v>0</v>
      </c>
      <c r="M104" s="15"/>
      <c r="N104" s="14"/>
      <c r="O104" s="14"/>
      <c r="P104" s="14"/>
      <c r="Q104" s="14"/>
      <c r="R104" s="14"/>
      <c r="S104" s="14"/>
      <c r="T104" s="14"/>
      <c r="U104" s="14"/>
      <c r="V104" s="14">
        <v>0</v>
      </c>
      <c r="W104" s="14">
        <v>0</v>
      </c>
      <c r="X104" s="14">
        <v>1</v>
      </c>
    </row>
    <row r="105" spans="1:24" ht="22" customHeight="1">
      <c r="A105" s="3" t="s">
        <v>825</v>
      </c>
      <c r="B105" s="1"/>
      <c r="C105" s="14"/>
      <c r="D105" s="14"/>
      <c r="E105" s="14"/>
      <c r="F105" s="14"/>
      <c r="G105" s="14"/>
      <c r="H105" s="14"/>
      <c r="I105" s="14"/>
      <c r="J105" s="14"/>
      <c r="K105" s="14">
        <v>0</v>
      </c>
      <c r="L105" s="14">
        <v>1</v>
      </c>
      <c r="M105" s="15"/>
      <c r="N105" s="14"/>
      <c r="O105" s="14"/>
      <c r="P105" s="14"/>
      <c r="Q105" s="14"/>
      <c r="R105" s="14"/>
      <c r="S105" s="14"/>
      <c r="T105" s="14"/>
      <c r="U105" s="14"/>
      <c r="V105" s="14">
        <v>0</v>
      </c>
      <c r="W105" s="14">
        <v>0</v>
      </c>
      <c r="X105" s="14">
        <v>3</v>
      </c>
    </row>
    <row r="106" spans="1:24" ht="22" customHeight="1">
      <c r="A106" s="3"/>
      <c r="B106" s="1"/>
      <c r="C106" s="2"/>
      <c r="D106" s="2"/>
      <c r="E106" s="2"/>
      <c r="F106" s="2"/>
      <c r="G106" s="2"/>
      <c r="H106" s="2"/>
      <c r="I106" s="2"/>
      <c r="J106" s="2"/>
      <c r="K106" s="2"/>
      <c r="L106" s="2"/>
      <c r="M106" s="2"/>
      <c r="N106" s="2"/>
      <c r="O106" s="2"/>
      <c r="P106" s="2"/>
      <c r="Q106" s="2"/>
      <c r="R106" s="2"/>
      <c r="S106" s="2"/>
      <c r="T106" s="2"/>
      <c r="U106" s="2"/>
      <c r="V106" s="2"/>
      <c r="W106" s="2"/>
      <c r="X106" s="2"/>
    </row>
    <row r="107" spans="1:24" ht="22" customHeight="1">
      <c r="A107" s="174" t="s">
        <v>763</v>
      </c>
      <c r="B107" s="174"/>
      <c r="C107" s="175"/>
      <c r="D107" s="175"/>
      <c r="E107" s="175"/>
      <c r="F107" s="175"/>
      <c r="G107" s="175"/>
      <c r="H107" s="175"/>
      <c r="I107" s="175"/>
      <c r="J107" s="175"/>
      <c r="K107" s="175"/>
      <c r="L107" s="175"/>
      <c r="M107" s="175"/>
      <c r="N107" s="175"/>
      <c r="O107" s="175"/>
      <c r="P107" s="175"/>
      <c r="Q107" s="175"/>
      <c r="R107" s="175"/>
      <c r="S107" s="175"/>
      <c r="T107" s="175"/>
      <c r="U107" s="175"/>
      <c r="V107" s="175"/>
      <c r="W107" s="175"/>
      <c r="X107" s="175"/>
    </row>
    <row r="108" spans="1:24" ht="18" customHeight="1">
      <c r="A108" s="163" t="s">
        <v>764</v>
      </c>
      <c r="B108" s="16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row>
    <row r="109" spans="1:24" ht="24" customHeight="1">
      <c r="A109" s="177" t="s">
        <v>765</v>
      </c>
      <c r="B109" s="178"/>
      <c r="C109" s="179"/>
      <c r="D109" s="179"/>
      <c r="E109" s="179"/>
      <c r="F109" s="179"/>
      <c r="G109" s="179"/>
      <c r="H109" s="179"/>
      <c r="I109" s="179"/>
      <c r="J109" s="179"/>
      <c r="K109" s="179"/>
      <c r="L109" s="179"/>
      <c r="M109" s="12"/>
      <c r="N109" s="179"/>
      <c r="O109" s="179"/>
      <c r="P109" s="179"/>
      <c r="Q109" s="179"/>
      <c r="R109" s="179"/>
      <c r="S109" s="179"/>
      <c r="T109" s="179"/>
      <c r="U109" s="179"/>
      <c r="V109" s="179"/>
      <c r="W109" s="179"/>
      <c r="X109" s="179"/>
    </row>
    <row r="110" spans="1:24" ht="22" customHeight="1">
      <c r="A110" s="3" t="s">
        <v>794</v>
      </c>
      <c r="B110" s="1"/>
      <c r="C110" s="14"/>
      <c r="D110" s="14"/>
      <c r="E110" s="14"/>
      <c r="F110" s="14"/>
      <c r="G110" s="14"/>
      <c r="H110" s="14"/>
      <c r="I110" s="14"/>
      <c r="J110" s="14"/>
      <c r="K110" s="14"/>
      <c r="L110" s="14"/>
      <c r="M110" s="15"/>
      <c r="N110" s="14"/>
      <c r="O110" s="14">
        <v>188</v>
      </c>
      <c r="P110" s="14">
        <v>-265</v>
      </c>
      <c r="Q110" s="14"/>
      <c r="R110" s="14"/>
      <c r="S110" s="14">
        <v>187</v>
      </c>
      <c r="T110" s="14">
        <v>722</v>
      </c>
      <c r="U110" s="14"/>
      <c r="V110" s="14"/>
      <c r="W110" s="14"/>
      <c r="X110" s="14">
        <v>-328</v>
      </c>
    </row>
    <row r="111" spans="1:24" ht="22" customHeight="1">
      <c r="A111" s="3" t="s">
        <v>795</v>
      </c>
      <c r="B111" s="1"/>
      <c r="C111" s="14"/>
      <c r="D111" s="14"/>
      <c r="E111" s="14"/>
      <c r="F111" s="14"/>
      <c r="G111" s="14"/>
      <c r="H111" s="14"/>
      <c r="I111" s="14"/>
      <c r="J111" s="14"/>
      <c r="K111" s="14"/>
      <c r="L111" s="14"/>
      <c r="M111" s="15"/>
      <c r="N111" s="14"/>
      <c r="O111" s="14">
        <v>-7</v>
      </c>
      <c r="P111" s="14">
        <v>-14</v>
      </c>
      <c r="Q111" s="14"/>
      <c r="R111" s="14"/>
      <c r="S111" s="14">
        <v>-14</v>
      </c>
      <c r="T111" s="14">
        <v>-20</v>
      </c>
      <c r="U111" s="14"/>
      <c r="V111" s="14"/>
      <c r="W111" s="14">
        <v>-28</v>
      </c>
      <c r="X111" s="14">
        <v>-42</v>
      </c>
    </row>
    <row r="112" spans="1:24" ht="22" customHeight="1">
      <c r="A112" s="3" t="s">
        <v>798</v>
      </c>
      <c r="B112" s="1"/>
      <c r="C112" s="14"/>
      <c r="D112" s="14"/>
      <c r="E112" s="14"/>
      <c r="F112" s="14"/>
      <c r="G112" s="14"/>
      <c r="H112" s="14"/>
      <c r="I112" s="14"/>
      <c r="J112" s="14"/>
      <c r="K112" s="14"/>
      <c r="L112" s="14"/>
      <c r="M112" s="15"/>
      <c r="N112" s="14"/>
      <c r="O112" s="14">
        <v>0</v>
      </c>
      <c r="P112" s="14">
        <v>0</v>
      </c>
      <c r="Q112" s="14"/>
      <c r="R112" s="14"/>
      <c r="S112" s="14">
        <v>5</v>
      </c>
      <c r="T112" s="14">
        <v>11</v>
      </c>
      <c r="U112" s="14"/>
      <c r="V112" s="14"/>
      <c r="W112" s="14">
        <v>-16</v>
      </c>
      <c r="X112" s="14"/>
    </row>
    <row r="113" spans="1:24" ht="22" customHeight="1">
      <c r="A113" s="3" t="s">
        <v>801</v>
      </c>
      <c r="B113" s="1"/>
      <c r="C113" s="14"/>
      <c r="D113" s="14"/>
      <c r="E113" s="14"/>
      <c r="F113" s="14"/>
      <c r="G113" s="14"/>
      <c r="H113" s="14"/>
      <c r="I113" s="14"/>
      <c r="J113" s="14"/>
      <c r="K113" s="14"/>
      <c r="L113" s="14"/>
      <c r="M113" s="15"/>
      <c r="N113" s="14"/>
      <c r="O113" s="14"/>
      <c r="P113" s="14">
        <v>0</v>
      </c>
      <c r="Q113" s="14"/>
      <c r="R113" s="14"/>
      <c r="S113" s="14"/>
      <c r="T113" s="14">
        <v>590</v>
      </c>
      <c r="U113" s="14"/>
      <c r="V113" s="14"/>
      <c r="W113" s="14"/>
      <c r="X113" s="14">
        <v>0</v>
      </c>
    </row>
    <row r="114" spans="1:24" ht="22" customHeight="1">
      <c r="A114" s="3" t="s">
        <v>810</v>
      </c>
      <c r="B114" s="1"/>
      <c r="C114" s="14"/>
      <c r="D114" s="14"/>
      <c r="E114" s="14"/>
      <c r="F114" s="14"/>
      <c r="G114" s="14"/>
      <c r="H114" s="14"/>
      <c r="I114" s="14"/>
      <c r="J114" s="14"/>
      <c r="K114" s="14"/>
      <c r="L114" s="14"/>
      <c r="M114" s="15"/>
      <c r="N114" s="14"/>
      <c r="O114" s="14"/>
      <c r="P114" s="14"/>
      <c r="Q114" s="14"/>
      <c r="R114" s="14"/>
      <c r="S114" s="14">
        <v>187</v>
      </c>
      <c r="T114" s="14"/>
      <c r="U114" s="14"/>
      <c r="V114" s="14"/>
      <c r="W114" s="14">
        <v>-371</v>
      </c>
      <c r="X114" s="14"/>
    </row>
    <row r="115" spans="1:24" ht="22" customHeight="1">
      <c r="A115" s="3" t="s">
        <v>807</v>
      </c>
      <c r="B115" s="1"/>
      <c r="C115" s="14"/>
      <c r="D115" s="14"/>
      <c r="E115" s="14"/>
      <c r="F115" s="14"/>
      <c r="G115" s="14"/>
      <c r="H115" s="14"/>
      <c r="I115" s="14"/>
      <c r="J115" s="14"/>
      <c r="K115" s="14"/>
      <c r="L115" s="14"/>
      <c r="M115" s="15"/>
      <c r="N115" s="14"/>
      <c r="O115" s="14"/>
      <c r="P115" s="14"/>
      <c r="Q115" s="14"/>
      <c r="R115" s="14"/>
      <c r="S115" s="14"/>
      <c r="T115" s="14">
        <v>11</v>
      </c>
      <c r="U115" s="14"/>
      <c r="V115" s="14"/>
      <c r="W115" s="14"/>
      <c r="X115" s="14">
        <v>25</v>
      </c>
    </row>
    <row r="116" spans="1:24" ht="22" customHeight="1">
      <c r="A116" s="3"/>
      <c r="B116" s="1"/>
      <c r="C116" s="2"/>
      <c r="D116" s="2"/>
      <c r="E116" s="2"/>
      <c r="F116" s="2"/>
      <c r="G116" s="2"/>
      <c r="H116" s="2"/>
      <c r="I116" s="2"/>
      <c r="J116" s="2"/>
      <c r="K116" s="2"/>
      <c r="L116" s="2"/>
      <c r="M116" s="2"/>
      <c r="N116" s="2"/>
      <c r="O116" s="2"/>
      <c r="P116" s="2"/>
      <c r="Q116" s="2"/>
      <c r="R116" s="2"/>
      <c r="S116" s="2"/>
      <c r="T116" s="2"/>
      <c r="U116" s="2"/>
      <c r="V116" s="2"/>
      <c r="W116" s="2"/>
      <c r="X116" s="2"/>
    </row>
  </sheetData>
  <mergeCells count="22">
    <mergeCell ref="A99:L99"/>
    <mergeCell ref="N99:X99"/>
    <mergeCell ref="A107:X107"/>
    <mergeCell ref="A108:X108"/>
    <mergeCell ref="A109:L109"/>
    <mergeCell ref="N109:X109"/>
    <mergeCell ref="A65:L65"/>
    <mergeCell ref="N65:X65"/>
    <mergeCell ref="A80:L80"/>
    <mergeCell ref="N80:X80"/>
    <mergeCell ref="A97:L97"/>
    <mergeCell ref="N97:X97"/>
    <mergeCell ref="A12:X12"/>
    <mergeCell ref="A13:L13"/>
    <mergeCell ref="N13:X13"/>
    <mergeCell ref="A60:L60"/>
    <mergeCell ref="N60:X60"/>
    <mergeCell ref="A1:X1"/>
    <mergeCell ref="A2:X2"/>
    <mergeCell ref="C7:L7"/>
    <mergeCell ref="N7:X7"/>
    <mergeCell ref="A11:X11"/>
  </mergeCells>
  <phoneticPr fontId="44" type="noConversion"/>
  <hyperlinks>
    <hyperlink ref="A3" location="'Contents'!A1" display="Metric (Return to Contents)" xr:uid="{00000000-0004-0000-0A00-000000000000}"/>
    <hyperlink ref="C7" location="'Investments'!A11" display="Financial instruments and fair value" xr:uid="{00000000-0004-0000-0A00-000001000000}"/>
    <hyperlink ref="N7" location="'Investments'!A107" display="Financial instruments and fair value: YTD" xr:uid="{00000000-0004-0000-0A00-000002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08958"/>
  </sheetPr>
  <dimension ref="A1:X226"/>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842</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843</v>
      </c>
      <c r="D7" s="176"/>
      <c r="E7" s="176"/>
      <c r="F7" s="176"/>
      <c r="G7" s="176"/>
      <c r="H7" s="176"/>
      <c r="I7" s="176"/>
      <c r="J7" s="176"/>
      <c r="K7" s="176"/>
      <c r="L7" s="176"/>
      <c r="M7" s="2"/>
      <c r="N7" s="176" t="s">
        <v>844</v>
      </c>
      <c r="O7" s="176"/>
      <c r="P7" s="176"/>
      <c r="Q7" s="176"/>
      <c r="R7" s="176"/>
      <c r="S7" s="176"/>
      <c r="T7" s="176"/>
      <c r="U7" s="176"/>
      <c r="V7" s="176"/>
      <c r="W7" s="176"/>
      <c r="X7" s="176"/>
    </row>
    <row r="8" spans="1:24" ht="22" customHeight="1">
      <c r="A8" s="3"/>
      <c r="B8" s="1"/>
      <c r="C8" s="176" t="s">
        <v>845</v>
      </c>
      <c r="D8" s="176"/>
      <c r="E8" s="176"/>
      <c r="F8" s="176"/>
      <c r="G8" s="176"/>
      <c r="H8" s="176"/>
      <c r="I8" s="176"/>
      <c r="J8" s="176"/>
      <c r="K8" s="176"/>
      <c r="L8" s="176"/>
      <c r="M8" s="2"/>
      <c r="N8" s="176" t="s">
        <v>846</v>
      </c>
      <c r="O8" s="176"/>
      <c r="P8" s="176"/>
      <c r="Q8" s="176"/>
      <c r="R8" s="176"/>
      <c r="S8" s="176"/>
      <c r="T8" s="176"/>
      <c r="U8" s="176"/>
      <c r="V8" s="176"/>
      <c r="W8" s="176"/>
      <c r="X8" s="176"/>
    </row>
    <row r="9" spans="1:24" ht="22" customHeight="1">
      <c r="A9" s="3"/>
      <c r="B9" s="1"/>
      <c r="C9" s="176" t="s">
        <v>847</v>
      </c>
      <c r="D9" s="176"/>
      <c r="E9" s="176"/>
      <c r="F9" s="176"/>
      <c r="G9" s="176"/>
      <c r="H9" s="176"/>
      <c r="I9" s="176"/>
      <c r="J9" s="176"/>
      <c r="K9" s="176"/>
      <c r="L9" s="176"/>
      <c r="M9" s="2"/>
      <c r="N9" s="176" t="s">
        <v>848</v>
      </c>
      <c r="O9" s="176"/>
      <c r="P9" s="176"/>
      <c r="Q9" s="176"/>
      <c r="R9" s="176"/>
      <c r="S9" s="176"/>
      <c r="T9" s="176"/>
      <c r="U9" s="176"/>
      <c r="V9" s="176"/>
      <c r="W9" s="176"/>
      <c r="X9" s="176"/>
    </row>
    <row r="10" spans="1:24" ht="22" customHeight="1">
      <c r="A10" s="3"/>
      <c r="B10" s="1"/>
      <c r="C10" s="176" t="s">
        <v>849</v>
      </c>
      <c r="D10" s="176"/>
      <c r="E10" s="176"/>
      <c r="F10" s="176"/>
      <c r="G10" s="176"/>
      <c r="H10" s="176"/>
      <c r="I10" s="176"/>
      <c r="J10" s="176"/>
      <c r="K10" s="176"/>
      <c r="L10" s="176"/>
      <c r="M10" s="2"/>
      <c r="N10" s="176" t="s">
        <v>850</v>
      </c>
      <c r="O10" s="176"/>
      <c r="P10" s="176"/>
      <c r="Q10" s="176"/>
      <c r="R10" s="176"/>
      <c r="S10" s="176"/>
      <c r="T10" s="176"/>
      <c r="U10" s="176"/>
      <c r="V10" s="176"/>
      <c r="W10" s="176"/>
      <c r="X10" s="176"/>
    </row>
    <row r="11" spans="1:24" ht="22" customHeight="1">
      <c r="A11" s="3"/>
      <c r="B11" s="1"/>
      <c r="C11" s="2"/>
      <c r="D11" s="2"/>
      <c r="E11" s="2"/>
      <c r="F11" s="2"/>
      <c r="G11" s="2"/>
      <c r="H11" s="2"/>
      <c r="I11" s="2"/>
      <c r="J11" s="2"/>
      <c r="K11" s="2"/>
      <c r="L11" s="2"/>
      <c r="M11" s="2"/>
      <c r="N11" s="2"/>
      <c r="O11" s="2"/>
      <c r="P11" s="2"/>
      <c r="Q11" s="2"/>
      <c r="R11" s="2"/>
      <c r="S11" s="2"/>
      <c r="T11" s="2"/>
      <c r="U11" s="2"/>
      <c r="V11" s="2"/>
      <c r="W11" s="2"/>
      <c r="X11" s="2"/>
    </row>
    <row r="12" spans="1:24" ht="22" customHeight="1">
      <c r="A12" s="3"/>
      <c r="B12" s="1"/>
      <c r="C12" s="2"/>
      <c r="D12" s="2"/>
      <c r="E12" s="2"/>
      <c r="F12" s="2"/>
      <c r="G12" s="2"/>
      <c r="H12" s="2"/>
      <c r="I12" s="2"/>
      <c r="J12" s="2"/>
      <c r="K12" s="2"/>
      <c r="L12" s="2"/>
      <c r="M12" s="2"/>
      <c r="N12" s="2"/>
      <c r="O12" s="2"/>
      <c r="P12" s="2"/>
      <c r="Q12" s="2"/>
      <c r="R12" s="2"/>
      <c r="S12" s="2"/>
      <c r="T12" s="2"/>
      <c r="U12" s="2"/>
      <c r="V12" s="2"/>
      <c r="W12" s="2"/>
      <c r="X12" s="2"/>
    </row>
    <row r="13" spans="1:24" ht="22" customHeight="1">
      <c r="A13" s="3"/>
      <c r="B13" s="1"/>
      <c r="C13" s="2"/>
      <c r="D13" s="2"/>
      <c r="E13" s="2"/>
      <c r="F13" s="2"/>
      <c r="G13" s="2"/>
      <c r="H13" s="2"/>
      <c r="I13" s="2"/>
      <c r="J13" s="2"/>
      <c r="K13" s="2"/>
      <c r="L13" s="2"/>
      <c r="M13" s="2"/>
      <c r="N13" s="2"/>
      <c r="O13" s="2"/>
      <c r="P13" s="2"/>
      <c r="Q13" s="2"/>
      <c r="R13" s="2"/>
      <c r="S13" s="2"/>
      <c r="T13" s="2"/>
      <c r="U13" s="2"/>
      <c r="V13" s="2"/>
      <c r="W13" s="2"/>
      <c r="X13" s="2"/>
    </row>
    <row r="14" spans="1:24" ht="22" customHeight="1">
      <c r="A14" s="174" t="s">
        <v>843</v>
      </c>
      <c r="B14" s="174"/>
      <c r="C14" s="175"/>
      <c r="D14" s="175"/>
      <c r="E14" s="175"/>
      <c r="F14" s="175"/>
      <c r="G14" s="175"/>
      <c r="H14" s="175"/>
      <c r="I14" s="175"/>
      <c r="J14" s="175"/>
      <c r="K14" s="175"/>
      <c r="L14" s="175"/>
      <c r="M14" s="175"/>
      <c r="N14" s="175"/>
      <c r="O14" s="175"/>
      <c r="P14" s="175"/>
      <c r="Q14" s="175"/>
      <c r="R14" s="175"/>
      <c r="S14" s="175"/>
      <c r="T14" s="175"/>
      <c r="U14" s="175"/>
      <c r="V14" s="175"/>
      <c r="W14" s="175"/>
      <c r="X14" s="175"/>
    </row>
    <row r="15" spans="1:24" ht="22" customHeight="1">
      <c r="A15" s="3" t="s">
        <v>851</v>
      </c>
      <c r="B15" s="1"/>
      <c r="C15" s="14">
        <v>827</v>
      </c>
      <c r="D15" s="14">
        <v>858</v>
      </c>
      <c r="E15" s="14">
        <v>838</v>
      </c>
      <c r="F15" s="14">
        <v>846</v>
      </c>
      <c r="G15" s="14">
        <v>976</v>
      </c>
      <c r="H15" s="14">
        <v>976</v>
      </c>
      <c r="I15" s="14">
        <v>837</v>
      </c>
      <c r="J15" s="14">
        <v>840</v>
      </c>
      <c r="K15" s="14">
        <v>821</v>
      </c>
      <c r="L15" s="14">
        <v>835</v>
      </c>
      <c r="M15" s="15"/>
      <c r="N15" s="14">
        <v>835</v>
      </c>
      <c r="O15" s="14">
        <v>832</v>
      </c>
      <c r="P15" s="14">
        <v>836</v>
      </c>
      <c r="Q15" s="14"/>
      <c r="R15" s="14">
        <v>824</v>
      </c>
      <c r="S15" s="14">
        <v>835</v>
      </c>
      <c r="T15" s="14">
        <v>833</v>
      </c>
      <c r="U15" s="14"/>
      <c r="V15" s="14">
        <v>835</v>
      </c>
      <c r="W15" s="14">
        <v>831</v>
      </c>
      <c r="X15" s="14">
        <v>832</v>
      </c>
    </row>
    <row r="16" spans="1:24" ht="22" customHeight="1">
      <c r="A16" s="3" t="s">
        <v>852</v>
      </c>
      <c r="B16" s="1"/>
      <c r="C16" s="14">
        <v>-108</v>
      </c>
      <c r="D16" s="14">
        <v>-128</v>
      </c>
      <c r="E16" s="14">
        <v>-140</v>
      </c>
      <c r="F16" s="14">
        <v>-158</v>
      </c>
      <c r="G16" s="14">
        <v>-173</v>
      </c>
      <c r="H16" s="14">
        <v>-187</v>
      </c>
      <c r="I16" s="14">
        <v>-200</v>
      </c>
      <c r="J16" s="14">
        <v>-214</v>
      </c>
      <c r="K16" s="14">
        <v>-223</v>
      </c>
      <c r="L16" s="14">
        <v>-244</v>
      </c>
      <c r="M16" s="15"/>
      <c r="N16" s="14">
        <v>-216</v>
      </c>
      <c r="O16" s="14">
        <v>-219</v>
      </c>
      <c r="P16" s="14">
        <v>-224</v>
      </c>
      <c r="Q16" s="14"/>
      <c r="R16" s="14">
        <v>-228</v>
      </c>
      <c r="S16" s="14">
        <v>-236</v>
      </c>
      <c r="T16" s="14">
        <v>-239</v>
      </c>
      <c r="U16" s="14"/>
      <c r="V16" s="14">
        <v>-248</v>
      </c>
      <c r="W16" s="14">
        <v>-250</v>
      </c>
      <c r="X16" s="14">
        <v>-252</v>
      </c>
    </row>
    <row r="17" spans="1:24" ht="22" customHeight="1">
      <c r="A17" s="3" t="s">
        <v>853</v>
      </c>
      <c r="B17" s="1"/>
      <c r="C17" s="14">
        <v>719</v>
      </c>
      <c r="D17" s="14">
        <v>730</v>
      </c>
      <c r="E17" s="14">
        <v>698</v>
      </c>
      <c r="F17" s="14">
        <v>688</v>
      </c>
      <c r="G17" s="14">
        <v>803</v>
      </c>
      <c r="H17" s="14">
        <v>789</v>
      </c>
      <c r="I17" s="14">
        <v>637</v>
      </c>
      <c r="J17" s="14">
        <v>626</v>
      </c>
      <c r="K17" s="14">
        <v>598</v>
      </c>
      <c r="L17" s="14">
        <v>591</v>
      </c>
      <c r="M17" s="15"/>
      <c r="N17" s="14">
        <v>619</v>
      </c>
      <c r="O17" s="14">
        <v>613</v>
      </c>
      <c r="P17" s="14">
        <v>612</v>
      </c>
      <c r="Q17" s="14"/>
      <c r="R17" s="14">
        <v>596</v>
      </c>
      <c r="S17" s="14">
        <v>599</v>
      </c>
      <c r="T17" s="14">
        <v>594</v>
      </c>
      <c r="U17" s="14"/>
      <c r="V17" s="14">
        <v>587</v>
      </c>
      <c r="W17" s="14">
        <v>581</v>
      </c>
      <c r="X17" s="14">
        <v>580</v>
      </c>
    </row>
    <row r="18" spans="1:24" ht="22" customHeight="1">
      <c r="A18" s="3" t="s">
        <v>854</v>
      </c>
      <c r="B18" s="1"/>
      <c r="C18" s="14">
        <v>106</v>
      </c>
      <c r="D18" s="14">
        <v>106</v>
      </c>
      <c r="E18" s="14">
        <v>106</v>
      </c>
      <c r="F18" s="14">
        <v>106</v>
      </c>
      <c r="G18" s="14"/>
      <c r="H18" s="14"/>
      <c r="I18" s="14"/>
      <c r="J18" s="14"/>
      <c r="K18" s="14"/>
      <c r="L18" s="14"/>
      <c r="M18" s="15"/>
      <c r="N18" s="14"/>
      <c r="O18" s="14"/>
      <c r="P18" s="14"/>
      <c r="Q18" s="14"/>
      <c r="R18" s="14"/>
      <c r="S18" s="14"/>
      <c r="T18" s="14"/>
      <c r="U18" s="14"/>
      <c r="V18" s="14"/>
      <c r="W18" s="14"/>
      <c r="X18" s="14"/>
    </row>
    <row r="19" spans="1:24" ht="22" customHeight="1">
      <c r="A19" s="3" t="s">
        <v>855</v>
      </c>
      <c r="B19" s="1"/>
      <c r="C19" s="14">
        <v>-102</v>
      </c>
      <c r="D19" s="14">
        <v>-104</v>
      </c>
      <c r="E19" s="14">
        <v>-105</v>
      </c>
      <c r="F19" s="14">
        <v>-105</v>
      </c>
      <c r="G19" s="14"/>
      <c r="H19" s="14"/>
      <c r="I19" s="14"/>
      <c r="J19" s="14"/>
      <c r="K19" s="14"/>
      <c r="L19" s="14"/>
      <c r="M19" s="15"/>
      <c r="N19" s="14"/>
      <c r="O19" s="14"/>
      <c r="P19" s="14"/>
      <c r="Q19" s="14"/>
      <c r="R19" s="14"/>
      <c r="S19" s="14"/>
      <c r="T19" s="14"/>
      <c r="U19" s="14"/>
      <c r="V19" s="14"/>
      <c r="W19" s="14"/>
      <c r="X19" s="14"/>
    </row>
    <row r="20" spans="1:24" ht="22" customHeight="1">
      <c r="A20" s="3" t="s">
        <v>856</v>
      </c>
      <c r="B20" s="1"/>
      <c r="C20" s="14">
        <v>4</v>
      </c>
      <c r="D20" s="14">
        <v>2</v>
      </c>
      <c r="E20" s="14">
        <v>1</v>
      </c>
      <c r="F20" s="14">
        <v>1</v>
      </c>
      <c r="G20" s="14"/>
      <c r="H20" s="14"/>
      <c r="I20" s="14"/>
      <c r="J20" s="14"/>
      <c r="K20" s="14"/>
      <c r="L20" s="14"/>
      <c r="M20" s="15"/>
      <c r="N20" s="14"/>
      <c r="O20" s="14"/>
      <c r="P20" s="14"/>
      <c r="Q20" s="14"/>
      <c r="R20" s="14"/>
      <c r="S20" s="14"/>
      <c r="T20" s="14"/>
      <c r="U20" s="14"/>
      <c r="V20" s="14"/>
      <c r="W20" s="14"/>
      <c r="X20" s="14"/>
    </row>
    <row r="21" spans="1:24" ht="22" customHeight="1">
      <c r="A21" s="3" t="s">
        <v>857</v>
      </c>
      <c r="B21" s="1"/>
      <c r="C21" s="14">
        <v>1277</v>
      </c>
      <c r="D21" s="14">
        <v>1322</v>
      </c>
      <c r="E21" s="14">
        <v>1306</v>
      </c>
      <c r="F21" s="14">
        <v>1326</v>
      </c>
      <c r="G21" s="14">
        <v>1348</v>
      </c>
      <c r="H21" s="14">
        <v>1151</v>
      </c>
      <c r="I21" s="14">
        <v>1097</v>
      </c>
      <c r="J21" s="14">
        <v>1093</v>
      </c>
      <c r="K21" s="14">
        <v>1051</v>
      </c>
      <c r="L21" s="14">
        <v>1084</v>
      </c>
      <c r="M21" s="15"/>
      <c r="N21" s="14">
        <v>1086</v>
      </c>
      <c r="O21" s="14">
        <v>1081</v>
      </c>
      <c r="P21" s="14">
        <v>1087</v>
      </c>
      <c r="Q21" s="14"/>
      <c r="R21" s="14">
        <v>1057</v>
      </c>
      <c r="S21" s="14">
        <v>1077</v>
      </c>
      <c r="T21" s="14">
        <v>1080</v>
      </c>
      <c r="U21" s="14"/>
      <c r="V21" s="14">
        <v>1089</v>
      </c>
      <c r="W21" s="14">
        <v>1086</v>
      </c>
      <c r="X21" s="14">
        <v>1082</v>
      </c>
    </row>
    <row r="22" spans="1:24" ht="22" customHeight="1">
      <c r="A22" s="3" t="s">
        <v>858</v>
      </c>
      <c r="B22" s="1"/>
      <c r="C22" s="14">
        <v>-977</v>
      </c>
      <c r="D22" s="14">
        <v>-1026</v>
      </c>
      <c r="E22" s="14">
        <v>-1032</v>
      </c>
      <c r="F22" s="14">
        <v>-1066</v>
      </c>
      <c r="G22" s="14">
        <v>-1099</v>
      </c>
      <c r="H22" s="14">
        <v>-989</v>
      </c>
      <c r="I22" s="14">
        <v>-973</v>
      </c>
      <c r="J22" s="14">
        <v>-989</v>
      </c>
      <c r="K22" s="14">
        <v>-977</v>
      </c>
      <c r="L22" s="14">
        <v>-1021</v>
      </c>
      <c r="M22" s="15"/>
      <c r="N22" s="14">
        <v>-987</v>
      </c>
      <c r="O22" s="14">
        <v>-986</v>
      </c>
      <c r="P22" s="14">
        <v>-996</v>
      </c>
      <c r="Q22" s="14"/>
      <c r="R22" s="14">
        <v>-984</v>
      </c>
      <c r="S22" s="14">
        <v>-1007</v>
      </c>
      <c r="T22" s="14">
        <v>-1013</v>
      </c>
      <c r="U22" s="14"/>
      <c r="V22" s="14">
        <v>-1027</v>
      </c>
      <c r="W22" s="14">
        <v>-1027</v>
      </c>
      <c r="X22" s="14">
        <v>-1027</v>
      </c>
    </row>
    <row r="23" spans="1:24" ht="22" customHeight="1">
      <c r="A23" s="3" t="s">
        <v>859</v>
      </c>
      <c r="B23" s="1"/>
      <c r="C23" s="14">
        <v>300</v>
      </c>
      <c r="D23" s="14">
        <v>296</v>
      </c>
      <c r="E23" s="14">
        <v>274</v>
      </c>
      <c r="F23" s="14">
        <v>260</v>
      </c>
      <c r="G23" s="14">
        <v>249</v>
      </c>
      <c r="H23" s="14">
        <v>162</v>
      </c>
      <c r="I23" s="14">
        <v>124</v>
      </c>
      <c r="J23" s="14">
        <v>104</v>
      </c>
      <c r="K23" s="14">
        <v>74</v>
      </c>
      <c r="L23" s="14">
        <v>63</v>
      </c>
      <c r="M23" s="15"/>
      <c r="N23" s="14">
        <v>99</v>
      </c>
      <c r="O23" s="14">
        <v>95</v>
      </c>
      <c r="P23" s="14">
        <v>91</v>
      </c>
      <c r="Q23" s="14"/>
      <c r="R23" s="14">
        <v>73</v>
      </c>
      <c r="S23" s="14">
        <v>70</v>
      </c>
      <c r="T23" s="14">
        <v>67</v>
      </c>
      <c r="U23" s="14"/>
      <c r="V23" s="14">
        <v>62</v>
      </c>
      <c r="W23" s="14">
        <v>59</v>
      </c>
      <c r="X23" s="14">
        <v>55</v>
      </c>
    </row>
    <row r="24" spans="1:24" ht="22" customHeight="1">
      <c r="A24" s="3" t="s">
        <v>860</v>
      </c>
      <c r="B24" s="1"/>
      <c r="C24" s="14">
        <v>522</v>
      </c>
      <c r="D24" s="14">
        <v>521</v>
      </c>
      <c r="E24" s="14">
        <v>959</v>
      </c>
      <c r="F24" s="14">
        <v>459</v>
      </c>
      <c r="G24" s="14">
        <v>474</v>
      </c>
      <c r="H24" s="14">
        <v>451</v>
      </c>
      <c r="I24" s="14">
        <v>447</v>
      </c>
      <c r="J24" s="14">
        <v>449</v>
      </c>
      <c r="K24" s="14">
        <v>420</v>
      </c>
      <c r="L24" s="14">
        <v>433</v>
      </c>
      <c r="M24" s="15"/>
      <c r="N24" s="14">
        <v>445</v>
      </c>
      <c r="O24" s="14">
        <v>440</v>
      </c>
      <c r="P24" s="14">
        <v>428</v>
      </c>
      <c r="Q24" s="14"/>
      <c r="R24" s="14">
        <v>420</v>
      </c>
      <c r="S24" s="14">
        <v>431</v>
      </c>
      <c r="T24" s="14">
        <v>433</v>
      </c>
      <c r="U24" s="14"/>
      <c r="V24" s="14">
        <v>436</v>
      </c>
      <c r="W24" s="14">
        <v>434</v>
      </c>
      <c r="X24" s="14">
        <v>429</v>
      </c>
    </row>
    <row r="25" spans="1:24" ht="22" customHeight="1">
      <c r="A25" s="3" t="s">
        <v>861</v>
      </c>
      <c r="B25" s="1"/>
      <c r="C25" s="14">
        <v>-308</v>
      </c>
      <c r="D25" s="14">
        <v>-281</v>
      </c>
      <c r="E25" s="14">
        <v>-288</v>
      </c>
      <c r="F25" s="14">
        <v>-254</v>
      </c>
      <c r="G25" s="14">
        <v>-261</v>
      </c>
      <c r="H25" s="14">
        <v>-260</v>
      </c>
      <c r="I25" s="14">
        <v>-265</v>
      </c>
      <c r="J25" s="14">
        <v>-275</v>
      </c>
      <c r="K25" s="14">
        <v>-276</v>
      </c>
      <c r="L25" s="14">
        <v>-294</v>
      </c>
      <c r="M25" s="15"/>
      <c r="N25" s="14">
        <v>-276</v>
      </c>
      <c r="O25" s="14">
        <v>-276</v>
      </c>
      <c r="P25" s="14">
        <v>-276</v>
      </c>
      <c r="Q25" s="14"/>
      <c r="R25" s="14">
        <v>-279</v>
      </c>
      <c r="S25" s="14">
        <v>-286</v>
      </c>
      <c r="T25" s="14">
        <v>-289</v>
      </c>
      <c r="U25" s="14"/>
      <c r="V25" s="14">
        <v>-297</v>
      </c>
      <c r="W25" s="14">
        <v>-297</v>
      </c>
      <c r="X25" s="14">
        <v>-298</v>
      </c>
    </row>
    <row r="26" spans="1:24" ht="22" customHeight="1">
      <c r="A26" s="3" t="s">
        <v>862</v>
      </c>
      <c r="B26" s="1"/>
      <c r="C26" s="14">
        <v>214</v>
      </c>
      <c r="D26" s="14">
        <v>240</v>
      </c>
      <c r="E26" s="14">
        <v>671</v>
      </c>
      <c r="F26" s="14">
        <v>205</v>
      </c>
      <c r="G26" s="14">
        <v>213</v>
      </c>
      <c r="H26" s="14">
        <v>191</v>
      </c>
      <c r="I26" s="14">
        <v>182</v>
      </c>
      <c r="J26" s="14">
        <v>174</v>
      </c>
      <c r="K26" s="14">
        <v>144</v>
      </c>
      <c r="L26" s="14">
        <v>139</v>
      </c>
      <c r="M26" s="15"/>
      <c r="N26" s="14">
        <v>169</v>
      </c>
      <c r="O26" s="14">
        <v>164</v>
      </c>
      <c r="P26" s="14">
        <v>152</v>
      </c>
      <c r="Q26" s="14"/>
      <c r="R26" s="14">
        <v>141</v>
      </c>
      <c r="S26" s="14">
        <v>145</v>
      </c>
      <c r="T26" s="14">
        <v>144</v>
      </c>
      <c r="U26" s="14"/>
      <c r="V26" s="14">
        <v>139</v>
      </c>
      <c r="W26" s="14">
        <v>137</v>
      </c>
      <c r="X26" s="14">
        <v>131</v>
      </c>
    </row>
    <row r="27" spans="1:24" ht="22" customHeight="1">
      <c r="A27" s="3" t="s">
        <v>863</v>
      </c>
      <c r="B27" s="1"/>
      <c r="C27" s="14">
        <v>2732</v>
      </c>
      <c r="D27" s="14">
        <v>2807</v>
      </c>
      <c r="E27" s="14">
        <v>3209</v>
      </c>
      <c r="F27" s="14">
        <v>3088</v>
      </c>
      <c r="G27" s="14">
        <v>3440</v>
      </c>
      <c r="H27" s="14">
        <v>3201</v>
      </c>
      <c r="I27" s="14">
        <v>2952</v>
      </c>
      <c r="J27" s="14">
        <v>2942</v>
      </c>
      <c r="K27" s="14">
        <v>2857</v>
      </c>
      <c r="L27" s="14">
        <v>3125</v>
      </c>
      <c r="M27" s="15"/>
      <c r="N27" s="14">
        <v>2919</v>
      </c>
      <c r="O27" s="14">
        <v>2906</v>
      </c>
      <c r="P27" s="14">
        <v>2912</v>
      </c>
      <c r="Q27" s="14"/>
      <c r="R27" s="14">
        <v>2941</v>
      </c>
      <c r="S27" s="14">
        <v>3155</v>
      </c>
      <c r="T27" s="14">
        <v>3112</v>
      </c>
      <c r="U27" s="14"/>
      <c r="V27" s="14">
        <v>3140</v>
      </c>
      <c r="W27" s="14">
        <v>3133</v>
      </c>
      <c r="X27" s="14">
        <v>3116</v>
      </c>
    </row>
    <row r="28" spans="1:24" ht="22" customHeight="1">
      <c r="A28" s="3" t="s">
        <v>864</v>
      </c>
      <c r="B28" s="1"/>
      <c r="C28" s="14">
        <v>-1495</v>
      </c>
      <c r="D28" s="14">
        <v>-1539</v>
      </c>
      <c r="E28" s="14">
        <v>-1565</v>
      </c>
      <c r="F28" s="14">
        <v>-1655</v>
      </c>
      <c r="G28" s="14">
        <v>-1737</v>
      </c>
      <c r="H28" s="14">
        <v>-1663</v>
      </c>
      <c r="I28" s="14">
        <v>-1675</v>
      </c>
      <c r="J28" s="14">
        <v>-1743</v>
      </c>
      <c r="K28" s="14">
        <v>-1755</v>
      </c>
      <c r="L28" s="14">
        <v>-1906</v>
      </c>
      <c r="M28" s="15"/>
      <c r="N28" s="14">
        <v>-1746</v>
      </c>
      <c r="O28" s="14">
        <v>-1755</v>
      </c>
      <c r="P28" s="14">
        <v>-1780</v>
      </c>
      <c r="Q28" s="14"/>
      <c r="R28" s="14">
        <v>-1784</v>
      </c>
      <c r="S28" s="14">
        <v>-1844</v>
      </c>
      <c r="T28" s="14">
        <v>-1871</v>
      </c>
      <c r="U28" s="14"/>
      <c r="V28" s="14">
        <v>-1931</v>
      </c>
      <c r="W28" s="14">
        <v>-1946</v>
      </c>
      <c r="X28" s="14">
        <v>-1951</v>
      </c>
    </row>
    <row r="29" spans="1:24" ht="22" customHeight="1">
      <c r="A29" s="3" t="s">
        <v>865</v>
      </c>
      <c r="B29" s="1"/>
      <c r="C29" s="14">
        <v>1237</v>
      </c>
      <c r="D29" s="14">
        <v>1268</v>
      </c>
      <c r="E29" s="14">
        <v>1644</v>
      </c>
      <c r="F29" s="14">
        <v>1433</v>
      </c>
      <c r="G29" s="14">
        <v>1703</v>
      </c>
      <c r="H29" s="14">
        <v>1538</v>
      </c>
      <c r="I29" s="14">
        <v>1277</v>
      </c>
      <c r="J29" s="14">
        <v>1199</v>
      </c>
      <c r="K29" s="14">
        <v>1102</v>
      </c>
      <c r="L29" s="14">
        <v>1219</v>
      </c>
      <c r="M29" s="15"/>
      <c r="N29" s="14">
        <v>1173</v>
      </c>
      <c r="O29" s="14">
        <v>1151</v>
      </c>
      <c r="P29" s="14">
        <v>1132</v>
      </c>
      <c r="Q29" s="14"/>
      <c r="R29" s="14">
        <v>1157</v>
      </c>
      <c r="S29" s="14">
        <v>1311</v>
      </c>
      <c r="T29" s="14">
        <v>1241</v>
      </c>
      <c r="U29" s="14"/>
      <c r="V29" s="14">
        <v>1209</v>
      </c>
      <c r="W29" s="14">
        <v>1187</v>
      </c>
      <c r="X29" s="14">
        <v>1165</v>
      </c>
    </row>
    <row r="30" spans="1:24" ht="22" customHeight="1">
      <c r="A30" s="3" t="s">
        <v>866</v>
      </c>
      <c r="B30" s="1"/>
      <c r="C30" s="14">
        <v>70</v>
      </c>
      <c r="D30" s="14">
        <v>68</v>
      </c>
      <c r="E30" s="14">
        <v>69</v>
      </c>
      <c r="F30" s="14">
        <v>81</v>
      </c>
      <c r="G30" s="14">
        <v>90</v>
      </c>
      <c r="H30" s="14">
        <v>91</v>
      </c>
      <c r="I30" s="14">
        <v>78</v>
      </c>
      <c r="J30" s="14">
        <v>75</v>
      </c>
      <c r="K30" s="14">
        <v>74</v>
      </c>
      <c r="L30" s="14">
        <v>83</v>
      </c>
      <c r="M30" s="15"/>
      <c r="N30" s="14"/>
      <c r="O30" s="14"/>
      <c r="P30" s="14"/>
      <c r="Q30" s="14"/>
      <c r="R30" s="14"/>
      <c r="S30" s="14"/>
      <c r="T30" s="14"/>
      <c r="U30" s="14"/>
      <c r="V30" s="14"/>
      <c r="W30" s="14"/>
      <c r="X30" s="14"/>
    </row>
    <row r="31" spans="1:24" ht="22" customHeight="1">
      <c r="A31" s="3"/>
      <c r="B31" s="1"/>
      <c r="C31" s="2"/>
      <c r="D31" s="2"/>
      <c r="E31" s="2"/>
      <c r="F31" s="2"/>
      <c r="G31" s="2"/>
      <c r="H31" s="2"/>
      <c r="I31" s="2"/>
      <c r="J31" s="2"/>
      <c r="K31" s="2"/>
      <c r="L31" s="2"/>
      <c r="M31" s="2"/>
      <c r="N31" s="2"/>
      <c r="O31" s="2"/>
      <c r="P31" s="2"/>
      <c r="Q31" s="2"/>
      <c r="R31" s="2"/>
      <c r="S31" s="2"/>
      <c r="T31" s="2"/>
      <c r="U31" s="2"/>
      <c r="V31" s="2"/>
      <c r="W31" s="2"/>
      <c r="X31" s="2"/>
    </row>
    <row r="32" spans="1:24" ht="22" customHeight="1">
      <c r="A32" s="174" t="s">
        <v>844</v>
      </c>
      <c r="B32" s="174"/>
      <c r="C32" s="175"/>
      <c r="D32" s="175"/>
      <c r="E32" s="175"/>
      <c r="F32" s="175"/>
      <c r="G32" s="175"/>
      <c r="H32" s="175"/>
      <c r="I32" s="175"/>
      <c r="J32" s="175"/>
      <c r="K32" s="175"/>
      <c r="L32" s="175"/>
      <c r="M32" s="175"/>
      <c r="N32" s="175"/>
      <c r="O32" s="175"/>
      <c r="P32" s="175"/>
      <c r="Q32" s="175"/>
      <c r="R32" s="175"/>
      <c r="S32" s="175"/>
      <c r="T32" s="175"/>
      <c r="U32" s="175"/>
      <c r="V32" s="175"/>
      <c r="W32" s="175"/>
      <c r="X32" s="175"/>
    </row>
    <row r="33" spans="1:24" ht="22" customHeight="1">
      <c r="A33" s="3" t="s">
        <v>262</v>
      </c>
      <c r="B33" s="1"/>
      <c r="C33" s="14"/>
      <c r="D33" s="14"/>
      <c r="E33" s="14"/>
      <c r="F33" s="14"/>
      <c r="G33" s="14"/>
      <c r="H33" s="14"/>
      <c r="I33" s="14"/>
      <c r="J33" s="14">
        <v>17728</v>
      </c>
      <c r="K33" s="14">
        <v>17534</v>
      </c>
      <c r="L33" s="14">
        <v>18916</v>
      </c>
      <c r="M33" s="15"/>
      <c r="N33" s="14"/>
      <c r="O33" s="14"/>
      <c r="P33" s="14"/>
      <c r="Q33" s="14"/>
      <c r="R33" s="14">
        <v>18364</v>
      </c>
      <c r="S33" s="14">
        <v>18952</v>
      </c>
      <c r="T33" s="14">
        <v>18845</v>
      </c>
      <c r="U33" s="14"/>
      <c r="V33" s="14">
        <v>19021</v>
      </c>
      <c r="W33" s="14">
        <v>19093</v>
      </c>
      <c r="X33" s="14">
        <v>18884</v>
      </c>
    </row>
    <row r="34" spans="1:24" ht="22" customHeight="1">
      <c r="A34" s="3" t="s">
        <v>867</v>
      </c>
      <c r="B34" s="1"/>
      <c r="C34" s="14"/>
      <c r="D34" s="14"/>
      <c r="E34" s="14"/>
      <c r="F34" s="14"/>
      <c r="G34" s="14"/>
      <c r="H34" s="14"/>
      <c r="I34" s="14"/>
      <c r="J34" s="14">
        <v>7533</v>
      </c>
      <c r="K34" s="14">
        <v>7437</v>
      </c>
      <c r="L34" s="14">
        <v>7542</v>
      </c>
      <c r="M34" s="15"/>
      <c r="N34" s="14"/>
      <c r="O34" s="14"/>
      <c r="P34" s="14"/>
      <c r="Q34" s="14"/>
      <c r="R34" s="14">
        <v>7462</v>
      </c>
      <c r="S34" s="14">
        <v>7535</v>
      </c>
      <c r="T34" s="14">
        <v>7532</v>
      </c>
      <c r="U34" s="14"/>
      <c r="V34" s="14">
        <v>7544</v>
      </c>
      <c r="W34" s="14">
        <v>7532</v>
      </c>
      <c r="X34" s="14">
        <v>7516</v>
      </c>
    </row>
    <row r="35" spans="1:24" ht="22" customHeight="1">
      <c r="A35" s="3" t="s">
        <v>868</v>
      </c>
      <c r="B35" s="1"/>
      <c r="C35" s="14"/>
      <c r="D35" s="14"/>
      <c r="E35" s="14"/>
      <c r="F35" s="14"/>
      <c r="G35" s="14"/>
      <c r="H35" s="14"/>
      <c r="I35" s="14"/>
      <c r="J35" s="14">
        <v>1891</v>
      </c>
      <c r="K35" s="14">
        <v>1858</v>
      </c>
      <c r="L35" s="14">
        <v>2099</v>
      </c>
      <c r="M35" s="15"/>
      <c r="N35" s="14"/>
      <c r="O35" s="14"/>
      <c r="P35" s="14"/>
      <c r="Q35" s="14"/>
      <c r="R35" s="14">
        <v>1858</v>
      </c>
      <c r="S35" s="14">
        <v>1878</v>
      </c>
      <c r="T35" s="14">
        <v>1886</v>
      </c>
      <c r="U35" s="14"/>
      <c r="V35" s="14">
        <v>2164</v>
      </c>
      <c r="W35" s="14">
        <v>2239</v>
      </c>
      <c r="X35" s="14">
        <v>2241</v>
      </c>
    </row>
    <row r="36" spans="1:24" ht="22" customHeight="1">
      <c r="A36" s="3" t="s">
        <v>869</v>
      </c>
      <c r="B36" s="1"/>
      <c r="C36" s="14"/>
      <c r="D36" s="14"/>
      <c r="E36" s="14"/>
      <c r="F36" s="14"/>
      <c r="G36" s="14"/>
      <c r="H36" s="14"/>
      <c r="I36" s="14"/>
      <c r="J36" s="14">
        <v>4306</v>
      </c>
      <c r="K36" s="14">
        <v>4404</v>
      </c>
      <c r="L36" s="14">
        <v>4206</v>
      </c>
      <c r="M36" s="15"/>
      <c r="N36" s="14"/>
      <c r="O36" s="14"/>
      <c r="P36" s="14"/>
      <c r="Q36" s="14"/>
      <c r="R36" s="14">
        <v>4886</v>
      </c>
      <c r="S36" s="14">
        <v>4799</v>
      </c>
      <c r="T36" s="14">
        <v>4193</v>
      </c>
      <c r="U36" s="14"/>
      <c r="V36" s="14">
        <v>4226</v>
      </c>
      <c r="W36" s="14">
        <v>4219</v>
      </c>
      <c r="X36" s="14">
        <v>4220</v>
      </c>
    </row>
    <row r="37" spans="1:24" ht="24" customHeight="1">
      <c r="A37" s="16" t="s">
        <v>870</v>
      </c>
      <c r="B37" s="17"/>
      <c r="C37" s="18"/>
      <c r="D37" s="18"/>
      <c r="E37" s="18"/>
      <c r="F37" s="18"/>
      <c r="G37" s="18"/>
      <c r="H37" s="18"/>
      <c r="I37" s="18"/>
      <c r="J37" s="18">
        <v>31458</v>
      </c>
      <c r="K37" s="18">
        <v>31233</v>
      </c>
      <c r="L37" s="18">
        <v>32763</v>
      </c>
      <c r="M37" s="20"/>
      <c r="N37" s="18"/>
      <c r="O37" s="18"/>
      <c r="P37" s="18"/>
      <c r="Q37" s="18"/>
      <c r="R37" s="18">
        <v>32570</v>
      </c>
      <c r="S37" s="18">
        <v>33164</v>
      </c>
      <c r="T37" s="18">
        <v>32456</v>
      </c>
      <c r="U37" s="18"/>
      <c r="V37" s="18">
        <v>32955</v>
      </c>
      <c r="W37" s="18">
        <v>33083</v>
      </c>
      <c r="X37" s="18">
        <v>32861</v>
      </c>
    </row>
    <row r="38" spans="1:24" ht="22" customHeight="1">
      <c r="A38" s="3" t="s">
        <v>871</v>
      </c>
      <c r="B38" s="1"/>
      <c r="C38" s="14"/>
      <c r="D38" s="14"/>
      <c r="E38" s="14"/>
      <c r="F38" s="14"/>
      <c r="G38" s="14"/>
      <c r="H38" s="14"/>
      <c r="I38" s="14"/>
      <c r="J38" s="14"/>
      <c r="K38" s="14">
        <v>4404</v>
      </c>
      <c r="L38" s="14">
        <v>4206</v>
      </c>
      <c r="M38" s="15"/>
      <c r="N38" s="14"/>
      <c r="O38" s="14"/>
      <c r="P38" s="14"/>
      <c r="Q38" s="14"/>
      <c r="R38" s="14"/>
      <c r="S38" s="14"/>
      <c r="T38" s="14"/>
      <c r="U38" s="14"/>
      <c r="V38" s="14"/>
      <c r="W38" s="14"/>
      <c r="X38" s="14"/>
    </row>
    <row r="39" spans="1:24" ht="22" customHeight="1">
      <c r="A39" s="3"/>
      <c r="B39" s="1"/>
      <c r="C39" s="2"/>
      <c r="D39" s="2"/>
      <c r="E39" s="2"/>
      <c r="F39" s="2"/>
      <c r="G39" s="2"/>
      <c r="H39" s="2"/>
      <c r="I39" s="2"/>
      <c r="J39" s="2"/>
      <c r="K39" s="2"/>
      <c r="L39" s="2"/>
      <c r="M39" s="2"/>
      <c r="N39" s="2"/>
      <c r="O39" s="2"/>
      <c r="P39" s="2"/>
      <c r="Q39" s="2"/>
      <c r="R39" s="2"/>
      <c r="S39" s="2"/>
      <c r="T39" s="2"/>
      <c r="U39" s="2"/>
      <c r="V39" s="2"/>
      <c r="W39" s="2"/>
      <c r="X39" s="2"/>
    </row>
    <row r="40" spans="1:24" ht="22" customHeight="1">
      <c r="A40" s="174" t="s">
        <v>845</v>
      </c>
      <c r="B40" s="174"/>
      <c r="C40" s="175"/>
      <c r="D40" s="175"/>
      <c r="E40" s="175"/>
      <c r="F40" s="175"/>
      <c r="G40" s="175"/>
      <c r="H40" s="175"/>
      <c r="I40" s="175"/>
      <c r="J40" s="175"/>
      <c r="K40" s="175"/>
      <c r="L40" s="175"/>
      <c r="M40" s="175"/>
      <c r="N40" s="175"/>
      <c r="O40" s="175"/>
      <c r="P40" s="175"/>
      <c r="Q40" s="175"/>
      <c r="R40" s="175"/>
      <c r="S40" s="175"/>
      <c r="T40" s="175"/>
      <c r="U40" s="175"/>
      <c r="V40" s="175"/>
      <c r="W40" s="175"/>
      <c r="X40" s="175"/>
    </row>
    <row r="41" spans="1:24" ht="18" customHeight="1">
      <c r="A41" s="163" t="s">
        <v>872</v>
      </c>
      <c r="B41" s="163"/>
      <c r="C41" s="173"/>
      <c r="D41" s="173"/>
      <c r="E41" s="173"/>
      <c r="F41" s="173"/>
      <c r="G41" s="173"/>
      <c r="H41" s="173"/>
      <c r="I41" s="173"/>
      <c r="J41" s="173"/>
      <c r="K41" s="173"/>
      <c r="L41" s="173"/>
      <c r="M41" s="173"/>
      <c r="N41" s="173"/>
      <c r="O41" s="173"/>
      <c r="P41" s="173"/>
      <c r="Q41" s="173"/>
      <c r="R41" s="173"/>
      <c r="S41" s="173"/>
      <c r="T41" s="173"/>
      <c r="U41" s="173"/>
      <c r="V41" s="173"/>
      <c r="W41" s="173"/>
      <c r="X41" s="173"/>
    </row>
    <row r="42" spans="1:24" ht="22" customHeight="1">
      <c r="A42" s="3" t="s">
        <v>88</v>
      </c>
      <c r="B42" s="1"/>
      <c r="C42" s="14"/>
      <c r="D42" s="14"/>
      <c r="E42" s="14"/>
      <c r="F42" s="14"/>
      <c r="G42" s="14"/>
      <c r="H42" s="14"/>
      <c r="I42" s="14">
        <v>11947</v>
      </c>
      <c r="J42" s="14">
        <v>11961</v>
      </c>
      <c r="K42" s="14">
        <v>11925</v>
      </c>
      <c r="L42" s="14">
        <v>12125</v>
      </c>
      <c r="M42" s="15"/>
      <c r="N42" s="14"/>
      <c r="O42" s="14"/>
      <c r="P42" s="14"/>
      <c r="Q42" s="14"/>
      <c r="R42" s="14">
        <v>11927</v>
      </c>
      <c r="S42" s="14">
        <v>12242</v>
      </c>
      <c r="T42" s="14">
        <v>12122</v>
      </c>
      <c r="U42" s="14"/>
      <c r="V42" s="14"/>
      <c r="W42" s="14"/>
      <c r="X42" s="14"/>
    </row>
    <row r="43" spans="1:24" ht="22" customHeight="1">
      <c r="A43" s="3" t="s">
        <v>198</v>
      </c>
      <c r="B43" s="1"/>
      <c r="C43" s="14"/>
      <c r="D43" s="14"/>
      <c r="E43" s="14"/>
      <c r="F43" s="14"/>
      <c r="G43" s="14"/>
      <c r="H43" s="14"/>
      <c r="I43" s="14">
        <v>18202</v>
      </c>
      <c r="J43" s="14">
        <v>17728</v>
      </c>
      <c r="K43" s="14">
        <v>17534</v>
      </c>
      <c r="L43" s="14">
        <v>18916</v>
      </c>
      <c r="M43" s="15"/>
      <c r="N43" s="14"/>
      <c r="O43" s="14"/>
      <c r="P43" s="14"/>
      <c r="Q43" s="14"/>
      <c r="R43" s="14">
        <v>18364</v>
      </c>
      <c r="S43" s="14">
        <v>18952</v>
      </c>
      <c r="T43" s="14">
        <v>18845</v>
      </c>
      <c r="U43" s="14"/>
      <c r="V43" s="14"/>
      <c r="W43" s="14"/>
      <c r="X43" s="14"/>
    </row>
    <row r="44" spans="1:24" ht="22" customHeight="1">
      <c r="A44" s="3" t="s">
        <v>82</v>
      </c>
      <c r="B44" s="1"/>
      <c r="C44" s="14"/>
      <c r="D44" s="14"/>
      <c r="E44" s="14"/>
      <c r="F44" s="14"/>
      <c r="G44" s="14"/>
      <c r="H44" s="14"/>
      <c r="I44" s="14"/>
      <c r="J44" s="14">
        <v>642</v>
      </c>
      <c r="K44" s="14">
        <v>791</v>
      </c>
      <c r="L44" s="14">
        <v>1422</v>
      </c>
      <c r="M44" s="15"/>
      <c r="N44" s="14"/>
      <c r="O44" s="14"/>
      <c r="P44" s="14"/>
      <c r="Q44" s="14"/>
      <c r="R44" s="14">
        <v>1415</v>
      </c>
      <c r="S44" s="14">
        <v>1423</v>
      </c>
      <c r="T44" s="14">
        <v>1421</v>
      </c>
      <c r="U44" s="14"/>
      <c r="V44" s="14"/>
      <c r="W44" s="14"/>
      <c r="X44" s="14"/>
    </row>
    <row r="45" spans="1:24" ht="22" customHeight="1">
      <c r="A45" s="3" t="s">
        <v>89</v>
      </c>
      <c r="B45" s="1"/>
      <c r="C45" s="14"/>
      <c r="D45" s="14"/>
      <c r="E45" s="14"/>
      <c r="F45" s="14"/>
      <c r="G45" s="14"/>
      <c r="H45" s="14"/>
      <c r="I45" s="14"/>
      <c r="J45" s="14">
        <v>1986</v>
      </c>
      <c r="K45" s="14">
        <v>1918</v>
      </c>
      <c r="L45" s="14">
        <v>1921</v>
      </c>
      <c r="M45" s="15"/>
      <c r="N45" s="14"/>
      <c r="O45" s="14"/>
      <c r="P45" s="14"/>
      <c r="Q45" s="14"/>
      <c r="R45" s="14">
        <v>1918</v>
      </c>
      <c r="S45" s="14">
        <v>1920</v>
      </c>
      <c r="T45" s="14">
        <v>1921</v>
      </c>
      <c r="U45" s="14"/>
      <c r="V45" s="14"/>
      <c r="W45" s="14"/>
      <c r="X45" s="14"/>
    </row>
    <row r="46" spans="1:24" ht="22" customHeight="1">
      <c r="A46" s="3" t="s">
        <v>90</v>
      </c>
      <c r="B46" s="1"/>
      <c r="C46" s="14"/>
      <c r="D46" s="14"/>
      <c r="E46" s="14"/>
      <c r="F46" s="14"/>
      <c r="G46" s="14"/>
      <c r="H46" s="14"/>
      <c r="I46" s="14"/>
      <c r="J46" s="14">
        <v>2382</v>
      </c>
      <c r="K46" s="14">
        <v>2194</v>
      </c>
      <c r="L46" s="14">
        <v>2688</v>
      </c>
      <c r="M46" s="15"/>
      <c r="N46" s="14"/>
      <c r="O46" s="14"/>
      <c r="P46" s="14"/>
      <c r="Q46" s="14"/>
      <c r="R46" s="14">
        <v>2387</v>
      </c>
      <c r="S46" s="14">
        <v>2632</v>
      </c>
      <c r="T46" s="14">
        <v>2636</v>
      </c>
      <c r="U46" s="14"/>
      <c r="V46" s="14"/>
      <c r="W46" s="14"/>
      <c r="X46" s="14"/>
    </row>
    <row r="47" spans="1:24" ht="22" customHeight="1">
      <c r="A47" s="3" t="s">
        <v>91</v>
      </c>
      <c r="B47" s="1"/>
      <c r="C47" s="14"/>
      <c r="D47" s="14"/>
      <c r="E47" s="14"/>
      <c r="F47" s="14"/>
      <c r="G47" s="14"/>
      <c r="H47" s="14"/>
      <c r="I47" s="14"/>
      <c r="J47" s="14">
        <v>393</v>
      </c>
      <c r="K47" s="14">
        <v>354</v>
      </c>
      <c r="L47" s="14">
        <v>385</v>
      </c>
      <c r="M47" s="15"/>
      <c r="N47" s="14"/>
      <c r="O47" s="14"/>
      <c r="P47" s="14"/>
      <c r="Q47" s="14"/>
      <c r="R47" s="14">
        <v>365</v>
      </c>
      <c r="S47" s="14">
        <v>372</v>
      </c>
      <c r="T47" s="14">
        <v>379</v>
      </c>
      <c r="U47" s="14"/>
      <c r="V47" s="14"/>
      <c r="W47" s="14"/>
      <c r="X47" s="14"/>
    </row>
    <row r="48" spans="1:24" ht="22" customHeight="1">
      <c r="A48" s="3" t="s">
        <v>92</v>
      </c>
      <c r="B48" s="1"/>
      <c r="C48" s="14"/>
      <c r="D48" s="14"/>
      <c r="E48" s="14"/>
      <c r="F48" s="14"/>
      <c r="G48" s="14"/>
      <c r="H48" s="14"/>
      <c r="I48" s="14"/>
      <c r="J48" s="14">
        <v>364</v>
      </c>
      <c r="K48" s="14">
        <v>352</v>
      </c>
      <c r="L48" s="14">
        <v>375</v>
      </c>
      <c r="M48" s="15"/>
      <c r="N48" s="14"/>
      <c r="O48" s="14"/>
      <c r="P48" s="14"/>
      <c r="Q48" s="14"/>
      <c r="R48" s="14">
        <v>352</v>
      </c>
      <c r="S48" s="14">
        <v>363</v>
      </c>
      <c r="T48" s="14">
        <v>366</v>
      </c>
      <c r="U48" s="14"/>
      <c r="V48" s="14"/>
      <c r="W48" s="14"/>
      <c r="X48" s="14"/>
    </row>
    <row r="49" spans="1:24" ht="22" customHeight="1">
      <c r="A49" s="3"/>
      <c r="B49" s="1"/>
      <c r="C49" s="2"/>
      <c r="D49" s="2"/>
      <c r="E49" s="2"/>
      <c r="F49" s="2"/>
      <c r="G49" s="2"/>
      <c r="H49" s="2"/>
      <c r="I49" s="2"/>
      <c r="J49" s="2"/>
      <c r="K49" s="2"/>
      <c r="L49" s="2"/>
      <c r="M49" s="2"/>
      <c r="N49" s="2"/>
      <c r="O49" s="2"/>
      <c r="P49" s="2"/>
      <c r="Q49" s="2"/>
      <c r="R49" s="2"/>
      <c r="S49" s="2"/>
      <c r="T49" s="2"/>
      <c r="U49" s="2"/>
      <c r="V49" s="2"/>
      <c r="W49" s="2"/>
      <c r="X49" s="2"/>
    </row>
    <row r="50" spans="1:24" ht="22" customHeight="1">
      <c r="A50" s="174" t="s">
        <v>846</v>
      </c>
      <c r="B50" s="174"/>
      <c r="C50" s="175"/>
      <c r="D50" s="175"/>
      <c r="E50" s="175"/>
      <c r="F50" s="175"/>
      <c r="G50" s="175"/>
      <c r="H50" s="175"/>
      <c r="I50" s="175"/>
      <c r="J50" s="175"/>
      <c r="K50" s="175"/>
      <c r="L50" s="175"/>
      <c r="M50" s="175"/>
      <c r="N50" s="175"/>
      <c r="O50" s="175"/>
      <c r="P50" s="175"/>
      <c r="Q50" s="175"/>
      <c r="R50" s="175"/>
      <c r="S50" s="175"/>
      <c r="T50" s="175"/>
      <c r="U50" s="175"/>
      <c r="V50" s="175"/>
      <c r="W50" s="175"/>
      <c r="X50" s="175"/>
    </row>
    <row r="51" spans="1:24" ht="18" customHeight="1">
      <c r="A51" s="163" t="s">
        <v>872</v>
      </c>
      <c r="B51" s="163"/>
      <c r="C51" s="173"/>
      <c r="D51" s="173"/>
      <c r="E51" s="173"/>
      <c r="F51" s="173"/>
      <c r="G51" s="173"/>
      <c r="H51" s="173"/>
      <c r="I51" s="173"/>
      <c r="J51" s="173"/>
      <c r="K51" s="173"/>
      <c r="L51" s="173"/>
      <c r="M51" s="173"/>
      <c r="N51" s="173"/>
      <c r="O51" s="173"/>
      <c r="P51" s="173"/>
      <c r="Q51" s="173"/>
      <c r="R51" s="173"/>
      <c r="S51" s="173"/>
      <c r="T51" s="173"/>
      <c r="U51" s="173"/>
      <c r="V51" s="173"/>
      <c r="W51" s="173"/>
      <c r="X51" s="173"/>
    </row>
    <row r="52" spans="1:24" ht="22" customHeight="1">
      <c r="A52" s="3" t="s">
        <v>107</v>
      </c>
      <c r="B52" s="1"/>
      <c r="C52" s="14"/>
      <c r="D52" s="14"/>
      <c r="E52" s="14"/>
      <c r="F52" s="14"/>
      <c r="G52" s="14"/>
      <c r="H52" s="14"/>
      <c r="I52" s="14">
        <v>451</v>
      </c>
      <c r="J52" s="14">
        <v>453</v>
      </c>
      <c r="K52" s="14">
        <v>602</v>
      </c>
      <c r="L52" s="14"/>
      <c r="M52" s="15"/>
      <c r="N52" s="14"/>
      <c r="O52" s="14"/>
      <c r="P52" s="14"/>
      <c r="Q52" s="14"/>
      <c r="R52" s="14"/>
      <c r="S52" s="14"/>
      <c r="T52" s="14"/>
      <c r="U52" s="14"/>
      <c r="V52" s="14"/>
      <c r="W52" s="14"/>
      <c r="X52" s="14"/>
    </row>
    <row r="53" spans="1:24" ht="22" customHeight="1">
      <c r="A53" s="3" t="s">
        <v>108</v>
      </c>
      <c r="B53" s="1"/>
      <c r="C53" s="14"/>
      <c r="D53" s="14"/>
      <c r="E53" s="14"/>
      <c r="F53" s="14"/>
      <c r="G53" s="14"/>
      <c r="H53" s="14"/>
      <c r="I53" s="14">
        <v>189</v>
      </c>
      <c r="J53" s="14">
        <v>189</v>
      </c>
      <c r="K53" s="14">
        <v>189</v>
      </c>
      <c r="L53" s="14"/>
      <c r="M53" s="15"/>
      <c r="N53" s="14"/>
      <c r="O53" s="14"/>
      <c r="P53" s="14"/>
      <c r="Q53" s="14"/>
      <c r="R53" s="14"/>
      <c r="S53" s="14"/>
      <c r="T53" s="14"/>
      <c r="U53" s="14"/>
      <c r="V53" s="14"/>
      <c r="W53" s="14"/>
      <c r="X53" s="14"/>
    </row>
    <row r="54" spans="1:24" ht="22" customHeight="1">
      <c r="A54" s="3" t="s">
        <v>115</v>
      </c>
      <c r="B54" s="1"/>
      <c r="C54" s="14"/>
      <c r="D54" s="14"/>
      <c r="E54" s="14"/>
      <c r="F54" s="14"/>
      <c r="G54" s="14"/>
      <c r="H54" s="14"/>
      <c r="I54" s="14">
        <v>436</v>
      </c>
      <c r="J54" s="14">
        <v>460</v>
      </c>
      <c r="K54" s="14">
        <v>413</v>
      </c>
      <c r="L54" s="14"/>
      <c r="M54" s="15"/>
      <c r="N54" s="14"/>
      <c r="O54" s="14"/>
      <c r="P54" s="14"/>
      <c r="Q54" s="14"/>
      <c r="R54" s="14"/>
      <c r="S54" s="14"/>
      <c r="T54" s="14"/>
      <c r="U54" s="14"/>
      <c r="V54" s="14"/>
      <c r="W54" s="14"/>
      <c r="X54" s="14"/>
    </row>
    <row r="55" spans="1:24" ht="22" customHeight="1">
      <c r="A55" s="3" t="s">
        <v>116</v>
      </c>
      <c r="B55" s="1"/>
      <c r="C55" s="14"/>
      <c r="D55" s="14"/>
      <c r="E55" s="14"/>
      <c r="F55" s="14"/>
      <c r="G55" s="14"/>
      <c r="H55" s="14"/>
      <c r="I55" s="14">
        <v>3646</v>
      </c>
      <c r="J55" s="14">
        <v>3166</v>
      </c>
      <c r="K55" s="14">
        <v>2946</v>
      </c>
      <c r="L55" s="14"/>
      <c r="M55" s="15"/>
      <c r="N55" s="14"/>
      <c r="O55" s="14"/>
      <c r="P55" s="14"/>
      <c r="Q55" s="14"/>
      <c r="R55" s="14"/>
      <c r="S55" s="14"/>
      <c r="T55" s="14"/>
      <c r="U55" s="14"/>
      <c r="V55" s="14"/>
      <c r="W55" s="14"/>
      <c r="X55" s="14"/>
    </row>
    <row r="56" spans="1:24" ht="22" customHeight="1">
      <c r="A56" s="3" t="s">
        <v>117</v>
      </c>
      <c r="B56" s="1"/>
      <c r="C56" s="14"/>
      <c r="D56" s="14"/>
      <c r="E56" s="14"/>
      <c r="F56" s="14"/>
      <c r="G56" s="14"/>
      <c r="H56" s="14"/>
      <c r="I56" s="14">
        <v>1015</v>
      </c>
      <c r="J56" s="14">
        <v>991</v>
      </c>
      <c r="K56" s="14">
        <v>970</v>
      </c>
      <c r="L56" s="14"/>
      <c r="M56" s="15"/>
      <c r="N56" s="14"/>
      <c r="O56" s="14"/>
      <c r="P56" s="14"/>
      <c r="Q56" s="14"/>
      <c r="R56" s="14"/>
      <c r="S56" s="14"/>
      <c r="T56" s="14"/>
      <c r="U56" s="14"/>
      <c r="V56" s="14"/>
      <c r="W56" s="14"/>
      <c r="X56" s="14"/>
    </row>
    <row r="57" spans="1:24" ht="22" customHeight="1">
      <c r="A57" s="3" t="s">
        <v>118</v>
      </c>
      <c r="B57" s="1"/>
      <c r="C57" s="14"/>
      <c r="D57" s="14"/>
      <c r="E57" s="14"/>
      <c r="F57" s="14"/>
      <c r="G57" s="14"/>
      <c r="H57" s="14"/>
      <c r="I57" s="14">
        <v>518</v>
      </c>
      <c r="J57" s="14">
        <v>508</v>
      </c>
      <c r="K57" s="14">
        <v>489</v>
      </c>
      <c r="L57" s="14"/>
      <c r="M57" s="15"/>
      <c r="N57" s="14"/>
      <c r="O57" s="14"/>
      <c r="P57" s="14"/>
      <c r="Q57" s="14"/>
      <c r="R57" s="14"/>
      <c r="S57" s="14"/>
      <c r="T57" s="14"/>
      <c r="U57" s="14"/>
      <c r="V57" s="14"/>
      <c r="W57" s="14"/>
      <c r="X57" s="14"/>
    </row>
    <row r="58" spans="1:24" ht="22" customHeight="1">
      <c r="A58" s="3"/>
      <c r="B58" s="1"/>
      <c r="C58" s="2"/>
      <c r="D58" s="2"/>
      <c r="E58" s="2"/>
      <c r="F58" s="2"/>
      <c r="G58" s="2"/>
      <c r="H58" s="2"/>
      <c r="I58" s="2"/>
      <c r="J58" s="2"/>
      <c r="K58" s="2"/>
      <c r="L58" s="2"/>
      <c r="M58" s="2"/>
      <c r="N58" s="2"/>
      <c r="O58" s="2"/>
      <c r="P58" s="2"/>
      <c r="Q58" s="2"/>
      <c r="R58" s="2"/>
      <c r="S58" s="2"/>
      <c r="T58" s="2"/>
      <c r="U58" s="2"/>
      <c r="V58" s="2"/>
      <c r="W58" s="2"/>
      <c r="X58" s="2"/>
    </row>
    <row r="59" spans="1:24" ht="22" customHeight="1">
      <c r="A59" s="174" t="s">
        <v>847</v>
      </c>
      <c r="B59" s="174"/>
      <c r="C59" s="175"/>
      <c r="D59" s="175"/>
      <c r="E59" s="175"/>
      <c r="F59" s="175"/>
      <c r="G59" s="175"/>
      <c r="H59" s="175"/>
      <c r="I59" s="175"/>
      <c r="J59" s="175"/>
      <c r="K59" s="175"/>
      <c r="L59" s="175"/>
      <c r="M59" s="175"/>
      <c r="N59" s="175"/>
      <c r="O59" s="175"/>
      <c r="P59" s="175"/>
      <c r="Q59" s="175"/>
      <c r="R59" s="175"/>
      <c r="S59" s="175"/>
      <c r="T59" s="175"/>
      <c r="U59" s="175"/>
      <c r="V59" s="175"/>
      <c r="W59" s="175"/>
      <c r="X59" s="175"/>
    </row>
    <row r="60" spans="1:24" ht="22" customHeight="1">
      <c r="A60" s="3" t="s">
        <v>873</v>
      </c>
      <c r="B60" s="1"/>
      <c r="C60" s="14"/>
      <c r="D60" s="14"/>
      <c r="E60" s="14"/>
      <c r="F60" s="14"/>
      <c r="G60" s="14"/>
      <c r="H60" s="14"/>
      <c r="I60" s="14"/>
      <c r="J60" s="14">
        <v>38</v>
      </c>
      <c r="K60" s="14">
        <v>162</v>
      </c>
      <c r="L60" s="14">
        <v>804</v>
      </c>
      <c r="M60" s="15"/>
      <c r="N60" s="14"/>
      <c r="O60" s="14"/>
      <c r="P60" s="14"/>
      <c r="Q60" s="14"/>
      <c r="R60" s="14">
        <v>624</v>
      </c>
      <c r="S60" s="14">
        <v>919</v>
      </c>
      <c r="T60" s="14">
        <v>804</v>
      </c>
      <c r="U60" s="14"/>
      <c r="V60" s="14"/>
      <c r="W60" s="14"/>
      <c r="X60" s="14"/>
    </row>
    <row r="61" spans="1:24" ht="22" customHeight="1">
      <c r="A61" s="3" t="s">
        <v>874</v>
      </c>
      <c r="B61" s="1"/>
      <c r="C61" s="14"/>
      <c r="D61" s="14"/>
      <c r="E61" s="14"/>
      <c r="F61" s="14"/>
      <c r="G61" s="14"/>
      <c r="H61" s="14"/>
      <c r="I61" s="14"/>
      <c r="J61" s="14">
        <v>-290</v>
      </c>
      <c r="K61" s="14"/>
      <c r="L61" s="14"/>
      <c r="M61" s="15"/>
      <c r="N61" s="14"/>
      <c r="O61" s="14"/>
      <c r="P61" s="14"/>
      <c r="Q61" s="14"/>
      <c r="R61" s="14"/>
      <c r="S61" s="14"/>
      <c r="T61" s="14"/>
      <c r="U61" s="14"/>
      <c r="V61" s="14"/>
      <c r="W61" s="14"/>
      <c r="X61" s="14"/>
    </row>
    <row r="62" spans="1:24" ht="22" customHeight="1">
      <c r="A62" s="3" t="s">
        <v>454</v>
      </c>
      <c r="B62" s="1"/>
      <c r="C62" s="14"/>
      <c r="D62" s="14"/>
      <c r="E62" s="14"/>
      <c r="F62" s="14"/>
      <c r="G62" s="14"/>
      <c r="H62" s="14"/>
      <c r="I62" s="14"/>
      <c r="J62" s="14">
        <v>-222</v>
      </c>
      <c r="K62" s="14">
        <v>-356</v>
      </c>
      <c r="L62" s="14">
        <v>578</v>
      </c>
      <c r="M62" s="15"/>
      <c r="N62" s="14"/>
      <c r="O62" s="14"/>
      <c r="P62" s="14"/>
      <c r="Q62" s="14"/>
      <c r="R62" s="14">
        <v>206</v>
      </c>
      <c r="S62" s="14">
        <v>499</v>
      </c>
      <c r="T62" s="14">
        <v>507</v>
      </c>
      <c r="U62" s="14"/>
      <c r="V62" s="14"/>
      <c r="W62" s="14"/>
      <c r="X62" s="14"/>
    </row>
    <row r="63" spans="1:24" ht="22" customHeight="1">
      <c r="A63" s="3"/>
      <c r="B63" s="1"/>
      <c r="C63" s="2"/>
      <c r="D63" s="2"/>
      <c r="E63" s="2"/>
      <c r="F63" s="2"/>
      <c r="G63" s="2"/>
      <c r="H63" s="2"/>
      <c r="I63" s="2"/>
      <c r="J63" s="2"/>
      <c r="K63" s="2"/>
      <c r="L63" s="2"/>
      <c r="M63" s="2"/>
      <c r="N63" s="2"/>
      <c r="O63" s="2"/>
      <c r="P63" s="2"/>
      <c r="Q63" s="2"/>
      <c r="R63" s="2"/>
      <c r="S63" s="2"/>
      <c r="T63" s="2"/>
      <c r="U63" s="2"/>
      <c r="V63" s="2"/>
      <c r="W63" s="2"/>
      <c r="X63" s="2"/>
    </row>
    <row r="64" spans="1:24" ht="22" customHeight="1">
      <c r="A64" s="174" t="s">
        <v>848</v>
      </c>
      <c r="B64" s="174"/>
      <c r="C64" s="175"/>
      <c r="D64" s="175"/>
      <c r="E64" s="175"/>
      <c r="F64" s="175"/>
      <c r="G64" s="175"/>
      <c r="H64" s="175"/>
      <c r="I64" s="175"/>
      <c r="J64" s="175"/>
      <c r="K64" s="175"/>
      <c r="L64" s="175"/>
      <c r="M64" s="175"/>
      <c r="N64" s="175"/>
      <c r="O64" s="175"/>
      <c r="P64" s="175"/>
      <c r="Q64" s="175"/>
      <c r="R64" s="175"/>
      <c r="S64" s="175"/>
      <c r="T64" s="175"/>
      <c r="U64" s="175"/>
      <c r="V64" s="175"/>
      <c r="W64" s="175"/>
      <c r="X64" s="175"/>
    </row>
    <row r="65" spans="1:24" ht="18" customHeight="1">
      <c r="A65" s="163" t="s">
        <v>875</v>
      </c>
      <c r="B65" s="163"/>
      <c r="C65" s="173"/>
      <c r="D65" s="173"/>
      <c r="E65" s="173"/>
      <c r="F65" s="173"/>
      <c r="G65" s="173"/>
      <c r="H65" s="173"/>
      <c r="I65" s="173"/>
      <c r="J65" s="173"/>
      <c r="K65" s="173"/>
      <c r="L65" s="173"/>
      <c r="M65" s="173"/>
      <c r="N65" s="173"/>
      <c r="O65" s="173"/>
      <c r="P65" s="173"/>
      <c r="Q65" s="173"/>
      <c r="R65" s="173"/>
      <c r="S65" s="173"/>
      <c r="T65" s="173"/>
      <c r="U65" s="173"/>
      <c r="V65" s="173"/>
      <c r="W65" s="173"/>
      <c r="X65" s="173"/>
    </row>
    <row r="66" spans="1:24" ht="24" customHeight="1">
      <c r="A66" s="16" t="s">
        <v>876</v>
      </c>
      <c r="B66" s="17"/>
      <c r="C66" s="18">
        <v>160</v>
      </c>
      <c r="D66" s="18">
        <v>295</v>
      </c>
      <c r="E66" s="18">
        <v>138</v>
      </c>
      <c r="F66" s="18"/>
      <c r="G66" s="18"/>
      <c r="H66" s="18"/>
      <c r="I66" s="18"/>
      <c r="J66" s="18"/>
      <c r="K66" s="18"/>
      <c r="L66" s="18"/>
      <c r="M66" s="20"/>
      <c r="N66" s="18"/>
      <c r="O66" s="18"/>
      <c r="P66" s="18"/>
      <c r="Q66" s="18"/>
      <c r="R66" s="18"/>
      <c r="S66" s="18"/>
      <c r="T66" s="18"/>
      <c r="U66" s="18"/>
      <c r="V66" s="18"/>
      <c r="W66" s="18"/>
      <c r="X66" s="18"/>
    </row>
    <row r="67" spans="1:24" ht="36" customHeight="1">
      <c r="A67" s="16" t="s">
        <v>877</v>
      </c>
      <c r="B67" s="17"/>
      <c r="C67" s="18">
        <v>172</v>
      </c>
      <c r="D67" s="18"/>
      <c r="E67" s="18"/>
      <c r="F67" s="18"/>
      <c r="G67" s="18"/>
      <c r="H67" s="18"/>
      <c r="I67" s="18"/>
      <c r="J67" s="18"/>
      <c r="K67" s="18"/>
      <c r="L67" s="18"/>
      <c r="M67" s="20"/>
      <c r="N67" s="18"/>
      <c r="O67" s="18"/>
      <c r="P67" s="18"/>
      <c r="Q67" s="18"/>
      <c r="R67" s="18"/>
      <c r="S67" s="18"/>
      <c r="T67" s="18"/>
      <c r="U67" s="18"/>
      <c r="V67" s="18"/>
      <c r="W67" s="18"/>
      <c r="X67" s="18"/>
    </row>
    <row r="68" spans="1:24" ht="22" customHeight="1">
      <c r="A68" s="3" t="s">
        <v>878</v>
      </c>
      <c r="B68" s="1"/>
      <c r="C68" s="14">
        <v>6</v>
      </c>
      <c r="D68" s="14">
        <v>45</v>
      </c>
      <c r="E68" s="14"/>
      <c r="F68" s="14"/>
      <c r="G68" s="14"/>
      <c r="H68" s="14"/>
      <c r="I68" s="14"/>
      <c r="J68" s="14"/>
      <c r="K68" s="14"/>
      <c r="L68" s="14"/>
      <c r="M68" s="15"/>
      <c r="N68" s="14"/>
      <c r="O68" s="14"/>
      <c r="P68" s="14"/>
      <c r="Q68" s="14"/>
      <c r="R68" s="14"/>
      <c r="S68" s="14"/>
      <c r="T68" s="14"/>
      <c r="U68" s="14"/>
      <c r="V68" s="14"/>
      <c r="W68" s="14"/>
      <c r="X68" s="14"/>
    </row>
    <row r="69" spans="1:24" ht="22" customHeight="1">
      <c r="A69" s="3" t="s">
        <v>879</v>
      </c>
      <c r="B69" s="1"/>
      <c r="C69" s="14">
        <v>4</v>
      </c>
      <c r="D69" s="14">
        <v>5</v>
      </c>
      <c r="E69" s="14"/>
      <c r="F69" s="14"/>
      <c r="G69" s="14"/>
      <c r="H69" s="14"/>
      <c r="I69" s="14"/>
      <c r="J69" s="14"/>
      <c r="K69" s="14"/>
      <c r="L69" s="14"/>
      <c r="M69" s="15"/>
      <c r="N69" s="14"/>
      <c r="O69" s="14"/>
      <c r="P69" s="14"/>
      <c r="Q69" s="14"/>
      <c r="R69" s="14"/>
      <c r="S69" s="14"/>
      <c r="T69" s="14"/>
      <c r="U69" s="14"/>
      <c r="V69" s="14"/>
      <c r="W69" s="14"/>
      <c r="X69" s="14"/>
    </row>
    <row r="70" spans="1:24" ht="22" customHeight="1">
      <c r="A70" s="3" t="s">
        <v>880</v>
      </c>
      <c r="B70" s="1"/>
      <c r="C70" s="14">
        <v>10</v>
      </c>
      <c r="D70" s="14">
        <v>50</v>
      </c>
      <c r="E70" s="14"/>
      <c r="F70" s="14"/>
      <c r="G70" s="14"/>
      <c r="H70" s="14"/>
      <c r="I70" s="14"/>
      <c r="J70" s="14"/>
      <c r="K70" s="14"/>
      <c r="L70" s="14"/>
      <c r="M70" s="15"/>
      <c r="N70" s="14"/>
      <c r="O70" s="14"/>
      <c r="P70" s="14"/>
      <c r="Q70" s="14"/>
      <c r="R70" s="14"/>
      <c r="S70" s="14"/>
      <c r="T70" s="14"/>
      <c r="U70" s="14"/>
      <c r="V70" s="14"/>
      <c r="W70" s="14"/>
      <c r="X70" s="14"/>
    </row>
    <row r="71" spans="1:24" ht="36" customHeight="1">
      <c r="A71" s="3" t="s">
        <v>881</v>
      </c>
      <c r="B71" s="1"/>
      <c r="C71" s="14">
        <v>88</v>
      </c>
      <c r="D71" s="14">
        <v>280</v>
      </c>
      <c r="E71" s="14"/>
      <c r="F71" s="14"/>
      <c r="G71" s="14"/>
      <c r="H71" s="14"/>
      <c r="I71" s="14"/>
      <c r="J71" s="14"/>
      <c r="K71" s="14"/>
      <c r="L71" s="14"/>
      <c r="M71" s="15"/>
      <c r="N71" s="14"/>
      <c r="O71" s="14"/>
      <c r="P71" s="14"/>
      <c r="Q71" s="14"/>
      <c r="R71" s="14"/>
      <c r="S71" s="14"/>
      <c r="T71" s="14"/>
      <c r="U71" s="14"/>
      <c r="V71" s="14"/>
      <c r="W71" s="14"/>
      <c r="X71" s="14"/>
    </row>
    <row r="72" spans="1:24" ht="22" customHeight="1">
      <c r="A72" s="3" t="s">
        <v>882</v>
      </c>
      <c r="B72" s="1"/>
      <c r="C72" s="14">
        <v>36</v>
      </c>
      <c r="D72" s="14">
        <v>-6</v>
      </c>
      <c r="E72" s="14"/>
      <c r="F72" s="14"/>
      <c r="G72" s="14"/>
      <c r="H72" s="14"/>
      <c r="I72" s="14"/>
      <c r="J72" s="14"/>
      <c r="K72" s="14"/>
      <c r="L72" s="14"/>
      <c r="M72" s="15"/>
      <c r="N72" s="14"/>
      <c r="O72" s="14"/>
      <c r="P72" s="14"/>
      <c r="Q72" s="14"/>
      <c r="R72" s="14"/>
      <c r="S72" s="14"/>
      <c r="T72" s="14"/>
      <c r="U72" s="14"/>
      <c r="V72" s="14"/>
      <c r="W72" s="14"/>
      <c r="X72" s="14"/>
    </row>
    <row r="73" spans="1:24" ht="22" customHeight="1">
      <c r="A73" s="3" t="s">
        <v>198</v>
      </c>
      <c r="B73" s="1"/>
      <c r="C73" s="14">
        <v>160</v>
      </c>
      <c r="D73" s="14">
        <v>295</v>
      </c>
      <c r="E73" s="14"/>
      <c r="F73" s="14">
        <v>55</v>
      </c>
      <c r="G73" s="14">
        <v>255</v>
      </c>
      <c r="H73" s="14">
        <v>-4</v>
      </c>
      <c r="I73" s="14">
        <v>80</v>
      </c>
      <c r="J73" s="14"/>
      <c r="K73" s="14"/>
      <c r="L73" s="14"/>
      <c r="M73" s="15"/>
      <c r="N73" s="14"/>
      <c r="O73" s="14"/>
      <c r="P73" s="14"/>
      <c r="Q73" s="14"/>
      <c r="R73" s="14"/>
      <c r="S73" s="14"/>
      <c r="T73" s="14">
        <v>221</v>
      </c>
      <c r="U73" s="14"/>
      <c r="V73" s="14"/>
      <c r="W73" s="14"/>
      <c r="X73" s="14">
        <v>-96</v>
      </c>
    </row>
    <row r="74" spans="1:24" ht="36" customHeight="1">
      <c r="A74" s="3" t="s">
        <v>883</v>
      </c>
      <c r="B74" s="1"/>
      <c r="C74" s="14">
        <v>17</v>
      </c>
      <c r="D74" s="14">
        <v>62</v>
      </c>
      <c r="E74" s="14"/>
      <c r="F74" s="14"/>
      <c r="G74" s="14"/>
      <c r="H74" s="14"/>
      <c r="I74" s="14"/>
      <c r="J74" s="14"/>
      <c r="K74" s="14"/>
      <c r="L74" s="14"/>
      <c r="M74" s="15"/>
      <c r="N74" s="14"/>
      <c r="O74" s="14"/>
      <c r="P74" s="14"/>
      <c r="Q74" s="14"/>
      <c r="R74" s="14"/>
      <c r="S74" s="14"/>
      <c r="T74" s="14"/>
      <c r="U74" s="14"/>
      <c r="V74" s="14"/>
      <c r="W74" s="14"/>
      <c r="X74" s="14"/>
    </row>
    <row r="75" spans="1:24" ht="36" customHeight="1">
      <c r="A75" s="3" t="s">
        <v>884</v>
      </c>
      <c r="B75" s="1"/>
      <c r="C75" s="14">
        <v>0</v>
      </c>
      <c r="D75" s="14">
        <v>0</v>
      </c>
      <c r="E75" s="14"/>
      <c r="F75" s="14"/>
      <c r="G75" s="14"/>
      <c r="H75" s="14"/>
      <c r="I75" s="14"/>
      <c r="J75" s="14"/>
      <c r="K75" s="14"/>
      <c r="L75" s="14"/>
      <c r="M75" s="15"/>
      <c r="N75" s="14"/>
      <c r="O75" s="14"/>
      <c r="P75" s="14"/>
      <c r="Q75" s="14"/>
      <c r="R75" s="14"/>
      <c r="S75" s="14"/>
      <c r="T75" s="14"/>
      <c r="U75" s="14"/>
      <c r="V75" s="14"/>
      <c r="W75" s="14"/>
      <c r="X75" s="14"/>
    </row>
    <row r="76" spans="1:24" ht="36" customHeight="1">
      <c r="A76" s="3" t="s">
        <v>885</v>
      </c>
      <c r="B76" s="1"/>
      <c r="C76" s="14">
        <v>48</v>
      </c>
      <c r="D76" s="14">
        <v>53</v>
      </c>
      <c r="E76" s="14"/>
      <c r="F76" s="14"/>
      <c r="G76" s="14"/>
      <c r="H76" s="14"/>
      <c r="I76" s="14"/>
      <c r="J76" s="14"/>
      <c r="K76" s="14"/>
      <c r="L76" s="14"/>
      <c r="M76" s="15"/>
      <c r="N76" s="14"/>
      <c r="O76" s="14"/>
      <c r="P76" s="14"/>
      <c r="Q76" s="14"/>
      <c r="R76" s="14"/>
      <c r="S76" s="14"/>
      <c r="T76" s="14"/>
      <c r="U76" s="14"/>
      <c r="V76" s="14"/>
      <c r="W76" s="14"/>
      <c r="X76" s="14"/>
    </row>
    <row r="77" spans="1:24" ht="22" customHeight="1">
      <c r="A77" s="3" t="s">
        <v>886</v>
      </c>
      <c r="B77" s="1"/>
      <c r="C77" s="14">
        <v>65</v>
      </c>
      <c r="D77" s="14">
        <v>115</v>
      </c>
      <c r="E77" s="14"/>
      <c r="F77" s="14"/>
      <c r="G77" s="14"/>
      <c r="H77" s="14"/>
      <c r="I77" s="14"/>
      <c r="J77" s="14"/>
      <c r="K77" s="14"/>
      <c r="L77" s="14"/>
      <c r="M77" s="15"/>
      <c r="N77" s="14"/>
      <c r="O77" s="14"/>
      <c r="P77" s="14"/>
      <c r="Q77" s="14"/>
      <c r="R77" s="14"/>
      <c r="S77" s="14"/>
      <c r="T77" s="14"/>
      <c r="U77" s="14"/>
      <c r="V77" s="14"/>
      <c r="W77" s="14"/>
      <c r="X77" s="14"/>
    </row>
    <row r="78" spans="1:24" ht="36" customHeight="1">
      <c r="A78" s="3" t="s">
        <v>887</v>
      </c>
      <c r="B78" s="1"/>
      <c r="C78" s="14">
        <v>347</v>
      </c>
      <c r="D78" s="14">
        <v>627</v>
      </c>
      <c r="E78" s="14"/>
      <c r="F78" s="14"/>
      <c r="G78" s="14"/>
      <c r="H78" s="14"/>
      <c r="I78" s="14"/>
      <c r="J78" s="14"/>
      <c r="K78" s="14"/>
      <c r="L78" s="14"/>
      <c r="M78" s="15"/>
      <c r="N78" s="14"/>
      <c r="O78" s="14"/>
      <c r="P78" s="14"/>
      <c r="Q78" s="14"/>
      <c r="R78" s="14"/>
      <c r="S78" s="14"/>
      <c r="T78" s="14"/>
      <c r="U78" s="14"/>
      <c r="V78" s="14"/>
      <c r="W78" s="14"/>
      <c r="X78" s="14"/>
    </row>
    <row r="79" spans="1:24" ht="36" customHeight="1">
      <c r="A79" s="3" t="s">
        <v>888</v>
      </c>
      <c r="B79" s="1"/>
      <c r="C79" s="14">
        <v>133</v>
      </c>
      <c r="D79" s="14">
        <v>154</v>
      </c>
      <c r="E79" s="14"/>
      <c r="F79" s="14"/>
      <c r="G79" s="14"/>
      <c r="H79" s="14"/>
      <c r="I79" s="14"/>
      <c r="J79" s="14"/>
      <c r="K79" s="14"/>
      <c r="L79" s="14"/>
      <c r="M79" s="15"/>
      <c r="N79" s="14"/>
      <c r="O79" s="14"/>
      <c r="P79" s="14"/>
      <c r="Q79" s="14"/>
      <c r="R79" s="14"/>
      <c r="S79" s="14"/>
      <c r="T79" s="14"/>
      <c r="U79" s="14"/>
      <c r="V79" s="14"/>
      <c r="W79" s="14"/>
      <c r="X79" s="14"/>
    </row>
    <row r="80" spans="1:24" ht="36" customHeight="1">
      <c r="A80" s="3" t="s">
        <v>889</v>
      </c>
      <c r="B80" s="1"/>
      <c r="C80" s="14">
        <v>259</v>
      </c>
      <c r="D80" s="14">
        <v>253</v>
      </c>
      <c r="E80" s="14"/>
      <c r="F80" s="14"/>
      <c r="G80" s="14"/>
      <c r="H80" s="14"/>
      <c r="I80" s="14"/>
      <c r="J80" s="14"/>
      <c r="K80" s="14"/>
      <c r="L80" s="14"/>
      <c r="M80" s="15"/>
      <c r="N80" s="14"/>
      <c r="O80" s="14"/>
      <c r="P80" s="14"/>
      <c r="Q80" s="14"/>
      <c r="R80" s="14"/>
      <c r="S80" s="14"/>
      <c r="T80" s="14"/>
      <c r="U80" s="14"/>
      <c r="V80" s="14"/>
      <c r="W80" s="14"/>
      <c r="X80" s="14"/>
    </row>
    <row r="81" spans="1:24" ht="36" customHeight="1">
      <c r="A81" s="3" t="s">
        <v>890</v>
      </c>
      <c r="B81" s="1"/>
      <c r="C81" s="14">
        <v>739</v>
      </c>
      <c r="D81" s="14">
        <v>1034</v>
      </c>
      <c r="E81" s="14"/>
      <c r="F81" s="14"/>
      <c r="G81" s="14"/>
      <c r="H81" s="14"/>
      <c r="I81" s="14"/>
      <c r="J81" s="14"/>
      <c r="K81" s="14"/>
      <c r="L81" s="14"/>
      <c r="M81" s="15"/>
      <c r="N81" s="14"/>
      <c r="O81" s="14"/>
      <c r="P81" s="14"/>
      <c r="Q81" s="14"/>
      <c r="R81" s="14"/>
      <c r="S81" s="14"/>
      <c r="T81" s="14"/>
      <c r="U81" s="14"/>
      <c r="V81" s="14"/>
      <c r="W81" s="14"/>
      <c r="X81" s="14"/>
    </row>
    <row r="82" spans="1:24" ht="36" customHeight="1">
      <c r="A82" s="3" t="s">
        <v>891</v>
      </c>
      <c r="B82" s="1"/>
      <c r="C82" s="14">
        <v>88</v>
      </c>
      <c r="D82" s="14">
        <v>212</v>
      </c>
      <c r="E82" s="14">
        <v>105</v>
      </c>
      <c r="F82" s="14">
        <v>128</v>
      </c>
      <c r="G82" s="14">
        <v>122</v>
      </c>
      <c r="H82" s="14">
        <v>64</v>
      </c>
      <c r="I82" s="14">
        <v>188</v>
      </c>
      <c r="J82" s="14">
        <v>188</v>
      </c>
      <c r="K82" s="14">
        <v>338</v>
      </c>
      <c r="L82" s="14">
        <v>308</v>
      </c>
      <c r="M82" s="15"/>
      <c r="N82" s="14">
        <v>216</v>
      </c>
      <c r="O82" s="14">
        <v>175</v>
      </c>
      <c r="P82" s="14">
        <v>273</v>
      </c>
      <c r="Q82" s="14"/>
      <c r="R82" s="14">
        <v>320</v>
      </c>
      <c r="S82" s="14">
        <v>300</v>
      </c>
      <c r="T82" s="14">
        <v>260</v>
      </c>
      <c r="U82" s="14"/>
      <c r="V82" s="14">
        <v>246</v>
      </c>
      <c r="W82" s="14">
        <v>186</v>
      </c>
      <c r="X82" s="14">
        <v>279</v>
      </c>
    </row>
    <row r="83" spans="1:24" ht="22" customHeight="1">
      <c r="A83" s="3" t="s">
        <v>892</v>
      </c>
      <c r="B83" s="1"/>
      <c r="C83" s="14">
        <v>0</v>
      </c>
      <c r="D83" s="14">
        <v>0</v>
      </c>
      <c r="E83" s="14">
        <v>0</v>
      </c>
      <c r="F83" s="14">
        <v>0</v>
      </c>
      <c r="G83" s="14">
        <v>0</v>
      </c>
      <c r="H83" s="14">
        <v>0</v>
      </c>
      <c r="I83" s="14">
        <v>0</v>
      </c>
      <c r="J83" s="14">
        <v>0</v>
      </c>
      <c r="K83" s="14">
        <v>0</v>
      </c>
      <c r="L83" s="14">
        <v>0</v>
      </c>
      <c r="M83" s="15"/>
      <c r="N83" s="14">
        <v>0</v>
      </c>
      <c r="O83" s="14">
        <v>0</v>
      </c>
      <c r="P83" s="14">
        <v>0</v>
      </c>
      <c r="Q83" s="14"/>
      <c r="R83" s="14">
        <v>0</v>
      </c>
      <c r="S83" s="14">
        <v>0</v>
      </c>
      <c r="T83" s="14">
        <v>0</v>
      </c>
      <c r="U83" s="14"/>
      <c r="V83" s="14">
        <v>0</v>
      </c>
      <c r="W83" s="14">
        <v>0</v>
      </c>
      <c r="X83" s="14">
        <v>0</v>
      </c>
    </row>
    <row r="84" spans="1:24" ht="22" customHeight="1">
      <c r="A84" s="3" t="s">
        <v>893</v>
      </c>
      <c r="B84" s="1"/>
      <c r="C84" s="14">
        <v>8</v>
      </c>
      <c r="D84" s="14">
        <v>14</v>
      </c>
      <c r="E84" s="14">
        <v>1</v>
      </c>
      <c r="F84" s="14">
        <v>21</v>
      </c>
      <c r="G84" s="14">
        <v>5</v>
      </c>
      <c r="H84" s="14">
        <v>7</v>
      </c>
      <c r="I84" s="14">
        <v>8</v>
      </c>
      <c r="J84" s="14">
        <v>9</v>
      </c>
      <c r="K84" s="14">
        <v>26</v>
      </c>
      <c r="L84" s="14">
        <v>18</v>
      </c>
      <c r="M84" s="15"/>
      <c r="N84" s="14">
        <v>10</v>
      </c>
      <c r="O84" s="14">
        <v>18</v>
      </c>
      <c r="P84" s="14">
        <v>26</v>
      </c>
      <c r="Q84" s="14"/>
      <c r="R84" s="14">
        <v>9</v>
      </c>
      <c r="S84" s="14">
        <v>10</v>
      </c>
      <c r="T84" s="14">
        <v>6</v>
      </c>
      <c r="U84" s="14"/>
      <c r="V84" s="14">
        <v>8</v>
      </c>
      <c r="W84" s="14">
        <v>10</v>
      </c>
      <c r="X84" s="14">
        <v>8</v>
      </c>
    </row>
    <row r="85" spans="1:24" ht="22" customHeight="1">
      <c r="A85" s="3" t="s">
        <v>894</v>
      </c>
      <c r="B85" s="1"/>
      <c r="C85" s="14">
        <v>96</v>
      </c>
      <c r="D85" s="14">
        <v>226</v>
      </c>
      <c r="E85" s="14">
        <v>106</v>
      </c>
      <c r="F85" s="14">
        <v>149</v>
      </c>
      <c r="G85" s="14">
        <v>127</v>
      </c>
      <c r="H85" s="14">
        <v>71</v>
      </c>
      <c r="I85" s="14">
        <v>196</v>
      </c>
      <c r="J85" s="14">
        <v>197</v>
      </c>
      <c r="K85" s="14">
        <v>364</v>
      </c>
      <c r="L85" s="14">
        <v>326</v>
      </c>
      <c r="M85" s="15"/>
      <c r="N85" s="14">
        <v>226</v>
      </c>
      <c r="O85" s="14">
        <v>193</v>
      </c>
      <c r="P85" s="14">
        <v>299</v>
      </c>
      <c r="Q85" s="14"/>
      <c r="R85" s="14">
        <v>329</v>
      </c>
      <c r="S85" s="14">
        <v>310</v>
      </c>
      <c r="T85" s="14">
        <v>266</v>
      </c>
      <c r="U85" s="14"/>
      <c r="V85" s="14">
        <v>254</v>
      </c>
      <c r="W85" s="14">
        <v>196</v>
      </c>
      <c r="X85" s="14">
        <v>287</v>
      </c>
    </row>
    <row r="86" spans="1:24" ht="36" customHeight="1">
      <c r="A86" s="3" t="s">
        <v>895</v>
      </c>
      <c r="B86" s="1"/>
      <c r="C86" s="14">
        <v>88</v>
      </c>
      <c r="D86" s="14">
        <v>280</v>
      </c>
      <c r="E86" s="14">
        <v>137</v>
      </c>
      <c r="F86" s="14">
        <v>149</v>
      </c>
      <c r="G86" s="14">
        <v>158</v>
      </c>
      <c r="H86" s="14">
        <v>120</v>
      </c>
      <c r="I86" s="14">
        <v>243</v>
      </c>
      <c r="J86" s="14">
        <v>243</v>
      </c>
      <c r="K86" s="14">
        <v>384</v>
      </c>
      <c r="L86" s="14">
        <v>355</v>
      </c>
      <c r="M86" s="15"/>
      <c r="N86" s="14"/>
      <c r="O86" s="14"/>
      <c r="P86" s="14"/>
      <c r="Q86" s="14"/>
      <c r="R86" s="14"/>
      <c r="S86" s="14"/>
      <c r="T86" s="14"/>
      <c r="U86" s="14"/>
      <c r="V86" s="14"/>
      <c r="W86" s="14"/>
      <c r="X86" s="14"/>
    </row>
    <row r="87" spans="1:24" ht="22" customHeight="1">
      <c r="A87" s="3" t="s">
        <v>896</v>
      </c>
      <c r="B87" s="1"/>
      <c r="C87" s="14">
        <v>36</v>
      </c>
      <c r="D87" s="14">
        <v>21</v>
      </c>
      <c r="E87" s="14">
        <v>0</v>
      </c>
      <c r="F87" s="14">
        <v>92</v>
      </c>
      <c r="G87" s="14">
        <v>33</v>
      </c>
      <c r="H87" s="14">
        <v>32</v>
      </c>
      <c r="I87" s="14">
        <v>33</v>
      </c>
      <c r="J87" s="14">
        <v>2</v>
      </c>
      <c r="K87" s="14">
        <v>114</v>
      </c>
      <c r="L87" s="14">
        <v>240</v>
      </c>
      <c r="M87" s="15"/>
      <c r="N87" s="14"/>
      <c r="O87" s="14"/>
      <c r="P87" s="14"/>
      <c r="Q87" s="14"/>
      <c r="R87" s="14"/>
      <c r="S87" s="14"/>
      <c r="T87" s="14"/>
      <c r="U87" s="14"/>
      <c r="V87" s="14"/>
      <c r="W87" s="14"/>
      <c r="X87" s="14"/>
    </row>
    <row r="88" spans="1:24" ht="22" customHeight="1">
      <c r="A88" s="3" t="s">
        <v>897</v>
      </c>
      <c r="B88" s="1"/>
      <c r="C88" s="14">
        <v>36</v>
      </c>
      <c r="D88" s="14">
        <v>-6</v>
      </c>
      <c r="E88" s="14">
        <v>1</v>
      </c>
      <c r="F88" s="14">
        <v>129</v>
      </c>
      <c r="G88" s="14">
        <v>98</v>
      </c>
      <c r="H88" s="14">
        <v>95</v>
      </c>
      <c r="I88" s="14">
        <v>135</v>
      </c>
      <c r="J88" s="14">
        <v>200</v>
      </c>
      <c r="K88" s="14">
        <v>229</v>
      </c>
      <c r="L88" s="14">
        <v>388</v>
      </c>
      <c r="M88" s="15"/>
      <c r="N88" s="14"/>
      <c r="O88" s="14"/>
      <c r="P88" s="14"/>
      <c r="Q88" s="14"/>
      <c r="R88" s="14"/>
      <c r="S88" s="14"/>
      <c r="T88" s="14"/>
      <c r="U88" s="14"/>
      <c r="V88" s="14"/>
      <c r="W88" s="14"/>
      <c r="X88" s="14"/>
    </row>
    <row r="89" spans="1:24" ht="22" customHeight="1">
      <c r="A89" s="3" t="s">
        <v>898</v>
      </c>
      <c r="B89" s="1"/>
      <c r="C89" s="14">
        <v>160</v>
      </c>
      <c r="D89" s="14">
        <v>295</v>
      </c>
      <c r="E89" s="14">
        <v>138</v>
      </c>
      <c r="F89" s="14">
        <v>370</v>
      </c>
      <c r="G89" s="14">
        <v>289</v>
      </c>
      <c r="H89" s="14">
        <v>247</v>
      </c>
      <c r="I89" s="14">
        <v>411</v>
      </c>
      <c r="J89" s="14">
        <v>445</v>
      </c>
      <c r="K89" s="14">
        <v>727</v>
      </c>
      <c r="L89" s="14">
        <v>983</v>
      </c>
      <c r="M89" s="15"/>
      <c r="N89" s="14"/>
      <c r="O89" s="14"/>
      <c r="P89" s="14"/>
      <c r="Q89" s="14"/>
      <c r="R89" s="14"/>
      <c r="S89" s="14"/>
      <c r="T89" s="14"/>
      <c r="U89" s="14"/>
      <c r="V89" s="14"/>
      <c r="W89" s="14"/>
      <c r="X89" s="14"/>
    </row>
    <row r="90" spans="1:24" ht="22" customHeight="1">
      <c r="A90" s="3" t="s">
        <v>899</v>
      </c>
      <c r="B90" s="1"/>
      <c r="C90" s="14">
        <v>-56</v>
      </c>
      <c r="D90" s="14">
        <v>-91</v>
      </c>
      <c r="E90" s="14">
        <v>-203</v>
      </c>
      <c r="F90" s="14">
        <v>-138</v>
      </c>
      <c r="G90" s="14">
        <v>-138</v>
      </c>
      <c r="H90" s="14">
        <v>-163</v>
      </c>
      <c r="I90" s="14">
        <v>-90</v>
      </c>
      <c r="J90" s="14">
        <v>-242</v>
      </c>
      <c r="K90" s="14">
        <v>-204</v>
      </c>
      <c r="L90" s="14">
        <v>-384</v>
      </c>
      <c r="M90" s="15"/>
      <c r="N90" s="14">
        <v>-39</v>
      </c>
      <c r="O90" s="14"/>
      <c r="P90" s="14"/>
      <c r="Q90" s="14"/>
      <c r="R90" s="14">
        <v>-62</v>
      </c>
      <c r="S90" s="14"/>
      <c r="T90" s="14"/>
      <c r="U90" s="14"/>
      <c r="V90" s="14">
        <v>-97</v>
      </c>
      <c r="W90" s="14"/>
      <c r="X90" s="14"/>
    </row>
    <row r="91" spans="1:24" ht="22" customHeight="1">
      <c r="A91" s="3" t="s">
        <v>900</v>
      </c>
      <c r="B91" s="1"/>
      <c r="C91" s="14">
        <v>0</v>
      </c>
      <c r="D91" s="14">
        <v>0</v>
      </c>
      <c r="E91" s="14">
        <v>0</v>
      </c>
      <c r="F91" s="14">
        <v>0</v>
      </c>
      <c r="G91" s="14">
        <v>0</v>
      </c>
      <c r="H91" s="14">
        <v>0</v>
      </c>
      <c r="I91" s="14">
        <v>0</v>
      </c>
      <c r="J91" s="14">
        <v>0</v>
      </c>
      <c r="K91" s="14">
        <v>0</v>
      </c>
      <c r="L91" s="14">
        <v>0</v>
      </c>
      <c r="M91" s="15"/>
      <c r="N91" s="14">
        <v>0</v>
      </c>
      <c r="O91" s="14"/>
      <c r="P91" s="14"/>
      <c r="Q91" s="14"/>
      <c r="R91" s="14">
        <v>0</v>
      </c>
      <c r="S91" s="14"/>
      <c r="T91" s="14"/>
      <c r="U91" s="14"/>
      <c r="V91" s="14">
        <v>0</v>
      </c>
      <c r="W91" s="14"/>
      <c r="X91" s="14"/>
    </row>
    <row r="92" spans="1:24" ht="22" customHeight="1">
      <c r="A92" s="3" t="s">
        <v>901</v>
      </c>
      <c r="B92" s="1"/>
      <c r="C92" s="14">
        <v>-109</v>
      </c>
      <c r="D92" s="14">
        <v>-22</v>
      </c>
      <c r="E92" s="14">
        <v>-52</v>
      </c>
      <c r="F92" s="14">
        <v>-119</v>
      </c>
      <c r="G92" s="14">
        <v>-117</v>
      </c>
      <c r="H92" s="14">
        <v>-93</v>
      </c>
      <c r="I92" s="14">
        <v>-134</v>
      </c>
      <c r="J92" s="14">
        <v>-192</v>
      </c>
      <c r="K92" s="14">
        <v>-232</v>
      </c>
      <c r="L92" s="14">
        <v>-412</v>
      </c>
      <c r="M92" s="15"/>
      <c r="N92" s="14">
        <v>-21</v>
      </c>
      <c r="O92" s="14"/>
      <c r="P92" s="14"/>
      <c r="Q92" s="14"/>
      <c r="R92" s="14">
        <v>-170</v>
      </c>
      <c r="S92" s="14"/>
      <c r="T92" s="14"/>
      <c r="U92" s="14"/>
      <c r="V92" s="14">
        <v>-48</v>
      </c>
      <c r="W92" s="14"/>
      <c r="X92" s="14"/>
    </row>
    <row r="93" spans="1:24" ht="22" customHeight="1">
      <c r="A93" s="3" t="s">
        <v>902</v>
      </c>
      <c r="B93" s="1"/>
      <c r="C93" s="14">
        <v>-165</v>
      </c>
      <c r="D93" s="14">
        <v>-113</v>
      </c>
      <c r="E93" s="14">
        <v>-255</v>
      </c>
      <c r="F93" s="14">
        <v>-257</v>
      </c>
      <c r="G93" s="14">
        <v>-255</v>
      </c>
      <c r="H93" s="14">
        <v>-256</v>
      </c>
      <c r="I93" s="14">
        <v>-224</v>
      </c>
      <c r="J93" s="14">
        <v>-434</v>
      </c>
      <c r="K93" s="14">
        <v>-436</v>
      </c>
      <c r="L93" s="14">
        <v>-796</v>
      </c>
      <c r="M93" s="15"/>
      <c r="N93" s="14">
        <v>-60</v>
      </c>
      <c r="O93" s="14"/>
      <c r="P93" s="14"/>
      <c r="Q93" s="14"/>
      <c r="R93" s="14">
        <v>-232</v>
      </c>
      <c r="S93" s="14"/>
      <c r="T93" s="14"/>
      <c r="U93" s="14"/>
      <c r="V93" s="14">
        <v>-145</v>
      </c>
      <c r="W93" s="14"/>
      <c r="X93" s="14"/>
    </row>
    <row r="94" spans="1:24" ht="36" customHeight="1">
      <c r="A94" s="3" t="s">
        <v>903</v>
      </c>
      <c r="B94" s="1"/>
      <c r="C94" s="14">
        <v>-33</v>
      </c>
      <c r="D94" s="14">
        <v>-65</v>
      </c>
      <c r="E94" s="14">
        <v>-32</v>
      </c>
      <c r="F94" s="14">
        <v>12</v>
      </c>
      <c r="G94" s="14">
        <v>-26</v>
      </c>
      <c r="H94" s="14">
        <v>-15</v>
      </c>
      <c r="I94" s="14">
        <v>-29</v>
      </c>
      <c r="J94" s="14">
        <v>-1</v>
      </c>
      <c r="K94" s="14">
        <v>-30</v>
      </c>
      <c r="L94" s="14">
        <v>-1</v>
      </c>
      <c r="M94" s="15"/>
      <c r="N94" s="14">
        <v>-5</v>
      </c>
      <c r="O94" s="14"/>
      <c r="P94" s="14"/>
      <c r="Q94" s="14"/>
      <c r="R94" s="14">
        <v>-14</v>
      </c>
      <c r="S94" s="14"/>
      <c r="T94" s="14"/>
      <c r="U94" s="14"/>
      <c r="V94" s="14">
        <v>-1</v>
      </c>
      <c r="W94" s="14"/>
      <c r="X94" s="14"/>
    </row>
    <row r="95" spans="1:24" ht="22" customHeight="1">
      <c r="A95" s="3" t="s">
        <v>904</v>
      </c>
      <c r="B95" s="1"/>
      <c r="C95" s="14">
        <v>-73</v>
      </c>
      <c r="D95" s="14">
        <v>-21</v>
      </c>
      <c r="E95" s="14">
        <v>0</v>
      </c>
      <c r="F95" s="14">
        <v>-92</v>
      </c>
      <c r="G95" s="14">
        <v>-33</v>
      </c>
      <c r="H95" s="14">
        <v>-32</v>
      </c>
      <c r="I95" s="14">
        <v>-33</v>
      </c>
      <c r="J95" s="14">
        <v>-2</v>
      </c>
      <c r="K95" s="14">
        <v>-114</v>
      </c>
      <c r="L95" s="14">
        <v>-240</v>
      </c>
      <c r="M95" s="15"/>
      <c r="N95" s="14">
        <v>-1</v>
      </c>
      <c r="O95" s="14"/>
      <c r="P95" s="14"/>
      <c r="Q95" s="14"/>
      <c r="R95" s="14">
        <v>-2</v>
      </c>
      <c r="S95" s="14"/>
      <c r="T95" s="14"/>
      <c r="U95" s="14"/>
      <c r="V95" s="14">
        <v>-59</v>
      </c>
      <c r="W95" s="14"/>
      <c r="X95" s="14"/>
    </row>
    <row r="96" spans="1:24" ht="22" customHeight="1">
      <c r="A96" s="3" t="s">
        <v>905</v>
      </c>
      <c r="B96" s="1"/>
      <c r="C96" s="14">
        <v>-4</v>
      </c>
      <c r="D96" s="14">
        <v>34</v>
      </c>
      <c r="E96" s="14">
        <v>0</v>
      </c>
      <c r="F96" s="14">
        <v>10</v>
      </c>
      <c r="G96" s="14">
        <v>3</v>
      </c>
      <c r="H96" s="14">
        <v>0</v>
      </c>
      <c r="I96" s="14">
        <v>0</v>
      </c>
      <c r="J96" s="14">
        <v>-7</v>
      </c>
      <c r="K96" s="14">
        <v>20</v>
      </c>
      <c r="L96" s="14">
        <v>16</v>
      </c>
      <c r="M96" s="15"/>
      <c r="N96" s="14">
        <v>-1</v>
      </c>
      <c r="O96" s="14"/>
      <c r="P96" s="14"/>
      <c r="Q96" s="14"/>
      <c r="R96" s="14">
        <v>0</v>
      </c>
      <c r="S96" s="14"/>
      <c r="T96" s="14"/>
      <c r="U96" s="14"/>
      <c r="V96" s="14">
        <v>0</v>
      </c>
      <c r="W96" s="14"/>
      <c r="X96" s="14"/>
    </row>
    <row r="97" spans="1:24" ht="22" customHeight="1">
      <c r="A97" s="3" t="s">
        <v>906</v>
      </c>
      <c r="B97" s="1"/>
      <c r="C97" s="14">
        <v>-110</v>
      </c>
      <c r="D97" s="14">
        <v>-52</v>
      </c>
      <c r="E97" s="14">
        <v>-32</v>
      </c>
      <c r="F97" s="14">
        <v>-70</v>
      </c>
      <c r="G97" s="14">
        <v>-56</v>
      </c>
      <c r="H97" s="14">
        <v>-47</v>
      </c>
      <c r="I97" s="14">
        <v>-62</v>
      </c>
      <c r="J97" s="14">
        <v>-10</v>
      </c>
      <c r="K97" s="14">
        <v>-124</v>
      </c>
      <c r="L97" s="14">
        <v>-225</v>
      </c>
      <c r="M97" s="15"/>
      <c r="N97" s="14">
        <v>-7</v>
      </c>
      <c r="O97" s="14"/>
      <c r="P97" s="14"/>
      <c r="Q97" s="14"/>
      <c r="R97" s="14">
        <v>-16</v>
      </c>
      <c r="S97" s="14"/>
      <c r="T97" s="14"/>
      <c r="U97" s="14"/>
      <c r="V97" s="14">
        <v>-60</v>
      </c>
      <c r="W97" s="14"/>
      <c r="X97" s="14"/>
    </row>
    <row r="98" spans="1:24" ht="36" customHeight="1">
      <c r="A98" s="3" t="s">
        <v>907</v>
      </c>
      <c r="B98" s="1"/>
      <c r="C98" s="14">
        <v>35</v>
      </c>
      <c r="D98" s="14">
        <v>35</v>
      </c>
      <c r="E98" s="14"/>
      <c r="F98" s="14"/>
      <c r="G98" s="14"/>
      <c r="H98" s="14"/>
      <c r="I98" s="14"/>
      <c r="J98" s="14"/>
      <c r="K98" s="14"/>
      <c r="L98" s="14"/>
      <c r="M98" s="15"/>
      <c r="N98" s="14"/>
      <c r="O98" s="14"/>
      <c r="P98" s="14"/>
      <c r="Q98" s="14"/>
      <c r="R98" s="14"/>
      <c r="S98" s="14"/>
      <c r="T98" s="14"/>
      <c r="U98" s="14"/>
      <c r="V98" s="14"/>
      <c r="W98" s="14"/>
      <c r="X98" s="14"/>
    </row>
    <row r="99" spans="1:24" ht="36" customHeight="1">
      <c r="A99" s="3" t="s">
        <v>908</v>
      </c>
      <c r="B99" s="1"/>
      <c r="C99" s="14">
        <v>0</v>
      </c>
      <c r="D99" s="14">
        <v>0</v>
      </c>
      <c r="E99" s="14"/>
      <c r="F99" s="14"/>
      <c r="G99" s="14"/>
      <c r="H99" s="14"/>
      <c r="I99" s="14"/>
      <c r="J99" s="14"/>
      <c r="K99" s="14"/>
      <c r="L99" s="14"/>
      <c r="M99" s="15"/>
      <c r="N99" s="14"/>
      <c r="O99" s="14"/>
      <c r="P99" s="14"/>
      <c r="Q99" s="14"/>
      <c r="R99" s="14"/>
      <c r="S99" s="14"/>
      <c r="T99" s="14"/>
      <c r="U99" s="14"/>
      <c r="V99" s="14"/>
      <c r="W99" s="14"/>
      <c r="X99" s="14"/>
    </row>
    <row r="100" spans="1:24" ht="36" customHeight="1">
      <c r="A100" s="3" t="s">
        <v>909</v>
      </c>
      <c r="B100" s="1"/>
      <c r="C100" s="14">
        <v>59</v>
      </c>
      <c r="D100" s="14">
        <v>59</v>
      </c>
      <c r="E100" s="14"/>
      <c r="F100" s="14"/>
      <c r="G100" s="14"/>
      <c r="H100" s="14"/>
      <c r="I100" s="14"/>
      <c r="J100" s="14"/>
      <c r="K100" s="14"/>
      <c r="L100" s="14"/>
      <c r="M100" s="15"/>
      <c r="N100" s="14"/>
      <c r="O100" s="14"/>
      <c r="P100" s="14"/>
      <c r="Q100" s="14"/>
      <c r="R100" s="14"/>
      <c r="S100" s="14"/>
      <c r="T100" s="14"/>
      <c r="U100" s="14"/>
      <c r="V100" s="14"/>
      <c r="W100" s="14"/>
      <c r="X100" s="14"/>
    </row>
    <row r="101" spans="1:24" ht="22" customHeight="1">
      <c r="A101" s="3" t="s">
        <v>910</v>
      </c>
      <c r="B101" s="1"/>
      <c r="C101" s="14">
        <v>94</v>
      </c>
      <c r="D101" s="14">
        <v>94</v>
      </c>
      <c r="E101" s="14"/>
      <c r="F101" s="14"/>
      <c r="G101" s="14"/>
      <c r="H101" s="14"/>
      <c r="I101" s="14"/>
      <c r="J101" s="14"/>
      <c r="K101" s="14"/>
      <c r="L101" s="14"/>
      <c r="M101" s="15"/>
      <c r="N101" s="14"/>
      <c r="O101" s="14"/>
      <c r="P101" s="14"/>
      <c r="Q101" s="14"/>
      <c r="R101" s="14"/>
      <c r="S101" s="14"/>
      <c r="T101" s="14"/>
      <c r="U101" s="14"/>
      <c r="V101" s="14"/>
      <c r="W101" s="14"/>
      <c r="X101" s="14"/>
    </row>
    <row r="102" spans="1:24" ht="36" customHeight="1">
      <c r="A102" s="3" t="s">
        <v>911</v>
      </c>
      <c r="B102" s="1"/>
      <c r="C102" s="14">
        <v>560</v>
      </c>
      <c r="D102" s="14">
        <v>560</v>
      </c>
      <c r="E102" s="14"/>
      <c r="F102" s="14"/>
      <c r="G102" s="14"/>
      <c r="H102" s="14"/>
      <c r="I102" s="14"/>
      <c r="J102" s="14"/>
      <c r="K102" s="14"/>
      <c r="L102" s="14"/>
      <c r="M102" s="15"/>
      <c r="N102" s="14"/>
      <c r="O102" s="14"/>
      <c r="P102" s="14"/>
      <c r="Q102" s="14"/>
      <c r="R102" s="14"/>
      <c r="S102" s="14"/>
      <c r="T102" s="14"/>
      <c r="U102" s="14"/>
      <c r="V102" s="14"/>
      <c r="W102" s="14"/>
      <c r="X102" s="14"/>
    </row>
    <row r="103" spans="1:24" ht="36" customHeight="1">
      <c r="A103" s="3" t="s">
        <v>912</v>
      </c>
      <c r="B103" s="1"/>
      <c r="C103" s="14">
        <v>91</v>
      </c>
      <c r="D103" s="14">
        <v>91</v>
      </c>
      <c r="E103" s="14"/>
      <c r="F103" s="14"/>
      <c r="G103" s="14"/>
      <c r="H103" s="14"/>
      <c r="I103" s="14"/>
      <c r="J103" s="14"/>
      <c r="K103" s="14"/>
      <c r="L103" s="14"/>
      <c r="M103" s="15"/>
      <c r="N103" s="14"/>
      <c r="O103" s="14"/>
      <c r="P103" s="14"/>
      <c r="Q103" s="14"/>
      <c r="R103" s="14"/>
      <c r="S103" s="14"/>
      <c r="T103" s="14"/>
      <c r="U103" s="14"/>
      <c r="V103" s="14"/>
      <c r="W103" s="14"/>
      <c r="X103" s="14"/>
    </row>
    <row r="104" spans="1:24" ht="36" customHeight="1">
      <c r="A104" s="3" t="s">
        <v>913</v>
      </c>
      <c r="B104" s="1"/>
      <c r="C104" s="14">
        <v>243</v>
      </c>
      <c r="D104" s="14">
        <v>243</v>
      </c>
      <c r="E104" s="14"/>
      <c r="F104" s="14"/>
      <c r="G104" s="14"/>
      <c r="H104" s="14"/>
      <c r="I104" s="14"/>
      <c r="J104" s="14"/>
      <c r="K104" s="14"/>
      <c r="L104" s="14"/>
      <c r="M104" s="15"/>
      <c r="N104" s="14"/>
      <c r="O104" s="14"/>
      <c r="P104" s="14"/>
      <c r="Q104" s="14"/>
      <c r="R104" s="14"/>
      <c r="S104" s="14"/>
      <c r="T104" s="14"/>
      <c r="U104" s="14"/>
      <c r="V104" s="14"/>
      <c r="W104" s="14"/>
      <c r="X104" s="14"/>
    </row>
    <row r="105" spans="1:24" ht="36" customHeight="1">
      <c r="A105" s="3" t="s">
        <v>914</v>
      </c>
      <c r="B105" s="1"/>
      <c r="C105" s="14">
        <v>894</v>
      </c>
      <c r="D105" s="14">
        <v>894</v>
      </c>
      <c r="E105" s="14"/>
      <c r="F105" s="14"/>
      <c r="G105" s="14"/>
      <c r="H105" s="14"/>
      <c r="I105" s="14"/>
      <c r="J105" s="14"/>
      <c r="K105" s="14"/>
      <c r="L105" s="14"/>
      <c r="M105" s="15"/>
      <c r="N105" s="14"/>
      <c r="O105" s="14"/>
      <c r="P105" s="14"/>
      <c r="Q105" s="14"/>
      <c r="R105" s="14"/>
      <c r="S105" s="14"/>
      <c r="T105" s="14"/>
      <c r="U105" s="14"/>
      <c r="V105" s="14"/>
      <c r="W105" s="14"/>
      <c r="X105" s="14"/>
    </row>
    <row r="106" spans="1:24" ht="22" customHeight="1">
      <c r="A106" s="3" t="s">
        <v>915</v>
      </c>
      <c r="B106" s="1"/>
      <c r="C106" s="14"/>
      <c r="D106" s="14"/>
      <c r="E106" s="14">
        <v>3</v>
      </c>
      <c r="F106" s="14"/>
      <c r="G106" s="14"/>
      <c r="H106" s="14"/>
      <c r="I106" s="14"/>
      <c r="J106" s="14"/>
      <c r="K106" s="14"/>
      <c r="L106" s="14"/>
      <c r="M106" s="15"/>
      <c r="N106" s="14"/>
      <c r="O106" s="14"/>
      <c r="P106" s="14"/>
      <c r="Q106" s="14"/>
      <c r="R106" s="14"/>
      <c r="S106" s="14"/>
      <c r="T106" s="14"/>
      <c r="U106" s="14"/>
      <c r="V106" s="14"/>
      <c r="W106" s="14"/>
      <c r="X106" s="14"/>
    </row>
    <row r="107" spans="1:24" ht="22" customHeight="1">
      <c r="A107" s="3" t="s">
        <v>916</v>
      </c>
      <c r="B107" s="1"/>
      <c r="C107" s="14"/>
      <c r="D107" s="14"/>
      <c r="E107" s="14">
        <v>713</v>
      </c>
      <c r="F107" s="14"/>
      <c r="G107" s="14"/>
      <c r="H107" s="14"/>
      <c r="I107" s="14"/>
      <c r="J107" s="14"/>
      <c r="K107" s="14"/>
      <c r="L107" s="14"/>
      <c r="M107" s="15"/>
      <c r="N107" s="14"/>
      <c r="O107" s="14"/>
      <c r="P107" s="14"/>
      <c r="Q107" s="14"/>
      <c r="R107" s="14"/>
      <c r="S107" s="14"/>
      <c r="T107" s="14"/>
      <c r="U107" s="14"/>
      <c r="V107" s="14"/>
      <c r="W107" s="14"/>
      <c r="X107" s="14"/>
    </row>
    <row r="108" spans="1:24" ht="22" customHeight="1">
      <c r="A108" s="3" t="s">
        <v>917</v>
      </c>
      <c r="B108" s="1"/>
      <c r="C108" s="14"/>
      <c r="D108" s="14"/>
      <c r="E108" s="14">
        <v>309</v>
      </c>
      <c r="F108" s="14"/>
      <c r="G108" s="14"/>
      <c r="H108" s="14"/>
      <c r="I108" s="14"/>
      <c r="J108" s="14"/>
      <c r="K108" s="14"/>
      <c r="L108" s="14"/>
      <c r="M108" s="15"/>
      <c r="N108" s="14"/>
      <c r="O108" s="14"/>
      <c r="P108" s="14"/>
      <c r="Q108" s="14"/>
      <c r="R108" s="14"/>
      <c r="S108" s="14"/>
      <c r="T108" s="14"/>
      <c r="U108" s="14"/>
      <c r="V108" s="14"/>
      <c r="W108" s="14"/>
      <c r="X108" s="14"/>
    </row>
    <row r="109" spans="1:24" ht="22" customHeight="1">
      <c r="A109" s="3" t="s">
        <v>918</v>
      </c>
      <c r="B109" s="1"/>
      <c r="C109" s="14"/>
      <c r="D109" s="14"/>
      <c r="E109" s="14">
        <v>1204</v>
      </c>
      <c r="F109" s="14"/>
      <c r="G109" s="14"/>
      <c r="H109" s="14"/>
      <c r="I109" s="14"/>
      <c r="J109" s="14"/>
      <c r="K109" s="14"/>
      <c r="L109" s="14"/>
      <c r="M109" s="15"/>
      <c r="N109" s="14"/>
      <c r="O109" s="14"/>
      <c r="P109" s="14"/>
      <c r="Q109" s="14"/>
      <c r="R109" s="14"/>
      <c r="S109" s="14"/>
      <c r="T109" s="14"/>
      <c r="U109" s="14"/>
      <c r="V109" s="14"/>
      <c r="W109" s="14"/>
      <c r="X109" s="14"/>
    </row>
    <row r="110" spans="1:24" ht="22" customHeight="1">
      <c r="A110" s="3" t="s">
        <v>919</v>
      </c>
      <c r="B110" s="1"/>
      <c r="C110" s="14"/>
      <c r="D110" s="14"/>
      <c r="E110" s="14">
        <v>3</v>
      </c>
      <c r="F110" s="14">
        <v>115</v>
      </c>
      <c r="G110" s="14">
        <v>30</v>
      </c>
      <c r="H110" s="14">
        <v>29</v>
      </c>
      <c r="I110" s="14">
        <v>33</v>
      </c>
      <c r="J110" s="14">
        <v>13</v>
      </c>
      <c r="K110" s="14">
        <v>133</v>
      </c>
      <c r="L110" s="14">
        <v>236</v>
      </c>
      <c r="M110" s="15"/>
      <c r="N110" s="14">
        <v>6</v>
      </c>
      <c r="O110" s="14">
        <v>0</v>
      </c>
      <c r="P110" s="14">
        <v>10</v>
      </c>
      <c r="Q110" s="14"/>
      <c r="R110" s="14">
        <v>1</v>
      </c>
      <c r="S110" s="14">
        <v>102</v>
      </c>
      <c r="T110" s="14">
        <v>16</v>
      </c>
      <c r="U110" s="14"/>
      <c r="V110" s="14"/>
      <c r="W110" s="14"/>
      <c r="X110" s="14"/>
    </row>
    <row r="111" spans="1:24" ht="36" customHeight="1">
      <c r="A111" s="16" t="s">
        <v>920</v>
      </c>
      <c r="B111" s="17"/>
      <c r="C111" s="18"/>
      <c r="D111" s="18"/>
      <c r="E111" s="18">
        <v>138</v>
      </c>
      <c r="F111" s="18">
        <v>370</v>
      </c>
      <c r="G111" s="18">
        <v>289</v>
      </c>
      <c r="H111" s="18">
        <v>247</v>
      </c>
      <c r="I111" s="18">
        <v>411</v>
      </c>
      <c r="J111" s="18">
        <v>445</v>
      </c>
      <c r="K111" s="18">
        <v>727</v>
      </c>
      <c r="L111" s="18">
        <v>983</v>
      </c>
      <c r="M111" s="20"/>
      <c r="N111" s="18">
        <v>96</v>
      </c>
      <c r="O111" s="18">
        <v>74</v>
      </c>
      <c r="P111" s="18">
        <v>245</v>
      </c>
      <c r="Q111" s="18"/>
      <c r="R111" s="18">
        <v>213</v>
      </c>
      <c r="S111" s="18">
        <v>213</v>
      </c>
      <c r="T111" s="18">
        <v>141</v>
      </c>
      <c r="U111" s="18"/>
      <c r="V111" s="18">
        <v>133</v>
      </c>
      <c r="W111" s="18">
        <v>49</v>
      </c>
      <c r="X111" s="18">
        <v>185</v>
      </c>
    </row>
    <row r="112" spans="1:24" ht="36" customHeight="1">
      <c r="A112" s="3" t="s">
        <v>921</v>
      </c>
      <c r="B112" s="1"/>
      <c r="C112" s="14"/>
      <c r="D112" s="14"/>
      <c r="E112" s="14"/>
      <c r="F112" s="14">
        <v>286</v>
      </c>
      <c r="G112" s="14"/>
      <c r="H112" s="14"/>
      <c r="I112" s="14"/>
      <c r="J112" s="14"/>
      <c r="K112" s="14"/>
      <c r="L112" s="14"/>
      <c r="M112" s="15"/>
      <c r="N112" s="14"/>
      <c r="O112" s="14"/>
      <c r="P112" s="14"/>
      <c r="Q112" s="14"/>
      <c r="R112" s="14"/>
      <c r="S112" s="14"/>
      <c r="T112" s="14"/>
      <c r="U112" s="14"/>
      <c r="V112" s="14"/>
      <c r="W112" s="14"/>
      <c r="X112" s="14"/>
    </row>
    <row r="113" spans="1:24" ht="22" customHeight="1">
      <c r="A113" s="3" t="s">
        <v>922</v>
      </c>
      <c r="B113" s="1"/>
      <c r="C113" s="14"/>
      <c r="D113" s="14"/>
      <c r="E113" s="14"/>
      <c r="F113" s="14">
        <v>130</v>
      </c>
      <c r="G113" s="14"/>
      <c r="H113" s="14"/>
      <c r="I113" s="14"/>
      <c r="J113" s="14"/>
      <c r="K113" s="14"/>
      <c r="L113" s="14"/>
      <c r="M113" s="15"/>
      <c r="N113" s="14"/>
      <c r="O113" s="14"/>
      <c r="P113" s="14"/>
      <c r="Q113" s="14"/>
      <c r="R113" s="14"/>
      <c r="S113" s="14"/>
      <c r="T113" s="14"/>
      <c r="U113" s="14"/>
      <c r="V113" s="14"/>
      <c r="W113" s="14"/>
      <c r="X113" s="14"/>
    </row>
    <row r="114" spans="1:24" ht="24" customHeight="1">
      <c r="A114" s="16" t="s">
        <v>923</v>
      </c>
      <c r="B114" s="17"/>
      <c r="C114" s="18"/>
      <c r="D114" s="18"/>
      <c r="E114" s="18"/>
      <c r="F114" s="18">
        <v>508</v>
      </c>
      <c r="G114" s="18"/>
      <c r="H114" s="18"/>
      <c r="I114" s="18"/>
      <c r="J114" s="18"/>
      <c r="K114" s="18"/>
      <c r="L114" s="18"/>
      <c r="M114" s="20"/>
      <c r="N114" s="18"/>
      <c r="O114" s="18"/>
      <c r="P114" s="18"/>
      <c r="Q114" s="18"/>
      <c r="R114" s="18"/>
      <c r="S114" s="18"/>
      <c r="T114" s="18"/>
      <c r="U114" s="18"/>
      <c r="V114" s="18"/>
      <c r="W114" s="18"/>
      <c r="X114" s="18"/>
    </row>
    <row r="115" spans="1:24" ht="36" customHeight="1">
      <c r="A115" s="16" t="s">
        <v>924</v>
      </c>
      <c r="B115" s="17"/>
      <c r="C115" s="18"/>
      <c r="D115" s="18">
        <v>295</v>
      </c>
      <c r="E115" s="18">
        <v>170</v>
      </c>
      <c r="F115" s="18"/>
      <c r="G115" s="18"/>
      <c r="H115" s="18"/>
      <c r="I115" s="18"/>
      <c r="J115" s="18"/>
      <c r="K115" s="18"/>
      <c r="L115" s="18"/>
      <c r="M115" s="20"/>
      <c r="N115" s="18"/>
      <c r="O115" s="18"/>
      <c r="P115" s="18"/>
      <c r="Q115" s="18"/>
      <c r="R115" s="18"/>
      <c r="S115" s="18"/>
      <c r="T115" s="18"/>
      <c r="U115" s="18"/>
      <c r="V115" s="18"/>
      <c r="W115" s="18"/>
      <c r="X115" s="18"/>
    </row>
    <row r="116" spans="1:24" ht="36" customHeight="1">
      <c r="A116" s="3" t="s">
        <v>925</v>
      </c>
      <c r="B116" s="1"/>
      <c r="C116" s="14"/>
      <c r="D116" s="14"/>
      <c r="E116" s="14"/>
      <c r="F116" s="14"/>
      <c r="G116" s="14">
        <v>444</v>
      </c>
      <c r="H116" s="14"/>
      <c r="I116" s="14"/>
      <c r="J116" s="14"/>
      <c r="K116" s="14"/>
      <c r="L116" s="14"/>
      <c r="M116" s="15"/>
      <c r="N116" s="14"/>
      <c r="O116" s="14"/>
      <c r="P116" s="14"/>
      <c r="Q116" s="14"/>
      <c r="R116" s="14"/>
      <c r="S116" s="14"/>
      <c r="T116" s="14"/>
      <c r="U116" s="14"/>
      <c r="V116" s="14"/>
      <c r="W116" s="14"/>
      <c r="X116" s="14"/>
    </row>
    <row r="117" spans="1:24" ht="22" customHeight="1">
      <c r="A117" s="3" t="s">
        <v>926</v>
      </c>
      <c r="B117" s="1"/>
      <c r="C117" s="14"/>
      <c r="D117" s="14"/>
      <c r="E117" s="14"/>
      <c r="F117" s="14"/>
      <c r="G117" s="14">
        <v>228</v>
      </c>
      <c r="H117" s="14"/>
      <c r="I117" s="14"/>
      <c r="J117" s="14"/>
      <c r="K117" s="14"/>
      <c r="L117" s="14"/>
      <c r="M117" s="15"/>
      <c r="N117" s="14"/>
      <c r="O117" s="14"/>
      <c r="P117" s="14"/>
      <c r="Q117" s="14"/>
      <c r="R117" s="14"/>
      <c r="S117" s="14"/>
      <c r="T117" s="14"/>
      <c r="U117" s="14"/>
      <c r="V117" s="14"/>
      <c r="W117" s="14"/>
      <c r="X117" s="14"/>
    </row>
    <row r="118" spans="1:24" ht="24" customHeight="1">
      <c r="A118" s="16" t="s">
        <v>927</v>
      </c>
      <c r="B118" s="17"/>
      <c r="C118" s="18"/>
      <c r="D118" s="18"/>
      <c r="E118" s="18"/>
      <c r="F118" s="18"/>
      <c r="G118" s="18">
        <v>797</v>
      </c>
      <c r="H118" s="18"/>
      <c r="I118" s="18"/>
      <c r="J118" s="18"/>
      <c r="K118" s="18"/>
      <c r="L118" s="18"/>
      <c r="M118" s="20"/>
      <c r="N118" s="18"/>
      <c r="O118" s="18"/>
      <c r="P118" s="18"/>
      <c r="Q118" s="18"/>
      <c r="R118" s="18"/>
      <c r="S118" s="18"/>
      <c r="T118" s="18"/>
      <c r="U118" s="18"/>
      <c r="V118" s="18"/>
      <c r="W118" s="18"/>
      <c r="X118" s="18"/>
    </row>
    <row r="119" spans="1:24" ht="22" customHeight="1">
      <c r="A119" s="3" t="s">
        <v>928</v>
      </c>
      <c r="B119" s="1"/>
      <c r="C119" s="14"/>
      <c r="D119" s="14"/>
      <c r="E119" s="14"/>
      <c r="F119" s="14">
        <v>115</v>
      </c>
      <c r="G119" s="14">
        <v>30</v>
      </c>
      <c r="H119" s="14">
        <v>29</v>
      </c>
      <c r="I119" s="14"/>
      <c r="J119" s="14"/>
      <c r="K119" s="14"/>
      <c r="L119" s="14"/>
      <c r="M119" s="15"/>
      <c r="N119" s="14"/>
      <c r="O119" s="14">
        <v>0</v>
      </c>
      <c r="P119" s="14"/>
      <c r="Q119" s="14"/>
      <c r="R119" s="14"/>
      <c r="S119" s="14"/>
      <c r="T119" s="14"/>
      <c r="U119" s="14"/>
      <c r="V119" s="14"/>
      <c r="W119" s="14"/>
      <c r="X119" s="14"/>
    </row>
    <row r="120" spans="1:24" ht="36" customHeight="1">
      <c r="A120" s="3" t="s">
        <v>929</v>
      </c>
      <c r="B120" s="1"/>
      <c r="C120" s="14"/>
      <c r="D120" s="14"/>
      <c r="E120" s="14"/>
      <c r="F120" s="14"/>
      <c r="G120" s="14"/>
      <c r="H120" s="14">
        <v>564</v>
      </c>
      <c r="I120" s="14"/>
      <c r="J120" s="14"/>
      <c r="K120" s="14"/>
      <c r="L120" s="14"/>
      <c r="M120" s="15"/>
      <c r="N120" s="14"/>
      <c r="O120" s="14"/>
      <c r="P120" s="14"/>
      <c r="Q120" s="14"/>
      <c r="R120" s="14"/>
      <c r="S120" s="14"/>
      <c r="T120" s="14"/>
      <c r="U120" s="14"/>
      <c r="V120" s="14"/>
      <c r="W120" s="14"/>
      <c r="X120" s="14"/>
    </row>
    <row r="121" spans="1:24" ht="22" customHeight="1">
      <c r="A121" s="3" t="s">
        <v>930</v>
      </c>
      <c r="B121" s="1"/>
      <c r="C121" s="14"/>
      <c r="D121" s="14"/>
      <c r="E121" s="14"/>
      <c r="F121" s="14"/>
      <c r="G121" s="14"/>
      <c r="H121" s="14">
        <v>323</v>
      </c>
      <c r="I121" s="14"/>
      <c r="J121" s="14"/>
      <c r="K121" s="14"/>
      <c r="L121" s="14"/>
      <c r="M121" s="15"/>
      <c r="N121" s="14"/>
      <c r="O121" s="14"/>
      <c r="P121" s="14"/>
      <c r="Q121" s="14"/>
      <c r="R121" s="14"/>
      <c r="S121" s="14"/>
      <c r="T121" s="14"/>
      <c r="U121" s="14"/>
      <c r="V121" s="14"/>
      <c r="W121" s="14"/>
      <c r="X121" s="14"/>
    </row>
    <row r="122" spans="1:24" ht="24" customHeight="1">
      <c r="A122" s="16" t="s">
        <v>931</v>
      </c>
      <c r="B122" s="17"/>
      <c r="C122" s="18"/>
      <c r="D122" s="18"/>
      <c r="E122" s="18"/>
      <c r="F122" s="18"/>
      <c r="G122" s="18"/>
      <c r="H122" s="18">
        <v>1044</v>
      </c>
      <c r="I122" s="18"/>
      <c r="J122" s="18"/>
      <c r="K122" s="18"/>
      <c r="L122" s="18"/>
      <c r="M122" s="20"/>
      <c r="N122" s="18"/>
      <c r="O122" s="18"/>
      <c r="P122" s="18"/>
      <c r="Q122" s="18"/>
      <c r="R122" s="18"/>
      <c r="S122" s="18"/>
      <c r="T122" s="18"/>
      <c r="U122" s="18"/>
      <c r="V122" s="18"/>
      <c r="W122" s="18"/>
      <c r="X122" s="18"/>
    </row>
    <row r="123" spans="1:24" ht="22" customHeight="1">
      <c r="A123" s="3" t="s">
        <v>219</v>
      </c>
      <c r="B123" s="1"/>
      <c r="C123" s="14"/>
      <c r="D123" s="14"/>
      <c r="E123" s="14"/>
      <c r="F123" s="14">
        <v>34</v>
      </c>
      <c r="G123" s="14">
        <v>32</v>
      </c>
      <c r="H123" s="14">
        <v>1</v>
      </c>
      <c r="I123" s="14">
        <v>0</v>
      </c>
      <c r="J123" s="14">
        <v>0</v>
      </c>
      <c r="K123" s="14">
        <v>0</v>
      </c>
      <c r="L123" s="14">
        <v>57</v>
      </c>
      <c r="M123" s="15"/>
      <c r="N123" s="14"/>
      <c r="O123" s="14"/>
      <c r="P123" s="14">
        <v>0</v>
      </c>
      <c r="Q123" s="14"/>
      <c r="R123" s="14"/>
      <c r="S123" s="14"/>
      <c r="T123" s="14">
        <v>46</v>
      </c>
      <c r="U123" s="14"/>
      <c r="V123" s="14"/>
      <c r="W123" s="14"/>
      <c r="X123" s="14"/>
    </row>
    <row r="124" spans="1:24" ht="36" customHeight="1">
      <c r="A124" s="3" t="s">
        <v>932</v>
      </c>
      <c r="B124" s="1"/>
      <c r="C124" s="14"/>
      <c r="D124" s="14"/>
      <c r="E124" s="14"/>
      <c r="F124" s="14"/>
      <c r="G124" s="14"/>
      <c r="H124" s="14"/>
      <c r="I124" s="14">
        <v>807</v>
      </c>
      <c r="J124" s="14"/>
      <c r="K124" s="14"/>
      <c r="L124" s="14"/>
      <c r="M124" s="15"/>
      <c r="N124" s="14"/>
      <c r="O124" s="14"/>
      <c r="P124" s="14"/>
      <c r="Q124" s="14"/>
      <c r="R124" s="14"/>
      <c r="S124" s="14"/>
      <c r="T124" s="14"/>
      <c r="U124" s="14"/>
      <c r="V124" s="14"/>
      <c r="W124" s="14"/>
      <c r="X124" s="14"/>
    </row>
    <row r="125" spans="1:24" ht="22" customHeight="1">
      <c r="A125" s="3" t="s">
        <v>933</v>
      </c>
      <c r="B125" s="1"/>
      <c r="C125" s="14"/>
      <c r="D125" s="14"/>
      <c r="E125" s="14"/>
      <c r="F125" s="14"/>
      <c r="G125" s="14"/>
      <c r="H125" s="14"/>
      <c r="I125" s="14">
        <v>458</v>
      </c>
      <c r="J125" s="14"/>
      <c r="K125" s="14"/>
      <c r="L125" s="14"/>
      <c r="M125" s="15"/>
      <c r="N125" s="14"/>
      <c r="O125" s="14"/>
      <c r="P125" s="14"/>
      <c r="Q125" s="14"/>
      <c r="R125" s="14"/>
      <c r="S125" s="14"/>
      <c r="T125" s="14"/>
      <c r="U125" s="14"/>
      <c r="V125" s="14"/>
      <c r="W125" s="14"/>
      <c r="X125" s="14"/>
    </row>
    <row r="126" spans="1:24" ht="24" customHeight="1">
      <c r="A126" s="16" t="s">
        <v>934</v>
      </c>
      <c r="B126" s="17"/>
      <c r="C126" s="18"/>
      <c r="D126" s="18"/>
      <c r="E126" s="18"/>
      <c r="F126" s="18"/>
      <c r="G126" s="18"/>
      <c r="H126" s="18"/>
      <c r="I126" s="18">
        <v>1455</v>
      </c>
      <c r="J126" s="18"/>
      <c r="K126" s="18"/>
      <c r="L126" s="18"/>
      <c r="M126" s="20"/>
      <c r="N126" s="18"/>
      <c r="O126" s="18"/>
      <c r="P126" s="18"/>
      <c r="Q126" s="18"/>
      <c r="R126" s="18"/>
      <c r="S126" s="18"/>
      <c r="T126" s="18"/>
      <c r="U126" s="18"/>
      <c r="V126" s="18"/>
      <c r="W126" s="18"/>
      <c r="X126" s="18"/>
    </row>
    <row r="127" spans="1:24" ht="36" customHeight="1">
      <c r="A127" s="3" t="s">
        <v>935</v>
      </c>
      <c r="B127" s="1"/>
      <c r="C127" s="14"/>
      <c r="D127" s="14"/>
      <c r="E127" s="14"/>
      <c r="F127" s="14"/>
      <c r="G127" s="14"/>
      <c r="H127" s="14"/>
      <c r="I127" s="14"/>
      <c r="J127" s="14">
        <v>1050</v>
      </c>
      <c r="K127" s="14"/>
      <c r="L127" s="14"/>
      <c r="M127" s="15"/>
      <c r="N127" s="14"/>
      <c r="O127" s="14"/>
      <c r="P127" s="14"/>
      <c r="Q127" s="14"/>
      <c r="R127" s="14"/>
      <c r="S127" s="14"/>
      <c r="T127" s="14"/>
      <c r="U127" s="14"/>
      <c r="V127" s="14"/>
      <c r="W127" s="14"/>
      <c r="X127" s="14"/>
    </row>
    <row r="128" spans="1:24" ht="22" customHeight="1">
      <c r="A128" s="3" t="s">
        <v>936</v>
      </c>
      <c r="B128" s="1"/>
      <c r="C128" s="14"/>
      <c r="D128" s="14"/>
      <c r="E128" s="14"/>
      <c r="F128" s="14"/>
      <c r="G128" s="14"/>
      <c r="H128" s="14"/>
      <c r="I128" s="14"/>
      <c r="J128" s="14">
        <v>658</v>
      </c>
      <c r="K128" s="14"/>
      <c r="L128" s="14"/>
      <c r="M128" s="15"/>
      <c r="N128" s="14"/>
      <c r="O128" s="14"/>
      <c r="P128" s="14"/>
      <c r="Q128" s="14"/>
      <c r="R128" s="14"/>
      <c r="S128" s="14"/>
      <c r="T128" s="14"/>
      <c r="U128" s="14"/>
      <c r="V128" s="14"/>
      <c r="W128" s="14"/>
      <c r="X128" s="14"/>
    </row>
    <row r="129" spans="1:24" ht="24" customHeight="1">
      <c r="A129" s="16" t="s">
        <v>937</v>
      </c>
      <c r="B129" s="17"/>
      <c r="C129" s="18"/>
      <c r="D129" s="18"/>
      <c r="E129" s="18"/>
      <c r="F129" s="18"/>
      <c r="G129" s="18"/>
      <c r="H129" s="18"/>
      <c r="I129" s="18"/>
      <c r="J129" s="18">
        <v>1900</v>
      </c>
      <c r="K129" s="18"/>
      <c r="L129" s="18"/>
      <c r="M129" s="20"/>
      <c r="N129" s="18"/>
      <c r="O129" s="18"/>
      <c r="P129" s="18"/>
      <c r="Q129" s="18"/>
      <c r="R129" s="18"/>
      <c r="S129" s="18"/>
      <c r="T129" s="18"/>
      <c r="U129" s="18"/>
      <c r="V129" s="18"/>
      <c r="W129" s="18"/>
      <c r="X129" s="18"/>
    </row>
    <row r="130" spans="1:24" ht="36" customHeight="1">
      <c r="A130" s="3" t="s">
        <v>938</v>
      </c>
      <c r="B130" s="1"/>
      <c r="C130" s="14"/>
      <c r="D130" s="14"/>
      <c r="E130" s="14"/>
      <c r="F130" s="14"/>
      <c r="G130" s="14"/>
      <c r="H130" s="14"/>
      <c r="I130" s="14"/>
      <c r="J130" s="14"/>
      <c r="K130" s="14"/>
      <c r="L130" s="14"/>
      <c r="M130" s="15"/>
      <c r="N130" s="14">
        <v>72</v>
      </c>
      <c r="O130" s="14">
        <v>10</v>
      </c>
      <c r="P130" s="14">
        <v>151</v>
      </c>
      <c r="Q130" s="14"/>
      <c r="R130" s="14">
        <v>58</v>
      </c>
      <c r="S130" s="14">
        <v>64</v>
      </c>
      <c r="T130" s="14">
        <v>46</v>
      </c>
      <c r="U130" s="14"/>
      <c r="V130" s="14">
        <v>36</v>
      </c>
      <c r="W130" s="14"/>
      <c r="X130" s="14"/>
    </row>
    <row r="131" spans="1:24" ht="22" customHeight="1">
      <c r="A131" s="3" t="s">
        <v>939</v>
      </c>
      <c r="B131" s="1"/>
      <c r="C131" s="14"/>
      <c r="D131" s="14"/>
      <c r="E131" s="14"/>
      <c r="F131" s="14"/>
      <c r="G131" s="14"/>
      <c r="H131" s="14"/>
      <c r="I131" s="14"/>
      <c r="J131" s="14"/>
      <c r="K131" s="14"/>
      <c r="L131" s="14"/>
      <c r="M131" s="15"/>
      <c r="N131" s="14">
        <v>1122</v>
      </c>
      <c r="O131" s="14"/>
      <c r="P131" s="14"/>
      <c r="Q131" s="14"/>
      <c r="R131" s="14"/>
      <c r="S131" s="14"/>
      <c r="T131" s="14"/>
      <c r="U131" s="14"/>
      <c r="V131" s="14"/>
      <c r="W131" s="14"/>
      <c r="X131" s="14"/>
    </row>
    <row r="132" spans="1:24" ht="36" customHeight="1">
      <c r="A132" s="3" t="s">
        <v>940</v>
      </c>
      <c r="B132" s="1"/>
      <c r="C132" s="14"/>
      <c r="D132" s="14"/>
      <c r="E132" s="14"/>
      <c r="F132" s="14"/>
      <c r="G132" s="14"/>
      <c r="H132" s="14"/>
      <c r="I132" s="14"/>
      <c r="J132" s="14"/>
      <c r="K132" s="14"/>
      <c r="L132" s="14"/>
      <c r="M132" s="15"/>
      <c r="N132" s="14">
        <v>23</v>
      </c>
      <c r="O132" s="14">
        <v>61</v>
      </c>
      <c r="P132" s="14">
        <v>64</v>
      </c>
      <c r="Q132" s="14"/>
      <c r="R132" s="14">
        <v>153</v>
      </c>
      <c r="S132" s="14">
        <v>64</v>
      </c>
      <c r="T132" s="14">
        <v>73</v>
      </c>
      <c r="U132" s="14"/>
      <c r="V132" s="14">
        <v>38</v>
      </c>
      <c r="W132" s="14"/>
      <c r="X132" s="14"/>
    </row>
    <row r="133" spans="1:24" ht="22" customHeight="1">
      <c r="A133" s="3" t="s">
        <v>941</v>
      </c>
      <c r="B133" s="1"/>
      <c r="C133" s="14"/>
      <c r="D133" s="14"/>
      <c r="E133" s="14"/>
      <c r="F133" s="14"/>
      <c r="G133" s="14"/>
      <c r="H133" s="14"/>
      <c r="I133" s="14"/>
      <c r="J133" s="14"/>
      <c r="K133" s="14"/>
      <c r="L133" s="14"/>
      <c r="M133" s="15"/>
      <c r="N133" s="14">
        <v>681</v>
      </c>
      <c r="O133" s="14"/>
      <c r="P133" s="14"/>
      <c r="Q133" s="14"/>
      <c r="R133" s="14"/>
      <c r="S133" s="14"/>
      <c r="T133" s="14"/>
      <c r="U133" s="14"/>
      <c r="V133" s="14"/>
      <c r="W133" s="14"/>
      <c r="X133" s="14"/>
    </row>
    <row r="134" spans="1:24" ht="24" customHeight="1">
      <c r="A134" s="16" t="s">
        <v>942</v>
      </c>
      <c r="B134" s="17"/>
      <c r="C134" s="18"/>
      <c r="D134" s="18"/>
      <c r="E134" s="18"/>
      <c r="F134" s="18"/>
      <c r="G134" s="18"/>
      <c r="H134" s="18"/>
      <c r="I134" s="18"/>
      <c r="J134" s="18"/>
      <c r="K134" s="18"/>
      <c r="L134" s="18"/>
      <c r="M134" s="20"/>
      <c r="N134" s="18">
        <v>96</v>
      </c>
      <c r="O134" s="18">
        <v>74</v>
      </c>
      <c r="P134" s="18">
        <v>245</v>
      </c>
      <c r="Q134" s="18"/>
      <c r="R134" s="18">
        <v>213</v>
      </c>
      <c r="S134" s="18">
        <v>213</v>
      </c>
      <c r="T134" s="18">
        <v>141</v>
      </c>
      <c r="U134" s="18"/>
      <c r="V134" s="18">
        <v>133</v>
      </c>
      <c r="W134" s="18">
        <v>49</v>
      </c>
      <c r="X134" s="18">
        <v>185</v>
      </c>
    </row>
    <row r="135" spans="1:24" ht="24" customHeight="1">
      <c r="A135" s="16" t="s">
        <v>943</v>
      </c>
      <c r="B135" s="17"/>
      <c r="C135" s="18"/>
      <c r="D135" s="18"/>
      <c r="E135" s="18"/>
      <c r="F135" s="18"/>
      <c r="G135" s="18"/>
      <c r="H135" s="18"/>
      <c r="I135" s="18"/>
      <c r="J135" s="18"/>
      <c r="K135" s="18"/>
      <c r="L135" s="18"/>
      <c r="M135" s="20"/>
      <c r="N135" s="18">
        <v>1996</v>
      </c>
      <c r="O135" s="18"/>
      <c r="P135" s="18"/>
      <c r="Q135" s="18"/>
      <c r="R135" s="18"/>
      <c r="S135" s="18"/>
      <c r="T135" s="18"/>
      <c r="U135" s="18"/>
      <c r="V135" s="18"/>
      <c r="W135" s="18"/>
      <c r="X135" s="18"/>
    </row>
    <row r="136" spans="1:24" ht="36" customHeight="1">
      <c r="A136" s="3" t="s">
        <v>944</v>
      </c>
      <c r="B136" s="1"/>
      <c r="C136" s="14"/>
      <c r="D136" s="14"/>
      <c r="E136" s="14"/>
      <c r="F136" s="14"/>
      <c r="G136" s="14"/>
      <c r="H136" s="14"/>
      <c r="I136" s="14"/>
      <c r="J136" s="14"/>
      <c r="K136" s="14"/>
      <c r="L136" s="14"/>
      <c r="M136" s="15"/>
      <c r="N136" s="14"/>
      <c r="O136" s="14">
        <v>10</v>
      </c>
      <c r="P136" s="14"/>
      <c r="Q136" s="14"/>
      <c r="R136" s="14"/>
      <c r="S136" s="14">
        <v>64</v>
      </c>
      <c r="T136" s="14">
        <v>46</v>
      </c>
      <c r="U136" s="14"/>
      <c r="V136" s="14"/>
      <c r="W136" s="14">
        <v>15</v>
      </c>
      <c r="X136" s="14">
        <v>148</v>
      </c>
    </row>
    <row r="137" spans="1:24" ht="36" customHeight="1">
      <c r="A137" s="3" t="s">
        <v>945</v>
      </c>
      <c r="B137" s="1"/>
      <c r="C137" s="14"/>
      <c r="D137" s="14"/>
      <c r="E137" s="14"/>
      <c r="F137" s="14"/>
      <c r="G137" s="14"/>
      <c r="H137" s="14"/>
      <c r="I137" s="14"/>
      <c r="J137" s="14"/>
      <c r="K137" s="14"/>
      <c r="L137" s="14"/>
      <c r="M137" s="15"/>
      <c r="N137" s="14"/>
      <c r="O137" s="14">
        <v>1132</v>
      </c>
      <c r="P137" s="14"/>
      <c r="Q137" s="14"/>
      <c r="R137" s="14"/>
      <c r="S137" s="14"/>
      <c r="T137" s="14"/>
      <c r="U137" s="14"/>
      <c r="V137" s="14"/>
      <c r="W137" s="14"/>
      <c r="X137" s="14"/>
    </row>
    <row r="138" spans="1:24" ht="36" customHeight="1">
      <c r="A138" s="3" t="s">
        <v>946</v>
      </c>
      <c r="B138" s="1"/>
      <c r="C138" s="14"/>
      <c r="D138" s="14"/>
      <c r="E138" s="14"/>
      <c r="F138" s="14"/>
      <c r="G138" s="14"/>
      <c r="H138" s="14"/>
      <c r="I138" s="14"/>
      <c r="J138" s="14"/>
      <c r="K138" s="14"/>
      <c r="L138" s="14"/>
      <c r="M138" s="15"/>
      <c r="N138" s="14"/>
      <c r="O138" s="14">
        <v>61</v>
      </c>
      <c r="P138" s="14"/>
      <c r="Q138" s="14"/>
      <c r="R138" s="14"/>
      <c r="S138" s="14">
        <v>64</v>
      </c>
      <c r="T138" s="14">
        <v>73</v>
      </c>
      <c r="U138" s="14"/>
      <c r="V138" s="14"/>
      <c r="W138" s="14">
        <v>34</v>
      </c>
      <c r="X138" s="14">
        <v>37</v>
      </c>
    </row>
    <row r="139" spans="1:24" ht="22" customHeight="1">
      <c r="A139" s="3" t="s">
        <v>947</v>
      </c>
      <c r="B139" s="1"/>
      <c r="C139" s="14"/>
      <c r="D139" s="14"/>
      <c r="E139" s="14"/>
      <c r="F139" s="14"/>
      <c r="G139" s="14"/>
      <c r="H139" s="14"/>
      <c r="I139" s="14"/>
      <c r="J139" s="14"/>
      <c r="K139" s="14"/>
      <c r="L139" s="14"/>
      <c r="M139" s="15"/>
      <c r="N139" s="14"/>
      <c r="O139" s="14">
        <v>742</v>
      </c>
      <c r="P139" s="14"/>
      <c r="Q139" s="14"/>
      <c r="R139" s="14"/>
      <c r="S139" s="14"/>
      <c r="T139" s="14"/>
      <c r="U139" s="14"/>
      <c r="V139" s="14"/>
      <c r="W139" s="14"/>
      <c r="X139" s="14"/>
    </row>
    <row r="140" spans="1:24" ht="24" customHeight="1">
      <c r="A140" s="16" t="s">
        <v>948</v>
      </c>
      <c r="B140" s="17"/>
      <c r="C140" s="18"/>
      <c r="D140" s="18"/>
      <c r="E140" s="18"/>
      <c r="F140" s="18"/>
      <c r="G140" s="18"/>
      <c r="H140" s="18"/>
      <c r="I140" s="18"/>
      <c r="J140" s="18"/>
      <c r="K140" s="18"/>
      <c r="L140" s="18"/>
      <c r="M140" s="20"/>
      <c r="N140" s="18"/>
      <c r="O140" s="18">
        <v>2070</v>
      </c>
      <c r="P140" s="18"/>
      <c r="Q140" s="18"/>
      <c r="R140" s="18"/>
      <c r="S140" s="18"/>
      <c r="T140" s="18"/>
      <c r="U140" s="18"/>
      <c r="V140" s="18"/>
      <c r="W140" s="18"/>
      <c r="X140" s="18"/>
    </row>
    <row r="141" spans="1:24" ht="36" customHeight="1">
      <c r="A141" s="3" t="s">
        <v>949</v>
      </c>
      <c r="B141" s="1"/>
      <c r="C141" s="14"/>
      <c r="D141" s="14"/>
      <c r="E141" s="14"/>
      <c r="F141" s="14"/>
      <c r="G141" s="14"/>
      <c r="H141" s="14"/>
      <c r="I141" s="14"/>
      <c r="J141" s="14"/>
      <c r="K141" s="14"/>
      <c r="L141" s="14"/>
      <c r="M141" s="15"/>
      <c r="N141" s="14"/>
      <c r="O141" s="14"/>
      <c r="P141" s="14">
        <v>1283</v>
      </c>
      <c r="Q141" s="14"/>
      <c r="R141" s="14"/>
      <c r="S141" s="14"/>
      <c r="T141" s="14"/>
      <c r="U141" s="14"/>
      <c r="V141" s="14"/>
      <c r="W141" s="14"/>
      <c r="X141" s="14"/>
    </row>
    <row r="142" spans="1:24" ht="22" customHeight="1">
      <c r="A142" s="3" t="s">
        <v>950</v>
      </c>
      <c r="B142" s="1"/>
      <c r="C142" s="14"/>
      <c r="D142" s="14"/>
      <c r="E142" s="14"/>
      <c r="F142" s="14"/>
      <c r="G142" s="14"/>
      <c r="H142" s="14"/>
      <c r="I142" s="14"/>
      <c r="J142" s="14"/>
      <c r="K142" s="14"/>
      <c r="L142" s="14"/>
      <c r="M142" s="15"/>
      <c r="N142" s="14"/>
      <c r="O142" s="14"/>
      <c r="P142" s="14">
        <v>806</v>
      </c>
      <c r="Q142" s="14"/>
      <c r="R142" s="14"/>
      <c r="S142" s="14"/>
      <c r="T142" s="14"/>
      <c r="U142" s="14"/>
      <c r="V142" s="14"/>
      <c r="W142" s="14"/>
      <c r="X142" s="14"/>
    </row>
    <row r="143" spans="1:24" ht="24" customHeight="1">
      <c r="A143" s="16" t="s">
        <v>951</v>
      </c>
      <c r="B143" s="17"/>
      <c r="C143" s="18"/>
      <c r="D143" s="18"/>
      <c r="E143" s="18"/>
      <c r="F143" s="18"/>
      <c r="G143" s="18"/>
      <c r="H143" s="18"/>
      <c r="I143" s="18"/>
      <c r="J143" s="18"/>
      <c r="K143" s="18"/>
      <c r="L143" s="18"/>
      <c r="M143" s="20"/>
      <c r="N143" s="18"/>
      <c r="O143" s="18"/>
      <c r="P143" s="18">
        <v>2315</v>
      </c>
      <c r="Q143" s="18"/>
      <c r="R143" s="18"/>
      <c r="S143" s="18"/>
      <c r="T143" s="18"/>
      <c r="U143" s="18"/>
      <c r="V143" s="18"/>
      <c r="W143" s="18"/>
      <c r="X143" s="18"/>
    </row>
    <row r="144" spans="1:24" ht="36" customHeight="1">
      <c r="A144" s="3" t="s">
        <v>952</v>
      </c>
      <c r="B144" s="1"/>
      <c r="C144" s="14"/>
      <c r="D144" s="14"/>
      <c r="E144" s="14"/>
      <c r="F144" s="14"/>
      <c r="G144" s="14"/>
      <c r="H144" s="14"/>
      <c r="I144" s="14"/>
      <c r="J144" s="14"/>
      <c r="K144" s="14">
        <v>1434</v>
      </c>
      <c r="L144" s="14"/>
      <c r="M144" s="15"/>
      <c r="N144" s="14"/>
      <c r="O144" s="14"/>
      <c r="P144" s="14"/>
      <c r="Q144" s="14"/>
      <c r="R144" s="14"/>
      <c r="S144" s="14"/>
      <c r="T144" s="14"/>
      <c r="U144" s="14"/>
      <c r="V144" s="14"/>
      <c r="W144" s="14"/>
      <c r="X144" s="14"/>
    </row>
    <row r="145" spans="1:24" ht="22" customHeight="1">
      <c r="A145" s="3" t="s">
        <v>953</v>
      </c>
      <c r="B145" s="1"/>
      <c r="C145" s="14"/>
      <c r="D145" s="14"/>
      <c r="E145" s="14"/>
      <c r="F145" s="14"/>
      <c r="G145" s="14"/>
      <c r="H145" s="14"/>
      <c r="I145" s="14"/>
      <c r="J145" s="14"/>
      <c r="K145" s="14">
        <v>887</v>
      </c>
      <c r="L145" s="14"/>
      <c r="M145" s="15"/>
      <c r="N145" s="14"/>
      <c r="O145" s="14"/>
      <c r="P145" s="14"/>
      <c r="Q145" s="14"/>
      <c r="R145" s="14"/>
      <c r="S145" s="14"/>
      <c r="T145" s="14"/>
      <c r="U145" s="14"/>
      <c r="V145" s="14"/>
      <c r="W145" s="14"/>
      <c r="X145" s="14"/>
    </row>
    <row r="146" spans="1:24" ht="24" customHeight="1">
      <c r="A146" s="16" t="s">
        <v>954</v>
      </c>
      <c r="B146" s="17"/>
      <c r="C146" s="18"/>
      <c r="D146" s="18"/>
      <c r="E146" s="18"/>
      <c r="F146" s="18"/>
      <c r="G146" s="18"/>
      <c r="H146" s="18"/>
      <c r="I146" s="18"/>
      <c r="J146" s="18"/>
      <c r="K146" s="18">
        <v>2627</v>
      </c>
      <c r="L146" s="18"/>
      <c r="M146" s="20"/>
      <c r="N146" s="18"/>
      <c r="O146" s="18"/>
      <c r="P146" s="18"/>
      <c r="Q146" s="18"/>
      <c r="R146" s="18"/>
      <c r="S146" s="18"/>
      <c r="T146" s="18"/>
      <c r="U146" s="18"/>
      <c r="V146" s="18"/>
      <c r="W146" s="18"/>
      <c r="X146" s="18"/>
    </row>
    <row r="147" spans="1:24" ht="36" customHeight="1">
      <c r="A147" s="3" t="s">
        <v>955</v>
      </c>
      <c r="B147" s="1"/>
      <c r="C147" s="14"/>
      <c r="D147" s="14"/>
      <c r="E147" s="14"/>
      <c r="F147" s="14"/>
      <c r="G147" s="14"/>
      <c r="H147" s="14"/>
      <c r="I147" s="14"/>
      <c r="J147" s="14"/>
      <c r="K147" s="14"/>
      <c r="L147" s="14"/>
      <c r="M147" s="15"/>
      <c r="N147" s="14"/>
      <c r="O147" s="14"/>
      <c r="P147" s="14"/>
      <c r="Q147" s="14"/>
      <c r="R147" s="14">
        <v>1492</v>
      </c>
      <c r="S147" s="14"/>
      <c r="T147" s="14"/>
      <c r="U147" s="14"/>
      <c r="V147" s="14"/>
      <c r="W147" s="14"/>
      <c r="X147" s="14"/>
    </row>
    <row r="148" spans="1:24" ht="22" customHeight="1">
      <c r="A148" s="3" t="s">
        <v>956</v>
      </c>
      <c r="B148" s="1"/>
      <c r="C148" s="14"/>
      <c r="D148" s="14"/>
      <c r="E148" s="14"/>
      <c r="F148" s="14"/>
      <c r="G148" s="14"/>
      <c r="H148" s="14"/>
      <c r="I148" s="14"/>
      <c r="J148" s="14"/>
      <c r="K148" s="14"/>
      <c r="L148" s="14"/>
      <c r="M148" s="15"/>
      <c r="N148" s="14"/>
      <c r="O148" s="14"/>
      <c r="P148" s="14"/>
      <c r="Q148" s="14"/>
      <c r="R148" s="14">
        <v>1040</v>
      </c>
      <c r="S148" s="14"/>
      <c r="T148" s="14"/>
      <c r="U148" s="14"/>
      <c r="V148" s="14"/>
      <c r="W148" s="14"/>
      <c r="X148" s="14"/>
    </row>
    <row r="149" spans="1:24" ht="24" customHeight="1">
      <c r="A149" s="16" t="s">
        <v>957</v>
      </c>
      <c r="B149" s="17"/>
      <c r="C149" s="18"/>
      <c r="D149" s="18"/>
      <c r="E149" s="18"/>
      <c r="F149" s="18"/>
      <c r="G149" s="18"/>
      <c r="H149" s="18"/>
      <c r="I149" s="18"/>
      <c r="J149" s="18"/>
      <c r="K149" s="18"/>
      <c r="L149" s="18"/>
      <c r="M149" s="20"/>
      <c r="N149" s="18"/>
      <c r="O149" s="18"/>
      <c r="P149" s="18"/>
      <c r="Q149" s="18"/>
      <c r="R149" s="18">
        <v>2840</v>
      </c>
      <c r="S149" s="18"/>
      <c r="T149" s="18"/>
      <c r="U149" s="18"/>
      <c r="V149" s="18"/>
      <c r="W149" s="18"/>
      <c r="X149" s="18"/>
    </row>
    <row r="150" spans="1:24" ht="36" customHeight="1">
      <c r="A150" s="3" t="s">
        <v>958</v>
      </c>
      <c r="B150" s="1"/>
      <c r="C150" s="14"/>
      <c r="D150" s="14"/>
      <c r="E150" s="14"/>
      <c r="F150" s="14"/>
      <c r="G150" s="14"/>
      <c r="H150" s="14"/>
      <c r="I150" s="14"/>
      <c r="J150" s="14"/>
      <c r="K150" s="14"/>
      <c r="L150" s="14"/>
      <c r="M150" s="15"/>
      <c r="N150" s="14"/>
      <c r="O150" s="14"/>
      <c r="P150" s="14"/>
      <c r="Q150" s="14"/>
      <c r="R150" s="14"/>
      <c r="S150" s="14">
        <v>1556</v>
      </c>
      <c r="T150" s="14"/>
      <c r="U150" s="14"/>
      <c r="V150" s="14"/>
      <c r="W150" s="14"/>
      <c r="X150" s="14"/>
    </row>
    <row r="151" spans="1:24" ht="22" customHeight="1">
      <c r="A151" s="3" t="s">
        <v>959</v>
      </c>
      <c r="B151" s="1"/>
      <c r="C151" s="14"/>
      <c r="D151" s="14"/>
      <c r="E151" s="14"/>
      <c r="F151" s="14"/>
      <c r="G151" s="14"/>
      <c r="H151" s="14"/>
      <c r="I151" s="14"/>
      <c r="J151" s="14"/>
      <c r="K151" s="14"/>
      <c r="L151" s="14"/>
      <c r="M151" s="15"/>
      <c r="N151" s="14"/>
      <c r="O151" s="14"/>
      <c r="P151" s="14"/>
      <c r="Q151" s="14"/>
      <c r="R151" s="14"/>
      <c r="S151" s="14">
        <v>1104</v>
      </c>
      <c r="T151" s="14"/>
      <c r="U151" s="14"/>
      <c r="V151" s="14"/>
      <c r="W151" s="14"/>
      <c r="X151" s="14"/>
    </row>
    <row r="152" spans="1:24" ht="24" customHeight="1">
      <c r="A152" s="16" t="s">
        <v>960</v>
      </c>
      <c r="B152" s="17"/>
      <c r="C152" s="18"/>
      <c r="D152" s="18"/>
      <c r="E152" s="18"/>
      <c r="F152" s="18"/>
      <c r="G152" s="18"/>
      <c r="H152" s="18"/>
      <c r="I152" s="18"/>
      <c r="J152" s="18"/>
      <c r="K152" s="18"/>
      <c r="L152" s="18"/>
      <c r="M152" s="20"/>
      <c r="N152" s="18"/>
      <c r="O152" s="18"/>
      <c r="P152" s="18"/>
      <c r="Q152" s="18"/>
      <c r="R152" s="18"/>
      <c r="S152" s="18">
        <v>3053</v>
      </c>
      <c r="T152" s="18"/>
      <c r="U152" s="18"/>
      <c r="V152" s="18"/>
      <c r="W152" s="18"/>
      <c r="X152" s="18"/>
    </row>
    <row r="153" spans="1:24" ht="36" customHeight="1">
      <c r="A153" s="3" t="s">
        <v>961</v>
      </c>
      <c r="B153" s="1"/>
      <c r="C153" s="14"/>
      <c r="D153" s="14"/>
      <c r="E153" s="14"/>
      <c r="F153" s="14"/>
      <c r="G153" s="14"/>
      <c r="H153" s="14"/>
      <c r="I153" s="14"/>
      <c r="J153" s="14"/>
      <c r="K153" s="14"/>
      <c r="L153" s="14"/>
      <c r="M153" s="15"/>
      <c r="N153" s="14"/>
      <c r="O153" s="14"/>
      <c r="P153" s="14"/>
      <c r="Q153" s="14"/>
      <c r="R153" s="14"/>
      <c r="S153" s="14"/>
      <c r="T153" s="14">
        <v>1602</v>
      </c>
      <c r="U153" s="14"/>
      <c r="V153" s="14"/>
      <c r="W153" s="14"/>
      <c r="X153" s="14"/>
    </row>
    <row r="154" spans="1:24" ht="22" customHeight="1">
      <c r="A154" s="3" t="s">
        <v>962</v>
      </c>
      <c r="B154" s="1"/>
      <c r="C154" s="14"/>
      <c r="D154" s="14"/>
      <c r="E154" s="14"/>
      <c r="F154" s="14"/>
      <c r="G154" s="14"/>
      <c r="H154" s="14"/>
      <c r="I154" s="14"/>
      <c r="J154" s="14"/>
      <c r="K154" s="14"/>
      <c r="L154" s="14"/>
      <c r="M154" s="15"/>
      <c r="N154" s="14"/>
      <c r="O154" s="14"/>
      <c r="P154" s="14"/>
      <c r="Q154" s="14"/>
      <c r="R154" s="14"/>
      <c r="S154" s="14"/>
      <c r="T154" s="14">
        <v>1177</v>
      </c>
      <c r="U154" s="14"/>
      <c r="V154" s="14"/>
      <c r="W154" s="14"/>
      <c r="X154" s="14"/>
    </row>
    <row r="155" spans="1:24" ht="24" customHeight="1">
      <c r="A155" s="16" t="s">
        <v>963</v>
      </c>
      <c r="B155" s="17"/>
      <c r="C155" s="18"/>
      <c r="D155" s="18"/>
      <c r="E155" s="18"/>
      <c r="F155" s="18"/>
      <c r="G155" s="18"/>
      <c r="H155" s="18"/>
      <c r="I155" s="18"/>
      <c r="J155" s="18"/>
      <c r="K155" s="18"/>
      <c r="L155" s="18"/>
      <c r="M155" s="20"/>
      <c r="N155" s="18"/>
      <c r="O155" s="18"/>
      <c r="P155" s="18"/>
      <c r="Q155" s="18"/>
      <c r="R155" s="18"/>
      <c r="S155" s="18"/>
      <c r="T155" s="18">
        <v>3194</v>
      </c>
      <c r="U155" s="18"/>
      <c r="V155" s="18"/>
      <c r="W155" s="18"/>
      <c r="X155" s="18"/>
    </row>
    <row r="156" spans="1:24" ht="24" customHeight="1">
      <c r="A156" s="16" t="s">
        <v>964</v>
      </c>
      <c r="B156" s="17"/>
      <c r="C156" s="18"/>
      <c r="D156" s="18"/>
      <c r="E156" s="18"/>
      <c r="F156" s="18"/>
      <c r="G156" s="18"/>
      <c r="H156" s="18"/>
      <c r="I156" s="18"/>
      <c r="J156" s="18">
        <v>41</v>
      </c>
      <c r="K156" s="18">
        <v>22</v>
      </c>
      <c r="L156" s="18">
        <v>453</v>
      </c>
      <c r="M156" s="20"/>
      <c r="N156" s="18"/>
      <c r="O156" s="18"/>
      <c r="P156" s="18">
        <v>5</v>
      </c>
      <c r="Q156" s="18"/>
      <c r="R156" s="18"/>
      <c r="S156" s="18"/>
      <c r="T156" s="18">
        <v>221</v>
      </c>
      <c r="U156" s="18"/>
      <c r="V156" s="18"/>
      <c r="W156" s="18"/>
      <c r="X156" s="18"/>
    </row>
    <row r="157" spans="1:24" ht="36" customHeight="1">
      <c r="A157" s="3" t="s">
        <v>965</v>
      </c>
      <c r="B157" s="1"/>
      <c r="C157" s="14"/>
      <c r="D157" s="14"/>
      <c r="E157" s="14"/>
      <c r="F157" s="14"/>
      <c r="G157" s="14"/>
      <c r="H157" s="14"/>
      <c r="I157" s="14"/>
      <c r="J157" s="14"/>
      <c r="K157" s="14"/>
      <c r="L157" s="14">
        <v>1789</v>
      </c>
      <c r="M157" s="15"/>
      <c r="N157" s="14"/>
      <c r="O157" s="14"/>
      <c r="P157" s="14"/>
      <c r="Q157" s="14"/>
      <c r="R157" s="14"/>
      <c r="S157" s="14"/>
      <c r="T157" s="14"/>
      <c r="U157" s="14"/>
      <c r="V157" s="14"/>
      <c r="W157" s="14"/>
      <c r="X157" s="14"/>
    </row>
    <row r="158" spans="1:24" ht="22" customHeight="1">
      <c r="A158" s="3" t="s">
        <v>966</v>
      </c>
      <c r="B158" s="1"/>
      <c r="C158" s="14"/>
      <c r="D158" s="14"/>
      <c r="E158" s="14"/>
      <c r="F158" s="14"/>
      <c r="G158" s="14"/>
      <c r="H158" s="14"/>
      <c r="I158" s="14"/>
      <c r="J158" s="14"/>
      <c r="K158" s="14"/>
      <c r="L158" s="14">
        <v>1275</v>
      </c>
      <c r="M158" s="15"/>
      <c r="N158" s="14"/>
      <c r="O158" s="14"/>
      <c r="P158" s="14"/>
      <c r="Q158" s="14"/>
      <c r="R158" s="14"/>
      <c r="S158" s="14"/>
      <c r="T158" s="14"/>
      <c r="U158" s="14"/>
      <c r="V158" s="14"/>
      <c r="W158" s="14"/>
      <c r="X158" s="14"/>
    </row>
    <row r="159" spans="1:24" ht="24" customHeight="1">
      <c r="A159" s="16" t="s">
        <v>967</v>
      </c>
      <c r="B159" s="17"/>
      <c r="C159" s="18"/>
      <c r="D159" s="18"/>
      <c r="E159" s="18"/>
      <c r="F159" s="18"/>
      <c r="G159" s="18"/>
      <c r="H159" s="18"/>
      <c r="I159" s="18"/>
      <c r="J159" s="18"/>
      <c r="K159" s="18"/>
      <c r="L159" s="18">
        <v>3610</v>
      </c>
      <c r="M159" s="20"/>
      <c r="N159" s="18"/>
      <c r="O159" s="18"/>
      <c r="P159" s="18"/>
      <c r="Q159" s="18"/>
      <c r="R159" s="18"/>
      <c r="S159" s="18"/>
      <c r="T159" s="18"/>
      <c r="U159" s="18"/>
      <c r="V159" s="18"/>
      <c r="W159" s="18"/>
      <c r="X159" s="18"/>
    </row>
    <row r="160" spans="1:24" ht="36" customHeight="1">
      <c r="A160" s="3" t="s">
        <v>968</v>
      </c>
      <c r="B160" s="1"/>
      <c r="C160" s="14"/>
      <c r="D160" s="14"/>
      <c r="E160" s="14"/>
      <c r="F160" s="14"/>
      <c r="G160" s="14"/>
      <c r="H160" s="14"/>
      <c r="I160" s="14"/>
      <c r="J160" s="14"/>
      <c r="K160" s="14"/>
      <c r="L160" s="14"/>
      <c r="M160" s="15"/>
      <c r="N160" s="14"/>
      <c r="O160" s="14"/>
      <c r="P160" s="14"/>
      <c r="Q160" s="14"/>
      <c r="R160" s="14">
        <v>1</v>
      </c>
      <c r="S160" s="14"/>
      <c r="T160" s="14">
        <v>16</v>
      </c>
      <c r="U160" s="14"/>
      <c r="V160" s="14">
        <v>19</v>
      </c>
      <c r="W160" s="14"/>
      <c r="X160" s="14">
        <v>9</v>
      </c>
    </row>
    <row r="161" spans="1:24" ht="22" customHeight="1">
      <c r="A161" s="3" t="s">
        <v>969</v>
      </c>
      <c r="B161" s="1"/>
      <c r="C161" s="14"/>
      <c r="D161" s="14"/>
      <c r="E161" s="14"/>
      <c r="F161" s="14"/>
      <c r="G161" s="14"/>
      <c r="H161" s="14"/>
      <c r="I161" s="14"/>
      <c r="J161" s="14"/>
      <c r="K161" s="14"/>
      <c r="L161" s="14"/>
      <c r="M161" s="15"/>
      <c r="N161" s="14"/>
      <c r="O161" s="14"/>
      <c r="P161" s="14"/>
      <c r="Q161" s="14"/>
      <c r="R161" s="14">
        <v>58</v>
      </c>
      <c r="S161" s="14"/>
      <c r="T161" s="14"/>
      <c r="U161" s="14"/>
      <c r="V161" s="14"/>
      <c r="W161" s="14"/>
      <c r="X161" s="14"/>
    </row>
    <row r="162" spans="1:24" ht="22" customHeight="1">
      <c r="A162" s="3" t="s">
        <v>970</v>
      </c>
      <c r="B162" s="1"/>
      <c r="C162" s="14"/>
      <c r="D162" s="14"/>
      <c r="E162" s="14"/>
      <c r="F162" s="14"/>
      <c r="G162" s="14"/>
      <c r="H162" s="14"/>
      <c r="I162" s="14"/>
      <c r="J162" s="14"/>
      <c r="K162" s="14"/>
      <c r="L162" s="14"/>
      <c r="M162" s="15"/>
      <c r="N162" s="14"/>
      <c r="O162" s="14"/>
      <c r="P162" s="14"/>
      <c r="Q162" s="14"/>
      <c r="R162" s="14"/>
      <c r="S162" s="14"/>
      <c r="T162" s="14"/>
      <c r="U162" s="14"/>
      <c r="V162" s="14">
        <v>1825</v>
      </c>
      <c r="W162" s="14"/>
      <c r="X162" s="14"/>
    </row>
    <row r="163" spans="1:24" ht="22" customHeight="1">
      <c r="A163" s="3" t="s">
        <v>971</v>
      </c>
      <c r="B163" s="1"/>
      <c r="C163" s="14"/>
      <c r="D163" s="14"/>
      <c r="E163" s="14"/>
      <c r="F163" s="14"/>
      <c r="G163" s="14"/>
      <c r="H163" s="14"/>
      <c r="I163" s="14"/>
      <c r="J163" s="14"/>
      <c r="K163" s="14"/>
      <c r="L163" s="14"/>
      <c r="M163" s="15"/>
      <c r="N163" s="14"/>
      <c r="O163" s="14"/>
      <c r="P163" s="14"/>
      <c r="Q163" s="14"/>
      <c r="R163" s="14">
        <v>153</v>
      </c>
      <c r="S163" s="14"/>
      <c r="T163" s="14"/>
      <c r="U163" s="14"/>
      <c r="V163" s="14"/>
      <c r="W163" s="14"/>
      <c r="X163" s="14"/>
    </row>
    <row r="164" spans="1:24" ht="22" customHeight="1">
      <c r="A164" s="3" t="s">
        <v>972</v>
      </c>
      <c r="B164" s="1"/>
      <c r="C164" s="14"/>
      <c r="D164" s="14"/>
      <c r="E164" s="14"/>
      <c r="F164" s="14"/>
      <c r="G164" s="14"/>
      <c r="H164" s="14"/>
      <c r="I164" s="14"/>
      <c r="J164" s="14"/>
      <c r="K164" s="14"/>
      <c r="L164" s="14"/>
      <c r="M164" s="15"/>
      <c r="N164" s="14"/>
      <c r="O164" s="14"/>
      <c r="P164" s="14"/>
      <c r="Q164" s="14"/>
      <c r="R164" s="14"/>
      <c r="S164" s="14"/>
      <c r="T164" s="14"/>
      <c r="U164" s="14"/>
      <c r="V164" s="14">
        <v>1313</v>
      </c>
      <c r="W164" s="14"/>
      <c r="X164" s="14"/>
    </row>
    <row r="165" spans="1:24" ht="24" customHeight="1">
      <c r="A165" s="16" t="s">
        <v>973</v>
      </c>
      <c r="B165" s="17"/>
      <c r="C165" s="18"/>
      <c r="D165" s="18"/>
      <c r="E165" s="18"/>
      <c r="F165" s="18"/>
      <c r="G165" s="18"/>
      <c r="H165" s="18"/>
      <c r="I165" s="18"/>
      <c r="J165" s="18"/>
      <c r="K165" s="18"/>
      <c r="L165" s="18"/>
      <c r="M165" s="20"/>
      <c r="N165" s="18"/>
      <c r="O165" s="18"/>
      <c r="P165" s="18"/>
      <c r="Q165" s="18"/>
      <c r="R165" s="18">
        <v>213</v>
      </c>
      <c r="S165" s="18"/>
      <c r="T165" s="18"/>
      <c r="U165" s="18"/>
      <c r="V165" s="18"/>
      <c r="W165" s="18"/>
      <c r="X165" s="18"/>
    </row>
    <row r="166" spans="1:24" ht="24" customHeight="1">
      <c r="A166" s="16" t="s">
        <v>974</v>
      </c>
      <c r="B166" s="17"/>
      <c r="C166" s="18"/>
      <c r="D166" s="18"/>
      <c r="E166" s="18"/>
      <c r="F166" s="18"/>
      <c r="G166" s="18"/>
      <c r="H166" s="18"/>
      <c r="I166" s="18"/>
      <c r="J166" s="18"/>
      <c r="K166" s="18"/>
      <c r="L166" s="18"/>
      <c r="M166" s="20"/>
      <c r="N166" s="18"/>
      <c r="O166" s="18"/>
      <c r="P166" s="18"/>
      <c r="Q166" s="18"/>
      <c r="R166" s="18"/>
      <c r="S166" s="18"/>
      <c r="T166" s="18"/>
      <c r="U166" s="18"/>
      <c r="V166" s="18">
        <v>3743</v>
      </c>
      <c r="W166" s="18"/>
      <c r="X166" s="18"/>
    </row>
    <row r="167" spans="1:24" ht="36" customHeight="1">
      <c r="A167" s="3" t="s">
        <v>975</v>
      </c>
      <c r="B167" s="1"/>
      <c r="C167" s="14"/>
      <c r="D167" s="14"/>
      <c r="E167" s="14"/>
      <c r="F167" s="14"/>
      <c r="G167" s="14"/>
      <c r="H167" s="14"/>
      <c r="I167" s="14"/>
      <c r="J167" s="14"/>
      <c r="K167" s="14"/>
      <c r="L167" s="14"/>
      <c r="M167" s="15"/>
      <c r="N167" s="14"/>
      <c r="O167" s="14"/>
      <c r="P167" s="14"/>
      <c r="Q167" s="14"/>
      <c r="R167" s="14"/>
      <c r="S167" s="14"/>
      <c r="T167" s="14"/>
      <c r="U167" s="14"/>
      <c r="V167" s="14">
        <v>36</v>
      </c>
      <c r="W167" s="14"/>
      <c r="X167" s="14"/>
    </row>
    <row r="168" spans="1:24" ht="22" customHeight="1">
      <c r="A168" s="3" t="s">
        <v>976</v>
      </c>
      <c r="B168" s="1"/>
      <c r="C168" s="14"/>
      <c r="D168" s="14"/>
      <c r="E168" s="14"/>
      <c r="F168" s="14"/>
      <c r="G168" s="14"/>
      <c r="H168" s="14"/>
      <c r="I168" s="14"/>
      <c r="J168" s="14"/>
      <c r="K168" s="14"/>
      <c r="L168" s="14"/>
      <c r="M168" s="15"/>
      <c r="N168" s="14"/>
      <c r="O168" s="14"/>
      <c r="P168" s="14"/>
      <c r="Q168" s="14"/>
      <c r="R168" s="14"/>
      <c r="S168" s="14"/>
      <c r="T168" s="14"/>
      <c r="U168" s="14"/>
      <c r="V168" s="14">
        <v>59</v>
      </c>
      <c r="W168" s="14"/>
      <c r="X168" s="14"/>
    </row>
    <row r="169" spans="1:24" ht="22" customHeight="1">
      <c r="A169" s="3" t="s">
        <v>977</v>
      </c>
      <c r="B169" s="1"/>
      <c r="C169" s="14"/>
      <c r="D169" s="14"/>
      <c r="E169" s="14"/>
      <c r="F169" s="14"/>
      <c r="G169" s="14"/>
      <c r="H169" s="14"/>
      <c r="I169" s="14"/>
      <c r="J169" s="14"/>
      <c r="K169" s="14"/>
      <c r="L169" s="14"/>
      <c r="M169" s="15"/>
      <c r="N169" s="14"/>
      <c r="O169" s="14"/>
      <c r="P169" s="14"/>
      <c r="Q169" s="14"/>
      <c r="R169" s="14"/>
      <c r="S169" s="14"/>
      <c r="T169" s="14"/>
      <c r="U169" s="14"/>
      <c r="V169" s="14">
        <v>38</v>
      </c>
      <c r="W169" s="14"/>
      <c r="X169" s="14"/>
    </row>
    <row r="170" spans="1:24" ht="22" customHeight="1">
      <c r="A170" s="3" t="s">
        <v>978</v>
      </c>
      <c r="B170" s="1"/>
      <c r="C170" s="14"/>
      <c r="D170" s="14"/>
      <c r="E170" s="14"/>
      <c r="F170" s="14"/>
      <c r="G170" s="14"/>
      <c r="H170" s="14"/>
      <c r="I170" s="14"/>
      <c r="J170" s="14"/>
      <c r="K170" s="14"/>
      <c r="L170" s="14"/>
      <c r="M170" s="15"/>
      <c r="N170" s="14"/>
      <c r="O170" s="14"/>
      <c r="P170" s="14"/>
      <c r="Q170" s="14"/>
      <c r="R170" s="14"/>
      <c r="S170" s="14"/>
      <c r="T170" s="14"/>
      <c r="U170" s="14"/>
      <c r="V170" s="14">
        <v>133</v>
      </c>
      <c r="W170" s="14"/>
      <c r="X170" s="14"/>
    </row>
    <row r="171" spans="1:24" ht="36" customHeight="1">
      <c r="A171" s="3" t="s">
        <v>979</v>
      </c>
      <c r="B171" s="1"/>
      <c r="C171" s="14"/>
      <c r="D171" s="14"/>
      <c r="E171" s="14"/>
      <c r="F171" s="14"/>
      <c r="G171" s="14"/>
      <c r="H171" s="14"/>
      <c r="I171" s="14"/>
      <c r="J171" s="14"/>
      <c r="K171" s="14"/>
      <c r="L171" s="14"/>
      <c r="M171" s="15"/>
      <c r="N171" s="14"/>
      <c r="O171" s="14"/>
      <c r="P171" s="14"/>
      <c r="Q171" s="14"/>
      <c r="R171" s="14"/>
      <c r="S171" s="14">
        <v>102</v>
      </c>
      <c r="T171" s="14"/>
      <c r="U171" s="14"/>
      <c r="V171" s="14"/>
      <c r="W171" s="14">
        <v>-1</v>
      </c>
      <c r="X171" s="14"/>
    </row>
    <row r="172" spans="1:24" ht="36" customHeight="1">
      <c r="A172" s="3" t="s">
        <v>980</v>
      </c>
      <c r="B172" s="1"/>
      <c r="C172" s="14"/>
      <c r="D172" s="14"/>
      <c r="E172" s="14"/>
      <c r="F172" s="14"/>
      <c r="G172" s="14"/>
      <c r="H172" s="14"/>
      <c r="I172" s="14"/>
      <c r="J172" s="14"/>
      <c r="K172" s="14"/>
      <c r="L172" s="14"/>
      <c r="M172" s="15"/>
      <c r="N172" s="14"/>
      <c r="O172" s="14"/>
      <c r="P172" s="14"/>
      <c r="Q172" s="14"/>
      <c r="R172" s="14"/>
      <c r="S172" s="14"/>
      <c r="T172" s="14"/>
      <c r="U172" s="14"/>
      <c r="V172" s="14"/>
      <c r="W172" s="14">
        <v>1840</v>
      </c>
      <c r="X172" s="14"/>
    </row>
    <row r="173" spans="1:24" ht="22" customHeight="1">
      <c r="A173" s="3" t="s">
        <v>981</v>
      </c>
      <c r="B173" s="1"/>
      <c r="C173" s="14"/>
      <c r="D173" s="14"/>
      <c r="E173" s="14"/>
      <c r="F173" s="14"/>
      <c r="G173" s="14"/>
      <c r="H173" s="14"/>
      <c r="I173" s="14"/>
      <c r="J173" s="14"/>
      <c r="K173" s="14"/>
      <c r="L173" s="14"/>
      <c r="M173" s="15"/>
      <c r="N173" s="14"/>
      <c r="O173" s="14"/>
      <c r="P173" s="14"/>
      <c r="Q173" s="14"/>
      <c r="R173" s="14"/>
      <c r="S173" s="14"/>
      <c r="T173" s="14"/>
      <c r="U173" s="14"/>
      <c r="V173" s="14"/>
      <c r="W173" s="14">
        <v>1347</v>
      </c>
      <c r="X173" s="14"/>
    </row>
    <row r="174" spans="1:24" ht="24" customHeight="1">
      <c r="A174" s="16" t="s">
        <v>982</v>
      </c>
      <c r="B174" s="17"/>
      <c r="C174" s="18"/>
      <c r="D174" s="18"/>
      <c r="E174" s="18"/>
      <c r="F174" s="18"/>
      <c r="G174" s="18"/>
      <c r="H174" s="18"/>
      <c r="I174" s="18"/>
      <c r="J174" s="18"/>
      <c r="K174" s="18"/>
      <c r="L174" s="18"/>
      <c r="M174" s="20"/>
      <c r="N174" s="18"/>
      <c r="O174" s="18"/>
      <c r="P174" s="18"/>
      <c r="Q174" s="18"/>
      <c r="R174" s="18"/>
      <c r="S174" s="18"/>
      <c r="T174" s="18"/>
      <c r="U174" s="18"/>
      <c r="V174" s="18"/>
      <c r="W174" s="18">
        <v>3792</v>
      </c>
      <c r="X174" s="18"/>
    </row>
    <row r="175" spans="1:24" ht="36" customHeight="1">
      <c r="A175" s="3" t="s">
        <v>983</v>
      </c>
      <c r="B175" s="1"/>
      <c r="C175" s="14"/>
      <c r="D175" s="14"/>
      <c r="E175" s="14"/>
      <c r="F175" s="14"/>
      <c r="G175" s="14"/>
      <c r="H175" s="14"/>
      <c r="I175" s="14"/>
      <c r="J175" s="14"/>
      <c r="K175" s="14"/>
      <c r="L175" s="14"/>
      <c r="M175" s="15"/>
      <c r="N175" s="14"/>
      <c r="O175" s="14"/>
      <c r="P175" s="14"/>
      <c r="Q175" s="14"/>
      <c r="R175" s="14"/>
      <c r="S175" s="14"/>
      <c r="T175" s="14"/>
      <c r="U175" s="14"/>
      <c r="V175" s="14"/>
      <c r="W175" s="14"/>
      <c r="X175" s="14">
        <v>1988</v>
      </c>
    </row>
    <row r="176" spans="1:24" ht="22" customHeight="1">
      <c r="A176" s="3" t="s">
        <v>984</v>
      </c>
      <c r="B176" s="1"/>
      <c r="C176" s="14"/>
      <c r="D176" s="14"/>
      <c r="E176" s="14"/>
      <c r="F176" s="14"/>
      <c r="G176" s="14"/>
      <c r="H176" s="14"/>
      <c r="I176" s="14"/>
      <c r="J176" s="14"/>
      <c r="K176" s="14"/>
      <c r="L176" s="14"/>
      <c r="M176" s="15"/>
      <c r="N176" s="14"/>
      <c r="O176" s="14"/>
      <c r="P176" s="14"/>
      <c r="Q176" s="14"/>
      <c r="R176" s="14"/>
      <c r="S176" s="14"/>
      <c r="T176" s="14"/>
      <c r="U176" s="14"/>
      <c r="V176" s="14"/>
      <c r="W176" s="14"/>
      <c r="X176" s="14">
        <v>1384</v>
      </c>
    </row>
    <row r="177" spans="1:24" ht="24" customHeight="1">
      <c r="A177" s="16" t="s">
        <v>985</v>
      </c>
      <c r="B177" s="17"/>
      <c r="C177" s="18"/>
      <c r="D177" s="18"/>
      <c r="E177" s="18"/>
      <c r="F177" s="18"/>
      <c r="G177" s="18"/>
      <c r="H177" s="18"/>
      <c r="I177" s="18"/>
      <c r="J177" s="18"/>
      <c r="K177" s="18"/>
      <c r="L177" s="18"/>
      <c r="M177" s="20"/>
      <c r="N177" s="18"/>
      <c r="O177" s="18"/>
      <c r="P177" s="18"/>
      <c r="Q177" s="18"/>
      <c r="R177" s="18"/>
      <c r="S177" s="18"/>
      <c r="T177" s="18"/>
      <c r="U177" s="18"/>
      <c r="V177" s="18"/>
      <c r="W177" s="18"/>
      <c r="X177" s="18">
        <v>3977</v>
      </c>
    </row>
    <row r="178" spans="1:24" ht="22" customHeight="1">
      <c r="A178" s="3" t="s">
        <v>986</v>
      </c>
      <c r="B178" s="1"/>
      <c r="C178" s="14"/>
      <c r="D178" s="14"/>
      <c r="E178" s="14"/>
      <c r="F178" s="14"/>
      <c r="G178" s="14"/>
      <c r="H178" s="14"/>
      <c r="I178" s="14"/>
      <c r="J178" s="14"/>
      <c r="K178" s="14"/>
      <c r="L178" s="14"/>
      <c r="M178" s="15"/>
      <c r="N178" s="14"/>
      <c r="O178" s="14"/>
      <c r="P178" s="14"/>
      <c r="Q178" s="14"/>
      <c r="R178" s="14"/>
      <c r="S178" s="14"/>
      <c r="T178" s="14">
        <v>46</v>
      </c>
      <c r="U178" s="14"/>
      <c r="V178" s="14"/>
      <c r="W178" s="14"/>
      <c r="X178" s="14">
        <v>0</v>
      </c>
    </row>
    <row r="179" spans="1:24" ht="36" customHeight="1">
      <c r="A179" s="3" t="s">
        <v>987</v>
      </c>
      <c r="B179" s="1"/>
      <c r="C179" s="14"/>
      <c r="D179" s="14"/>
      <c r="E179" s="14"/>
      <c r="F179" s="14"/>
      <c r="G179" s="14"/>
      <c r="H179" s="14"/>
      <c r="I179" s="14"/>
      <c r="J179" s="14"/>
      <c r="K179" s="14"/>
      <c r="L179" s="14"/>
      <c r="M179" s="15"/>
      <c r="N179" s="14"/>
      <c r="O179" s="14"/>
      <c r="P179" s="14"/>
      <c r="Q179" s="14"/>
      <c r="R179" s="14"/>
      <c r="S179" s="14"/>
      <c r="T179" s="14">
        <v>50</v>
      </c>
      <c r="U179" s="14"/>
      <c r="V179" s="14"/>
      <c r="W179" s="14"/>
      <c r="X179" s="14">
        <v>0</v>
      </c>
    </row>
    <row r="180" spans="1:24" ht="22" customHeight="1">
      <c r="A180" s="3"/>
      <c r="B180" s="1"/>
      <c r="C180" s="2"/>
      <c r="D180" s="2"/>
      <c r="E180" s="2"/>
      <c r="F180" s="2"/>
      <c r="G180" s="2"/>
      <c r="H180" s="2"/>
      <c r="I180" s="2"/>
      <c r="J180" s="2"/>
      <c r="K180" s="2"/>
      <c r="L180" s="2"/>
      <c r="M180" s="2"/>
      <c r="N180" s="2"/>
      <c r="O180" s="2"/>
      <c r="P180" s="2"/>
      <c r="Q180" s="2"/>
      <c r="R180" s="2"/>
      <c r="S180" s="2"/>
      <c r="T180" s="2"/>
      <c r="U180" s="2"/>
      <c r="V180" s="2"/>
      <c r="W180" s="2"/>
      <c r="X180" s="2"/>
    </row>
    <row r="181" spans="1:24" ht="22" customHeight="1">
      <c r="A181" s="174" t="s">
        <v>849</v>
      </c>
      <c r="B181" s="174"/>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row>
    <row r="182" spans="1:24" ht="18" customHeight="1">
      <c r="A182" s="163" t="s">
        <v>875</v>
      </c>
      <c r="B182" s="16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row>
    <row r="183" spans="1:24" ht="22" customHeight="1">
      <c r="A183" s="3" t="s">
        <v>928</v>
      </c>
      <c r="B183" s="1"/>
      <c r="C183" s="14"/>
      <c r="D183" s="14"/>
      <c r="E183" s="14"/>
      <c r="F183" s="14"/>
      <c r="G183" s="14"/>
      <c r="H183" s="14"/>
      <c r="I183" s="14"/>
      <c r="J183" s="14"/>
      <c r="K183" s="14"/>
      <c r="L183" s="14"/>
      <c r="M183" s="15"/>
      <c r="N183" s="14"/>
      <c r="O183" s="14">
        <v>6</v>
      </c>
      <c r="P183" s="14"/>
      <c r="Q183" s="14"/>
      <c r="R183" s="14"/>
      <c r="S183" s="14"/>
      <c r="T183" s="14"/>
      <c r="U183" s="14"/>
      <c r="V183" s="14"/>
      <c r="W183" s="14"/>
      <c r="X183" s="14"/>
    </row>
    <row r="184" spans="1:24" ht="36" customHeight="1">
      <c r="A184" s="16" t="s">
        <v>920</v>
      </c>
      <c r="B184" s="17"/>
      <c r="C184" s="18"/>
      <c r="D184" s="18"/>
      <c r="E184" s="18"/>
      <c r="F184" s="18"/>
      <c r="G184" s="18"/>
      <c r="H184" s="18"/>
      <c r="I184" s="18"/>
      <c r="J184" s="18"/>
      <c r="K184" s="18"/>
      <c r="L184" s="18"/>
      <c r="M184" s="20"/>
      <c r="N184" s="18"/>
      <c r="O184" s="18">
        <v>170</v>
      </c>
      <c r="P184" s="18">
        <v>415</v>
      </c>
      <c r="Q184" s="18"/>
      <c r="R184" s="18"/>
      <c r="S184" s="18">
        <v>426</v>
      </c>
      <c r="T184" s="18">
        <v>567</v>
      </c>
      <c r="U184" s="18"/>
      <c r="V184" s="18"/>
      <c r="W184" s="18">
        <v>182</v>
      </c>
      <c r="X184" s="18">
        <v>367</v>
      </c>
    </row>
    <row r="185" spans="1:24" ht="36" customHeight="1">
      <c r="A185" s="3" t="s">
        <v>944</v>
      </c>
      <c r="B185" s="1"/>
      <c r="C185" s="14"/>
      <c r="D185" s="14"/>
      <c r="E185" s="14"/>
      <c r="F185" s="14"/>
      <c r="G185" s="14"/>
      <c r="H185" s="14"/>
      <c r="I185" s="14"/>
      <c r="J185" s="14"/>
      <c r="K185" s="14"/>
      <c r="L185" s="14"/>
      <c r="M185" s="15"/>
      <c r="N185" s="14"/>
      <c r="O185" s="14">
        <v>82</v>
      </c>
      <c r="P185" s="14"/>
      <c r="Q185" s="14"/>
      <c r="R185" s="14"/>
      <c r="S185" s="14">
        <v>122</v>
      </c>
      <c r="T185" s="14">
        <v>168</v>
      </c>
      <c r="U185" s="14"/>
      <c r="V185" s="14"/>
      <c r="W185" s="14">
        <v>51</v>
      </c>
      <c r="X185" s="14">
        <v>199</v>
      </c>
    </row>
    <row r="186" spans="1:24" ht="36" customHeight="1">
      <c r="A186" s="3" t="s">
        <v>946</v>
      </c>
      <c r="B186" s="1"/>
      <c r="C186" s="14"/>
      <c r="D186" s="14"/>
      <c r="E186" s="14"/>
      <c r="F186" s="14"/>
      <c r="G186" s="14"/>
      <c r="H186" s="14"/>
      <c r="I186" s="14"/>
      <c r="J186" s="14"/>
      <c r="K186" s="14"/>
      <c r="L186" s="14"/>
      <c r="M186" s="15"/>
      <c r="N186" s="14"/>
      <c r="O186" s="14">
        <v>84</v>
      </c>
      <c r="P186" s="14"/>
      <c r="Q186" s="14"/>
      <c r="R186" s="14"/>
      <c r="S186" s="14">
        <v>217</v>
      </c>
      <c r="T186" s="14">
        <v>290</v>
      </c>
      <c r="U186" s="14"/>
      <c r="V186" s="14"/>
      <c r="W186" s="14">
        <v>72</v>
      </c>
      <c r="X186" s="14">
        <v>109</v>
      </c>
    </row>
    <row r="187" spans="1:24" ht="24" customHeight="1">
      <c r="A187" s="16" t="s">
        <v>942</v>
      </c>
      <c r="B187" s="17"/>
      <c r="C187" s="18"/>
      <c r="D187" s="18"/>
      <c r="E187" s="18"/>
      <c r="F187" s="18"/>
      <c r="G187" s="18"/>
      <c r="H187" s="18"/>
      <c r="I187" s="18"/>
      <c r="J187" s="18"/>
      <c r="K187" s="18"/>
      <c r="L187" s="18"/>
      <c r="M187" s="20"/>
      <c r="N187" s="18"/>
      <c r="O187" s="18">
        <v>170</v>
      </c>
      <c r="P187" s="18">
        <v>415</v>
      </c>
      <c r="Q187" s="18"/>
      <c r="R187" s="18"/>
      <c r="S187" s="18">
        <v>426</v>
      </c>
      <c r="T187" s="18">
        <v>567</v>
      </c>
      <c r="U187" s="18"/>
      <c r="V187" s="18"/>
      <c r="W187" s="18">
        <v>182</v>
      </c>
      <c r="X187" s="18">
        <v>367</v>
      </c>
    </row>
    <row r="188" spans="1:24" ht="36" customHeight="1">
      <c r="A188" s="3" t="s">
        <v>988</v>
      </c>
      <c r="B188" s="1"/>
      <c r="C188" s="14"/>
      <c r="D188" s="14"/>
      <c r="E188" s="14"/>
      <c r="F188" s="14"/>
      <c r="G188" s="14"/>
      <c r="H188" s="14"/>
      <c r="I188" s="14"/>
      <c r="J188" s="14"/>
      <c r="K188" s="14">
        <v>82</v>
      </c>
      <c r="L188" s="14">
        <v>122</v>
      </c>
      <c r="M188" s="15"/>
      <c r="N188" s="14"/>
      <c r="O188" s="14"/>
      <c r="P188" s="14"/>
      <c r="Q188" s="14"/>
      <c r="R188" s="14"/>
      <c r="S188" s="14"/>
      <c r="T188" s="14"/>
      <c r="U188" s="14"/>
      <c r="V188" s="14"/>
      <c r="W188" s="14"/>
      <c r="X188" s="14"/>
    </row>
    <row r="189" spans="1:24" ht="22" customHeight="1">
      <c r="A189" s="3" t="s">
        <v>989</v>
      </c>
      <c r="B189" s="1"/>
      <c r="C189" s="14"/>
      <c r="D189" s="14"/>
      <c r="E189" s="14"/>
      <c r="F189" s="14"/>
      <c r="G189" s="14"/>
      <c r="H189" s="14"/>
      <c r="I189" s="14"/>
      <c r="J189" s="14"/>
      <c r="K189" s="14">
        <v>4</v>
      </c>
      <c r="L189" s="14">
        <v>87</v>
      </c>
      <c r="M189" s="15"/>
      <c r="N189" s="14"/>
      <c r="O189" s="14"/>
      <c r="P189" s="14"/>
      <c r="Q189" s="14"/>
      <c r="R189" s="14"/>
      <c r="S189" s="14"/>
      <c r="T189" s="14"/>
      <c r="U189" s="14"/>
      <c r="V189" s="14"/>
      <c r="W189" s="14"/>
      <c r="X189" s="14"/>
    </row>
    <row r="190" spans="1:24" ht="22" customHeight="1">
      <c r="A190" s="3" t="s">
        <v>990</v>
      </c>
      <c r="B190" s="1"/>
      <c r="C190" s="14"/>
      <c r="D190" s="14"/>
      <c r="E190" s="14"/>
      <c r="F190" s="14"/>
      <c r="G190" s="14"/>
      <c r="H190" s="14"/>
      <c r="I190" s="14"/>
      <c r="J190" s="14"/>
      <c r="K190" s="14">
        <v>84</v>
      </c>
      <c r="L190" s="14">
        <v>217</v>
      </c>
      <c r="M190" s="15"/>
      <c r="N190" s="14"/>
      <c r="O190" s="14"/>
      <c r="P190" s="14"/>
      <c r="Q190" s="14"/>
      <c r="R190" s="14"/>
      <c r="S190" s="14"/>
      <c r="T190" s="14"/>
      <c r="U190" s="14"/>
      <c r="V190" s="14"/>
      <c r="W190" s="14"/>
      <c r="X190" s="14"/>
    </row>
    <row r="191" spans="1:24" ht="22" customHeight="1">
      <c r="A191" s="3" t="s">
        <v>991</v>
      </c>
      <c r="B191" s="1"/>
      <c r="C191" s="14"/>
      <c r="D191" s="14"/>
      <c r="E191" s="14"/>
      <c r="F191" s="14"/>
      <c r="G191" s="14"/>
      <c r="H191" s="14"/>
      <c r="I191" s="14"/>
      <c r="J191" s="14"/>
      <c r="K191" s="14">
        <v>170</v>
      </c>
      <c r="L191" s="14">
        <v>426</v>
      </c>
      <c r="M191" s="15"/>
      <c r="N191" s="14"/>
      <c r="O191" s="14"/>
      <c r="P191" s="14"/>
      <c r="Q191" s="14"/>
      <c r="R191" s="14"/>
      <c r="S191" s="14"/>
      <c r="T191" s="14"/>
      <c r="U191" s="14"/>
      <c r="V191" s="14"/>
      <c r="W191" s="14"/>
      <c r="X191" s="14"/>
    </row>
    <row r="192" spans="1:24" ht="22" customHeight="1">
      <c r="A192" s="3" t="s">
        <v>899</v>
      </c>
      <c r="B192" s="1"/>
      <c r="C192" s="14"/>
      <c r="D192" s="14"/>
      <c r="E192" s="14"/>
      <c r="F192" s="14"/>
      <c r="G192" s="14"/>
      <c r="H192" s="14"/>
      <c r="I192" s="14"/>
      <c r="J192" s="14"/>
      <c r="K192" s="14"/>
      <c r="L192" s="14"/>
      <c r="M192" s="15"/>
      <c r="N192" s="14"/>
      <c r="O192" s="14">
        <v>-84</v>
      </c>
      <c r="P192" s="14">
        <v>-131</v>
      </c>
      <c r="Q192" s="14"/>
      <c r="R192" s="14"/>
      <c r="S192" s="14">
        <v>-153</v>
      </c>
      <c r="T192" s="14">
        <v>-245</v>
      </c>
      <c r="U192" s="14"/>
      <c r="V192" s="14"/>
      <c r="W192" s="14">
        <v>-172</v>
      </c>
      <c r="X192" s="14">
        <v>-231</v>
      </c>
    </row>
    <row r="193" spans="1:24" ht="22" customHeight="1">
      <c r="A193" s="3" t="s">
        <v>900</v>
      </c>
      <c r="B193" s="1"/>
      <c r="C193" s="14"/>
      <c r="D193" s="14"/>
      <c r="E193" s="14"/>
      <c r="F193" s="14"/>
      <c r="G193" s="14"/>
      <c r="H193" s="14"/>
      <c r="I193" s="14"/>
      <c r="J193" s="14"/>
      <c r="K193" s="14"/>
      <c r="L193" s="14"/>
      <c r="M193" s="15"/>
      <c r="N193" s="14"/>
      <c r="O193" s="14">
        <v>0</v>
      </c>
      <c r="P193" s="14">
        <v>0</v>
      </c>
      <c r="Q193" s="14"/>
      <c r="R193" s="14"/>
      <c r="S193" s="14">
        <v>0</v>
      </c>
      <c r="T193" s="14">
        <v>0</v>
      </c>
      <c r="U193" s="14"/>
      <c r="V193" s="14"/>
      <c r="W193" s="14">
        <v>0</v>
      </c>
      <c r="X193" s="14">
        <v>0</v>
      </c>
    </row>
    <row r="194" spans="1:24" ht="22" customHeight="1">
      <c r="A194" s="3" t="s">
        <v>901</v>
      </c>
      <c r="B194" s="1"/>
      <c r="C194" s="14"/>
      <c r="D194" s="14"/>
      <c r="E194" s="14"/>
      <c r="F194" s="14"/>
      <c r="G194" s="14"/>
      <c r="H194" s="14"/>
      <c r="I194" s="14"/>
      <c r="J194" s="14"/>
      <c r="K194" s="14"/>
      <c r="L194" s="14"/>
      <c r="M194" s="15"/>
      <c r="N194" s="14"/>
      <c r="O194" s="14">
        <v>-89</v>
      </c>
      <c r="P194" s="14">
        <v>-153</v>
      </c>
      <c r="Q194" s="14"/>
      <c r="R194" s="14"/>
      <c r="S194" s="14">
        <v>-234</v>
      </c>
      <c r="T194" s="14">
        <v>-309</v>
      </c>
      <c r="U194" s="14"/>
      <c r="V194" s="14"/>
      <c r="W194" s="14">
        <v>-92</v>
      </c>
      <c r="X194" s="14">
        <v>-142</v>
      </c>
    </row>
    <row r="195" spans="1:24" ht="22" customHeight="1">
      <c r="A195" s="3" t="s">
        <v>902</v>
      </c>
      <c r="B195" s="1"/>
      <c r="C195" s="14"/>
      <c r="D195" s="14"/>
      <c r="E195" s="14"/>
      <c r="F195" s="14"/>
      <c r="G195" s="14"/>
      <c r="H195" s="14"/>
      <c r="I195" s="14"/>
      <c r="J195" s="14"/>
      <c r="K195" s="14"/>
      <c r="L195" s="14"/>
      <c r="M195" s="15"/>
      <c r="N195" s="14"/>
      <c r="O195" s="14">
        <v>-173</v>
      </c>
      <c r="P195" s="14">
        <v>-284</v>
      </c>
      <c r="Q195" s="14"/>
      <c r="R195" s="14"/>
      <c r="S195" s="14">
        <v>-387</v>
      </c>
      <c r="T195" s="14">
        <v>-554</v>
      </c>
      <c r="U195" s="14"/>
      <c r="V195" s="14"/>
      <c r="W195" s="14">
        <v>-264</v>
      </c>
      <c r="X195" s="14">
        <v>-373</v>
      </c>
    </row>
    <row r="196" spans="1:24" ht="36" customHeight="1">
      <c r="A196" s="3" t="s">
        <v>903</v>
      </c>
      <c r="B196" s="1"/>
      <c r="C196" s="14"/>
      <c r="D196" s="14"/>
      <c r="E196" s="14"/>
      <c r="F196" s="14"/>
      <c r="G196" s="14"/>
      <c r="H196" s="14"/>
      <c r="I196" s="14"/>
      <c r="J196" s="14"/>
      <c r="K196" s="14"/>
      <c r="L196" s="14"/>
      <c r="M196" s="15"/>
      <c r="N196" s="14"/>
      <c r="O196" s="14">
        <v>-11</v>
      </c>
      <c r="P196" s="14">
        <v>-17</v>
      </c>
      <c r="Q196" s="14"/>
      <c r="R196" s="14"/>
      <c r="S196" s="14">
        <v>-7</v>
      </c>
      <c r="T196" s="14">
        <v>-1</v>
      </c>
      <c r="U196" s="14"/>
      <c r="V196" s="14"/>
      <c r="W196" s="14">
        <v>-1</v>
      </c>
      <c r="X196" s="14">
        <v>3</v>
      </c>
    </row>
    <row r="197" spans="1:24" ht="22" customHeight="1">
      <c r="A197" s="3" t="s">
        <v>904</v>
      </c>
      <c r="B197" s="1"/>
      <c r="C197" s="14"/>
      <c r="D197" s="14"/>
      <c r="E197" s="14"/>
      <c r="F197" s="14"/>
      <c r="G197" s="14"/>
      <c r="H197" s="14"/>
      <c r="I197" s="14"/>
      <c r="J197" s="14"/>
      <c r="K197" s="14"/>
      <c r="L197" s="14"/>
      <c r="M197" s="15"/>
      <c r="N197" s="14"/>
      <c r="O197" s="14">
        <v>-4</v>
      </c>
      <c r="P197" s="14">
        <v>-34</v>
      </c>
      <c r="Q197" s="14"/>
      <c r="R197" s="14"/>
      <c r="S197" s="14">
        <v>-87</v>
      </c>
      <c r="T197" s="14">
        <v>-109</v>
      </c>
      <c r="U197" s="14"/>
      <c r="V197" s="14"/>
      <c r="W197" s="14">
        <v>-59</v>
      </c>
      <c r="X197" s="14">
        <v>-59</v>
      </c>
    </row>
    <row r="198" spans="1:24" ht="22" customHeight="1">
      <c r="A198" s="3" t="s">
        <v>905</v>
      </c>
      <c r="B198" s="1"/>
      <c r="C198" s="14"/>
      <c r="D198" s="14"/>
      <c r="E198" s="14"/>
      <c r="F198" s="14"/>
      <c r="G198" s="14"/>
      <c r="H198" s="14"/>
      <c r="I198" s="14"/>
      <c r="J198" s="14"/>
      <c r="K198" s="14"/>
      <c r="L198" s="14"/>
      <c r="M198" s="15"/>
      <c r="N198" s="14"/>
      <c r="O198" s="14">
        <v>14</v>
      </c>
      <c r="P198" s="14">
        <v>22</v>
      </c>
      <c r="Q198" s="14"/>
      <c r="R198" s="14"/>
      <c r="S198" s="14">
        <v>1</v>
      </c>
      <c r="T198" s="14">
        <v>-1</v>
      </c>
      <c r="U198" s="14"/>
      <c r="V198" s="14"/>
      <c r="W198" s="14">
        <v>12</v>
      </c>
      <c r="X198" s="14">
        <v>23</v>
      </c>
    </row>
    <row r="199" spans="1:24" ht="22" customHeight="1">
      <c r="A199" s="3" t="s">
        <v>906</v>
      </c>
      <c r="B199" s="1"/>
      <c r="C199" s="14"/>
      <c r="D199" s="14"/>
      <c r="E199" s="14"/>
      <c r="F199" s="14"/>
      <c r="G199" s="14"/>
      <c r="H199" s="14"/>
      <c r="I199" s="14"/>
      <c r="J199" s="14"/>
      <c r="K199" s="14"/>
      <c r="L199" s="14"/>
      <c r="M199" s="15"/>
      <c r="N199" s="14"/>
      <c r="O199" s="14">
        <v>-1</v>
      </c>
      <c r="P199" s="14">
        <v>-29</v>
      </c>
      <c r="Q199" s="14"/>
      <c r="R199" s="14"/>
      <c r="S199" s="14">
        <v>-93</v>
      </c>
      <c r="T199" s="14">
        <v>-111</v>
      </c>
      <c r="U199" s="14"/>
      <c r="V199" s="14"/>
      <c r="W199" s="14">
        <v>-48</v>
      </c>
      <c r="X199" s="14">
        <v>-33</v>
      </c>
    </row>
    <row r="200" spans="1:24" ht="22" customHeight="1">
      <c r="A200" s="3" t="s">
        <v>919</v>
      </c>
      <c r="B200" s="1"/>
      <c r="C200" s="14"/>
      <c r="D200" s="14"/>
      <c r="E200" s="14"/>
      <c r="F200" s="14"/>
      <c r="G200" s="14"/>
      <c r="H200" s="14"/>
      <c r="I200" s="14"/>
      <c r="J200" s="14"/>
      <c r="K200" s="14"/>
      <c r="L200" s="14"/>
      <c r="M200" s="15"/>
      <c r="N200" s="14"/>
      <c r="O200" s="14">
        <v>6</v>
      </c>
      <c r="P200" s="14">
        <v>16</v>
      </c>
      <c r="Q200" s="14"/>
      <c r="R200" s="14"/>
      <c r="S200" s="14">
        <v>103</v>
      </c>
      <c r="T200" s="14">
        <v>119</v>
      </c>
      <c r="U200" s="14"/>
      <c r="V200" s="14"/>
      <c r="W200" s="14"/>
      <c r="X200" s="14"/>
    </row>
    <row r="201" spans="1:24" ht="36" customHeight="1">
      <c r="A201" s="3" t="s">
        <v>938</v>
      </c>
      <c r="B201" s="1"/>
      <c r="C201" s="14"/>
      <c r="D201" s="14"/>
      <c r="E201" s="14"/>
      <c r="F201" s="14"/>
      <c r="G201" s="14"/>
      <c r="H201" s="14"/>
      <c r="I201" s="14"/>
      <c r="J201" s="14"/>
      <c r="K201" s="14"/>
      <c r="L201" s="14"/>
      <c r="M201" s="15"/>
      <c r="N201" s="14"/>
      <c r="O201" s="14">
        <v>82</v>
      </c>
      <c r="P201" s="14">
        <v>233</v>
      </c>
      <c r="Q201" s="14"/>
      <c r="R201" s="14"/>
      <c r="S201" s="14">
        <v>122</v>
      </c>
      <c r="T201" s="14">
        <v>168</v>
      </c>
      <c r="U201" s="14"/>
      <c r="V201" s="14"/>
      <c r="W201" s="14"/>
      <c r="X201" s="14"/>
    </row>
    <row r="202" spans="1:24" ht="36" customHeight="1">
      <c r="A202" s="3" t="s">
        <v>940</v>
      </c>
      <c r="B202" s="1"/>
      <c r="C202" s="14"/>
      <c r="D202" s="14"/>
      <c r="E202" s="14"/>
      <c r="F202" s="14"/>
      <c r="G202" s="14"/>
      <c r="H202" s="14"/>
      <c r="I202" s="14"/>
      <c r="J202" s="14"/>
      <c r="K202" s="14"/>
      <c r="L202" s="14"/>
      <c r="M202" s="15"/>
      <c r="N202" s="14"/>
      <c r="O202" s="14">
        <v>84</v>
      </c>
      <c r="P202" s="14">
        <v>148</v>
      </c>
      <c r="Q202" s="14"/>
      <c r="R202" s="14"/>
      <c r="S202" s="14">
        <v>217</v>
      </c>
      <c r="T202" s="14">
        <v>290</v>
      </c>
      <c r="U202" s="14"/>
      <c r="V202" s="14"/>
      <c r="W202" s="14"/>
      <c r="X202" s="14"/>
    </row>
    <row r="203" spans="1:24" ht="22" customHeight="1">
      <c r="A203" s="3" t="s">
        <v>219</v>
      </c>
      <c r="B203" s="1"/>
      <c r="C203" s="14"/>
      <c r="D203" s="14"/>
      <c r="E203" s="14"/>
      <c r="F203" s="14"/>
      <c r="G203" s="14"/>
      <c r="H203" s="14"/>
      <c r="I203" s="14"/>
      <c r="J203" s="14"/>
      <c r="K203" s="14"/>
      <c r="L203" s="14"/>
      <c r="M203" s="15"/>
      <c r="N203" s="14"/>
      <c r="O203" s="14"/>
      <c r="P203" s="14">
        <v>0</v>
      </c>
      <c r="Q203" s="14"/>
      <c r="R203" s="14"/>
      <c r="S203" s="14"/>
      <c r="T203" s="14">
        <v>46</v>
      </c>
      <c r="U203" s="14"/>
      <c r="V203" s="14"/>
      <c r="W203" s="14"/>
      <c r="X203" s="14"/>
    </row>
    <row r="204" spans="1:24" ht="24" customHeight="1">
      <c r="A204" s="16" t="s">
        <v>964</v>
      </c>
      <c r="B204" s="17"/>
      <c r="C204" s="18"/>
      <c r="D204" s="18"/>
      <c r="E204" s="18"/>
      <c r="F204" s="18"/>
      <c r="G204" s="18"/>
      <c r="H204" s="18"/>
      <c r="I204" s="18"/>
      <c r="J204" s="18"/>
      <c r="K204" s="18"/>
      <c r="L204" s="18"/>
      <c r="M204" s="20"/>
      <c r="N204" s="18"/>
      <c r="O204" s="18"/>
      <c r="P204" s="18">
        <v>7</v>
      </c>
      <c r="Q204" s="18"/>
      <c r="R204" s="18"/>
      <c r="S204" s="18"/>
      <c r="T204" s="18">
        <v>308</v>
      </c>
      <c r="U204" s="18"/>
      <c r="V204" s="18"/>
      <c r="W204" s="18"/>
      <c r="X204" s="18"/>
    </row>
    <row r="205" spans="1:24" ht="36" customHeight="1">
      <c r="A205" s="3" t="s">
        <v>979</v>
      </c>
      <c r="B205" s="1"/>
      <c r="C205" s="14"/>
      <c r="D205" s="14"/>
      <c r="E205" s="14"/>
      <c r="F205" s="14"/>
      <c r="G205" s="14"/>
      <c r="H205" s="14"/>
      <c r="I205" s="14"/>
      <c r="J205" s="14"/>
      <c r="K205" s="14"/>
      <c r="L205" s="14"/>
      <c r="M205" s="15"/>
      <c r="N205" s="14"/>
      <c r="O205" s="14"/>
      <c r="P205" s="14"/>
      <c r="Q205" s="14"/>
      <c r="R205" s="14"/>
      <c r="S205" s="14">
        <v>103</v>
      </c>
      <c r="T205" s="14"/>
      <c r="U205" s="14"/>
      <c r="V205" s="14"/>
      <c r="W205" s="14">
        <v>18</v>
      </c>
      <c r="X205" s="14"/>
    </row>
    <row r="206" spans="1:24" ht="36" customHeight="1">
      <c r="A206" s="3" t="s">
        <v>975</v>
      </c>
      <c r="B206" s="1"/>
      <c r="C206" s="14"/>
      <c r="D206" s="14"/>
      <c r="E206" s="14"/>
      <c r="F206" s="14"/>
      <c r="G206" s="14"/>
      <c r="H206" s="14"/>
      <c r="I206" s="14"/>
      <c r="J206" s="14"/>
      <c r="K206" s="14"/>
      <c r="L206" s="14"/>
      <c r="M206" s="15"/>
      <c r="N206" s="14"/>
      <c r="O206" s="14"/>
      <c r="P206" s="14"/>
      <c r="Q206" s="14"/>
      <c r="R206" s="14"/>
      <c r="S206" s="14"/>
      <c r="T206" s="14"/>
      <c r="U206" s="14"/>
      <c r="V206" s="14"/>
      <c r="W206" s="14">
        <v>51</v>
      </c>
      <c r="X206" s="14">
        <v>199</v>
      </c>
    </row>
    <row r="207" spans="1:24" ht="22" customHeight="1">
      <c r="A207" s="3" t="s">
        <v>976</v>
      </c>
      <c r="B207" s="1"/>
      <c r="C207" s="14"/>
      <c r="D207" s="14"/>
      <c r="E207" s="14"/>
      <c r="F207" s="14"/>
      <c r="G207" s="14"/>
      <c r="H207" s="14"/>
      <c r="I207" s="14"/>
      <c r="J207" s="14"/>
      <c r="K207" s="14"/>
      <c r="L207" s="14"/>
      <c r="M207" s="15"/>
      <c r="N207" s="14"/>
      <c r="O207" s="14"/>
      <c r="P207" s="14"/>
      <c r="Q207" s="14"/>
      <c r="R207" s="14"/>
      <c r="S207" s="14"/>
      <c r="T207" s="14"/>
      <c r="U207" s="14"/>
      <c r="V207" s="14"/>
      <c r="W207" s="14">
        <v>59</v>
      </c>
      <c r="X207" s="14">
        <v>59</v>
      </c>
    </row>
    <row r="208" spans="1:24" ht="22" customHeight="1">
      <c r="A208" s="3" t="s">
        <v>977</v>
      </c>
      <c r="B208" s="1"/>
      <c r="C208" s="14"/>
      <c r="D208" s="14"/>
      <c r="E208" s="14"/>
      <c r="F208" s="14"/>
      <c r="G208" s="14"/>
      <c r="H208" s="14"/>
      <c r="I208" s="14"/>
      <c r="J208" s="14"/>
      <c r="K208" s="14"/>
      <c r="L208" s="14"/>
      <c r="M208" s="15"/>
      <c r="N208" s="14"/>
      <c r="O208" s="14"/>
      <c r="P208" s="14"/>
      <c r="Q208" s="14"/>
      <c r="R208" s="14"/>
      <c r="S208" s="14"/>
      <c r="T208" s="14"/>
      <c r="U208" s="14"/>
      <c r="V208" s="14"/>
      <c r="W208" s="14">
        <v>72</v>
      </c>
      <c r="X208" s="14">
        <v>109</v>
      </c>
    </row>
    <row r="209" spans="1:24" ht="22" customHeight="1">
      <c r="A209" s="3" t="s">
        <v>978</v>
      </c>
      <c r="B209" s="1"/>
      <c r="C209" s="14"/>
      <c r="D209" s="14"/>
      <c r="E209" s="14"/>
      <c r="F209" s="14"/>
      <c r="G209" s="14"/>
      <c r="H209" s="14"/>
      <c r="I209" s="14"/>
      <c r="J209" s="14"/>
      <c r="K209" s="14"/>
      <c r="L209" s="14"/>
      <c r="M209" s="15"/>
      <c r="N209" s="14"/>
      <c r="O209" s="14"/>
      <c r="P209" s="14"/>
      <c r="Q209" s="14"/>
      <c r="R209" s="14"/>
      <c r="S209" s="14"/>
      <c r="T209" s="14"/>
      <c r="U209" s="14"/>
      <c r="V209" s="14"/>
      <c r="W209" s="14">
        <v>182</v>
      </c>
      <c r="X209" s="14">
        <v>367</v>
      </c>
    </row>
    <row r="210" spans="1:24" ht="36" customHeight="1">
      <c r="A210" s="3" t="s">
        <v>968</v>
      </c>
      <c r="B210" s="1"/>
      <c r="C210" s="14"/>
      <c r="D210" s="14"/>
      <c r="E210" s="14"/>
      <c r="F210" s="14"/>
      <c r="G210" s="14"/>
      <c r="H210" s="14"/>
      <c r="I210" s="14"/>
      <c r="J210" s="14"/>
      <c r="K210" s="14"/>
      <c r="L210" s="14"/>
      <c r="M210" s="15"/>
      <c r="N210" s="14"/>
      <c r="O210" s="14"/>
      <c r="P210" s="14"/>
      <c r="Q210" s="14"/>
      <c r="R210" s="14"/>
      <c r="S210" s="14"/>
      <c r="T210" s="14">
        <v>119</v>
      </c>
      <c r="U210" s="14"/>
      <c r="V210" s="14"/>
      <c r="W210" s="14"/>
      <c r="X210" s="14">
        <v>27</v>
      </c>
    </row>
    <row r="211" spans="1:24" ht="22" customHeight="1">
      <c r="A211" s="3" t="s">
        <v>986</v>
      </c>
      <c r="B211" s="1"/>
      <c r="C211" s="14"/>
      <c r="D211" s="14"/>
      <c r="E211" s="14"/>
      <c r="F211" s="14"/>
      <c r="G211" s="14"/>
      <c r="H211" s="14"/>
      <c r="I211" s="14"/>
      <c r="J211" s="14"/>
      <c r="K211" s="14"/>
      <c r="L211" s="14"/>
      <c r="M211" s="15"/>
      <c r="N211" s="14"/>
      <c r="O211" s="14"/>
      <c r="P211" s="14"/>
      <c r="Q211" s="14"/>
      <c r="R211" s="14"/>
      <c r="S211" s="14"/>
      <c r="T211" s="14">
        <v>46</v>
      </c>
      <c r="U211" s="14"/>
      <c r="V211" s="14"/>
      <c r="W211" s="14"/>
      <c r="X211" s="14">
        <v>0</v>
      </c>
    </row>
    <row r="212" spans="1:24" ht="36" customHeight="1">
      <c r="A212" s="3" t="s">
        <v>987</v>
      </c>
      <c r="B212" s="1"/>
      <c r="C212" s="14"/>
      <c r="D212" s="14"/>
      <c r="E212" s="14"/>
      <c r="F212" s="14"/>
      <c r="G212" s="14"/>
      <c r="H212" s="14"/>
      <c r="I212" s="14"/>
      <c r="J212" s="14"/>
      <c r="K212" s="14"/>
      <c r="L212" s="14"/>
      <c r="M212" s="15"/>
      <c r="N212" s="14"/>
      <c r="O212" s="14"/>
      <c r="P212" s="14"/>
      <c r="Q212" s="14"/>
      <c r="R212" s="14"/>
      <c r="S212" s="14"/>
      <c r="T212" s="14">
        <v>50</v>
      </c>
      <c r="U212" s="14"/>
      <c r="V212" s="14"/>
      <c r="W212" s="14"/>
      <c r="X212" s="14">
        <v>0</v>
      </c>
    </row>
    <row r="213" spans="1:24" ht="24" customHeight="1">
      <c r="A213" s="16" t="s">
        <v>198</v>
      </c>
      <c r="B213" s="17"/>
      <c r="C213" s="18"/>
      <c r="D213" s="18"/>
      <c r="E213" s="18"/>
      <c r="F213" s="18"/>
      <c r="G213" s="18"/>
      <c r="H213" s="18"/>
      <c r="I213" s="18"/>
      <c r="J213" s="18"/>
      <c r="K213" s="18"/>
      <c r="L213" s="18"/>
      <c r="M213" s="20"/>
      <c r="N213" s="18"/>
      <c r="O213" s="18"/>
      <c r="P213" s="18"/>
      <c r="Q213" s="18"/>
      <c r="R213" s="18"/>
      <c r="S213" s="18"/>
      <c r="T213" s="18">
        <v>308</v>
      </c>
      <c r="U213" s="18"/>
      <c r="V213" s="18"/>
      <c r="W213" s="18"/>
      <c r="X213" s="18">
        <v>-254</v>
      </c>
    </row>
    <row r="214" spans="1:24" ht="22" customHeight="1">
      <c r="A214" s="3"/>
      <c r="B214" s="1"/>
      <c r="C214" s="2"/>
      <c r="D214" s="2"/>
      <c r="E214" s="2"/>
      <c r="F214" s="2"/>
      <c r="G214" s="2"/>
      <c r="H214" s="2"/>
      <c r="I214" s="2"/>
      <c r="J214" s="2"/>
      <c r="K214" s="2"/>
      <c r="L214" s="2"/>
      <c r="M214" s="2"/>
      <c r="N214" s="2"/>
      <c r="O214" s="2"/>
      <c r="P214" s="2"/>
      <c r="Q214" s="2"/>
      <c r="R214" s="2"/>
      <c r="S214" s="2"/>
      <c r="T214" s="2"/>
      <c r="U214" s="2"/>
      <c r="V214" s="2"/>
      <c r="W214" s="2"/>
      <c r="X214" s="2"/>
    </row>
    <row r="215" spans="1:24" ht="22" customHeight="1">
      <c r="A215" s="174" t="s">
        <v>850</v>
      </c>
      <c r="B215" s="174"/>
      <c r="C215" s="175"/>
      <c r="D215" s="175"/>
      <c r="E215" s="175"/>
      <c r="F215" s="175"/>
      <c r="G215" s="175"/>
      <c r="H215" s="175"/>
      <c r="I215" s="175"/>
      <c r="J215" s="175"/>
      <c r="K215" s="175"/>
      <c r="L215" s="175"/>
      <c r="M215" s="175"/>
      <c r="N215" s="175"/>
      <c r="O215" s="175"/>
      <c r="P215" s="175"/>
      <c r="Q215" s="175"/>
      <c r="R215" s="175"/>
      <c r="S215" s="175"/>
      <c r="T215" s="175"/>
      <c r="U215" s="175"/>
      <c r="V215" s="175"/>
      <c r="W215" s="175"/>
      <c r="X215" s="175"/>
    </row>
    <row r="216" spans="1:24" ht="18" customHeight="1">
      <c r="A216" s="163" t="s">
        <v>992</v>
      </c>
      <c r="B216" s="16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row>
    <row r="217" spans="1:24" ht="66" customHeight="1">
      <c r="A217" s="163" t="s">
        <v>993</v>
      </c>
      <c r="B217" s="163"/>
      <c r="C217" s="173"/>
      <c r="D217" s="173"/>
      <c r="E217" s="173"/>
      <c r="F217" s="173"/>
      <c r="G217" s="173"/>
      <c r="H217" s="173"/>
      <c r="I217" s="173"/>
      <c r="J217" s="173"/>
      <c r="K217" s="173"/>
      <c r="L217" s="173"/>
      <c r="M217" s="2"/>
      <c r="N217" s="2"/>
      <c r="O217" s="2"/>
      <c r="P217" s="2"/>
      <c r="Q217" s="2"/>
      <c r="R217" s="2"/>
      <c r="S217" s="2"/>
      <c r="T217" s="2"/>
      <c r="U217" s="2"/>
      <c r="V217" s="2"/>
      <c r="W217" s="2"/>
      <c r="X217" s="2"/>
    </row>
    <row r="218" spans="1:24" ht="50" customHeight="1">
      <c r="A218" s="163" t="s">
        <v>994</v>
      </c>
      <c r="B218" s="163"/>
      <c r="C218" s="173"/>
      <c r="D218" s="173"/>
      <c r="E218" s="173"/>
      <c r="F218" s="173"/>
      <c r="G218" s="173"/>
      <c r="H218" s="173"/>
      <c r="I218" s="173"/>
      <c r="J218" s="173"/>
      <c r="K218" s="173"/>
      <c r="L218" s="173"/>
      <c r="M218" s="2"/>
      <c r="N218" s="2"/>
      <c r="O218" s="2"/>
      <c r="P218" s="2"/>
      <c r="Q218" s="2"/>
      <c r="R218" s="2"/>
      <c r="S218" s="2"/>
      <c r="T218" s="2"/>
      <c r="U218" s="2"/>
      <c r="V218" s="2"/>
      <c r="W218" s="2"/>
      <c r="X218" s="2"/>
    </row>
    <row r="219" spans="1:24" ht="50" customHeight="1">
      <c r="A219" s="163" t="s">
        <v>995</v>
      </c>
      <c r="B219" s="163"/>
      <c r="C219" s="173"/>
      <c r="D219" s="173"/>
      <c r="E219" s="173"/>
      <c r="F219" s="173"/>
      <c r="G219" s="173"/>
      <c r="H219" s="173"/>
      <c r="I219" s="173"/>
      <c r="J219" s="173"/>
      <c r="K219" s="173"/>
      <c r="L219" s="173"/>
      <c r="M219" s="2"/>
      <c r="N219" s="2"/>
      <c r="O219" s="2"/>
      <c r="P219" s="2"/>
      <c r="Q219" s="2"/>
      <c r="R219" s="2"/>
      <c r="S219" s="2"/>
      <c r="T219" s="2"/>
      <c r="U219" s="2"/>
      <c r="V219" s="2"/>
      <c r="W219" s="2"/>
      <c r="X219" s="2"/>
    </row>
    <row r="220" spans="1:24" ht="36" customHeight="1">
      <c r="A220" s="163" t="s">
        <v>996</v>
      </c>
      <c r="B220" s="163"/>
      <c r="C220" s="173"/>
      <c r="D220" s="173"/>
      <c r="E220" s="173"/>
      <c r="F220" s="173"/>
      <c r="G220" s="173"/>
      <c r="H220" s="173"/>
      <c r="I220" s="173"/>
      <c r="J220" s="173"/>
      <c r="K220" s="173"/>
      <c r="L220" s="173"/>
      <c r="M220" s="2"/>
      <c r="N220" s="2"/>
      <c r="O220" s="2"/>
      <c r="P220" s="2"/>
      <c r="Q220" s="2"/>
      <c r="R220" s="2"/>
      <c r="S220" s="2"/>
      <c r="T220" s="2"/>
      <c r="U220" s="2"/>
      <c r="V220" s="2"/>
      <c r="W220" s="2"/>
      <c r="X220" s="2"/>
    </row>
    <row r="221" spans="1:24" ht="66" customHeight="1">
      <c r="A221" s="163" t="s">
        <v>997</v>
      </c>
      <c r="B221" s="163"/>
      <c r="C221" s="173"/>
      <c r="D221" s="173"/>
      <c r="E221" s="173"/>
      <c r="F221" s="173"/>
      <c r="G221" s="173"/>
      <c r="H221" s="173"/>
      <c r="I221" s="173"/>
      <c r="J221" s="173"/>
      <c r="K221" s="173"/>
      <c r="L221" s="173"/>
      <c r="M221" s="2"/>
      <c r="N221" s="2"/>
      <c r="O221" s="2"/>
      <c r="P221" s="2"/>
      <c r="Q221" s="2"/>
      <c r="R221" s="2"/>
      <c r="S221" s="2"/>
      <c r="T221" s="2"/>
      <c r="U221" s="2"/>
      <c r="V221" s="2"/>
      <c r="W221" s="2"/>
      <c r="X221" s="2"/>
    </row>
    <row r="222" spans="1:24" ht="50" customHeight="1">
      <c r="A222" s="163" t="s">
        <v>998</v>
      </c>
      <c r="B222" s="163"/>
      <c r="C222" s="173"/>
      <c r="D222" s="173"/>
      <c r="E222" s="173"/>
      <c r="F222" s="173"/>
      <c r="G222" s="173"/>
      <c r="H222" s="173"/>
      <c r="I222" s="173"/>
      <c r="J222" s="173"/>
      <c r="K222" s="173"/>
      <c r="L222" s="173"/>
      <c r="M222" s="2"/>
      <c r="N222" s="2"/>
      <c r="O222" s="2"/>
      <c r="P222" s="2"/>
      <c r="Q222" s="2"/>
      <c r="R222" s="2"/>
      <c r="S222" s="2"/>
      <c r="T222" s="2"/>
      <c r="U222" s="2"/>
      <c r="V222" s="2"/>
      <c r="W222" s="2"/>
      <c r="X222" s="2"/>
    </row>
    <row r="223" spans="1:24" ht="36" customHeight="1">
      <c r="A223" s="163" t="s">
        <v>999</v>
      </c>
      <c r="B223" s="163"/>
      <c r="C223" s="173"/>
      <c r="D223" s="173"/>
      <c r="E223" s="173"/>
      <c r="F223" s="173"/>
      <c r="G223" s="173"/>
      <c r="H223" s="173"/>
      <c r="I223" s="173"/>
      <c r="J223" s="173"/>
      <c r="K223" s="173"/>
      <c r="L223" s="173"/>
      <c r="M223" s="2"/>
      <c r="N223" s="2"/>
      <c r="O223" s="2"/>
      <c r="P223" s="2"/>
      <c r="Q223" s="2"/>
      <c r="R223" s="2"/>
      <c r="S223" s="2"/>
      <c r="T223" s="2"/>
      <c r="U223" s="2"/>
      <c r="V223" s="2"/>
      <c r="W223" s="2"/>
      <c r="X223" s="2"/>
    </row>
    <row r="224" spans="1:24" ht="66" customHeight="1">
      <c r="A224" s="163" t="s">
        <v>1000</v>
      </c>
      <c r="B224" s="163"/>
      <c r="C224" s="173"/>
      <c r="D224" s="173"/>
      <c r="E224" s="173"/>
      <c r="F224" s="173"/>
      <c r="G224" s="173"/>
      <c r="H224" s="173"/>
      <c r="I224" s="173"/>
      <c r="J224" s="173"/>
      <c r="K224" s="173"/>
      <c r="L224" s="173"/>
      <c r="M224" s="2"/>
      <c r="N224" s="2"/>
      <c r="O224" s="2"/>
      <c r="P224" s="2"/>
      <c r="Q224" s="2"/>
      <c r="R224" s="2"/>
      <c r="S224" s="2"/>
      <c r="T224" s="2"/>
      <c r="U224" s="2"/>
      <c r="V224" s="2"/>
      <c r="W224" s="2"/>
      <c r="X224" s="2"/>
    </row>
    <row r="225" spans="1:24" ht="66" customHeight="1">
      <c r="A225" s="163" t="s">
        <v>1001</v>
      </c>
      <c r="B225" s="163"/>
      <c r="C225" s="173"/>
      <c r="D225" s="173"/>
      <c r="E225" s="173"/>
      <c r="F225" s="173"/>
      <c r="G225" s="173"/>
      <c r="H225" s="173"/>
      <c r="I225" s="173"/>
      <c r="J225" s="173"/>
      <c r="K225" s="173"/>
      <c r="L225" s="173"/>
      <c r="M225" s="2"/>
      <c r="N225" s="2"/>
      <c r="O225" s="2"/>
      <c r="P225" s="2"/>
      <c r="Q225" s="2"/>
      <c r="R225" s="2"/>
      <c r="S225" s="2"/>
      <c r="T225" s="2"/>
      <c r="U225" s="2"/>
      <c r="V225" s="2"/>
      <c r="W225" s="2"/>
      <c r="X225" s="2"/>
    </row>
    <row r="226" spans="1:24" ht="22" customHeight="1">
      <c r="A226" s="3"/>
      <c r="B226" s="1"/>
      <c r="C226" s="2"/>
      <c r="D226" s="2"/>
      <c r="E226" s="2"/>
      <c r="F226" s="2"/>
      <c r="G226" s="2"/>
      <c r="H226" s="2"/>
      <c r="I226" s="2"/>
      <c r="J226" s="2"/>
      <c r="K226" s="2"/>
      <c r="L226" s="2"/>
      <c r="M226" s="2"/>
      <c r="N226" s="2"/>
      <c r="O226" s="2"/>
      <c r="P226" s="2"/>
      <c r="Q226" s="2"/>
      <c r="R226" s="2"/>
      <c r="S226" s="2"/>
      <c r="T226" s="2"/>
      <c r="U226" s="2"/>
      <c r="V226" s="2"/>
      <c r="W226" s="2"/>
      <c r="X226" s="2"/>
    </row>
  </sheetData>
  <mergeCells count="32">
    <mergeCell ref="A225:L225"/>
    <mergeCell ref="A220:L220"/>
    <mergeCell ref="A221:L221"/>
    <mergeCell ref="A222:L222"/>
    <mergeCell ref="A223:L223"/>
    <mergeCell ref="A224:L224"/>
    <mergeCell ref="A215:X215"/>
    <mergeCell ref="A216:X216"/>
    <mergeCell ref="A217:L217"/>
    <mergeCell ref="A218:L218"/>
    <mergeCell ref="A219:L219"/>
    <mergeCell ref="A59:X59"/>
    <mergeCell ref="A64:X64"/>
    <mergeCell ref="A65:X65"/>
    <mergeCell ref="A181:X181"/>
    <mergeCell ref="A182:X182"/>
    <mergeCell ref="A32:X32"/>
    <mergeCell ref="A40:X40"/>
    <mergeCell ref="A41:X41"/>
    <mergeCell ref="A50:X50"/>
    <mergeCell ref="A51:X51"/>
    <mergeCell ref="C9:L9"/>
    <mergeCell ref="N9:X9"/>
    <mergeCell ref="C10:L10"/>
    <mergeCell ref="N10:X10"/>
    <mergeCell ref="A14:X14"/>
    <mergeCell ref="A1:X1"/>
    <mergeCell ref="A2:X2"/>
    <mergeCell ref="C7:L7"/>
    <mergeCell ref="N7:X7"/>
    <mergeCell ref="C8:L8"/>
    <mergeCell ref="N8:X8"/>
  </mergeCells>
  <phoneticPr fontId="44" type="noConversion"/>
  <hyperlinks>
    <hyperlink ref="A3" location="'Contents'!A1" display="Metric (Return to Contents)" xr:uid="{00000000-0004-0000-0B00-000000000000}"/>
    <hyperlink ref="C7" location="'Acquisitions &amp; Intangibles'!A14" display="Amortizable intangible assets: gross, accumulated amortization and net" xr:uid="{00000000-0004-0000-0B00-000001000000}"/>
    <hyperlink ref="N7" location="'Acquisitions &amp; Intangibles'!A32" display="Indefinite-lived intangible assets" xr:uid="{00000000-0004-0000-0B00-000002000000}"/>
    <hyperlink ref="C8" location="'Acquisitions &amp; Intangibles'!A40" display="Goodwill balances by current segment" xr:uid="{00000000-0004-0000-0B00-000003000000}"/>
    <hyperlink ref="N8" location="'Acquisitions &amp; Intangibles'!A50" display="Goodwill balances by historical seven-segment structure" xr:uid="{00000000-0004-0000-0B00-000004000000}"/>
    <hyperlink ref="C9" location="'Acquisitions &amp; Intangibles'!A59" display="Consolidated goodwill changes" xr:uid="{00000000-0004-0000-0B00-000005000000}"/>
    <hyperlink ref="N9" location="'Acquisitions &amp; Intangibles'!A64" display="Restructuring charges and liabilities" xr:uid="{00000000-0004-0000-0B00-000006000000}"/>
    <hyperlink ref="C10" location="'Acquisitions &amp; Intangibles'!A181" display="Restructuring charges and liabilities: YTD" xr:uid="{00000000-0004-0000-0B00-000007000000}"/>
    <hyperlink ref="N10" location="'Acquisitions &amp; Intangibles'!A215" display="Significant transactions and accounting treatment" xr:uid="{00000000-0004-0000-0B00-000008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B08958"/>
  </sheetPr>
  <dimension ref="A1:X249"/>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1002</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1003</v>
      </c>
      <c r="D7" s="176"/>
      <c r="E7" s="176"/>
      <c r="F7" s="176"/>
      <c r="G7" s="176"/>
      <c r="H7" s="176"/>
      <c r="I7" s="176"/>
      <c r="J7" s="176"/>
      <c r="K7" s="176"/>
      <c r="L7" s="176"/>
      <c r="M7" s="2"/>
      <c r="N7" s="176" t="s">
        <v>1004</v>
      </c>
      <c r="O7" s="176"/>
      <c r="P7" s="176"/>
      <c r="Q7" s="176"/>
      <c r="R7" s="176"/>
      <c r="S7" s="176"/>
      <c r="T7" s="176"/>
      <c r="U7" s="176"/>
      <c r="V7" s="176"/>
      <c r="W7" s="176"/>
      <c r="X7" s="176"/>
    </row>
    <row r="8" spans="1:24" ht="22" customHeight="1">
      <c r="A8" s="3"/>
      <c r="B8" s="1"/>
      <c r="C8" s="176" t="s">
        <v>1005</v>
      </c>
      <c r="D8" s="176"/>
      <c r="E8" s="176"/>
      <c r="F8" s="176"/>
      <c r="G8" s="176"/>
      <c r="H8" s="176"/>
      <c r="I8" s="176"/>
      <c r="J8" s="176"/>
      <c r="K8" s="176"/>
      <c r="L8" s="176"/>
      <c r="M8" s="2"/>
      <c r="N8" s="176" t="s">
        <v>1006</v>
      </c>
      <c r="O8" s="176"/>
      <c r="P8" s="176"/>
      <c r="Q8" s="176"/>
      <c r="R8" s="176"/>
      <c r="S8" s="176"/>
      <c r="T8" s="176"/>
      <c r="U8" s="176"/>
      <c r="V8" s="176"/>
      <c r="W8" s="176"/>
      <c r="X8" s="176"/>
    </row>
    <row r="9" spans="1:24" ht="22" customHeight="1">
      <c r="A9" s="3"/>
      <c r="B9" s="1"/>
      <c r="C9" s="2"/>
      <c r="D9" s="2"/>
      <c r="E9" s="2"/>
      <c r="F9" s="2"/>
      <c r="G9" s="2"/>
      <c r="H9" s="2"/>
      <c r="I9" s="2"/>
      <c r="J9" s="2"/>
      <c r="K9" s="2"/>
      <c r="L9" s="2"/>
      <c r="M9" s="2"/>
      <c r="N9" s="2"/>
      <c r="O9" s="2"/>
      <c r="P9" s="2"/>
      <c r="Q9" s="2"/>
      <c r="R9" s="2"/>
      <c r="S9" s="2"/>
      <c r="T9" s="2"/>
      <c r="U9" s="2"/>
      <c r="V9" s="2"/>
      <c r="W9" s="2"/>
      <c r="X9" s="2"/>
    </row>
    <row r="10" spans="1:24" ht="22" customHeight="1">
      <c r="A10" s="3"/>
      <c r="B10" s="1"/>
      <c r="C10" s="2"/>
      <c r="D10" s="2"/>
      <c r="E10" s="2"/>
      <c r="F10" s="2"/>
      <c r="G10" s="2"/>
      <c r="H10" s="2"/>
      <c r="I10" s="2"/>
      <c r="J10" s="2"/>
      <c r="K10" s="2"/>
      <c r="L10" s="2"/>
      <c r="M10" s="2"/>
      <c r="N10" s="2"/>
      <c r="O10" s="2"/>
      <c r="P10" s="2"/>
      <c r="Q10" s="2"/>
      <c r="R10" s="2"/>
      <c r="S10" s="2"/>
      <c r="T10" s="2"/>
      <c r="U10" s="2"/>
      <c r="V10" s="2"/>
      <c r="W10" s="2"/>
      <c r="X10" s="2"/>
    </row>
    <row r="11" spans="1:24" ht="22" customHeight="1">
      <c r="A11" s="3"/>
      <c r="B11" s="1"/>
      <c r="C11" s="2"/>
      <c r="D11" s="2"/>
      <c r="E11" s="2"/>
      <c r="F11" s="2"/>
      <c r="G11" s="2"/>
      <c r="H11" s="2"/>
      <c r="I11" s="2"/>
      <c r="J11" s="2"/>
      <c r="K11" s="2"/>
      <c r="L11" s="2"/>
      <c r="M11" s="2"/>
      <c r="N11" s="2"/>
      <c r="O11" s="2"/>
      <c r="P11" s="2"/>
      <c r="Q11" s="2"/>
      <c r="R11" s="2"/>
      <c r="S11" s="2"/>
      <c r="T11" s="2"/>
      <c r="U11" s="2"/>
      <c r="V11" s="2"/>
      <c r="W11" s="2"/>
      <c r="X11" s="2"/>
    </row>
    <row r="12" spans="1:24" ht="22" customHeight="1">
      <c r="A12" s="174" t="s">
        <v>1003</v>
      </c>
      <c r="B12" s="174"/>
      <c r="C12" s="175"/>
      <c r="D12" s="175"/>
      <c r="E12" s="175"/>
      <c r="F12" s="175"/>
      <c r="G12" s="175"/>
      <c r="H12" s="175"/>
      <c r="I12" s="175"/>
      <c r="J12" s="175"/>
      <c r="K12" s="175"/>
      <c r="L12" s="175"/>
      <c r="M12" s="175"/>
      <c r="N12" s="175"/>
      <c r="O12" s="175"/>
      <c r="P12" s="175"/>
      <c r="Q12" s="175"/>
      <c r="R12" s="175"/>
      <c r="S12" s="175"/>
      <c r="T12" s="175"/>
      <c r="U12" s="175"/>
      <c r="V12" s="175"/>
      <c r="W12" s="175"/>
      <c r="X12" s="175"/>
    </row>
    <row r="13" spans="1:24" ht="18" customHeight="1">
      <c r="A13" s="163" t="s">
        <v>1007</v>
      </c>
      <c r="B13" s="163"/>
      <c r="C13" s="173"/>
      <c r="D13" s="173"/>
      <c r="E13" s="173"/>
      <c r="F13" s="173"/>
      <c r="G13" s="173"/>
      <c r="H13" s="173"/>
      <c r="I13" s="173"/>
      <c r="J13" s="173"/>
      <c r="K13" s="173"/>
      <c r="L13" s="173"/>
      <c r="M13" s="173"/>
      <c r="N13" s="173"/>
      <c r="O13" s="173"/>
      <c r="P13" s="173"/>
      <c r="Q13" s="173"/>
      <c r="R13" s="173"/>
      <c r="S13" s="173"/>
      <c r="T13" s="173"/>
      <c r="U13" s="173"/>
      <c r="V13" s="173"/>
      <c r="W13" s="173"/>
      <c r="X13" s="173"/>
    </row>
    <row r="14" spans="1:24" ht="24" customHeight="1">
      <c r="A14" s="177" t="s">
        <v>1008</v>
      </c>
      <c r="B14" s="178"/>
      <c r="C14" s="179"/>
      <c r="D14" s="179"/>
      <c r="E14" s="179"/>
      <c r="F14" s="179"/>
      <c r="G14" s="179"/>
      <c r="H14" s="179"/>
      <c r="I14" s="179"/>
      <c r="J14" s="179"/>
      <c r="K14" s="179"/>
      <c r="L14" s="179"/>
      <c r="M14" s="12"/>
      <c r="N14" s="179"/>
      <c r="O14" s="179"/>
      <c r="P14" s="179"/>
      <c r="Q14" s="179"/>
      <c r="R14" s="179"/>
      <c r="S14" s="179"/>
      <c r="T14" s="179"/>
      <c r="U14" s="179"/>
      <c r="V14" s="179"/>
      <c r="W14" s="179"/>
      <c r="X14" s="179"/>
    </row>
    <row r="15" spans="1:24" ht="24" customHeight="1">
      <c r="A15" s="16" t="s">
        <v>1009</v>
      </c>
      <c r="B15" s="17"/>
      <c r="C15" s="18">
        <v>13033</v>
      </c>
      <c r="D15" s="18">
        <v>13192</v>
      </c>
      <c r="E15" s="18">
        <v>14777</v>
      </c>
      <c r="F15" s="18">
        <v>13807</v>
      </c>
      <c r="G15" s="18">
        <v>15230</v>
      </c>
      <c r="H15" s="18">
        <v>16753</v>
      </c>
      <c r="I15" s="18">
        <v>16216</v>
      </c>
      <c r="J15" s="18">
        <v>11543</v>
      </c>
      <c r="K15" s="18">
        <v>12035</v>
      </c>
      <c r="L15" s="18">
        <v>11324</v>
      </c>
      <c r="M15" s="20"/>
      <c r="N15" s="18"/>
      <c r="O15" s="18"/>
      <c r="P15" s="18"/>
      <c r="Q15" s="18"/>
      <c r="R15" s="18"/>
      <c r="S15" s="18"/>
      <c r="T15" s="18"/>
      <c r="U15" s="18"/>
      <c r="V15" s="18"/>
      <c r="W15" s="18"/>
      <c r="X15" s="18"/>
    </row>
    <row r="16" spans="1:24" ht="22" customHeight="1">
      <c r="A16" s="3" t="s">
        <v>1010</v>
      </c>
      <c r="B16" s="1"/>
      <c r="C16" s="14">
        <v>393</v>
      </c>
      <c r="D16" s="14">
        <v>401</v>
      </c>
      <c r="E16" s="14">
        <v>431</v>
      </c>
      <c r="F16" s="14">
        <v>381</v>
      </c>
      <c r="G16" s="14">
        <v>434</v>
      </c>
      <c r="H16" s="14">
        <v>518</v>
      </c>
      <c r="I16" s="14">
        <v>487</v>
      </c>
      <c r="J16" s="14">
        <v>327</v>
      </c>
      <c r="K16" s="14">
        <v>347</v>
      </c>
      <c r="L16" s="14">
        <v>312</v>
      </c>
      <c r="M16" s="15"/>
      <c r="N16" s="14"/>
      <c r="O16" s="14"/>
      <c r="P16" s="14"/>
      <c r="Q16" s="14"/>
      <c r="R16" s="14"/>
      <c r="S16" s="14"/>
      <c r="T16" s="14"/>
      <c r="U16" s="14"/>
      <c r="V16" s="14"/>
      <c r="W16" s="14"/>
      <c r="X16" s="14"/>
    </row>
    <row r="17" spans="1:24" ht="22" customHeight="1">
      <c r="A17" s="3" t="s">
        <v>1011</v>
      </c>
      <c r="B17" s="1"/>
      <c r="C17" s="14">
        <v>484</v>
      </c>
      <c r="D17" s="14">
        <v>468</v>
      </c>
      <c r="E17" s="14">
        <v>482</v>
      </c>
      <c r="F17" s="14">
        <v>543</v>
      </c>
      <c r="G17" s="14">
        <v>435</v>
      </c>
      <c r="H17" s="14">
        <v>324</v>
      </c>
      <c r="I17" s="14">
        <v>434</v>
      </c>
      <c r="J17" s="14">
        <v>593</v>
      </c>
      <c r="K17" s="14">
        <v>585</v>
      </c>
      <c r="L17" s="14">
        <v>586</v>
      </c>
      <c r="M17" s="15"/>
      <c r="N17" s="14"/>
      <c r="O17" s="14"/>
      <c r="P17" s="14"/>
      <c r="Q17" s="14"/>
      <c r="R17" s="14"/>
      <c r="S17" s="14"/>
      <c r="T17" s="14"/>
      <c r="U17" s="14"/>
      <c r="V17" s="14"/>
      <c r="W17" s="14"/>
      <c r="X17" s="14"/>
    </row>
    <row r="18" spans="1:24" ht="22" customHeight="1">
      <c r="A18" s="3" t="s">
        <v>1012</v>
      </c>
      <c r="B18" s="1"/>
      <c r="C18" s="14">
        <v>18</v>
      </c>
      <c r="D18" s="14">
        <v>10</v>
      </c>
      <c r="E18" s="14">
        <v>83</v>
      </c>
      <c r="F18" s="14">
        <v>15</v>
      </c>
      <c r="G18" s="14">
        <v>-221</v>
      </c>
      <c r="H18" s="14">
        <v>23</v>
      </c>
      <c r="I18" s="14">
        <v>10</v>
      </c>
      <c r="J18" s="14">
        <v>13</v>
      </c>
      <c r="K18" s="14">
        <v>12</v>
      </c>
      <c r="L18" s="14">
        <v>10</v>
      </c>
      <c r="M18" s="15"/>
      <c r="N18" s="14"/>
      <c r="O18" s="14"/>
      <c r="P18" s="14"/>
      <c r="Q18" s="14"/>
      <c r="R18" s="14"/>
      <c r="S18" s="14"/>
      <c r="T18" s="14"/>
      <c r="U18" s="14"/>
      <c r="V18" s="14"/>
      <c r="W18" s="14"/>
      <c r="X18" s="14"/>
    </row>
    <row r="19" spans="1:24" ht="22" customHeight="1">
      <c r="A19" s="3" t="s">
        <v>1013</v>
      </c>
      <c r="B19" s="1"/>
      <c r="C19" s="14">
        <v>0</v>
      </c>
      <c r="D19" s="14">
        <v>0</v>
      </c>
      <c r="E19" s="14">
        <v>0</v>
      </c>
      <c r="F19" s="14">
        <v>0</v>
      </c>
      <c r="G19" s="14">
        <v>0</v>
      </c>
      <c r="H19" s="14">
        <v>0</v>
      </c>
      <c r="I19" s="14">
        <v>0</v>
      </c>
      <c r="J19" s="14">
        <v>0</v>
      </c>
      <c r="K19" s="14">
        <v>0</v>
      </c>
      <c r="L19" s="14">
        <v>0</v>
      </c>
      <c r="M19" s="15"/>
      <c r="N19" s="14"/>
      <c r="O19" s="14"/>
      <c r="P19" s="14"/>
      <c r="Q19" s="14"/>
      <c r="R19" s="14"/>
      <c r="S19" s="14"/>
      <c r="T19" s="14"/>
      <c r="U19" s="14"/>
      <c r="V19" s="14"/>
      <c r="W19" s="14"/>
      <c r="X19" s="14"/>
    </row>
    <row r="20" spans="1:24" ht="22" customHeight="1">
      <c r="A20" s="3" t="s">
        <v>1014</v>
      </c>
      <c r="B20" s="1"/>
      <c r="C20" s="14">
        <v>614</v>
      </c>
      <c r="D20" s="14">
        <v>1529</v>
      </c>
      <c r="E20" s="14">
        <v>-972</v>
      </c>
      <c r="F20" s="14">
        <v>2091</v>
      </c>
      <c r="G20" s="14">
        <v>2042</v>
      </c>
      <c r="H20" s="14">
        <v>-215</v>
      </c>
      <c r="I20" s="14">
        <v>-3989</v>
      </c>
      <c r="J20" s="14">
        <v>603</v>
      </c>
      <c r="K20" s="14">
        <v>-563</v>
      </c>
      <c r="L20" s="14">
        <v>247</v>
      </c>
      <c r="M20" s="15"/>
      <c r="N20" s="14"/>
      <c r="O20" s="14"/>
      <c r="P20" s="14"/>
      <c r="Q20" s="14"/>
      <c r="R20" s="14"/>
      <c r="S20" s="14"/>
      <c r="T20" s="14"/>
      <c r="U20" s="14"/>
      <c r="V20" s="14"/>
      <c r="W20" s="14"/>
      <c r="X20" s="14"/>
    </row>
    <row r="21" spans="1:24" ht="22" customHeight="1">
      <c r="A21" s="3" t="s">
        <v>1015</v>
      </c>
      <c r="B21" s="1"/>
      <c r="C21" s="14">
        <v>-347</v>
      </c>
      <c r="D21" s="14">
        <v>-825</v>
      </c>
      <c r="E21" s="14">
        <v>-956</v>
      </c>
      <c r="F21" s="14">
        <v>-341</v>
      </c>
      <c r="G21" s="14">
        <v>-378</v>
      </c>
      <c r="H21" s="14">
        <v>-976</v>
      </c>
      <c r="I21" s="14">
        <v>-412</v>
      </c>
      <c r="J21" s="14">
        <v>-1006</v>
      </c>
      <c r="K21" s="14">
        <v>-617</v>
      </c>
      <c r="L21" s="14">
        <v>-640</v>
      </c>
      <c r="M21" s="15"/>
      <c r="N21" s="14"/>
      <c r="O21" s="14"/>
      <c r="P21" s="14"/>
      <c r="Q21" s="14"/>
      <c r="R21" s="14"/>
      <c r="S21" s="14"/>
      <c r="T21" s="14"/>
      <c r="U21" s="14"/>
      <c r="V21" s="14"/>
      <c r="W21" s="14"/>
      <c r="X21" s="14"/>
    </row>
    <row r="22" spans="1:24" ht="22" customHeight="1">
      <c r="A22" s="3" t="s">
        <v>1016</v>
      </c>
      <c r="B22" s="1"/>
      <c r="C22" s="14">
        <v>-1014</v>
      </c>
      <c r="D22" s="14">
        <v>-58</v>
      </c>
      <c r="E22" s="14">
        <v>-74</v>
      </c>
      <c r="F22" s="14">
        <v>-1268</v>
      </c>
      <c r="G22" s="14">
        <v>-808</v>
      </c>
      <c r="H22" s="14">
        <v>-220</v>
      </c>
      <c r="I22" s="14">
        <v>-1109</v>
      </c>
      <c r="J22" s="14">
        <v>-36</v>
      </c>
      <c r="K22" s="14">
        <v>-506</v>
      </c>
      <c r="L22" s="14">
        <v>-678</v>
      </c>
      <c r="M22" s="15"/>
      <c r="N22" s="14"/>
      <c r="O22" s="14"/>
      <c r="P22" s="14"/>
      <c r="Q22" s="14"/>
      <c r="R22" s="14"/>
      <c r="S22" s="14"/>
      <c r="T22" s="14"/>
      <c r="U22" s="14"/>
      <c r="V22" s="14"/>
      <c r="W22" s="14"/>
      <c r="X22" s="14"/>
    </row>
    <row r="23" spans="1:24" ht="22" customHeight="1">
      <c r="A23" s="3" t="s">
        <v>1017</v>
      </c>
      <c r="B23" s="1"/>
      <c r="C23" s="14">
        <v>11</v>
      </c>
      <c r="D23" s="14">
        <v>60</v>
      </c>
      <c r="E23" s="14">
        <v>36</v>
      </c>
      <c r="F23" s="14">
        <v>2</v>
      </c>
      <c r="G23" s="14">
        <v>19</v>
      </c>
      <c r="H23" s="14">
        <v>9</v>
      </c>
      <c r="I23" s="14">
        <v>37</v>
      </c>
      <c r="J23" s="14">
        <v>-1</v>
      </c>
      <c r="K23" s="14">
        <v>31</v>
      </c>
      <c r="L23" s="14">
        <v>21</v>
      </c>
      <c r="M23" s="15"/>
      <c r="N23" s="14"/>
      <c r="O23" s="14"/>
      <c r="P23" s="14"/>
      <c r="Q23" s="14"/>
      <c r="R23" s="14"/>
      <c r="S23" s="14"/>
      <c r="T23" s="14"/>
      <c r="U23" s="14"/>
      <c r="V23" s="14"/>
      <c r="W23" s="14"/>
      <c r="X23" s="14"/>
    </row>
    <row r="24" spans="1:24" ht="22" customHeight="1">
      <c r="A24" s="3" t="s">
        <v>1018</v>
      </c>
      <c r="B24" s="1"/>
      <c r="C24" s="14">
        <v>0</v>
      </c>
      <c r="D24" s="14">
        <v>0</v>
      </c>
      <c r="E24" s="14">
        <v>0</v>
      </c>
      <c r="F24" s="14">
        <v>0</v>
      </c>
      <c r="G24" s="14">
        <v>0</v>
      </c>
      <c r="H24" s="14">
        <v>0</v>
      </c>
      <c r="I24" s="14">
        <v>-131</v>
      </c>
      <c r="J24" s="14">
        <v>-1</v>
      </c>
      <c r="K24" s="14">
        <v>0</v>
      </c>
      <c r="L24" s="14">
        <v>0</v>
      </c>
      <c r="M24" s="15"/>
      <c r="N24" s="14"/>
      <c r="O24" s="14"/>
      <c r="P24" s="14"/>
      <c r="Q24" s="14"/>
      <c r="R24" s="14"/>
      <c r="S24" s="14"/>
      <c r="T24" s="14"/>
      <c r="U24" s="14"/>
      <c r="V24" s="14"/>
      <c r="W24" s="14"/>
      <c r="X24" s="14"/>
    </row>
    <row r="25" spans="1:24" ht="24" customHeight="1">
      <c r="A25" s="16" t="s">
        <v>1019</v>
      </c>
      <c r="B25" s="17"/>
      <c r="C25" s="18">
        <v>13192</v>
      </c>
      <c r="D25" s="18">
        <v>14777</v>
      </c>
      <c r="E25" s="18">
        <v>13807</v>
      </c>
      <c r="F25" s="18">
        <v>15230</v>
      </c>
      <c r="G25" s="18">
        <v>16753</v>
      </c>
      <c r="H25" s="18">
        <v>16216</v>
      </c>
      <c r="I25" s="18">
        <v>11543</v>
      </c>
      <c r="J25" s="18">
        <v>12035</v>
      </c>
      <c r="K25" s="18">
        <v>11324</v>
      </c>
      <c r="L25" s="18">
        <v>11182</v>
      </c>
      <c r="M25" s="20"/>
      <c r="N25" s="18"/>
      <c r="O25" s="18"/>
      <c r="P25" s="18"/>
      <c r="Q25" s="18"/>
      <c r="R25" s="18"/>
      <c r="S25" s="18"/>
      <c r="T25" s="18"/>
      <c r="U25" s="18"/>
      <c r="V25" s="18"/>
      <c r="W25" s="18"/>
      <c r="X25" s="18"/>
    </row>
    <row r="26" spans="1:24" ht="24" customHeight="1">
      <c r="A26" s="177" t="s">
        <v>1020</v>
      </c>
      <c r="B26" s="178"/>
      <c r="C26" s="179"/>
      <c r="D26" s="179"/>
      <c r="E26" s="179"/>
      <c r="F26" s="179"/>
      <c r="G26" s="179"/>
      <c r="H26" s="179"/>
      <c r="I26" s="179"/>
      <c r="J26" s="179"/>
      <c r="K26" s="179"/>
      <c r="L26" s="179"/>
      <c r="M26" s="12"/>
      <c r="N26" s="179"/>
      <c r="O26" s="179"/>
      <c r="P26" s="179"/>
      <c r="Q26" s="179"/>
      <c r="R26" s="179"/>
      <c r="S26" s="179"/>
      <c r="T26" s="179"/>
      <c r="U26" s="179"/>
      <c r="V26" s="179"/>
      <c r="W26" s="179"/>
      <c r="X26" s="179"/>
    </row>
    <row r="27" spans="1:24" ht="22" customHeight="1">
      <c r="A27" s="3" t="s">
        <v>1021</v>
      </c>
      <c r="B27" s="1"/>
      <c r="C27" s="14">
        <v>11397</v>
      </c>
      <c r="D27" s="14">
        <v>11458</v>
      </c>
      <c r="E27" s="14">
        <v>12582</v>
      </c>
      <c r="F27" s="14">
        <v>12258</v>
      </c>
      <c r="G27" s="14">
        <v>14302</v>
      </c>
      <c r="H27" s="14">
        <v>15465</v>
      </c>
      <c r="I27" s="14">
        <v>15904</v>
      </c>
      <c r="J27" s="14">
        <v>11148</v>
      </c>
      <c r="K27" s="14">
        <v>11541</v>
      </c>
      <c r="L27" s="14">
        <v>10609</v>
      </c>
      <c r="M27" s="15"/>
      <c r="N27" s="14"/>
      <c r="O27" s="14"/>
      <c r="P27" s="14"/>
      <c r="Q27" s="14"/>
      <c r="R27" s="14"/>
      <c r="S27" s="14"/>
      <c r="T27" s="14"/>
      <c r="U27" s="14"/>
      <c r="V27" s="14"/>
      <c r="W27" s="14"/>
      <c r="X27" s="14"/>
    </row>
    <row r="28" spans="1:24" ht="22" customHeight="1">
      <c r="A28" s="3" t="s">
        <v>1022</v>
      </c>
      <c r="B28" s="1"/>
      <c r="C28" s="14">
        <v>880</v>
      </c>
      <c r="D28" s="14">
        <v>1935</v>
      </c>
      <c r="E28" s="14">
        <v>-789</v>
      </c>
      <c r="F28" s="14">
        <v>3101</v>
      </c>
      <c r="G28" s="14">
        <v>1908</v>
      </c>
      <c r="H28" s="14">
        <v>1052</v>
      </c>
      <c r="I28" s="14">
        <v>-3337</v>
      </c>
      <c r="J28" s="14">
        <v>1121</v>
      </c>
      <c r="K28" s="14">
        <v>-10</v>
      </c>
      <c r="L28" s="14">
        <v>1296</v>
      </c>
      <c r="M28" s="15"/>
      <c r="N28" s="14"/>
      <c r="O28" s="14"/>
      <c r="P28" s="14"/>
      <c r="Q28" s="14"/>
      <c r="R28" s="14"/>
      <c r="S28" s="14"/>
      <c r="T28" s="14"/>
      <c r="U28" s="14"/>
      <c r="V28" s="14"/>
      <c r="W28" s="14"/>
      <c r="X28" s="14"/>
    </row>
    <row r="29" spans="1:24" ht="22" customHeight="1">
      <c r="A29" s="3" t="s">
        <v>1023</v>
      </c>
      <c r="B29" s="1"/>
      <c r="C29" s="14">
        <v>541</v>
      </c>
      <c r="D29" s="14">
        <v>60</v>
      </c>
      <c r="E29" s="14">
        <v>1495</v>
      </c>
      <c r="F29" s="14">
        <v>550</v>
      </c>
      <c r="G29" s="14">
        <v>387</v>
      </c>
      <c r="H29" s="14">
        <v>580</v>
      </c>
      <c r="I29" s="14">
        <v>235</v>
      </c>
      <c r="J29" s="14">
        <v>314</v>
      </c>
      <c r="K29" s="14">
        <v>236</v>
      </c>
      <c r="L29" s="14">
        <v>354</v>
      </c>
      <c r="M29" s="15"/>
      <c r="N29" s="14"/>
      <c r="O29" s="14"/>
      <c r="P29" s="14"/>
      <c r="Q29" s="14"/>
      <c r="R29" s="14"/>
      <c r="S29" s="14"/>
      <c r="T29" s="14"/>
      <c r="U29" s="14"/>
      <c r="V29" s="14"/>
      <c r="W29" s="14"/>
      <c r="X29" s="14"/>
    </row>
    <row r="30" spans="1:24" ht="22" customHeight="1">
      <c r="A30" s="3" t="s">
        <v>1013</v>
      </c>
      <c r="B30" s="1"/>
      <c r="C30" s="14">
        <v>0</v>
      </c>
      <c r="D30" s="14">
        <v>0</v>
      </c>
      <c r="E30" s="14">
        <v>0</v>
      </c>
      <c r="F30" s="14">
        <v>0</v>
      </c>
      <c r="G30" s="14">
        <v>0</v>
      </c>
      <c r="H30" s="14">
        <v>0</v>
      </c>
      <c r="I30" s="14">
        <v>0</v>
      </c>
      <c r="J30" s="14">
        <v>0</v>
      </c>
      <c r="K30" s="14">
        <v>0</v>
      </c>
      <c r="L30" s="14">
        <v>0</v>
      </c>
      <c r="M30" s="15"/>
      <c r="N30" s="14"/>
      <c r="O30" s="14"/>
      <c r="P30" s="14"/>
      <c r="Q30" s="14"/>
      <c r="R30" s="14"/>
      <c r="S30" s="14"/>
      <c r="T30" s="14"/>
      <c r="U30" s="14"/>
      <c r="V30" s="14"/>
      <c r="W30" s="14"/>
      <c r="X30" s="14"/>
    </row>
    <row r="31" spans="1:24" ht="22" customHeight="1">
      <c r="A31" s="3" t="s">
        <v>1015</v>
      </c>
      <c r="B31" s="1"/>
      <c r="C31" s="14">
        <v>-347</v>
      </c>
      <c r="D31" s="14">
        <v>-825</v>
      </c>
      <c r="E31" s="14">
        <v>-956</v>
      </c>
      <c r="F31" s="14">
        <v>-341</v>
      </c>
      <c r="G31" s="14">
        <v>-378</v>
      </c>
      <c r="H31" s="14">
        <v>-976</v>
      </c>
      <c r="I31" s="14">
        <v>-412</v>
      </c>
      <c r="J31" s="14">
        <v>-1006</v>
      </c>
      <c r="K31" s="14">
        <v>-617</v>
      </c>
      <c r="L31" s="14">
        <v>-640</v>
      </c>
      <c r="M31" s="15"/>
      <c r="N31" s="14"/>
      <c r="O31" s="14"/>
      <c r="P31" s="14"/>
      <c r="Q31" s="14"/>
      <c r="R31" s="14"/>
      <c r="S31" s="14"/>
      <c r="T31" s="14"/>
      <c r="U31" s="14"/>
      <c r="V31" s="14"/>
      <c r="W31" s="14"/>
      <c r="X31" s="14"/>
    </row>
    <row r="32" spans="1:24" ht="22" customHeight="1">
      <c r="A32" s="3" t="s">
        <v>1024</v>
      </c>
      <c r="B32" s="1"/>
      <c r="C32" s="14">
        <v>-1013</v>
      </c>
      <c r="D32" s="14">
        <v>-46</v>
      </c>
      <c r="E32" s="14">
        <v>-74</v>
      </c>
      <c r="F32" s="14">
        <v>-1266</v>
      </c>
      <c r="G32" s="14">
        <v>-754</v>
      </c>
      <c r="H32" s="14">
        <v>-217</v>
      </c>
      <c r="I32" s="14">
        <v>-1117</v>
      </c>
      <c r="J32" s="14">
        <v>-36</v>
      </c>
      <c r="K32" s="14">
        <v>-539</v>
      </c>
      <c r="L32" s="14">
        <v>-670</v>
      </c>
      <c r="M32" s="15"/>
      <c r="N32" s="14"/>
      <c r="O32" s="14"/>
      <c r="P32" s="14"/>
      <c r="Q32" s="14"/>
      <c r="R32" s="14"/>
      <c r="S32" s="14"/>
      <c r="T32" s="14"/>
      <c r="U32" s="14"/>
      <c r="V32" s="14"/>
      <c r="W32" s="14"/>
      <c r="X32" s="14"/>
    </row>
    <row r="33" spans="1:24" ht="22" customHeight="1">
      <c r="A33" s="3" t="s">
        <v>1018</v>
      </c>
      <c r="B33" s="1"/>
      <c r="C33" s="14">
        <v>0</v>
      </c>
      <c r="D33" s="14">
        <v>0</v>
      </c>
      <c r="E33" s="14">
        <v>0</v>
      </c>
      <c r="F33" s="14">
        <v>0</v>
      </c>
      <c r="G33" s="14">
        <v>0</v>
      </c>
      <c r="H33" s="14">
        <v>0</v>
      </c>
      <c r="I33" s="14">
        <v>-125</v>
      </c>
      <c r="J33" s="14">
        <v>0</v>
      </c>
      <c r="K33" s="14">
        <v>-2</v>
      </c>
      <c r="L33" s="14">
        <v>0</v>
      </c>
      <c r="M33" s="15"/>
      <c r="N33" s="14"/>
      <c r="O33" s="14"/>
      <c r="P33" s="14"/>
      <c r="Q33" s="14"/>
      <c r="R33" s="14"/>
      <c r="S33" s="14"/>
      <c r="T33" s="14"/>
      <c r="U33" s="14"/>
      <c r="V33" s="14"/>
      <c r="W33" s="14"/>
      <c r="X33" s="14"/>
    </row>
    <row r="34" spans="1:24" ht="24" customHeight="1">
      <c r="A34" s="16" t="s">
        <v>1025</v>
      </c>
      <c r="B34" s="17"/>
      <c r="C34" s="18">
        <v>11458</v>
      </c>
      <c r="D34" s="18">
        <v>12582</v>
      </c>
      <c r="E34" s="18">
        <v>12258</v>
      </c>
      <c r="F34" s="18">
        <v>14302</v>
      </c>
      <c r="G34" s="18">
        <v>15465</v>
      </c>
      <c r="H34" s="18">
        <v>15904</v>
      </c>
      <c r="I34" s="18">
        <v>11148</v>
      </c>
      <c r="J34" s="18">
        <v>11541</v>
      </c>
      <c r="K34" s="18">
        <v>10609</v>
      </c>
      <c r="L34" s="18">
        <v>10949</v>
      </c>
      <c r="M34" s="20"/>
      <c r="N34" s="18"/>
      <c r="O34" s="18"/>
      <c r="P34" s="18"/>
      <c r="Q34" s="18"/>
      <c r="R34" s="18"/>
      <c r="S34" s="18"/>
      <c r="T34" s="18"/>
      <c r="U34" s="18"/>
      <c r="V34" s="18"/>
      <c r="W34" s="18"/>
      <c r="X34" s="18"/>
    </row>
    <row r="35" spans="1:24" ht="24" customHeight="1">
      <c r="A35" s="16" t="s">
        <v>1026</v>
      </c>
      <c r="B35" s="17"/>
      <c r="C35" s="18">
        <v>-1734</v>
      </c>
      <c r="D35" s="18">
        <v>-2195</v>
      </c>
      <c r="E35" s="18">
        <v>-1549</v>
      </c>
      <c r="F35" s="18">
        <v>-928</v>
      </c>
      <c r="G35" s="18">
        <v>-1288</v>
      </c>
      <c r="H35" s="18">
        <v>-312</v>
      </c>
      <c r="I35" s="18">
        <v>-395</v>
      </c>
      <c r="J35" s="18">
        <v>-494</v>
      </c>
      <c r="K35" s="18">
        <v>-715</v>
      </c>
      <c r="L35" s="18">
        <v>-233</v>
      </c>
      <c r="M35" s="20"/>
      <c r="N35" s="18"/>
      <c r="O35" s="18"/>
      <c r="P35" s="18"/>
      <c r="Q35" s="18"/>
      <c r="R35" s="18"/>
      <c r="S35" s="18"/>
      <c r="T35" s="18"/>
      <c r="U35" s="18"/>
      <c r="V35" s="18"/>
      <c r="W35" s="18"/>
      <c r="X35" s="18"/>
    </row>
    <row r="36" spans="1:24" ht="24" customHeight="1">
      <c r="A36" s="177" t="s">
        <v>1027</v>
      </c>
      <c r="B36" s="178"/>
      <c r="C36" s="179"/>
      <c r="D36" s="179"/>
      <c r="E36" s="179"/>
      <c r="F36" s="179"/>
      <c r="G36" s="179"/>
      <c r="H36" s="179"/>
      <c r="I36" s="179"/>
      <c r="J36" s="179"/>
      <c r="K36" s="179"/>
      <c r="L36" s="179"/>
      <c r="M36" s="12"/>
      <c r="N36" s="179"/>
      <c r="O36" s="179"/>
      <c r="P36" s="179"/>
      <c r="Q36" s="179"/>
      <c r="R36" s="179"/>
      <c r="S36" s="179"/>
      <c r="T36" s="179"/>
      <c r="U36" s="179"/>
      <c r="V36" s="179"/>
      <c r="W36" s="179"/>
      <c r="X36" s="179"/>
    </row>
    <row r="37" spans="1:24" ht="22" customHeight="1">
      <c r="A37" s="3" t="s">
        <v>1028</v>
      </c>
      <c r="B37" s="1"/>
      <c r="C37" s="14">
        <v>0</v>
      </c>
      <c r="D37" s="14">
        <v>286</v>
      </c>
      <c r="E37" s="14">
        <v>185</v>
      </c>
      <c r="F37" s="14">
        <v>744</v>
      </c>
      <c r="G37" s="14">
        <v>797</v>
      </c>
      <c r="H37" s="14">
        <v>692</v>
      </c>
      <c r="I37" s="14">
        <v>225</v>
      </c>
      <c r="J37" s="14">
        <v>313</v>
      </c>
      <c r="K37" s="14">
        <v>388</v>
      </c>
      <c r="L37" s="14">
        <v>413</v>
      </c>
      <c r="M37" s="15"/>
      <c r="N37" s="14"/>
      <c r="O37" s="14"/>
      <c r="P37" s="14"/>
      <c r="Q37" s="14"/>
      <c r="R37" s="14"/>
      <c r="S37" s="14"/>
      <c r="T37" s="14"/>
      <c r="U37" s="14"/>
      <c r="V37" s="14"/>
      <c r="W37" s="14"/>
      <c r="X37" s="14"/>
    </row>
    <row r="38" spans="1:24" ht="22" customHeight="1">
      <c r="A38" s="3" t="s">
        <v>462</v>
      </c>
      <c r="B38" s="1"/>
      <c r="C38" s="14">
        <v>-42</v>
      </c>
      <c r="D38" s="14">
        <v>-74</v>
      </c>
      <c r="E38" s="14">
        <v>-107</v>
      </c>
      <c r="F38" s="14">
        <v>-52</v>
      </c>
      <c r="G38" s="14">
        <v>-53</v>
      </c>
      <c r="H38" s="14">
        <v>-48</v>
      </c>
      <c r="I38" s="14">
        <v>-56</v>
      </c>
      <c r="J38" s="14">
        <v>-75</v>
      </c>
      <c r="K38" s="14">
        <v>-85</v>
      </c>
      <c r="L38" s="14">
        <v>-61</v>
      </c>
      <c r="M38" s="15"/>
      <c r="N38" s="14"/>
      <c r="O38" s="14"/>
      <c r="P38" s="14"/>
      <c r="Q38" s="14"/>
      <c r="R38" s="14"/>
      <c r="S38" s="14"/>
      <c r="T38" s="14"/>
      <c r="U38" s="14"/>
      <c r="V38" s="14"/>
      <c r="W38" s="14"/>
      <c r="X38" s="14"/>
    </row>
    <row r="39" spans="1:24" ht="22" customHeight="1">
      <c r="A39" s="3" t="s">
        <v>1029</v>
      </c>
      <c r="B39" s="1"/>
      <c r="C39" s="14">
        <v>-1692</v>
      </c>
      <c r="D39" s="14">
        <v>-2407</v>
      </c>
      <c r="E39" s="14">
        <v>-1627</v>
      </c>
      <c r="F39" s="14">
        <v>-1620</v>
      </c>
      <c r="G39" s="14">
        <v>-2032</v>
      </c>
      <c r="H39" s="14">
        <v>-956</v>
      </c>
      <c r="I39" s="14">
        <v>-564</v>
      </c>
      <c r="J39" s="14">
        <v>-732</v>
      </c>
      <c r="K39" s="14">
        <v>-1018</v>
      </c>
      <c r="L39" s="14">
        <v>-585</v>
      </c>
      <c r="M39" s="15"/>
      <c r="N39" s="14"/>
      <c r="O39" s="14"/>
      <c r="P39" s="14"/>
      <c r="Q39" s="14"/>
      <c r="R39" s="14"/>
      <c r="S39" s="14"/>
      <c r="T39" s="14"/>
      <c r="U39" s="14"/>
      <c r="V39" s="14"/>
      <c r="W39" s="14"/>
      <c r="X39" s="14"/>
    </row>
    <row r="40" spans="1:24" ht="24" customHeight="1">
      <c r="A40" s="16" t="s">
        <v>1030</v>
      </c>
      <c r="B40" s="17"/>
      <c r="C40" s="18">
        <v>-1734</v>
      </c>
      <c r="D40" s="18">
        <v>-2195</v>
      </c>
      <c r="E40" s="18">
        <v>-1549</v>
      </c>
      <c r="F40" s="18">
        <v>-928</v>
      </c>
      <c r="G40" s="18">
        <v>-1288</v>
      </c>
      <c r="H40" s="18">
        <v>-312</v>
      </c>
      <c r="I40" s="18">
        <v>-395</v>
      </c>
      <c r="J40" s="18">
        <v>-494</v>
      </c>
      <c r="K40" s="18">
        <v>-715</v>
      </c>
      <c r="L40" s="18">
        <v>-233</v>
      </c>
      <c r="M40" s="20"/>
      <c r="N40" s="18"/>
      <c r="O40" s="18"/>
      <c r="P40" s="18"/>
      <c r="Q40" s="18"/>
      <c r="R40" s="18"/>
      <c r="S40" s="18"/>
      <c r="T40" s="18"/>
      <c r="U40" s="18"/>
      <c r="V40" s="18"/>
      <c r="W40" s="18"/>
      <c r="X40" s="18"/>
    </row>
    <row r="41" spans="1:24" ht="24" customHeight="1">
      <c r="A41" s="177" t="s">
        <v>1031</v>
      </c>
      <c r="B41" s="178"/>
      <c r="C41" s="179"/>
      <c r="D41" s="179"/>
      <c r="E41" s="179"/>
      <c r="F41" s="179"/>
      <c r="G41" s="179"/>
      <c r="H41" s="179"/>
      <c r="I41" s="179"/>
      <c r="J41" s="179"/>
      <c r="K41" s="179"/>
      <c r="L41" s="179"/>
      <c r="M41" s="12"/>
      <c r="N41" s="179"/>
      <c r="O41" s="179"/>
      <c r="P41" s="179"/>
      <c r="Q41" s="179"/>
      <c r="R41" s="179"/>
      <c r="S41" s="179"/>
      <c r="T41" s="179"/>
      <c r="U41" s="179"/>
      <c r="V41" s="179"/>
      <c r="W41" s="179"/>
      <c r="X41" s="179"/>
    </row>
    <row r="42" spans="1:24" ht="22" customHeight="1">
      <c r="A42" s="3" t="s">
        <v>1010</v>
      </c>
      <c r="B42" s="1"/>
      <c r="C42" s="13">
        <f>IF(COUNT('Pension &amp; Retiree Medical'!C16)=1,'Pension &amp; Retiree Medical'!C16,"")</f>
        <v>393</v>
      </c>
      <c r="D42" s="13">
        <f>IF(COUNT('Pension &amp; Retiree Medical'!D16)=1,'Pension &amp; Retiree Medical'!D16,"")</f>
        <v>401</v>
      </c>
      <c r="E42" s="13">
        <f>IF(COUNT('Pension &amp; Retiree Medical'!E16)=1,'Pension &amp; Retiree Medical'!E16,"")</f>
        <v>431</v>
      </c>
      <c r="F42" s="13">
        <f>IF(COUNT('Pension &amp; Retiree Medical'!F16)=1,'Pension &amp; Retiree Medical'!F16,"")</f>
        <v>381</v>
      </c>
      <c r="G42" s="13">
        <f>IF(COUNT('Pension &amp; Retiree Medical'!G16)=1,'Pension &amp; Retiree Medical'!G16,"")</f>
        <v>434</v>
      </c>
      <c r="H42" s="13">
        <f>IF(COUNT('Pension &amp; Retiree Medical'!H16)=1,'Pension &amp; Retiree Medical'!H16,"")</f>
        <v>518</v>
      </c>
      <c r="I42" s="13">
        <f>IF(COUNT('Pension &amp; Retiree Medical'!I16)=1,'Pension &amp; Retiree Medical'!I16,"")</f>
        <v>487</v>
      </c>
      <c r="J42" s="13">
        <f>IF(COUNT('Pension &amp; Retiree Medical'!J16)=1,'Pension &amp; Retiree Medical'!J16,"")</f>
        <v>327</v>
      </c>
      <c r="K42" s="13">
        <f>IF(COUNT('Pension &amp; Retiree Medical'!K16)=1,'Pension &amp; Retiree Medical'!K16,"")</f>
        <v>347</v>
      </c>
      <c r="L42" s="13">
        <f>IF(COUNT('Pension &amp; Retiree Medical'!L16)=1,'Pension &amp; Retiree Medical'!L16,"")</f>
        <v>312</v>
      </c>
      <c r="M42" s="15"/>
      <c r="N42" s="14">
        <v>80</v>
      </c>
      <c r="O42" s="14">
        <v>80</v>
      </c>
      <c r="P42" s="14">
        <v>80</v>
      </c>
      <c r="Q42" s="13" t="str">
        <f>IF(COUNT('Pension &amp; Retiree Medical'!Q16)=1,'Pension &amp; Retiree Medical'!Q16,"")</f>
        <v/>
      </c>
      <c r="R42" s="14">
        <v>72</v>
      </c>
      <c r="S42" s="14">
        <v>73</v>
      </c>
      <c r="T42" s="14">
        <v>71</v>
      </c>
      <c r="U42" s="13" t="str">
        <f>IF(COUNT('Pension &amp; Retiree Medical'!U16)=1,'Pension &amp; Retiree Medical'!U16,"")</f>
        <v/>
      </c>
      <c r="V42" s="14">
        <v>54</v>
      </c>
      <c r="W42" s="14">
        <v>54</v>
      </c>
      <c r="X42" s="14">
        <v>55</v>
      </c>
    </row>
    <row r="43" spans="1:24" ht="22" customHeight="1">
      <c r="A43" s="3" t="s">
        <v>1032</v>
      </c>
      <c r="B43" s="1"/>
      <c r="C43" s="14">
        <v>-834</v>
      </c>
      <c r="D43" s="14">
        <v>-849</v>
      </c>
      <c r="E43" s="14">
        <v>-943</v>
      </c>
      <c r="F43" s="14">
        <v>-892</v>
      </c>
      <c r="G43" s="14">
        <v>-929</v>
      </c>
      <c r="H43" s="14">
        <v>-970</v>
      </c>
      <c r="I43" s="14">
        <v>-912</v>
      </c>
      <c r="J43" s="14">
        <v>-851</v>
      </c>
      <c r="K43" s="14">
        <v>-871</v>
      </c>
      <c r="L43" s="14">
        <v>-805</v>
      </c>
      <c r="M43" s="15"/>
      <c r="N43" s="14">
        <v>-201</v>
      </c>
      <c r="O43" s="14">
        <v>-202</v>
      </c>
      <c r="P43" s="14">
        <v>-201</v>
      </c>
      <c r="Q43" s="14"/>
      <c r="R43" s="14">
        <v>-186</v>
      </c>
      <c r="S43" s="14">
        <v>-186</v>
      </c>
      <c r="T43" s="14">
        <v>-186</v>
      </c>
      <c r="U43" s="14"/>
      <c r="V43" s="14">
        <v>-191</v>
      </c>
      <c r="W43" s="14">
        <v>-191</v>
      </c>
      <c r="X43" s="14">
        <v>-191</v>
      </c>
    </row>
    <row r="44" spans="1:24" ht="22" customHeight="1">
      <c r="A44" s="3" t="s">
        <v>1033</v>
      </c>
      <c r="B44" s="1"/>
      <c r="C44" s="14">
        <v>-1</v>
      </c>
      <c r="D44" s="14">
        <v>1</v>
      </c>
      <c r="E44" s="14">
        <v>3</v>
      </c>
      <c r="F44" s="14">
        <v>10</v>
      </c>
      <c r="G44" s="14">
        <v>12</v>
      </c>
      <c r="H44" s="14">
        <v>-31</v>
      </c>
      <c r="I44" s="14">
        <v>-28</v>
      </c>
      <c r="J44" s="14">
        <v>-26</v>
      </c>
      <c r="K44" s="14">
        <v>-24</v>
      </c>
      <c r="L44" s="14">
        <v>3</v>
      </c>
      <c r="M44" s="15"/>
      <c r="N44" s="14">
        <v>-6</v>
      </c>
      <c r="O44" s="14">
        <v>-5</v>
      </c>
      <c r="P44" s="14">
        <v>-6</v>
      </c>
      <c r="Q44" s="14"/>
      <c r="R44" s="14">
        <v>1</v>
      </c>
      <c r="S44" s="14">
        <v>0</v>
      </c>
      <c r="T44" s="14">
        <v>1</v>
      </c>
      <c r="U44" s="14"/>
      <c r="V44" s="14">
        <v>2</v>
      </c>
      <c r="W44" s="14">
        <v>2</v>
      </c>
      <c r="X44" s="14">
        <v>2</v>
      </c>
    </row>
    <row r="45" spans="1:24" ht="22" customHeight="1">
      <c r="A45" s="3" t="s">
        <v>1034</v>
      </c>
      <c r="B45" s="1"/>
      <c r="C45" s="14">
        <v>168</v>
      </c>
      <c r="D45" s="14">
        <v>123</v>
      </c>
      <c r="E45" s="14">
        <v>179</v>
      </c>
      <c r="F45" s="14">
        <v>161</v>
      </c>
      <c r="G45" s="14">
        <v>196</v>
      </c>
      <c r="H45" s="14">
        <v>224</v>
      </c>
      <c r="I45" s="14">
        <v>149</v>
      </c>
      <c r="J45" s="14">
        <v>70</v>
      </c>
      <c r="K45" s="14">
        <v>77</v>
      </c>
      <c r="L45" s="14">
        <v>84</v>
      </c>
      <c r="M45" s="15"/>
      <c r="N45" s="14">
        <v>18</v>
      </c>
      <c r="O45" s="14">
        <v>18</v>
      </c>
      <c r="P45" s="14">
        <v>17</v>
      </c>
      <c r="Q45" s="14"/>
      <c r="R45" s="14">
        <v>19</v>
      </c>
      <c r="S45" s="14">
        <v>20</v>
      </c>
      <c r="T45" s="14">
        <v>19</v>
      </c>
      <c r="U45" s="14"/>
      <c r="V45" s="14">
        <v>17</v>
      </c>
      <c r="W45" s="14">
        <v>17</v>
      </c>
      <c r="X45" s="14">
        <v>16</v>
      </c>
    </row>
    <row r="46" spans="1:24" ht="22" customHeight="1">
      <c r="A46" s="3" t="s">
        <v>1035</v>
      </c>
      <c r="B46" s="1"/>
      <c r="C46" s="14">
        <v>245</v>
      </c>
      <c r="D46" s="14">
        <v>8</v>
      </c>
      <c r="E46" s="14">
        <v>8</v>
      </c>
      <c r="F46" s="14">
        <v>296</v>
      </c>
      <c r="G46" s="14">
        <v>213</v>
      </c>
      <c r="H46" s="14">
        <v>40</v>
      </c>
      <c r="I46" s="14">
        <v>322</v>
      </c>
      <c r="J46" s="14">
        <v>4</v>
      </c>
      <c r="K46" s="14">
        <v>254</v>
      </c>
      <c r="L46" s="14">
        <v>247</v>
      </c>
      <c r="M46" s="15"/>
      <c r="N46" s="14"/>
      <c r="O46" s="14">
        <v>0</v>
      </c>
      <c r="P46" s="14">
        <v>8</v>
      </c>
      <c r="Q46" s="14"/>
      <c r="R46" s="14"/>
      <c r="S46" s="14">
        <v>0</v>
      </c>
      <c r="T46" s="14">
        <v>5</v>
      </c>
      <c r="U46" s="14"/>
      <c r="V46" s="14"/>
      <c r="W46" s="14">
        <v>0</v>
      </c>
      <c r="X46" s="14">
        <v>171</v>
      </c>
    </row>
    <row r="47" spans="1:24" ht="22" customHeight="1">
      <c r="A47" s="3" t="s">
        <v>1036</v>
      </c>
      <c r="B47" s="1"/>
      <c r="C47" s="14">
        <v>466</v>
      </c>
      <c r="D47" s="14">
        <v>212</v>
      </c>
      <c r="E47" s="14">
        <v>196</v>
      </c>
      <c r="F47" s="14">
        <v>500</v>
      </c>
      <c r="G47" s="14">
        <v>380</v>
      </c>
      <c r="H47" s="14">
        <v>114</v>
      </c>
      <c r="I47" s="14">
        <v>489</v>
      </c>
      <c r="J47" s="14">
        <v>116</v>
      </c>
      <c r="K47" s="14">
        <v>399</v>
      </c>
      <c r="L47" s="14">
        <v>448</v>
      </c>
      <c r="M47" s="15"/>
      <c r="N47" s="14">
        <v>33</v>
      </c>
      <c r="O47" s="14">
        <v>34</v>
      </c>
      <c r="P47" s="14">
        <v>41</v>
      </c>
      <c r="Q47" s="14"/>
      <c r="R47" s="14">
        <v>57</v>
      </c>
      <c r="S47" s="14">
        <v>40</v>
      </c>
      <c r="T47" s="14">
        <v>45</v>
      </c>
      <c r="U47" s="14"/>
      <c r="V47" s="14">
        <v>3</v>
      </c>
      <c r="W47" s="14">
        <v>2</v>
      </c>
      <c r="X47" s="14">
        <v>167</v>
      </c>
    </row>
    <row r="48" spans="1:24" ht="22" customHeight="1">
      <c r="A48" s="3" t="s">
        <v>1011</v>
      </c>
      <c r="B48" s="1"/>
      <c r="C48" s="13">
        <f>IF(COUNT('Pension &amp; Retiree Medical'!C17)=1,'Pension &amp; Retiree Medical'!C17,"")</f>
        <v>484</v>
      </c>
      <c r="D48" s="14">
        <v>468</v>
      </c>
      <c r="E48" s="14">
        <v>482</v>
      </c>
      <c r="F48" s="14">
        <v>543</v>
      </c>
      <c r="G48" s="14">
        <v>435</v>
      </c>
      <c r="H48" s="14">
        <v>324</v>
      </c>
      <c r="I48" s="14">
        <v>434</v>
      </c>
      <c r="J48" s="14">
        <v>593</v>
      </c>
      <c r="K48" s="14">
        <v>585</v>
      </c>
      <c r="L48" s="14">
        <v>586</v>
      </c>
      <c r="M48" s="15"/>
      <c r="N48" s="14">
        <v>135</v>
      </c>
      <c r="O48" s="14">
        <v>135</v>
      </c>
      <c r="P48" s="14">
        <v>135</v>
      </c>
      <c r="Q48" s="13" t="str">
        <f>IF(COUNT('Pension &amp; Retiree Medical'!Q17)=1,'Pension &amp; Retiree Medical'!Q17,"")</f>
        <v/>
      </c>
      <c r="R48" s="14">
        <v>135</v>
      </c>
      <c r="S48" s="14">
        <v>135</v>
      </c>
      <c r="T48" s="14">
        <v>136</v>
      </c>
      <c r="U48" s="13" t="str">
        <f>IF(COUNT('Pension &amp; Retiree Medical'!U17)=1,'Pension &amp; Retiree Medical'!U17,"")</f>
        <v/>
      </c>
      <c r="V48" s="14">
        <v>120</v>
      </c>
      <c r="W48" s="14">
        <v>120</v>
      </c>
      <c r="X48" s="14">
        <v>121</v>
      </c>
    </row>
    <row r="49" spans="1:24" ht="22" customHeight="1">
      <c r="A49" s="3" t="s">
        <v>1017</v>
      </c>
      <c r="B49" s="1"/>
      <c r="C49" s="13">
        <f>IF(COUNT('Pension &amp; Retiree Medical'!C23)=1,'Pension &amp; Retiree Medical'!C23,"")</f>
        <v>11</v>
      </c>
      <c r="D49" s="14">
        <v>60</v>
      </c>
      <c r="E49" s="14">
        <v>36</v>
      </c>
      <c r="F49" s="14">
        <v>1</v>
      </c>
      <c r="G49" s="14">
        <v>19</v>
      </c>
      <c r="H49" s="14">
        <v>9</v>
      </c>
      <c r="I49" s="14">
        <v>37</v>
      </c>
      <c r="J49" s="14">
        <v>-1</v>
      </c>
      <c r="K49" s="14">
        <v>31</v>
      </c>
      <c r="L49" s="14">
        <v>21</v>
      </c>
      <c r="M49" s="15"/>
      <c r="N49" s="14">
        <v>7</v>
      </c>
      <c r="O49" s="14">
        <v>8</v>
      </c>
      <c r="P49" s="14">
        <v>8</v>
      </c>
      <c r="Q49" s="13" t="str">
        <f>IF(COUNT('Pension &amp; Retiree Medical'!Q23)=1,'Pension &amp; Retiree Medical'!Q23,"")</f>
        <v/>
      </c>
      <c r="R49" s="14">
        <v>16</v>
      </c>
      <c r="S49" s="14">
        <v>-2</v>
      </c>
      <c r="T49" s="14">
        <v>-1</v>
      </c>
      <c r="U49" s="13" t="str">
        <f>IF(COUNT('Pension &amp; Retiree Medical'!U23)=1,'Pension &amp; Retiree Medical'!U23,"")</f>
        <v/>
      </c>
      <c r="V49" s="14">
        <v>1</v>
      </c>
      <c r="W49" s="14">
        <v>0</v>
      </c>
      <c r="X49" s="14">
        <v>-7</v>
      </c>
    </row>
    <row r="50" spans="1:24" ht="36" customHeight="1">
      <c r="A50" s="3" t="s">
        <v>1037</v>
      </c>
      <c r="B50" s="1"/>
      <c r="C50" s="13">
        <f>IF(COUNT('Pension &amp; Retiree Medical'!C47,'Pension &amp; Retiree Medical'!C16)=2,'Pension &amp; Retiree Medical'!C47-'Pension &amp; Retiree Medical'!C16,"")</f>
        <v>73</v>
      </c>
      <c r="D50" s="14">
        <v>-189</v>
      </c>
      <c r="E50" s="14">
        <v>-235</v>
      </c>
      <c r="F50" s="14">
        <v>119</v>
      </c>
      <c r="G50" s="14">
        <v>-54</v>
      </c>
      <c r="H50" s="14">
        <v>-404</v>
      </c>
      <c r="I50" s="14">
        <v>2</v>
      </c>
      <c r="J50" s="14">
        <v>-211</v>
      </c>
      <c r="K50" s="14">
        <v>52</v>
      </c>
      <c r="L50" s="14">
        <v>136</v>
      </c>
      <c r="M50" s="15"/>
      <c r="N50" s="14">
        <v>-47</v>
      </c>
      <c r="O50" s="14">
        <v>-46</v>
      </c>
      <c r="P50" s="14">
        <v>-39</v>
      </c>
      <c r="Q50" s="13" t="str">
        <f>IF(COUNT('Pension &amp; Retiree Medical'!Q47,'Pension &amp; Retiree Medical'!Q16)=2,'Pension &amp; Retiree Medical'!Q47-'Pension &amp; Retiree Medical'!Q16,"")</f>
        <v/>
      </c>
      <c r="R50" s="14">
        <v>-15</v>
      </c>
      <c r="S50" s="14">
        <v>-33</v>
      </c>
      <c r="T50" s="14">
        <v>-26</v>
      </c>
      <c r="U50" s="13" t="str">
        <f>IF(COUNT('Pension &amp; Retiree Medical'!U47,'Pension &amp; Retiree Medical'!U16)=2,'Pension &amp; Retiree Medical'!U47-'Pension &amp; Retiree Medical'!U16,"")</f>
        <v/>
      </c>
      <c r="V50" s="14">
        <v>-51</v>
      </c>
      <c r="W50" s="14">
        <v>-52</v>
      </c>
      <c r="X50" s="14">
        <v>112</v>
      </c>
    </row>
    <row r="51" spans="1:24" ht="24" customHeight="1">
      <c r="A51" s="177" t="s">
        <v>1038</v>
      </c>
      <c r="B51" s="178"/>
      <c r="C51" s="179"/>
      <c r="D51" s="179"/>
      <c r="E51" s="179"/>
      <c r="F51" s="179"/>
      <c r="G51" s="179"/>
      <c r="H51" s="179"/>
      <c r="I51" s="179"/>
      <c r="J51" s="179"/>
      <c r="K51" s="179"/>
      <c r="L51" s="179"/>
      <c r="M51" s="12"/>
      <c r="N51" s="179"/>
      <c r="O51" s="179"/>
      <c r="P51" s="179"/>
      <c r="Q51" s="179"/>
      <c r="R51" s="179"/>
      <c r="S51" s="179"/>
      <c r="T51" s="179"/>
      <c r="U51" s="179"/>
      <c r="V51" s="179"/>
      <c r="W51" s="179"/>
      <c r="X51" s="179"/>
    </row>
    <row r="52" spans="1:24" ht="20" customHeight="1">
      <c r="A52" s="21" t="s">
        <v>1039</v>
      </c>
      <c r="B52" s="1"/>
      <c r="C52" s="22">
        <v>4.4000000000000004E-2</v>
      </c>
      <c r="D52" s="22">
        <v>3.7000000000000005E-2</v>
      </c>
      <c r="E52" s="22">
        <v>4.4000000000000004E-2</v>
      </c>
      <c r="F52" s="22">
        <v>3.3000000000000002E-2</v>
      </c>
      <c r="G52" s="22">
        <v>2.5000000000000001E-2</v>
      </c>
      <c r="H52" s="22">
        <v>2.8999999999999998E-2</v>
      </c>
      <c r="I52" s="22">
        <v>5.4000000000000006E-2</v>
      </c>
      <c r="J52" s="22">
        <v>5.0999999999999997E-2</v>
      </c>
      <c r="K52" s="22">
        <v>5.7000000000000002E-2</v>
      </c>
      <c r="L52" s="22">
        <v>5.5E-2</v>
      </c>
      <c r="M52" s="24"/>
      <c r="N52" s="22"/>
      <c r="O52" s="22"/>
      <c r="P52" s="22"/>
      <c r="Q52" s="22"/>
      <c r="R52" s="22"/>
      <c r="S52" s="22"/>
      <c r="T52" s="22"/>
      <c r="U52" s="22"/>
      <c r="V52" s="22"/>
      <c r="W52" s="22"/>
      <c r="X52" s="22"/>
    </row>
    <row r="53" spans="1:24" ht="20" customHeight="1">
      <c r="A53" s="21" t="s">
        <v>1040</v>
      </c>
      <c r="B53" s="1"/>
      <c r="C53" s="22">
        <v>4.5999999999999999E-2</v>
      </c>
      <c r="D53" s="22">
        <v>4.4999999999999998E-2</v>
      </c>
      <c r="E53" s="22">
        <v>3.7999999999999999E-2</v>
      </c>
      <c r="F53" s="22">
        <v>4.4000000000000004E-2</v>
      </c>
      <c r="G53" s="22">
        <v>3.4000000000000002E-2</v>
      </c>
      <c r="H53" s="22">
        <v>2.6000000000000002E-2</v>
      </c>
      <c r="I53" s="22">
        <v>3.1000000000000003E-2</v>
      </c>
      <c r="J53" s="22">
        <v>5.4000000000000006E-2</v>
      </c>
      <c r="K53" s="22">
        <v>5.0999999999999997E-2</v>
      </c>
      <c r="L53" s="22">
        <v>5.7999999999999996E-2</v>
      </c>
      <c r="M53" s="24"/>
      <c r="N53" s="22"/>
      <c r="O53" s="22"/>
      <c r="P53" s="22"/>
      <c r="Q53" s="22"/>
      <c r="R53" s="22"/>
      <c r="S53" s="22"/>
      <c r="T53" s="22"/>
      <c r="U53" s="22"/>
      <c r="V53" s="22"/>
      <c r="W53" s="22"/>
      <c r="X53" s="22"/>
    </row>
    <row r="54" spans="1:24" ht="20" customHeight="1">
      <c r="A54" s="21" t="s">
        <v>1041</v>
      </c>
      <c r="B54" s="1"/>
      <c r="C54" s="22">
        <v>3.7999999999999999E-2</v>
      </c>
      <c r="D54" s="22">
        <v>3.7000000000000005E-2</v>
      </c>
      <c r="E54" s="22">
        <v>3.4000000000000002E-2</v>
      </c>
      <c r="F54" s="22">
        <v>4.0999999999999995E-2</v>
      </c>
      <c r="G54" s="22">
        <v>2.8999999999999998E-2</v>
      </c>
      <c r="H54" s="22">
        <v>0.02</v>
      </c>
      <c r="I54" s="22">
        <v>3.1000000000000003E-2</v>
      </c>
      <c r="J54" s="22">
        <v>5.4000000000000006E-2</v>
      </c>
      <c r="K54" s="22">
        <v>5.0999999999999997E-2</v>
      </c>
      <c r="L54" s="22">
        <v>5.4000000000000006E-2</v>
      </c>
      <c r="M54" s="24"/>
      <c r="N54" s="22"/>
      <c r="O54" s="22"/>
      <c r="P54" s="22"/>
      <c r="Q54" s="22"/>
      <c r="R54" s="22"/>
      <c r="S54" s="22"/>
      <c r="T54" s="22"/>
      <c r="U54" s="22"/>
      <c r="V54" s="22"/>
      <c r="W54" s="22"/>
      <c r="X54" s="22"/>
    </row>
    <row r="55" spans="1:24" ht="20" customHeight="1">
      <c r="A55" s="21" t="s">
        <v>1032</v>
      </c>
      <c r="B55" s="1"/>
      <c r="C55" s="22">
        <v>7.4999999999999997E-2</v>
      </c>
      <c r="D55" s="22">
        <v>7.4999999999999997E-2</v>
      </c>
      <c r="E55" s="22">
        <v>7.2000000000000008E-2</v>
      </c>
      <c r="F55" s="22">
        <v>7.0999999999999994E-2</v>
      </c>
      <c r="G55" s="22">
        <v>6.8000000000000005E-2</v>
      </c>
      <c r="H55" s="22">
        <v>6.4000000000000001E-2</v>
      </c>
      <c r="I55" s="22">
        <v>6.7000000000000004E-2</v>
      </c>
      <c r="J55" s="22">
        <v>7.400000000000001E-2</v>
      </c>
      <c r="K55" s="22">
        <v>7.400000000000001E-2</v>
      </c>
      <c r="L55" s="22">
        <v>7.4999999999999997E-2</v>
      </c>
      <c r="M55" s="24"/>
      <c r="N55" s="22"/>
      <c r="O55" s="22"/>
      <c r="P55" s="22"/>
      <c r="Q55" s="22"/>
      <c r="R55" s="22"/>
      <c r="S55" s="22"/>
      <c r="T55" s="22"/>
      <c r="U55" s="22"/>
      <c r="V55" s="22"/>
      <c r="W55" s="22"/>
      <c r="X55" s="22"/>
    </row>
    <row r="56" spans="1:24" ht="20" customHeight="1">
      <c r="A56" s="21" t="s">
        <v>1042</v>
      </c>
      <c r="B56" s="1"/>
      <c r="C56" s="22">
        <v>3.1000000000000003E-2</v>
      </c>
      <c r="D56" s="22">
        <v>3.1000000000000003E-2</v>
      </c>
      <c r="E56" s="22">
        <v>3.1000000000000003E-2</v>
      </c>
      <c r="F56" s="22">
        <v>3.1000000000000003E-2</v>
      </c>
      <c r="G56" s="22">
        <v>0.03</v>
      </c>
      <c r="H56" s="22">
        <v>0.03</v>
      </c>
      <c r="I56" s="22">
        <v>3.2000000000000001E-2</v>
      </c>
      <c r="J56" s="22">
        <v>3.9E-2</v>
      </c>
      <c r="K56" s="22">
        <v>3.9E-2</v>
      </c>
      <c r="L56" s="22">
        <v>3.1000000000000003E-2</v>
      </c>
      <c r="M56" s="24"/>
      <c r="N56" s="22"/>
      <c r="O56" s="22"/>
      <c r="P56" s="22"/>
      <c r="Q56" s="22"/>
      <c r="R56" s="22"/>
      <c r="S56" s="22"/>
      <c r="T56" s="22"/>
      <c r="U56" s="22"/>
      <c r="V56" s="22"/>
      <c r="W56" s="22"/>
      <c r="X56" s="22"/>
    </row>
    <row r="57" spans="1:24" ht="20" customHeight="1">
      <c r="A57" s="21" t="s">
        <v>1043</v>
      </c>
      <c r="B57" s="1"/>
      <c r="C57" s="22">
        <v>3.1000000000000003E-2</v>
      </c>
      <c r="D57" s="22">
        <v>3.1000000000000003E-2</v>
      </c>
      <c r="E57" s="22">
        <v>3.1000000000000003E-2</v>
      </c>
      <c r="F57" s="22">
        <v>3.1000000000000003E-2</v>
      </c>
      <c r="G57" s="22">
        <v>3.1000000000000003E-2</v>
      </c>
      <c r="H57" s="22">
        <v>0.03</v>
      </c>
      <c r="I57" s="22">
        <v>0.03</v>
      </c>
      <c r="J57" s="22">
        <v>3.2000000000000001E-2</v>
      </c>
      <c r="K57" s="22">
        <v>3.9E-2</v>
      </c>
      <c r="L57" s="22">
        <v>3.9E-2</v>
      </c>
      <c r="M57" s="24"/>
      <c r="N57" s="22"/>
      <c r="O57" s="22"/>
      <c r="P57" s="22"/>
      <c r="Q57" s="22"/>
      <c r="R57" s="22"/>
      <c r="S57" s="22"/>
      <c r="T57" s="22"/>
      <c r="U57" s="22"/>
      <c r="V57" s="22"/>
      <c r="W57" s="22"/>
      <c r="X57" s="22"/>
    </row>
    <row r="58" spans="1:24" ht="22" customHeight="1">
      <c r="A58" s="3" t="s">
        <v>1044</v>
      </c>
      <c r="B58" s="1"/>
      <c r="C58" s="25">
        <f>IF(COUNT('Pension &amp; Retiree Medical'!C34,'Pension &amp; Retiree Medical'!C25,'Pension &amp; Retiree Medical'!C35)=3,'Pension &amp; Retiree Medical'!C34-'Pension &amp; Retiree Medical'!C25-'Pension &amp; Retiree Medical'!C35,"")</f>
        <v>0</v>
      </c>
      <c r="D58" s="25">
        <f>IF(COUNT('Pension &amp; Retiree Medical'!D34,'Pension &amp; Retiree Medical'!D25,'Pension &amp; Retiree Medical'!D35)=3,'Pension &amp; Retiree Medical'!D34-'Pension &amp; Retiree Medical'!D25-'Pension &amp; Retiree Medical'!D35,"")</f>
        <v>0</v>
      </c>
      <c r="E58" s="25">
        <f>IF(COUNT('Pension &amp; Retiree Medical'!E34,'Pension &amp; Retiree Medical'!E25,'Pension &amp; Retiree Medical'!E35)=3,'Pension &amp; Retiree Medical'!E34-'Pension &amp; Retiree Medical'!E25-'Pension &amp; Retiree Medical'!E35,"")</f>
        <v>0</v>
      </c>
      <c r="F58" s="25">
        <f>IF(COUNT('Pension &amp; Retiree Medical'!F34,'Pension &amp; Retiree Medical'!F25,'Pension &amp; Retiree Medical'!F35)=3,'Pension &amp; Retiree Medical'!F34-'Pension &amp; Retiree Medical'!F25-'Pension &amp; Retiree Medical'!F35,"")</f>
        <v>0</v>
      </c>
      <c r="G58" s="25">
        <f>IF(COUNT('Pension &amp; Retiree Medical'!G34,'Pension &amp; Retiree Medical'!G25,'Pension &amp; Retiree Medical'!G35)=3,'Pension &amp; Retiree Medical'!G34-'Pension &amp; Retiree Medical'!G25-'Pension &amp; Retiree Medical'!G35,"")</f>
        <v>0</v>
      </c>
      <c r="H58" s="25">
        <f>IF(COUNT('Pension &amp; Retiree Medical'!H34,'Pension &amp; Retiree Medical'!H25,'Pension &amp; Retiree Medical'!H35)=3,'Pension &amp; Retiree Medical'!H34-'Pension &amp; Retiree Medical'!H25-'Pension &amp; Retiree Medical'!H35,"")</f>
        <v>0</v>
      </c>
      <c r="I58" s="25">
        <f>IF(COUNT('Pension &amp; Retiree Medical'!I34,'Pension &amp; Retiree Medical'!I25,'Pension &amp; Retiree Medical'!I35)=3,'Pension &amp; Retiree Medical'!I34-'Pension &amp; Retiree Medical'!I25-'Pension &amp; Retiree Medical'!I35,"")</f>
        <v>0</v>
      </c>
      <c r="J58" s="25">
        <f>IF(COUNT('Pension &amp; Retiree Medical'!J34,'Pension &amp; Retiree Medical'!J25,'Pension &amp; Retiree Medical'!J35)=3,'Pension &amp; Retiree Medical'!J34-'Pension &amp; Retiree Medical'!J25-'Pension &amp; Retiree Medical'!J35,"")</f>
        <v>0</v>
      </c>
      <c r="K58" s="25">
        <f>IF(COUNT('Pension &amp; Retiree Medical'!K34,'Pension &amp; Retiree Medical'!K25,'Pension &amp; Retiree Medical'!K35)=3,'Pension &amp; Retiree Medical'!K34-'Pension &amp; Retiree Medical'!K25-'Pension &amp; Retiree Medical'!K35,"")</f>
        <v>0</v>
      </c>
      <c r="L58" s="25">
        <f>IF(COUNT('Pension &amp; Retiree Medical'!L34,'Pension &amp; Retiree Medical'!L25,'Pension &amp; Retiree Medical'!L35)=3,'Pension &amp; Retiree Medical'!L34-'Pension &amp; Retiree Medical'!L25-'Pension &amp; Retiree Medical'!L35,"")</f>
        <v>0</v>
      </c>
      <c r="M58" s="27"/>
      <c r="N58" s="25" t="str">
        <f>IF(COUNT('Pension &amp; Retiree Medical'!N34,'Pension &amp; Retiree Medical'!N25,'Pension &amp; Retiree Medical'!N35)=3,'Pension &amp; Retiree Medical'!N34-'Pension &amp; Retiree Medical'!N25-'Pension &amp; Retiree Medical'!N35,"")</f>
        <v/>
      </c>
      <c r="O58" s="25" t="str">
        <f>IF(COUNT('Pension &amp; Retiree Medical'!O34,'Pension &amp; Retiree Medical'!O25,'Pension &amp; Retiree Medical'!O35)=3,'Pension &amp; Retiree Medical'!O34-'Pension &amp; Retiree Medical'!O25-'Pension &amp; Retiree Medical'!O35,"")</f>
        <v/>
      </c>
      <c r="P58" s="25" t="str">
        <f>IF(COUNT('Pension &amp; Retiree Medical'!P34,'Pension &amp; Retiree Medical'!P25,'Pension &amp; Retiree Medical'!P35)=3,'Pension &amp; Retiree Medical'!P34-'Pension &amp; Retiree Medical'!P25-'Pension &amp; Retiree Medical'!P35,"")</f>
        <v/>
      </c>
      <c r="Q58" s="25" t="str">
        <f>IF(COUNT('Pension &amp; Retiree Medical'!Q34,'Pension &amp; Retiree Medical'!Q25,'Pension &amp; Retiree Medical'!Q35)=3,'Pension &amp; Retiree Medical'!Q34-'Pension &amp; Retiree Medical'!Q25-'Pension &amp; Retiree Medical'!Q35,"")</f>
        <v/>
      </c>
      <c r="R58" s="25" t="str">
        <f>IF(COUNT('Pension &amp; Retiree Medical'!R34,'Pension &amp; Retiree Medical'!R25,'Pension &amp; Retiree Medical'!R35)=3,'Pension &amp; Retiree Medical'!R34-'Pension &amp; Retiree Medical'!R25-'Pension &amp; Retiree Medical'!R35,"")</f>
        <v/>
      </c>
      <c r="S58" s="25" t="str">
        <f>IF(COUNT('Pension &amp; Retiree Medical'!S34,'Pension &amp; Retiree Medical'!S25,'Pension &amp; Retiree Medical'!S35)=3,'Pension &amp; Retiree Medical'!S34-'Pension &amp; Retiree Medical'!S25-'Pension &amp; Retiree Medical'!S35,"")</f>
        <v/>
      </c>
      <c r="T58" s="25" t="str">
        <f>IF(COUNT('Pension &amp; Retiree Medical'!T34,'Pension &amp; Retiree Medical'!T25,'Pension &amp; Retiree Medical'!T35)=3,'Pension &amp; Retiree Medical'!T34-'Pension &amp; Retiree Medical'!T25-'Pension &amp; Retiree Medical'!T35,"")</f>
        <v/>
      </c>
      <c r="U58" s="25" t="str">
        <f>IF(COUNT('Pension &amp; Retiree Medical'!U34,'Pension &amp; Retiree Medical'!U25,'Pension &amp; Retiree Medical'!U35)=3,'Pension &amp; Retiree Medical'!U34-'Pension &amp; Retiree Medical'!U25-'Pension &amp; Retiree Medical'!U35,"")</f>
        <v/>
      </c>
      <c r="V58" s="25" t="str">
        <f>IF(COUNT('Pension &amp; Retiree Medical'!V34,'Pension &amp; Retiree Medical'!V25,'Pension &amp; Retiree Medical'!V35)=3,'Pension &amp; Retiree Medical'!V34-'Pension &amp; Retiree Medical'!V25-'Pension &amp; Retiree Medical'!V35,"")</f>
        <v/>
      </c>
      <c r="W58" s="25" t="str">
        <f>IF(COUNT('Pension &amp; Retiree Medical'!W34,'Pension &amp; Retiree Medical'!W25,'Pension &amp; Retiree Medical'!W35)=3,'Pension &amp; Retiree Medical'!W34-'Pension &amp; Retiree Medical'!W25-'Pension &amp; Retiree Medical'!W35,"")</f>
        <v/>
      </c>
      <c r="X58" s="25" t="str">
        <f>IF(COUNT('Pension &amp; Retiree Medical'!X34,'Pension &amp; Retiree Medical'!X25,'Pension &amp; Retiree Medical'!X35)=3,'Pension &amp; Retiree Medical'!X34-'Pension &amp; Retiree Medical'!X25-'Pension &amp; Retiree Medical'!X35,"")</f>
        <v/>
      </c>
    </row>
    <row r="59" spans="1:24" ht="22" customHeight="1">
      <c r="A59" s="3" t="s">
        <v>1045</v>
      </c>
      <c r="B59" s="1"/>
      <c r="C59" s="25">
        <f>IF(COUNT('Pension &amp; Retiree Medical'!C40,'Pension &amp; Retiree Medical'!C35)=2,'Pension &amp; Retiree Medical'!C40-'Pension &amp; Retiree Medical'!C35,"")</f>
        <v>0</v>
      </c>
      <c r="D59" s="25">
        <f>IF(COUNT('Pension &amp; Retiree Medical'!D40,'Pension &amp; Retiree Medical'!D35)=2,'Pension &amp; Retiree Medical'!D40-'Pension &amp; Retiree Medical'!D35,"")</f>
        <v>0</v>
      </c>
      <c r="E59" s="25">
        <f>IF(COUNT('Pension &amp; Retiree Medical'!E40,'Pension &amp; Retiree Medical'!E35)=2,'Pension &amp; Retiree Medical'!E40-'Pension &amp; Retiree Medical'!E35,"")</f>
        <v>0</v>
      </c>
      <c r="F59" s="25">
        <f>IF(COUNT('Pension &amp; Retiree Medical'!F40,'Pension &amp; Retiree Medical'!F35)=2,'Pension &amp; Retiree Medical'!F40-'Pension &amp; Retiree Medical'!F35,"")</f>
        <v>0</v>
      </c>
      <c r="G59" s="25">
        <f>IF(COUNT('Pension &amp; Retiree Medical'!G40,'Pension &amp; Retiree Medical'!G35)=2,'Pension &amp; Retiree Medical'!G40-'Pension &amp; Retiree Medical'!G35,"")</f>
        <v>0</v>
      </c>
      <c r="H59" s="25">
        <f>IF(COUNT('Pension &amp; Retiree Medical'!H40,'Pension &amp; Retiree Medical'!H35)=2,'Pension &amp; Retiree Medical'!H40-'Pension &amp; Retiree Medical'!H35,"")</f>
        <v>0</v>
      </c>
      <c r="I59" s="25">
        <f>IF(COUNT('Pension &amp; Retiree Medical'!I40,'Pension &amp; Retiree Medical'!I35)=2,'Pension &amp; Retiree Medical'!I40-'Pension &amp; Retiree Medical'!I35,"")</f>
        <v>0</v>
      </c>
      <c r="J59" s="25">
        <f>IF(COUNT('Pension &amp; Retiree Medical'!J40,'Pension &amp; Retiree Medical'!J35)=2,'Pension &amp; Retiree Medical'!J40-'Pension &amp; Retiree Medical'!J35,"")</f>
        <v>0</v>
      </c>
      <c r="K59" s="25">
        <f>IF(COUNT('Pension &amp; Retiree Medical'!K40,'Pension &amp; Retiree Medical'!K35)=2,'Pension &amp; Retiree Medical'!K40-'Pension &amp; Retiree Medical'!K35,"")</f>
        <v>0</v>
      </c>
      <c r="L59" s="25">
        <f>IF(COUNT('Pension &amp; Retiree Medical'!L40,'Pension &amp; Retiree Medical'!L35)=2,'Pension &amp; Retiree Medical'!L40-'Pension &amp; Retiree Medical'!L35,"")</f>
        <v>0</v>
      </c>
      <c r="M59" s="27"/>
      <c r="N59" s="25" t="str">
        <f>IF(COUNT('Pension &amp; Retiree Medical'!N40,'Pension &amp; Retiree Medical'!N35)=2,'Pension &amp; Retiree Medical'!N40-'Pension &amp; Retiree Medical'!N35,"")</f>
        <v/>
      </c>
      <c r="O59" s="25" t="str">
        <f>IF(COUNT('Pension &amp; Retiree Medical'!O40,'Pension &amp; Retiree Medical'!O35)=2,'Pension &amp; Retiree Medical'!O40-'Pension &amp; Retiree Medical'!O35,"")</f>
        <v/>
      </c>
      <c r="P59" s="25" t="str">
        <f>IF(COUNT('Pension &amp; Retiree Medical'!P40,'Pension &amp; Retiree Medical'!P35)=2,'Pension &amp; Retiree Medical'!P40-'Pension &amp; Retiree Medical'!P35,"")</f>
        <v/>
      </c>
      <c r="Q59" s="25" t="str">
        <f>IF(COUNT('Pension &amp; Retiree Medical'!Q40,'Pension &amp; Retiree Medical'!Q35)=2,'Pension &amp; Retiree Medical'!Q40-'Pension &amp; Retiree Medical'!Q35,"")</f>
        <v/>
      </c>
      <c r="R59" s="25" t="str">
        <f>IF(COUNT('Pension &amp; Retiree Medical'!R40,'Pension &amp; Retiree Medical'!R35)=2,'Pension &amp; Retiree Medical'!R40-'Pension &amp; Retiree Medical'!R35,"")</f>
        <v/>
      </c>
      <c r="S59" s="25" t="str">
        <f>IF(COUNT('Pension &amp; Retiree Medical'!S40,'Pension &amp; Retiree Medical'!S35)=2,'Pension &amp; Retiree Medical'!S40-'Pension &amp; Retiree Medical'!S35,"")</f>
        <v/>
      </c>
      <c r="T59" s="25" t="str">
        <f>IF(COUNT('Pension &amp; Retiree Medical'!T40,'Pension &amp; Retiree Medical'!T35)=2,'Pension &amp; Retiree Medical'!T40-'Pension &amp; Retiree Medical'!T35,"")</f>
        <v/>
      </c>
      <c r="U59" s="25" t="str">
        <f>IF(COUNT('Pension &amp; Retiree Medical'!U40,'Pension &amp; Retiree Medical'!U35)=2,'Pension &amp; Retiree Medical'!U40-'Pension &amp; Retiree Medical'!U35,"")</f>
        <v/>
      </c>
      <c r="V59" s="25" t="str">
        <f>IF(COUNT('Pension &amp; Retiree Medical'!V40,'Pension &amp; Retiree Medical'!V35)=2,'Pension &amp; Retiree Medical'!V40-'Pension &amp; Retiree Medical'!V35,"")</f>
        <v/>
      </c>
      <c r="W59" s="25" t="str">
        <f>IF(COUNT('Pension &amp; Retiree Medical'!W40,'Pension &amp; Retiree Medical'!W35)=2,'Pension &amp; Retiree Medical'!W40-'Pension &amp; Retiree Medical'!W35,"")</f>
        <v/>
      </c>
      <c r="X59" s="25" t="str">
        <f>IF(COUNT('Pension &amp; Retiree Medical'!X40,'Pension &amp; Retiree Medical'!X35)=2,'Pension &amp; Retiree Medical'!X40-'Pension &amp; Retiree Medical'!X35,"")</f>
        <v/>
      </c>
    </row>
    <row r="60" spans="1:24" ht="36" customHeight="1">
      <c r="A60" s="3" t="s">
        <v>1046</v>
      </c>
      <c r="B60" s="1"/>
      <c r="C60" s="25">
        <f>IF(COUNT('Pension &amp; Retiree Medical'!C47,'Pension &amp; Retiree Medical'!C16,'Pension &amp; Retiree Medical'!C50)=3,'Pension &amp; Retiree Medical'!C47-'Pension &amp; Retiree Medical'!C16-'Pension &amp; Retiree Medical'!C50,"")</f>
        <v>0</v>
      </c>
      <c r="D60" s="25">
        <f>IF(COUNT('Pension &amp; Retiree Medical'!D47,'Pension &amp; Retiree Medical'!D16,'Pension &amp; Retiree Medical'!D50)=3,'Pension &amp; Retiree Medical'!D47-'Pension &amp; Retiree Medical'!D16-'Pension &amp; Retiree Medical'!D50,"")</f>
        <v>0</v>
      </c>
      <c r="E60" s="25">
        <f>IF(COUNT('Pension &amp; Retiree Medical'!E47,'Pension &amp; Retiree Medical'!E16,'Pension &amp; Retiree Medical'!E50)=3,'Pension &amp; Retiree Medical'!E47-'Pension &amp; Retiree Medical'!E16-'Pension &amp; Retiree Medical'!E50,"")</f>
        <v>0</v>
      </c>
      <c r="F60" s="25">
        <f>IF(COUNT('Pension &amp; Retiree Medical'!F47,'Pension &amp; Retiree Medical'!F16,'Pension &amp; Retiree Medical'!F50)=3,'Pension &amp; Retiree Medical'!F47-'Pension &amp; Retiree Medical'!F16-'Pension &amp; Retiree Medical'!F50,"")</f>
        <v>0</v>
      </c>
      <c r="G60" s="25">
        <f>IF(COUNT('Pension &amp; Retiree Medical'!G47,'Pension &amp; Retiree Medical'!G16,'Pension &amp; Retiree Medical'!G50)=3,'Pension &amp; Retiree Medical'!G47-'Pension &amp; Retiree Medical'!G16-'Pension &amp; Retiree Medical'!G50,"")</f>
        <v>0</v>
      </c>
      <c r="H60" s="25">
        <f>IF(COUNT('Pension &amp; Retiree Medical'!H47,'Pension &amp; Retiree Medical'!H16,'Pension &amp; Retiree Medical'!H50)=3,'Pension &amp; Retiree Medical'!H47-'Pension &amp; Retiree Medical'!H16-'Pension &amp; Retiree Medical'!H50,"")</f>
        <v>0</v>
      </c>
      <c r="I60" s="25">
        <f>IF(COUNT('Pension &amp; Retiree Medical'!I47,'Pension &amp; Retiree Medical'!I16,'Pension &amp; Retiree Medical'!I50)=3,'Pension &amp; Retiree Medical'!I47-'Pension &amp; Retiree Medical'!I16-'Pension &amp; Retiree Medical'!I50,"")</f>
        <v>0</v>
      </c>
      <c r="J60" s="25">
        <f>IF(COUNT('Pension &amp; Retiree Medical'!J47,'Pension &amp; Retiree Medical'!J16,'Pension &amp; Retiree Medical'!J50)=3,'Pension &amp; Retiree Medical'!J47-'Pension &amp; Retiree Medical'!J16-'Pension &amp; Retiree Medical'!J50,"")</f>
        <v>0</v>
      </c>
      <c r="K60" s="25">
        <f>IF(COUNT('Pension &amp; Retiree Medical'!K47,'Pension &amp; Retiree Medical'!K16,'Pension &amp; Retiree Medical'!K50)=3,'Pension &amp; Retiree Medical'!K47-'Pension &amp; Retiree Medical'!K16-'Pension &amp; Retiree Medical'!K50,"")</f>
        <v>0</v>
      </c>
      <c r="L60" s="25">
        <f>IF(COUNT('Pension &amp; Retiree Medical'!L47,'Pension &amp; Retiree Medical'!L16,'Pension &amp; Retiree Medical'!L50)=3,'Pension &amp; Retiree Medical'!L47-'Pension &amp; Retiree Medical'!L16-'Pension &amp; Retiree Medical'!L50,"")</f>
        <v>0</v>
      </c>
      <c r="M60" s="27"/>
      <c r="N60" s="25" t="str">
        <f>IF(COUNT('Pension &amp; Retiree Medical'!N47,'Pension &amp; Retiree Medical'!N16,'Pension &amp; Retiree Medical'!N50)=3,'Pension &amp; Retiree Medical'!N47-'Pension &amp; Retiree Medical'!N16-'Pension &amp; Retiree Medical'!N50,"")</f>
        <v/>
      </c>
      <c r="O60" s="25" t="str">
        <f>IF(COUNT('Pension &amp; Retiree Medical'!O47,'Pension &amp; Retiree Medical'!O16,'Pension &amp; Retiree Medical'!O50)=3,'Pension &amp; Retiree Medical'!O47-'Pension &amp; Retiree Medical'!O16-'Pension &amp; Retiree Medical'!O50,"")</f>
        <v/>
      </c>
      <c r="P60" s="25" t="str">
        <f>IF(COUNT('Pension &amp; Retiree Medical'!P47,'Pension &amp; Retiree Medical'!P16,'Pension &amp; Retiree Medical'!P50)=3,'Pension &amp; Retiree Medical'!P47-'Pension &amp; Retiree Medical'!P16-'Pension &amp; Retiree Medical'!P50,"")</f>
        <v/>
      </c>
      <c r="Q60" s="25" t="str">
        <f>IF(COUNT('Pension &amp; Retiree Medical'!Q47,'Pension &amp; Retiree Medical'!Q16,'Pension &amp; Retiree Medical'!Q50)=3,'Pension &amp; Retiree Medical'!Q47-'Pension &amp; Retiree Medical'!Q16-'Pension &amp; Retiree Medical'!Q50,"")</f>
        <v/>
      </c>
      <c r="R60" s="25" t="str">
        <f>IF(COUNT('Pension &amp; Retiree Medical'!R47,'Pension &amp; Retiree Medical'!R16,'Pension &amp; Retiree Medical'!R50)=3,'Pension &amp; Retiree Medical'!R47-'Pension &amp; Retiree Medical'!R16-'Pension &amp; Retiree Medical'!R50,"")</f>
        <v/>
      </c>
      <c r="S60" s="25" t="str">
        <f>IF(COUNT('Pension &amp; Retiree Medical'!S47,'Pension &amp; Retiree Medical'!S16,'Pension &amp; Retiree Medical'!S50)=3,'Pension &amp; Retiree Medical'!S47-'Pension &amp; Retiree Medical'!S16-'Pension &amp; Retiree Medical'!S50,"")</f>
        <v/>
      </c>
      <c r="T60" s="25" t="str">
        <f>IF(COUNT('Pension &amp; Retiree Medical'!T47,'Pension &amp; Retiree Medical'!T16,'Pension &amp; Retiree Medical'!T50)=3,'Pension &amp; Retiree Medical'!T47-'Pension &amp; Retiree Medical'!T16-'Pension &amp; Retiree Medical'!T50,"")</f>
        <v/>
      </c>
      <c r="U60" s="25" t="str">
        <f>IF(COUNT('Pension &amp; Retiree Medical'!U47,'Pension &amp; Retiree Medical'!U16,'Pension &amp; Retiree Medical'!U50)=3,'Pension &amp; Retiree Medical'!U47-'Pension &amp; Retiree Medical'!U16-'Pension &amp; Retiree Medical'!U50,"")</f>
        <v/>
      </c>
      <c r="V60" s="25" t="str">
        <f>IF(COUNT('Pension &amp; Retiree Medical'!V47,'Pension &amp; Retiree Medical'!V16,'Pension &amp; Retiree Medical'!V50)=3,'Pension &amp; Retiree Medical'!V47-'Pension &amp; Retiree Medical'!V16-'Pension &amp; Retiree Medical'!V50,"")</f>
        <v/>
      </c>
      <c r="W60" s="25" t="str">
        <f>IF(COUNT('Pension &amp; Retiree Medical'!W47,'Pension &amp; Retiree Medical'!W16,'Pension &amp; Retiree Medical'!W50)=3,'Pension &amp; Retiree Medical'!W47-'Pension &amp; Retiree Medical'!W16-'Pension &amp; Retiree Medical'!W50,"")</f>
        <v/>
      </c>
      <c r="X60" s="25" t="str">
        <f>IF(COUNT('Pension &amp; Retiree Medical'!X47,'Pension &amp; Retiree Medical'!X16,'Pension &amp; Retiree Medical'!X50)=3,'Pension &amp; Retiree Medical'!X47-'Pension &amp; Retiree Medical'!X16-'Pension &amp; Retiree Medical'!X50,"")</f>
        <v/>
      </c>
    </row>
    <row r="61" spans="1:24" ht="22" customHeight="1">
      <c r="A61" s="3"/>
      <c r="B61" s="1"/>
      <c r="C61" s="2"/>
      <c r="D61" s="2"/>
      <c r="E61" s="2"/>
      <c r="F61" s="2"/>
      <c r="G61" s="2"/>
      <c r="H61" s="2"/>
      <c r="I61" s="2"/>
      <c r="J61" s="2"/>
      <c r="K61" s="2"/>
      <c r="L61" s="2"/>
      <c r="M61" s="2"/>
      <c r="N61" s="2"/>
      <c r="O61" s="2"/>
      <c r="P61" s="2"/>
      <c r="Q61" s="2"/>
      <c r="R61" s="2"/>
      <c r="S61" s="2"/>
      <c r="T61" s="2"/>
      <c r="U61" s="2"/>
      <c r="V61" s="2"/>
      <c r="W61" s="2"/>
      <c r="X61" s="2"/>
    </row>
    <row r="62" spans="1:24" ht="22" customHeight="1">
      <c r="A62" s="174" t="s">
        <v>1004</v>
      </c>
      <c r="B62" s="174"/>
      <c r="C62" s="175"/>
      <c r="D62" s="175"/>
      <c r="E62" s="175"/>
      <c r="F62" s="175"/>
      <c r="G62" s="175"/>
      <c r="H62" s="175"/>
      <c r="I62" s="175"/>
      <c r="J62" s="175"/>
      <c r="K62" s="175"/>
      <c r="L62" s="175"/>
      <c r="M62" s="175"/>
      <c r="N62" s="175"/>
      <c r="O62" s="175"/>
      <c r="P62" s="175"/>
      <c r="Q62" s="175"/>
      <c r="R62" s="175"/>
      <c r="S62" s="175"/>
      <c r="T62" s="175"/>
      <c r="U62" s="175"/>
      <c r="V62" s="175"/>
      <c r="W62" s="175"/>
      <c r="X62" s="175"/>
    </row>
    <row r="63" spans="1:24" ht="18" customHeight="1">
      <c r="A63" s="163" t="s">
        <v>1007</v>
      </c>
      <c r="B63" s="163"/>
      <c r="C63" s="173"/>
      <c r="D63" s="173"/>
      <c r="E63" s="173"/>
      <c r="F63" s="173"/>
      <c r="G63" s="173"/>
      <c r="H63" s="173"/>
      <c r="I63" s="173"/>
      <c r="J63" s="173"/>
      <c r="K63" s="173"/>
      <c r="L63" s="173"/>
      <c r="M63" s="173"/>
      <c r="N63" s="173"/>
      <c r="O63" s="173"/>
      <c r="P63" s="173"/>
      <c r="Q63" s="173"/>
      <c r="R63" s="173"/>
      <c r="S63" s="173"/>
      <c r="T63" s="173"/>
      <c r="U63" s="173"/>
      <c r="V63" s="173"/>
      <c r="W63" s="173"/>
      <c r="X63" s="173"/>
    </row>
    <row r="64" spans="1:24" ht="24" customHeight="1">
      <c r="A64" s="177" t="s">
        <v>1008</v>
      </c>
      <c r="B64" s="178"/>
      <c r="C64" s="179"/>
      <c r="D64" s="179"/>
      <c r="E64" s="179"/>
      <c r="F64" s="179"/>
      <c r="G64" s="179"/>
      <c r="H64" s="179"/>
      <c r="I64" s="179"/>
      <c r="J64" s="179"/>
      <c r="K64" s="179"/>
      <c r="L64" s="179"/>
      <c r="M64" s="12"/>
      <c r="N64" s="179"/>
      <c r="O64" s="179"/>
      <c r="P64" s="179"/>
      <c r="Q64" s="179"/>
      <c r="R64" s="179"/>
      <c r="S64" s="179"/>
      <c r="T64" s="179"/>
      <c r="U64" s="179"/>
      <c r="V64" s="179"/>
      <c r="W64" s="179"/>
      <c r="X64" s="179"/>
    </row>
    <row r="65" spans="1:24" ht="24" customHeight="1">
      <c r="A65" s="16" t="s">
        <v>1009</v>
      </c>
      <c r="B65" s="17"/>
      <c r="C65" s="18">
        <v>2872</v>
      </c>
      <c r="D65" s="18">
        <v>3124</v>
      </c>
      <c r="E65" s="18">
        <v>3490</v>
      </c>
      <c r="F65" s="18">
        <v>3098</v>
      </c>
      <c r="G65" s="18">
        <v>3753</v>
      </c>
      <c r="H65" s="18">
        <v>4430</v>
      </c>
      <c r="I65" s="18">
        <v>4175</v>
      </c>
      <c r="J65" s="18">
        <v>2603</v>
      </c>
      <c r="K65" s="18">
        <v>2986</v>
      </c>
      <c r="L65" s="18">
        <v>2786</v>
      </c>
      <c r="M65" s="20"/>
      <c r="N65" s="18"/>
      <c r="O65" s="18"/>
      <c r="P65" s="18"/>
      <c r="Q65" s="18"/>
      <c r="R65" s="18"/>
      <c r="S65" s="18"/>
      <c r="T65" s="18"/>
      <c r="U65" s="18"/>
      <c r="V65" s="18"/>
      <c r="W65" s="18"/>
      <c r="X65" s="18"/>
    </row>
    <row r="66" spans="1:24" ht="22" customHeight="1">
      <c r="A66" s="3" t="s">
        <v>1010</v>
      </c>
      <c r="B66" s="1"/>
      <c r="C66" s="14">
        <v>80</v>
      </c>
      <c r="D66" s="14">
        <v>91</v>
      </c>
      <c r="E66" s="14">
        <v>92</v>
      </c>
      <c r="F66" s="14">
        <v>73</v>
      </c>
      <c r="G66" s="14">
        <v>86</v>
      </c>
      <c r="H66" s="14">
        <v>104</v>
      </c>
      <c r="I66" s="14">
        <v>64</v>
      </c>
      <c r="J66" s="14">
        <v>43</v>
      </c>
      <c r="K66" s="14">
        <v>46</v>
      </c>
      <c r="L66" s="14">
        <v>47</v>
      </c>
      <c r="M66" s="15"/>
      <c r="N66" s="14"/>
      <c r="O66" s="14"/>
      <c r="P66" s="14"/>
      <c r="Q66" s="14"/>
      <c r="R66" s="14"/>
      <c r="S66" s="14"/>
      <c r="T66" s="14"/>
      <c r="U66" s="14"/>
      <c r="V66" s="14"/>
      <c r="W66" s="14"/>
      <c r="X66" s="14"/>
    </row>
    <row r="67" spans="1:24" ht="22" customHeight="1">
      <c r="A67" s="3" t="s">
        <v>1011</v>
      </c>
      <c r="B67" s="1"/>
      <c r="C67" s="14">
        <v>94</v>
      </c>
      <c r="D67" s="14">
        <v>89</v>
      </c>
      <c r="E67" s="14">
        <v>93</v>
      </c>
      <c r="F67" s="14">
        <v>97</v>
      </c>
      <c r="G67" s="14">
        <v>85</v>
      </c>
      <c r="H67" s="14">
        <v>74</v>
      </c>
      <c r="I67" s="14">
        <v>90</v>
      </c>
      <c r="J67" s="14">
        <v>141</v>
      </c>
      <c r="K67" s="14">
        <v>144</v>
      </c>
      <c r="L67" s="14">
        <v>152</v>
      </c>
      <c r="M67" s="15"/>
      <c r="N67" s="14"/>
      <c r="O67" s="14"/>
      <c r="P67" s="14"/>
      <c r="Q67" s="14"/>
      <c r="R67" s="14"/>
      <c r="S67" s="14"/>
      <c r="T67" s="14"/>
      <c r="U67" s="14"/>
      <c r="V67" s="14"/>
      <c r="W67" s="14"/>
      <c r="X67" s="14"/>
    </row>
    <row r="68" spans="1:24" ht="22" customHeight="1">
      <c r="A68" s="3" t="s">
        <v>1012</v>
      </c>
      <c r="B68" s="1"/>
      <c r="C68" s="14">
        <v>0</v>
      </c>
      <c r="D68" s="14">
        <v>2</v>
      </c>
      <c r="E68" s="14">
        <v>2</v>
      </c>
      <c r="F68" s="14">
        <v>1</v>
      </c>
      <c r="G68" s="14">
        <v>-17</v>
      </c>
      <c r="H68" s="14">
        <v>3</v>
      </c>
      <c r="I68" s="14">
        <v>0</v>
      </c>
      <c r="J68" s="14">
        <v>0</v>
      </c>
      <c r="K68" s="14">
        <v>1</v>
      </c>
      <c r="L68" s="14">
        <v>1</v>
      </c>
      <c r="M68" s="15"/>
      <c r="N68" s="14"/>
      <c r="O68" s="14"/>
      <c r="P68" s="14"/>
      <c r="Q68" s="14"/>
      <c r="R68" s="14"/>
      <c r="S68" s="14"/>
      <c r="T68" s="14"/>
      <c r="U68" s="14"/>
      <c r="V68" s="14"/>
      <c r="W68" s="14"/>
      <c r="X68" s="14"/>
    </row>
    <row r="69" spans="1:24" ht="22" customHeight="1">
      <c r="A69" s="3" t="s">
        <v>1013</v>
      </c>
      <c r="B69" s="1"/>
      <c r="C69" s="14">
        <v>2</v>
      </c>
      <c r="D69" s="14">
        <v>2</v>
      </c>
      <c r="E69" s="14">
        <v>2</v>
      </c>
      <c r="F69" s="14">
        <v>2</v>
      </c>
      <c r="G69" s="14">
        <v>2</v>
      </c>
      <c r="H69" s="14">
        <v>3</v>
      </c>
      <c r="I69" s="14">
        <v>2</v>
      </c>
      <c r="J69" s="14">
        <v>2</v>
      </c>
      <c r="K69" s="14">
        <v>2</v>
      </c>
      <c r="L69" s="14">
        <v>2</v>
      </c>
      <c r="M69" s="15"/>
      <c r="N69" s="14"/>
      <c r="O69" s="14"/>
      <c r="P69" s="14"/>
      <c r="Q69" s="14"/>
      <c r="R69" s="14"/>
      <c r="S69" s="14"/>
      <c r="T69" s="14"/>
      <c r="U69" s="14"/>
      <c r="V69" s="14"/>
      <c r="W69" s="14"/>
      <c r="X69" s="14"/>
    </row>
    <row r="70" spans="1:24" ht="22" customHeight="1">
      <c r="A70" s="3" t="s">
        <v>1014</v>
      </c>
      <c r="B70" s="1"/>
      <c r="C70" s="14">
        <v>560</v>
      </c>
      <c r="D70" s="14">
        <v>5</v>
      </c>
      <c r="E70" s="14">
        <v>-230</v>
      </c>
      <c r="F70" s="14">
        <v>515</v>
      </c>
      <c r="G70" s="14">
        <v>467</v>
      </c>
      <c r="H70" s="14">
        <v>-178</v>
      </c>
      <c r="I70" s="14">
        <v>-1284</v>
      </c>
      <c r="J70" s="14">
        <v>194</v>
      </c>
      <c r="K70" s="14">
        <v>-55</v>
      </c>
      <c r="L70" s="14">
        <v>-74</v>
      </c>
      <c r="M70" s="15"/>
      <c r="N70" s="14"/>
      <c r="O70" s="14"/>
      <c r="P70" s="14"/>
      <c r="Q70" s="14"/>
      <c r="R70" s="14"/>
      <c r="S70" s="14"/>
      <c r="T70" s="14"/>
      <c r="U70" s="14"/>
      <c r="V70" s="14"/>
      <c r="W70" s="14"/>
      <c r="X70" s="14"/>
    </row>
    <row r="71" spans="1:24" ht="22" customHeight="1">
      <c r="A71" s="3" t="s">
        <v>1015</v>
      </c>
      <c r="B71" s="1"/>
      <c r="C71" s="14">
        <v>-83</v>
      </c>
      <c r="D71" s="14">
        <v>-104</v>
      </c>
      <c r="E71" s="14">
        <v>-114</v>
      </c>
      <c r="F71" s="14">
        <v>-100</v>
      </c>
      <c r="G71" s="14">
        <v>-92</v>
      </c>
      <c r="H71" s="14">
        <v>-106</v>
      </c>
      <c r="I71" s="14">
        <v>-127</v>
      </c>
      <c r="J71" s="14">
        <v>-116</v>
      </c>
      <c r="K71" s="14">
        <v>-108</v>
      </c>
      <c r="L71" s="14">
        <v>-112</v>
      </c>
      <c r="M71" s="15"/>
      <c r="N71" s="14"/>
      <c r="O71" s="14"/>
      <c r="P71" s="14"/>
      <c r="Q71" s="14"/>
      <c r="R71" s="14"/>
      <c r="S71" s="14"/>
      <c r="T71" s="14"/>
      <c r="U71" s="14"/>
      <c r="V71" s="14"/>
      <c r="W71" s="14"/>
      <c r="X71" s="14"/>
    </row>
    <row r="72" spans="1:24" ht="22" customHeight="1">
      <c r="A72" s="3" t="s">
        <v>1016</v>
      </c>
      <c r="B72" s="1"/>
      <c r="C72" s="14">
        <v>-19</v>
      </c>
      <c r="D72" s="14">
        <v>-22</v>
      </c>
      <c r="E72" s="14">
        <v>-35</v>
      </c>
      <c r="F72" s="14">
        <v>-31</v>
      </c>
      <c r="G72" s="14">
        <v>-24</v>
      </c>
      <c r="H72" s="14">
        <v>-99</v>
      </c>
      <c r="I72" s="14">
        <v>-5</v>
      </c>
      <c r="J72" s="14">
        <v>-26</v>
      </c>
      <c r="K72" s="14">
        <v>-62</v>
      </c>
      <c r="L72" s="14">
        <v>-109</v>
      </c>
      <c r="M72" s="15"/>
      <c r="N72" s="14"/>
      <c r="O72" s="14"/>
      <c r="P72" s="14"/>
      <c r="Q72" s="14"/>
      <c r="R72" s="14"/>
      <c r="S72" s="14"/>
      <c r="T72" s="14"/>
      <c r="U72" s="14"/>
      <c r="V72" s="14"/>
      <c r="W72" s="14"/>
      <c r="X72" s="14"/>
    </row>
    <row r="73" spans="1:24" ht="22" customHeight="1">
      <c r="A73" s="3" t="s">
        <v>1017</v>
      </c>
      <c r="B73" s="1"/>
      <c r="C73" s="14">
        <v>1</v>
      </c>
      <c r="D73" s="14">
        <v>0</v>
      </c>
      <c r="E73" s="14">
        <v>2</v>
      </c>
      <c r="F73" s="14">
        <v>0</v>
      </c>
      <c r="G73" s="14">
        <v>0</v>
      </c>
      <c r="H73" s="14">
        <v>0</v>
      </c>
      <c r="I73" s="14">
        <v>0</v>
      </c>
      <c r="J73" s="14">
        <v>0</v>
      </c>
      <c r="K73" s="14">
        <v>0</v>
      </c>
      <c r="L73" s="14">
        <v>0</v>
      </c>
      <c r="M73" s="15"/>
      <c r="N73" s="14"/>
      <c r="O73" s="14"/>
      <c r="P73" s="14"/>
      <c r="Q73" s="14"/>
      <c r="R73" s="14"/>
      <c r="S73" s="14"/>
      <c r="T73" s="14"/>
      <c r="U73" s="14"/>
      <c r="V73" s="14"/>
      <c r="W73" s="14"/>
      <c r="X73" s="14"/>
    </row>
    <row r="74" spans="1:24" ht="22" customHeight="1">
      <c r="A74" s="3" t="s">
        <v>1018</v>
      </c>
      <c r="B74" s="1"/>
      <c r="C74" s="14">
        <v>-383</v>
      </c>
      <c r="D74" s="14">
        <v>303</v>
      </c>
      <c r="E74" s="14">
        <v>-204</v>
      </c>
      <c r="F74" s="14">
        <v>98</v>
      </c>
      <c r="G74" s="14">
        <v>170</v>
      </c>
      <c r="H74" s="14">
        <v>-56</v>
      </c>
      <c r="I74" s="14">
        <v>-312</v>
      </c>
      <c r="J74" s="14">
        <v>145</v>
      </c>
      <c r="K74" s="14">
        <v>-168</v>
      </c>
      <c r="L74" s="14">
        <v>234</v>
      </c>
      <c r="M74" s="15"/>
      <c r="N74" s="14"/>
      <c r="O74" s="14"/>
      <c r="P74" s="14"/>
      <c r="Q74" s="14"/>
      <c r="R74" s="14"/>
      <c r="S74" s="14"/>
      <c r="T74" s="14"/>
      <c r="U74" s="14"/>
      <c r="V74" s="14"/>
      <c r="W74" s="14"/>
      <c r="X74" s="14"/>
    </row>
    <row r="75" spans="1:24" ht="24" customHeight="1">
      <c r="A75" s="16" t="s">
        <v>1019</v>
      </c>
      <c r="B75" s="17"/>
      <c r="C75" s="18">
        <v>3124</v>
      </c>
      <c r="D75" s="18">
        <v>3490</v>
      </c>
      <c r="E75" s="18">
        <v>3098</v>
      </c>
      <c r="F75" s="18">
        <v>3753</v>
      </c>
      <c r="G75" s="18">
        <v>4430</v>
      </c>
      <c r="H75" s="18">
        <v>4175</v>
      </c>
      <c r="I75" s="18">
        <v>2603</v>
      </c>
      <c r="J75" s="18">
        <v>2986</v>
      </c>
      <c r="K75" s="18">
        <v>2786</v>
      </c>
      <c r="L75" s="18">
        <v>2927</v>
      </c>
      <c r="M75" s="20"/>
      <c r="N75" s="18"/>
      <c r="O75" s="18"/>
      <c r="P75" s="18"/>
      <c r="Q75" s="18"/>
      <c r="R75" s="18"/>
      <c r="S75" s="18"/>
      <c r="T75" s="18"/>
      <c r="U75" s="18"/>
      <c r="V75" s="18"/>
      <c r="W75" s="18"/>
      <c r="X75" s="18"/>
    </row>
    <row r="76" spans="1:24" ht="24" customHeight="1">
      <c r="A76" s="177" t="s">
        <v>1020</v>
      </c>
      <c r="B76" s="178"/>
      <c r="C76" s="179"/>
      <c r="D76" s="179"/>
      <c r="E76" s="179"/>
      <c r="F76" s="179"/>
      <c r="G76" s="179"/>
      <c r="H76" s="179"/>
      <c r="I76" s="179"/>
      <c r="J76" s="179"/>
      <c r="K76" s="179"/>
      <c r="L76" s="179"/>
      <c r="M76" s="12"/>
      <c r="N76" s="179"/>
      <c r="O76" s="179"/>
      <c r="P76" s="179"/>
      <c r="Q76" s="179"/>
      <c r="R76" s="179"/>
      <c r="S76" s="179"/>
      <c r="T76" s="179"/>
      <c r="U76" s="179"/>
      <c r="V76" s="179"/>
      <c r="W76" s="179"/>
      <c r="X76" s="179"/>
    </row>
    <row r="77" spans="1:24" ht="22" customHeight="1">
      <c r="A77" s="3" t="s">
        <v>1021</v>
      </c>
      <c r="B77" s="1"/>
      <c r="C77" s="14">
        <v>2823</v>
      </c>
      <c r="D77" s="14">
        <v>2894</v>
      </c>
      <c r="E77" s="14">
        <v>3460</v>
      </c>
      <c r="F77" s="14">
        <v>3090</v>
      </c>
      <c r="G77" s="14">
        <v>3732</v>
      </c>
      <c r="H77" s="14">
        <v>4303</v>
      </c>
      <c r="I77" s="14">
        <v>4624</v>
      </c>
      <c r="J77" s="14">
        <v>3195</v>
      </c>
      <c r="K77" s="14">
        <v>3528</v>
      </c>
      <c r="L77" s="14">
        <v>3397</v>
      </c>
      <c r="M77" s="15"/>
      <c r="N77" s="14"/>
      <c r="O77" s="14"/>
      <c r="P77" s="14"/>
      <c r="Q77" s="14"/>
      <c r="R77" s="14"/>
      <c r="S77" s="14"/>
      <c r="T77" s="14"/>
      <c r="U77" s="14"/>
      <c r="V77" s="14"/>
      <c r="W77" s="14"/>
      <c r="X77" s="14"/>
    </row>
    <row r="78" spans="1:24" ht="22" customHeight="1">
      <c r="A78" s="3" t="s">
        <v>1022</v>
      </c>
      <c r="B78" s="1"/>
      <c r="C78" s="14">
        <v>409</v>
      </c>
      <c r="D78" s="14">
        <v>288</v>
      </c>
      <c r="E78" s="14">
        <v>-136</v>
      </c>
      <c r="F78" s="14">
        <v>551</v>
      </c>
      <c r="G78" s="14">
        <v>401</v>
      </c>
      <c r="H78" s="14">
        <v>387</v>
      </c>
      <c r="I78" s="14">
        <v>-1026</v>
      </c>
      <c r="J78" s="14">
        <v>267</v>
      </c>
      <c r="K78" s="14">
        <v>142</v>
      </c>
      <c r="L78" s="14">
        <v>149</v>
      </c>
      <c r="M78" s="15"/>
      <c r="N78" s="14"/>
      <c r="O78" s="14"/>
      <c r="P78" s="14"/>
      <c r="Q78" s="14"/>
      <c r="R78" s="14"/>
      <c r="S78" s="14"/>
      <c r="T78" s="14"/>
      <c r="U78" s="14"/>
      <c r="V78" s="14"/>
      <c r="W78" s="14"/>
      <c r="X78" s="14"/>
    </row>
    <row r="79" spans="1:24" ht="22" customHeight="1">
      <c r="A79" s="3" t="s">
        <v>1023</v>
      </c>
      <c r="B79" s="1"/>
      <c r="C79" s="14">
        <v>118</v>
      </c>
      <c r="D79" s="14">
        <v>104</v>
      </c>
      <c r="E79" s="14">
        <v>120</v>
      </c>
      <c r="F79" s="14">
        <v>122</v>
      </c>
      <c r="G79" s="14">
        <v>120</v>
      </c>
      <c r="H79" s="14">
        <v>158</v>
      </c>
      <c r="I79" s="14">
        <v>101</v>
      </c>
      <c r="J79" s="14">
        <v>50</v>
      </c>
      <c r="K79" s="14">
        <v>59</v>
      </c>
      <c r="L79" s="14">
        <v>67</v>
      </c>
      <c r="M79" s="15"/>
      <c r="N79" s="14"/>
      <c r="O79" s="14"/>
      <c r="P79" s="14"/>
      <c r="Q79" s="14"/>
      <c r="R79" s="14"/>
      <c r="S79" s="14"/>
      <c r="T79" s="14"/>
      <c r="U79" s="14"/>
      <c r="V79" s="14"/>
      <c r="W79" s="14"/>
      <c r="X79" s="14"/>
    </row>
    <row r="80" spans="1:24" ht="22" customHeight="1">
      <c r="A80" s="3" t="s">
        <v>1013</v>
      </c>
      <c r="B80" s="1"/>
      <c r="C80" s="14">
        <v>2</v>
      </c>
      <c r="D80" s="14">
        <v>2</v>
      </c>
      <c r="E80" s="14">
        <v>2</v>
      </c>
      <c r="F80" s="14">
        <v>2</v>
      </c>
      <c r="G80" s="14">
        <v>2</v>
      </c>
      <c r="H80" s="14">
        <v>3</v>
      </c>
      <c r="I80" s="14">
        <v>2</v>
      </c>
      <c r="J80" s="14">
        <v>2</v>
      </c>
      <c r="K80" s="14">
        <v>2</v>
      </c>
      <c r="L80" s="14">
        <v>2</v>
      </c>
      <c r="M80" s="15"/>
      <c r="N80" s="14"/>
      <c r="O80" s="14"/>
      <c r="P80" s="14"/>
      <c r="Q80" s="14"/>
      <c r="R80" s="14"/>
      <c r="S80" s="14"/>
      <c r="T80" s="14"/>
      <c r="U80" s="14"/>
      <c r="V80" s="14"/>
      <c r="W80" s="14"/>
      <c r="X80" s="14"/>
    </row>
    <row r="81" spans="1:24" ht="22" customHeight="1">
      <c r="A81" s="3" t="s">
        <v>1015</v>
      </c>
      <c r="B81" s="1"/>
      <c r="C81" s="14">
        <v>-83</v>
      </c>
      <c r="D81" s="14">
        <v>-104</v>
      </c>
      <c r="E81" s="14">
        <v>-114</v>
      </c>
      <c r="F81" s="14">
        <v>-100</v>
      </c>
      <c r="G81" s="14">
        <v>-92</v>
      </c>
      <c r="H81" s="14">
        <v>-106</v>
      </c>
      <c r="I81" s="14">
        <v>-127</v>
      </c>
      <c r="J81" s="14">
        <v>-116</v>
      </c>
      <c r="K81" s="14">
        <v>-108</v>
      </c>
      <c r="L81" s="14">
        <v>-112</v>
      </c>
      <c r="M81" s="15"/>
      <c r="N81" s="14"/>
      <c r="O81" s="14"/>
      <c r="P81" s="14"/>
      <c r="Q81" s="14"/>
      <c r="R81" s="14"/>
      <c r="S81" s="14"/>
      <c r="T81" s="14"/>
      <c r="U81" s="14"/>
      <c r="V81" s="14"/>
      <c r="W81" s="14"/>
      <c r="X81" s="14"/>
    </row>
    <row r="82" spans="1:24" ht="22" customHeight="1">
      <c r="A82" s="3" t="s">
        <v>1024</v>
      </c>
      <c r="B82" s="1"/>
      <c r="C82" s="14">
        <v>-22</v>
      </c>
      <c r="D82" s="14">
        <v>-18</v>
      </c>
      <c r="E82" s="14">
        <v>-32</v>
      </c>
      <c r="F82" s="14">
        <v>-31</v>
      </c>
      <c r="G82" s="14">
        <v>-29</v>
      </c>
      <c r="H82" s="14">
        <v>-52</v>
      </c>
      <c r="I82" s="14">
        <v>-5</v>
      </c>
      <c r="J82" s="14">
        <v>-26</v>
      </c>
      <c r="K82" s="14">
        <v>-62</v>
      </c>
      <c r="L82" s="14">
        <v>-109</v>
      </c>
      <c r="M82" s="15"/>
      <c r="N82" s="14"/>
      <c r="O82" s="14"/>
      <c r="P82" s="14"/>
      <c r="Q82" s="14"/>
      <c r="R82" s="14"/>
      <c r="S82" s="14"/>
      <c r="T82" s="14"/>
      <c r="U82" s="14"/>
      <c r="V82" s="14"/>
      <c r="W82" s="14"/>
      <c r="X82" s="14"/>
    </row>
    <row r="83" spans="1:24" ht="22" customHeight="1">
      <c r="A83" s="3" t="s">
        <v>1018</v>
      </c>
      <c r="B83" s="1"/>
      <c r="C83" s="14">
        <v>-353</v>
      </c>
      <c r="D83" s="14">
        <v>294</v>
      </c>
      <c r="E83" s="14">
        <v>-210</v>
      </c>
      <c r="F83" s="14">
        <v>98</v>
      </c>
      <c r="G83" s="14">
        <v>169</v>
      </c>
      <c r="H83" s="14">
        <v>-69</v>
      </c>
      <c r="I83" s="14">
        <v>-374</v>
      </c>
      <c r="J83" s="14">
        <v>156</v>
      </c>
      <c r="K83" s="14">
        <v>-164</v>
      </c>
      <c r="L83" s="14">
        <v>258</v>
      </c>
      <c r="M83" s="15"/>
      <c r="N83" s="14"/>
      <c r="O83" s="14"/>
      <c r="P83" s="14"/>
      <c r="Q83" s="14"/>
      <c r="R83" s="14"/>
      <c r="S83" s="14"/>
      <c r="T83" s="14"/>
      <c r="U83" s="14"/>
      <c r="V83" s="14"/>
      <c r="W83" s="14"/>
      <c r="X83" s="14"/>
    </row>
    <row r="84" spans="1:24" ht="24" customHeight="1">
      <c r="A84" s="16" t="s">
        <v>1025</v>
      </c>
      <c r="B84" s="17"/>
      <c r="C84" s="18">
        <v>2894</v>
      </c>
      <c r="D84" s="18">
        <v>3460</v>
      </c>
      <c r="E84" s="18">
        <v>3090</v>
      </c>
      <c r="F84" s="18">
        <v>3732</v>
      </c>
      <c r="G84" s="18">
        <v>4303</v>
      </c>
      <c r="H84" s="18">
        <v>4624</v>
      </c>
      <c r="I84" s="18">
        <v>3195</v>
      </c>
      <c r="J84" s="18">
        <v>3528</v>
      </c>
      <c r="K84" s="18">
        <v>3397</v>
      </c>
      <c r="L84" s="18">
        <v>3652</v>
      </c>
      <c r="M84" s="20"/>
      <c r="N84" s="18"/>
      <c r="O84" s="18"/>
      <c r="P84" s="18"/>
      <c r="Q84" s="18"/>
      <c r="R84" s="18"/>
      <c r="S84" s="18"/>
      <c r="T84" s="18"/>
      <c r="U84" s="18"/>
      <c r="V84" s="18"/>
      <c r="W84" s="18"/>
      <c r="X84" s="18"/>
    </row>
    <row r="85" spans="1:24" ht="24" customHeight="1">
      <c r="A85" s="16" t="s">
        <v>1026</v>
      </c>
      <c r="B85" s="17"/>
      <c r="C85" s="18">
        <v>-230</v>
      </c>
      <c r="D85" s="18">
        <v>-30</v>
      </c>
      <c r="E85" s="18">
        <v>-8</v>
      </c>
      <c r="F85" s="18">
        <v>-21</v>
      </c>
      <c r="G85" s="18">
        <v>-127</v>
      </c>
      <c r="H85" s="18">
        <v>449</v>
      </c>
      <c r="I85" s="18">
        <v>592</v>
      </c>
      <c r="J85" s="18">
        <v>542</v>
      </c>
      <c r="K85" s="18">
        <v>611</v>
      </c>
      <c r="L85" s="18">
        <v>725</v>
      </c>
      <c r="M85" s="20"/>
      <c r="N85" s="18"/>
      <c r="O85" s="18"/>
      <c r="P85" s="18"/>
      <c r="Q85" s="18"/>
      <c r="R85" s="18"/>
      <c r="S85" s="18"/>
      <c r="T85" s="18"/>
      <c r="U85" s="18"/>
      <c r="V85" s="18"/>
      <c r="W85" s="18"/>
      <c r="X85" s="18"/>
    </row>
    <row r="86" spans="1:24" ht="24" customHeight="1">
      <c r="A86" s="177" t="s">
        <v>1027</v>
      </c>
      <c r="B86" s="178"/>
      <c r="C86" s="179"/>
      <c r="D86" s="179"/>
      <c r="E86" s="179"/>
      <c r="F86" s="179"/>
      <c r="G86" s="179"/>
      <c r="H86" s="179"/>
      <c r="I86" s="179"/>
      <c r="J86" s="179"/>
      <c r="K86" s="179"/>
      <c r="L86" s="179"/>
      <c r="M86" s="12"/>
      <c r="N86" s="179"/>
      <c r="O86" s="179"/>
      <c r="P86" s="179"/>
      <c r="Q86" s="179"/>
      <c r="R86" s="179"/>
      <c r="S86" s="179"/>
      <c r="T86" s="179"/>
      <c r="U86" s="179"/>
      <c r="V86" s="179"/>
      <c r="W86" s="179"/>
      <c r="X86" s="179"/>
    </row>
    <row r="87" spans="1:24" ht="22" customHeight="1">
      <c r="A87" s="3" t="s">
        <v>1028</v>
      </c>
      <c r="B87" s="1"/>
      <c r="C87" s="14">
        <v>51</v>
      </c>
      <c r="D87" s="14">
        <v>85</v>
      </c>
      <c r="E87" s="14">
        <v>81</v>
      </c>
      <c r="F87" s="14">
        <v>99</v>
      </c>
      <c r="G87" s="14">
        <v>110</v>
      </c>
      <c r="H87" s="14">
        <v>564</v>
      </c>
      <c r="I87" s="14">
        <v>708</v>
      </c>
      <c r="J87" s="14">
        <v>727</v>
      </c>
      <c r="K87" s="14">
        <v>792</v>
      </c>
      <c r="L87" s="14">
        <v>983</v>
      </c>
      <c r="M87" s="15"/>
      <c r="N87" s="14"/>
      <c r="O87" s="14"/>
      <c r="P87" s="14"/>
      <c r="Q87" s="14"/>
      <c r="R87" s="14"/>
      <c r="S87" s="14"/>
      <c r="T87" s="14"/>
      <c r="U87" s="14"/>
      <c r="V87" s="14"/>
      <c r="W87" s="14"/>
      <c r="X87" s="14"/>
    </row>
    <row r="88" spans="1:24" ht="22" customHeight="1">
      <c r="A88" s="3" t="s">
        <v>462</v>
      </c>
      <c r="B88" s="1"/>
      <c r="C88" s="14">
        <v>-1</v>
      </c>
      <c r="D88" s="14">
        <v>-1</v>
      </c>
      <c r="E88" s="14">
        <v>-1</v>
      </c>
      <c r="F88" s="14">
        <v>-1</v>
      </c>
      <c r="G88" s="14">
        <v>-1</v>
      </c>
      <c r="H88" s="14">
        <v>-1</v>
      </c>
      <c r="I88" s="14">
        <v>-7</v>
      </c>
      <c r="J88" s="14">
        <v>-11</v>
      </c>
      <c r="K88" s="14">
        <v>-10</v>
      </c>
      <c r="L88" s="14">
        <v>-14</v>
      </c>
      <c r="M88" s="15"/>
      <c r="N88" s="14"/>
      <c r="O88" s="14"/>
      <c r="P88" s="14"/>
      <c r="Q88" s="14"/>
      <c r="R88" s="14"/>
      <c r="S88" s="14"/>
      <c r="T88" s="14"/>
      <c r="U88" s="14"/>
      <c r="V88" s="14"/>
      <c r="W88" s="14"/>
      <c r="X88" s="14"/>
    </row>
    <row r="89" spans="1:24" ht="22" customHeight="1">
      <c r="A89" s="3" t="s">
        <v>1029</v>
      </c>
      <c r="B89" s="1"/>
      <c r="C89" s="14">
        <v>-280</v>
      </c>
      <c r="D89" s="14">
        <v>-114</v>
      </c>
      <c r="E89" s="14">
        <v>-88</v>
      </c>
      <c r="F89" s="14">
        <v>-119</v>
      </c>
      <c r="G89" s="14">
        <v>-236</v>
      </c>
      <c r="H89" s="14">
        <v>-114</v>
      </c>
      <c r="I89" s="14">
        <v>-109</v>
      </c>
      <c r="J89" s="14">
        <v>-174</v>
      </c>
      <c r="K89" s="14">
        <v>-171</v>
      </c>
      <c r="L89" s="14">
        <v>-244</v>
      </c>
      <c r="M89" s="15"/>
      <c r="N89" s="14"/>
      <c r="O89" s="14"/>
      <c r="P89" s="14"/>
      <c r="Q89" s="14"/>
      <c r="R89" s="14"/>
      <c r="S89" s="14"/>
      <c r="T89" s="14"/>
      <c r="U89" s="14"/>
      <c r="V89" s="14"/>
      <c r="W89" s="14"/>
      <c r="X89" s="14"/>
    </row>
    <row r="90" spans="1:24" ht="24" customHeight="1">
      <c r="A90" s="16" t="s">
        <v>1030</v>
      </c>
      <c r="B90" s="17"/>
      <c r="C90" s="18">
        <v>-230</v>
      </c>
      <c r="D90" s="18">
        <v>-30</v>
      </c>
      <c r="E90" s="18">
        <v>-8</v>
      </c>
      <c r="F90" s="18">
        <v>-21</v>
      </c>
      <c r="G90" s="18">
        <v>-127</v>
      </c>
      <c r="H90" s="18">
        <v>449</v>
      </c>
      <c r="I90" s="18">
        <v>592</v>
      </c>
      <c r="J90" s="18">
        <v>542</v>
      </c>
      <c r="K90" s="18">
        <v>611</v>
      </c>
      <c r="L90" s="18">
        <v>725</v>
      </c>
      <c r="M90" s="20"/>
      <c r="N90" s="18"/>
      <c r="O90" s="18"/>
      <c r="P90" s="18"/>
      <c r="Q90" s="18"/>
      <c r="R90" s="18"/>
      <c r="S90" s="18"/>
      <c r="T90" s="18"/>
      <c r="U90" s="18"/>
      <c r="V90" s="18"/>
      <c r="W90" s="18"/>
      <c r="X90" s="18"/>
    </row>
    <row r="91" spans="1:24" ht="24" customHeight="1">
      <c r="A91" s="177" t="s">
        <v>1031</v>
      </c>
      <c r="B91" s="178"/>
      <c r="C91" s="179"/>
      <c r="D91" s="179"/>
      <c r="E91" s="179"/>
      <c r="F91" s="179"/>
      <c r="G91" s="179"/>
      <c r="H91" s="179"/>
      <c r="I91" s="179"/>
      <c r="J91" s="179"/>
      <c r="K91" s="179"/>
      <c r="L91" s="179"/>
      <c r="M91" s="12"/>
      <c r="N91" s="179"/>
      <c r="O91" s="179"/>
      <c r="P91" s="179"/>
      <c r="Q91" s="179"/>
      <c r="R91" s="179"/>
      <c r="S91" s="179"/>
      <c r="T91" s="179"/>
      <c r="U91" s="179"/>
      <c r="V91" s="179"/>
      <c r="W91" s="179"/>
      <c r="X91" s="179"/>
    </row>
    <row r="92" spans="1:24" ht="22" customHeight="1">
      <c r="A92" s="3" t="s">
        <v>1010</v>
      </c>
      <c r="B92" s="1"/>
      <c r="C92" s="13">
        <f>IF(COUNT('Pension &amp; Retiree Medical'!C66)=1,'Pension &amp; Retiree Medical'!C66,"")</f>
        <v>80</v>
      </c>
      <c r="D92" s="13">
        <f>IF(COUNT('Pension &amp; Retiree Medical'!D66)=1,'Pension &amp; Retiree Medical'!D66,"")</f>
        <v>91</v>
      </c>
      <c r="E92" s="13">
        <f>IF(COUNT('Pension &amp; Retiree Medical'!E66)=1,'Pension &amp; Retiree Medical'!E66,"")</f>
        <v>92</v>
      </c>
      <c r="F92" s="13">
        <f>IF(COUNT('Pension &amp; Retiree Medical'!F66)=1,'Pension &amp; Retiree Medical'!F66,"")</f>
        <v>73</v>
      </c>
      <c r="G92" s="13">
        <f>IF(COUNT('Pension &amp; Retiree Medical'!G66)=1,'Pension &amp; Retiree Medical'!G66,"")</f>
        <v>86</v>
      </c>
      <c r="H92" s="13">
        <f>IF(COUNT('Pension &amp; Retiree Medical'!H66)=1,'Pension &amp; Retiree Medical'!H66,"")</f>
        <v>104</v>
      </c>
      <c r="I92" s="13">
        <f>IF(COUNT('Pension &amp; Retiree Medical'!I66)=1,'Pension &amp; Retiree Medical'!I66,"")</f>
        <v>64</v>
      </c>
      <c r="J92" s="13">
        <f>IF(COUNT('Pension &amp; Retiree Medical'!J66)=1,'Pension &amp; Retiree Medical'!J66,"")</f>
        <v>43</v>
      </c>
      <c r="K92" s="13">
        <f>IF(COUNT('Pension &amp; Retiree Medical'!K66)=1,'Pension &amp; Retiree Medical'!K66,"")</f>
        <v>46</v>
      </c>
      <c r="L92" s="13">
        <f>IF(COUNT('Pension &amp; Retiree Medical'!L66)=1,'Pension &amp; Retiree Medical'!L66,"")</f>
        <v>47</v>
      </c>
      <c r="M92" s="15"/>
      <c r="N92" s="14">
        <v>9</v>
      </c>
      <c r="O92" s="14">
        <v>12</v>
      </c>
      <c r="P92" s="14">
        <v>11</v>
      </c>
      <c r="Q92" s="13" t="str">
        <f>IF(COUNT('Pension &amp; Retiree Medical'!Q66)=1,'Pension &amp; Retiree Medical'!Q66,"")</f>
        <v/>
      </c>
      <c r="R92" s="14">
        <v>8</v>
      </c>
      <c r="S92" s="14">
        <v>11</v>
      </c>
      <c r="T92" s="14">
        <v>11</v>
      </c>
      <c r="U92" s="13" t="str">
        <f>IF(COUNT('Pension &amp; Retiree Medical'!U66)=1,'Pension &amp; Retiree Medical'!U66,"")</f>
        <v/>
      </c>
      <c r="V92" s="14">
        <v>10</v>
      </c>
      <c r="W92" s="14">
        <v>13</v>
      </c>
      <c r="X92" s="14">
        <v>13</v>
      </c>
    </row>
    <row r="93" spans="1:24" ht="22" customHeight="1">
      <c r="A93" s="3" t="s">
        <v>1032</v>
      </c>
      <c r="B93" s="1"/>
      <c r="C93" s="14">
        <v>-163</v>
      </c>
      <c r="D93" s="14">
        <v>-176</v>
      </c>
      <c r="E93" s="14">
        <v>-197</v>
      </c>
      <c r="F93" s="14">
        <v>-188</v>
      </c>
      <c r="G93" s="14">
        <v>-202</v>
      </c>
      <c r="H93" s="14">
        <v>-231</v>
      </c>
      <c r="I93" s="14">
        <v>-218</v>
      </c>
      <c r="J93" s="14">
        <v>-192</v>
      </c>
      <c r="K93" s="14">
        <v>-205</v>
      </c>
      <c r="L93" s="14">
        <v>-202</v>
      </c>
      <c r="M93" s="15"/>
      <c r="N93" s="14">
        <v>-39</v>
      </c>
      <c r="O93" s="14">
        <v>-50</v>
      </c>
      <c r="P93" s="14">
        <v>-50</v>
      </c>
      <c r="Q93" s="14"/>
      <c r="R93" s="14">
        <v>-36</v>
      </c>
      <c r="S93" s="14">
        <v>-47</v>
      </c>
      <c r="T93" s="14">
        <v>-46</v>
      </c>
      <c r="U93" s="14"/>
      <c r="V93" s="14">
        <v>-39</v>
      </c>
      <c r="W93" s="14">
        <v>-51</v>
      </c>
      <c r="X93" s="14">
        <v>-50</v>
      </c>
    </row>
    <row r="94" spans="1:24" ht="22" customHeight="1">
      <c r="A94" s="3" t="s">
        <v>1033</v>
      </c>
      <c r="B94" s="1"/>
      <c r="C94" s="14">
        <v>0</v>
      </c>
      <c r="D94" s="14">
        <v>0</v>
      </c>
      <c r="E94" s="14">
        <v>0</v>
      </c>
      <c r="F94" s="14">
        <v>0</v>
      </c>
      <c r="G94" s="14">
        <v>0</v>
      </c>
      <c r="H94" s="14">
        <v>-2</v>
      </c>
      <c r="I94" s="14">
        <v>-1</v>
      </c>
      <c r="J94" s="14">
        <v>-1</v>
      </c>
      <c r="K94" s="14">
        <v>-2</v>
      </c>
      <c r="L94" s="14">
        <v>-1</v>
      </c>
      <c r="M94" s="15"/>
      <c r="N94" s="14">
        <v>0</v>
      </c>
      <c r="O94" s="14">
        <v>-1</v>
      </c>
      <c r="P94" s="14">
        <v>0</v>
      </c>
      <c r="Q94" s="14"/>
      <c r="R94" s="14">
        <v>0</v>
      </c>
      <c r="S94" s="14">
        <v>0</v>
      </c>
      <c r="T94" s="14">
        <v>-1</v>
      </c>
      <c r="U94" s="14"/>
      <c r="V94" s="14">
        <v>0</v>
      </c>
      <c r="W94" s="14">
        <v>0</v>
      </c>
      <c r="X94" s="14">
        <v>0</v>
      </c>
    </row>
    <row r="95" spans="1:24" ht="22" customHeight="1">
      <c r="A95" s="3" t="s">
        <v>1034</v>
      </c>
      <c r="B95" s="1"/>
      <c r="C95" s="14">
        <v>40</v>
      </c>
      <c r="D95" s="14">
        <v>53</v>
      </c>
      <c r="E95" s="14">
        <v>45</v>
      </c>
      <c r="F95" s="14">
        <v>32</v>
      </c>
      <c r="G95" s="14">
        <v>61</v>
      </c>
      <c r="H95" s="14">
        <v>77</v>
      </c>
      <c r="I95" s="14">
        <v>29</v>
      </c>
      <c r="J95" s="14">
        <v>13</v>
      </c>
      <c r="K95" s="14">
        <v>21</v>
      </c>
      <c r="L95" s="14">
        <v>27</v>
      </c>
      <c r="M95" s="15"/>
      <c r="N95" s="14">
        <v>4</v>
      </c>
      <c r="O95" s="14">
        <v>5</v>
      </c>
      <c r="P95" s="14">
        <v>6</v>
      </c>
      <c r="Q95" s="14"/>
      <c r="R95" s="14">
        <v>4</v>
      </c>
      <c r="S95" s="14">
        <v>6</v>
      </c>
      <c r="T95" s="14">
        <v>7</v>
      </c>
      <c r="U95" s="14"/>
      <c r="V95" s="14">
        <v>6</v>
      </c>
      <c r="W95" s="14">
        <v>8</v>
      </c>
      <c r="X95" s="14">
        <v>9</v>
      </c>
    </row>
    <row r="96" spans="1:24" ht="22" customHeight="1">
      <c r="A96" s="3" t="s">
        <v>1035</v>
      </c>
      <c r="B96" s="1"/>
      <c r="C96" s="14">
        <v>9</v>
      </c>
      <c r="D96" s="14">
        <v>11</v>
      </c>
      <c r="E96" s="14">
        <v>6</v>
      </c>
      <c r="F96" s="14">
        <v>12</v>
      </c>
      <c r="G96" s="14">
        <v>19</v>
      </c>
      <c r="H96" s="14">
        <v>-11</v>
      </c>
      <c r="I96" s="14">
        <v>1</v>
      </c>
      <c r="J96" s="14">
        <v>10</v>
      </c>
      <c r="K96" s="14">
        <v>22</v>
      </c>
      <c r="L96" s="14">
        <v>32</v>
      </c>
      <c r="M96" s="15"/>
      <c r="N96" s="14"/>
      <c r="O96" s="14">
        <v>2</v>
      </c>
      <c r="P96" s="14">
        <v>7</v>
      </c>
      <c r="Q96" s="14"/>
      <c r="R96" s="14"/>
      <c r="S96" s="14">
        <v>-1</v>
      </c>
      <c r="T96" s="14">
        <v>8</v>
      </c>
      <c r="U96" s="14"/>
      <c r="V96" s="14"/>
      <c r="W96" s="14">
        <v>0</v>
      </c>
      <c r="X96" s="14">
        <v>8</v>
      </c>
    </row>
    <row r="97" spans="1:24" ht="22" customHeight="1">
      <c r="A97" s="3" t="s">
        <v>1036</v>
      </c>
      <c r="B97" s="1"/>
      <c r="C97" s="14">
        <v>61</v>
      </c>
      <c r="D97" s="14">
        <v>68</v>
      </c>
      <c r="E97" s="14">
        <v>41</v>
      </c>
      <c r="F97" s="14">
        <v>26</v>
      </c>
      <c r="G97" s="14">
        <v>49</v>
      </c>
      <c r="H97" s="14">
        <v>11</v>
      </c>
      <c r="I97" s="14">
        <v>-35</v>
      </c>
      <c r="J97" s="14">
        <v>14</v>
      </c>
      <c r="K97" s="14">
        <v>26</v>
      </c>
      <c r="L97" s="14">
        <v>55</v>
      </c>
      <c r="M97" s="15"/>
      <c r="N97" s="14">
        <v>1</v>
      </c>
      <c r="O97" s="14">
        <v>4</v>
      </c>
      <c r="P97" s="14">
        <v>10</v>
      </c>
      <c r="Q97" s="14"/>
      <c r="R97" s="14">
        <v>2</v>
      </c>
      <c r="S97" s="14">
        <v>5</v>
      </c>
      <c r="T97" s="14">
        <v>14</v>
      </c>
      <c r="U97" s="14"/>
      <c r="V97" s="14">
        <v>5</v>
      </c>
      <c r="W97" s="14">
        <v>7</v>
      </c>
      <c r="X97" s="14">
        <v>18</v>
      </c>
    </row>
    <row r="98" spans="1:24" ht="22" customHeight="1">
      <c r="A98" s="3" t="s">
        <v>1011</v>
      </c>
      <c r="B98" s="1"/>
      <c r="C98" s="13">
        <f>IF(COUNT('Pension &amp; Retiree Medical'!C67)=1,'Pension &amp; Retiree Medical'!C67,"")</f>
        <v>94</v>
      </c>
      <c r="D98" s="14">
        <v>89</v>
      </c>
      <c r="E98" s="14">
        <v>93</v>
      </c>
      <c r="F98" s="14">
        <v>97</v>
      </c>
      <c r="G98" s="14">
        <v>85</v>
      </c>
      <c r="H98" s="14">
        <v>74</v>
      </c>
      <c r="I98" s="14">
        <v>90</v>
      </c>
      <c r="J98" s="14">
        <v>141</v>
      </c>
      <c r="K98" s="14">
        <v>144</v>
      </c>
      <c r="L98" s="14">
        <v>152</v>
      </c>
      <c r="M98" s="15"/>
      <c r="N98" s="14">
        <v>27</v>
      </c>
      <c r="O98" s="14">
        <v>36</v>
      </c>
      <c r="P98" s="14">
        <v>36</v>
      </c>
      <c r="Q98" s="13" t="str">
        <f>IF(COUNT('Pension &amp; Retiree Medical'!Q67)=1,'Pension &amp; Retiree Medical'!Q67,"")</f>
        <v/>
      </c>
      <c r="R98" s="14">
        <v>26</v>
      </c>
      <c r="S98" s="14">
        <v>36</v>
      </c>
      <c r="T98" s="14">
        <v>35</v>
      </c>
      <c r="U98" s="13" t="str">
        <f>IF(COUNT('Pension &amp; Retiree Medical'!U67)=1,'Pension &amp; Retiree Medical'!U67,"")</f>
        <v/>
      </c>
      <c r="V98" s="14">
        <v>28</v>
      </c>
      <c r="W98" s="14">
        <v>37</v>
      </c>
      <c r="X98" s="14">
        <v>38</v>
      </c>
    </row>
    <row r="99" spans="1:24" ht="22" customHeight="1">
      <c r="A99" s="3" t="s">
        <v>1017</v>
      </c>
      <c r="B99" s="1"/>
      <c r="C99" s="13">
        <f>IF(COUNT('Pension &amp; Retiree Medical'!C73)=1,'Pension &amp; Retiree Medical'!C73,"")</f>
        <v>1</v>
      </c>
      <c r="D99" s="14">
        <v>0</v>
      </c>
      <c r="E99" s="14">
        <v>2</v>
      </c>
      <c r="F99" s="14">
        <v>0</v>
      </c>
      <c r="G99" s="14">
        <v>0</v>
      </c>
      <c r="H99" s="14">
        <v>0</v>
      </c>
      <c r="I99" s="14">
        <v>0</v>
      </c>
      <c r="J99" s="14">
        <v>0</v>
      </c>
      <c r="K99" s="14">
        <v>0</v>
      </c>
      <c r="L99" s="14">
        <v>0</v>
      </c>
      <c r="M99" s="15"/>
      <c r="N99" s="14">
        <v>0</v>
      </c>
      <c r="O99" s="14">
        <v>0</v>
      </c>
      <c r="P99" s="14">
        <v>0</v>
      </c>
      <c r="Q99" s="13" t="str">
        <f>IF(COUNT('Pension &amp; Retiree Medical'!Q73)=1,'Pension &amp; Retiree Medical'!Q73,"")</f>
        <v/>
      </c>
      <c r="R99" s="14">
        <v>0</v>
      </c>
      <c r="S99" s="14">
        <v>0</v>
      </c>
      <c r="T99" s="14">
        <v>0</v>
      </c>
      <c r="U99" s="13" t="str">
        <f>IF(COUNT('Pension &amp; Retiree Medical'!U73)=1,'Pension &amp; Retiree Medical'!U73,"")</f>
        <v/>
      </c>
      <c r="V99" s="14">
        <v>0</v>
      </c>
      <c r="W99" s="14">
        <v>0</v>
      </c>
      <c r="X99" s="14">
        <v>0</v>
      </c>
    </row>
    <row r="100" spans="1:24" ht="36" customHeight="1">
      <c r="A100" s="3" t="s">
        <v>1037</v>
      </c>
      <c r="B100" s="1"/>
      <c r="C100" s="13">
        <f>IF(COUNT('Pension &amp; Retiree Medical'!C97,'Pension &amp; Retiree Medical'!C66)=2,'Pension &amp; Retiree Medical'!C97-'Pension &amp; Retiree Medical'!C66,"")</f>
        <v>-19</v>
      </c>
      <c r="D100" s="14">
        <v>-23</v>
      </c>
      <c r="E100" s="14">
        <v>-51</v>
      </c>
      <c r="F100" s="14">
        <v>-47</v>
      </c>
      <c r="G100" s="14">
        <v>-37</v>
      </c>
      <c r="H100" s="14">
        <v>-93</v>
      </c>
      <c r="I100" s="14">
        <v>-99</v>
      </c>
      <c r="J100" s="14">
        <v>-29</v>
      </c>
      <c r="K100" s="14">
        <v>-20</v>
      </c>
      <c r="L100" s="14">
        <v>8</v>
      </c>
      <c r="M100" s="15"/>
      <c r="N100" s="14">
        <v>-8</v>
      </c>
      <c r="O100" s="14">
        <v>-8</v>
      </c>
      <c r="P100" s="14">
        <v>-1</v>
      </c>
      <c r="Q100" s="13" t="str">
        <f>IF(COUNT('Pension &amp; Retiree Medical'!Q97,'Pension &amp; Retiree Medical'!Q66)=2,'Pension &amp; Retiree Medical'!Q97-'Pension &amp; Retiree Medical'!Q66,"")</f>
        <v/>
      </c>
      <c r="R100" s="14">
        <v>-6</v>
      </c>
      <c r="S100" s="14">
        <v>-6</v>
      </c>
      <c r="T100" s="14">
        <v>3</v>
      </c>
      <c r="U100" s="13" t="str">
        <f>IF(COUNT('Pension &amp; Retiree Medical'!U97,'Pension &amp; Retiree Medical'!U66)=2,'Pension &amp; Retiree Medical'!U97-'Pension &amp; Retiree Medical'!U66,"")</f>
        <v/>
      </c>
      <c r="V100" s="14">
        <v>-5</v>
      </c>
      <c r="W100" s="14">
        <v>-6</v>
      </c>
      <c r="X100" s="14">
        <v>5</v>
      </c>
    </row>
    <row r="101" spans="1:24" ht="24" customHeight="1">
      <c r="A101" s="177" t="s">
        <v>1038</v>
      </c>
      <c r="B101" s="178"/>
      <c r="C101" s="179"/>
      <c r="D101" s="179"/>
      <c r="E101" s="179"/>
      <c r="F101" s="179"/>
      <c r="G101" s="179"/>
      <c r="H101" s="179"/>
      <c r="I101" s="179"/>
      <c r="J101" s="179"/>
      <c r="K101" s="179"/>
      <c r="L101" s="179"/>
      <c r="M101" s="12"/>
      <c r="N101" s="179"/>
      <c r="O101" s="179"/>
      <c r="P101" s="179"/>
      <c r="Q101" s="179"/>
      <c r="R101" s="179"/>
      <c r="S101" s="179"/>
      <c r="T101" s="179"/>
      <c r="U101" s="179"/>
      <c r="V101" s="179"/>
      <c r="W101" s="179"/>
      <c r="X101" s="179"/>
    </row>
    <row r="102" spans="1:24" ht="20" customHeight="1">
      <c r="A102" s="21" t="s">
        <v>1039</v>
      </c>
      <c r="B102" s="1"/>
      <c r="C102" s="22">
        <v>3.1000000000000003E-2</v>
      </c>
      <c r="D102" s="22">
        <v>0.03</v>
      </c>
      <c r="E102" s="22">
        <v>3.4000000000000002E-2</v>
      </c>
      <c r="F102" s="22">
        <v>2.5000000000000001E-2</v>
      </c>
      <c r="G102" s="22">
        <v>0.02</v>
      </c>
      <c r="H102" s="22">
        <v>2.4E-2</v>
      </c>
      <c r="I102" s="22">
        <v>5.2999999999999999E-2</v>
      </c>
      <c r="J102" s="22">
        <v>5.0999999999999997E-2</v>
      </c>
      <c r="K102" s="22">
        <v>5.5E-2</v>
      </c>
      <c r="L102" s="22">
        <v>5.7999999999999996E-2</v>
      </c>
      <c r="M102" s="24"/>
      <c r="N102" s="22"/>
      <c r="O102" s="22"/>
      <c r="P102" s="22"/>
      <c r="Q102" s="22"/>
      <c r="R102" s="22"/>
      <c r="S102" s="22"/>
      <c r="T102" s="22"/>
      <c r="U102" s="22"/>
      <c r="V102" s="22"/>
      <c r="W102" s="22"/>
      <c r="X102" s="22"/>
    </row>
    <row r="103" spans="1:24" ht="20" customHeight="1">
      <c r="A103" s="21" t="s">
        <v>1040</v>
      </c>
      <c r="B103" s="1"/>
      <c r="C103" s="22">
        <v>4.0999999999999995E-2</v>
      </c>
      <c r="D103" s="22">
        <v>3.6000000000000004E-2</v>
      </c>
      <c r="E103" s="22">
        <v>3.5000000000000003E-2</v>
      </c>
      <c r="F103" s="22">
        <v>4.2000000000000003E-2</v>
      </c>
      <c r="G103" s="22">
        <v>3.2000000000000001E-2</v>
      </c>
      <c r="H103" s="22">
        <v>2.7000000000000003E-2</v>
      </c>
      <c r="I103" s="22">
        <v>4.2000000000000003E-2</v>
      </c>
      <c r="J103" s="22">
        <v>7.0000000000000007E-2</v>
      </c>
      <c r="K103" s="22">
        <v>6.9000000000000006E-2</v>
      </c>
      <c r="L103" s="22">
        <v>7.8E-2</v>
      </c>
      <c r="M103" s="24"/>
      <c r="N103" s="22"/>
      <c r="O103" s="22"/>
      <c r="P103" s="22"/>
      <c r="Q103" s="22"/>
      <c r="R103" s="22"/>
      <c r="S103" s="22"/>
      <c r="T103" s="22"/>
      <c r="U103" s="22"/>
      <c r="V103" s="22"/>
      <c r="W103" s="22"/>
      <c r="X103" s="22"/>
    </row>
    <row r="104" spans="1:24" ht="20" customHeight="1">
      <c r="A104" s="21" t="s">
        <v>1041</v>
      </c>
      <c r="B104" s="1"/>
      <c r="C104" s="22">
        <v>3.5000000000000003E-2</v>
      </c>
      <c r="D104" s="22">
        <v>2.7999999999999997E-2</v>
      </c>
      <c r="E104" s="22">
        <v>2.7999999999999997E-2</v>
      </c>
      <c r="F104" s="22">
        <v>3.2000000000000001E-2</v>
      </c>
      <c r="G104" s="22">
        <v>2.4E-2</v>
      </c>
      <c r="H104" s="22">
        <v>1.7000000000000001E-2</v>
      </c>
      <c r="I104" s="22">
        <v>2.3E-2</v>
      </c>
      <c r="J104" s="22">
        <v>5.4000000000000006E-2</v>
      </c>
      <c r="K104" s="22">
        <v>0.05</v>
      </c>
      <c r="L104" s="22">
        <v>5.2999999999999999E-2</v>
      </c>
      <c r="M104" s="24"/>
      <c r="N104" s="22"/>
      <c r="O104" s="22"/>
      <c r="P104" s="22"/>
      <c r="Q104" s="22"/>
      <c r="R104" s="22"/>
      <c r="S104" s="22"/>
      <c r="T104" s="22"/>
      <c r="U104" s="22"/>
      <c r="V104" s="22"/>
      <c r="W104" s="22"/>
      <c r="X104" s="22"/>
    </row>
    <row r="105" spans="1:24" ht="20" customHeight="1">
      <c r="A105" s="21" t="s">
        <v>1032</v>
      </c>
      <c r="B105" s="1"/>
      <c r="C105" s="22">
        <v>6.2000000000000006E-2</v>
      </c>
      <c r="D105" s="22">
        <v>0.06</v>
      </c>
      <c r="E105" s="22">
        <v>0.06</v>
      </c>
      <c r="F105" s="22">
        <v>5.7999999999999996E-2</v>
      </c>
      <c r="G105" s="22">
        <v>5.5999999999999994E-2</v>
      </c>
      <c r="H105" s="22">
        <v>5.2999999999999999E-2</v>
      </c>
      <c r="I105" s="22">
        <v>5.2999999999999999E-2</v>
      </c>
      <c r="J105" s="22">
        <v>5.7000000000000002E-2</v>
      </c>
      <c r="K105" s="22">
        <v>5.7999999999999996E-2</v>
      </c>
      <c r="L105" s="22">
        <v>5.7999999999999996E-2</v>
      </c>
      <c r="M105" s="24"/>
      <c r="N105" s="22"/>
      <c r="O105" s="22"/>
      <c r="P105" s="22"/>
      <c r="Q105" s="22"/>
      <c r="R105" s="22"/>
      <c r="S105" s="22"/>
      <c r="T105" s="22"/>
      <c r="U105" s="22"/>
      <c r="V105" s="22"/>
      <c r="W105" s="22"/>
      <c r="X105" s="22"/>
    </row>
    <row r="106" spans="1:24" ht="20" customHeight="1">
      <c r="A106" s="21" t="s">
        <v>1042</v>
      </c>
      <c r="B106" s="1"/>
      <c r="C106" s="22">
        <v>3.6000000000000004E-2</v>
      </c>
      <c r="D106" s="22">
        <v>3.7000000000000005E-2</v>
      </c>
      <c r="E106" s="22">
        <v>3.7000000000000005E-2</v>
      </c>
      <c r="F106" s="22">
        <v>3.3000000000000002E-2</v>
      </c>
      <c r="G106" s="22">
        <v>3.3000000000000002E-2</v>
      </c>
      <c r="H106" s="22">
        <v>3.3000000000000002E-2</v>
      </c>
      <c r="I106" s="22">
        <v>4.2000000000000003E-2</v>
      </c>
      <c r="J106" s="22">
        <v>4.2999999999999997E-2</v>
      </c>
      <c r="K106" s="22">
        <v>0.04</v>
      </c>
      <c r="L106" s="22">
        <v>4.4999999999999998E-2</v>
      </c>
      <c r="M106" s="24"/>
      <c r="N106" s="22"/>
      <c r="O106" s="22"/>
      <c r="P106" s="22"/>
      <c r="Q106" s="22"/>
      <c r="R106" s="22"/>
      <c r="S106" s="22"/>
      <c r="T106" s="22"/>
      <c r="U106" s="22"/>
      <c r="V106" s="22"/>
      <c r="W106" s="22"/>
      <c r="X106" s="22"/>
    </row>
    <row r="107" spans="1:24" ht="20" customHeight="1">
      <c r="A107" s="21" t="s">
        <v>1043</v>
      </c>
      <c r="B107" s="1"/>
      <c r="C107" s="22">
        <v>3.6000000000000004E-2</v>
      </c>
      <c r="D107" s="22">
        <v>3.6000000000000004E-2</v>
      </c>
      <c r="E107" s="22">
        <v>3.7000000000000005E-2</v>
      </c>
      <c r="F107" s="22">
        <v>3.7000000000000005E-2</v>
      </c>
      <c r="G107" s="22">
        <v>3.3000000000000002E-2</v>
      </c>
      <c r="H107" s="22">
        <v>3.3000000000000002E-2</v>
      </c>
      <c r="I107" s="22">
        <v>3.3000000000000002E-2</v>
      </c>
      <c r="J107" s="22">
        <v>4.2000000000000003E-2</v>
      </c>
      <c r="K107" s="22">
        <v>4.2999999999999997E-2</v>
      </c>
      <c r="L107" s="22">
        <v>0.04</v>
      </c>
      <c r="M107" s="24"/>
      <c r="N107" s="22"/>
      <c r="O107" s="22"/>
      <c r="P107" s="22"/>
      <c r="Q107" s="22"/>
      <c r="R107" s="22"/>
      <c r="S107" s="22"/>
      <c r="T107" s="22"/>
      <c r="U107" s="22"/>
      <c r="V107" s="22"/>
      <c r="W107" s="22"/>
      <c r="X107" s="22"/>
    </row>
    <row r="108" spans="1:24" ht="22" customHeight="1">
      <c r="A108" s="3" t="s">
        <v>1044</v>
      </c>
      <c r="B108" s="1"/>
      <c r="C108" s="25">
        <f>IF(COUNT('Pension &amp; Retiree Medical'!C84,'Pension &amp; Retiree Medical'!C75,'Pension &amp; Retiree Medical'!C85)=3,'Pension &amp; Retiree Medical'!C84-'Pension &amp; Retiree Medical'!C75-'Pension &amp; Retiree Medical'!C85,"")</f>
        <v>0</v>
      </c>
      <c r="D108" s="25">
        <f>IF(COUNT('Pension &amp; Retiree Medical'!D84,'Pension &amp; Retiree Medical'!D75,'Pension &amp; Retiree Medical'!D85)=3,'Pension &amp; Retiree Medical'!D84-'Pension &amp; Retiree Medical'!D75-'Pension &amp; Retiree Medical'!D85,"")</f>
        <v>0</v>
      </c>
      <c r="E108" s="25">
        <f>IF(COUNT('Pension &amp; Retiree Medical'!E84,'Pension &amp; Retiree Medical'!E75,'Pension &amp; Retiree Medical'!E85)=3,'Pension &amp; Retiree Medical'!E84-'Pension &amp; Retiree Medical'!E75-'Pension &amp; Retiree Medical'!E85,"")</f>
        <v>0</v>
      </c>
      <c r="F108" s="25">
        <f>IF(COUNT('Pension &amp; Retiree Medical'!F84,'Pension &amp; Retiree Medical'!F75,'Pension &amp; Retiree Medical'!F85)=3,'Pension &amp; Retiree Medical'!F84-'Pension &amp; Retiree Medical'!F75-'Pension &amp; Retiree Medical'!F85,"")</f>
        <v>0</v>
      </c>
      <c r="G108" s="25">
        <f>IF(COUNT('Pension &amp; Retiree Medical'!G84,'Pension &amp; Retiree Medical'!G75,'Pension &amp; Retiree Medical'!G85)=3,'Pension &amp; Retiree Medical'!G84-'Pension &amp; Retiree Medical'!G75-'Pension &amp; Retiree Medical'!G85,"")</f>
        <v>0</v>
      </c>
      <c r="H108" s="25">
        <f>IF(COUNT('Pension &amp; Retiree Medical'!H84,'Pension &amp; Retiree Medical'!H75,'Pension &amp; Retiree Medical'!H85)=3,'Pension &amp; Retiree Medical'!H84-'Pension &amp; Retiree Medical'!H75-'Pension &amp; Retiree Medical'!H85,"")</f>
        <v>0</v>
      </c>
      <c r="I108" s="25">
        <f>IF(COUNT('Pension &amp; Retiree Medical'!I84,'Pension &amp; Retiree Medical'!I75,'Pension &amp; Retiree Medical'!I85)=3,'Pension &amp; Retiree Medical'!I84-'Pension &amp; Retiree Medical'!I75-'Pension &amp; Retiree Medical'!I85,"")</f>
        <v>0</v>
      </c>
      <c r="J108" s="25">
        <f>IF(COUNT('Pension &amp; Retiree Medical'!J84,'Pension &amp; Retiree Medical'!J75,'Pension &amp; Retiree Medical'!J85)=3,'Pension &amp; Retiree Medical'!J84-'Pension &amp; Retiree Medical'!J75-'Pension &amp; Retiree Medical'!J85,"")</f>
        <v>0</v>
      </c>
      <c r="K108" s="25">
        <f>IF(COUNT('Pension &amp; Retiree Medical'!K84,'Pension &amp; Retiree Medical'!K75,'Pension &amp; Retiree Medical'!K85)=3,'Pension &amp; Retiree Medical'!K84-'Pension &amp; Retiree Medical'!K75-'Pension &amp; Retiree Medical'!K85,"")</f>
        <v>0</v>
      </c>
      <c r="L108" s="25">
        <f>IF(COUNT('Pension &amp; Retiree Medical'!L84,'Pension &amp; Retiree Medical'!L75,'Pension &amp; Retiree Medical'!L85)=3,'Pension &amp; Retiree Medical'!L84-'Pension &amp; Retiree Medical'!L75-'Pension &amp; Retiree Medical'!L85,"")</f>
        <v>0</v>
      </c>
      <c r="M108" s="27"/>
      <c r="N108" s="25" t="str">
        <f>IF(COUNT('Pension &amp; Retiree Medical'!N84,'Pension &amp; Retiree Medical'!N75,'Pension &amp; Retiree Medical'!N85)=3,'Pension &amp; Retiree Medical'!N84-'Pension &amp; Retiree Medical'!N75-'Pension &amp; Retiree Medical'!N85,"")</f>
        <v/>
      </c>
      <c r="O108" s="25" t="str">
        <f>IF(COUNT('Pension &amp; Retiree Medical'!O84,'Pension &amp; Retiree Medical'!O75,'Pension &amp; Retiree Medical'!O85)=3,'Pension &amp; Retiree Medical'!O84-'Pension &amp; Retiree Medical'!O75-'Pension &amp; Retiree Medical'!O85,"")</f>
        <v/>
      </c>
      <c r="P108" s="25" t="str">
        <f>IF(COUNT('Pension &amp; Retiree Medical'!P84,'Pension &amp; Retiree Medical'!P75,'Pension &amp; Retiree Medical'!P85)=3,'Pension &amp; Retiree Medical'!P84-'Pension &amp; Retiree Medical'!P75-'Pension &amp; Retiree Medical'!P85,"")</f>
        <v/>
      </c>
      <c r="Q108" s="25" t="str">
        <f>IF(COUNT('Pension &amp; Retiree Medical'!Q84,'Pension &amp; Retiree Medical'!Q75,'Pension &amp; Retiree Medical'!Q85)=3,'Pension &amp; Retiree Medical'!Q84-'Pension &amp; Retiree Medical'!Q75-'Pension &amp; Retiree Medical'!Q85,"")</f>
        <v/>
      </c>
      <c r="R108" s="25" t="str">
        <f>IF(COUNT('Pension &amp; Retiree Medical'!R84,'Pension &amp; Retiree Medical'!R75,'Pension &amp; Retiree Medical'!R85)=3,'Pension &amp; Retiree Medical'!R84-'Pension &amp; Retiree Medical'!R75-'Pension &amp; Retiree Medical'!R85,"")</f>
        <v/>
      </c>
      <c r="S108" s="25" t="str">
        <f>IF(COUNT('Pension &amp; Retiree Medical'!S84,'Pension &amp; Retiree Medical'!S75,'Pension &amp; Retiree Medical'!S85)=3,'Pension &amp; Retiree Medical'!S84-'Pension &amp; Retiree Medical'!S75-'Pension &amp; Retiree Medical'!S85,"")</f>
        <v/>
      </c>
      <c r="T108" s="25" t="str">
        <f>IF(COUNT('Pension &amp; Retiree Medical'!T84,'Pension &amp; Retiree Medical'!T75,'Pension &amp; Retiree Medical'!T85)=3,'Pension &amp; Retiree Medical'!T84-'Pension &amp; Retiree Medical'!T75-'Pension &amp; Retiree Medical'!T85,"")</f>
        <v/>
      </c>
      <c r="U108" s="25" t="str">
        <f>IF(COUNT('Pension &amp; Retiree Medical'!U84,'Pension &amp; Retiree Medical'!U75,'Pension &amp; Retiree Medical'!U85)=3,'Pension &amp; Retiree Medical'!U84-'Pension &amp; Retiree Medical'!U75-'Pension &amp; Retiree Medical'!U85,"")</f>
        <v/>
      </c>
      <c r="V108" s="25" t="str">
        <f>IF(COUNT('Pension &amp; Retiree Medical'!V84,'Pension &amp; Retiree Medical'!V75,'Pension &amp; Retiree Medical'!V85)=3,'Pension &amp; Retiree Medical'!V84-'Pension &amp; Retiree Medical'!V75-'Pension &amp; Retiree Medical'!V85,"")</f>
        <v/>
      </c>
      <c r="W108" s="25" t="str">
        <f>IF(COUNT('Pension &amp; Retiree Medical'!W84,'Pension &amp; Retiree Medical'!W75,'Pension &amp; Retiree Medical'!W85)=3,'Pension &amp; Retiree Medical'!W84-'Pension &amp; Retiree Medical'!W75-'Pension &amp; Retiree Medical'!W85,"")</f>
        <v/>
      </c>
      <c r="X108" s="25" t="str">
        <f>IF(COUNT('Pension &amp; Retiree Medical'!X84,'Pension &amp; Retiree Medical'!X75,'Pension &amp; Retiree Medical'!X85)=3,'Pension &amp; Retiree Medical'!X84-'Pension &amp; Retiree Medical'!X75-'Pension &amp; Retiree Medical'!X85,"")</f>
        <v/>
      </c>
    </row>
    <row r="109" spans="1:24" ht="22" customHeight="1">
      <c r="A109" s="3" t="s">
        <v>1045</v>
      </c>
      <c r="B109" s="1"/>
      <c r="C109" s="25">
        <f>IF(COUNT('Pension &amp; Retiree Medical'!C90,'Pension &amp; Retiree Medical'!C85)=2,'Pension &amp; Retiree Medical'!C90-'Pension &amp; Retiree Medical'!C85,"")</f>
        <v>0</v>
      </c>
      <c r="D109" s="25">
        <f>IF(COUNT('Pension &amp; Retiree Medical'!D90,'Pension &amp; Retiree Medical'!D85)=2,'Pension &amp; Retiree Medical'!D90-'Pension &amp; Retiree Medical'!D85,"")</f>
        <v>0</v>
      </c>
      <c r="E109" s="25">
        <f>IF(COUNT('Pension &amp; Retiree Medical'!E90,'Pension &amp; Retiree Medical'!E85)=2,'Pension &amp; Retiree Medical'!E90-'Pension &amp; Retiree Medical'!E85,"")</f>
        <v>0</v>
      </c>
      <c r="F109" s="25">
        <f>IF(COUNT('Pension &amp; Retiree Medical'!F90,'Pension &amp; Retiree Medical'!F85)=2,'Pension &amp; Retiree Medical'!F90-'Pension &amp; Retiree Medical'!F85,"")</f>
        <v>0</v>
      </c>
      <c r="G109" s="25">
        <f>IF(COUNT('Pension &amp; Retiree Medical'!G90,'Pension &amp; Retiree Medical'!G85)=2,'Pension &amp; Retiree Medical'!G90-'Pension &amp; Retiree Medical'!G85,"")</f>
        <v>0</v>
      </c>
      <c r="H109" s="25">
        <f>IF(COUNT('Pension &amp; Retiree Medical'!H90,'Pension &amp; Retiree Medical'!H85)=2,'Pension &amp; Retiree Medical'!H90-'Pension &amp; Retiree Medical'!H85,"")</f>
        <v>0</v>
      </c>
      <c r="I109" s="25">
        <f>IF(COUNT('Pension &amp; Retiree Medical'!I90,'Pension &amp; Retiree Medical'!I85)=2,'Pension &amp; Retiree Medical'!I90-'Pension &amp; Retiree Medical'!I85,"")</f>
        <v>0</v>
      </c>
      <c r="J109" s="25">
        <f>IF(COUNT('Pension &amp; Retiree Medical'!J90,'Pension &amp; Retiree Medical'!J85)=2,'Pension &amp; Retiree Medical'!J90-'Pension &amp; Retiree Medical'!J85,"")</f>
        <v>0</v>
      </c>
      <c r="K109" s="25">
        <f>IF(COUNT('Pension &amp; Retiree Medical'!K90,'Pension &amp; Retiree Medical'!K85)=2,'Pension &amp; Retiree Medical'!K90-'Pension &amp; Retiree Medical'!K85,"")</f>
        <v>0</v>
      </c>
      <c r="L109" s="25">
        <f>IF(COUNT('Pension &amp; Retiree Medical'!L90,'Pension &amp; Retiree Medical'!L85)=2,'Pension &amp; Retiree Medical'!L90-'Pension &amp; Retiree Medical'!L85,"")</f>
        <v>0</v>
      </c>
      <c r="M109" s="27"/>
      <c r="N109" s="25" t="str">
        <f>IF(COUNT('Pension &amp; Retiree Medical'!N90,'Pension &amp; Retiree Medical'!N85)=2,'Pension &amp; Retiree Medical'!N90-'Pension &amp; Retiree Medical'!N85,"")</f>
        <v/>
      </c>
      <c r="O109" s="25" t="str">
        <f>IF(COUNT('Pension &amp; Retiree Medical'!O90,'Pension &amp; Retiree Medical'!O85)=2,'Pension &amp; Retiree Medical'!O90-'Pension &amp; Retiree Medical'!O85,"")</f>
        <v/>
      </c>
      <c r="P109" s="25" t="str">
        <f>IF(COUNT('Pension &amp; Retiree Medical'!P90,'Pension &amp; Retiree Medical'!P85)=2,'Pension &amp; Retiree Medical'!P90-'Pension &amp; Retiree Medical'!P85,"")</f>
        <v/>
      </c>
      <c r="Q109" s="25" t="str">
        <f>IF(COUNT('Pension &amp; Retiree Medical'!Q90,'Pension &amp; Retiree Medical'!Q85)=2,'Pension &amp; Retiree Medical'!Q90-'Pension &amp; Retiree Medical'!Q85,"")</f>
        <v/>
      </c>
      <c r="R109" s="25" t="str">
        <f>IF(COUNT('Pension &amp; Retiree Medical'!R90,'Pension &amp; Retiree Medical'!R85)=2,'Pension &amp; Retiree Medical'!R90-'Pension &amp; Retiree Medical'!R85,"")</f>
        <v/>
      </c>
      <c r="S109" s="25" t="str">
        <f>IF(COUNT('Pension &amp; Retiree Medical'!S90,'Pension &amp; Retiree Medical'!S85)=2,'Pension &amp; Retiree Medical'!S90-'Pension &amp; Retiree Medical'!S85,"")</f>
        <v/>
      </c>
      <c r="T109" s="25" t="str">
        <f>IF(COUNT('Pension &amp; Retiree Medical'!T90,'Pension &amp; Retiree Medical'!T85)=2,'Pension &amp; Retiree Medical'!T90-'Pension &amp; Retiree Medical'!T85,"")</f>
        <v/>
      </c>
      <c r="U109" s="25" t="str">
        <f>IF(COUNT('Pension &amp; Retiree Medical'!U90,'Pension &amp; Retiree Medical'!U85)=2,'Pension &amp; Retiree Medical'!U90-'Pension &amp; Retiree Medical'!U85,"")</f>
        <v/>
      </c>
      <c r="V109" s="25" t="str">
        <f>IF(COUNT('Pension &amp; Retiree Medical'!V90,'Pension &amp; Retiree Medical'!V85)=2,'Pension &amp; Retiree Medical'!V90-'Pension &amp; Retiree Medical'!V85,"")</f>
        <v/>
      </c>
      <c r="W109" s="25" t="str">
        <f>IF(COUNT('Pension &amp; Retiree Medical'!W90,'Pension &amp; Retiree Medical'!W85)=2,'Pension &amp; Retiree Medical'!W90-'Pension &amp; Retiree Medical'!W85,"")</f>
        <v/>
      </c>
      <c r="X109" s="25" t="str">
        <f>IF(COUNT('Pension &amp; Retiree Medical'!X90,'Pension &amp; Retiree Medical'!X85)=2,'Pension &amp; Retiree Medical'!X90-'Pension &amp; Retiree Medical'!X85,"")</f>
        <v/>
      </c>
    </row>
    <row r="110" spans="1:24" ht="36" customHeight="1">
      <c r="A110" s="3" t="s">
        <v>1046</v>
      </c>
      <c r="B110" s="1"/>
      <c r="C110" s="25">
        <f>IF(COUNT('Pension &amp; Retiree Medical'!C97,'Pension &amp; Retiree Medical'!C66,'Pension &amp; Retiree Medical'!C100)=3,'Pension &amp; Retiree Medical'!C97-'Pension &amp; Retiree Medical'!C66-'Pension &amp; Retiree Medical'!C100,"")</f>
        <v>0</v>
      </c>
      <c r="D110" s="25">
        <f>IF(COUNT('Pension &amp; Retiree Medical'!D97,'Pension &amp; Retiree Medical'!D66,'Pension &amp; Retiree Medical'!D100)=3,'Pension &amp; Retiree Medical'!D97-'Pension &amp; Retiree Medical'!D66-'Pension &amp; Retiree Medical'!D100,"")</f>
        <v>0</v>
      </c>
      <c r="E110" s="25">
        <f>IF(COUNT('Pension &amp; Retiree Medical'!E97,'Pension &amp; Retiree Medical'!E66,'Pension &amp; Retiree Medical'!E100)=3,'Pension &amp; Retiree Medical'!E97-'Pension &amp; Retiree Medical'!E66-'Pension &amp; Retiree Medical'!E100,"")</f>
        <v>0</v>
      </c>
      <c r="F110" s="25">
        <f>IF(COUNT('Pension &amp; Retiree Medical'!F97,'Pension &amp; Retiree Medical'!F66,'Pension &amp; Retiree Medical'!F100)=3,'Pension &amp; Retiree Medical'!F97-'Pension &amp; Retiree Medical'!F66-'Pension &amp; Retiree Medical'!F100,"")</f>
        <v>0</v>
      </c>
      <c r="G110" s="25">
        <f>IF(COUNT('Pension &amp; Retiree Medical'!G97,'Pension &amp; Retiree Medical'!G66,'Pension &amp; Retiree Medical'!G100)=3,'Pension &amp; Retiree Medical'!G97-'Pension &amp; Retiree Medical'!G66-'Pension &amp; Retiree Medical'!G100,"")</f>
        <v>0</v>
      </c>
      <c r="H110" s="25">
        <f>IF(COUNT('Pension &amp; Retiree Medical'!H97,'Pension &amp; Retiree Medical'!H66,'Pension &amp; Retiree Medical'!H100)=3,'Pension &amp; Retiree Medical'!H97-'Pension &amp; Retiree Medical'!H66-'Pension &amp; Retiree Medical'!H100,"")</f>
        <v>0</v>
      </c>
      <c r="I110" s="25">
        <f>IF(COUNT('Pension &amp; Retiree Medical'!I97,'Pension &amp; Retiree Medical'!I66,'Pension &amp; Retiree Medical'!I100)=3,'Pension &amp; Retiree Medical'!I97-'Pension &amp; Retiree Medical'!I66-'Pension &amp; Retiree Medical'!I100,"")</f>
        <v>0</v>
      </c>
      <c r="J110" s="25">
        <f>IF(COUNT('Pension &amp; Retiree Medical'!J97,'Pension &amp; Retiree Medical'!J66,'Pension &amp; Retiree Medical'!J100)=3,'Pension &amp; Retiree Medical'!J97-'Pension &amp; Retiree Medical'!J66-'Pension &amp; Retiree Medical'!J100,"")</f>
        <v>0</v>
      </c>
      <c r="K110" s="25">
        <f>IF(COUNT('Pension &amp; Retiree Medical'!K97,'Pension &amp; Retiree Medical'!K66,'Pension &amp; Retiree Medical'!K100)=3,'Pension &amp; Retiree Medical'!K97-'Pension &amp; Retiree Medical'!K66-'Pension &amp; Retiree Medical'!K100,"")</f>
        <v>0</v>
      </c>
      <c r="L110" s="25">
        <f>IF(COUNT('Pension &amp; Retiree Medical'!L97,'Pension &amp; Retiree Medical'!L66,'Pension &amp; Retiree Medical'!L100)=3,'Pension &amp; Retiree Medical'!L97-'Pension &amp; Retiree Medical'!L66-'Pension &amp; Retiree Medical'!L100,"")</f>
        <v>0</v>
      </c>
      <c r="M110" s="27"/>
      <c r="N110" s="25" t="str">
        <f>IF(COUNT('Pension &amp; Retiree Medical'!N97,'Pension &amp; Retiree Medical'!N66,'Pension &amp; Retiree Medical'!N100)=3,'Pension &amp; Retiree Medical'!N97-'Pension &amp; Retiree Medical'!N66-'Pension &amp; Retiree Medical'!N100,"")</f>
        <v/>
      </c>
      <c r="O110" s="25" t="str">
        <f>IF(COUNT('Pension &amp; Retiree Medical'!O97,'Pension &amp; Retiree Medical'!O66,'Pension &amp; Retiree Medical'!O100)=3,'Pension &amp; Retiree Medical'!O97-'Pension &amp; Retiree Medical'!O66-'Pension &amp; Retiree Medical'!O100,"")</f>
        <v/>
      </c>
      <c r="P110" s="25" t="str">
        <f>IF(COUNT('Pension &amp; Retiree Medical'!P97,'Pension &amp; Retiree Medical'!P66,'Pension &amp; Retiree Medical'!P100)=3,'Pension &amp; Retiree Medical'!P97-'Pension &amp; Retiree Medical'!P66-'Pension &amp; Retiree Medical'!P100,"")</f>
        <v/>
      </c>
      <c r="Q110" s="25" t="str">
        <f>IF(COUNT('Pension &amp; Retiree Medical'!Q97,'Pension &amp; Retiree Medical'!Q66,'Pension &amp; Retiree Medical'!Q100)=3,'Pension &amp; Retiree Medical'!Q97-'Pension &amp; Retiree Medical'!Q66-'Pension &amp; Retiree Medical'!Q100,"")</f>
        <v/>
      </c>
      <c r="R110" s="25" t="str">
        <f>IF(COUNT('Pension &amp; Retiree Medical'!R97,'Pension &amp; Retiree Medical'!R66,'Pension &amp; Retiree Medical'!R100)=3,'Pension &amp; Retiree Medical'!R97-'Pension &amp; Retiree Medical'!R66-'Pension &amp; Retiree Medical'!R100,"")</f>
        <v/>
      </c>
      <c r="S110" s="25" t="str">
        <f>IF(COUNT('Pension &amp; Retiree Medical'!S97,'Pension &amp; Retiree Medical'!S66,'Pension &amp; Retiree Medical'!S100)=3,'Pension &amp; Retiree Medical'!S97-'Pension &amp; Retiree Medical'!S66-'Pension &amp; Retiree Medical'!S100,"")</f>
        <v/>
      </c>
      <c r="T110" s="25" t="str">
        <f>IF(COUNT('Pension &amp; Retiree Medical'!T97,'Pension &amp; Retiree Medical'!T66,'Pension &amp; Retiree Medical'!T100)=3,'Pension &amp; Retiree Medical'!T97-'Pension &amp; Retiree Medical'!T66-'Pension &amp; Retiree Medical'!T100,"")</f>
        <v/>
      </c>
      <c r="U110" s="25" t="str">
        <f>IF(COUNT('Pension &amp; Retiree Medical'!U97,'Pension &amp; Retiree Medical'!U66,'Pension &amp; Retiree Medical'!U100)=3,'Pension &amp; Retiree Medical'!U97-'Pension &amp; Retiree Medical'!U66-'Pension &amp; Retiree Medical'!U100,"")</f>
        <v/>
      </c>
      <c r="V110" s="25" t="str">
        <f>IF(COUNT('Pension &amp; Retiree Medical'!V97,'Pension &amp; Retiree Medical'!V66,'Pension &amp; Retiree Medical'!V100)=3,'Pension &amp; Retiree Medical'!V97-'Pension &amp; Retiree Medical'!V66-'Pension &amp; Retiree Medical'!V100,"")</f>
        <v/>
      </c>
      <c r="W110" s="25" t="str">
        <f>IF(COUNT('Pension &amp; Retiree Medical'!W97,'Pension &amp; Retiree Medical'!W66,'Pension &amp; Retiree Medical'!W100)=3,'Pension &amp; Retiree Medical'!W97-'Pension &amp; Retiree Medical'!W66-'Pension &amp; Retiree Medical'!W100,"")</f>
        <v/>
      </c>
      <c r="X110" s="25" t="str">
        <f>IF(COUNT('Pension &amp; Retiree Medical'!X97,'Pension &amp; Retiree Medical'!X66,'Pension &amp; Retiree Medical'!X100)=3,'Pension &amp; Retiree Medical'!X97-'Pension &amp; Retiree Medical'!X66-'Pension &amp; Retiree Medical'!X100,"")</f>
        <v/>
      </c>
    </row>
    <row r="111" spans="1:24" ht="22" customHeight="1">
      <c r="A111" s="3"/>
      <c r="B111" s="1"/>
      <c r="C111" s="2"/>
      <c r="D111" s="2"/>
      <c r="E111" s="2"/>
      <c r="F111" s="2"/>
      <c r="G111" s="2"/>
      <c r="H111" s="2"/>
      <c r="I111" s="2"/>
      <c r="J111" s="2"/>
      <c r="K111" s="2"/>
      <c r="L111" s="2"/>
      <c r="M111" s="2"/>
      <c r="N111" s="2"/>
      <c r="O111" s="2"/>
      <c r="P111" s="2"/>
      <c r="Q111" s="2"/>
      <c r="R111" s="2"/>
      <c r="S111" s="2"/>
      <c r="T111" s="2"/>
      <c r="U111" s="2"/>
      <c r="V111" s="2"/>
      <c r="W111" s="2"/>
      <c r="X111" s="2"/>
    </row>
    <row r="112" spans="1:24" ht="22" customHeight="1">
      <c r="A112" s="174" t="s">
        <v>1005</v>
      </c>
      <c r="B112" s="174"/>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row>
    <row r="113" spans="1:24" ht="18" customHeight="1">
      <c r="A113" s="163" t="s">
        <v>1007</v>
      </c>
      <c r="B113" s="16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row>
    <row r="114" spans="1:24" ht="24" customHeight="1">
      <c r="A114" s="177" t="s">
        <v>1008</v>
      </c>
      <c r="B114" s="178"/>
      <c r="C114" s="179"/>
      <c r="D114" s="179"/>
      <c r="E114" s="179"/>
      <c r="F114" s="179"/>
      <c r="G114" s="179"/>
      <c r="H114" s="179"/>
      <c r="I114" s="179"/>
      <c r="J114" s="179"/>
      <c r="K114" s="179"/>
      <c r="L114" s="179"/>
      <c r="M114" s="12"/>
      <c r="N114" s="179"/>
      <c r="O114" s="179"/>
      <c r="P114" s="179"/>
      <c r="Q114" s="179"/>
      <c r="R114" s="179"/>
      <c r="S114" s="179"/>
      <c r="T114" s="179"/>
      <c r="U114" s="179"/>
      <c r="V114" s="179"/>
      <c r="W114" s="179"/>
      <c r="X114" s="179"/>
    </row>
    <row r="115" spans="1:24" ht="24" customHeight="1">
      <c r="A115" s="16" t="s">
        <v>1009</v>
      </c>
      <c r="B115" s="17"/>
      <c r="C115" s="18">
        <v>1300</v>
      </c>
      <c r="D115" s="18">
        <v>1208</v>
      </c>
      <c r="E115" s="18">
        <v>1187</v>
      </c>
      <c r="F115" s="18">
        <v>996</v>
      </c>
      <c r="G115" s="18">
        <v>988</v>
      </c>
      <c r="H115" s="18">
        <v>1006</v>
      </c>
      <c r="I115" s="18">
        <v>954</v>
      </c>
      <c r="J115" s="18">
        <v>714</v>
      </c>
      <c r="K115" s="18">
        <v>677</v>
      </c>
      <c r="L115" s="18">
        <v>616</v>
      </c>
      <c r="M115" s="20"/>
      <c r="N115" s="18"/>
      <c r="O115" s="18"/>
      <c r="P115" s="18"/>
      <c r="Q115" s="18"/>
      <c r="R115" s="18"/>
      <c r="S115" s="18"/>
      <c r="T115" s="18"/>
      <c r="U115" s="18"/>
      <c r="V115" s="18"/>
      <c r="W115" s="18"/>
      <c r="X115" s="18"/>
    </row>
    <row r="116" spans="1:24" ht="22" customHeight="1">
      <c r="A116" s="3" t="s">
        <v>1010</v>
      </c>
      <c r="B116" s="1"/>
      <c r="C116" s="14">
        <v>31</v>
      </c>
      <c r="D116" s="14">
        <v>28</v>
      </c>
      <c r="E116" s="14">
        <v>32</v>
      </c>
      <c r="F116" s="14">
        <v>23</v>
      </c>
      <c r="G116" s="14">
        <v>25</v>
      </c>
      <c r="H116" s="14">
        <v>33</v>
      </c>
      <c r="I116" s="14">
        <v>37</v>
      </c>
      <c r="J116" s="14">
        <v>29</v>
      </c>
      <c r="K116" s="14">
        <v>31</v>
      </c>
      <c r="L116" s="14">
        <v>31</v>
      </c>
      <c r="M116" s="15"/>
      <c r="N116" s="14"/>
      <c r="O116" s="14"/>
      <c r="P116" s="14"/>
      <c r="Q116" s="14"/>
      <c r="R116" s="14"/>
      <c r="S116" s="14"/>
      <c r="T116" s="14"/>
      <c r="U116" s="14"/>
      <c r="V116" s="14"/>
      <c r="W116" s="14"/>
      <c r="X116" s="14"/>
    </row>
    <row r="117" spans="1:24" ht="22" customHeight="1">
      <c r="A117" s="3" t="s">
        <v>1011</v>
      </c>
      <c r="B117" s="1"/>
      <c r="C117" s="14">
        <v>41</v>
      </c>
      <c r="D117" s="14">
        <v>36</v>
      </c>
      <c r="E117" s="14">
        <v>34</v>
      </c>
      <c r="F117" s="14">
        <v>36</v>
      </c>
      <c r="G117" s="14">
        <v>25</v>
      </c>
      <c r="H117" s="14">
        <v>15</v>
      </c>
      <c r="I117" s="14">
        <v>19</v>
      </c>
      <c r="J117" s="14">
        <v>36</v>
      </c>
      <c r="K117" s="14">
        <v>32</v>
      </c>
      <c r="L117" s="14">
        <v>30</v>
      </c>
      <c r="M117" s="15"/>
      <c r="N117" s="14"/>
      <c r="O117" s="14"/>
      <c r="P117" s="14"/>
      <c r="Q117" s="14"/>
      <c r="R117" s="14"/>
      <c r="S117" s="14"/>
      <c r="T117" s="14"/>
      <c r="U117" s="14"/>
      <c r="V117" s="14"/>
      <c r="W117" s="14"/>
      <c r="X117" s="14"/>
    </row>
    <row r="118" spans="1:24" ht="22" customHeight="1">
      <c r="A118" s="3" t="s">
        <v>1012</v>
      </c>
      <c r="B118" s="1"/>
      <c r="C118" s="14">
        <v>-15</v>
      </c>
      <c r="D118" s="14">
        <v>-5</v>
      </c>
      <c r="E118" s="14">
        <v>0</v>
      </c>
      <c r="F118" s="14">
        <v>0</v>
      </c>
      <c r="G118" s="14">
        <v>-25</v>
      </c>
      <c r="H118" s="14">
        <v>0</v>
      </c>
      <c r="I118" s="14">
        <v>0</v>
      </c>
      <c r="J118" s="14">
        <v>0</v>
      </c>
      <c r="K118" s="14">
        <v>0</v>
      </c>
      <c r="L118" s="14">
        <v>0</v>
      </c>
      <c r="M118" s="15"/>
      <c r="N118" s="14"/>
      <c r="O118" s="14"/>
      <c r="P118" s="14"/>
      <c r="Q118" s="14"/>
      <c r="R118" s="14"/>
      <c r="S118" s="14"/>
      <c r="T118" s="14"/>
      <c r="U118" s="14"/>
      <c r="V118" s="14"/>
      <c r="W118" s="14"/>
      <c r="X118" s="14"/>
    </row>
    <row r="119" spans="1:24" ht="22" customHeight="1">
      <c r="A119" s="3" t="s">
        <v>1013</v>
      </c>
      <c r="B119" s="1"/>
      <c r="C119" s="14">
        <v>0</v>
      </c>
      <c r="D119" s="14">
        <v>0</v>
      </c>
      <c r="E119" s="14">
        <v>0</v>
      </c>
      <c r="F119" s="14">
        <v>0</v>
      </c>
      <c r="G119" s="14">
        <v>0</v>
      </c>
      <c r="H119" s="14">
        <v>0</v>
      </c>
      <c r="I119" s="14">
        <v>0</v>
      </c>
      <c r="J119" s="14">
        <v>0</v>
      </c>
      <c r="K119" s="14">
        <v>0</v>
      </c>
      <c r="L119" s="14">
        <v>0</v>
      </c>
      <c r="M119" s="15"/>
      <c r="N119" s="14"/>
      <c r="O119" s="14"/>
      <c r="P119" s="14"/>
      <c r="Q119" s="14"/>
      <c r="R119" s="14"/>
      <c r="S119" s="14"/>
      <c r="T119" s="14"/>
      <c r="U119" s="14"/>
      <c r="V119" s="14"/>
      <c r="W119" s="14"/>
      <c r="X119" s="14"/>
    </row>
    <row r="120" spans="1:24" ht="22" customHeight="1">
      <c r="A120" s="3" t="s">
        <v>1014</v>
      </c>
      <c r="B120" s="1"/>
      <c r="C120" s="14">
        <v>-51</v>
      </c>
      <c r="D120" s="14">
        <v>21</v>
      </c>
      <c r="E120" s="14">
        <v>-147</v>
      </c>
      <c r="F120" s="14">
        <v>36</v>
      </c>
      <c r="G120" s="14">
        <v>81</v>
      </c>
      <c r="H120" s="14">
        <v>-17</v>
      </c>
      <c r="I120" s="14">
        <v>-198</v>
      </c>
      <c r="J120" s="14">
        <v>-22</v>
      </c>
      <c r="K120" s="14">
        <v>-44</v>
      </c>
      <c r="L120" s="14">
        <v>18</v>
      </c>
      <c r="M120" s="15"/>
      <c r="N120" s="14"/>
      <c r="O120" s="14"/>
      <c r="P120" s="14"/>
      <c r="Q120" s="14"/>
      <c r="R120" s="14"/>
      <c r="S120" s="14"/>
      <c r="T120" s="14"/>
      <c r="U120" s="14"/>
      <c r="V120" s="14"/>
      <c r="W120" s="14"/>
      <c r="X120" s="14"/>
    </row>
    <row r="121" spans="1:24" ht="22" customHeight="1">
      <c r="A121" s="3" t="s">
        <v>1015</v>
      </c>
      <c r="B121" s="1"/>
      <c r="C121" s="14">
        <v>-100</v>
      </c>
      <c r="D121" s="14">
        <v>-107</v>
      </c>
      <c r="E121" s="14">
        <v>-108</v>
      </c>
      <c r="F121" s="14">
        <v>-105</v>
      </c>
      <c r="G121" s="14">
        <v>-89</v>
      </c>
      <c r="H121" s="14">
        <v>-83</v>
      </c>
      <c r="I121" s="14">
        <v>-81</v>
      </c>
      <c r="J121" s="14">
        <v>-80</v>
      </c>
      <c r="K121" s="14">
        <v>-78</v>
      </c>
      <c r="L121" s="14">
        <v>-74</v>
      </c>
      <c r="M121" s="15"/>
      <c r="N121" s="14"/>
      <c r="O121" s="14"/>
      <c r="P121" s="14"/>
      <c r="Q121" s="14"/>
      <c r="R121" s="14"/>
      <c r="S121" s="14"/>
      <c r="T121" s="14"/>
      <c r="U121" s="14"/>
      <c r="V121" s="14"/>
      <c r="W121" s="14"/>
      <c r="X121" s="14"/>
    </row>
    <row r="122" spans="1:24" ht="22" customHeight="1">
      <c r="A122" s="3" t="s">
        <v>1016</v>
      </c>
      <c r="B122" s="1"/>
      <c r="C122" s="14">
        <v>0</v>
      </c>
      <c r="D122" s="14">
        <v>0</v>
      </c>
      <c r="E122" s="14">
        <v>0</v>
      </c>
      <c r="F122" s="14">
        <v>0</v>
      </c>
      <c r="G122" s="14">
        <v>0</v>
      </c>
      <c r="H122" s="14">
        <v>0</v>
      </c>
      <c r="I122" s="14">
        <v>-14</v>
      </c>
      <c r="J122" s="14">
        <v>0</v>
      </c>
      <c r="K122" s="14">
        <v>0</v>
      </c>
      <c r="L122" s="14">
        <v>0</v>
      </c>
      <c r="M122" s="15"/>
      <c r="N122" s="14"/>
      <c r="O122" s="14"/>
      <c r="P122" s="14"/>
      <c r="Q122" s="14"/>
      <c r="R122" s="14"/>
      <c r="S122" s="14"/>
      <c r="T122" s="14"/>
      <c r="U122" s="14"/>
      <c r="V122" s="14"/>
      <c r="W122" s="14"/>
      <c r="X122" s="14"/>
    </row>
    <row r="123" spans="1:24" ht="22" customHeight="1">
      <c r="A123" s="3" t="s">
        <v>1017</v>
      </c>
      <c r="B123" s="1"/>
      <c r="C123" s="14">
        <v>1</v>
      </c>
      <c r="D123" s="14">
        <v>2</v>
      </c>
      <c r="E123" s="14">
        <v>1</v>
      </c>
      <c r="F123" s="14">
        <v>0</v>
      </c>
      <c r="G123" s="14">
        <v>0</v>
      </c>
      <c r="H123" s="14">
        <v>0</v>
      </c>
      <c r="I123" s="14">
        <v>0</v>
      </c>
      <c r="J123" s="14">
        <v>0</v>
      </c>
      <c r="K123" s="14">
        <v>1</v>
      </c>
      <c r="L123" s="14">
        <v>0</v>
      </c>
      <c r="M123" s="15"/>
      <c r="N123" s="14"/>
      <c r="O123" s="14"/>
      <c r="P123" s="14"/>
      <c r="Q123" s="14"/>
      <c r="R123" s="14"/>
      <c r="S123" s="14"/>
      <c r="T123" s="14"/>
      <c r="U123" s="14"/>
      <c r="V123" s="14"/>
      <c r="W123" s="14"/>
      <c r="X123" s="14"/>
    </row>
    <row r="124" spans="1:24" ht="22" customHeight="1">
      <c r="A124" s="3" t="s">
        <v>1018</v>
      </c>
      <c r="B124" s="1"/>
      <c r="C124" s="14">
        <v>1</v>
      </c>
      <c r="D124" s="14">
        <v>4</v>
      </c>
      <c r="E124" s="14">
        <v>-3</v>
      </c>
      <c r="F124" s="14">
        <v>2</v>
      </c>
      <c r="G124" s="14">
        <v>1</v>
      </c>
      <c r="H124" s="14">
        <v>0</v>
      </c>
      <c r="I124" s="14">
        <v>-3</v>
      </c>
      <c r="J124" s="14">
        <v>0</v>
      </c>
      <c r="K124" s="14">
        <v>-3</v>
      </c>
      <c r="L124" s="14">
        <v>2</v>
      </c>
      <c r="M124" s="15"/>
      <c r="N124" s="14"/>
      <c r="O124" s="14"/>
      <c r="P124" s="14"/>
      <c r="Q124" s="14"/>
      <c r="R124" s="14"/>
      <c r="S124" s="14"/>
      <c r="T124" s="14"/>
      <c r="U124" s="14"/>
      <c r="V124" s="14"/>
      <c r="W124" s="14"/>
      <c r="X124" s="14"/>
    </row>
    <row r="125" spans="1:24" ht="24" customHeight="1">
      <c r="A125" s="16" t="s">
        <v>1019</v>
      </c>
      <c r="B125" s="17"/>
      <c r="C125" s="18">
        <v>1208</v>
      </c>
      <c r="D125" s="18">
        <v>1187</v>
      </c>
      <c r="E125" s="18">
        <v>996</v>
      </c>
      <c r="F125" s="18">
        <v>988</v>
      </c>
      <c r="G125" s="18">
        <v>1006</v>
      </c>
      <c r="H125" s="18">
        <v>954</v>
      </c>
      <c r="I125" s="18">
        <v>714</v>
      </c>
      <c r="J125" s="18">
        <v>677</v>
      </c>
      <c r="K125" s="18">
        <v>616</v>
      </c>
      <c r="L125" s="18">
        <v>623</v>
      </c>
      <c r="M125" s="20"/>
      <c r="N125" s="18"/>
      <c r="O125" s="18"/>
      <c r="P125" s="18"/>
      <c r="Q125" s="18"/>
      <c r="R125" s="18"/>
      <c r="S125" s="18"/>
      <c r="T125" s="18"/>
      <c r="U125" s="18"/>
      <c r="V125" s="18"/>
      <c r="W125" s="18"/>
      <c r="X125" s="18"/>
    </row>
    <row r="126" spans="1:24" ht="24" customHeight="1">
      <c r="A126" s="177" t="s">
        <v>1020</v>
      </c>
      <c r="B126" s="178"/>
      <c r="C126" s="179"/>
      <c r="D126" s="179"/>
      <c r="E126" s="179"/>
      <c r="F126" s="179"/>
      <c r="G126" s="179"/>
      <c r="H126" s="179"/>
      <c r="I126" s="179"/>
      <c r="J126" s="179"/>
      <c r="K126" s="179"/>
      <c r="L126" s="179"/>
      <c r="M126" s="12"/>
      <c r="N126" s="179"/>
      <c r="O126" s="179"/>
      <c r="P126" s="179"/>
      <c r="Q126" s="179"/>
      <c r="R126" s="179"/>
      <c r="S126" s="179"/>
      <c r="T126" s="179"/>
      <c r="U126" s="179"/>
      <c r="V126" s="179"/>
      <c r="W126" s="179"/>
      <c r="X126" s="179"/>
    </row>
    <row r="127" spans="1:24" ht="22" customHeight="1">
      <c r="A127" s="3" t="s">
        <v>1021</v>
      </c>
      <c r="B127" s="1"/>
      <c r="C127" s="14">
        <v>354</v>
      </c>
      <c r="D127" s="14">
        <v>320</v>
      </c>
      <c r="E127" s="14">
        <v>321</v>
      </c>
      <c r="F127" s="14">
        <v>285</v>
      </c>
      <c r="G127" s="14">
        <v>302</v>
      </c>
      <c r="H127" s="14">
        <v>315</v>
      </c>
      <c r="I127" s="14">
        <v>299</v>
      </c>
      <c r="J127" s="14">
        <v>196</v>
      </c>
      <c r="K127" s="14">
        <v>183</v>
      </c>
      <c r="L127" s="14">
        <v>163</v>
      </c>
      <c r="M127" s="15"/>
      <c r="N127" s="14"/>
      <c r="O127" s="14"/>
      <c r="P127" s="14"/>
      <c r="Q127" s="14"/>
      <c r="R127" s="14"/>
      <c r="S127" s="14"/>
      <c r="T127" s="14"/>
      <c r="U127" s="14"/>
      <c r="V127" s="14"/>
      <c r="W127" s="14"/>
      <c r="X127" s="14"/>
    </row>
    <row r="128" spans="1:24" ht="22" customHeight="1">
      <c r="A128" s="3" t="s">
        <v>1022</v>
      </c>
      <c r="B128" s="1"/>
      <c r="C128" s="14">
        <v>30</v>
      </c>
      <c r="D128" s="14">
        <v>52</v>
      </c>
      <c r="E128" s="14">
        <v>-21</v>
      </c>
      <c r="F128" s="14">
        <v>78</v>
      </c>
      <c r="G128" s="14">
        <v>47</v>
      </c>
      <c r="H128" s="14">
        <v>20</v>
      </c>
      <c r="I128" s="14">
        <v>-68</v>
      </c>
      <c r="J128" s="14">
        <v>21</v>
      </c>
      <c r="K128" s="14">
        <v>5</v>
      </c>
      <c r="L128" s="14">
        <v>15</v>
      </c>
      <c r="M128" s="15"/>
      <c r="N128" s="14"/>
      <c r="O128" s="14"/>
      <c r="P128" s="14"/>
      <c r="Q128" s="14"/>
      <c r="R128" s="14"/>
      <c r="S128" s="14"/>
      <c r="T128" s="14"/>
      <c r="U128" s="14"/>
      <c r="V128" s="14"/>
      <c r="W128" s="14"/>
      <c r="X128" s="14"/>
    </row>
    <row r="129" spans="1:24" ht="22" customHeight="1">
      <c r="A129" s="3" t="s">
        <v>1023</v>
      </c>
      <c r="B129" s="1"/>
      <c r="C129" s="14">
        <v>36</v>
      </c>
      <c r="D129" s="14">
        <v>56</v>
      </c>
      <c r="E129" s="14">
        <v>93</v>
      </c>
      <c r="F129" s="14">
        <v>44</v>
      </c>
      <c r="G129" s="14">
        <v>55</v>
      </c>
      <c r="H129" s="14">
        <v>47</v>
      </c>
      <c r="I129" s="14">
        <v>48</v>
      </c>
      <c r="J129" s="14">
        <v>46</v>
      </c>
      <c r="K129" s="14">
        <v>53</v>
      </c>
      <c r="L129" s="14">
        <v>51</v>
      </c>
      <c r="M129" s="15"/>
      <c r="N129" s="14"/>
      <c r="O129" s="14"/>
      <c r="P129" s="14"/>
      <c r="Q129" s="14"/>
      <c r="R129" s="14"/>
      <c r="S129" s="14"/>
      <c r="T129" s="14"/>
      <c r="U129" s="14"/>
      <c r="V129" s="14"/>
      <c r="W129" s="14"/>
      <c r="X129" s="14"/>
    </row>
    <row r="130" spans="1:24" ht="22" customHeight="1">
      <c r="A130" s="3" t="s">
        <v>1013</v>
      </c>
      <c r="B130" s="1"/>
      <c r="C130" s="14">
        <v>0</v>
      </c>
      <c r="D130" s="14">
        <v>0</v>
      </c>
      <c r="E130" s="14">
        <v>0</v>
      </c>
      <c r="F130" s="14">
        <v>0</v>
      </c>
      <c r="G130" s="14">
        <v>0</v>
      </c>
      <c r="H130" s="14">
        <v>0</v>
      </c>
      <c r="I130" s="14">
        <v>0</v>
      </c>
      <c r="J130" s="14">
        <v>0</v>
      </c>
      <c r="K130" s="14">
        <v>0</v>
      </c>
      <c r="L130" s="14">
        <v>0</v>
      </c>
      <c r="M130" s="15"/>
      <c r="N130" s="14"/>
      <c r="O130" s="14"/>
      <c r="P130" s="14"/>
      <c r="Q130" s="14"/>
      <c r="R130" s="14"/>
      <c r="S130" s="14"/>
      <c r="T130" s="14"/>
      <c r="U130" s="14"/>
      <c r="V130" s="14"/>
      <c r="W130" s="14"/>
      <c r="X130" s="14"/>
    </row>
    <row r="131" spans="1:24" ht="22" customHeight="1">
      <c r="A131" s="3" t="s">
        <v>1015</v>
      </c>
      <c r="B131" s="1"/>
      <c r="C131" s="14">
        <v>-100</v>
      </c>
      <c r="D131" s="14">
        <v>-107</v>
      </c>
      <c r="E131" s="14">
        <v>-108</v>
      </c>
      <c r="F131" s="14">
        <v>-105</v>
      </c>
      <c r="G131" s="14">
        <v>-89</v>
      </c>
      <c r="H131" s="14">
        <v>-83</v>
      </c>
      <c r="I131" s="14">
        <v>-81</v>
      </c>
      <c r="J131" s="14">
        <v>-80</v>
      </c>
      <c r="K131" s="14">
        <v>-78</v>
      </c>
      <c r="L131" s="14">
        <v>-74</v>
      </c>
      <c r="M131" s="15"/>
      <c r="N131" s="14"/>
      <c r="O131" s="14"/>
      <c r="P131" s="14"/>
      <c r="Q131" s="14"/>
      <c r="R131" s="14"/>
      <c r="S131" s="14"/>
      <c r="T131" s="14"/>
      <c r="U131" s="14"/>
      <c r="V131" s="14"/>
      <c r="W131" s="14"/>
      <c r="X131" s="14"/>
    </row>
    <row r="132" spans="1:24" ht="22" customHeight="1">
      <c r="A132" s="3" t="s">
        <v>1024</v>
      </c>
      <c r="B132" s="1"/>
      <c r="C132" s="14">
        <v>0</v>
      </c>
      <c r="D132" s="14">
        <v>0</v>
      </c>
      <c r="E132" s="14">
        <v>0</v>
      </c>
      <c r="F132" s="14">
        <v>0</v>
      </c>
      <c r="G132" s="14">
        <v>0</v>
      </c>
      <c r="H132" s="14">
        <v>0</v>
      </c>
      <c r="I132" s="14">
        <v>0</v>
      </c>
      <c r="J132" s="14">
        <v>0</v>
      </c>
      <c r="K132" s="14">
        <v>0</v>
      </c>
      <c r="L132" s="14">
        <v>0</v>
      </c>
      <c r="M132" s="15"/>
      <c r="N132" s="14"/>
      <c r="O132" s="14"/>
      <c r="P132" s="14"/>
      <c r="Q132" s="14"/>
      <c r="R132" s="14"/>
      <c r="S132" s="14"/>
      <c r="T132" s="14"/>
      <c r="U132" s="14"/>
      <c r="V132" s="14"/>
      <c r="W132" s="14"/>
      <c r="X132" s="14"/>
    </row>
    <row r="133" spans="1:24" ht="22" customHeight="1">
      <c r="A133" s="3" t="s">
        <v>1018</v>
      </c>
      <c r="B133" s="1"/>
      <c r="C133" s="14">
        <v>0</v>
      </c>
      <c r="D133" s="14">
        <v>0</v>
      </c>
      <c r="E133" s="14">
        <v>0</v>
      </c>
      <c r="F133" s="14">
        <v>0</v>
      </c>
      <c r="G133" s="14">
        <v>0</v>
      </c>
      <c r="H133" s="14">
        <v>0</v>
      </c>
      <c r="I133" s="14">
        <v>-2</v>
      </c>
      <c r="J133" s="14">
        <v>0</v>
      </c>
      <c r="K133" s="14">
        <v>0</v>
      </c>
      <c r="L133" s="14">
        <v>0</v>
      </c>
      <c r="M133" s="15"/>
      <c r="N133" s="14"/>
      <c r="O133" s="14"/>
      <c r="P133" s="14"/>
      <c r="Q133" s="14"/>
      <c r="R133" s="14"/>
      <c r="S133" s="14"/>
      <c r="T133" s="14"/>
      <c r="U133" s="14"/>
      <c r="V133" s="14"/>
      <c r="W133" s="14"/>
      <c r="X133" s="14"/>
    </row>
    <row r="134" spans="1:24" ht="24" customHeight="1">
      <c r="A134" s="16" t="s">
        <v>1025</v>
      </c>
      <c r="B134" s="17"/>
      <c r="C134" s="18">
        <v>320</v>
      </c>
      <c r="D134" s="18">
        <v>321</v>
      </c>
      <c r="E134" s="18">
        <v>285</v>
      </c>
      <c r="F134" s="18">
        <v>302</v>
      </c>
      <c r="G134" s="18">
        <v>315</v>
      </c>
      <c r="H134" s="18">
        <v>299</v>
      </c>
      <c r="I134" s="18">
        <v>196</v>
      </c>
      <c r="J134" s="18">
        <v>183</v>
      </c>
      <c r="K134" s="18">
        <v>163</v>
      </c>
      <c r="L134" s="18">
        <v>155</v>
      </c>
      <c r="M134" s="20"/>
      <c r="N134" s="18"/>
      <c r="O134" s="18"/>
      <c r="P134" s="18"/>
      <c r="Q134" s="18"/>
      <c r="R134" s="18"/>
      <c r="S134" s="18"/>
      <c r="T134" s="18"/>
      <c r="U134" s="18"/>
      <c r="V134" s="18"/>
      <c r="W134" s="18"/>
      <c r="X134" s="18"/>
    </row>
    <row r="135" spans="1:24" ht="24" customHeight="1">
      <c r="A135" s="16" t="s">
        <v>1026</v>
      </c>
      <c r="B135" s="17"/>
      <c r="C135" s="18">
        <v>-888</v>
      </c>
      <c r="D135" s="18">
        <v>-866</v>
      </c>
      <c r="E135" s="18">
        <v>-711</v>
      </c>
      <c r="F135" s="18">
        <v>-686</v>
      </c>
      <c r="G135" s="18">
        <v>-691</v>
      </c>
      <c r="H135" s="18">
        <v>-655</v>
      </c>
      <c r="I135" s="18">
        <v>-518</v>
      </c>
      <c r="J135" s="18">
        <v>-494</v>
      </c>
      <c r="K135" s="18">
        <v>-453</v>
      </c>
      <c r="L135" s="18">
        <v>-468</v>
      </c>
      <c r="M135" s="20"/>
      <c r="N135" s="18"/>
      <c r="O135" s="18"/>
      <c r="P135" s="18"/>
      <c r="Q135" s="18"/>
      <c r="R135" s="18"/>
      <c r="S135" s="18"/>
      <c r="T135" s="18"/>
      <c r="U135" s="18"/>
      <c r="V135" s="18"/>
      <c r="W135" s="18"/>
      <c r="X135" s="18"/>
    </row>
    <row r="136" spans="1:24" ht="24" customHeight="1">
      <c r="A136" s="177" t="s">
        <v>1027</v>
      </c>
      <c r="B136" s="178"/>
      <c r="C136" s="179"/>
      <c r="D136" s="179"/>
      <c r="E136" s="179"/>
      <c r="F136" s="179"/>
      <c r="G136" s="179"/>
      <c r="H136" s="179"/>
      <c r="I136" s="179"/>
      <c r="J136" s="179"/>
      <c r="K136" s="179"/>
      <c r="L136" s="179"/>
      <c r="M136" s="12"/>
      <c r="N136" s="179"/>
      <c r="O136" s="179"/>
      <c r="P136" s="179"/>
      <c r="Q136" s="179"/>
      <c r="R136" s="179"/>
      <c r="S136" s="179"/>
      <c r="T136" s="179"/>
      <c r="U136" s="179"/>
      <c r="V136" s="179"/>
      <c r="W136" s="179"/>
      <c r="X136" s="179"/>
    </row>
    <row r="137" spans="1:24" ht="22" customHeight="1">
      <c r="A137" s="3" t="s">
        <v>1028</v>
      </c>
      <c r="B137" s="1"/>
      <c r="C137" s="14">
        <v>0</v>
      </c>
      <c r="D137" s="14">
        <v>0</v>
      </c>
      <c r="E137" s="14">
        <v>0</v>
      </c>
      <c r="F137" s="14">
        <v>0</v>
      </c>
      <c r="G137" s="14">
        <v>0</v>
      </c>
      <c r="H137" s="14">
        <v>0</v>
      </c>
      <c r="I137" s="14">
        <v>0</v>
      </c>
      <c r="J137" s="14">
        <v>0</v>
      </c>
      <c r="K137" s="14">
        <v>0</v>
      </c>
      <c r="L137" s="14">
        <v>0</v>
      </c>
      <c r="M137" s="15"/>
      <c r="N137" s="14"/>
      <c r="O137" s="14"/>
      <c r="P137" s="14"/>
      <c r="Q137" s="14"/>
      <c r="R137" s="14"/>
      <c r="S137" s="14"/>
      <c r="T137" s="14"/>
      <c r="U137" s="14"/>
      <c r="V137" s="14"/>
      <c r="W137" s="14"/>
      <c r="X137" s="14"/>
    </row>
    <row r="138" spans="1:24" ht="22" customHeight="1">
      <c r="A138" s="3" t="s">
        <v>462</v>
      </c>
      <c r="B138" s="1"/>
      <c r="C138" s="14">
        <v>-54</v>
      </c>
      <c r="D138" s="14">
        <v>-75</v>
      </c>
      <c r="E138" s="14">
        <v>-41</v>
      </c>
      <c r="F138" s="14">
        <v>-58</v>
      </c>
      <c r="G138" s="14">
        <v>-51</v>
      </c>
      <c r="H138" s="14">
        <v>-57</v>
      </c>
      <c r="I138" s="14">
        <v>-54</v>
      </c>
      <c r="J138" s="14">
        <v>-52</v>
      </c>
      <c r="K138" s="14">
        <v>-52</v>
      </c>
      <c r="L138" s="14">
        <v>-55</v>
      </c>
      <c r="M138" s="15"/>
      <c r="N138" s="14"/>
      <c r="O138" s="14"/>
      <c r="P138" s="14"/>
      <c r="Q138" s="14"/>
      <c r="R138" s="14"/>
      <c r="S138" s="14"/>
      <c r="T138" s="14"/>
      <c r="U138" s="14"/>
      <c r="V138" s="14"/>
      <c r="W138" s="14"/>
      <c r="X138" s="14"/>
    </row>
    <row r="139" spans="1:24" ht="22" customHeight="1">
      <c r="A139" s="3" t="s">
        <v>1029</v>
      </c>
      <c r="B139" s="1"/>
      <c r="C139" s="14">
        <v>-834</v>
      </c>
      <c r="D139" s="14">
        <v>-791</v>
      </c>
      <c r="E139" s="14">
        <v>-670</v>
      </c>
      <c r="F139" s="14">
        <v>-628</v>
      </c>
      <c r="G139" s="14">
        <v>-640</v>
      </c>
      <c r="H139" s="14">
        <v>-598</v>
      </c>
      <c r="I139" s="14">
        <v>-464</v>
      </c>
      <c r="J139" s="14">
        <v>-442</v>
      </c>
      <c r="K139" s="14">
        <v>-401</v>
      </c>
      <c r="L139" s="14">
        <v>-413</v>
      </c>
      <c r="M139" s="15"/>
      <c r="N139" s="14"/>
      <c r="O139" s="14"/>
      <c r="P139" s="14"/>
      <c r="Q139" s="14"/>
      <c r="R139" s="14"/>
      <c r="S139" s="14"/>
      <c r="T139" s="14"/>
      <c r="U139" s="14"/>
      <c r="V139" s="14"/>
      <c r="W139" s="14"/>
      <c r="X139" s="14"/>
    </row>
    <row r="140" spans="1:24" ht="24" customHeight="1">
      <c r="A140" s="16" t="s">
        <v>1030</v>
      </c>
      <c r="B140" s="17"/>
      <c r="C140" s="18">
        <v>-888</v>
      </c>
      <c r="D140" s="18">
        <v>-866</v>
      </c>
      <c r="E140" s="18">
        <v>-711</v>
      </c>
      <c r="F140" s="18">
        <v>-686</v>
      </c>
      <c r="G140" s="18">
        <v>-691</v>
      </c>
      <c r="H140" s="18">
        <v>-655</v>
      </c>
      <c r="I140" s="18">
        <v>-518</v>
      </c>
      <c r="J140" s="18">
        <v>-494</v>
      </c>
      <c r="K140" s="18">
        <v>-453</v>
      </c>
      <c r="L140" s="18">
        <v>-468</v>
      </c>
      <c r="M140" s="20"/>
      <c r="N140" s="18"/>
      <c r="O140" s="18"/>
      <c r="P140" s="18"/>
      <c r="Q140" s="18"/>
      <c r="R140" s="18"/>
      <c r="S140" s="18"/>
      <c r="T140" s="18"/>
      <c r="U140" s="18"/>
      <c r="V140" s="18"/>
      <c r="W140" s="18"/>
      <c r="X140" s="18"/>
    </row>
    <row r="141" spans="1:24" ht="24" customHeight="1">
      <c r="A141" s="177" t="s">
        <v>1031</v>
      </c>
      <c r="B141" s="178"/>
      <c r="C141" s="179"/>
      <c r="D141" s="179"/>
      <c r="E141" s="179"/>
      <c r="F141" s="179"/>
      <c r="G141" s="179"/>
      <c r="H141" s="179"/>
      <c r="I141" s="179"/>
      <c r="J141" s="179"/>
      <c r="K141" s="179"/>
      <c r="L141" s="179"/>
      <c r="M141" s="12"/>
      <c r="N141" s="179"/>
      <c r="O141" s="179"/>
      <c r="P141" s="179"/>
      <c r="Q141" s="179"/>
      <c r="R141" s="179"/>
      <c r="S141" s="179"/>
      <c r="T141" s="179"/>
      <c r="U141" s="179"/>
      <c r="V141" s="179"/>
      <c r="W141" s="179"/>
      <c r="X141" s="179"/>
    </row>
    <row r="142" spans="1:24" ht="22" customHeight="1">
      <c r="A142" s="3" t="s">
        <v>1010</v>
      </c>
      <c r="B142" s="1"/>
      <c r="C142" s="13">
        <f>IF(COUNT('Pension &amp; Retiree Medical'!C116)=1,'Pension &amp; Retiree Medical'!C116,"")</f>
        <v>31</v>
      </c>
      <c r="D142" s="13">
        <f>IF(COUNT('Pension &amp; Retiree Medical'!D116)=1,'Pension &amp; Retiree Medical'!D116,"")</f>
        <v>28</v>
      </c>
      <c r="E142" s="13">
        <f>IF(COUNT('Pension &amp; Retiree Medical'!E116)=1,'Pension &amp; Retiree Medical'!E116,"")</f>
        <v>32</v>
      </c>
      <c r="F142" s="13">
        <f>IF(COUNT('Pension &amp; Retiree Medical'!F116)=1,'Pension &amp; Retiree Medical'!F116,"")</f>
        <v>23</v>
      </c>
      <c r="G142" s="13">
        <f>IF(COUNT('Pension &amp; Retiree Medical'!G116)=1,'Pension &amp; Retiree Medical'!G116,"")</f>
        <v>25</v>
      </c>
      <c r="H142" s="13">
        <f>IF(COUNT('Pension &amp; Retiree Medical'!H116)=1,'Pension &amp; Retiree Medical'!H116,"")</f>
        <v>33</v>
      </c>
      <c r="I142" s="13">
        <f>IF(COUNT('Pension &amp; Retiree Medical'!I116)=1,'Pension &amp; Retiree Medical'!I116,"")</f>
        <v>37</v>
      </c>
      <c r="J142" s="13">
        <f>IF(COUNT('Pension &amp; Retiree Medical'!J116)=1,'Pension &amp; Retiree Medical'!J116,"")</f>
        <v>29</v>
      </c>
      <c r="K142" s="13">
        <f>IF(COUNT('Pension &amp; Retiree Medical'!K116)=1,'Pension &amp; Retiree Medical'!K116,"")</f>
        <v>31</v>
      </c>
      <c r="L142" s="13">
        <f>IF(COUNT('Pension &amp; Retiree Medical'!L116)=1,'Pension &amp; Retiree Medical'!L116,"")</f>
        <v>31</v>
      </c>
      <c r="M142" s="15"/>
      <c r="N142" s="14">
        <v>7</v>
      </c>
      <c r="O142" s="14">
        <v>8</v>
      </c>
      <c r="P142" s="14">
        <v>7</v>
      </c>
      <c r="Q142" s="13" t="str">
        <f>IF(COUNT('Pension &amp; Retiree Medical'!Q116)=1,'Pension &amp; Retiree Medical'!Q116,"")</f>
        <v/>
      </c>
      <c r="R142" s="14">
        <v>7</v>
      </c>
      <c r="S142" s="14">
        <v>7</v>
      </c>
      <c r="T142" s="14">
        <v>8</v>
      </c>
      <c r="U142" s="13" t="str">
        <f>IF(COUNT('Pension &amp; Retiree Medical'!U116)=1,'Pension &amp; Retiree Medical'!U116,"")</f>
        <v/>
      </c>
      <c r="V142" s="14">
        <v>8</v>
      </c>
      <c r="W142" s="14">
        <v>9</v>
      </c>
      <c r="X142" s="14">
        <v>8</v>
      </c>
    </row>
    <row r="143" spans="1:24" ht="22" customHeight="1">
      <c r="A143" s="3" t="s">
        <v>1032</v>
      </c>
      <c r="B143" s="1"/>
      <c r="C143" s="14">
        <v>-24</v>
      </c>
      <c r="D143" s="14">
        <v>-22</v>
      </c>
      <c r="E143" s="14">
        <v>-19</v>
      </c>
      <c r="F143" s="14">
        <v>-18</v>
      </c>
      <c r="G143" s="14">
        <v>-16</v>
      </c>
      <c r="H143" s="14">
        <v>-15</v>
      </c>
      <c r="I143" s="14">
        <v>-16</v>
      </c>
      <c r="J143" s="14">
        <v>-13</v>
      </c>
      <c r="K143" s="14">
        <v>-13</v>
      </c>
      <c r="L143" s="14">
        <v>-11</v>
      </c>
      <c r="M143" s="15"/>
      <c r="N143" s="14">
        <v>-3</v>
      </c>
      <c r="O143" s="14">
        <v>-3</v>
      </c>
      <c r="P143" s="14">
        <v>-3</v>
      </c>
      <c r="Q143" s="14"/>
      <c r="R143" s="14">
        <v>-2</v>
      </c>
      <c r="S143" s="14">
        <v>-3</v>
      </c>
      <c r="T143" s="14">
        <v>-3</v>
      </c>
      <c r="U143" s="14"/>
      <c r="V143" s="14">
        <v>-2</v>
      </c>
      <c r="W143" s="14">
        <v>-2</v>
      </c>
      <c r="X143" s="14">
        <v>-4</v>
      </c>
    </row>
    <row r="144" spans="1:24" ht="22" customHeight="1">
      <c r="A144" s="3" t="s">
        <v>1033</v>
      </c>
      <c r="B144" s="1"/>
      <c r="C144" s="14">
        <v>-38</v>
      </c>
      <c r="D144" s="14">
        <v>-25</v>
      </c>
      <c r="E144" s="14">
        <v>-20</v>
      </c>
      <c r="F144" s="14">
        <v>-19</v>
      </c>
      <c r="G144" s="14">
        <v>-12</v>
      </c>
      <c r="H144" s="14">
        <v>-11</v>
      </c>
      <c r="I144" s="14">
        <v>-8</v>
      </c>
      <c r="J144" s="14">
        <v>-6</v>
      </c>
      <c r="K144" s="14">
        <v>-5</v>
      </c>
      <c r="L144" s="14">
        <v>-5</v>
      </c>
      <c r="M144" s="15"/>
      <c r="N144" s="14">
        <v>-1</v>
      </c>
      <c r="O144" s="14">
        <v>-1</v>
      </c>
      <c r="P144" s="14">
        <v>-1</v>
      </c>
      <c r="Q144" s="14"/>
      <c r="R144" s="14">
        <v>-1</v>
      </c>
      <c r="S144" s="14">
        <v>-1</v>
      </c>
      <c r="T144" s="14">
        <v>-1</v>
      </c>
      <c r="U144" s="14"/>
      <c r="V144" s="14">
        <v>-1</v>
      </c>
      <c r="W144" s="14">
        <v>-1</v>
      </c>
      <c r="X144" s="14">
        <v>-1</v>
      </c>
    </row>
    <row r="145" spans="1:24" ht="22" customHeight="1">
      <c r="A145" s="3" t="s">
        <v>1034</v>
      </c>
      <c r="B145" s="1"/>
      <c r="C145" s="14">
        <v>-1</v>
      </c>
      <c r="D145" s="14">
        <v>-12</v>
      </c>
      <c r="E145" s="14">
        <v>-8</v>
      </c>
      <c r="F145" s="14">
        <v>-27</v>
      </c>
      <c r="G145" s="14">
        <v>-23</v>
      </c>
      <c r="H145" s="14">
        <v>-14</v>
      </c>
      <c r="I145" s="14">
        <v>-14</v>
      </c>
      <c r="J145" s="14">
        <v>-27</v>
      </c>
      <c r="K145" s="14">
        <v>-25</v>
      </c>
      <c r="L145" s="14">
        <v>-25</v>
      </c>
      <c r="M145" s="15"/>
      <c r="N145" s="14">
        <v>-6</v>
      </c>
      <c r="O145" s="14">
        <v>-6</v>
      </c>
      <c r="P145" s="14">
        <v>-6</v>
      </c>
      <c r="Q145" s="14"/>
      <c r="R145" s="14">
        <v>-6</v>
      </c>
      <c r="S145" s="14">
        <v>-6</v>
      </c>
      <c r="T145" s="14">
        <v>-5</v>
      </c>
      <c r="U145" s="14"/>
      <c r="V145" s="14">
        <v>-5</v>
      </c>
      <c r="W145" s="14">
        <v>-4</v>
      </c>
      <c r="X145" s="14">
        <v>-5</v>
      </c>
    </row>
    <row r="146" spans="1:24" ht="22" customHeight="1">
      <c r="A146" s="3" t="s">
        <v>1035</v>
      </c>
      <c r="B146" s="1"/>
      <c r="C146" s="14">
        <v>-14</v>
      </c>
      <c r="D146" s="14">
        <v>0</v>
      </c>
      <c r="E146" s="14">
        <v>0</v>
      </c>
      <c r="F146" s="14">
        <v>0</v>
      </c>
      <c r="G146" s="14">
        <v>0</v>
      </c>
      <c r="H146" s="14">
        <v>0</v>
      </c>
      <c r="I146" s="14">
        <v>-16</v>
      </c>
      <c r="J146" s="14">
        <v>0</v>
      </c>
      <c r="K146" s="14">
        <v>0</v>
      </c>
      <c r="L146" s="14">
        <v>0</v>
      </c>
      <c r="M146" s="15"/>
      <c r="N146" s="14"/>
      <c r="O146" s="14">
        <v>0</v>
      </c>
      <c r="P146" s="14">
        <v>0</v>
      </c>
      <c r="Q146" s="14"/>
      <c r="R146" s="14"/>
      <c r="S146" s="14">
        <v>0</v>
      </c>
      <c r="T146" s="14">
        <v>0</v>
      </c>
      <c r="U146" s="14"/>
      <c r="V146" s="14"/>
      <c r="W146" s="14">
        <v>0</v>
      </c>
      <c r="X146" s="14">
        <v>0</v>
      </c>
    </row>
    <row r="147" spans="1:24" ht="22" customHeight="1">
      <c r="A147" s="3" t="s">
        <v>1036</v>
      </c>
      <c r="B147" s="1"/>
      <c r="C147" s="14">
        <v>-4</v>
      </c>
      <c r="D147" s="14">
        <v>7</v>
      </c>
      <c r="E147" s="14">
        <v>20</v>
      </c>
      <c r="F147" s="14">
        <v>-5</v>
      </c>
      <c r="G147" s="14">
        <v>-1</v>
      </c>
      <c r="H147" s="14">
        <v>8</v>
      </c>
      <c r="I147" s="14">
        <v>2</v>
      </c>
      <c r="J147" s="14">
        <v>19</v>
      </c>
      <c r="K147" s="14">
        <v>21</v>
      </c>
      <c r="L147" s="14">
        <v>20</v>
      </c>
      <c r="M147" s="15"/>
      <c r="N147" s="14">
        <v>4</v>
      </c>
      <c r="O147" s="14">
        <v>6</v>
      </c>
      <c r="P147" s="14">
        <v>6</v>
      </c>
      <c r="Q147" s="14"/>
      <c r="R147" s="14">
        <v>5</v>
      </c>
      <c r="S147" s="14">
        <v>4</v>
      </c>
      <c r="T147" s="14">
        <v>5</v>
      </c>
      <c r="U147" s="14"/>
      <c r="V147" s="14">
        <v>6</v>
      </c>
      <c r="W147" s="14">
        <v>8</v>
      </c>
      <c r="X147" s="14">
        <v>5</v>
      </c>
    </row>
    <row r="148" spans="1:24" ht="22" customHeight="1">
      <c r="A148" s="3" t="s">
        <v>1011</v>
      </c>
      <c r="B148" s="1"/>
      <c r="C148" s="13">
        <f>IF(COUNT('Pension &amp; Retiree Medical'!C117)=1,'Pension &amp; Retiree Medical'!C117,"")</f>
        <v>41</v>
      </c>
      <c r="D148" s="14">
        <v>36</v>
      </c>
      <c r="E148" s="14">
        <v>34</v>
      </c>
      <c r="F148" s="14">
        <v>36</v>
      </c>
      <c r="G148" s="14">
        <v>25</v>
      </c>
      <c r="H148" s="14">
        <v>15</v>
      </c>
      <c r="I148" s="14">
        <v>19</v>
      </c>
      <c r="J148" s="14">
        <v>36</v>
      </c>
      <c r="K148" s="14">
        <v>32</v>
      </c>
      <c r="L148" s="14">
        <v>30</v>
      </c>
      <c r="M148" s="15"/>
      <c r="N148" s="14">
        <v>7</v>
      </c>
      <c r="O148" s="14">
        <v>8</v>
      </c>
      <c r="P148" s="14">
        <v>7</v>
      </c>
      <c r="Q148" s="13" t="str">
        <f>IF(COUNT('Pension &amp; Retiree Medical'!Q117)=1,'Pension &amp; Retiree Medical'!Q117,"")</f>
        <v/>
      </c>
      <c r="R148" s="14">
        <v>7</v>
      </c>
      <c r="S148" s="14">
        <v>7</v>
      </c>
      <c r="T148" s="14">
        <v>6</v>
      </c>
      <c r="U148" s="13" t="str">
        <f>IF(COUNT('Pension &amp; Retiree Medical'!U117)=1,'Pension &amp; Retiree Medical'!U117,"")</f>
        <v/>
      </c>
      <c r="V148" s="14">
        <v>6</v>
      </c>
      <c r="W148" s="14">
        <v>6</v>
      </c>
      <c r="X148" s="14">
        <v>7</v>
      </c>
    </row>
    <row r="149" spans="1:24" ht="22" customHeight="1">
      <c r="A149" s="3" t="s">
        <v>1017</v>
      </c>
      <c r="B149" s="1"/>
      <c r="C149" s="13">
        <f>IF(COUNT('Pension &amp; Retiree Medical'!C123)=1,'Pension &amp; Retiree Medical'!C123,"")</f>
        <v>1</v>
      </c>
      <c r="D149" s="14">
        <v>2</v>
      </c>
      <c r="E149" s="14">
        <v>1</v>
      </c>
      <c r="F149" s="14">
        <v>0</v>
      </c>
      <c r="G149" s="14">
        <v>0</v>
      </c>
      <c r="H149" s="14">
        <v>0</v>
      </c>
      <c r="I149" s="14">
        <v>0</v>
      </c>
      <c r="J149" s="14">
        <v>0</v>
      </c>
      <c r="K149" s="14">
        <v>1</v>
      </c>
      <c r="L149" s="14">
        <v>0</v>
      </c>
      <c r="M149" s="15"/>
      <c r="N149" s="14">
        <v>0</v>
      </c>
      <c r="O149" s="14">
        <v>0</v>
      </c>
      <c r="P149" s="14">
        <v>2</v>
      </c>
      <c r="Q149" s="13" t="str">
        <f>IF(COUNT('Pension &amp; Retiree Medical'!Q123)=1,'Pension &amp; Retiree Medical'!Q123,"")</f>
        <v/>
      </c>
      <c r="R149" s="14">
        <v>0</v>
      </c>
      <c r="S149" s="14">
        <v>0</v>
      </c>
      <c r="T149" s="14">
        <v>0</v>
      </c>
      <c r="U149" s="13" t="str">
        <f>IF(COUNT('Pension &amp; Retiree Medical'!U123)=1,'Pension &amp; Retiree Medical'!U123,"")</f>
        <v/>
      </c>
      <c r="V149" s="14">
        <v>0</v>
      </c>
      <c r="W149" s="14">
        <v>0</v>
      </c>
      <c r="X149" s="14">
        <v>0</v>
      </c>
    </row>
    <row r="150" spans="1:24" ht="36" customHeight="1">
      <c r="A150" s="3" t="s">
        <v>1037</v>
      </c>
      <c r="B150" s="1"/>
      <c r="C150" s="13">
        <f>IF(COUNT('Pension &amp; Retiree Medical'!C147,'Pension &amp; Retiree Medical'!C116)=2,'Pension &amp; Retiree Medical'!C147-'Pension &amp; Retiree Medical'!C116,"")</f>
        <v>-35</v>
      </c>
      <c r="D150" s="14">
        <v>-21</v>
      </c>
      <c r="E150" s="14">
        <v>-12</v>
      </c>
      <c r="F150" s="14">
        <v>-28</v>
      </c>
      <c r="G150" s="14">
        <v>-26</v>
      </c>
      <c r="H150" s="14">
        <v>-25</v>
      </c>
      <c r="I150" s="14">
        <v>-35</v>
      </c>
      <c r="J150" s="14">
        <v>-10</v>
      </c>
      <c r="K150" s="14">
        <v>-10</v>
      </c>
      <c r="L150" s="14">
        <v>-11</v>
      </c>
      <c r="M150" s="15"/>
      <c r="N150" s="14">
        <v>-3</v>
      </c>
      <c r="O150" s="14">
        <v>-2</v>
      </c>
      <c r="P150" s="14">
        <v>-1</v>
      </c>
      <c r="Q150" s="13" t="str">
        <f>IF(COUNT('Pension &amp; Retiree Medical'!Q147,'Pension &amp; Retiree Medical'!Q116)=2,'Pension &amp; Retiree Medical'!Q147-'Pension &amp; Retiree Medical'!Q116,"")</f>
        <v/>
      </c>
      <c r="R150" s="14">
        <v>-2</v>
      </c>
      <c r="S150" s="14">
        <v>-3</v>
      </c>
      <c r="T150" s="14">
        <v>-3</v>
      </c>
      <c r="U150" s="13" t="str">
        <f>IF(COUNT('Pension &amp; Retiree Medical'!U147,'Pension &amp; Retiree Medical'!U116)=2,'Pension &amp; Retiree Medical'!U147-'Pension &amp; Retiree Medical'!U116,"")</f>
        <v/>
      </c>
      <c r="V150" s="14">
        <v>-2</v>
      </c>
      <c r="W150" s="14">
        <v>-1</v>
      </c>
      <c r="X150" s="14">
        <v>-3</v>
      </c>
    </row>
    <row r="151" spans="1:24" ht="24" customHeight="1">
      <c r="A151" s="177" t="s">
        <v>1038</v>
      </c>
      <c r="B151" s="178"/>
      <c r="C151" s="179"/>
      <c r="D151" s="179"/>
      <c r="E151" s="179"/>
      <c r="F151" s="179"/>
      <c r="G151" s="179"/>
      <c r="H151" s="179"/>
      <c r="I151" s="179"/>
      <c r="J151" s="179"/>
      <c r="K151" s="179"/>
      <c r="L151" s="179"/>
      <c r="M151" s="12"/>
      <c r="N151" s="179"/>
      <c r="O151" s="179"/>
      <c r="P151" s="179"/>
      <c r="Q151" s="179"/>
      <c r="R151" s="179"/>
      <c r="S151" s="179"/>
      <c r="T151" s="179"/>
      <c r="U151" s="179"/>
      <c r="V151" s="179"/>
      <c r="W151" s="179"/>
      <c r="X151" s="179"/>
    </row>
    <row r="152" spans="1:24" ht="20" customHeight="1">
      <c r="A152" s="21" t="s">
        <v>1039</v>
      </c>
      <c r="B152" s="1"/>
      <c r="C152" s="22">
        <v>0.04</v>
      </c>
      <c r="D152" s="22">
        <v>3.5000000000000003E-2</v>
      </c>
      <c r="E152" s="22">
        <v>4.2000000000000003E-2</v>
      </c>
      <c r="F152" s="22">
        <v>3.1000000000000003E-2</v>
      </c>
      <c r="G152" s="22">
        <v>2.3E-2</v>
      </c>
      <c r="H152" s="22">
        <v>2.7000000000000003E-2</v>
      </c>
      <c r="I152" s="22">
        <v>5.4000000000000006E-2</v>
      </c>
      <c r="J152" s="22">
        <v>5.0999999999999997E-2</v>
      </c>
      <c r="K152" s="22">
        <v>5.5E-2</v>
      </c>
      <c r="L152" s="22">
        <v>5.2000000000000005E-2</v>
      </c>
      <c r="M152" s="24"/>
      <c r="N152" s="22"/>
      <c r="O152" s="22"/>
      <c r="P152" s="22"/>
      <c r="Q152" s="22"/>
      <c r="R152" s="22"/>
      <c r="S152" s="22"/>
      <c r="T152" s="22"/>
      <c r="U152" s="22"/>
      <c r="V152" s="22"/>
      <c r="W152" s="22"/>
      <c r="X152" s="22"/>
    </row>
    <row r="153" spans="1:24" ht="20" customHeight="1">
      <c r="A153" s="21" t="s">
        <v>1040</v>
      </c>
      <c r="B153" s="1"/>
      <c r="C153" s="22">
        <v>4.2999999999999997E-2</v>
      </c>
      <c r="D153" s="22">
        <v>0.04</v>
      </c>
      <c r="E153" s="22">
        <v>3.6000000000000004E-2</v>
      </c>
      <c r="F153" s="22">
        <v>4.2999999999999997E-2</v>
      </c>
      <c r="G153" s="22">
        <v>3.2000000000000001E-2</v>
      </c>
      <c r="H153" s="22">
        <v>2.3E-2</v>
      </c>
      <c r="I153" s="22">
        <v>2.7999999999999997E-2</v>
      </c>
      <c r="J153" s="22">
        <v>5.4000000000000006E-2</v>
      </c>
      <c r="K153" s="22">
        <v>5.0999999999999997E-2</v>
      </c>
      <c r="L153" s="22">
        <v>5.5999999999999994E-2</v>
      </c>
      <c r="M153" s="24"/>
      <c r="N153" s="22"/>
      <c r="O153" s="22"/>
      <c r="P153" s="22"/>
      <c r="Q153" s="22"/>
      <c r="R153" s="22"/>
      <c r="S153" s="22"/>
      <c r="T153" s="22"/>
      <c r="U153" s="22"/>
      <c r="V153" s="22"/>
      <c r="W153" s="22"/>
      <c r="X153" s="22"/>
    </row>
    <row r="154" spans="1:24" ht="20" customHeight="1">
      <c r="A154" s="21" t="s">
        <v>1041</v>
      </c>
      <c r="B154" s="1"/>
      <c r="C154" s="22">
        <v>3.3000000000000002E-2</v>
      </c>
      <c r="D154" s="22">
        <v>3.2000000000000001E-2</v>
      </c>
      <c r="E154" s="22">
        <v>0.03</v>
      </c>
      <c r="F154" s="22">
        <v>3.7999999999999999E-2</v>
      </c>
      <c r="G154" s="22">
        <v>2.6000000000000002E-2</v>
      </c>
      <c r="H154" s="22">
        <v>1.6E-2</v>
      </c>
      <c r="I154" s="22">
        <v>2.1000000000000001E-2</v>
      </c>
      <c r="J154" s="22">
        <v>5.2999999999999999E-2</v>
      </c>
      <c r="K154" s="22">
        <v>0.05</v>
      </c>
      <c r="L154" s="22">
        <v>5.2000000000000005E-2</v>
      </c>
      <c r="M154" s="24"/>
      <c r="N154" s="22"/>
      <c r="O154" s="22"/>
      <c r="P154" s="22"/>
      <c r="Q154" s="22"/>
      <c r="R154" s="22"/>
      <c r="S154" s="22"/>
      <c r="T154" s="22"/>
      <c r="U154" s="22"/>
      <c r="V154" s="22"/>
      <c r="W154" s="22"/>
      <c r="X154" s="22"/>
    </row>
    <row r="155" spans="1:24" ht="20" customHeight="1">
      <c r="A155" s="21" t="s">
        <v>1032</v>
      </c>
      <c r="B155" s="1"/>
      <c r="C155" s="22">
        <v>7.4999999999999997E-2</v>
      </c>
      <c r="D155" s="22">
        <v>7.4999999999999997E-2</v>
      </c>
      <c r="E155" s="22">
        <v>6.5000000000000002E-2</v>
      </c>
      <c r="F155" s="22">
        <v>6.6000000000000003E-2</v>
      </c>
      <c r="G155" s="22">
        <v>5.7999999999999996E-2</v>
      </c>
      <c r="H155" s="22">
        <v>5.4000000000000006E-2</v>
      </c>
      <c r="I155" s="22">
        <v>5.7000000000000002E-2</v>
      </c>
      <c r="J155" s="22">
        <v>7.0999999999999994E-2</v>
      </c>
      <c r="K155" s="22">
        <v>7.0999999999999994E-2</v>
      </c>
      <c r="L155" s="22">
        <v>7.0999999999999994E-2</v>
      </c>
      <c r="M155" s="24"/>
      <c r="N155" s="22"/>
      <c r="O155" s="22"/>
      <c r="P155" s="22"/>
      <c r="Q155" s="22"/>
      <c r="R155" s="22"/>
      <c r="S155" s="22"/>
      <c r="T155" s="22"/>
      <c r="U155" s="22"/>
      <c r="V155" s="22"/>
      <c r="W155" s="22"/>
      <c r="X155" s="22"/>
    </row>
    <row r="156" spans="1:24" ht="22" customHeight="1">
      <c r="A156" s="3" t="s">
        <v>1044</v>
      </c>
      <c r="B156" s="1"/>
      <c r="C156" s="25">
        <f>IF(COUNT('Pension &amp; Retiree Medical'!C134,'Pension &amp; Retiree Medical'!C125,'Pension &amp; Retiree Medical'!C135)=3,'Pension &amp; Retiree Medical'!C134-'Pension &amp; Retiree Medical'!C125-'Pension &amp; Retiree Medical'!C135,"")</f>
        <v>0</v>
      </c>
      <c r="D156" s="25">
        <f>IF(COUNT('Pension &amp; Retiree Medical'!D134,'Pension &amp; Retiree Medical'!D125,'Pension &amp; Retiree Medical'!D135)=3,'Pension &amp; Retiree Medical'!D134-'Pension &amp; Retiree Medical'!D125-'Pension &amp; Retiree Medical'!D135,"")</f>
        <v>0</v>
      </c>
      <c r="E156" s="25">
        <f>IF(COUNT('Pension &amp; Retiree Medical'!E134,'Pension &amp; Retiree Medical'!E125,'Pension &amp; Retiree Medical'!E135)=3,'Pension &amp; Retiree Medical'!E134-'Pension &amp; Retiree Medical'!E125-'Pension &amp; Retiree Medical'!E135,"")</f>
        <v>0</v>
      </c>
      <c r="F156" s="25">
        <f>IF(COUNT('Pension &amp; Retiree Medical'!F134,'Pension &amp; Retiree Medical'!F125,'Pension &amp; Retiree Medical'!F135)=3,'Pension &amp; Retiree Medical'!F134-'Pension &amp; Retiree Medical'!F125-'Pension &amp; Retiree Medical'!F135,"")</f>
        <v>0</v>
      </c>
      <c r="G156" s="25">
        <f>IF(COUNT('Pension &amp; Retiree Medical'!G134,'Pension &amp; Retiree Medical'!G125,'Pension &amp; Retiree Medical'!G135)=3,'Pension &amp; Retiree Medical'!G134-'Pension &amp; Retiree Medical'!G125-'Pension &amp; Retiree Medical'!G135,"")</f>
        <v>0</v>
      </c>
      <c r="H156" s="25">
        <f>IF(COUNT('Pension &amp; Retiree Medical'!H134,'Pension &amp; Retiree Medical'!H125,'Pension &amp; Retiree Medical'!H135)=3,'Pension &amp; Retiree Medical'!H134-'Pension &amp; Retiree Medical'!H125-'Pension &amp; Retiree Medical'!H135,"")</f>
        <v>0</v>
      </c>
      <c r="I156" s="25">
        <f>IF(COUNT('Pension &amp; Retiree Medical'!I134,'Pension &amp; Retiree Medical'!I125,'Pension &amp; Retiree Medical'!I135)=3,'Pension &amp; Retiree Medical'!I134-'Pension &amp; Retiree Medical'!I125-'Pension &amp; Retiree Medical'!I135,"")</f>
        <v>0</v>
      </c>
      <c r="J156" s="25">
        <f>IF(COUNT('Pension &amp; Retiree Medical'!J134,'Pension &amp; Retiree Medical'!J125,'Pension &amp; Retiree Medical'!J135)=3,'Pension &amp; Retiree Medical'!J134-'Pension &amp; Retiree Medical'!J125-'Pension &amp; Retiree Medical'!J135,"")</f>
        <v>0</v>
      </c>
      <c r="K156" s="25">
        <f>IF(COUNT('Pension &amp; Retiree Medical'!K134,'Pension &amp; Retiree Medical'!K125,'Pension &amp; Retiree Medical'!K135)=3,'Pension &amp; Retiree Medical'!K134-'Pension &amp; Retiree Medical'!K125-'Pension &amp; Retiree Medical'!K135,"")</f>
        <v>0</v>
      </c>
      <c r="L156" s="25">
        <f>IF(COUNT('Pension &amp; Retiree Medical'!L134,'Pension &amp; Retiree Medical'!L125,'Pension &amp; Retiree Medical'!L135)=3,'Pension &amp; Retiree Medical'!L134-'Pension &amp; Retiree Medical'!L125-'Pension &amp; Retiree Medical'!L135,"")</f>
        <v>0</v>
      </c>
      <c r="M156" s="27"/>
      <c r="N156" s="25" t="str">
        <f>IF(COUNT('Pension &amp; Retiree Medical'!N134,'Pension &amp; Retiree Medical'!N125,'Pension &amp; Retiree Medical'!N135)=3,'Pension &amp; Retiree Medical'!N134-'Pension &amp; Retiree Medical'!N125-'Pension &amp; Retiree Medical'!N135,"")</f>
        <v/>
      </c>
      <c r="O156" s="25" t="str">
        <f>IF(COUNT('Pension &amp; Retiree Medical'!O134,'Pension &amp; Retiree Medical'!O125,'Pension &amp; Retiree Medical'!O135)=3,'Pension &amp; Retiree Medical'!O134-'Pension &amp; Retiree Medical'!O125-'Pension &amp; Retiree Medical'!O135,"")</f>
        <v/>
      </c>
      <c r="P156" s="25" t="str">
        <f>IF(COUNT('Pension &amp; Retiree Medical'!P134,'Pension &amp; Retiree Medical'!P125,'Pension &amp; Retiree Medical'!P135)=3,'Pension &amp; Retiree Medical'!P134-'Pension &amp; Retiree Medical'!P125-'Pension &amp; Retiree Medical'!P135,"")</f>
        <v/>
      </c>
      <c r="Q156" s="25" t="str">
        <f>IF(COUNT('Pension &amp; Retiree Medical'!Q134,'Pension &amp; Retiree Medical'!Q125,'Pension &amp; Retiree Medical'!Q135)=3,'Pension &amp; Retiree Medical'!Q134-'Pension &amp; Retiree Medical'!Q125-'Pension &amp; Retiree Medical'!Q135,"")</f>
        <v/>
      </c>
      <c r="R156" s="25" t="str">
        <f>IF(COUNT('Pension &amp; Retiree Medical'!R134,'Pension &amp; Retiree Medical'!R125,'Pension &amp; Retiree Medical'!R135)=3,'Pension &amp; Retiree Medical'!R134-'Pension &amp; Retiree Medical'!R125-'Pension &amp; Retiree Medical'!R135,"")</f>
        <v/>
      </c>
      <c r="S156" s="25" t="str">
        <f>IF(COUNT('Pension &amp; Retiree Medical'!S134,'Pension &amp; Retiree Medical'!S125,'Pension &amp; Retiree Medical'!S135)=3,'Pension &amp; Retiree Medical'!S134-'Pension &amp; Retiree Medical'!S125-'Pension &amp; Retiree Medical'!S135,"")</f>
        <v/>
      </c>
      <c r="T156" s="25" t="str">
        <f>IF(COUNT('Pension &amp; Retiree Medical'!T134,'Pension &amp; Retiree Medical'!T125,'Pension &amp; Retiree Medical'!T135)=3,'Pension &amp; Retiree Medical'!T134-'Pension &amp; Retiree Medical'!T125-'Pension &amp; Retiree Medical'!T135,"")</f>
        <v/>
      </c>
      <c r="U156" s="25" t="str">
        <f>IF(COUNT('Pension &amp; Retiree Medical'!U134,'Pension &amp; Retiree Medical'!U125,'Pension &amp; Retiree Medical'!U135)=3,'Pension &amp; Retiree Medical'!U134-'Pension &amp; Retiree Medical'!U125-'Pension &amp; Retiree Medical'!U135,"")</f>
        <v/>
      </c>
      <c r="V156" s="25" t="str">
        <f>IF(COUNT('Pension &amp; Retiree Medical'!V134,'Pension &amp; Retiree Medical'!V125,'Pension &amp; Retiree Medical'!V135)=3,'Pension &amp; Retiree Medical'!V134-'Pension &amp; Retiree Medical'!V125-'Pension &amp; Retiree Medical'!V135,"")</f>
        <v/>
      </c>
      <c r="W156" s="25" t="str">
        <f>IF(COUNT('Pension &amp; Retiree Medical'!W134,'Pension &amp; Retiree Medical'!W125,'Pension &amp; Retiree Medical'!W135)=3,'Pension &amp; Retiree Medical'!W134-'Pension &amp; Retiree Medical'!W125-'Pension &amp; Retiree Medical'!W135,"")</f>
        <v/>
      </c>
      <c r="X156" s="25" t="str">
        <f>IF(COUNT('Pension &amp; Retiree Medical'!X134,'Pension &amp; Retiree Medical'!X125,'Pension &amp; Retiree Medical'!X135)=3,'Pension &amp; Retiree Medical'!X134-'Pension &amp; Retiree Medical'!X125-'Pension &amp; Retiree Medical'!X135,"")</f>
        <v/>
      </c>
    </row>
    <row r="157" spans="1:24" ht="22" customHeight="1">
      <c r="A157" s="3" t="s">
        <v>1045</v>
      </c>
      <c r="B157" s="1"/>
      <c r="C157" s="25">
        <f>IF(COUNT('Pension &amp; Retiree Medical'!C140,'Pension &amp; Retiree Medical'!C135)=2,'Pension &amp; Retiree Medical'!C140-'Pension &amp; Retiree Medical'!C135,"")</f>
        <v>0</v>
      </c>
      <c r="D157" s="25">
        <f>IF(COUNT('Pension &amp; Retiree Medical'!D140,'Pension &amp; Retiree Medical'!D135)=2,'Pension &amp; Retiree Medical'!D140-'Pension &amp; Retiree Medical'!D135,"")</f>
        <v>0</v>
      </c>
      <c r="E157" s="25">
        <f>IF(COUNT('Pension &amp; Retiree Medical'!E140,'Pension &amp; Retiree Medical'!E135)=2,'Pension &amp; Retiree Medical'!E140-'Pension &amp; Retiree Medical'!E135,"")</f>
        <v>0</v>
      </c>
      <c r="F157" s="25">
        <f>IF(COUNT('Pension &amp; Retiree Medical'!F140,'Pension &amp; Retiree Medical'!F135)=2,'Pension &amp; Retiree Medical'!F140-'Pension &amp; Retiree Medical'!F135,"")</f>
        <v>0</v>
      </c>
      <c r="G157" s="25">
        <f>IF(COUNT('Pension &amp; Retiree Medical'!G140,'Pension &amp; Retiree Medical'!G135)=2,'Pension &amp; Retiree Medical'!G140-'Pension &amp; Retiree Medical'!G135,"")</f>
        <v>0</v>
      </c>
      <c r="H157" s="25">
        <f>IF(COUNT('Pension &amp; Retiree Medical'!H140,'Pension &amp; Retiree Medical'!H135)=2,'Pension &amp; Retiree Medical'!H140-'Pension &amp; Retiree Medical'!H135,"")</f>
        <v>0</v>
      </c>
      <c r="I157" s="25">
        <f>IF(COUNT('Pension &amp; Retiree Medical'!I140,'Pension &amp; Retiree Medical'!I135)=2,'Pension &amp; Retiree Medical'!I140-'Pension &amp; Retiree Medical'!I135,"")</f>
        <v>0</v>
      </c>
      <c r="J157" s="25">
        <f>IF(COUNT('Pension &amp; Retiree Medical'!J140,'Pension &amp; Retiree Medical'!J135)=2,'Pension &amp; Retiree Medical'!J140-'Pension &amp; Retiree Medical'!J135,"")</f>
        <v>0</v>
      </c>
      <c r="K157" s="25">
        <f>IF(COUNT('Pension &amp; Retiree Medical'!K140,'Pension &amp; Retiree Medical'!K135)=2,'Pension &amp; Retiree Medical'!K140-'Pension &amp; Retiree Medical'!K135,"")</f>
        <v>0</v>
      </c>
      <c r="L157" s="25">
        <f>IF(COUNT('Pension &amp; Retiree Medical'!L140,'Pension &amp; Retiree Medical'!L135)=2,'Pension &amp; Retiree Medical'!L140-'Pension &amp; Retiree Medical'!L135,"")</f>
        <v>0</v>
      </c>
      <c r="M157" s="27"/>
      <c r="N157" s="25" t="str">
        <f>IF(COUNT('Pension &amp; Retiree Medical'!N140,'Pension &amp; Retiree Medical'!N135)=2,'Pension &amp; Retiree Medical'!N140-'Pension &amp; Retiree Medical'!N135,"")</f>
        <v/>
      </c>
      <c r="O157" s="25" t="str">
        <f>IF(COUNT('Pension &amp; Retiree Medical'!O140,'Pension &amp; Retiree Medical'!O135)=2,'Pension &amp; Retiree Medical'!O140-'Pension &amp; Retiree Medical'!O135,"")</f>
        <v/>
      </c>
      <c r="P157" s="25" t="str">
        <f>IF(COUNT('Pension &amp; Retiree Medical'!P140,'Pension &amp; Retiree Medical'!P135)=2,'Pension &amp; Retiree Medical'!P140-'Pension &amp; Retiree Medical'!P135,"")</f>
        <v/>
      </c>
      <c r="Q157" s="25" t="str">
        <f>IF(COUNT('Pension &amp; Retiree Medical'!Q140,'Pension &amp; Retiree Medical'!Q135)=2,'Pension &amp; Retiree Medical'!Q140-'Pension &amp; Retiree Medical'!Q135,"")</f>
        <v/>
      </c>
      <c r="R157" s="25" t="str">
        <f>IF(COUNT('Pension &amp; Retiree Medical'!R140,'Pension &amp; Retiree Medical'!R135)=2,'Pension &amp; Retiree Medical'!R140-'Pension &amp; Retiree Medical'!R135,"")</f>
        <v/>
      </c>
      <c r="S157" s="25" t="str">
        <f>IF(COUNT('Pension &amp; Retiree Medical'!S140,'Pension &amp; Retiree Medical'!S135)=2,'Pension &amp; Retiree Medical'!S140-'Pension &amp; Retiree Medical'!S135,"")</f>
        <v/>
      </c>
      <c r="T157" s="25" t="str">
        <f>IF(COUNT('Pension &amp; Retiree Medical'!T140,'Pension &amp; Retiree Medical'!T135)=2,'Pension &amp; Retiree Medical'!T140-'Pension &amp; Retiree Medical'!T135,"")</f>
        <v/>
      </c>
      <c r="U157" s="25" t="str">
        <f>IF(COUNT('Pension &amp; Retiree Medical'!U140,'Pension &amp; Retiree Medical'!U135)=2,'Pension &amp; Retiree Medical'!U140-'Pension &amp; Retiree Medical'!U135,"")</f>
        <v/>
      </c>
      <c r="V157" s="25" t="str">
        <f>IF(COUNT('Pension &amp; Retiree Medical'!V140,'Pension &amp; Retiree Medical'!V135)=2,'Pension &amp; Retiree Medical'!V140-'Pension &amp; Retiree Medical'!V135,"")</f>
        <v/>
      </c>
      <c r="W157" s="25" t="str">
        <f>IF(COUNT('Pension &amp; Retiree Medical'!W140,'Pension &amp; Retiree Medical'!W135)=2,'Pension &amp; Retiree Medical'!W140-'Pension &amp; Retiree Medical'!W135,"")</f>
        <v/>
      </c>
      <c r="X157" s="25" t="str">
        <f>IF(COUNT('Pension &amp; Retiree Medical'!X140,'Pension &amp; Retiree Medical'!X135)=2,'Pension &amp; Retiree Medical'!X140-'Pension &amp; Retiree Medical'!X135,"")</f>
        <v/>
      </c>
    </row>
    <row r="158" spans="1:24" ht="36" customHeight="1">
      <c r="A158" s="3" t="s">
        <v>1046</v>
      </c>
      <c r="B158" s="1"/>
      <c r="C158" s="25">
        <f>IF(COUNT('Pension &amp; Retiree Medical'!C147,'Pension &amp; Retiree Medical'!C116,'Pension &amp; Retiree Medical'!C150)=3,'Pension &amp; Retiree Medical'!C147-'Pension &amp; Retiree Medical'!C116-'Pension &amp; Retiree Medical'!C150,"")</f>
        <v>0</v>
      </c>
      <c r="D158" s="25">
        <f>IF(COUNT('Pension &amp; Retiree Medical'!D147,'Pension &amp; Retiree Medical'!D116,'Pension &amp; Retiree Medical'!D150)=3,'Pension &amp; Retiree Medical'!D147-'Pension &amp; Retiree Medical'!D116-'Pension &amp; Retiree Medical'!D150,"")</f>
        <v>0</v>
      </c>
      <c r="E158" s="25">
        <f>IF(COUNT('Pension &amp; Retiree Medical'!E147,'Pension &amp; Retiree Medical'!E116,'Pension &amp; Retiree Medical'!E150)=3,'Pension &amp; Retiree Medical'!E147-'Pension &amp; Retiree Medical'!E116-'Pension &amp; Retiree Medical'!E150,"")</f>
        <v>0</v>
      </c>
      <c r="F158" s="25">
        <f>IF(COUNT('Pension &amp; Retiree Medical'!F147,'Pension &amp; Retiree Medical'!F116,'Pension &amp; Retiree Medical'!F150)=3,'Pension &amp; Retiree Medical'!F147-'Pension &amp; Retiree Medical'!F116-'Pension &amp; Retiree Medical'!F150,"")</f>
        <v>0</v>
      </c>
      <c r="G158" s="25">
        <f>IF(COUNT('Pension &amp; Retiree Medical'!G147,'Pension &amp; Retiree Medical'!G116,'Pension &amp; Retiree Medical'!G150)=3,'Pension &amp; Retiree Medical'!G147-'Pension &amp; Retiree Medical'!G116-'Pension &amp; Retiree Medical'!G150,"")</f>
        <v>0</v>
      </c>
      <c r="H158" s="25">
        <f>IF(COUNT('Pension &amp; Retiree Medical'!H147,'Pension &amp; Retiree Medical'!H116,'Pension &amp; Retiree Medical'!H150)=3,'Pension &amp; Retiree Medical'!H147-'Pension &amp; Retiree Medical'!H116-'Pension &amp; Retiree Medical'!H150,"")</f>
        <v>0</v>
      </c>
      <c r="I158" s="25">
        <f>IF(COUNT('Pension &amp; Retiree Medical'!I147,'Pension &amp; Retiree Medical'!I116,'Pension &amp; Retiree Medical'!I150)=3,'Pension &amp; Retiree Medical'!I147-'Pension &amp; Retiree Medical'!I116-'Pension &amp; Retiree Medical'!I150,"")</f>
        <v>0</v>
      </c>
      <c r="J158" s="25">
        <f>IF(COUNT('Pension &amp; Retiree Medical'!J147,'Pension &amp; Retiree Medical'!J116,'Pension &amp; Retiree Medical'!J150)=3,'Pension &amp; Retiree Medical'!J147-'Pension &amp; Retiree Medical'!J116-'Pension &amp; Retiree Medical'!J150,"")</f>
        <v>0</v>
      </c>
      <c r="K158" s="25">
        <f>IF(COUNT('Pension &amp; Retiree Medical'!K147,'Pension &amp; Retiree Medical'!K116,'Pension &amp; Retiree Medical'!K150)=3,'Pension &amp; Retiree Medical'!K147-'Pension &amp; Retiree Medical'!K116-'Pension &amp; Retiree Medical'!K150,"")</f>
        <v>0</v>
      </c>
      <c r="L158" s="25">
        <f>IF(COUNT('Pension &amp; Retiree Medical'!L147,'Pension &amp; Retiree Medical'!L116,'Pension &amp; Retiree Medical'!L150)=3,'Pension &amp; Retiree Medical'!L147-'Pension &amp; Retiree Medical'!L116-'Pension &amp; Retiree Medical'!L150,"")</f>
        <v>0</v>
      </c>
      <c r="M158" s="27"/>
      <c r="N158" s="25" t="str">
        <f>IF(COUNT('Pension &amp; Retiree Medical'!N147,'Pension &amp; Retiree Medical'!N116,'Pension &amp; Retiree Medical'!N150)=3,'Pension &amp; Retiree Medical'!N147-'Pension &amp; Retiree Medical'!N116-'Pension &amp; Retiree Medical'!N150,"")</f>
        <v/>
      </c>
      <c r="O158" s="25" t="str">
        <f>IF(COUNT('Pension &amp; Retiree Medical'!O147,'Pension &amp; Retiree Medical'!O116,'Pension &amp; Retiree Medical'!O150)=3,'Pension &amp; Retiree Medical'!O147-'Pension &amp; Retiree Medical'!O116-'Pension &amp; Retiree Medical'!O150,"")</f>
        <v/>
      </c>
      <c r="P158" s="25" t="str">
        <f>IF(COUNT('Pension &amp; Retiree Medical'!P147,'Pension &amp; Retiree Medical'!P116,'Pension &amp; Retiree Medical'!P150)=3,'Pension &amp; Retiree Medical'!P147-'Pension &amp; Retiree Medical'!P116-'Pension &amp; Retiree Medical'!P150,"")</f>
        <v/>
      </c>
      <c r="Q158" s="25" t="str">
        <f>IF(COUNT('Pension &amp; Retiree Medical'!Q147,'Pension &amp; Retiree Medical'!Q116,'Pension &amp; Retiree Medical'!Q150)=3,'Pension &amp; Retiree Medical'!Q147-'Pension &amp; Retiree Medical'!Q116-'Pension &amp; Retiree Medical'!Q150,"")</f>
        <v/>
      </c>
      <c r="R158" s="25" t="str">
        <f>IF(COUNT('Pension &amp; Retiree Medical'!R147,'Pension &amp; Retiree Medical'!R116,'Pension &amp; Retiree Medical'!R150)=3,'Pension &amp; Retiree Medical'!R147-'Pension &amp; Retiree Medical'!R116-'Pension &amp; Retiree Medical'!R150,"")</f>
        <v/>
      </c>
      <c r="S158" s="25" t="str">
        <f>IF(COUNT('Pension &amp; Retiree Medical'!S147,'Pension &amp; Retiree Medical'!S116,'Pension &amp; Retiree Medical'!S150)=3,'Pension &amp; Retiree Medical'!S147-'Pension &amp; Retiree Medical'!S116-'Pension &amp; Retiree Medical'!S150,"")</f>
        <v/>
      </c>
      <c r="T158" s="25" t="str">
        <f>IF(COUNT('Pension &amp; Retiree Medical'!T147,'Pension &amp; Retiree Medical'!T116,'Pension &amp; Retiree Medical'!T150)=3,'Pension &amp; Retiree Medical'!T147-'Pension &amp; Retiree Medical'!T116-'Pension &amp; Retiree Medical'!T150,"")</f>
        <v/>
      </c>
      <c r="U158" s="25" t="str">
        <f>IF(COUNT('Pension &amp; Retiree Medical'!U147,'Pension &amp; Retiree Medical'!U116,'Pension &amp; Retiree Medical'!U150)=3,'Pension &amp; Retiree Medical'!U147-'Pension &amp; Retiree Medical'!U116-'Pension &amp; Retiree Medical'!U150,"")</f>
        <v/>
      </c>
      <c r="V158" s="25" t="str">
        <f>IF(COUNT('Pension &amp; Retiree Medical'!V147,'Pension &amp; Retiree Medical'!V116,'Pension &amp; Retiree Medical'!V150)=3,'Pension &amp; Retiree Medical'!V147-'Pension &amp; Retiree Medical'!V116-'Pension &amp; Retiree Medical'!V150,"")</f>
        <v/>
      </c>
      <c r="W158" s="25" t="str">
        <f>IF(COUNT('Pension &amp; Retiree Medical'!W147,'Pension &amp; Retiree Medical'!W116,'Pension &amp; Retiree Medical'!W150)=3,'Pension &amp; Retiree Medical'!W147-'Pension &amp; Retiree Medical'!W116-'Pension &amp; Retiree Medical'!W150,"")</f>
        <v/>
      </c>
      <c r="X158" s="25" t="str">
        <f>IF(COUNT('Pension &amp; Retiree Medical'!X147,'Pension &amp; Retiree Medical'!X116,'Pension &amp; Retiree Medical'!X150)=3,'Pension &amp; Retiree Medical'!X147-'Pension &amp; Retiree Medical'!X116-'Pension &amp; Retiree Medical'!X150,"")</f>
        <v/>
      </c>
    </row>
    <row r="159" spans="1:24" ht="22" customHeight="1">
      <c r="A159" s="3"/>
      <c r="B159" s="1"/>
      <c r="C159" s="2"/>
      <c r="D159" s="2"/>
      <c r="E159" s="2"/>
      <c r="F159" s="2"/>
      <c r="G159" s="2"/>
      <c r="H159" s="2"/>
      <c r="I159" s="2"/>
      <c r="J159" s="2"/>
      <c r="K159" s="2"/>
      <c r="L159" s="2"/>
      <c r="M159" s="2"/>
      <c r="N159" s="2"/>
      <c r="O159" s="2"/>
      <c r="P159" s="2"/>
      <c r="Q159" s="2"/>
      <c r="R159" s="2"/>
      <c r="S159" s="2"/>
      <c r="T159" s="2"/>
      <c r="U159" s="2"/>
      <c r="V159" s="2"/>
      <c r="W159" s="2"/>
      <c r="X159" s="2"/>
    </row>
    <row r="160" spans="1:24" ht="22" customHeight="1">
      <c r="A160" s="174" t="s">
        <v>1006</v>
      </c>
      <c r="B160" s="174"/>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row>
    <row r="161" spans="1:24" ht="18" customHeight="1">
      <c r="A161" s="163" t="s">
        <v>1047</v>
      </c>
      <c r="B161" s="16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row>
    <row r="162" spans="1:24" ht="24" customHeight="1">
      <c r="A162" s="177" t="s">
        <v>1048</v>
      </c>
      <c r="B162" s="178"/>
      <c r="C162" s="179"/>
      <c r="D162" s="179"/>
      <c r="E162" s="179"/>
      <c r="F162" s="179"/>
      <c r="G162" s="179"/>
      <c r="H162" s="179"/>
      <c r="I162" s="179"/>
      <c r="J162" s="179"/>
      <c r="K162" s="179"/>
      <c r="L162" s="179"/>
      <c r="M162" s="12"/>
      <c r="N162" s="179"/>
      <c r="O162" s="179"/>
      <c r="P162" s="179"/>
      <c r="Q162" s="179"/>
      <c r="R162" s="179"/>
      <c r="S162" s="179"/>
      <c r="T162" s="179"/>
      <c r="U162" s="179"/>
      <c r="V162" s="179"/>
      <c r="W162" s="179"/>
      <c r="X162" s="179"/>
    </row>
    <row r="163" spans="1:24" ht="22" customHeight="1">
      <c r="A163" s="3" t="s">
        <v>1010</v>
      </c>
      <c r="B163" s="1"/>
      <c r="C163" s="14"/>
      <c r="D163" s="14"/>
      <c r="E163" s="14"/>
      <c r="F163" s="14"/>
      <c r="G163" s="14"/>
      <c r="H163" s="14"/>
      <c r="I163" s="14"/>
      <c r="J163" s="14"/>
      <c r="K163" s="14"/>
      <c r="L163" s="14"/>
      <c r="M163" s="15"/>
      <c r="N163" s="14"/>
      <c r="O163" s="14">
        <v>160</v>
      </c>
      <c r="P163" s="14">
        <v>240</v>
      </c>
      <c r="Q163" s="14"/>
      <c r="R163" s="14"/>
      <c r="S163" s="14">
        <v>145</v>
      </c>
      <c r="T163" s="14">
        <v>216</v>
      </c>
      <c r="U163" s="14"/>
      <c r="V163" s="14"/>
      <c r="W163" s="14">
        <v>108</v>
      </c>
      <c r="X163" s="14">
        <v>163</v>
      </c>
    </row>
    <row r="164" spans="1:24" ht="22" customHeight="1">
      <c r="A164" s="3" t="s">
        <v>1011</v>
      </c>
      <c r="B164" s="1"/>
      <c r="C164" s="14"/>
      <c r="D164" s="14"/>
      <c r="E164" s="14"/>
      <c r="F164" s="14"/>
      <c r="G164" s="14"/>
      <c r="H164" s="14"/>
      <c r="I164" s="14"/>
      <c r="J164" s="14"/>
      <c r="K164" s="14"/>
      <c r="L164" s="14"/>
      <c r="M164" s="15"/>
      <c r="N164" s="14"/>
      <c r="O164" s="14">
        <v>270</v>
      </c>
      <c r="P164" s="14">
        <v>405</v>
      </c>
      <c r="Q164" s="14"/>
      <c r="R164" s="14"/>
      <c r="S164" s="14">
        <v>270</v>
      </c>
      <c r="T164" s="14">
        <v>406</v>
      </c>
      <c r="U164" s="14"/>
      <c r="V164" s="14"/>
      <c r="W164" s="14"/>
      <c r="X164" s="14"/>
    </row>
    <row r="165" spans="1:24" ht="22" customHeight="1">
      <c r="A165" s="3" t="s">
        <v>1032</v>
      </c>
      <c r="B165" s="1"/>
      <c r="C165" s="14"/>
      <c r="D165" s="14"/>
      <c r="E165" s="14"/>
      <c r="F165" s="14"/>
      <c r="G165" s="14"/>
      <c r="H165" s="14"/>
      <c r="I165" s="14"/>
      <c r="J165" s="14"/>
      <c r="K165" s="14"/>
      <c r="L165" s="14"/>
      <c r="M165" s="15"/>
      <c r="N165" s="14"/>
      <c r="O165" s="14">
        <v>-403</v>
      </c>
      <c r="P165" s="14">
        <v>-604</v>
      </c>
      <c r="Q165" s="14"/>
      <c r="R165" s="14"/>
      <c r="S165" s="14">
        <v>-372</v>
      </c>
      <c r="T165" s="14">
        <v>-558</v>
      </c>
      <c r="U165" s="14"/>
      <c r="V165" s="14"/>
      <c r="W165" s="14"/>
      <c r="X165" s="14"/>
    </row>
    <row r="166" spans="1:24" ht="22" customHeight="1">
      <c r="A166" s="3" t="s">
        <v>1049</v>
      </c>
      <c r="B166" s="1"/>
      <c r="C166" s="14"/>
      <c r="D166" s="14"/>
      <c r="E166" s="14"/>
      <c r="F166" s="14"/>
      <c r="G166" s="14"/>
      <c r="H166" s="14"/>
      <c r="I166" s="14"/>
      <c r="J166" s="14"/>
      <c r="K166" s="14"/>
      <c r="L166" s="14"/>
      <c r="M166" s="15"/>
      <c r="N166" s="14"/>
      <c r="O166" s="14">
        <v>-11</v>
      </c>
      <c r="P166" s="14">
        <v>-17</v>
      </c>
      <c r="Q166" s="14"/>
      <c r="R166" s="14"/>
      <c r="S166" s="14"/>
      <c r="T166" s="14"/>
      <c r="U166" s="14"/>
      <c r="V166" s="14"/>
      <c r="W166" s="14"/>
      <c r="X166" s="14"/>
    </row>
    <row r="167" spans="1:24" ht="22" customHeight="1">
      <c r="A167" s="3" t="s">
        <v>1034</v>
      </c>
      <c r="B167" s="1"/>
      <c r="C167" s="14"/>
      <c r="D167" s="14"/>
      <c r="E167" s="14"/>
      <c r="F167" s="14"/>
      <c r="G167" s="14"/>
      <c r="H167" s="14"/>
      <c r="I167" s="14"/>
      <c r="J167" s="14"/>
      <c r="K167" s="14"/>
      <c r="L167" s="14"/>
      <c r="M167" s="15"/>
      <c r="N167" s="14"/>
      <c r="O167" s="14">
        <v>36</v>
      </c>
      <c r="P167" s="14">
        <v>53</v>
      </c>
      <c r="Q167" s="14"/>
      <c r="R167" s="14"/>
      <c r="S167" s="14">
        <v>39</v>
      </c>
      <c r="T167" s="14">
        <v>58</v>
      </c>
      <c r="U167" s="14"/>
      <c r="V167" s="14"/>
      <c r="W167" s="14"/>
      <c r="X167" s="14"/>
    </row>
    <row r="168" spans="1:24" ht="22" customHeight="1">
      <c r="A168" s="3" t="s">
        <v>1050</v>
      </c>
      <c r="B168" s="1"/>
      <c r="C168" s="14"/>
      <c r="D168" s="14"/>
      <c r="E168" s="14"/>
      <c r="F168" s="14"/>
      <c r="G168" s="14"/>
      <c r="H168" s="14"/>
      <c r="I168" s="14"/>
      <c r="J168" s="14"/>
      <c r="K168" s="14"/>
      <c r="L168" s="14"/>
      <c r="M168" s="15"/>
      <c r="N168" s="14"/>
      <c r="O168" s="14">
        <v>0</v>
      </c>
      <c r="P168" s="14">
        <v>8</v>
      </c>
      <c r="Q168" s="14"/>
      <c r="R168" s="14"/>
      <c r="S168" s="14"/>
      <c r="T168" s="14"/>
      <c r="U168" s="14"/>
      <c r="V168" s="14"/>
      <c r="W168" s="14"/>
      <c r="X168" s="14"/>
    </row>
    <row r="169" spans="1:24" ht="22" customHeight="1">
      <c r="A169" s="3" t="s">
        <v>1017</v>
      </c>
      <c r="B169" s="1"/>
      <c r="C169" s="14"/>
      <c r="D169" s="14"/>
      <c r="E169" s="14"/>
      <c r="F169" s="14"/>
      <c r="G169" s="14"/>
      <c r="H169" s="14"/>
      <c r="I169" s="14"/>
      <c r="J169" s="14"/>
      <c r="K169" s="14"/>
      <c r="L169" s="14"/>
      <c r="M169" s="15"/>
      <c r="N169" s="14"/>
      <c r="O169" s="14">
        <v>15</v>
      </c>
      <c r="P169" s="14">
        <v>23</v>
      </c>
      <c r="Q169" s="14"/>
      <c r="R169" s="14"/>
      <c r="S169" s="14">
        <v>14</v>
      </c>
      <c r="T169" s="14">
        <v>13</v>
      </c>
      <c r="U169" s="14"/>
      <c r="V169" s="14"/>
      <c r="W169" s="14"/>
      <c r="X169" s="14"/>
    </row>
    <row r="170" spans="1:24" ht="24" customHeight="1">
      <c r="A170" s="16" t="s">
        <v>1051</v>
      </c>
      <c r="B170" s="17"/>
      <c r="C170" s="18"/>
      <c r="D170" s="18"/>
      <c r="E170" s="18"/>
      <c r="F170" s="18"/>
      <c r="G170" s="18"/>
      <c r="H170" s="18"/>
      <c r="I170" s="18"/>
      <c r="J170" s="18"/>
      <c r="K170" s="18"/>
      <c r="L170" s="18"/>
      <c r="M170" s="20"/>
      <c r="N170" s="18"/>
      <c r="O170" s="18">
        <v>-93</v>
      </c>
      <c r="P170" s="18">
        <v>-132</v>
      </c>
      <c r="Q170" s="18"/>
      <c r="R170" s="18"/>
      <c r="S170" s="18">
        <v>-48</v>
      </c>
      <c r="T170" s="18">
        <v>-74</v>
      </c>
      <c r="U170" s="18"/>
      <c r="V170" s="18"/>
      <c r="W170" s="18"/>
      <c r="X170" s="18"/>
    </row>
    <row r="171" spans="1:24" ht="24" customHeight="1">
      <c r="A171" s="16" t="s">
        <v>198</v>
      </c>
      <c r="B171" s="17"/>
      <c r="C171" s="18"/>
      <c r="D171" s="18"/>
      <c r="E171" s="18"/>
      <c r="F171" s="18"/>
      <c r="G171" s="18"/>
      <c r="H171" s="18"/>
      <c r="I171" s="18"/>
      <c r="J171" s="18"/>
      <c r="K171" s="18"/>
      <c r="L171" s="18"/>
      <c r="M171" s="20"/>
      <c r="N171" s="18"/>
      <c r="O171" s="18">
        <v>67</v>
      </c>
      <c r="P171" s="18">
        <v>108</v>
      </c>
      <c r="Q171" s="18"/>
      <c r="R171" s="18"/>
      <c r="S171" s="18">
        <v>97</v>
      </c>
      <c r="T171" s="18">
        <v>142</v>
      </c>
      <c r="U171" s="18"/>
      <c r="V171" s="18"/>
      <c r="W171" s="18"/>
      <c r="X171" s="18"/>
    </row>
    <row r="172" spans="1:24" ht="22" customHeight="1">
      <c r="A172" s="3" t="s">
        <v>1033</v>
      </c>
      <c r="B172" s="1"/>
      <c r="C172" s="14"/>
      <c r="D172" s="14"/>
      <c r="E172" s="14"/>
      <c r="F172" s="14"/>
      <c r="G172" s="14"/>
      <c r="H172" s="14"/>
      <c r="I172" s="14"/>
      <c r="J172" s="14"/>
      <c r="K172" s="14"/>
      <c r="L172" s="14"/>
      <c r="M172" s="15"/>
      <c r="N172" s="14"/>
      <c r="O172" s="14">
        <v>-11</v>
      </c>
      <c r="P172" s="14">
        <v>-17</v>
      </c>
      <c r="Q172" s="14"/>
      <c r="R172" s="14"/>
      <c r="S172" s="14">
        <v>1</v>
      </c>
      <c r="T172" s="14">
        <v>2</v>
      </c>
      <c r="U172" s="14"/>
      <c r="V172" s="14"/>
      <c r="W172" s="14"/>
      <c r="X172" s="14"/>
    </row>
    <row r="173" spans="1:24" ht="22" customHeight="1">
      <c r="A173" s="3" t="s">
        <v>1052</v>
      </c>
      <c r="B173" s="1"/>
      <c r="C173" s="14"/>
      <c r="D173" s="14"/>
      <c r="E173" s="14"/>
      <c r="F173" s="14"/>
      <c r="G173" s="14"/>
      <c r="H173" s="14"/>
      <c r="I173" s="14"/>
      <c r="J173" s="14"/>
      <c r="K173" s="14"/>
      <c r="L173" s="14"/>
      <c r="M173" s="15"/>
      <c r="N173" s="14"/>
      <c r="O173" s="14">
        <v>0</v>
      </c>
      <c r="P173" s="14"/>
      <c r="Q173" s="14"/>
      <c r="R173" s="14"/>
      <c r="S173" s="14">
        <v>0</v>
      </c>
      <c r="T173" s="14"/>
      <c r="U173" s="14"/>
      <c r="V173" s="14"/>
      <c r="W173" s="14"/>
      <c r="X173" s="14"/>
    </row>
    <row r="174" spans="1:24" ht="22" customHeight="1">
      <c r="A174" s="3" t="s">
        <v>1053</v>
      </c>
      <c r="B174" s="1"/>
      <c r="C174" s="14"/>
      <c r="D174" s="14"/>
      <c r="E174" s="14"/>
      <c r="F174" s="14"/>
      <c r="G174" s="14"/>
      <c r="H174" s="14"/>
      <c r="I174" s="14"/>
      <c r="J174" s="14"/>
      <c r="K174" s="14"/>
      <c r="L174" s="14"/>
      <c r="M174" s="15"/>
      <c r="N174" s="14"/>
      <c r="O174" s="14"/>
      <c r="P174" s="14">
        <v>8</v>
      </c>
      <c r="Q174" s="14"/>
      <c r="R174" s="14"/>
      <c r="S174" s="14"/>
      <c r="T174" s="14">
        <v>5</v>
      </c>
      <c r="U174" s="14"/>
      <c r="V174" s="14"/>
      <c r="W174" s="14"/>
      <c r="X174" s="14"/>
    </row>
    <row r="175" spans="1:24" ht="22" customHeight="1">
      <c r="A175" s="3" t="s">
        <v>1011</v>
      </c>
      <c r="B175" s="1"/>
      <c r="C175" s="14"/>
      <c r="D175" s="14"/>
      <c r="E175" s="14"/>
      <c r="F175" s="14"/>
      <c r="G175" s="14"/>
      <c r="H175" s="14"/>
      <c r="I175" s="14"/>
      <c r="J175" s="14"/>
      <c r="K175" s="14"/>
      <c r="L175" s="14"/>
      <c r="M175" s="15"/>
      <c r="N175" s="14"/>
      <c r="O175" s="14"/>
      <c r="P175" s="14"/>
      <c r="Q175" s="14"/>
      <c r="R175" s="14"/>
      <c r="S175" s="14">
        <v>270</v>
      </c>
      <c r="T175" s="14"/>
      <c r="U175" s="14"/>
      <c r="V175" s="14"/>
      <c r="W175" s="14">
        <v>240</v>
      </c>
      <c r="X175" s="14"/>
    </row>
    <row r="176" spans="1:24" ht="22" customHeight="1">
      <c r="A176" s="3" t="s">
        <v>1032</v>
      </c>
      <c r="B176" s="1"/>
      <c r="C176" s="14"/>
      <c r="D176" s="14"/>
      <c r="E176" s="14"/>
      <c r="F176" s="14"/>
      <c r="G176" s="14"/>
      <c r="H176" s="14"/>
      <c r="I176" s="14"/>
      <c r="J176" s="14"/>
      <c r="K176" s="14"/>
      <c r="L176" s="14"/>
      <c r="M176" s="15"/>
      <c r="N176" s="14"/>
      <c r="O176" s="14"/>
      <c r="P176" s="14"/>
      <c r="Q176" s="14"/>
      <c r="R176" s="14"/>
      <c r="S176" s="14">
        <v>-372</v>
      </c>
      <c r="T176" s="14"/>
      <c r="U176" s="14"/>
      <c r="V176" s="14"/>
      <c r="W176" s="14">
        <v>-382</v>
      </c>
      <c r="X176" s="14"/>
    </row>
    <row r="177" spans="1:24" ht="22" customHeight="1">
      <c r="A177" s="3" t="s">
        <v>1033</v>
      </c>
      <c r="B177" s="1"/>
      <c r="C177" s="14"/>
      <c r="D177" s="14"/>
      <c r="E177" s="14"/>
      <c r="F177" s="14"/>
      <c r="G177" s="14"/>
      <c r="H177" s="14"/>
      <c r="I177" s="14"/>
      <c r="J177" s="14"/>
      <c r="K177" s="14"/>
      <c r="L177" s="14"/>
      <c r="M177" s="15"/>
      <c r="N177" s="14"/>
      <c r="O177" s="14"/>
      <c r="P177" s="14"/>
      <c r="Q177" s="14"/>
      <c r="R177" s="14"/>
      <c r="S177" s="14">
        <v>1</v>
      </c>
      <c r="T177" s="14"/>
      <c r="U177" s="14"/>
      <c r="V177" s="14"/>
      <c r="W177" s="14">
        <v>4</v>
      </c>
      <c r="X177" s="14"/>
    </row>
    <row r="178" spans="1:24" ht="22" customHeight="1">
      <c r="A178" s="3" t="s">
        <v>1034</v>
      </c>
      <c r="B178" s="1"/>
      <c r="C178" s="14"/>
      <c r="D178" s="14"/>
      <c r="E178" s="14"/>
      <c r="F178" s="14"/>
      <c r="G178" s="14"/>
      <c r="H178" s="14"/>
      <c r="I178" s="14"/>
      <c r="J178" s="14"/>
      <c r="K178" s="14"/>
      <c r="L178" s="14"/>
      <c r="M178" s="15"/>
      <c r="N178" s="14"/>
      <c r="O178" s="14"/>
      <c r="P178" s="14"/>
      <c r="Q178" s="14"/>
      <c r="R178" s="14"/>
      <c r="S178" s="14">
        <v>39</v>
      </c>
      <c r="T178" s="14"/>
      <c r="U178" s="14"/>
      <c r="V178" s="14"/>
      <c r="W178" s="14">
        <v>34</v>
      </c>
      <c r="X178" s="14"/>
    </row>
    <row r="179" spans="1:24" ht="22" customHeight="1">
      <c r="A179" s="3" t="s">
        <v>1054</v>
      </c>
      <c r="B179" s="1"/>
      <c r="C179" s="14"/>
      <c r="D179" s="14"/>
      <c r="E179" s="14"/>
      <c r="F179" s="14"/>
      <c r="G179" s="14"/>
      <c r="H179" s="14"/>
      <c r="I179" s="14"/>
      <c r="J179" s="14"/>
      <c r="K179" s="14"/>
      <c r="L179" s="14"/>
      <c r="M179" s="15"/>
      <c r="N179" s="14"/>
      <c r="O179" s="14"/>
      <c r="P179" s="14"/>
      <c r="Q179" s="14"/>
      <c r="R179" s="14"/>
      <c r="S179" s="14">
        <v>0</v>
      </c>
      <c r="T179" s="14"/>
      <c r="U179" s="14"/>
      <c r="V179" s="14"/>
      <c r="W179" s="14">
        <v>0</v>
      </c>
      <c r="X179" s="14"/>
    </row>
    <row r="180" spans="1:24" ht="22" customHeight="1">
      <c r="A180" s="3" t="s">
        <v>1017</v>
      </c>
      <c r="B180" s="1"/>
      <c r="C180" s="14"/>
      <c r="D180" s="14"/>
      <c r="E180" s="14"/>
      <c r="F180" s="14"/>
      <c r="G180" s="14"/>
      <c r="H180" s="14"/>
      <c r="I180" s="14"/>
      <c r="J180" s="14"/>
      <c r="K180" s="14"/>
      <c r="L180" s="14"/>
      <c r="M180" s="15"/>
      <c r="N180" s="14"/>
      <c r="O180" s="14"/>
      <c r="P180" s="14"/>
      <c r="Q180" s="14"/>
      <c r="R180" s="14"/>
      <c r="S180" s="14">
        <v>14</v>
      </c>
      <c r="T180" s="14"/>
      <c r="U180" s="14"/>
      <c r="V180" s="14"/>
      <c r="W180" s="14">
        <v>1</v>
      </c>
      <c r="X180" s="14"/>
    </row>
    <row r="181" spans="1:24" ht="24" customHeight="1">
      <c r="A181" s="16" t="s">
        <v>1051</v>
      </c>
      <c r="B181" s="17"/>
      <c r="C181" s="18"/>
      <c r="D181" s="18"/>
      <c r="E181" s="18"/>
      <c r="F181" s="18"/>
      <c r="G181" s="18"/>
      <c r="H181" s="18"/>
      <c r="I181" s="18"/>
      <c r="J181" s="18"/>
      <c r="K181" s="18"/>
      <c r="L181" s="18"/>
      <c r="M181" s="20"/>
      <c r="N181" s="18"/>
      <c r="O181" s="18"/>
      <c r="P181" s="18"/>
      <c r="Q181" s="18"/>
      <c r="R181" s="18"/>
      <c r="S181" s="18">
        <v>-48</v>
      </c>
      <c r="T181" s="18"/>
      <c r="U181" s="18"/>
      <c r="V181" s="18"/>
      <c r="W181" s="18">
        <v>-103</v>
      </c>
      <c r="X181" s="18"/>
    </row>
    <row r="182" spans="1:24" ht="24" customHeight="1">
      <c r="A182" s="16" t="s">
        <v>198</v>
      </c>
      <c r="B182" s="17"/>
      <c r="C182" s="18"/>
      <c r="D182" s="18"/>
      <c r="E182" s="18"/>
      <c r="F182" s="18"/>
      <c r="G182" s="18"/>
      <c r="H182" s="18"/>
      <c r="I182" s="18"/>
      <c r="J182" s="18"/>
      <c r="K182" s="18"/>
      <c r="L182" s="18"/>
      <c r="M182" s="20"/>
      <c r="N182" s="18"/>
      <c r="O182" s="18"/>
      <c r="P182" s="18"/>
      <c r="Q182" s="18"/>
      <c r="R182" s="18"/>
      <c r="S182" s="18">
        <v>97</v>
      </c>
      <c r="T182" s="18"/>
      <c r="U182" s="18"/>
      <c r="V182" s="18"/>
      <c r="W182" s="18">
        <v>5</v>
      </c>
      <c r="X182" s="18"/>
    </row>
    <row r="183" spans="1:24" ht="22" customHeight="1">
      <c r="A183" s="3" t="s">
        <v>1011</v>
      </c>
      <c r="B183" s="1"/>
      <c r="C183" s="14"/>
      <c r="D183" s="14"/>
      <c r="E183" s="14"/>
      <c r="F183" s="14"/>
      <c r="G183" s="14"/>
      <c r="H183" s="14"/>
      <c r="I183" s="14"/>
      <c r="J183" s="14"/>
      <c r="K183" s="14"/>
      <c r="L183" s="14"/>
      <c r="M183" s="15"/>
      <c r="N183" s="14"/>
      <c r="O183" s="14"/>
      <c r="P183" s="14"/>
      <c r="Q183" s="14"/>
      <c r="R183" s="14"/>
      <c r="S183" s="14"/>
      <c r="T183" s="14">
        <v>406</v>
      </c>
      <c r="U183" s="14"/>
      <c r="V183" s="14"/>
      <c r="W183" s="14"/>
      <c r="X183" s="14">
        <v>361</v>
      </c>
    </row>
    <row r="184" spans="1:24" ht="22" customHeight="1">
      <c r="A184" s="3" t="s">
        <v>1032</v>
      </c>
      <c r="B184" s="1"/>
      <c r="C184" s="14"/>
      <c r="D184" s="14"/>
      <c r="E184" s="14"/>
      <c r="F184" s="14"/>
      <c r="G184" s="14"/>
      <c r="H184" s="14"/>
      <c r="I184" s="14"/>
      <c r="J184" s="14"/>
      <c r="K184" s="14"/>
      <c r="L184" s="14"/>
      <c r="M184" s="15"/>
      <c r="N184" s="14"/>
      <c r="O184" s="14"/>
      <c r="P184" s="14"/>
      <c r="Q184" s="14"/>
      <c r="R184" s="14"/>
      <c r="S184" s="14"/>
      <c r="T184" s="14">
        <v>-558</v>
      </c>
      <c r="U184" s="14"/>
      <c r="V184" s="14"/>
      <c r="W184" s="14"/>
      <c r="X184" s="14">
        <v>-573</v>
      </c>
    </row>
    <row r="185" spans="1:24" ht="22" customHeight="1">
      <c r="A185" s="3" t="s">
        <v>1033</v>
      </c>
      <c r="B185" s="1"/>
      <c r="C185" s="14"/>
      <c r="D185" s="14"/>
      <c r="E185" s="14"/>
      <c r="F185" s="14"/>
      <c r="G185" s="14"/>
      <c r="H185" s="14"/>
      <c r="I185" s="14"/>
      <c r="J185" s="14"/>
      <c r="K185" s="14"/>
      <c r="L185" s="14"/>
      <c r="M185" s="15"/>
      <c r="N185" s="14"/>
      <c r="O185" s="14"/>
      <c r="P185" s="14"/>
      <c r="Q185" s="14"/>
      <c r="R185" s="14"/>
      <c r="S185" s="14"/>
      <c r="T185" s="14">
        <v>2</v>
      </c>
      <c r="U185" s="14"/>
      <c r="V185" s="14"/>
      <c r="W185" s="14"/>
      <c r="X185" s="14">
        <v>6</v>
      </c>
    </row>
    <row r="186" spans="1:24" ht="22" customHeight="1">
      <c r="A186" s="3" t="s">
        <v>1034</v>
      </c>
      <c r="B186" s="1"/>
      <c r="C186" s="14"/>
      <c r="D186" s="14"/>
      <c r="E186" s="14"/>
      <c r="F186" s="14"/>
      <c r="G186" s="14"/>
      <c r="H186" s="14"/>
      <c r="I186" s="14"/>
      <c r="J186" s="14"/>
      <c r="K186" s="14"/>
      <c r="L186" s="14"/>
      <c r="M186" s="15"/>
      <c r="N186" s="14"/>
      <c r="O186" s="14"/>
      <c r="P186" s="14"/>
      <c r="Q186" s="14"/>
      <c r="R186" s="14"/>
      <c r="S186" s="14"/>
      <c r="T186" s="14">
        <v>58</v>
      </c>
      <c r="U186" s="14"/>
      <c r="V186" s="14"/>
      <c r="W186" s="14"/>
      <c r="X186" s="14">
        <v>50</v>
      </c>
    </row>
    <row r="187" spans="1:24" ht="22" customHeight="1">
      <c r="A187" s="3" t="s">
        <v>1053</v>
      </c>
      <c r="B187" s="1"/>
      <c r="C187" s="14"/>
      <c r="D187" s="14"/>
      <c r="E187" s="14"/>
      <c r="F187" s="14"/>
      <c r="G187" s="14"/>
      <c r="H187" s="14"/>
      <c r="I187" s="14"/>
      <c r="J187" s="14"/>
      <c r="K187" s="14"/>
      <c r="L187" s="14"/>
      <c r="M187" s="15"/>
      <c r="N187" s="14"/>
      <c r="O187" s="14"/>
      <c r="P187" s="14"/>
      <c r="Q187" s="14"/>
      <c r="R187" s="14"/>
      <c r="S187" s="14"/>
      <c r="T187" s="14">
        <v>5</v>
      </c>
      <c r="U187" s="14"/>
      <c r="V187" s="14"/>
      <c r="W187" s="14"/>
      <c r="X187" s="14">
        <v>171</v>
      </c>
    </row>
    <row r="188" spans="1:24" ht="22" customHeight="1">
      <c r="A188" s="3" t="s">
        <v>1017</v>
      </c>
      <c r="B188" s="1"/>
      <c r="C188" s="14"/>
      <c r="D188" s="14"/>
      <c r="E188" s="14"/>
      <c r="F188" s="14"/>
      <c r="G188" s="14"/>
      <c r="H188" s="14"/>
      <c r="I188" s="14"/>
      <c r="J188" s="14"/>
      <c r="K188" s="14"/>
      <c r="L188" s="14"/>
      <c r="M188" s="15"/>
      <c r="N188" s="14"/>
      <c r="O188" s="14"/>
      <c r="P188" s="14"/>
      <c r="Q188" s="14"/>
      <c r="R188" s="14"/>
      <c r="S188" s="14"/>
      <c r="T188" s="14">
        <v>13</v>
      </c>
      <c r="U188" s="14"/>
      <c r="V188" s="14"/>
      <c r="W188" s="14"/>
      <c r="X188" s="14">
        <v>-6</v>
      </c>
    </row>
    <row r="189" spans="1:24" ht="36" customHeight="1">
      <c r="A189" s="16" t="s">
        <v>1037</v>
      </c>
      <c r="B189" s="17"/>
      <c r="C189" s="18"/>
      <c r="D189" s="18"/>
      <c r="E189" s="18"/>
      <c r="F189" s="18"/>
      <c r="G189" s="18"/>
      <c r="H189" s="18"/>
      <c r="I189" s="18"/>
      <c r="J189" s="18"/>
      <c r="K189" s="18"/>
      <c r="L189" s="18"/>
      <c r="M189" s="20"/>
      <c r="N189" s="18"/>
      <c r="O189" s="18"/>
      <c r="P189" s="18"/>
      <c r="Q189" s="18"/>
      <c r="R189" s="18"/>
      <c r="S189" s="18"/>
      <c r="T189" s="18">
        <v>-74</v>
      </c>
      <c r="U189" s="18"/>
      <c r="V189" s="18"/>
      <c r="W189" s="18"/>
      <c r="X189" s="18">
        <v>9</v>
      </c>
    </row>
    <row r="190" spans="1:24" ht="24" customHeight="1">
      <c r="A190" s="16" t="s">
        <v>198</v>
      </c>
      <c r="B190" s="17"/>
      <c r="C190" s="18"/>
      <c r="D190" s="18"/>
      <c r="E190" s="18"/>
      <c r="F190" s="18"/>
      <c r="G190" s="18"/>
      <c r="H190" s="18"/>
      <c r="I190" s="18"/>
      <c r="J190" s="18"/>
      <c r="K190" s="18"/>
      <c r="L190" s="18"/>
      <c r="M190" s="20"/>
      <c r="N190" s="18"/>
      <c r="O190" s="18"/>
      <c r="P190" s="18"/>
      <c r="Q190" s="18"/>
      <c r="R190" s="18"/>
      <c r="S190" s="18"/>
      <c r="T190" s="18">
        <v>142</v>
      </c>
      <c r="U190" s="18"/>
      <c r="V190" s="18"/>
      <c r="W190" s="18"/>
      <c r="X190" s="18">
        <v>172</v>
      </c>
    </row>
    <row r="191" spans="1:24" ht="24" customHeight="1">
      <c r="A191" s="177" t="s">
        <v>1055</v>
      </c>
      <c r="B191" s="178"/>
      <c r="C191" s="179"/>
      <c r="D191" s="179"/>
      <c r="E191" s="179"/>
      <c r="F191" s="179"/>
      <c r="G191" s="179"/>
      <c r="H191" s="179"/>
      <c r="I191" s="179"/>
      <c r="J191" s="179"/>
      <c r="K191" s="179"/>
      <c r="L191" s="179"/>
      <c r="M191" s="12"/>
      <c r="N191" s="179"/>
      <c r="O191" s="179"/>
      <c r="P191" s="179"/>
      <c r="Q191" s="179"/>
      <c r="R191" s="179"/>
      <c r="S191" s="179"/>
      <c r="T191" s="179"/>
      <c r="U191" s="179"/>
      <c r="V191" s="179"/>
      <c r="W191" s="179"/>
      <c r="X191" s="179"/>
    </row>
    <row r="192" spans="1:24" ht="22" customHeight="1">
      <c r="A192" s="3" t="s">
        <v>1010</v>
      </c>
      <c r="B192" s="1"/>
      <c r="C192" s="14"/>
      <c r="D192" s="14"/>
      <c r="E192" s="14"/>
      <c r="F192" s="14"/>
      <c r="G192" s="14"/>
      <c r="H192" s="14"/>
      <c r="I192" s="14"/>
      <c r="J192" s="14"/>
      <c r="K192" s="14"/>
      <c r="L192" s="14"/>
      <c r="M192" s="15"/>
      <c r="N192" s="14"/>
      <c r="O192" s="14">
        <v>21</v>
      </c>
      <c r="P192" s="14">
        <v>32</v>
      </c>
      <c r="Q192" s="14"/>
      <c r="R192" s="14"/>
      <c r="S192" s="14">
        <v>19</v>
      </c>
      <c r="T192" s="14">
        <v>30</v>
      </c>
      <c r="U192" s="14"/>
      <c r="V192" s="14"/>
      <c r="W192" s="14">
        <v>23</v>
      </c>
      <c r="X192" s="14">
        <v>36</v>
      </c>
    </row>
    <row r="193" spans="1:24" ht="22" customHeight="1">
      <c r="A193" s="3" t="s">
        <v>1011</v>
      </c>
      <c r="B193" s="1"/>
      <c r="C193" s="14"/>
      <c r="D193" s="14"/>
      <c r="E193" s="14"/>
      <c r="F193" s="14"/>
      <c r="G193" s="14"/>
      <c r="H193" s="14"/>
      <c r="I193" s="14"/>
      <c r="J193" s="14"/>
      <c r="K193" s="14"/>
      <c r="L193" s="14"/>
      <c r="M193" s="15"/>
      <c r="N193" s="14"/>
      <c r="O193" s="14">
        <v>63</v>
      </c>
      <c r="P193" s="14">
        <v>99</v>
      </c>
      <c r="Q193" s="14"/>
      <c r="R193" s="14"/>
      <c r="S193" s="14">
        <v>62</v>
      </c>
      <c r="T193" s="14">
        <v>97</v>
      </c>
      <c r="U193" s="14"/>
      <c r="V193" s="14"/>
      <c r="W193" s="14"/>
      <c r="X193" s="14"/>
    </row>
    <row r="194" spans="1:24" ht="22" customHeight="1">
      <c r="A194" s="3" t="s">
        <v>1032</v>
      </c>
      <c r="B194" s="1"/>
      <c r="C194" s="14"/>
      <c r="D194" s="14"/>
      <c r="E194" s="14"/>
      <c r="F194" s="14"/>
      <c r="G194" s="14"/>
      <c r="H194" s="14"/>
      <c r="I194" s="14"/>
      <c r="J194" s="14"/>
      <c r="K194" s="14"/>
      <c r="L194" s="14"/>
      <c r="M194" s="15"/>
      <c r="N194" s="14"/>
      <c r="O194" s="14">
        <v>-89</v>
      </c>
      <c r="P194" s="14">
        <v>-139</v>
      </c>
      <c r="Q194" s="14"/>
      <c r="R194" s="14"/>
      <c r="S194" s="14">
        <v>-83</v>
      </c>
      <c r="T194" s="14">
        <v>-129</v>
      </c>
      <c r="U194" s="14"/>
      <c r="V194" s="14"/>
      <c r="W194" s="14"/>
      <c r="X194" s="14"/>
    </row>
    <row r="195" spans="1:24" ht="22" customHeight="1">
      <c r="A195" s="3" t="s">
        <v>1049</v>
      </c>
      <c r="B195" s="1"/>
      <c r="C195" s="14"/>
      <c r="D195" s="14"/>
      <c r="E195" s="14"/>
      <c r="F195" s="14"/>
      <c r="G195" s="14"/>
      <c r="H195" s="14"/>
      <c r="I195" s="14"/>
      <c r="J195" s="14"/>
      <c r="K195" s="14"/>
      <c r="L195" s="14"/>
      <c r="M195" s="15"/>
      <c r="N195" s="14"/>
      <c r="O195" s="14">
        <v>-1</v>
      </c>
      <c r="P195" s="14">
        <v>-1</v>
      </c>
      <c r="Q195" s="14"/>
      <c r="R195" s="14"/>
      <c r="S195" s="14"/>
      <c r="T195" s="14"/>
      <c r="U195" s="14"/>
      <c r="V195" s="14"/>
      <c r="W195" s="14"/>
      <c r="X195" s="14"/>
    </row>
    <row r="196" spans="1:24" ht="22" customHeight="1">
      <c r="A196" s="3" t="s">
        <v>1034</v>
      </c>
      <c r="B196" s="1"/>
      <c r="C196" s="14"/>
      <c r="D196" s="14"/>
      <c r="E196" s="14"/>
      <c r="F196" s="14"/>
      <c r="G196" s="14"/>
      <c r="H196" s="14"/>
      <c r="I196" s="14"/>
      <c r="J196" s="14"/>
      <c r="K196" s="14"/>
      <c r="L196" s="14"/>
      <c r="M196" s="15"/>
      <c r="N196" s="14"/>
      <c r="O196" s="14">
        <v>9</v>
      </c>
      <c r="P196" s="14">
        <v>15</v>
      </c>
      <c r="Q196" s="14"/>
      <c r="R196" s="14"/>
      <c r="S196" s="14">
        <v>10</v>
      </c>
      <c r="T196" s="14">
        <v>17</v>
      </c>
      <c r="U196" s="14"/>
      <c r="V196" s="14"/>
      <c r="W196" s="14"/>
      <c r="X196" s="14"/>
    </row>
    <row r="197" spans="1:24" ht="22" customHeight="1">
      <c r="A197" s="3" t="s">
        <v>1050</v>
      </c>
      <c r="B197" s="1"/>
      <c r="C197" s="14"/>
      <c r="D197" s="14"/>
      <c r="E197" s="14"/>
      <c r="F197" s="14"/>
      <c r="G197" s="14"/>
      <c r="H197" s="14"/>
      <c r="I197" s="14"/>
      <c r="J197" s="14"/>
      <c r="K197" s="14"/>
      <c r="L197" s="14"/>
      <c r="M197" s="15"/>
      <c r="N197" s="14"/>
      <c r="O197" s="14">
        <v>2</v>
      </c>
      <c r="P197" s="14">
        <v>9</v>
      </c>
      <c r="Q197" s="14"/>
      <c r="R197" s="14"/>
      <c r="S197" s="14"/>
      <c r="T197" s="14"/>
      <c r="U197" s="14"/>
      <c r="V197" s="14"/>
      <c r="W197" s="14"/>
      <c r="X197" s="14"/>
    </row>
    <row r="198" spans="1:24" ht="22" customHeight="1">
      <c r="A198" s="3" t="s">
        <v>1017</v>
      </c>
      <c r="B198" s="1"/>
      <c r="C198" s="14"/>
      <c r="D198" s="14"/>
      <c r="E198" s="14"/>
      <c r="F198" s="14"/>
      <c r="G198" s="14"/>
      <c r="H198" s="14"/>
      <c r="I198" s="14"/>
      <c r="J198" s="14"/>
      <c r="K198" s="14"/>
      <c r="L198" s="14"/>
      <c r="M198" s="15"/>
      <c r="N198" s="14"/>
      <c r="O198" s="14">
        <v>0</v>
      </c>
      <c r="P198" s="14">
        <v>0</v>
      </c>
      <c r="Q198" s="14"/>
      <c r="R198" s="14"/>
      <c r="S198" s="14">
        <v>0</v>
      </c>
      <c r="T198" s="14">
        <v>0</v>
      </c>
      <c r="U198" s="14"/>
      <c r="V198" s="14"/>
      <c r="W198" s="14"/>
      <c r="X198" s="14"/>
    </row>
    <row r="199" spans="1:24" ht="24" customHeight="1">
      <c r="A199" s="16" t="s">
        <v>1051</v>
      </c>
      <c r="B199" s="17"/>
      <c r="C199" s="18"/>
      <c r="D199" s="18"/>
      <c r="E199" s="18"/>
      <c r="F199" s="18"/>
      <c r="G199" s="18"/>
      <c r="H199" s="18"/>
      <c r="I199" s="18"/>
      <c r="J199" s="18"/>
      <c r="K199" s="18"/>
      <c r="L199" s="18"/>
      <c r="M199" s="20"/>
      <c r="N199" s="18"/>
      <c r="O199" s="18">
        <v>-16</v>
      </c>
      <c r="P199" s="18">
        <v>-17</v>
      </c>
      <c r="Q199" s="18"/>
      <c r="R199" s="18"/>
      <c r="S199" s="18">
        <v>-12</v>
      </c>
      <c r="T199" s="18">
        <v>-9</v>
      </c>
      <c r="U199" s="18"/>
      <c r="V199" s="18"/>
      <c r="W199" s="18"/>
      <c r="X199" s="18"/>
    </row>
    <row r="200" spans="1:24" ht="24" customHeight="1">
      <c r="A200" s="16" t="s">
        <v>198</v>
      </c>
      <c r="B200" s="17"/>
      <c r="C200" s="18"/>
      <c r="D200" s="18"/>
      <c r="E200" s="18"/>
      <c r="F200" s="18"/>
      <c r="G200" s="18"/>
      <c r="H200" s="18"/>
      <c r="I200" s="18"/>
      <c r="J200" s="18"/>
      <c r="K200" s="18"/>
      <c r="L200" s="18"/>
      <c r="M200" s="20"/>
      <c r="N200" s="18"/>
      <c r="O200" s="18">
        <v>5</v>
      </c>
      <c r="P200" s="18">
        <v>15</v>
      </c>
      <c r="Q200" s="18"/>
      <c r="R200" s="18"/>
      <c r="S200" s="18">
        <v>7</v>
      </c>
      <c r="T200" s="18">
        <v>21</v>
      </c>
      <c r="U200" s="18"/>
      <c r="V200" s="18"/>
      <c r="W200" s="18"/>
      <c r="X200" s="18"/>
    </row>
    <row r="201" spans="1:24" ht="22" customHeight="1">
      <c r="A201" s="3" t="s">
        <v>1033</v>
      </c>
      <c r="B201" s="1"/>
      <c r="C201" s="14"/>
      <c r="D201" s="14"/>
      <c r="E201" s="14"/>
      <c r="F201" s="14"/>
      <c r="G201" s="14"/>
      <c r="H201" s="14"/>
      <c r="I201" s="14"/>
      <c r="J201" s="14"/>
      <c r="K201" s="14"/>
      <c r="L201" s="14"/>
      <c r="M201" s="15"/>
      <c r="N201" s="14"/>
      <c r="O201" s="14">
        <v>-1</v>
      </c>
      <c r="P201" s="14">
        <v>-1</v>
      </c>
      <c r="Q201" s="14"/>
      <c r="R201" s="14"/>
      <c r="S201" s="14">
        <v>0</v>
      </c>
      <c r="T201" s="14">
        <v>-1</v>
      </c>
      <c r="U201" s="14"/>
      <c r="V201" s="14"/>
      <c r="W201" s="14"/>
      <c r="X201" s="14"/>
    </row>
    <row r="202" spans="1:24" ht="22" customHeight="1">
      <c r="A202" s="3" t="s">
        <v>1052</v>
      </c>
      <c r="B202" s="1"/>
      <c r="C202" s="14"/>
      <c r="D202" s="14"/>
      <c r="E202" s="14"/>
      <c r="F202" s="14"/>
      <c r="G202" s="14"/>
      <c r="H202" s="14"/>
      <c r="I202" s="14"/>
      <c r="J202" s="14"/>
      <c r="K202" s="14"/>
      <c r="L202" s="14"/>
      <c r="M202" s="15"/>
      <c r="N202" s="14"/>
      <c r="O202" s="14">
        <v>2</v>
      </c>
      <c r="P202" s="14"/>
      <c r="Q202" s="14"/>
      <c r="R202" s="14"/>
      <c r="S202" s="14">
        <v>-1</v>
      </c>
      <c r="T202" s="14"/>
      <c r="U202" s="14"/>
      <c r="V202" s="14"/>
      <c r="W202" s="14"/>
      <c r="X202" s="14"/>
    </row>
    <row r="203" spans="1:24" ht="22" customHeight="1">
      <c r="A203" s="3" t="s">
        <v>1053</v>
      </c>
      <c r="B203" s="1"/>
      <c r="C203" s="14"/>
      <c r="D203" s="14"/>
      <c r="E203" s="14"/>
      <c r="F203" s="14"/>
      <c r="G203" s="14"/>
      <c r="H203" s="14"/>
      <c r="I203" s="14"/>
      <c r="J203" s="14"/>
      <c r="K203" s="14"/>
      <c r="L203" s="14"/>
      <c r="M203" s="15"/>
      <c r="N203" s="14"/>
      <c r="O203" s="14"/>
      <c r="P203" s="14">
        <v>9</v>
      </c>
      <c r="Q203" s="14"/>
      <c r="R203" s="14"/>
      <c r="S203" s="14"/>
      <c r="T203" s="14">
        <v>7</v>
      </c>
      <c r="U203" s="14"/>
      <c r="V203" s="14"/>
      <c r="W203" s="14"/>
      <c r="X203" s="14"/>
    </row>
    <row r="204" spans="1:24" ht="22" customHeight="1">
      <c r="A204" s="3" t="s">
        <v>1011</v>
      </c>
      <c r="B204" s="1"/>
      <c r="C204" s="14"/>
      <c r="D204" s="14"/>
      <c r="E204" s="14"/>
      <c r="F204" s="14"/>
      <c r="G204" s="14"/>
      <c r="H204" s="14"/>
      <c r="I204" s="14"/>
      <c r="J204" s="14"/>
      <c r="K204" s="14"/>
      <c r="L204" s="14"/>
      <c r="M204" s="15"/>
      <c r="N204" s="14"/>
      <c r="O204" s="14"/>
      <c r="P204" s="14"/>
      <c r="Q204" s="14"/>
      <c r="R204" s="14"/>
      <c r="S204" s="14">
        <v>62</v>
      </c>
      <c r="T204" s="14"/>
      <c r="U204" s="14"/>
      <c r="V204" s="14"/>
      <c r="W204" s="14">
        <v>65</v>
      </c>
      <c r="X204" s="14"/>
    </row>
    <row r="205" spans="1:24" ht="22" customHeight="1">
      <c r="A205" s="3" t="s">
        <v>1032</v>
      </c>
      <c r="B205" s="1"/>
      <c r="C205" s="14"/>
      <c r="D205" s="14"/>
      <c r="E205" s="14"/>
      <c r="F205" s="14"/>
      <c r="G205" s="14"/>
      <c r="H205" s="14"/>
      <c r="I205" s="14"/>
      <c r="J205" s="14"/>
      <c r="K205" s="14"/>
      <c r="L205" s="14"/>
      <c r="M205" s="15"/>
      <c r="N205" s="14"/>
      <c r="O205" s="14"/>
      <c r="P205" s="14"/>
      <c r="Q205" s="14"/>
      <c r="R205" s="14"/>
      <c r="S205" s="14">
        <v>-83</v>
      </c>
      <c r="T205" s="14"/>
      <c r="U205" s="14"/>
      <c r="V205" s="14"/>
      <c r="W205" s="14">
        <v>-90</v>
      </c>
      <c r="X205" s="14"/>
    </row>
    <row r="206" spans="1:24" ht="22" customHeight="1">
      <c r="A206" s="3" t="s">
        <v>1033</v>
      </c>
      <c r="B206" s="1"/>
      <c r="C206" s="14"/>
      <c r="D206" s="14"/>
      <c r="E206" s="14"/>
      <c r="F206" s="14"/>
      <c r="G206" s="14"/>
      <c r="H206" s="14"/>
      <c r="I206" s="14"/>
      <c r="J206" s="14"/>
      <c r="K206" s="14"/>
      <c r="L206" s="14"/>
      <c r="M206" s="15"/>
      <c r="N206" s="14"/>
      <c r="O206" s="14"/>
      <c r="P206" s="14"/>
      <c r="Q206" s="14"/>
      <c r="R206" s="14"/>
      <c r="S206" s="14">
        <v>0</v>
      </c>
      <c r="T206" s="14"/>
      <c r="U206" s="14"/>
      <c r="V206" s="14"/>
      <c r="W206" s="14">
        <v>0</v>
      </c>
      <c r="X206" s="14"/>
    </row>
    <row r="207" spans="1:24" ht="22" customHeight="1">
      <c r="A207" s="3" t="s">
        <v>1034</v>
      </c>
      <c r="B207" s="1"/>
      <c r="C207" s="14"/>
      <c r="D207" s="14"/>
      <c r="E207" s="14"/>
      <c r="F207" s="14"/>
      <c r="G207" s="14"/>
      <c r="H207" s="14"/>
      <c r="I207" s="14"/>
      <c r="J207" s="14"/>
      <c r="K207" s="14"/>
      <c r="L207" s="14"/>
      <c r="M207" s="15"/>
      <c r="N207" s="14"/>
      <c r="O207" s="14"/>
      <c r="P207" s="14"/>
      <c r="Q207" s="14"/>
      <c r="R207" s="14"/>
      <c r="S207" s="14">
        <v>10</v>
      </c>
      <c r="T207" s="14"/>
      <c r="U207" s="14"/>
      <c r="V207" s="14"/>
      <c r="W207" s="14">
        <v>14</v>
      </c>
      <c r="X207" s="14"/>
    </row>
    <row r="208" spans="1:24" ht="22" customHeight="1">
      <c r="A208" s="3" t="s">
        <v>1054</v>
      </c>
      <c r="B208" s="1"/>
      <c r="C208" s="14"/>
      <c r="D208" s="14"/>
      <c r="E208" s="14"/>
      <c r="F208" s="14"/>
      <c r="G208" s="14"/>
      <c r="H208" s="14"/>
      <c r="I208" s="14"/>
      <c r="J208" s="14"/>
      <c r="K208" s="14"/>
      <c r="L208" s="14"/>
      <c r="M208" s="15"/>
      <c r="N208" s="14"/>
      <c r="O208" s="14"/>
      <c r="P208" s="14"/>
      <c r="Q208" s="14"/>
      <c r="R208" s="14"/>
      <c r="S208" s="14">
        <v>-1</v>
      </c>
      <c r="T208" s="14"/>
      <c r="U208" s="14"/>
      <c r="V208" s="14"/>
      <c r="W208" s="14">
        <v>0</v>
      </c>
      <c r="X208" s="14"/>
    </row>
    <row r="209" spans="1:24" ht="22" customHeight="1">
      <c r="A209" s="3" t="s">
        <v>1017</v>
      </c>
      <c r="B209" s="1"/>
      <c r="C209" s="14"/>
      <c r="D209" s="14"/>
      <c r="E209" s="14"/>
      <c r="F209" s="14"/>
      <c r="G209" s="14"/>
      <c r="H209" s="14"/>
      <c r="I209" s="14"/>
      <c r="J209" s="14"/>
      <c r="K209" s="14"/>
      <c r="L209" s="14"/>
      <c r="M209" s="15"/>
      <c r="N209" s="14"/>
      <c r="O209" s="14"/>
      <c r="P209" s="14"/>
      <c r="Q209" s="14"/>
      <c r="R209" s="14"/>
      <c r="S209" s="14">
        <v>0</v>
      </c>
      <c r="T209" s="14"/>
      <c r="U209" s="14"/>
      <c r="V209" s="14"/>
      <c r="W209" s="14">
        <v>0</v>
      </c>
      <c r="X209" s="14"/>
    </row>
    <row r="210" spans="1:24" ht="24" customHeight="1">
      <c r="A210" s="16" t="s">
        <v>1051</v>
      </c>
      <c r="B210" s="17"/>
      <c r="C210" s="18"/>
      <c r="D210" s="18"/>
      <c r="E210" s="18"/>
      <c r="F210" s="18"/>
      <c r="G210" s="18"/>
      <c r="H210" s="18"/>
      <c r="I210" s="18"/>
      <c r="J210" s="18"/>
      <c r="K210" s="18"/>
      <c r="L210" s="18"/>
      <c r="M210" s="20"/>
      <c r="N210" s="18"/>
      <c r="O210" s="18"/>
      <c r="P210" s="18"/>
      <c r="Q210" s="18"/>
      <c r="R210" s="18"/>
      <c r="S210" s="18">
        <v>-12</v>
      </c>
      <c r="T210" s="18"/>
      <c r="U210" s="18"/>
      <c r="V210" s="18"/>
      <c r="W210" s="18">
        <v>-11</v>
      </c>
      <c r="X210" s="18"/>
    </row>
    <row r="211" spans="1:24" ht="24" customHeight="1">
      <c r="A211" s="16" t="s">
        <v>198</v>
      </c>
      <c r="B211" s="17"/>
      <c r="C211" s="18"/>
      <c r="D211" s="18"/>
      <c r="E211" s="18"/>
      <c r="F211" s="18"/>
      <c r="G211" s="18"/>
      <c r="H211" s="18"/>
      <c r="I211" s="18"/>
      <c r="J211" s="18"/>
      <c r="K211" s="18"/>
      <c r="L211" s="18"/>
      <c r="M211" s="20"/>
      <c r="N211" s="18"/>
      <c r="O211" s="18"/>
      <c r="P211" s="18"/>
      <c r="Q211" s="18"/>
      <c r="R211" s="18"/>
      <c r="S211" s="18">
        <v>7</v>
      </c>
      <c r="T211" s="18"/>
      <c r="U211" s="18"/>
      <c r="V211" s="18"/>
      <c r="W211" s="18">
        <v>12</v>
      </c>
      <c r="X211" s="18"/>
    </row>
    <row r="212" spans="1:24" ht="22" customHeight="1">
      <c r="A212" s="3" t="s">
        <v>1011</v>
      </c>
      <c r="B212" s="1"/>
      <c r="C212" s="14"/>
      <c r="D212" s="14"/>
      <c r="E212" s="14"/>
      <c r="F212" s="14"/>
      <c r="G212" s="14"/>
      <c r="H212" s="14"/>
      <c r="I212" s="14"/>
      <c r="J212" s="14"/>
      <c r="K212" s="14"/>
      <c r="L212" s="14"/>
      <c r="M212" s="15"/>
      <c r="N212" s="14"/>
      <c r="O212" s="14"/>
      <c r="P212" s="14"/>
      <c r="Q212" s="14"/>
      <c r="R212" s="14"/>
      <c r="S212" s="14"/>
      <c r="T212" s="14">
        <v>97</v>
      </c>
      <c r="U212" s="14"/>
      <c r="V212" s="14"/>
      <c r="W212" s="14"/>
      <c r="X212" s="14">
        <v>103</v>
      </c>
    </row>
    <row r="213" spans="1:24" ht="22" customHeight="1">
      <c r="A213" s="3" t="s">
        <v>1032</v>
      </c>
      <c r="B213" s="1"/>
      <c r="C213" s="14"/>
      <c r="D213" s="14"/>
      <c r="E213" s="14"/>
      <c r="F213" s="14"/>
      <c r="G213" s="14"/>
      <c r="H213" s="14"/>
      <c r="I213" s="14"/>
      <c r="J213" s="14"/>
      <c r="K213" s="14"/>
      <c r="L213" s="14"/>
      <c r="M213" s="15"/>
      <c r="N213" s="14"/>
      <c r="O213" s="14"/>
      <c r="P213" s="14"/>
      <c r="Q213" s="14"/>
      <c r="R213" s="14"/>
      <c r="S213" s="14"/>
      <c r="T213" s="14">
        <v>-129</v>
      </c>
      <c r="U213" s="14"/>
      <c r="V213" s="14"/>
      <c r="W213" s="14"/>
      <c r="X213" s="14">
        <v>-140</v>
      </c>
    </row>
    <row r="214" spans="1:24" ht="22" customHeight="1">
      <c r="A214" s="3" t="s">
        <v>1033</v>
      </c>
      <c r="B214" s="1"/>
      <c r="C214" s="14"/>
      <c r="D214" s="14"/>
      <c r="E214" s="14"/>
      <c r="F214" s="14"/>
      <c r="G214" s="14"/>
      <c r="H214" s="14"/>
      <c r="I214" s="14"/>
      <c r="J214" s="14"/>
      <c r="K214" s="14"/>
      <c r="L214" s="14"/>
      <c r="M214" s="15"/>
      <c r="N214" s="14"/>
      <c r="O214" s="14"/>
      <c r="P214" s="14"/>
      <c r="Q214" s="14"/>
      <c r="R214" s="14"/>
      <c r="S214" s="14"/>
      <c r="T214" s="14">
        <v>-1</v>
      </c>
      <c r="U214" s="14"/>
      <c r="V214" s="14"/>
      <c r="W214" s="14"/>
      <c r="X214" s="14">
        <v>0</v>
      </c>
    </row>
    <row r="215" spans="1:24" ht="22" customHeight="1">
      <c r="A215" s="3" t="s">
        <v>1034</v>
      </c>
      <c r="B215" s="1"/>
      <c r="C215" s="14"/>
      <c r="D215" s="14"/>
      <c r="E215" s="14"/>
      <c r="F215" s="14"/>
      <c r="G215" s="14"/>
      <c r="H215" s="14"/>
      <c r="I215" s="14"/>
      <c r="J215" s="14"/>
      <c r="K215" s="14"/>
      <c r="L215" s="14"/>
      <c r="M215" s="15"/>
      <c r="N215" s="14"/>
      <c r="O215" s="14"/>
      <c r="P215" s="14"/>
      <c r="Q215" s="14"/>
      <c r="R215" s="14"/>
      <c r="S215" s="14"/>
      <c r="T215" s="14">
        <v>17</v>
      </c>
      <c r="U215" s="14"/>
      <c r="V215" s="14"/>
      <c r="W215" s="14"/>
      <c r="X215" s="14">
        <v>23</v>
      </c>
    </row>
    <row r="216" spans="1:24" ht="22" customHeight="1">
      <c r="A216" s="3" t="s">
        <v>1053</v>
      </c>
      <c r="B216" s="1"/>
      <c r="C216" s="14"/>
      <c r="D216" s="14"/>
      <c r="E216" s="14"/>
      <c r="F216" s="14"/>
      <c r="G216" s="14"/>
      <c r="H216" s="14"/>
      <c r="I216" s="14"/>
      <c r="J216" s="14"/>
      <c r="K216" s="14"/>
      <c r="L216" s="14"/>
      <c r="M216" s="15"/>
      <c r="N216" s="14"/>
      <c r="O216" s="14"/>
      <c r="P216" s="14"/>
      <c r="Q216" s="14"/>
      <c r="R216" s="14"/>
      <c r="S216" s="14"/>
      <c r="T216" s="14">
        <v>7</v>
      </c>
      <c r="U216" s="14"/>
      <c r="V216" s="14"/>
      <c r="W216" s="14"/>
      <c r="X216" s="14">
        <v>8</v>
      </c>
    </row>
    <row r="217" spans="1:24" ht="22" customHeight="1">
      <c r="A217" s="3" t="s">
        <v>1017</v>
      </c>
      <c r="B217" s="1"/>
      <c r="C217" s="14"/>
      <c r="D217" s="14"/>
      <c r="E217" s="14"/>
      <c r="F217" s="14"/>
      <c r="G217" s="14"/>
      <c r="H217" s="14"/>
      <c r="I217" s="14"/>
      <c r="J217" s="14"/>
      <c r="K217" s="14"/>
      <c r="L217" s="14"/>
      <c r="M217" s="15"/>
      <c r="N217" s="14"/>
      <c r="O217" s="14"/>
      <c r="P217" s="14"/>
      <c r="Q217" s="14"/>
      <c r="R217" s="14"/>
      <c r="S217" s="14"/>
      <c r="T217" s="14">
        <v>0</v>
      </c>
      <c r="U217" s="14"/>
      <c r="V217" s="14"/>
      <c r="W217" s="14"/>
      <c r="X217" s="14">
        <v>0</v>
      </c>
    </row>
    <row r="218" spans="1:24" ht="36" customHeight="1">
      <c r="A218" s="16" t="s">
        <v>1037</v>
      </c>
      <c r="B218" s="17"/>
      <c r="C218" s="18"/>
      <c r="D218" s="18"/>
      <c r="E218" s="18"/>
      <c r="F218" s="18"/>
      <c r="G218" s="18"/>
      <c r="H218" s="18"/>
      <c r="I218" s="18"/>
      <c r="J218" s="18"/>
      <c r="K218" s="18"/>
      <c r="L218" s="18"/>
      <c r="M218" s="20"/>
      <c r="N218" s="18"/>
      <c r="O218" s="18"/>
      <c r="P218" s="18"/>
      <c r="Q218" s="18"/>
      <c r="R218" s="18"/>
      <c r="S218" s="18"/>
      <c r="T218" s="18">
        <v>-9</v>
      </c>
      <c r="U218" s="18"/>
      <c r="V218" s="18"/>
      <c r="W218" s="18"/>
      <c r="X218" s="18">
        <v>-6</v>
      </c>
    </row>
    <row r="219" spans="1:24" ht="24" customHeight="1">
      <c r="A219" s="16" t="s">
        <v>198</v>
      </c>
      <c r="B219" s="17"/>
      <c r="C219" s="18"/>
      <c r="D219" s="18"/>
      <c r="E219" s="18"/>
      <c r="F219" s="18"/>
      <c r="G219" s="18"/>
      <c r="H219" s="18"/>
      <c r="I219" s="18"/>
      <c r="J219" s="18"/>
      <c r="K219" s="18"/>
      <c r="L219" s="18"/>
      <c r="M219" s="20"/>
      <c r="N219" s="18"/>
      <c r="O219" s="18"/>
      <c r="P219" s="18"/>
      <c r="Q219" s="18"/>
      <c r="R219" s="18"/>
      <c r="S219" s="18"/>
      <c r="T219" s="18">
        <v>21</v>
      </c>
      <c r="U219" s="18"/>
      <c r="V219" s="18"/>
      <c r="W219" s="18"/>
      <c r="X219" s="18">
        <v>30</v>
      </c>
    </row>
    <row r="220" spans="1:24" ht="24" customHeight="1">
      <c r="A220" s="177" t="s">
        <v>1005</v>
      </c>
      <c r="B220" s="178"/>
      <c r="C220" s="179"/>
      <c r="D220" s="179"/>
      <c r="E220" s="179"/>
      <c r="F220" s="179"/>
      <c r="G220" s="179"/>
      <c r="H220" s="179"/>
      <c r="I220" s="179"/>
      <c r="J220" s="179"/>
      <c r="K220" s="179"/>
      <c r="L220" s="179"/>
      <c r="M220" s="12"/>
      <c r="N220" s="179"/>
      <c r="O220" s="179"/>
      <c r="P220" s="179"/>
      <c r="Q220" s="179"/>
      <c r="R220" s="179"/>
      <c r="S220" s="179"/>
      <c r="T220" s="179"/>
      <c r="U220" s="179"/>
      <c r="V220" s="179"/>
      <c r="W220" s="179"/>
      <c r="X220" s="179"/>
    </row>
    <row r="221" spans="1:24" ht="22" customHeight="1">
      <c r="A221" s="3" t="s">
        <v>1010</v>
      </c>
      <c r="B221" s="1"/>
      <c r="C221" s="14"/>
      <c r="D221" s="14"/>
      <c r="E221" s="14"/>
      <c r="F221" s="14"/>
      <c r="G221" s="14"/>
      <c r="H221" s="14"/>
      <c r="I221" s="14"/>
      <c r="J221" s="14"/>
      <c r="K221" s="14"/>
      <c r="L221" s="14"/>
      <c r="M221" s="15"/>
      <c r="N221" s="14"/>
      <c r="O221" s="14">
        <v>15</v>
      </c>
      <c r="P221" s="14">
        <v>22</v>
      </c>
      <c r="Q221" s="14"/>
      <c r="R221" s="14"/>
      <c r="S221" s="14">
        <v>14</v>
      </c>
      <c r="T221" s="14">
        <v>22</v>
      </c>
      <c r="U221" s="14"/>
      <c r="V221" s="14"/>
      <c r="W221" s="14">
        <v>17</v>
      </c>
      <c r="X221" s="14">
        <v>25</v>
      </c>
    </row>
    <row r="222" spans="1:24" ht="22" customHeight="1">
      <c r="A222" s="3" t="s">
        <v>1011</v>
      </c>
      <c r="B222" s="1"/>
      <c r="C222" s="14"/>
      <c r="D222" s="14"/>
      <c r="E222" s="14"/>
      <c r="F222" s="14"/>
      <c r="G222" s="14"/>
      <c r="H222" s="14"/>
      <c r="I222" s="14"/>
      <c r="J222" s="14"/>
      <c r="K222" s="14"/>
      <c r="L222" s="14"/>
      <c r="M222" s="15"/>
      <c r="N222" s="14"/>
      <c r="O222" s="14">
        <v>15</v>
      </c>
      <c r="P222" s="14">
        <v>22</v>
      </c>
      <c r="Q222" s="14"/>
      <c r="R222" s="14"/>
      <c r="S222" s="14">
        <v>14</v>
      </c>
      <c r="T222" s="14">
        <v>20</v>
      </c>
      <c r="U222" s="14"/>
      <c r="V222" s="14"/>
      <c r="W222" s="14"/>
      <c r="X222" s="14"/>
    </row>
    <row r="223" spans="1:24" ht="22" customHeight="1">
      <c r="A223" s="3" t="s">
        <v>1032</v>
      </c>
      <c r="B223" s="1"/>
      <c r="C223" s="14"/>
      <c r="D223" s="14"/>
      <c r="E223" s="14"/>
      <c r="F223" s="14"/>
      <c r="G223" s="14"/>
      <c r="H223" s="14"/>
      <c r="I223" s="14"/>
      <c r="J223" s="14"/>
      <c r="K223" s="14"/>
      <c r="L223" s="14"/>
      <c r="M223" s="15"/>
      <c r="N223" s="14"/>
      <c r="O223" s="14">
        <v>-6</v>
      </c>
      <c r="P223" s="14">
        <v>-9</v>
      </c>
      <c r="Q223" s="14"/>
      <c r="R223" s="14"/>
      <c r="S223" s="14">
        <v>-5</v>
      </c>
      <c r="T223" s="14">
        <v>-8</v>
      </c>
      <c r="U223" s="14"/>
      <c r="V223" s="14"/>
      <c r="W223" s="14"/>
      <c r="X223" s="14"/>
    </row>
    <row r="224" spans="1:24" ht="22" customHeight="1">
      <c r="A224" s="3" t="s">
        <v>1049</v>
      </c>
      <c r="B224" s="1"/>
      <c r="C224" s="14"/>
      <c r="D224" s="14"/>
      <c r="E224" s="14"/>
      <c r="F224" s="14"/>
      <c r="G224" s="14"/>
      <c r="H224" s="14"/>
      <c r="I224" s="14"/>
      <c r="J224" s="14"/>
      <c r="K224" s="14"/>
      <c r="L224" s="14"/>
      <c r="M224" s="15"/>
      <c r="N224" s="14"/>
      <c r="O224" s="14">
        <v>-2</v>
      </c>
      <c r="P224" s="14">
        <v>-3</v>
      </c>
      <c r="Q224" s="14"/>
      <c r="R224" s="14"/>
      <c r="S224" s="14"/>
      <c r="T224" s="14"/>
      <c r="U224" s="14"/>
      <c r="V224" s="14"/>
      <c r="W224" s="14"/>
      <c r="X224" s="14"/>
    </row>
    <row r="225" spans="1:24" ht="22" customHeight="1">
      <c r="A225" s="3" t="s">
        <v>1034</v>
      </c>
      <c r="B225" s="1"/>
      <c r="C225" s="14"/>
      <c r="D225" s="14"/>
      <c r="E225" s="14"/>
      <c r="F225" s="14"/>
      <c r="G225" s="14"/>
      <c r="H225" s="14"/>
      <c r="I225" s="14"/>
      <c r="J225" s="14"/>
      <c r="K225" s="14"/>
      <c r="L225" s="14"/>
      <c r="M225" s="15"/>
      <c r="N225" s="14"/>
      <c r="O225" s="14">
        <v>-12</v>
      </c>
      <c r="P225" s="14">
        <v>-18</v>
      </c>
      <c r="Q225" s="14"/>
      <c r="R225" s="14"/>
      <c r="S225" s="14">
        <v>-12</v>
      </c>
      <c r="T225" s="14">
        <v>-17</v>
      </c>
      <c r="U225" s="14"/>
      <c r="V225" s="14"/>
      <c r="W225" s="14"/>
      <c r="X225" s="14"/>
    </row>
    <row r="226" spans="1:24" ht="22" customHeight="1">
      <c r="A226" s="3" t="s">
        <v>1050</v>
      </c>
      <c r="B226" s="1"/>
      <c r="C226" s="14"/>
      <c r="D226" s="14"/>
      <c r="E226" s="14"/>
      <c r="F226" s="14"/>
      <c r="G226" s="14"/>
      <c r="H226" s="14"/>
      <c r="I226" s="14"/>
      <c r="J226" s="14"/>
      <c r="K226" s="14"/>
      <c r="L226" s="14"/>
      <c r="M226" s="15"/>
      <c r="N226" s="14"/>
      <c r="O226" s="14">
        <v>0</v>
      </c>
      <c r="P226" s="14">
        <v>0</v>
      </c>
      <c r="Q226" s="14"/>
      <c r="R226" s="14"/>
      <c r="S226" s="14"/>
      <c r="T226" s="14"/>
      <c r="U226" s="14"/>
      <c r="V226" s="14"/>
      <c r="W226" s="14"/>
      <c r="X226" s="14"/>
    </row>
    <row r="227" spans="1:24" ht="22" customHeight="1">
      <c r="A227" s="3" t="s">
        <v>1017</v>
      </c>
      <c r="B227" s="1"/>
      <c r="C227" s="14"/>
      <c r="D227" s="14"/>
      <c r="E227" s="14"/>
      <c r="F227" s="14"/>
      <c r="G227" s="14"/>
      <c r="H227" s="14"/>
      <c r="I227" s="14"/>
      <c r="J227" s="14"/>
      <c r="K227" s="14"/>
      <c r="L227" s="14"/>
      <c r="M227" s="15"/>
      <c r="N227" s="14"/>
      <c r="O227" s="14">
        <v>0</v>
      </c>
      <c r="P227" s="14">
        <v>2</v>
      </c>
      <c r="Q227" s="14"/>
      <c r="R227" s="14"/>
      <c r="S227" s="14">
        <v>0</v>
      </c>
      <c r="T227" s="14">
        <v>0</v>
      </c>
      <c r="U227" s="14"/>
      <c r="V227" s="14"/>
      <c r="W227" s="14"/>
      <c r="X227" s="14"/>
    </row>
    <row r="228" spans="1:24" ht="24" customHeight="1">
      <c r="A228" s="16" t="s">
        <v>1051</v>
      </c>
      <c r="B228" s="17"/>
      <c r="C228" s="18"/>
      <c r="D228" s="18"/>
      <c r="E228" s="18"/>
      <c r="F228" s="18"/>
      <c r="G228" s="18"/>
      <c r="H228" s="18"/>
      <c r="I228" s="18"/>
      <c r="J228" s="18"/>
      <c r="K228" s="18"/>
      <c r="L228" s="18"/>
      <c r="M228" s="20"/>
      <c r="N228" s="18"/>
      <c r="O228" s="18">
        <v>-5</v>
      </c>
      <c r="P228" s="18">
        <v>-6</v>
      </c>
      <c r="Q228" s="18"/>
      <c r="R228" s="18"/>
      <c r="S228" s="18">
        <v>-5</v>
      </c>
      <c r="T228" s="18">
        <v>-8</v>
      </c>
      <c r="U228" s="18"/>
      <c r="V228" s="18"/>
      <c r="W228" s="18"/>
      <c r="X228" s="18"/>
    </row>
    <row r="229" spans="1:24" ht="24" customHeight="1">
      <c r="A229" s="16" t="s">
        <v>198</v>
      </c>
      <c r="B229" s="17"/>
      <c r="C229" s="18"/>
      <c r="D229" s="18"/>
      <c r="E229" s="18"/>
      <c r="F229" s="18"/>
      <c r="G229" s="18"/>
      <c r="H229" s="18"/>
      <c r="I229" s="18"/>
      <c r="J229" s="18"/>
      <c r="K229" s="18"/>
      <c r="L229" s="18"/>
      <c r="M229" s="20"/>
      <c r="N229" s="18"/>
      <c r="O229" s="18">
        <v>10</v>
      </c>
      <c r="P229" s="18">
        <v>16</v>
      </c>
      <c r="Q229" s="18"/>
      <c r="R229" s="18"/>
      <c r="S229" s="18">
        <v>9</v>
      </c>
      <c r="T229" s="18">
        <v>14</v>
      </c>
      <c r="U229" s="18"/>
      <c r="V229" s="18"/>
      <c r="W229" s="18"/>
      <c r="X229" s="18"/>
    </row>
    <row r="230" spans="1:24" ht="22" customHeight="1">
      <c r="A230" s="3" t="s">
        <v>1033</v>
      </c>
      <c r="B230" s="1"/>
      <c r="C230" s="14"/>
      <c r="D230" s="14"/>
      <c r="E230" s="14"/>
      <c r="F230" s="14"/>
      <c r="G230" s="14"/>
      <c r="H230" s="14"/>
      <c r="I230" s="14"/>
      <c r="J230" s="14"/>
      <c r="K230" s="14"/>
      <c r="L230" s="14"/>
      <c r="M230" s="15"/>
      <c r="N230" s="14"/>
      <c r="O230" s="14">
        <v>-2</v>
      </c>
      <c r="P230" s="14">
        <v>-3</v>
      </c>
      <c r="Q230" s="14"/>
      <c r="R230" s="14"/>
      <c r="S230" s="14">
        <v>-2</v>
      </c>
      <c r="T230" s="14">
        <v>-3</v>
      </c>
      <c r="U230" s="14"/>
      <c r="V230" s="14"/>
      <c r="W230" s="14"/>
      <c r="X230" s="14"/>
    </row>
    <row r="231" spans="1:24" ht="22" customHeight="1">
      <c r="A231" s="3" t="s">
        <v>1052</v>
      </c>
      <c r="B231" s="1"/>
      <c r="C231" s="14"/>
      <c r="D231" s="14"/>
      <c r="E231" s="14"/>
      <c r="F231" s="14"/>
      <c r="G231" s="14"/>
      <c r="H231" s="14"/>
      <c r="I231" s="14"/>
      <c r="J231" s="14"/>
      <c r="K231" s="14"/>
      <c r="L231" s="14"/>
      <c r="M231" s="15"/>
      <c r="N231" s="14"/>
      <c r="O231" s="14">
        <v>0</v>
      </c>
      <c r="P231" s="14"/>
      <c r="Q231" s="14"/>
      <c r="R231" s="14"/>
      <c r="S231" s="14">
        <v>0</v>
      </c>
      <c r="T231" s="14"/>
      <c r="U231" s="14"/>
      <c r="V231" s="14"/>
      <c r="W231" s="14"/>
      <c r="X231" s="14"/>
    </row>
    <row r="232" spans="1:24" ht="22" customHeight="1">
      <c r="A232" s="3" t="s">
        <v>1053</v>
      </c>
      <c r="B232" s="1"/>
      <c r="C232" s="14"/>
      <c r="D232" s="14"/>
      <c r="E232" s="14"/>
      <c r="F232" s="14"/>
      <c r="G232" s="14"/>
      <c r="H232" s="14"/>
      <c r="I232" s="14"/>
      <c r="J232" s="14"/>
      <c r="K232" s="14"/>
      <c r="L232" s="14"/>
      <c r="M232" s="15"/>
      <c r="N232" s="14"/>
      <c r="O232" s="14"/>
      <c r="P232" s="14">
        <v>0</v>
      </c>
      <c r="Q232" s="14"/>
      <c r="R232" s="14"/>
      <c r="S232" s="14"/>
      <c r="T232" s="14">
        <v>0</v>
      </c>
      <c r="U232" s="14"/>
      <c r="V232" s="14"/>
      <c r="W232" s="14"/>
      <c r="X232" s="14"/>
    </row>
    <row r="233" spans="1:24" ht="22" customHeight="1">
      <c r="A233" s="3" t="s">
        <v>1011</v>
      </c>
      <c r="B233" s="1"/>
      <c r="C233" s="14"/>
      <c r="D233" s="14"/>
      <c r="E233" s="14"/>
      <c r="F233" s="14"/>
      <c r="G233" s="14"/>
      <c r="H233" s="14"/>
      <c r="I233" s="14"/>
      <c r="J233" s="14"/>
      <c r="K233" s="14"/>
      <c r="L233" s="14"/>
      <c r="M233" s="15"/>
      <c r="N233" s="14"/>
      <c r="O233" s="14"/>
      <c r="P233" s="14"/>
      <c r="Q233" s="14"/>
      <c r="R233" s="14"/>
      <c r="S233" s="14">
        <v>14</v>
      </c>
      <c r="T233" s="14"/>
      <c r="U233" s="14"/>
      <c r="V233" s="14"/>
      <c r="W233" s="14">
        <v>12</v>
      </c>
      <c r="X233" s="14"/>
    </row>
    <row r="234" spans="1:24" ht="22" customHeight="1">
      <c r="A234" s="3" t="s">
        <v>1032</v>
      </c>
      <c r="B234" s="1"/>
      <c r="C234" s="14"/>
      <c r="D234" s="14"/>
      <c r="E234" s="14"/>
      <c r="F234" s="14"/>
      <c r="G234" s="14"/>
      <c r="H234" s="14"/>
      <c r="I234" s="14"/>
      <c r="J234" s="14"/>
      <c r="K234" s="14"/>
      <c r="L234" s="14"/>
      <c r="M234" s="15"/>
      <c r="N234" s="14"/>
      <c r="O234" s="14"/>
      <c r="P234" s="14"/>
      <c r="Q234" s="14"/>
      <c r="R234" s="14"/>
      <c r="S234" s="14">
        <v>-5</v>
      </c>
      <c r="T234" s="14"/>
      <c r="U234" s="14"/>
      <c r="V234" s="14"/>
      <c r="W234" s="14">
        <v>-4</v>
      </c>
      <c r="X234" s="14"/>
    </row>
    <row r="235" spans="1:24" ht="22" customHeight="1">
      <c r="A235" s="3" t="s">
        <v>1033</v>
      </c>
      <c r="B235" s="1"/>
      <c r="C235" s="14"/>
      <c r="D235" s="14"/>
      <c r="E235" s="14"/>
      <c r="F235" s="14"/>
      <c r="G235" s="14"/>
      <c r="H235" s="14"/>
      <c r="I235" s="14"/>
      <c r="J235" s="14"/>
      <c r="K235" s="14"/>
      <c r="L235" s="14"/>
      <c r="M235" s="15"/>
      <c r="N235" s="14"/>
      <c r="O235" s="14"/>
      <c r="P235" s="14"/>
      <c r="Q235" s="14"/>
      <c r="R235" s="14"/>
      <c r="S235" s="14">
        <v>-2</v>
      </c>
      <c r="T235" s="14"/>
      <c r="U235" s="14"/>
      <c r="V235" s="14"/>
      <c r="W235" s="14">
        <v>-2</v>
      </c>
      <c r="X235" s="14"/>
    </row>
    <row r="236" spans="1:24" ht="22" customHeight="1">
      <c r="A236" s="3" t="s">
        <v>1034</v>
      </c>
      <c r="B236" s="1"/>
      <c r="C236" s="14"/>
      <c r="D236" s="14"/>
      <c r="E236" s="14"/>
      <c r="F236" s="14"/>
      <c r="G236" s="14"/>
      <c r="H236" s="14"/>
      <c r="I236" s="14"/>
      <c r="J236" s="14"/>
      <c r="K236" s="14"/>
      <c r="L236" s="14"/>
      <c r="M236" s="15"/>
      <c r="N236" s="14"/>
      <c r="O236" s="14"/>
      <c r="P236" s="14"/>
      <c r="Q236" s="14"/>
      <c r="R236" s="14"/>
      <c r="S236" s="14">
        <v>-12</v>
      </c>
      <c r="T236" s="14"/>
      <c r="U236" s="14"/>
      <c r="V236" s="14"/>
      <c r="W236" s="14">
        <v>-9</v>
      </c>
      <c r="X236" s="14"/>
    </row>
    <row r="237" spans="1:24" ht="22" customHeight="1">
      <c r="A237" s="3" t="s">
        <v>1054</v>
      </c>
      <c r="B237" s="1"/>
      <c r="C237" s="14"/>
      <c r="D237" s="14"/>
      <c r="E237" s="14"/>
      <c r="F237" s="14"/>
      <c r="G237" s="14"/>
      <c r="H237" s="14"/>
      <c r="I237" s="14"/>
      <c r="J237" s="14"/>
      <c r="K237" s="14"/>
      <c r="L237" s="14"/>
      <c r="M237" s="15"/>
      <c r="N237" s="14"/>
      <c r="O237" s="14"/>
      <c r="P237" s="14"/>
      <c r="Q237" s="14"/>
      <c r="R237" s="14"/>
      <c r="S237" s="14">
        <v>0</v>
      </c>
      <c r="T237" s="14"/>
      <c r="U237" s="14"/>
      <c r="V237" s="14"/>
      <c r="W237" s="14">
        <v>0</v>
      </c>
      <c r="X237" s="14"/>
    </row>
    <row r="238" spans="1:24" ht="22" customHeight="1">
      <c r="A238" s="3" t="s">
        <v>1017</v>
      </c>
      <c r="B238" s="1"/>
      <c r="C238" s="14"/>
      <c r="D238" s="14"/>
      <c r="E238" s="14"/>
      <c r="F238" s="14"/>
      <c r="G238" s="14"/>
      <c r="H238" s="14"/>
      <c r="I238" s="14"/>
      <c r="J238" s="14"/>
      <c r="K238" s="14"/>
      <c r="L238" s="14"/>
      <c r="M238" s="15"/>
      <c r="N238" s="14"/>
      <c r="O238" s="14"/>
      <c r="P238" s="14"/>
      <c r="Q238" s="14"/>
      <c r="R238" s="14"/>
      <c r="S238" s="14">
        <v>0</v>
      </c>
      <c r="T238" s="14"/>
      <c r="U238" s="14"/>
      <c r="V238" s="14"/>
      <c r="W238" s="14">
        <v>0</v>
      </c>
      <c r="X238" s="14"/>
    </row>
    <row r="239" spans="1:24" ht="24" customHeight="1">
      <c r="A239" s="16" t="s">
        <v>1051</v>
      </c>
      <c r="B239" s="17"/>
      <c r="C239" s="18"/>
      <c r="D239" s="18"/>
      <c r="E239" s="18"/>
      <c r="F239" s="18"/>
      <c r="G239" s="18"/>
      <c r="H239" s="18"/>
      <c r="I239" s="18"/>
      <c r="J239" s="18"/>
      <c r="K239" s="18"/>
      <c r="L239" s="18"/>
      <c r="M239" s="20"/>
      <c r="N239" s="18"/>
      <c r="O239" s="18"/>
      <c r="P239" s="18"/>
      <c r="Q239" s="18"/>
      <c r="R239" s="18"/>
      <c r="S239" s="18">
        <v>-5</v>
      </c>
      <c r="T239" s="18"/>
      <c r="U239" s="18"/>
      <c r="V239" s="18"/>
      <c r="W239" s="18">
        <v>-3</v>
      </c>
      <c r="X239" s="18"/>
    </row>
    <row r="240" spans="1:24" ht="24" customHeight="1">
      <c r="A240" s="16" t="s">
        <v>198</v>
      </c>
      <c r="B240" s="17"/>
      <c r="C240" s="18"/>
      <c r="D240" s="18"/>
      <c r="E240" s="18"/>
      <c r="F240" s="18"/>
      <c r="G240" s="18"/>
      <c r="H240" s="18"/>
      <c r="I240" s="18"/>
      <c r="J240" s="18"/>
      <c r="K240" s="18"/>
      <c r="L240" s="18"/>
      <c r="M240" s="20"/>
      <c r="N240" s="18"/>
      <c r="O240" s="18"/>
      <c r="P240" s="18"/>
      <c r="Q240" s="18"/>
      <c r="R240" s="18"/>
      <c r="S240" s="18">
        <v>9</v>
      </c>
      <c r="T240" s="18"/>
      <c r="U240" s="18"/>
      <c r="V240" s="18"/>
      <c r="W240" s="18">
        <v>14</v>
      </c>
      <c r="X240" s="18"/>
    </row>
    <row r="241" spans="1:24" ht="22" customHeight="1">
      <c r="A241" s="3" t="s">
        <v>1011</v>
      </c>
      <c r="B241" s="1"/>
      <c r="C241" s="14"/>
      <c r="D241" s="14"/>
      <c r="E241" s="14"/>
      <c r="F241" s="14"/>
      <c r="G241" s="14"/>
      <c r="H241" s="14"/>
      <c r="I241" s="14"/>
      <c r="J241" s="14"/>
      <c r="K241" s="14"/>
      <c r="L241" s="14"/>
      <c r="M241" s="15"/>
      <c r="N241" s="14"/>
      <c r="O241" s="14"/>
      <c r="P241" s="14"/>
      <c r="Q241" s="14"/>
      <c r="R241" s="14"/>
      <c r="S241" s="14"/>
      <c r="T241" s="14">
        <v>20</v>
      </c>
      <c r="U241" s="14"/>
      <c r="V241" s="14"/>
      <c r="W241" s="14"/>
      <c r="X241" s="14">
        <v>19</v>
      </c>
    </row>
    <row r="242" spans="1:24" ht="22" customHeight="1">
      <c r="A242" s="3" t="s">
        <v>1032</v>
      </c>
      <c r="B242" s="1"/>
      <c r="C242" s="14"/>
      <c r="D242" s="14"/>
      <c r="E242" s="14"/>
      <c r="F242" s="14"/>
      <c r="G242" s="14"/>
      <c r="H242" s="14"/>
      <c r="I242" s="14"/>
      <c r="J242" s="14"/>
      <c r="K242" s="14"/>
      <c r="L242" s="14"/>
      <c r="M242" s="15"/>
      <c r="N242" s="14"/>
      <c r="O242" s="14"/>
      <c r="P242" s="14"/>
      <c r="Q242" s="14"/>
      <c r="R242" s="14"/>
      <c r="S242" s="14"/>
      <c r="T242" s="14">
        <v>-8</v>
      </c>
      <c r="U242" s="14"/>
      <c r="V242" s="14"/>
      <c r="W242" s="14"/>
      <c r="X242" s="14">
        <v>-8</v>
      </c>
    </row>
    <row r="243" spans="1:24" ht="22" customHeight="1">
      <c r="A243" s="3" t="s">
        <v>1033</v>
      </c>
      <c r="B243" s="1"/>
      <c r="C243" s="14"/>
      <c r="D243" s="14"/>
      <c r="E243" s="14"/>
      <c r="F243" s="14"/>
      <c r="G243" s="14"/>
      <c r="H243" s="14"/>
      <c r="I243" s="14"/>
      <c r="J243" s="14"/>
      <c r="K243" s="14"/>
      <c r="L243" s="14"/>
      <c r="M243" s="15"/>
      <c r="N243" s="14"/>
      <c r="O243" s="14"/>
      <c r="P243" s="14"/>
      <c r="Q243" s="14"/>
      <c r="R243" s="14"/>
      <c r="S243" s="14"/>
      <c r="T243" s="14">
        <v>-3</v>
      </c>
      <c r="U243" s="14"/>
      <c r="V243" s="14"/>
      <c r="W243" s="14"/>
      <c r="X243" s="14">
        <v>-3</v>
      </c>
    </row>
    <row r="244" spans="1:24" ht="22" customHeight="1">
      <c r="A244" s="3" t="s">
        <v>1034</v>
      </c>
      <c r="B244" s="1"/>
      <c r="C244" s="14"/>
      <c r="D244" s="14"/>
      <c r="E244" s="14"/>
      <c r="F244" s="14"/>
      <c r="G244" s="14"/>
      <c r="H244" s="14"/>
      <c r="I244" s="14"/>
      <c r="J244" s="14"/>
      <c r="K244" s="14"/>
      <c r="L244" s="14"/>
      <c r="M244" s="15"/>
      <c r="N244" s="14"/>
      <c r="O244" s="14"/>
      <c r="P244" s="14"/>
      <c r="Q244" s="14"/>
      <c r="R244" s="14"/>
      <c r="S244" s="14"/>
      <c r="T244" s="14">
        <v>-17</v>
      </c>
      <c r="U244" s="14"/>
      <c r="V244" s="14"/>
      <c r="W244" s="14"/>
      <c r="X244" s="14">
        <v>-14</v>
      </c>
    </row>
    <row r="245" spans="1:24" ht="22" customHeight="1">
      <c r="A245" s="3" t="s">
        <v>1053</v>
      </c>
      <c r="B245" s="1"/>
      <c r="C245" s="14"/>
      <c r="D245" s="14"/>
      <c r="E245" s="14"/>
      <c r="F245" s="14"/>
      <c r="G245" s="14"/>
      <c r="H245" s="14"/>
      <c r="I245" s="14"/>
      <c r="J245" s="14"/>
      <c r="K245" s="14"/>
      <c r="L245" s="14"/>
      <c r="M245" s="15"/>
      <c r="N245" s="14"/>
      <c r="O245" s="14"/>
      <c r="P245" s="14"/>
      <c r="Q245" s="14"/>
      <c r="R245" s="14"/>
      <c r="S245" s="14"/>
      <c r="T245" s="14">
        <v>0</v>
      </c>
      <c r="U245" s="14"/>
      <c r="V245" s="14"/>
      <c r="W245" s="14"/>
      <c r="X245" s="14">
        <v>0</v>
      </c>
    </row>
    <row r="246" spans="1:24" ht="22" customHeight="1">
      <c r="A246" s="3" t="s">
        <v>1017</v>
      </c>
      <c r="B246" s="1"/>
      <c r="C246" s="14"/>
      <c r="D246" s="14"/>
      <c r="E246" s="14"/>
      <c r="F246" s="14"/>
      <c r="G246" s="14"/>
      <c r="H246" s="14"/>
      <c r="I246" s="14"/>
      <c r="J246" s="14"/>
      <c r="K246" s="14"/>
      <c r="L246" s="14"/>
      <c r="M246" s="15"/>
      <c r="N246" s="14"/>
      <c r="O246" s="14"/>
      <c r="P246" s="14"/>
      <c r="Q246" s="14"/>
      <c r="R246" s="14"/>
      <c r="S246" s="14"/>
      <c r="T246" s="14">
        <v>0</v>
      </c>
      <c r="U246" s="14"/>
      <c r="V246" s="14"/>
      <c r="W246" s="14"/>
      <c r="X246" s="14">
        <v>0</v>
      </c>
    </row>
    <row r="247" spans="1:24" ht="36" customHeight="1">
      <c r="A247" s="16" t="s">
        <v>1037</v>
      </c>
      <c r="B247" s="17"/>
      <c r="C247" s="18"/>
      <c r="D247" s="18"/>
      <c r="E247" s="18"/>
      <c r="F247" s="18"/>
      <c r="G247" s="18"/>
      <c r="H247" s="18"/>
      <c r="I247" s="18"/>
      <c r="J247" s="18"/>
      <c r="K247" s="18"/>
      <c r="L247" s="18"/>
      <c r="M247" s="20"/>
      <c r="N247" s="18"/>
      <c r="O247" s="18"/>
      <c r="P247" s="18"/>
      <c r="Q247" s="18"/>
      <c r="R247" s="18"/>
      <c r="S247" s="18"/>
      <c r="T247" s="18">
        <v>-8</v>
      </c>
      <c r="U247" s="18"/>
      <c r="V247" s="18"/>
      <c r="W247" s="18"/>
      <c r="X247" s="18">
        <v>-6</v>
      </c>
    </row>
    <row r="248" spans="1:24" ht="24" customHeight="1">
      <c r="A248" s="16" t="s">
        <v>198</v>
      </c>
      <c r="B248" s="17"/>
      <c r="C248" s="18"/>
      <c r="D248" s="18"/>
      <c r="E248" s="18"/>
      <c r="F248" s="18"/>
      <c r="G248" s="18"/>
      <c r="H248" s="18"/>
      <c r="I248" s="18"/>
      <c r="J248" s="18"/>
      <c r="K248" s="18"/>
      <c r="L248" s="18"/>
      <c r="M248" s="20"/>
      <c r="N248" s="18"/>
      <c r="O248" s="18"/>
      <c r="P248" s="18"/>
      <c r="Q248" s="18"/>
      <c r="R248" s="18"/>
      <c r="S248" s="18"/>
      <c r="T248" s="18">
        <v>14</v>
      </c>
      <c r="U248" s="18"/>
      <c r="V248" s="18"/>
      <c r="W248" s="18"/>
      <c r="X248" s="18">
        <v>19</v>
      </c>
    </row>
    <row r="249" spans="1:24" ht="22" customHeight="1">
      <c r="A249" s="3"/>
      <c r="B249" s="1"/>
      <c r="C249" s="2"/>
      <c r="D249" s="2"/>
      <c r="E249" s="2"/>
      <c r="F249" s="2"/>
      <c r="G249" s="2"/>
      <c r="H249" s="2"/>
      <c r="I249" s="2"/>
      <c r="J249" s="2"/>
      <c r="K249" s="2"/>
      <c r="L249" s="2"/>
      <c r="M249" s="2"/>
      <c r="N249" s="2"/>
      <c r="O249" s="2"/>
      <c r="P249" s="2"/>
      <c r="Q249" s="2"/>
      <c r="R249" s="2"/>
      <c r="S249" s="2"/>
      <c r="T249" s="2"/>
      <c r="U249" s="2"/>
      <c r="V249" s="2"/>
      <c r="W249" s="2"/>
      <c r="X249" s="2"/>
    </row>
  </sheetData>
  <mergeCells count="50">
    <mergeCell ref="A220:L220"/>
    <mergeCell ref="N220:X220"/>
    <mergeCell ref="A160:X160"/>
    <mergeCell ref="A161:X161"/>
    <mergeCell ref="A162:L162"/>
    <mergeCell ref="N162:X162"/>
    <mergeCell ref="A191:L191"/>
    <mergeCell ref="N191:X191"/>
    <mergeCell ref="A136:L136"/>
    <mergeCell ref="N136:X136"/>
    <mergeCell ref="A141:L141"/>
    <mergeCell ref="N141:X141"/>
    <mergeCell ref="A151:L151"/>
    <mergeCell ref="N151:X151"/>
    <mergeCell ref="A112:X112"/>
    <mergeCell ref="A113:X113"/>
    <mergeCell ref="A114:L114"/>
    <mergeCell ref="N114:X114"/>
    <mergeCell ref="A126:L126"/>
    <mergeCell ref="N126:X126"/>
    <mergeCell ref="A86:L86"/>
    <mergeCell ref="N86:X86"/>
    <mergeCell ref="A91:L91"/>
    <mergeCell ref="N91:X91"/>
    <mergeCell ref="A101:L101"/>
    <mergeCell ref="N101:X101"/>
    <mergeCell ref="A62:X62"/>
    <mergeCell ref="A63:X63"/>
    <mergeCell ref="A64:L64"/>
    <mergeCell ref="N64:X64"/>
    <mergeCell ref="A76:L76"/>
    <mergeCell ref="N76:X76"/>
    <mergeCell ref="A36:L36"/>
    <mergeCell ref="N36:X36"/>
    <mergeCell ref="A41:L41"/>
    <mergeCell ref="N41:X41"/>
    <mergeCell ref="A51:L51"/>
    <mergeCell ref="N51:X51"/>
    <mergeCell ref="A12:X12"/>
    <mergeCell ref="A13:X13"/>
    <mergeCell ref="A14:L14"/>
    <mergeCell ref="N14:X14"/>
    <mergeCell ref="A26:L26"/>
    <mergeCell ref="N26:X26"/>
    <mergeCell ref="A1:X1"/>
    <mergeCell ref="A2:X2"/>
    <mergeCell ref="C7:L7"/>
    <mergeCell ref="N7:X7"/>
    <mergeCell ref="C8:L8"/>
    <mergeCell ref="N8:X8"/>
  </mergeCells>
  <phoneticPr fontId="44" type="noConversion"/>
  <conditionalFormatting sqref="C58:X60">
    <cfRule type="cellIs" dxfId="7" priority="1" operator="greaterThan">
      <formula>1</formula>
    </cfRule>
    <cfRule type="cellIs" dxfId="6" priority="2" operator="lessThan">
      <formula>-1</formula>
    </cfRule>
  </conditionalFormatting>
  <conditionalFormatting sqref="C108:X110">
    <cfRule type="cellIs" dxfId="5" priority="7" operator="greaterThan">
      <formula>1</formula>
    </cfRule>
    <cfRule type="cellIs" dxfId="4" priority="8" operator="lessThan">
      <formula>-1</formula>
    </cfRule>
  </conditionalFormatting>
  <conditionalFormatting sqref="C156:X158">
    <cfRule type="cellIs" dxfId="3" priority="13" operator="greaterThan">
      <formula>1</formula>
    </cfRule>
    <cfRule type="cellIs" dxfId="2" priority="14" operator="lessThan">
      <formula>-1</formula>
    </cfRule>
  </conditionalFormatting>
  <hyperlinks>
    <hyperlink ref="A3" location="'Contents'!A1" display="Metric (Return to Contents)" xr:uid="{00000000-0004-0000-0C00-000000000000}"/>
    <hyperlink ref="C7" location="'Pension &amp; Retiree Medical'!A12" display="U.S. pension plans" xr:uid="{00000000-0004-0000-0C00-000001000000}"/>
    <hyperlink ref="N7" location="'Pension &amp; Retiree Medical'!A62" display="International pension plans" xr:uid="{00000000-0004-0000-0C00-000002000000}"/>
    <hyperlink ref="C8" location="'Pension &amp; Retiree Medical'!A112" display="Retiree Medical" xr:uid="{00000000-0004-0000-0C00-000003000000}"/>
    <hyperlink ref="N8" location="'Pension &amp; Retiree Medical'!A160" display="Recent benefit costs: YTD" xr:uid="{00000000-0004-0000-0C00-000004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B08958"/>
  </sheetPr>
  <dimension ref="A1:X156"/>
  <sheetViews>
    <sheetView showGridLines="0" workbookViewId="0">
      <pane xSplit="2" ySplit="5" topLeftCell="C6" activePane="bottomRight" state="frozen"/>
      <selection pane="topRight"/>
      <selection pane="bottomLeft"/>
      <selection pane="bottomRight" activeCell="C6" sqref="C6"/>
    </sheetView>
  </sheetViews>
  <sheetFormatPr baseColWidth="10" defaultColWidth="8.83203125" defaultRowHeight="14"/>
  <cols>
    <col min="1" max="1" width="60" customWidth="1"/>
    <col min="2" max="2" width="2.1640625" customWidth="1"/>
    <col min="3" max="12" width="12.1640625" customWidth="1"/>
    <col min="13" max="13" width="3" customWidth="1"/>
    <col min="14" max="24" width="12.1640625" customWidth="1"/>
  </cols>
  <sheetData>
    <row r="1" spans="1:24" ht="28" customHeight="1">
      <c r="A1" s="155" t="s">
        <v>1056</v>
      </c>
      <c r="B1" s="155"/>
      <c r="C1" s="155"/>
      <c r="D1" s="155"/>
      <c r="E1" s="155"/>
      <c r="F1" s="155"/>
      <c r="G1" s="155"/>
      <c r="H1" s="155"/>
      <c r="I1" s="155"/>
      <c r="J1" s="155"/>
      <c r="K1" s="155"/>
      <c r="L1" s="155"/>
      <c r="M1" s="155"/>
      <c r="N1" s="155"/>
      <c r="O1" s="155"/>
      <c r="P1" s="155"/>
      <c r="Q1" s="155"/>
      <c r="R1" s="155"/>
      <c r="S1" s="155"/>
      <c r="T1" s="155"/>
      <c r="U1" s="155"/>
      <c r="V1" s="155"/>
      <c r="W1" s="155"/>
      <c r="X1" s="155"/>
    </row>
    <row r="2" spans="1:24" ht="18" customHeight="1">
      <c r="A2" s="158" t="s">
        <v>208</v>
      </c>
      <c r="B2" s="158"/>
      <c r="C2" s="158"/>
      <c r="D2" s="158"/>
      <c r="E2" s="158"/>
      <c r="F2" s="158"/>
      <c r="G2" s="158"/>
      <c r="H2" s="158"/>
      <c r="I2" s="158"/>
      <c r="J2" s="158"/>
      <c r="K2" s="158"/>
      <c r="L2" s="158"/>
      <c r="M2" s="158"/>
      <c r="N2" s="158"/>
      <c r="O2" s="158"/>
      <c r="P2" s="158"/>
      <c r="Q2" s="158"/>
      <c r="R2" s="158"/>
      <c r="S2" s="158"/>
      <c r="T2" s="158"/>
      <c r="U2" s="158"/>
      <c r="V2" s="158"/>
      <c r="W2" s="158"/>
      <c r="X2" s="158"/>
    </row>
    <row r="3" spans="1:24" ht="24" customHeight="1">
      <c r="A3" s="5" t="s">
        <v>209</v>
      </c>
      <c r="B3" s="1"/>
      <c r="C3" s="7" t="s">
        <v>35</v>
      </c>
      <c r="D3" s="7" t="s">
        <v>36</v>
      </c>
      <c r="E3" s="7" t="s">
        <v>37</v>
      </c>
      <c r="F3" s="7" t="s">
        <v>38</v>
      </c>
      <c r="G3" s="7" t="s">
        <v>39</v>
      </c>
      <c r="H3" s="7" t="s">
        <v>40</v>
      </c>
      <c r="I3" s="7" t="s">
        <v>41</v>
      </c>
      <c r="J3" s="7" t="s">
        <v>42</v>
      </c>
      <c r="K3" s="7" t="s">
        <v>43</v>
      </c>
      <c r="L3" s="7" t="s">
        <v>44</v>
      </c>
      <c r="M3" s="1"/>
      <c r="N3" s="10" t="s">
        <v>45</v>
      </c>
      <c r="O3" s="10" t="s">
        <v>46</v>
      </c>
      <c r="P3" s="10" t="s">
        <v>47</v>
      </c>
      <c r="Q3" s="10" t="s">
        <v>48</v>
      </c>
      <c r="R3" s="10" t="s">
        <v>49</v>
      </c>
      <c r="S3" s="10" t="s">
        <v>50</v>
      </c>
      <c r="T3" s="10" t="s">
        <v>51</v>
      </c>
      <c r="U3" s="10" t="s">
        <v>52</v>
      </c>
      <c r="V3" s="10" t="s">
        <v>53</v>
      </c>
      <c r="W3" s="10" t="s">
        <v>54</v>
      </c>
      <c r="X3" s="10" t="s">
        <v>55</v>
      </c>
    </row>
    <row r="4" spans="1:24" ht="18" customHeight="1">
      <c r="A4" s="1"/>
      <c r="B4" s="1"/>
      <c r="C4" s="8">
        <v>42735</v>
      </c>
      <c r="D4" s="8">
        <v>43099</v>
      </c>
      <c r="E4" s="8">
        <v>43463</v>
      </c>
      <c r="F4" s="8">
        <v>43827</v>
      </c>
      <c r="G4" s="8">
        <v>44191</v>
      </c>
      <c r="H4" s="8">
        <v>44555</v>
      </c>
      <c r="I4" s="8">
        <v>44926</v>
      </c>
      <c r="J4" s="8">
        <v>45290</v>
      </c>
      <c r="K4" s="8">
        <v>45654</v>
      </c>
      <c r="L4" s="8">
        <v>46018</v>
      </c>
      <c r="M4" s="1"/>
      <c r="N4" s="8">
        <v>45374</v>
      </c>
      <c r="O4" s="8">
        <v>45458</v>
      </c>
      <c r="P4" s="8">
        <v>45542</v>
      </c>
      <c r="Q4" s="8">
        <v>45654</v>
      </c>
      <c r="R4" s="8">
        <v>45738</v>
      </c>
      <c r="S4" s="8">
        <v>45822</v>
      </c>
      <c r="T4" s="8">
        <v>45906</v>
      </c>
      <c r="U4" s="8">
        <v>46018</v>
      </c>
      <c r="V4" s="8">
        <v>46102</v>
      </c>
      <c r="W4" s="8">
        <v>46186</v>
      </c>
      <c r="X4" s="8">
        <v>46270</v>
      </c>
    </row>
    <row r="5" spans="1:24" ht="18" customHeight="1">
      <c r="A5" s="4" t="s">
        <v>210</v>
      </c>
      <c r="B5" s="1"/>
      <c r="C5" s="9" t="s">
        <v>211</v>
      </c>
      <c r="D5" s="9" t="s">
        <v>211</v>
      </c>
      <c r="E5" s="9" t="s">
        <v>211</v>
      </c>
      <c r="F5" s="9" t="s">
        <v>211</v>
      </c>
      <c r="G5" s="9" t="s">
        <v>211</v>
      </c>
      <c r="H5" s="9" t="s">
        <v>211</v>
      </c>
      <c r="I5" s="9" t="s">
        <v>211</v>
      </c>
      <c r="J5" s="9" t="s">
        <v>211</v>
      </c>
      <c r="K5" s="9" t="s">
        <v>211</v>
      </c>
      <c r="L5" s="9" t="s">
        <v>211</v>
      </c>
      <c r="M5" s="1"/>
      <c r="N5" s="9" t="s">
        <v>212</v>
      </c>
      <c r="O5" s="9" t="s">
        <v>212</v>
      </c>
      <c r="P5" s="9" t="s">
        <v>212</v>
      </c>
      <c r="Q5" s="9" t="s">
        <v>212</v>
      </c>
      <c r="R5" s="9" t="s">
        <v>212</v>
      </c>
      <c r="S5" s="9" t="s">
        <v>212</v>
      </c>
      <c r="T5" s="9" t="s">
        <v>212</v>
      </c>
      <c r="U5" s="9" t="s">
        <v>212</v>
      </c>
      <c r="V5" s="9" t="s">
        <v>212</v>
      </c>
      <c r="W5" s="9" t="s">
        <v>212</v>
      </c>
      <c r="X5" s="9" t="s">
        <v>212</v>
      </c>
    </row>
    <row r="6" spans="1:24" ht="8" customHeight="1">
      <c r="A6" s="1"/>
      <c r="B6" s="1"/>
      <c r="C6" s="1"/>
      <c r="D6" s="1"/>
      <c r="E6" s="1"/>
      <c r="F6" s="1"/>
      <c r="G6" s="1"/>
      <c r="H6" s="1"/>
      <c r="I6" s="1"/>
      <c r="J6" s="1"/>
      <c r="K6" s="1"/>
      <c r="L6" s="1"/>
      <c r="M6" s="1"/>
      <c r="N6" s="1"/>
      <c r="O6" s="1"/>
      <c r="P6" s="1"/>
      <c r="Q6" s="1"/>
      <c r="R6" s="1"/>
      <c r="S6" s="1"/>
      <c r="T6" s="1"/>
      <c r="U6" s="1"/>
      <c r="V6" s="1"/>
      <c r="W6" s="1"/>
      <c r="X6" s="1"/>
    </row>
    <row r="7" spans="1:24" ht="22" customHeight="1">
      <c r="A7" s="11" t="s">
        <v>213</v>
      </c>
      <c r="B7" s="1"/>
      <c r="C7" s="176" t="s">
        <v>1057</v>
      </c>
      <c r="D7" s="176"/>
      <c r="E7" s="176"/>
      <c r="F7" s="176"/>
      <c r="G7" s="176"/>
      <c r="H7" s="176"/>
      <c r="I7" s="176"/>
      <c r="J7" s="176"/>
      <c r="K7" s="176"/>
      <c r="L7" s="176"/>
      <c r="M7" s="2"/>
      <c r="N7" s="176" t="s">
        <v>1058</v>
      </c>
      <c r="O7" s="176"/>
      <c r="P7" s="176"/>
      <c r="Q7" s="176"/>
      <c r="R7" s="176"/>
      <c r="S7" s="176"/>
      <c r="T7" s="176"/>
      <c r="U7" s="176"/>
      <c r="V7" s="176"/>
      <c r="W7" s="176"/>
      <c r="X7" s="176"/>
    </row>
    <row r="8" spans="1:24" ht="22" customHeight="1">
      <c r="A8" s="3"/>
      <c r="B8" s="1"/>
      <c r="C8" s="176" t="s">
        <v>1059</v>
      </c>
      <c r="D8" s="176"/>
      <c r="E8" s="176"/>
      <c r="F8" s="176"/>
      <c r="G8" s="176"/>
      <c r="H8" s="176"/>
      <c r="I8" s="176"/>
      <c r="J8" s="176"/>
      <c r="K8" s="176"/>
      <c r="L8" s="176"/>
      <c r="M8" s="2"/>
      <c r="N8" s="176" t="s">
        <v>1060</v>
      </c>
      <c r="O8" s="176"/>
      <c r="P8" s="176"/>
      <c r="Q8" s="176"/>
      <c r="R8" s="176"/>
      <c r="S8" s="176"/>
      <c r="T8" s="176"/>
      <c r="U8" s="176"/>
      <c r="V8" s="176"/>
      <c r="W8" s="176"/>
      <c r="X8" s="176"/>
    </row>
    <row r="9" spans="1:24" ht="22" customHeight="1">
      <c r="A9" s="3"/>
      <c r="B9" s="1"/>
      <c r="C9" s="176" t="s">
        <v>1061</v>
      </c>
      <c r="D9" s="176"/>
      <c r="E9" s="176"/>
      <c r="F9" s="176"/>
      <c r="G9" s="176"/>
      <c r="H9" s="176"/>
      <c r="I9" s="176"/>
      <c r="J9" s="176"/>
      <c r="K9" s="176"/>
      <c r="L9" s="176"/>
      <c r="M9" s="2"/>
      <c r="N9" s="176" t="s">
        <v>1062</v>
      </c>
      <c r="O9" s="176"/>
      <c r="P9" s="176"/>
      <c r="Q9" s="176"/>
      <c r="R9" s="176"/>
      <c r="S9" s="176"/>
      <c r="T9" s="176"/>
      <c r="U9" s="176"/>
      <c r="V9" s="176"/>
      <c r="W9" s="176"/>
      <c r="X9" s="176"/>
    </row>
    <row r="10" spans="1:24" ht="22" customHeight="1">
      <c r="A10" s="3"/>
      <c r="B10" s="1"/>
      <c r="C10" s="176" t="s">
        <v>1063</v>
      </c>
      <c r="D10" s="176"/>
      <c r="E10" s="176"/>
      <c r="F10" s="176"/>
      <c r="G10" s="176"/>
      <c r="H10" s="176"/>
      <c r="I10" s="176"/>
      <c r="J10" s="176"/>
      <c r="K10" s="176"/>
      <c r="L10" s="176"/>
      <c r="M10" s="2"/>
      <c r="N10" s="2"/>
      <c r="O10" s="2"/>
      <c r="P10" s="2"/>
      <c r="Q10" s="2"/>
      <c r="R10" s="2"/>
      <c r="S10" s="2"/>
      <c r="T10" s="2"/>
      <c r="U10" s="2"/>
      <c r="V10" s="2"/>
      <c r="W10" s="2"/>
      <c r="X10" s="2"/>
    </row>
    <row r="11" spans="1:24" ht="22" customHeight="1">
      <c r="A11" s="3"/>
      <c r="B11" s="1"/>
      <c r="C11" s="2"/>
      <c r="D11" s="2"/>
      <c r="E11" s="2"/>
      <c r="F11" s="2"/>
      <c r="G11" s="2"/>
      <c r="H11" s="2"/>
      <c r="I11" s="2"/>
      <c r="J11" s="2"/>
      <c r="K11" s="2"/>
      <c r="L11" s="2"/>
      <c r="M11" s="2"/>
      <c r="N11" s="2"/>
      <c r="O11" s="2"/>
      <c r="P11" s="2"/>
      <c r="Q11" s="2"/>
      <c r="R11" s="2"/>
      <c r="S11" s="2"/>
      <c r="T11" s="2"/>
      <c r="U11" s="2"/>
      <c r="V11" s="2"/>
      <c r="W11" s="2"/>
      <c r="X11" s="2"/>
    </row>
    <row r="12" spans="1:24" ht="22" customHeight="1">
      <c r="A12" s="3"/>
      <c r="B12" s="1"/>
      <c r="C12" s="2"/>
      <c r="D12" s="2"/>
      <c r="E12" s="2"/>
      <c r="F12" s="2"/>
      <c r="G12" s="2"/>
      <c r="H12" s="2"/>
      <c r="I12" s="2"/>
      <c r="J12" s="2"/>
      <c r="K12" s="2"/>
      <c r="L12" s="2"/>
      <c r="M12" s="2"/>
      <c r="N12" s="2"/>
      <c r="O12" s="2"/>
      <c r="P12" s="2"/>
      <c r="Q12" s="2"/>
      <c r="R12" s="2"/>
      <c r="S12" s="2"/>
      <c r="T12" s="2"/>
      <c r="U12" s="2"/>
      <c r="V12" s="2"/>
      <c r="W12" s="2"/>
      <c r="X12" s="2"/>
    </row>
    <row r="13" spans="1:24" ht="22" customHeight="1">
      <c r="A13" s="3"/>
      <c r="B13" s="1"/>
      <c r="C13" s="2"/>
      <c r="D13" s="2"/>
      <c r="E13" s="2"/>
      <c r="F13" s="2"/>
      <c r="G13" s="2"/>
      <c r="H13" s="2"/>
      <c r="I13" s="2"/>
      <c r="J13" s="2"/>
      <c r="K13" s="2"/>
      <c r="L13" s="2"/>
      <c r="M13" s="2"/>
      <c r="N13" s="2"/>
      <c r="O13" s="2"/>
      <c r="P13" s="2"/>
      <c r="Q13" s="2"/>
      <c r="R13" s="2"/>
      <c r="S13" s="2"/>
      <c r="T13" s="2"/>
      <c r="U13" s="2"/>
      <c r="V13" s="2"/>
      <c r="W13" s="2"/>
      <c r="X13" s="2"/>
    </row>
    <row r="14" spans="1:24" ht="22" customHeight="1">
      <c r="A14" s="174" t="s">
        <v>1057</v>
      </c>
      <c r="B14" s="174"/>
      <c r="C14" s="175"/>
      <c r="D14" s="175"/>
      <c r="E14" s="175"/>
      <c r="F14" s="175"/>
      <c r="G14" s="175"/>
      <c r="H14" s="175"/>
      <c r="I14" s="175"/>
      <c r="J14" s="175"/>
      <c r="K14" s="175"/>
      <c r="L14" s="175"/>
      <c r="M14" s="175"/>
      <c r="N14" s="175"/>
      <c r="O14" s="175"/>
      <c r="P14" s="175"/>
      <c r="Q14" s="175"/>
      <c r="R14" s="175"/>
      <c r="S14" s="175"/>
      <c r="T14" s="175"/>
      <c r="U14" s="175"/>
      <c r="V14" s="175"/>
      <c r="W14" s="175"/>
      <c r="X14" s="175"/>
    </row>
    <row r="15" spans="1:24" ht="18" customHeight="1">
      <c r="A15" s="163" t="s">
        <v>1064</v>
      </c>
      <c r="B15" s="163"/>
      <c r="C15" s="173"/>
      <c r="D15" s="173"/>
      <c r="E15" s="173"/>
      <c r="F15" s="173"/>
      <c r="G15" s="173"/>
      <c r="H15" s="173"/>
      <c r="I15" s="173"/>
      <c r="J15" s="173"/>
      <c r="K15" s="173"/>
      <c r="L15" s="173"/>
      <c r="M15" s="173"/>
      <c r="N15" s="173"/>
      <c r="O15" s="173"/>
      <c r="P15" s="173"/>
      <c r="Q15" s="173"/>
      <c r="R15" s="173"/>
      <c r="S15" s="173"/>
      <c r="T15" s="173"/>
      <c r="U15" s="173"/>
      <c r="V15" s="173"/>
      <c r="W15" s="173"/>
      <c r="X15" s="173"/>
    </row>
    <row r="16" spans="1:24" ht="22" customHeight="1">
      <c r="A16" s="3" t="s">
        <v>324</v>
      </c>
      <c r="B16" s="1"/>
      <c r="C16" s="14">
        <v>10663</v>
      </c>
      <c r="D16" s="14">
        <v>10030</v>
      </c>
      <c r="E16" s="14">
        <v>9415</v>
      </c>
      <c r="F16" s="14">
        <v>9649</v>
      </c>
      <c r="G16" s="14">
        <v>10613</v>
      </c>
      <c r="H16" s="14">
        <v>11616</v>
      </c>
      <c r="I16" s="14">
        <v>10811</v>
      </c>
      <c r="J16" s="14">
        <v>13442</v>
      </c>
      <c r="K16" s="14">
        <v>12507</v>
      </c>
      <c r="L16" s="14">
        <v>12087</v>
      </c>
      <c r="M16" s="15"/>
      <c r="N16" s="14">
        <v>-1041</v>
      </c>
      <c r="O16" s="14">
        <v>1315</v>
      </c>
      <c r="P16" s="14">
        <v>6220</v>
      </c>
      <c r="Q16" s="13">
        <f>IF(COUNT('Core Reconciliations'!K16)=1,'Core Reconciliations'!K16,"")</f>
        <v>12507</v>
      </c>
      <c r="R16" s="14">
        <v>-973</v>
      </c>
      <c r="S16" s="14">
        <v>996</v>
      </c>
      <c r="T16" s="14">
        <v>5468</v>
      </c>
      <c r="U16" s="13">
        <f>IF(COUNT('Core Reconciliations'!L16)=1,'Core Reconciliations'!L16,"")</f>
        <v>12087</v>
      </c>
      <c r="V16" s="14">
        <v>41</v>
      </c>
      <c r="W16" s="14">
        <v>2365</v>
      </c>
      <c r="X16" s="14">
        <v>7950</v>
      </c>
    </row>
    <row r="17" spans="1:24" ht="20" customHeight="1">
      <c r="A17" s="21" t="s">
        <v>1065</v>
      </c>
      <c r="B17" s="1"/>
      <c r="C17" s="22"/>
      <c r="D17" s="22"/>
      <c r="E17" s="22">
        <v>-0.06</v>
      </c>
      <c r="F17" s="22"/>
      <c r="G17" s="22"/>
      <c r="H17" s="22"/>
      <c r="I17" s="22"/>
      <c r="J17" s="22"/>
      <c r="K17" s="22"/>
      <c r="L17" s="22"/>
      <c r="M17" s="24"/>
      <c r="N17" s="22"/>
      <c r="O17" s="22"/>
      <c r="P17" s="22"/>
      <c r="Q17" s="22"/>
      <c r="R17" s="22"/>
      <c r="S17" s="22"/>
      <c r="T17" s="22"/>
      <c r="U17" s="22"/>
      <c r="V17" s="22"/>
      <c r="W17" s="22"/>
      <c r="X17" s="22"/>
    </row>
    <row r="18" spans="1:24" ht="22" customHeight="1">
      <c r="A18" s="3" t="s">
        <v>101</v>
      </c>
      <c r="B18" s="1"/>
      <c r="C18" s="14">
        <v>-3040</v>
      </c>
      <c r="D18" s="14">
        <v>-2969</v>
      </c>
      <c r="E18" s="14">
        <v>-3282</v>
      </c>
      <c r="F18" s="14">
        <v>-4232</v>
      </c>
      <c r="G18" s="14">
        <v>-4240</v>
      </c>
      <c r="H18" s="14">
        <v>-4625</v>
      </c>
      <c r="I18" s="14">
        <v>-5207</v>
      </c>
      <c r="J18" s="14">
        <v>-5518</v>
      </c>
      <c r="K18" s="14">
        <v>-5318</v>
      </c>
      <c r="L18" s="14">
        <v>-4415</v>
      </c>
      <c r="M18" s="15"/>
      <c r="N18" s="14">
        <v>-614</v>
      </c>
      <c r="O18" s="14">
        <v>-1701</v>
      </c>
      <c r="P18" s="14">
        <v>-2850</v>
      </c>
      <c r="Q18" s="13">
        <f>IF(COUNT('Core Reconciliations'!K18)=1,'Core Reconciliations'!K18,"")</f>
        <v>-5318</v>
      </c>
      <c r="R18" s="14">
        <v>-603</v>
      </c>
      <c r="S18" s="14">
        <v>-1507</v>
      </c>
      <c r="T18" s="14">
        <v>-2499</v>
      </c>
      <c r="U18" s="13">
        <f>IF(COUNT('Core Reconciliations'!L18)=1,'Core Reconciliations'!L18,"")</f>
        <v>-4415</v>
      </c>
      <c r="V18" s="14">
        <v>-447</v>
      </c>
      <c r="W18" s="14">
        <v>-1266</v>
      </c>
      <c r="X18" s="14">
        <v>-2182</v>
      </c>
    </row>
    <row r="19" spans="1:24" ht="22" customHeight="1">
      <c r="A19" s="3" t="s">
        <v>327</v>
      </c>
      <c r="B19" s="1"/>
      <c r="C19" s="14">
        <v>99</v>
      </c>
      <c r="D19" s="14">
        <v>180</v>
      </c>
      <c r="E19" s="14">
        <v>134</v>
      </c>
      <c r="F19" s="14">
        <v>170</v>
      </c>
      <c r="G19" s="14">
        <v>55</v>
      </c>
      <c r="H19" s="14">
        <v>166</v>
      </c>
      <c r="I19" s="14">
        <v>251</v>
      </c>
      <c r="J19" s="14">
        <v>198</v>
      </c>
      <c r="K19" s="14">
        <v>342</v>
      </c>
      <c r="L19" s="14">
        <v>528</v>
      </c>
      <c r="M19" s="15"/>
      <c r="N19" s="14">
        <v>7</v>
      </c>
      <c r="O19" s="14">
        <v>127</v>
      </c>
      <c r="P19" s="14">
        <v>177</v>
      </c>
      <c r="Q19" s="13">
        <f>IF(COUNT('Core Reconciliations'!K19)=1,'Core Reconciliations'!K19,"")</f>
        <v>342</v>
      </c>
      <c r="R19" s="14">
        <v>132</v>
      </c>
      <c r="S19" s="14">
        <v>169</v>
      </c>
      <c r="T19" s="14">
        <v>272</v>
      </c>
      <c r="U19" s="13">
        <f>IF(COUNT('Core Reconciliations'!L19)=1,'Core Reconciliations'!L19,"")</f>
        <v>528</v>
      </c>
      <c r="V19" s="14">
        <v>13</v>
      </c>
      <c r="W19" s="14">
        <v>71</v>
      </c>
      <c r="X19" s="14">
        <v>89</v>
      </c>
    </row>
    <row r="20" spans="1:24" ht="22" customHeight="1">
      <c r="A20" s="3" t="s">
        <v>1066</v>
      </c>
      <c r="B20" s="1"/>
      <c r="C20" s="14">
        <v>7722</v>
      </c>
      <c r="D20" s="14">
        <v>7241</v>
      </c>
      <c r="E20" s="14">
        <v>6267</v>
      </c>
      <c r="F20" s="14">
        <v>5587</v>
      </c>
      <c r="G20" s="14">
        <v>6428</v>
      </c>
      <c r="H20" s="14">
        <v>7157</v>
      </c>
      <c r="I20" s="14">
        <v>5855</v>
      </c>
      <c r="J20" s="14">
        <v>8122</v>
      </c>
      <c r="K20" s="14">
        <v>7531</v>
      </c>
      <c r="L20" s="14">
        <v>8200</v>
      </c>
      <c r="M20" s="15"/>
      <c r="N20" s="14">
        <v>-1648</v>
      </c>
      <c r="O20" s="14">
        <v>-259</v>
      </c>
      <c r="P20" s="14">
        <v>3547</v>
      </c>
      <c r="Q20" s="13">
        <f>IF(COUNT('Core Reconciliations'!K20)=1,'Core Reconciliations'!K20,"")</f>
        <v>7531</v>
      </c>
      <c r="R20" s="14">
        <v>-1444</v>
      </c>
      <c r="S20" s="14">
        <v>-342</v>
      </c>
      <c r="T20" s="14">
        <v>3241</v>
      </c>
      <c r="U20" s="13">
        <f>IF(COUNT('Core Reconciliations'!L20)=1,'Core Reconciliations'!L20,"")</f>
        <v>8200</v>
      </c>
      <c r="V20" s="14">
        <v>-393</v>
      </c>
      <c r="W20" s="14">
        <v>1170</v>
      </c>
      <c r="X20" s="14">
        <v>5857</v>
      </c>
    </row>
    <row r="21" spans="1:24" ht="20" customHeight="1">
      <c r="A21" s="21" t="s">
        <v>1067</v>
      </c>
      <c r="B21" s="1"/>
      <c r="C21" s="22"/>
      <c r="D21" s="22"/>
      <c r="E21" s="22">
        <v>-0.13</v>
      </c>
      <c r="F21" s="22"/>
      <c r="G21" s="22"/>
      <c r="H21" s="22"/>
      <c r="I21" s="22"/>
      <c r="J21" s="22"/>
      <c r="K21" s="22"/>
      <c r="L21" s="22"/>
      <c r="M21" s="24"/>
      <c r="N21" s="22"/>
      <c r="O21" s="22"/>
      <c r="P21" s="22"/>
      <c r="Q21" s="22"/>
      <c r="R21" s="22"/>
      <c r="S21" s="22"/>
      <c r="T21" s="22"/>
      <c r="U21" s="22"/>
      <c r="V21" s="22"/>
      <c r="W21" s="22"/>
      <c r="X21" s="22"/>
    </row>
    <row r="22" spans="1:24" ht="22" customHeight="1">
      <c r="A22" s="3"/>
      <c r="B22" s="1"/>
      <c r="C22" s="2"/>
      <c r="D22" s="2"/>
      <c r="E22" s="2"/>
      <c r="F22" s="2"/>
      <c r="G22" s="2"/>
      <c r="H22" s="2"/>
      <c r="I22" s="2"/>
      <c r="J22" s="2"/>
      <c r="K22" s="2"/>
      <c r="L22" s="2"/>
      <c r="M22" s="2"/>
      <c r="N22" s="2"/>
      <c r="O22" s="2"/>
      <c r="P22" s="2"/>
      <c r="Q22" s="2"/>
      <c r="R22" s="2"/>
      <c r="S22" s="2"/>
      <c r="T22" s="2"/>
      <c r="U22" s="2"/>
      <c r="V22" s="2"/>
      <c r="W22" s="2"/>
      <c r="X22" s="2"/>
    </row>
    <row r="23" spans="1:24" ht="22" customHeight="1">
      <c r="A23" s="174" t="s">
        <v>1058</v>
      </c>
      <c r="B23" s="174"/>
      <c r="C23" s="175"/>
      <c r="D23" s="175"/>
      <c r="E23" s="175"/>
      <c r="F23" s="175"/>
      <c r="G23" s="175"/>
      <c r="H23" s="175"/>
      <c r="I23" s="175"/>
      <c r="J23" s="175"/>
      <c r="K23" s="175"/>
      <c r="L23" s="175"/>
      <c r="M23" s="175"/>
      <c r="N23" s="175"/>
      <c r="O23" s="175"/>
      <c r="P23" s="175"/>
      <c r="Q23" s="175"/>
      <c r="R23" s="175"/>
      <c r="S23" s="175"/>
      <c r="T23" s="175"/>
      <c r="U23" s="175"/>
      <c r="V23" s="175"/>
      <c r="W23" s="175"/>
      <c r="X23" s="175"/>
    </row>
    <row r="24" spans="1:24" ht="18" customHeight="1">
      <c r="A24" s="163" t="s">
        <v>591</v>
      </c>
      <c r="B24" s="163"/>
      <c r="C24" s="173"/>
      <c r="D24" s="173"/>
      <c r="E24" s="173"/>
      <c r="F24" s="173"/>
      <c r="G24" s="173"/>
      <c r="H24" s="173"/>
      <c r="I24" s="173"/>
      <c r="J24" s="173"/>
      <c r="K24" s="173"/>
      <c r="L24" s="173"/>
      <c r="M24" s="173"/>
      <c r="N24" s="173"/>
      <c r="O24" s="173"/>
      <c r="P24" s="173"/>
      <c r="Q24" s="173"/>
      <c r="R24" s="173"/>
      <c r="S24" s="173"/>
      <c r="T24" s="173"/>
      <c r="U24" s="173"/>
      <c r="V24" s="173"/>
      <c r="W24" s="173"/>
      <c r="X24" s="173"/>
    </row>
    <row r="25" spans="1:24" ht="22" customHeight="1">
      <c r="A25" s="3" t="s">
        <v>1068</v>
      </c>
      <c r="B25" s="1"/>
      <c r="C25" s="14">
        <v>6329</v>
      </c>
      <c r="D25" s="14">
        <v>4857</v>
      </c>
      <c r="E25" s="14">
        <v>12515</v>
      </c>
      <c r="F25" s="14">
        <v>7314</v>
      </c>
      <c r="G25" s="14">
        <v>7120</v>
      </c>
      <c r="H25" s="14">
        <v>7618</v>
      </c>
      <c r="I25" s="14">
        <v>8910</v>
      </c>
      <c r="J25" s="14">
        <v>9074</v>
      </c>
      <c r="K25" s="14">
        <v>9578</v>
      </c>
      <c r="L25" s="14">
        <v>8240</v>
      </c>
      <c r="M25" s="15"/>
      <c r="N25" s="14"/>
      <c r="O25" s="14"/>
      <c r="P25" s="14"/>
      <c r="Q25" s="14"/>
      <c r="R25" s="14"/>
      <c r="S25" s="14"/>
      <c r="T25" s="14"/>
      <c r="U25" s="14"/>
      <c r="V25" s="14"/>
      <c r="W25" s="14"/>
      <c r="X25" s="14"/>
    </row>
    <row r="26" spans="1:24" ht="22" customHeight="1">
      <c r="A26" s="3" t="s">
        <v>1069</v>
      </c>
      <c r="B26" s="1"/>
      <c r="C26" s="14">
        <v>1342</v>
      </c>
      <c r="D26" s="14">
        <v>1151</v>
      </c>
      <c r="E26" s="14">
        <v>1525</v>
      </c>
      <c r="F26" s="14">
        <v>1135</v>
      </c>
      <c r="G26" s="14">
        <v>1252</v>
      </c>
      <c r="H26" s="14">
        <v>1988</v>
      </c>
      <c r="I26" s="14">
        <v>1119</v>
      </c>
      <c r="J26" s="14">
        <v>1437</v>
      </c>
      <c r="K26" s="14">
        <v>1606</v>
      </c>
      <c r="L26" s="14">
        <v>1840</v>
      </c>
      <c r="M26" s="15"/>
      <c r="N26" s="14"/>
      <c r="O26" s="14"/>
      <c r="P26" s="14"/>
      <c r="Q26" s="14"/>
      <c r="R26" s="14"/>
      <c r="S26" s="14"/>
      <c r="T26" s="14"/>
      <c r="U26" s="14"/>
      <c r="V26" s="14"/>
      <c r="W26" s="14"/>
      <c r="X26" s="14"/>
    </row>
    <row r="27" spans="1:24" ht="22" customHeight="1">
      <c r="A27" s="3" t="s">
        <v>1070</v>
      </c>
      <c r="B27" s="1"/>
      <c r="C27" s="14">
        <v>-483</v>
      </c>
      <c r="D27" s="14">
        <v>-415</v>
      </c>
      <c r="E27" s="14">
        <v>-339</v>
      </c>
      <c r="F27" s="14">
        <v>-252</v>
      </c>
      <c r="G27" s="14">
        <v>-278</v>
      </c>
      <c r="H27" s="14">
        <v>-441</v>
      </c>
      <c r="I27" s="14">
        <v>-248</v>
      </c>
      <c r="J27" s="14">
        <v>-319</v>
      </c>
      <c r="K27" s="14">
        <v>-357</v>
      </c>
      <c r="L27" s="14">
        <v>-410</v>
      </c>
      <c r="M27" s="15"/>
      <c r="N27" s="14"/>
      <c r="O27" s="14"/>
      <c r="P27" s="14"/>
      <c r="Q27" s="14"/>
      <c r="R27" s="14"/>
      <c r="S27" s="14"/>
      <c r="T27" s="14"/>
      <c r="U27" s="14"/>
      <c r="V27" s="14"/>
      <c r="W27" s="14"/>
      <c r="X27" s="14"/>
    </row>
    <row r="28" spans="1:24" ht="36" customHeight="1">
      <c r="A28" s="3" t="s">
        <v>1071</v>
      </c>
      <c r="B28" s="1"/>
      <c r="C28" s="14">
        <v>7188</v>
      </c>
      <c r="D28" s="14">
        <v>5593</v>
      </c>
      <c r="E28" s="14">
        <v>13701</v>
      </c>
      <c r="F28" s="14">
        <v>8197</v>
      </c>
      <c r="G28" s="14">
        <v>8094</v>
      </c>
      <c r="H28" s="14">
        <v>9165</v>
      </c>
      <c r="I28" s="14">
        <v>9781</v>
      </c>
      <c r="J28" s="14">
        <v>10192</v>
      </c>
      <c r="K28" s="14">
        <v>10827</v>
      </c>
      <c r="L28" s="14">
        <v>9670</v>
      </c>
      <c r="M28" s="15"/>
      <c r="N28" s="14"/>
      <c r="O28" s="14"/>
      <c r="P28" s="14"/>
      <c r="Q28" s="14"/>
      <c r="R28" s="14"/>
      <c r="S28" s="14"/>
      <c r="T28" s="14"/>
      <c r="U28" s="14"/>
      <c r="V28" s="14"/>
      <c r="W28" s="14"/>
      <c r="X28" s="14"/>
    </row>
    <row r="29" spans="1:24" ht="22" customHeight="1">
      <c r="A29" s="3" t="s">
        <v>1072</v>
      </c>
      <c r="B29" s="1"/>
      <c r="C29" s="14">
        <v>35308</v>
      </c>
      <c r="D29" s="14">
        <v>38707</v>
      </c>
      <c r="E29" s="14">
        <v>38169</v>
      </c>
      <c r="F29" s="14">
        <v>31975</v>
      </c>
      <c r="G29" s="14">
        <v>41402</v>
      </c>
      <c r="H29" s="14">
        <v>42341</v>
      </c>
      <c r="I29" s="14">
        <v>39595</v>
      </c>
      <c r="J29" s="14">
        <v>42668</v>
      </c>
      <c r="K29" s="14">
        <v>44844</v>
      </c>
      <c r="L29" s="14">
        <v>48848</v>
      </c>
      <c r="M29" s="15"/>
      <c r="N29" s="14"/>
      <c r="O29" s="14"/>
      <c r="P29" s="14"/>
      <c r="Q29" s="14"/>
      <c r="R29" s="14"/>
      <c r="S29" s="14"/>
      <c r="T29" s="14"/>
      <c r="U29" s="14"/>
      <c r="V29" s="14"/>
      <c r="W29" s="14"/>
      <c r="X29" s="14"/>
    </row>
    <row r="30" spans="1:24" ht="22" customHeight="1">
      <c r="A30" s="3" t="s">
        <v>1073</v>
      </c>
      <c r="B30" s="1"/>
      <c r="C30" s="14">
        <v>11943</v>
      </c>
      <c r="D30" s="14">
        <v>12004</v>
      </c>
      <c r="E30" s="14">
        <v>11368</v>
      </c>
      <c r="F30" s="14">
        <v>14317</v>
      </c>
      <c r="G30" s="14">
        <v>13536</v>
      </c>
      <c r="H30" s="14">
        <v>14924</v>
      </c>
      <c r="I30" s="14">
        <v>17785</v>
      </c>
      <c r="J30" s="14">
        <v>17837</v>
      </c>
      <c r="K30" s="14">
        <v>18898</v>
      </c>
      <c r="L30" s="14">
        <v>18929</v>
      </c>
      <c r="M30" s="15"/>
      <c r="N30" s="14"/>
      <c r="O30" s="14"/>
      <c r="P30" s="14"/>
      <c r="Q30" s="14"/>
      <c r="R30" s="14"/>
      <c r="S30" s="14"/>
      <c r="T30" s="14"/>
      <c r="U30" s="14"/>
      <c r="V30" s="14"/>
      <c r="W30" s="14"/>
      <c r="X30" s="14"/>
    </row>
    <row r="31" spans="1:24" ht="22" customHeight="1">
      <c r="A31" s="3" t="s">
        <v>1074</v>
      </c>
      <c r="B31" s="1"/>
      <c r="C31" s="14">
        <v>47251</v>
      </c>
      <c r="D31" s="14">
        <v>50711</v>
      </c>
      <c r="E31" s="14">
        <v>49537</v>
      </c>
      <c r="F31" s="14">
        <v>46292</v>
      </c>
      <c r="G31" s="14">
        <v>54938</v>
      </c>
      <c r="H31" s="14">
        <v>57265</v>
      </c>
      <c r="I31" s="14">
        <v>57380</v>
      </c>
      <c r="J31" s="14">
        <v>60505</v>
      </c>
      <c r="K31" s="14">
        <v>63742</v>
      </c>
      <c r="L31" s="14">
        <v>67777</v>
      </c>
      <c r="M31" s="15"/>
      <c r="N31" s="14"/>
      <c r="O31" s="14"/>
      <c r="P31" s="14"/>
      <c r="Q31" s="14"/>
      <c r="R31" s="14"/>
      <c r="S31" s="14"/>
      <c r="T31" s="14"/>
      <c r="U31" s="14"/>
      <c r="V31" s="14"/>
      <c r="W31" s="14"/>
      <c r="X31" s="14"/>
    </row>
    <row r="32" spans="1:24" ht="20" customHeight="1">
      <c r="A32" s="21" t="s">
        <v>1075</v>
      </c>
      <c r="B32" s="1"/>
      <c r="C32" s="22">
        <v>0.152</v>
      </c>
      <c r="D32" s="22">
        <v>0.11</v>
      </c>
      <c r="E32" s="22">
        <v>0.27700000000000002</v>
      </c>
      <c r="F32" s="22">
        <v>0.17699999999999999</v>
      </c>
      <c r="G32" s="22">
        <v>0.14699999999999999</v>
      </c>
      <c r="H32" s="22">
        <v>0.16</v>
      </c>
      <c r="I32" s="22">
        <v>0.17</v>
      </c>
      <c r="J32" s="22">
        <v>0.16800000000000001</v>
      </c>
      <c r="K32" s="22">
        <v>0.17</v>
      </c>
      <c r="L32" s="22">
        <v>0.14300000000000002</v>
      </c>
      <c r="M32" s="24"/>
      <c r="N32" s="22"/>
      <c r="O32" s="22"/>
      <c r="P32" s="22"/>
      <c r="Q32" s="22"/>
      <c r="R32" s="22"/>
      <c r="S32" s="22"/>
      <c r="T32" s="22"/>
      <c r="U32" s="22"/>
      <c r="V32" s="22"/>
      <c r="W32" s="22"/>
      <c r="X32" s="22"/>
    </row>
    <row r="33" spans="1:24" ht="22" customHeight="1">
      <c r="A33" s="3"/>
      <c r="B33" s="1"/>
      <c r="C33" s="2"/>
      <c r="D33" s="2"/>
      <c r="E33" s="2"/>
      <c r="F33" s="2"/>
      <c r="G33" s="2"/>
      <c r="H33" s="2"/>
      <c r="I33" s="2"/>
      <c r="J33" s="2"/>
      <c r="K33" s="2"/>
      <c r="L33" s="2"/>
      <c r="M33" s="2"/>
      <c r="N33" s="2"/>
      <c r="O33" s="2"/>
      <c r="P33" s="2"/>
      <c r="Q33" s="2"/>
      <c r="R33" s="2"/>
      <c r="S33" s="2"/>
      <c r="T33" s="2"/>
      <c r="U33" s="2"/>
      <c r="V33" s="2"/>
      <c r="W33" s="2"/>
      <c r="X33" s="2"/>
    </row>
    <row r="34" spans="1:24" ht="22" customHeight="1">
      <c r="A34" s="174" t="s">
        <v>1059</v>
      </c>
      <c r="B34" s="174"/>
      <c r="C34" s="175"/>
      <c r="D34" s="175"/>
      <c r="E34" s="175"/>
      <c r="F34" s="175"/>
      <c r="G34" s="175"/>
      <c r="H34" s="175"/>
      <c r="I34" s="175"/>
      <c r="J34" s="175"/>
      <c r="K34" s="175"/>
      <c r="L34" s="175"/>
      <c r="M34" s="175"/>
      <c r="N34" s="175"/>
      <c r="O34" s="175"/>
      <c r="P34" s="175"/>
      <c r="Q34" s="175"/>
      <c r="R34" s="175"/>
      <c r="S34" s="175"/>
      <c r="T34" s="175"/>
      <c r="U34" s="175"/>
      <c r="V34" s="175"/>
      <c r="W34" s="175"/>
      <c r="X34" s="175"/>
    </row>
    <row r="35" spans="1:24" ht="18" customHeight="1">
      <c r="A35" s="163" t="s">
        <v>1076</v>
      </c>
      <c r="B35" s="163"/>
      <c r="C35" s="173"/>
      <c r="D35" s="173"/>
      <c r="E35" s="173"/>
      <c r="F35" s="173"/>
      <c r="G35" s="173"/>
      <c r="H35" s="173"/>
      <c r="I35" s="173"/>
      <c r="J35" s="173"/>
      <c r="K35" s="173"/>
      <c r="L35" s="173"/>
      <c r="M35" s="173"/>
      <c r="N35" s="173"/>
      <c r="O35" s="173"/>
      <c r="P35" s="173"/>
      <c r="Q35" s="173"/>
      <c r="R35" s="173"/>
      <c r="S35" s="173"/>
      <c r="T35" s="173"/>
      <c r="U35" s="173"/>
      <c r="V35" s="173"/>
      <c r="W35" s="173"/>
      <c r="X35" s="173"/>
    </row>
    <row r="36" spans="1:24" ht="24" customHeight="1">
      <c r="A36" s="177" t="s">
        <v>1077</v>
      </c>
      <c r="B36" s="178"/>
      <c r="C36" s="179"/>
      <c r="D36" s="179"/>
      <c r="E36" s="179"/>
      <c r="F36" s="179"/>
      <c r="G36" s="179"/>
      <c r="H36" s="179"/>
      <c r="I36" s="179"/>
      <c r="J36" s="179"/>
      <c r="K36" s="179"/>
      <c r="L36" s="179"/>
      <c r="M36" s="12"/>
      <c r="N36" s="179"/>
      <c r="O36" s="179"/>
      <c r="P36" s="179"/>
      <c r="Q36" s="179"/>
      <c r="R36" s="179"/>
      <c r="S36" s="179"/>
      <c r="T36" s="179"/>
      <c r="U36" s="179"/>
      <c r="V36" s="179"/>
      <c r="W36" s="179"/>
      <c r="X36" s="179"/>
    </row>
    <row r="37" spans="1:24" ht="24" customHeight="1">
      <c r="A37" s="16" t="s">
        <v>1078</v>
      </c>
      <c r="B37" s="17"/>
      <c r="C37" s="18"/>
      <c r="D37" s="18"/>
      <c r="E37" s="18"/>
      <c r="F37" s="18"/>
      <c r="G37" s="18"/>
      <c r="H37" s="18"/>
      <c r="I37" s="18"/>
      <c r="J37" s="18"/>
      <c r="K37" s="18">
        <v>12887</v>
      </c>
      <c r="L37" s="18">
        <v>11498</v>
      </c>
      <c r="M37" s="20"/>
      <c r="N37" s="18">
        <v>2717</v>
      </c>
      <c r="O37" s="18">
        <v>4048</v>
      </c>
      <c r="P37" s="18">
        <v>3872</v>
      </c>
      <c r="Q37" s="18"/>
      <c r="R37" s="18">
        <v>2583</v>
      </c>
      <c r="S37" s="18">
        <v>1789</v>
      </c>
      <c r="T37" s="18">
        <v>3569</v>
      </c>
      <c r="U37" s="18"/>
      <c r="V37" s="18">
        <v>3213</v>
      </c>
      <c r="W37" s="18">
        <v>4023</v>
      </c>
      <c r="X37" s="18">
        <v>4260</v>
      </c>
    </row>
    <row r="38" spans="1:24" ht="22" customHeight="1">
      <c r="A38" s="3" t="s">
        <v>1079</v>
      </c>
      <c r="B38" s="1"/>
      <c r="C38" s="14"/>
      <c r="D38" s="14"/>
      <c r="E38" s="14"/>
      <c r="F38" s="14"/>
      <c r="G38" s="14"/>
      <c r="H38" s="14"/>
      <c r="I38" s="14"/>
      <c r="J38" s="14"/>
      <c r="K38" s="14">
        <v>-25</v>
      </c>
      <c r="L38" s="14">
        <v>-1</v>
      </c>
      <c r="M38" s="15"/>
      <c r="N38" s="14">
        <v>-36</v>
      </c>
      <c r="O38" s="14">
        <v>-8</v>
      </c>
      <c r="P38" s="14">
        <v>52</v>
      </c>
      <c r="Q38" s="14"/>
      <c r="R38" s="14">
        <v>-16</v>
      </c>
      <c r="S38" s="14">
        <v>-15</v>
      </c>
      <c r="T38" s="14">
        <v>23</v>
      </c>
      <c r="U38" s="14"/>
      <c r="V38" s="14">
        <v>-182</v>
      </c>
      <c r="W38" s="14">
        <v>40</v>
      </c>
      <c r="X38" s="14">
        <v>-79</v>
      </c>
    </row>
    <row r="39" spans="1:24" ht="22" customHeight="1">
      <c r="A39" s="3" t="s">
        <v>298</v>
      </c>
      <c r="B39" s="1"/>
      <c r="C39" s="14"/>
      <c r="D39" s="14"/>
      <c r="E39" s="14"/>
      <c r="F39" s="14"/>
      <c r="G39" s="14"/>
      <c r="H39" s="14"/>
      <c r="I39" s="14"/>
      <c r="J39" s="14"/>
      <c r="K39" s="14">
        <v>698</v>
      </c>
      <c r="L39" s="14">
        <v>964</v>
      </c>
      <c r="M39" s="15"/>
      <c r="N39" s="14">
        <v>89</v>
      </c>
      <c r="O39" s="14">
        <v>66</v>
      </c>
      <c r="P39" s="14">
        <v>238</v>
      </c>
      <c r="Q39" s="14"/>
      <c r="R39" s="14">
        <v>197</v>
      </c>
      <c r="S39" s="14">
        <v>215</v>
      </c>
      <c r="T39" s="14">
        <v>142</v>
      </c>
      <c r="U39" s="14"/>
      <c r="V39" s="14">
        <v>132</v>
      </c>
      <c r="W39" s="14">
        <v>49</v>
      </c>
      <c r="X39" s="14">
        <v>192</v>
      </c>
    </row>
    <row r="40" spans="1:24" ht="22" customHeight="1">
      <c r="A40" s="3" t="s">
        <v>314</v>
      </c>
      <c r="B40" s="1"/>
      <c r="C40" s="14"/>
      <c r="D40" s="14"/>
      <c r="E40" s="14"/>
      <c r="F40" s="14"/>
      <c r="G40" s="14"/>
      <c r="H40" s="14"/>
      <c r="I40" s="14"/>
      <c r="J40" s="14"/>
      <c r="K40" s="14">
        <v>22</v>
      </c>
      <c r="L40" s="14">
        <v>453</v>
      </c>
      <c r="M40" s="15"/>
      <c r="N40" s="14">
        <v>2</v>
      </c>
      <c r="O40" s="14"/>
      <c r="P40" s="14">
        <v>5</v>
      </c>
      <c r="Q40" s="14"/>
      <c r="R40" s="14">
        <v>25</v>
      </c>
      <c r="S40" s="14">
        <v>62</v>
      </c>
      <c r="T40" s="14">
        <v>221</v>
      </c>
      <c r="U40" s="14"/>
      <c r="V40" s="14">
        <v>-113</v>
      </c>
      <c r="W40" s="14">
        <v>-45</v>
      </c>
      <c r="X40" s="14">
        <v>-96</v>
      </c>
    </row>
    <row r="41" spans="1:24" ht="24" customHeight="1">
      <c r="A41" s="16" t="s">
        <v>1080</v>
      </c>
      <c r="B41" s="17"/>
      <c r="C41" s="18"/>
      <c r="D41" s="18"/>
      <c r="E41" s="18"/>
      <c r="F41" s="18"/>
      <c r="G41" s="18"/>
      <c r="H41" s="18"/>
      <c r="I41" s="18"/>
      <c r="J41" s="18"/>
      <c r="K41" s="18">
        <v>14698</v>
      </c>
      <c r="L41" s="18">
        <v>14912</v>
      </c>
      <c r="M41" s="20"/>
      <c r="N41" s="18">
        <v>2939</v>
      </c>
      <c r="O41" s="18">
        <v>4121</v>
      </c>
      <c r="P41" s="18">
        <v>4176</v>
      </c>
      <c r="Q41" s="18"/>
      <c r="R41" s="18">
        <v>2789</v>
      </c>
      <c r="S41" s="18">
        <v>3911</v>
      </c>
      <c r="T41" s="18">
        <v>4137</v>
      </c>
      <c r="U41" s="18"/>
      <c r="V41" s="18">
        <v>3050</v>
      </c>
      <c r="W41" s="18">
        <v>4067</v>
      </c>
      <c r="X41" s="18">
        <v>4277</v>
      </c>
    </row>
    <row r="42" spans="1:24" ht="22" customHeight="1">
      <c r="A42" s="3" t="s">
        <v>1081</v>
      </c>
      <c r="B42" s="1"/>
      <c r="C42" s="14"/>
      <c r="D42" s="14"/>
      <c r="E42" s="14"/>
      <c r="F42" s="14"/>
      <c r="G42" s="14"/>
      <c r="H42" s="14"/>
      <c r="I42" s="14"/>
      <c r="J42" s="14"/>
      <c r="K42" s="14"/>
      <c r="L42" s="14">
        <v>36</v>
      </c>
      <c r="M42" s="15"/>
      <c r="N42" s="14"/>
      <c r="O42" s="14"/>
      <c r="P42" s="14"/>
      <c r="Q42" s="14"/>
      <c r="R42" s="14">
        <v>117</v>
      </c>
      <c r="S42" s="14">
        <v>92</v>
      </c>
      <c r="T42" s="14">
        <v>-23</v>
      </c>
      <c r="U42" s="14"/>
      <c r="V42" s="14">
        <v>-112</v>
      </c>
      <c r="W42" s="14">
        <v>-103</v>
      </c>
      <c r="X42" s="14">
        <v>-38</v>
      </c>
    </row>
    <row r="43" spans="1:24" ht="22" customHeight="1">
      <c r="A43" s="3" t="s">
        <v>1082</v>
      </c>
      <c r="B43" s="1"/>
      <c r="C43" s="14"/>
      <c r="D43" s="14"/>
      <c r="E43" s="14"/>
      <c r="F43" s="14"/>
      <c r="G43" s="14"/>
      <c r="H43" s="14"/>
      <c r="I43" s="14"/>
      <c r="J43" s="14"/>
      <c r="K43" s="14"/>
      <c r="L43" s="14">
        <v>14948</v>
      </c>
      <c r="M43" s="15"/>
      <c r="N43" s="14"/>
      <c r="O43" s="14"/>
      <c r="P43" s="14"/>
      <c r="Q43" s="14"/>
      <c r="R43" s="14">
        <v>2906</v>
      </c>
      <c r="S43" s="14">
        <v>4003</v>
      </c>
      <c r="T43" s="14">
        <v>4114</v>
      </c>
      <c r="U43" s="14"/>
      <c r="V43" s="14">
        <v>2938</v>
      </c>
      <c r="W43" s="14">
        <v>3964</v>
      </c>
      <c r="X43" s="14">
        <v>4239</v>
      </c>
    </row>
    <row r="44" spans="1:24" ht="24" customHeight="1">
      <c r="A44" s="177" t="s">
        <v>1083</v>
      </c>
      <c r="B44" s="178"/>
      <c r="C44" s="179"/>
      <c r="D44" s="179"/>
      <c r="E44" s="179"/>
      <c r="F44" s="179"/>
      <c r="G44" s="179"/>
      <c r="H44" s="179"/>
      <c r="I44" s="179"/>
      <c r="J44" s="179"/>
      <c r="K44" s="179"/>
      <c r="L44" s="179"/>
      <c r="M44" s="12"/>
      <c r="N44" s="179"/>
      <c r="O44" s="179"/>
      <c r="P44" s="179"/>
      <c r="Q44" s="179"/>
      <c r="R44" s="179"/>
      <c r="S44" s="179"/>
      <c r="T44" s="179"/>
      <c r="U44" s="179"/>
      <c r="V44" s="179"/>
      <c r="W44" s="179"/>
      <c r="X44" s="179"/>
    </row>
    <row r="45" spans="1:24" ht="24" customHeight="1">
      <c r="A45" s="28" t="s">
        <v>1084</v>
      </c>
      <c r="B45" s="17"/>
      <c r="C45" s="29"/>
      <c r="D45" s="29"/>
      <c r="E45" s="29"/>
      <c r="F45" s="29"/>
      <c r="G45" s="29"/>
      <c r="H45" s="29"/>
      <c r="I45" s="29"/>
      <c r="J45" s="29"/>
      <c r="K45" s="29"/>
      <c r="L45" s="29"/>
      <c r="M45" s="30"/>
      <c r="N45" s="29"/>
      <c r="O45" s="29"/>
      <c r="P45" s="29"/>
      <c r="Q45" s="29"/>
      <c r="R45" s="29">
        <v>-0.05</v>
      </c>
      <c r="S45" s="29"/>
      <c r="T45" s="29">
        <v>-0.08</v>
      </c>
      <c r="U45" s="29"/>
      <c r="V45" s="29">
        <v>0.24</v>
      </c>
      <c r="W45" s="29">
        <v>1.25</v>
      </c>
      <c r="X45" s="29">
        <v>0.19</v>
      </c>
    </row>
    <row r="46" spans="1:24" ht="20" customHeight="1">
      <c r="A46" s="21" t="s">
        <v>1085</v>
      </c>
      <c r="B46" s="1"/>
      <c r="C46" s="22"/>
      <c r="D46" s="22"/>
      <c r="E46" s="22"/>
      <c r="F46" s="22"/>
      <c r="G46" s="22"/>
      <c r="H46" s="22"/>
      <c r="I46" s="22"/>
      <c r="J46" s="22"/>
      <c r="K46" s="22"/>
      <c r="L46" s="22"/>
      <c r="M46" s="24"/>
      <c r="N46" s="22"/>
      <c r="O46" s="22"/>
      <c r="P46" s="22"/>
      <c r="Q46" s="22"/>
      <c r="R46" s="22">
        <v>-0.05</v>
      </c>
      <c r="S46" s="22">
        <v>-0.05</v>
      </c>
      <c r="T46" s="22">
        <v>-0.01</v>
      </c>
      <c r="U46" s="22"/>
      <c r="V46" s="22">
        <v>0.09</v>
      </c>
      <c r="W46" s="22">
        <v>0.04</v>
      </c>
      <c r="X46" s="22">
        <v>0.03</v>
      </c>
    </row>
    <row r="47" spans="1:24" ht="36" customHeight="1">
      <c r="A47" s="21" t="s">
        <v>1086</v>
      </c>
      <c r="B47" s="1"/>
      <c r="C47" s="22"/>
      <c r="D47" s="22"/>
      <c r="E47" s="22"/>
      <c r="F47" s="22"/>
      <c r="G47" s="22"/>
      <c r="H47" s="22"/>
      <c r="I47" s="22"/>
      <c r="J47" s="22"/>
      <c r="K47" s="22"/>
      <c r="L47" s="22"/>
      <c r="M47" s="24"/>
      <c r="N47" s="22"/>
      <c r="O47" s="22"/>
      <c r="P47" s="22"/>
      <c r="Q47" s="22"/>
      <c r="R47" s="22">
        <v>-0.01</v>
      </c>
      <c r="S47" s="22">
        <v>-0.03</v>
      </c>
      <c r="T47" s="22">
        <v>-1.4999999999999999E-2</v>
      </c>
      <c r="U47" s="22"/>
      <c r="V47" s="22">
        <v>0.05</v>
      </c>
      <c r="W47" s="22">
        <v>0.01</v>
      </c>
      <c r="X47" s="22">
        <v>2.5000000000000001E-2</v>
      </c>
    </row>
    <row r="48" spans="1:24" ht="24" customHeight="1">
      <c r="A48" s="177" t="s">
        <v>1077</v>
      </c>
      <c r="B48" s="178"/>
      <c r="C48" s="179"/>
      <c r="D48" s="179"/>
      <c r="E48" s="179"/>
      <c r="F48" s="179"/>
      <c r="G48" s="179"/>
      <c r="H48" s="179"/>
      <c r="I48" s="179"/>
      <c r="J48" s="179"/>
      <c r="K48" s="179"/>
      <c r="L48" s="179"/>
      <c r="M48" s="12"/>
      <c r="N48" s="179"/>
      <c r="O48" s="179"/>
      <c r="P48" s="179"/>
      <c r="Q48" s="179"/>
      <c r="R48" s="179"/>
      <c r="S48" s="179"/>
      <c r="T48" s="179"/>
      <c r="U48" s="179"/>
      <c r="V48" s="179"/>
      <c r="W48" s="179"/>
      <c r="X48" s="179"/>
    </row>
    <row r="49" spans="1:24" ht="22" customHeight="1">
      <c r="A49" s="3" t="s">
        <v>320</v>
      </c>
      <c r="B49" s="1"/>
      <c r="C49" s="14"/>
      <c r="D49" s="14"/>
      <c r="E49" s="14"/>
      <c r="F49" s="14"/>
      <c r="G49" s="14"/>
      <c r="H49" s="14"/>
      <c r="I49" s="14"/>
      <c r="J49" s="14"/>
      <c r="K49" s="14">
        <v>184</v>
      </c>
      <c r="L49" s="14"/>
      <c r="M49" s="15"/>
      <c r="N49" s="14">
        <v>167</v>
      </c>
      <c r="O49" s="14">
        <v>15</v>
      </c>
      <c r="P49" s="14">
        <v>-1</v>
      </c>
      <c r="Q49" s="14"/>
      <c r="R49" s="14"/>
      <c r="S49" s="14"/>
      <c r="T49" s="14"/>
      <c r="U49" s="14"/>
      <c r="V49" s="14"/>
      <c r="W49" s="14"/>
      <c r="X49" s="14"/>
    </row>
    <row r="50" spans="1:24" ht="22" customHeight="1">
      <c r="A50" s="3" t="s">
        <v>318</v>
      </c>
      <c r="B50" s="1"/>
      <c r="C50" s="14"/>
      <c r="D50" s="14"/>
      <c r="E50" s="14"/>
      <c r="F50" s="14"/>
      <c r="G50" s="14"/>
      <c r="H50" s="14"/>
      <c r="I50" s="14"/>
      <c r="J50" s="14"/>
      <c r="K50" s="14">
        <v>714</v>
      </c>
      <c r="L50" s="14">
        <v>1946</v>
      </c>
      <c r="M50" s="15"/>
      <c r="N50" s="14"/>
      <c r="O50" s="14"/>
      <c r="P50" s="14">
        <v>10</v>
      </c>
      <c r="Q50" s="14"/>
      <c r="R50" s="14"/>
      <c r="S50" s="14">
        <v>1860</v>
      </c>
      <c r="T50" s="14">
        <v>100</v>
      </c>
      <c r="U50" s="14"/>
      <c r="V50" s="14"/>
      <c r="W50" s="14"/>
      <c r="X50" s="14"/>
    </row>
    <row r="51" spans="1:24" ht="24" customHeight="1">
      <c r="A51" s="177" t="s">
        <v>1083</v>
      </c>
      <c r="B51" s="178"/>
      <c r="C51" s="179"/>
      <c r="D51" s="179"/>
      <c r="E51" s="179"/>
      <c r="F51" s="179"/>
      <c r="G51" s="179"/>
      <c r="H51" s="179"/>
      <c r="I51" s="179"/>
      <c r="J51" s="179"/>
      <c r="K51" s="179"/>
      <c r="L51" s="179"/>
      <c r="M51" s="12"/>
      <c r="N51" s="179"/>
      <c r="O51" s="179"/>
      <c r="P51" s="179"/>
      <c r="Q51" s="179"/>
      <c r="R51" s="179"/>
      <c r="S51" s="179"/>
      <c r="T51" s="179"/>
      <c r="U51" s="179"/>
      <c r="V51" s="179"/>
      <c r="W51" s="179"/>
      <c r="X51" s="179"/>
    </row>
    <row r="52" spans="1:24" ht="24" customHeight="1">
      <c r="A52" s="28" t="s">
        <v>1087</v>
      </c>
      <c r="B52" s="17"/>
      <c r="C52" s="29"/>
      <c r="D52" s="29"/>
      <c r="E52" s="29"/>
      <c r="F52" s="29"/>
      <c r="G52" s="29"/>
      <c r="H52" s="29"/>
      <c r="I52" s="29"/>
      <c r="J52" s="29"/>
      <c r="K52" s="29"/>
      <c r="L52" s="29"/>
      <c r="M52" s="30"/>
      <c r="N52" s="29"/>
      <c r="O52" s="29"/>
      <c r="P52" s="29"/>
      <c r="Q52" s="29"/>
      <c r="R52" s="29"/>
      <c r="S52" s="29">
        <v>-0.56000000000000005</v>
      </c>
      <c r="T52" s="29"/>
      <c r="U52" s="29"/>
      <c r="V52" s="29"/>
      <c r="W52" s="29"/>
      <c r="X52" s="29"/>
    </row>
    <row r="53" spans="1:24" ht="24" customHeight="1">
      <c r="A53" s="177" t="s">
        <v>1077</v>
      </c>
      <c r="B53" s="178"/>
      <c r="C53" s="179"/>
      <c r="D53" s="179"/>
      <c r="E53" s="179"/>
      <c r="F53" s="179"/>
      <c r="G53" s="179"/>
      <c r="H53" s="179"/>
      <c r="I53" s="179"/>
      <c r="J53" s="179"/>
      <c r="K53" s="179"/>
      <c r="L53" s="179"/>
      <c r="M53" s="12"/>
      <c r="N53" s="179"/>
      <c r="O53" s="179"/>
      <c r="P53" s="179"/>
      <c r="Q53" s="179"/>
      <c r="R53" s="179"/>
      <c r="S53" s="179"/>
      <c r="T53" s="179"/>
      <c r="U53" s="179"/>
      <c r="V53" s="179"/>
      <c r="W53" s="179"/>
      <c r="X53" s="179"/>
    </row>
    <row r="54" spans="1:24" ht="22" customHeight="1">
      <c r="A54" s="3" t="s">
        <v>1088</v>
      </c>
      <c r="B54" s="1"/>
      <c r="C54" s="14"/>
      <c r="D54" s="14"/>
      <c r="E54" s="14"/>
      <c r="F54" s="14"/>
      <c r="G54" s="14"/>
      <c r="H54" s="14"/>
      <c r="I54" s="14"/>
      <c r="J54" s="14"/>
      <c r="K54" s="14"/>
      <c r="L54" s="14"/>
      <c r="M54" s="15"/>
      <c r="N54" s="14"/>
      <c r="O54" s="14"/>
      <c r="P54" s="14"/>
      <c r="Q54" s="14"/>
      <c r="R54" s="14"/>
      <c r="S54" s="14"/>
      <c r="T54" s="14">
        <v>82</v>
      </c>
      <c r="U54" s="14"/>
      <c r="V54" s="14"/>
      <c r="W54" s="14"/>
      <c r="X54" s="14"/>
    </row>
    <row r="55" spans="1:24" ht="22" customHeight="1">
      <c r="A55" s="3" t="s">
        <v>323</v>
      </c>
      <c r="B55" s="1"/>
      <c r="C55" s="14"/>
      <c r="D55" s="14"/>
      <c r="E55" s="14"/>
      <c r="F55" s="14"/>
      <c r="G55" s="14"/>
      <c r="H55" s="14"/>
      <c r="I55" s="14"/>
      <c r="J55" s="14"/>
      <c r="K55" s="14">
        <v>218</v>
      </c>
      <c r="L55" s="14">
        <v>82</v>
      </c>
      <c r="M55" s="15"/>
      <c r="N55" s="14"/>
      <c r="O55" s="14"/>
      <c r="P55" s="14"/>
      <c r="Q55" s="14"/>
      <c r="R55" s="14"/>
      <c r="S55" s="14"/>
      <c r="T55" s="14"/>
      <c r="U55" s="14"/>
      <c r="V55" s="14"/>
      <c r="W55" s="14"/>
      <c r="X55" s="14"/>
    </row>
    <row r="56" spans="1:24" ht="22" customHeight="1">
      <c r="A56" s="3" t="s">
        <v>1089</v>
      </c>
      <c r="B56" s="1"/>
      <c r="C56" s="14"/>
      <c r="D56" s="14"/>
      <c r="E56" s="14"/>
      <c r="F56" s="14"/>
      <c r="G56" s="14"/>
      <c r="H56" s="14"/>
      <c r="I56" s="14"/>
      <c r="J56" s="14"/>
      <c r="K56" s="14"/>
      <c r="L56" s="14">
        <v>-30</v>
      </c>
      <c r="M56" s="15"/>
      <c r="N56" s="14"/>
      <c r="O56" s="14"/>
      <c r="P56" s="14"/>
      <c r="Q56" s="14"/>
      <c r="R56" s="14"/>
      <c r="S56" s="14"/>
      <c r="T56" s="14"/>
      <c r="U56" s="14"/>
      <c r="V56" s="14"/>
      <c r="W56" s="14"/>
      <c r="X56" s="14"/>
    </row>
    <row r="57" spans="1:24" ht="22" customHeight="1">
      <c r="A57" s="3"/>
      <c r="B57" s="1"/>
      <c r="C57" s="2"/>
      <c r="D57" s="2"/>
      <c r="E57" s="2"/>
      <c r="F57" s="2"/>
      <c r="G57" s="2"/>
      <c r="H57" s="2"/>
      <c r="I57" s="2"/>
      <c r="J57" s="2"/>
      <c r="K57" s="2"/>
      <c r="L57" s="2"/>
      <c r="M57" s="2"/>
      <c r="N57" s="2"/>
      <c r="O57" s="2"/>
      <c r="P57" s="2"/>
      <c r="Q57" s="2"/>
      <c r="R57" s="2"/>
      <c r="S57" s="2"/>
      <c r="T57" s="2"/>
      <c r="U57" s="2"/>
      <c r="V57" s="2"/>
      <c r="W57" s="2"/>
      <c r="X57" s="2"/>
    </row>
    <row r="58" spans="1:24" ht="22" customHeight="1">
      <c r="A58" s="174" t="s">
        <v>1060</v>
      </c>
      <c r="B58" s="174"/>
      <c r="C58" s="175"/>
      <c r="D58" s="175"/>
      <c r="E58" s="175"/>
      <c r="F58" s="175"/>
      <c r="G58" s="175"/>
      <c r="H58" s="175"/>
      <c r="I58" s="175"/>
      <c r="J58" s="175"/>
      <c r="K58" s="175"/>
      <c r="L58" s="175"/>
      <c r="M58" s="175"/>
      <c r="N58" s="175"/>
      <c r="O58" s="175"/>
      <c r="P58" s="175"/>
      <c r="Q58" s="175"/>
      <c r="R58" s="175"/>
      <c r="S58" s="175"/>
      <c r="T58" s="175"/>
      <c r="U58" s="175"/>
      <c r="V58" s="175"/>
      <c r="W58" s="175"/>
      <c r="X58" s="175"/>
    </row>
    <row r="59" spans="1:24" ht="18" customHeight="1">
      <c r="A59" s="163" t="s">
        <v>1076</v>
      </c>
      <c r="B59" s="163"/>
      <c r="C59" s="173"/>
      <c r="D59" s="173"/>
      <c r="E59" s="173"/>
      <c r="F59" s="173"/>
      <c r="G59" s="173"/>
      <c r="H59" s="173"/>
      <c r="I59" s="173"/>
      <c r="J59" s="173"/>
      <c r="K59" s="173"/>
      <c r="L59" s="173"/>
      <c r="M59" s="173"/>
      <c r="N59" s="173"/>
      <c r="O59" s="173"/>
      <c r="P59" s="173"/>
      <c r="Q59" s="173"/>
      <c r="R59" s="173"/>
      <c r="S59" s="173"/>
      <c r="T59" s="173"/>
      <c r="U59" s="173"/>
      <c r="V59" s="173"/>
      <c r="W59" s="173"/>
      <c r="X59" s="173"/>
    </row>
    <row r="60" spans="1:24" ht="24" customHeight="1">
      <c r="A60" s="177" t="s">
        <v>1077</v>
      </c>
      <c r="B60" s="178"/>
      <c r="C60" s="179"/>
      <c r="D60" s="179"/>
      <c r="E60" s="179"/>
      <c r="F60" s="179"/>
      <c r="G60" s="179"/>
      <c r="H60" s="179"/>
      <c r="I60" s="179"/>
      <c r="J60" s="179"/>
      <c r="K60" s="179"/>
      <c r="L60" s="179"/>
      <c r="M60" s="12"/>
      <c r="N60" s="179"/>
      <c r="O60" s="179"/>
      <c r="P60" s="179"/>
      <c r="Q60" s="179"/>
      <c r="R60" s="179"/>
      <c r="S60" s="179"/>
      <c r="T60" s="179"/>
      <c r="U60" s="179"/>
      <c r="V60" s="179"/>
      <c r="W60" s="179"/>
      <c r="X60" s="179"/>
    </row>
    <row r="61" spans="1:24" ht="24" customHeight="1">
      <c r="A61" s="16" t="s">
        <v>1078</v>
      </c>
      <c r="B61" s="17"/>
      <c r="C61" s="18"/>
      <c r="D61" s="18"/>
      <c r="E61" s="18"/>
      <c r="F61" s="18"/>
      <c r="G61" s="18"/>
      <c r="H61" s="18"/>
      <c r="I61" s="18"/>
      <c r="J61" s="18"/>
      <c r="K61" s="18"/>
      <c r="L61" s="18"/>
      <c r="M61" s="20"/>
      <c r="N61" s="18"/>
      <c r="O61" s="18">
        <v>6765</v>
      </c>
      <c r="P61" s="18">
        <v>10637</v>
      </c>
      <c r="Q61" s="18"/>
      <c r="R61" s="18"/>
      <c r="S61" s="18">
        <v>4372</v>
      </c>
      <c r="T61" s="18">
        <v>7941</v>
      </c>
      <c r="U61" s="18"/>
      <c r="V61" s="18"/>
      <c r="W61" s="18">
        <v>7236</v>
      </c>
      <c r="X61" s="18">
        <v>11496</v>
      </c>
    </row>
    <row r="62" spans="1:24" ht="22" customHeight="1">
      <c r="A62" s="3" t="s">
        <v>1079</v>
      </c>
      <c r="B62" s="1"/>
      <c r="C62" s="14"/>
      <c r="D62" s="14"/>
      <c r="E62" s="14"/>
      <c r="F62" s="14"/>
      <c r="G62" s="14"/>
      <c r="H62" s="14"/>
      <c r="I62" s="14"/>
      <c r="J62" s="14"/>
      <c r="K62" s="14"/>
      <c r="L62" s="14"/>
      <c r="M62" s="15"/>
      <c r="N62" s="14"/>
      <c r="O62" s="14">
        <v>-44</v>
      </c>
      <c r="P62" s="14">
        <v>8</v>
      </c>
      <c r="Q62" s="14"/>
      <c r="R62" s="14"/>
      <c r="S62" s="14">
        <v>-31</v>
      </c>
      <c r="T62" s="14">
        <v>-8</v>
      </c>
      <c r="U62" s="14"/>
      <c r="V62" s="14"/>
      <c r="W62" s="14">
        <v>-142</v>
      </c>
      <c r="X62" s="14">
        <v>-221</v>
      </c>
    </row>
    <row r="63" spans="1:24" ht="22" customHeight="1">
      <c r="A63" s="3" t="s">
        <v>298</v>
      </c>
      <c r="B63" s="1"/>
      <c r="C63" s="14"/>
      <c r="D63" s="14"/>
      <c r="E63" s="14"/>
      <c r="F63" s="14"/>
      <c r="G63" s="14"/>
      <c r="H63" s="14"/>
      <c r="I63" s="14"/>
      <c r="J63" s="14"/>
      <c r="K63" s="14"/>
      <c r="L63" s="14"/>
      <c r="M63" s="15"/>
      <c r="N63" s="14"/>
      <c r="O63" s="14">
        <v>155</v>
      </c>
      <c r="P63" s="14">
        <v>393</v>
      </c>
      <c r="Q63" s="14"/>
      <c r="R63" s="14"/>
      <c r="S63" s="14">
        <v>412</v>
      </c>
      <c r="T63" s="14">
        <v>554</v>
      </c>
      <c r="U63" s="14"/>
      <c r="V63" s="14"/>
      <c r="W63" s="14">
        <v>181</v>
      </c>
      <c r="X63" s="14">
        <v>373</v>
      </c>
    </row>
    <row r="64" spans="1:24" ht="22" customHeight="1">
      <c r="A64" s="3" t="s">
        <v>314</v>
      </c>
      <c r="B64" s="1"/>
      <c r="C64" s="14"/>
      <c r="D64" s="14"/>
      <c r="E64" s="14"/>
      <c r="F64" s="14"/>
      <c r="G64" s="14"/>
      <c r="H64" s="14"/>
      <c r="I64" s="14"/>
      <c r="J64" s="14"/>
      <c r="K64" s="14"/>
      <c r="L64" s="14"/>
      <c r="M64" s="15"/>
      <c r="N64" s="14"/>
      <c r="O64" s="14">
        <v>2</v>
      </c>
      <c r="P64" s="14">
        <v>7</v>
      </c>
      <c r="Q64" s="14"/>
      <c r="R64" s="14"/>
      <c r="S64" s="14">
        <v>87</v>
      </c>
      <c r="T64" s="14">
        <v>308</v>
      </c>
      <c r="U64" s="14"/>
      <c r="V64" s="14"/>
      <c r="W64" s="14">
        <v>-158</v>
      </c>
      <c r="X64" s="14">
        <v>-254</v>
      </c>
    </row>
    <row r="65" spans="1:24" ht="22" customHeight="1">
      <c r="A65" s="3" t="s">
        <v>318</v>
      </c>
      <c r="B65" s="1"/>
      <c r="C65" s="14"/>
      <c r="D65" s="14"/>
      <c r="E65" s="14"/>
      <c r="F65" s="14"/>
      <c r="G65" s="14"/>
      <c r="H65" s="14"/>
      <c r="I65" s="14"/>
      <c r="J65" s="14"/>
      <c r="K65" s="14"/>
      <c r="L65" s="14"/>
      <c r="M65" s="15"/>
      <c r="N65" s="14"/>
      <c r="O65" s="14"/>
      <c r="P65" s="14">
        <v>10</v>
      </c>
      <c r="Q65" s="14"/>
      <c r="R65" s="14"/>
      <c r="S65" s="14">
        <v>1860</v>
      </c>
      <c r="T65" s="14">
        <v>1960</v>
      </c>
      <c r="U65" s="14"/>
      <c r="V65" s="14"/>
      <c r="W65" s="14"/>
      <c r="X65" s="14"/>
    </row>
    <row r="66" spans="1:24" ht="24" customHeight="1">
      <c r="A66" s="16" t="s">
        <v>1080</v>
      </c>
      <c r="B66" s="17"/>
      <c r="C66" s="18"/>
      <c r="D66" s="18"/>
      <c r="E66" s="18"/>
      <c r="F66" s="18"/>
      <c r="G66" s="18"/>
      <c r="H66" s="18"/>
      <c r="I66" s="18"/>
      <c r="J66" s="18"/>
      <c r="K66" s="18"/>
      <c r="L66" s="18"/>
      <c r="M66" s="20"/>
      <c r="N66" s="18"/>
      <c r="O66" s="18">
        <v>7060</v>
      </c>
      <c r="P66" s="18">
        <v>11236</v>
      </c>
      <c r="Q66" s="18"/>
      <c r="R66" s="18"/>
      <c r="S66" s="18">
        <v>6700</v>
      </c>
      <c r="T66" s="18">
        <v>10837</v>
      </c>
      <c r="U66" s="18"/>
      <c r="V66" s="18"/>
      <c r="W66" s="18">
        <v>7117</v>
      </c>
      <c r="X66" s="18">
        <v>11394</v>
      </c>
    </row>
    <row r="67" spans="1:24" ht="22" customHeight="1">
      <c r="A67" s="3" t="s">
        <v>1081</v>
      </c>
      <c r="B67" s="1"/>
      <c r="C67" s="14"/>
      <c r="D67" s="14"/>
      <c r="E67" s="14"/>
      <c r="F67" s="14"/>
      <c r="G67" s="14"/>
      <c r="H67" s="14"/>
      <c r="I67" s="14"/>
      <c r="J67" s="14"/>
      <c r="K67" s="14"/>
      <c r="L67" s="14"/>
      <c r="M67" s="15"/>
      <c r="N67" s="14"/>
      <c r="O67" s="14"/>
      <c r="P67" s="14"/>
      <c r="Q67" s="14"/>
      <c r="R67" s="14"/>
      <c r="S67" s="14">
        <v>209</v>
      </c>
      <c r="T67" s="14">
        <v>186</v>
      </c>
      <c r="U67" s="14"/>
      <c r="V67" s="14"/>
      <c r="W67" s="14">
        <v>-215</v>
      </c>
      <c r="X67" s="14">
        <v>-253</v>
      </c>
    </row>
    <row r="68" spans="1:24" ht="22" customHeight="1">
      <c r="A68" s="3" t="s">
        <v>1082</v>
      </c>
      <c r="B68" s="1"/>
      <c r="C68" s="14"/>
      <c r="D68" s="14"/>
      <c r="E68" s="14"/>
      <c r="F68" s="14"/>
      <c r="G68" s="14"/>
      <c r="H68" s="14"/>
      <c r="I68" s="14"/>
      <c r="J68" s="14"/>
      <c r="K68" s="14"/>
      <c r="L68" s="14"/>
      <c r="M68" s="15"/>
      <c r="N68" s="14"/>
      <c r="O68" s="14"/>
      <c r="P68" s="14"/>
      <c r="Q68" s="14"/>
      <c r="R68" s="14"/>
      <c r="S68" s="14">
        <v>6909</v>
      </c>
      <c r="T68" s="14">
        <v>11023</v>
      </c>
      <c r="U68" s="14"/>
      <c r="V68" s="14"/>
      <c r="W68" s="14">
        <v>6902</v>
      </c>
      <c r="X68" s="14">
        <v>11141</v>
      </c>
    </row>
    <row r="69" spans="1:24" ht="24" customHeight="1">
      <c r="A69" s="177" t="s">
        <v>1083</v>
      </c>
      <c r="B69" s="178"/>
      <c r="C69" s="179"/>
      <c r="D69" s="179"/>
      <c r="E69" s="179"/>
      <c r="F69" s="179"/>
      <c r="G69" s="179"/>
      <c r="H69" s="179"/>
      <c r="I69" s="179"/>
      <c r="J69" s="179"/>
      <c r="K69" s="179"/>
      <c r="L69" s="179"/>
      <c r="M69" s="12"/>
      <c r="N69" s="179"/>
      <c r="O69" s="179"/>
      <c r="P69" s="179"/>
      <c r="Q69" s="179"/>
      <c r="R69" s="179"/>
      <c r="S69" s="179"/>
      <c r="T69" s="179"/>
      <c r="U69" s="179"/>
      <c r="V69" s="179"/>
      <c r="W69" s="179"/>
      <c r="X69" s="179"/>
    </row>
    <row r="70" spans="1:24" ht="24" customHeight="1">
      <c r="A70" s="28" t="s">
        <v>1087</v>
      </c>
      <c r="B70" s="17"/>
      <c r="C70" s="29"/>
      <c r="D70" s="29"/>
      <c r="E70" s="29"/>
      <c r="F70" s="29"/>
      <c r="G70" s="29"/>
      <c r="H70" s="29"/>
      <c r="I70" s="29"/>
      <c r="J70" s="29"/>
      <c r="K70" s="29"/>
      <c r="L70" s="29"/>
      <c r="M70" s="30"/>
      <c r="N70" s="29"/>
      <c r="O70" s="29"/>
      <c r="P70" s="29"/>
      <c r="Q70" s="29"/>
      <c r="R70" s="29"/>
      <c r="S70" s="29">
        <v>-0.35000000000000003</v>
      </c>
      <c r="T70" s="29"/>
      <c r="U70" s="29"/>
      <c r="V70" s="29"/>
      <c r="W70" s="29"/>
      <c r="X70" s="29"/>
    </row>
    <row r="71" spans="1:24" ht="20" customHeight="1">
      <c r="A71" s="21" t="s">
        <v>1085</v>
      </c>
      <c r="B71" s="1"/>
      <c r="C71" s="22"/>
      <c r="D71" s="22"/>
      <c r="E71" s="22"/>
      <c r="F71" s="22"/>
      <c r="G71" s="22"/>
      <c r="H71" s="22"/>
      <c r="I71" s="22"/>
      <c r="J71" s="22"/>
      <c r="K71" s="22"/>
      <c r="L71" s="22"/>
      <c r="M71" s="24"/>
      <c r="N71" s="22"/>
      <c r="O71" s="22"/>
      <c r="P71" s="22"/>
      <c r="Q71" s="22"/>
      <c r="R71" s="22"/>
      <c r="S71" s="22">
        <v>-0.05</v>
      </c>
      <c r="T71" s="22">
        <v>-0.04</v>
      </c>
      <c r="U71" s="22"/>
      <c r="V71" s="22"/>
      <c r="W71" s="22">
        <v>0.06</v>
      </c>
      <c r="X71" s="22">
        <v>0.05</v>
      </c>
    </row>
    <row r="72" spans="1:24" ht="36" customHeight="1">
      <c r="A72" s="21" t="s">
        <v>1086</v>
      </c>
      <c r="B72" s="1"/>
      <c r="C72" s="22"/>
      <c r="D72" s="22"/>
      <c r="E72" s="22"/>
      <c r="F72" s="22"/>
      <c r="G72" s="22"/>
      <c r="H72" s="22"/>
      <c r="I72" s="22"/>
      <c r="J72" s="22"/>
      <c r="K72" s="22"/>
      <c r="L72" s="22"/>
      <c r="M72" s="24"/>
      <c r="N72" s="22"/>
      <c r="O72" s="22"/>
      <c r="P72" s="22"/>
      <c r="Q72" s="22"/>
      <c r="R72" s="22"/>
      <c r="S72" s="22">
        <v>-0.02</v>
      </c>
      <c r="T72" s="22">
        <v>-0.02</v>
      </c>
      <c r="U72" s="22"/>
      <c r="V72" s="22"/>
      <c r="W72" s="22">
        <v>0.03</v>
      </c>
      <c r="X72" s="22">
        <v>0.03</v>
      </c>
    </row>
    <row r="73" spans="1:24" ht="24" customHeight="1">
      <c r="A73" s="177" t="s">
        <v>1077</v>
      </c>
      <c r="B73" s="178"/>
      <c r="C73" s="179"/>
      <c r="D73" s="179"/>
      <c r="E73" s="179"/>
      <c r="F73" s="179"/>
      <c r="G73" s="179"/>
      <c r="H73" s="179"/>
      <c r="I73" s="179"/>
      <c r="J73" s="179"/>
      <c r="K73" s="179"/>
      <c r="L73" s="179"/>
      <c r="M73" s="12"/>
      <c r="N73" s="179"/>
      <c r="O73" s="179"/>
      <c r="P73" s="179"/>
      <c r="Q73" s="179"/>
      <c r="R73" s="179"/>
      <c r="S73" s="179"/>
      <c r="T73" s="179"/>
      <c r="U73" s="179"/>
      <c r="V73" s="179"/>
      <c r="W73" s="179"/>
      <c r="X73" s="179"/>
    </row>
    <row r="74" spans="1:24" ht="22" customHeight="1">
      <c r="A74" s="3" t="s">
        <v>320</v>
      </c>
      <c r="B74" s="1"/>
      <c r="C74" s="14"/>
      <c r="D74" s="14"/>
      <c r="E74" s="14"/>
      <c r="F74" s="14"/>
      <c r="G74" s="14"/>
      <c r="H74" s="14"/>
      <c r="I74" s="14"/>
      <c r="J74" s="14"/>
      <c r="K74" s="14"/>
      <c r="L74" s="14"/>
      <c r="M74" s="15"/>
      <c r="N74" s="14"/>
      <c r="O74" s="14">
        <v>182</v>
      </c>
      <c r="P74" s="14">
        <v>181</v>
      </c>
      <c r="Q74" s="14"/>
      <c r="R74" s="14"/>
      <c r="S74" s="14"/>
      <c r="T74" s="14"/>
      <c r="U74" s="14"/>
      <c r="V74" s="14"/>
      <c r="W74" s="14"/>
      <c r="X74" s="14"/>
    </row>
    <row r="75" spans="1:24" ht="22" customHeight="1">
      <c r="A75" s="3" t="s">
        <v>1088</v>
      </c>
      <c r="B75" s="1"/>
      <c r="C75" s="14"/>
      <c r="D75" s="14"/>
      <c r="E75" s="14"/>
      <c r="F75" s="14"/>
      <c r="G75" s="14"/>
      <c r="H75" s="14"/>
      <c r="I75" s="14"/>
      <c r="J75" s="14"/>
      <c r="K75" s="14"/>
      <c r="L75" s="14"/>
      <c r="M75" s="15"/>
      <c r="N75" s="14"/>
      <c r="O75" s="14"/>
      <c r="P75" s="14"/>
      <c r="Q75" s="14"/>
      <c r="R75" s="14"/>
      <c r="S75" s="14"/>
      <c r="T75" s="14">
        <v>82</v>
      </c>
      <c r="U75" s="14"/>
      <c r="V75" s="14"/>
      <c r="W75" s="14"/>
      <c r="X75" s="14"/>
    </row>
    <row r="76" spans="1:24" ht="24" customHeight="1">
      <c r="A76" s="177" t="s">
        <v>1083</v>
      </c>
      <c r="B76" s="178"/>
      <c r="C76" s="179"/>
      <c r="D76" s="179"/>
      <c r="E76" s="179"/>
      <c r="F76" s="179"/>
      <c r="G76" s="179"/>
      <c r="H76" s="179"/>
      <c r="I76" s="179"/>
      <c r="J76" s="179"/>
      <c r="K76" s="179"/>
      <c r="L76" s="179"/>
      <c r="M76" s="12"/>
      <c r="N76" s="179"/>
      <c r="O76" s="179"/>
      <c r="P76" s="179"/>
      <c r="Q76" s="179"/>
      <c r="R76" s="179"/>
      <c r="S76" s="179"/>
      <c r="T76" s="179"/>
      <c r="U76" s="179"/>
      <c r="V76" s="179"/>
      <c r="W76" s="179"/>
      <c r="X76" s="179"/>
    </row>
    <row r="77" spans="1:24" ht="24" customHeight="1">
      <c r="A77" s="28" t="s">
        <v>1084</v>
      </c>
      <c r="B77" s="17"/>
      <c r="C77" s="29"/>
      <c r="D77" s="29"/>
      <c r="E77" s="29"/>
      <c r="F77" s="29"/>
      <c r="G77" s="29"/>
      <c r="H77" s="29"/>
      <c r="I77" s="29"/>
      <c r="J77" s="29"/>
      <c r="K77" s="29"/>
      <c r="L77" s="29"/>
      <c r="M77" s="30"/>
      <c r="N77" s="29"/>
      <c r="O77" s="29"/>
      <c r="P77" s="29"/>
      <c r="Q77" s="29"/>
      <c r="R77" s="29"/>
      <c r="S77" s="29"/>
      <c r="T77" s="29">
        <v>-0.25</v>
      </c>
      <c r="U77" s="29"/>
      <c r="V77" s="29"/>
      <c r="W77" s="29">
        <v>0.65</v>
      </c>
      <c r="X77" s="29">
        <v>0.45</v>
      </c>
    </row>
    <row r="78" spans="1:24" ht="22" customHeight="1">
      <c r="A78" s="3"/>
      <c r="B78" s="1"/>
      <c r="C78" s="2"/>
      <c r="D78" s="2"/>
      <c r="E78" s="2"/>
      <c r="F78" s="2"/>
      <c r="G78" s="2"/>
      <c r="H78" s="2"/>
      <c r="I78" s="2"/>
      <c r="J78" s="2"/>
      <c r="K78" s="2"/>
      <c r="L78" s="2"/>
      <c r="M78" s="2"/>
      <c r="N78" s="2"/>
      <c r="O78" s="2"/>
      <c r="P78" s="2"/>
      <c r="Q78" s="2"/>
      <c r="R78" s="2"/>
      <c r="S78" s="2"/>
      <c r="T78" s="2"/>
      <c r="U78" s="2"/>
      <c r="V78" s="2"/>
      <c r="W78" s="2"/>
      <c r="X78" s="2"/>
    </row>
    <row r="79" spans="1:24" ht="22" customHeight="1">
      <c r="A79" s="174" t="s">
        <v>1061</v>
      </c>
      <c r="B79" s="174"/>
      <c r="C79" s="175"/>
      <c r="D79" s="175"/>
      <c r="E79" s="175"/>
      <c r="F79" s="175"/>
      <c r="G79" s="175"/>
      <c r="H79" s="175"/>
      <c r="I79" s="175"/>
      <c r="J79" s="175"/>
      <c r="K79" s="175"/>
      <c r="L79" s="175"/>
      <c r="M79" s="175"/>
      <c r="N79" s="175"/>
      <c r="O79" s="175"/>
      <c r="P79" s="175"/>
      <c r="Q79" s="175"/>
      <c r="R79" s="175"/>
      <c r="S79" s="175"/>
      <c r="T79" s="175"/>
      <c r="U79" s="175"/>
      <c r="V79" s="175"/>
      <c r="W79" s="175"/>
      <c r="X79" s="175"/>
    </row>
    <row r="80" spans="1:24" ht="18" customHeight="1">
      <c r="A80" s="163" t="s">
        <v>1076</v>
      </c>
      <c r="B80" s="163"/>
      <c r="C80" s="173"/>
      <c r="D80" s="173"/>
      <c r="E80" s="173"/>
      <c r="F80" s="173"/>
      <c r="G80" s="173"/>
      <c r="H80" s="173"/>
      <c r="I80" s="173"/>
      <c r="J80" s="173"/>
      <c r="K80" s="173"/>
      <c r="L80" s="173"/>
      <c r="M80" s="173"/>
      <c r="N80" s="173"/>
      <c r="O80" s="173"/>
      <c r="P80" s="173"/>
      <c r="Q80" s="173"/>
      <c r="R80" s="173"/>
      <c r="S80" s="173"/>
      <c r="T80" s="173"/>
      <c r="U80" s="173"/>
      <c r="V80" s="173"/>
      <c r="W80" s="173"/>
      <c r="X80" s="173"/>
    </row>
    <row r="81" spans="1:24" ht="24" customHeight="1">
      <c r="A81" s="177" t="s">
        <v>1090</v>
      </c>
      <c r="B81" s="178"/>
      <c r="C81" s="179"/>
      <c r="D81" s="179"/>
      <c r="E81" s="179"/>
      <c r="F81" s="179"/>
      <c r="G81" s="179"/>
      <c r="H81" s="179"/>
      <c r="I81" s="179"/>
      <c r="J81" s="179"/>
      <c r="K81" s="179"/>
      <c r="L81" s="179"/>
      <c r="M81" s="12"/>
      <c r="N81" s="179"/>
      <c r="O81" s="179"/>
      <c r="P81" s="179"/>
      <c r="Q81" s="179"/>
      <c r="R81" s="179"/>
      <c r="S81" s="179"/>
      <c r="T81" s="179"/>
      <c r="U81" s="179"/>
      <c r="V81" s="179"/>
      <c r="W81" s="179"/>
      <c r="X81" s="179"/>
    </row>
    <row r="82" spans="1:24" ht="24" customHeight="1">
      <c r="A82" s="16" t="s">
        <v>1091</v>
      </c>
      <c r="B82" s="17"/>
      <c r="C82" s="18">
        <v>9804</v>
      </c>
      <c r="D82" s="18">
        <v>10276</v>
      </c>
      <c r="E82" s="18">
        <v>10110</v>
      </c>
      <c r="F82" s="18"/>
      <c r="G82" s="18"/>
      <c r="H82" s="18"/>
      <c r="I82" s="18"/>
      <c r="J82" s="18"/>
      <c r="K82" s="18"/>
      <c r="L82" s="18"/>
      <c r="M82" s="20"/>
      <c r="N82" s="18"/>
      <c r="O82" s="18"/>
      <c r="P82" s="18"/>
      <c r="Q82" s="18"/>
      <c r="R82" s="18"/>
      <c r="S82" s="18"/>
      <c r="T82" s="18"/>
      <c r="U82" s="18"/>
      <c r="V82" s="18"/>
      <c r="W82" s="18"/>
      <c r="X82" s="18"/>
    </row>
    <row r="83" spans="1:24" ht="22" customHeight="1">
      <c r="A83" s="3" t="s">
        <v>1079</v>
      </c>
      <c r="B83" s="1"/>
      <c r="C83" s="14">
        <v>-167</v>
      </c>
      <c r="D83" s="14">
        <v>-15</v>
      </c>
      <c r="E83" s="14">
        <v>163</v>
      </c>
      <c r="F83" s="14"/>
      <c r="G83" s="14"/>
      <c r="H83" s="14"/>
      <c r="I83" s="14"/>
      <c r="J83" s="14"/>
      <c r="K83" s="14"/>
      <c r="L83" s="14"/>
      <c r="M83" s="15"/>
      <c r="N83" s="14"/>
      <c r="O83" s="14"/>
      <c r="P83" s="14"/>
      <c r="Q83" s="14"/>
      <c r="R83" s="14"/>
      <c r="S83" s="14"/>
      <c r="T83" s="14"/>
      <c r="U83" s="14"/>
      <c r="V83" s="14"/>
      <c r="W83" s="14"/>
      <c r="X83" s="14"/>
    </row>
    <row r="84" spans="1:24" ht="22" customHeight="1">
      <c r="A84" s="3" t="s">
        <v>298</v>
      </c>
      <c r="B84" s="1"/>
      <c r="C84" s="14">
        <v>155</v>
      </c>
      <c r="D84" s="14">
        <v>229</v>
      </c>
      <c r="E84" s="14">
        <v>272</v>
      </c>
      <c r="F84" s="14"/>
      <c r="G84" s="14"/>
      <c r="H84" s="14"/>
      <c r="I84" s="14"/>
      <c r="J84" s="14"/>
      <c r="K84" s="14"/>
      <c r="L84" s="14"/>
      <c r="M84" s="15"/>
      <c r="N84" s="14"/>
      <c r="O84" s="14"/>
      <c r="P84" s="14"/>
      <c r="Q84" s="14"/>
      <c r="R84" s="14"/>
      <c r="S84" s="14"/>
      <c r="T84" s="14"/>
      <c r="U84" s="14"/>
      <c r="V84" s="14"/>
      <c r="W84" s="14"/>
      <c r="X84" s="14"/>
    </row>
    <row r="85" spans="1:24" ht="22" customHeight="1">
      <c r="A85" s="3" t="s">
        <v>306</v>
      </c>
      <c r="B85" s="1"/>
      <c r="C85" s="14">
        <v>373</v>
      </c>
      <c r="D85" s="14"/>
      <c r="E85" s="14"/>
      <c r="F85" s="14"/>
      <c r="G85" s="14"/>
      <c r="H85" s="14"/>
      <c r="I85" s="14"/>
      <c r="J85" s="14"/>
      <c r="K85" s="14"/>
      <c r="L85" s="14"/>
      <c r="M85" s="15"/>
      <c r="N85" s="14"/>
      <c r="O85" s="14"/>
      <c r="P85" s="14"/>
      <c r="Q85" s="14"/>
      <c r="R85" s="14"/>
      <c r="S85" s="14"/>
      <c r="T85" s="14"/>
      <c r="U85" s="14"/>
      <c r="V85" s="14"/>
      <c r="W85" s="14"/>
      <c r="X85" s="14"/>
    </row>
    <row r="86" spans="1:24" ht="22" customHeight="1">
      <c r="A86" s="3" t="s">
        <v>1092</v>
      </c>
      <c r="B86" s="1"/>
      <c r="C86" s="14">
        <v>0</v>
      </c>
      <c r="D86" s="14"/>
      <c r="E86" s="14"/>
      <c r="F86" s="14"/>
      <c r="G86" s="14"/>
      <c r="H86" s="14"/>
      <c r="I86" s="14"/>
      <c r="J86" s="14"/>
      <c r="K86" s="14"/>
      <c r="L86" s="14"/>
      <c r="M86" s="15"/>
      <c r="N86" s="14"/>
      <c r="O86" s="14"/>
      <c r="P86" s="14"/>
      <c r="Q86" s="14"/>
      <c r="R86" s="14"/>
      <c r="S86" s="14"/>
      <c r="T86" s="14"/>
      <c r="U86" s="14"/>
      <c r="V86" s="14"/>
      <c r="W86" s="14"/>
      <c r="X86" s="14"/>
    </row>
    <row r="87" spans="1:24" ht="22" customHeight="1">
      <c r="A87" s="3" t="s">
        <v>1093</v>
      </c>
      <c r="B87" s="1"/>
      <c r="C87" s="14">
        <v>0</v>
      </c>
      <c r="D87" s="14"/>
      <c r="E87" s="14"/>
      <c r="F87" s="14"/>
      <c r="G87" s="14"/>
      <c r="H87" s="14"/>
      <c r="I87" s="14"/>
      <c r="J87" s="14"/>
      <c r="K87" s="14"/>
      <c r="L87" s="14"/>
      <c r="M87" s="15"/>
      <c r="N87" s="14"/>
      <c r="O87" s="14"/>
      <c r="P87" s="14"/>
      <c r="Q87" s="14"/>
      <c r="R87" s="14"/>
      <c r="S87" s="14"/>
      <c r="T87" s="14"/>
      <c r="U87" s="14"/>
      <c r="V87" s="14"/>
      <c r="W87" s="14"/>
      <c r="X87" s="14"/>
    </row>
    <row r="88" spans="1:24" ht="24" customHeight="1">
      <c r="A88" s="16" t="s">
        <v>1094</v>
      </c>
      <c r="B88" s="17"/>
      <c r="C88" s="18">
        <v>10165</v>
      </c>
      <c r="D88" s="18">
        <v>10490</v>
      </c>
      <c r="E88" s="18">
        <v>10620</v>
      </c>
      <c r="F88" s="18"/>
      <c r="G88" s="18"/>
      <c r="H88" s="18"/>
      <c r="I88" s="18"/>
      <c r="J88" s="18"/>
      <c r="K88" s="18"/>
      <c r="L88" s="18"/>
      <c r="M88" s="20"/>
      <c r="N88" s="18"/>
      <c r="O88" s="18"/>
      <c r="P88" s="18"/>
      <c r="Q88" s="18"/>
      <c r="R88" s="18"/>
      <c r="S88" s="18"/>
      <c r="T88" s="18"/>
      <c r="U88" s="18"/>
      <c r="V88" s="18"/>
      <c r="W88" s="18"/>
      <c r="X88" s="18"/>
    </row>
    <row r="89" spans="1:24" ht="22" customHeight="1">
      <c r="A89" s="3" t="s">
        <v>1095</v>
      </c>
      <c r="B89" s="1"/>
      <c r="C89" s="14"/>
      <c r="D89" s="14">
        <v>0</v>
      </c>
      <c r="E89" s="14"/>
      <c r="F89" s="14"/>
      <c r="G89" s="14"/>
      <c r="H89" s="14"/>
      <c r="I89" s="14"/>
      <c r="J89" s="14"/>
      <c r="K89" s="14"/>
      <c r="L89" s="14"/>
      <c r="M89" s="15"/>
      <c r="N89" s="14"/>
      <c r="O89" s="14"/>
      <c r="P89" s="14"/>
      <c r="Q89" s="14"/>
      <c r="R89" s="14"/>
      <c r="S89" s="14"/>
      <c r="T89" s="14"/>
      <c r="U89" s="14"/>
      <c r="V89" s="14"/>
      <c r="W89" s="14"/>
      <c r="X89" s="14"/>
    </row>
    <row r="90" spans="1:24" ht="22" customHeight="1">
      <c r="A90" s="3" t="s">
        <v>1096</v>
      </c>
      <c r="B90" s="1"/>
      <c r="C90" s="14"/>
      <c r="D90" s="14"/>
      <c r="E90" s="14">
        <v>75</v>
      </c>
      <c r="F90" s="14"/>
      <c r="G90" s="14"/>
      <c r="H90" s="14"/>
      <c r="I90" s="14"/>
      <c r="J90" s="14"/>
      <c r="K90" s="14"/>
      <c r="L90" s="14"/>
      <c r="M90" s="15"/>
      <c r="N90" s="14"/>
      <c r="O90" s="14"/>
      <c r="P90" s="14"/>
      <c r="Q90" s="14"/>
      <c r="R90" s="14"/>
      <c r="S90" s="14"/>
      <c r="T90" s="14"/>
      <c r="U90" s="14"/>
      <c r="V90" s="14"/>
      <c r="W90" s="14"/>
      <c r="X90" s="14"/>
    </row>
    <row r="91" spans="1:24" ht="22" customHeight="1">
      <c r="A91" s="3" t="s">
        <v>1097</v>
      </c>
      <c r="B91" s="1"/>
      <c r="C91" s="14"/>
      <c r="D91" s="14"/>
      <c r="E91" s="14">
        <v>0</v>
      </c>
      <c r="F91" s="14"/>
      <c r="G91" s="14"/>
      <c r="H91" s="14"/>
      <c r="I91" s="14"/>
      <c r="J91" s="14"/>
      <c r="K91" s="14"/>
      <c r="L91" s="14"/>
      <c r="M91" s="15"/>
      <c r="N91" s="14"/>
      <c r="O91" s="14"/>
      <c r="P91" s="14"/>
      <c r="Q91" s="14"/>
      <c r="R91" s="14"/>
      <c r="S91" s="14"/>
      <c r="T91" s="14"/>
      <c r="U91" s="14"/>
      <c r="V91" s="14"/>
      <c r="W91" s="14"/>
      <c r="X91" s="14"/>
    </row>
    <row r="92" spans="1:24" ht="22" customHeight="1">
      <c r="A92" s="3" t="s">
        <v>1098</v>
      </c>
      <c r="B92" s="1"/>
      <c r="C92" s="14"/>
      <c r="D92" s="14"/>
      <c r="E92" s="14">
        <v>0</v>
      </c>
      <c r="F92" s="14"/>
      <c r="G92" s="14"/>
      <c r="H92" s="14"/>
      <c r="I92" s="14"/>
      <c r="J92" s="14"/>
      <c r="K92" s="14"/>
      <c r="L92" s="14"/>
      <c r="M92" s="15"/>
      <c r="N92" s="14"/>
      <c r="O92" s="14"/>
      <c r="P92" s="14"/>
      <c r="Q92" s="14"/>
      <c r="R92" s="14"/>
      <c r="S92" s="14"/>
      <c r="T92" s="14"/>
      <c r="U92" s="14"/>
      <c r="V92" s="14"/>
      <c r="W92" s="14"/>
      <c r="X92" s="14"/>
    </row>
    <row r="93" spans="1:24" ht="22" customHeight="1">
      <c r="A93" s="3" t="s">
        <v>1099</v>
      </c>
      <c r="B93" s="1"/>
      <c r="C93" s="14"/>
      <c r="D93" s="14"/>
      <c r="E93" s="14">
        <v>0</v>
      </c>
      <c r="F93" s="14"/>
      <c r="G93" s="14"/>
      <c r="H93" s="14"/>
      <c r="I93" s="14"/>
      <c r="J93" s="14"/>
      <c r="K93" s="14"/>
      <c r="L93" s="14"/>
      <c r="M93" s="15"/>
      <c r="N93" s="14"/>
      <c r="O93" s="14"/>
      <c r="P93" s="14"/>
      <c r="Q93" s="14"/>
      <c r="R93" s="14"/>
      <c r="S93" s="14"/>
      <c r="T93" s="14"/>
      <c r="U93" s="14"/>
      <c r="V93" s="14"/>
      <c r="W93" s="14"/>
      <c r="X93" s="14"/>
    </row>
    <row r="94" spans="1:24" ht="24" customHeight="1">
      <c r="A94" s="177" t="s">
        <v>1100</v>
      </c>
      <c r="B94" s="178"/>
      <c r="C94" s="179"/>
      <c r="D94" s="179"/>
      <c r="E94" s="179"/>
      <c r="F94" s="179"/>
      <c r="G94" s="179"/>
      <c r="H94" s="179"/>
      <c r="I94" s="179"/>
      <c r="J94" s="179"/>
      <c r="K94" s="179"/>
      <c r="L94" s="179"/>
      <c r="M94" s="12"/>
      <c r="N94" s="179"/>
      <c r="O94" s="179"/>
      <c r="P94" s="179"/>
      <c r="Q94" s="179"/>
      <c r="R94" s="179"/>
      <c r="S94" s="179"/>
      <c r="T94" s="179"/>
      <c r="U94" s="179"/>
      <c r="V94" s="179"/>
      <c r="W94" s="179"/>
      <c r="X94" s="179"/>
    </row>
    <row r="95" spans="1:24" ht="24" customHeight="1">
      <c r="A95" s="16" t="s">
        <v>1091</v>
      </c>
      <c r="B95" s="17"/>
      <c r="C95" s="18">
        <v>6329</v>
      </c>
      <c r="D95" s="18">
        <v>4857</v>
      </c>
      <c r="E95" s="18">
        <v>12515</v>
      </c>
      <c r="F95" s="18"/>
      <c r="G95" s="18"/>
      <c r="H95" s="18"/>
      <c r="I95" s="18"/>
      <c r="J95" s="18"/>
      <c r="K95" s="18"/>
      <c r="L95" s="18"/>
      <c r="M95" s="20"/>
      <c r="N95" s="18"/>
      <c r="O95" s="18"/>
      <c r="P95" s="18"/>
      <c r="Q95" s="18"/>
      <c r="R95" s="18"/>
      <c r="S95" s="18"/>
      <c r="T95" s="18"/>
      <c r="U95" s="18"/>
      <c r="V95" s="18"/>
      <c r="W95" s="18"/>
      <c r="X95" s="18"/>
    </row>
    <row r="96" spans="1:24" ht="22" customHeight="1">
      <c r="A96" s="3" t="s">
        <v>1079</v>
      </c>
      <c r="B96" s="1"/>
      <c r="C96" s="14">
        <v>-111</v>
      </c>
      <c r="D96" s="14">
        <v>-8</v>
      </c>
      <c r="E96" s="14">
        <v>125</v>
      </c>
      <c r="F96" s="14"/>
      <c r="G96" s="14"/>
      <c r="H96" s="14"/>
      <c r="I96" s="14"/>
      <c r="J96" s="14"/>
      <c r="K96" s="14"/>
      <c r="L96" s="14"/>
      <c r="M96" s="15"/>
      <c r="N96" s="14"/>
      <c r="O96" s="14"/>
      <c r="P96" s="14"/>
      <c r="Q96" s="14"/>
      <c r="R96" s="14"/>
      <c r="S96" s="14"/>
      <c r="T96" s="14"/>
      <c r="U96" s="14"/>
      <c r="V96" s="14"/>
      <c r="W96" s="14"/>
      <c r="X96" s="14"/>
    </row>
    <row r="97" spans="1:24" ht="22" customHeight="1">
      <c r="A97" s="3" t="s">
        <v>298</v>
      </c>
      <c r="B97" s="1"/>
      <c r="C97" s="14">
        <v>131</v>
      </c>
      <c r="D97" s="14">
        <v>224</v>
      </c>
      <c r="E97" s="14">
        <v>251</v>
      </c>
      <c r="F97" s="14"/>
      <c r="G97" s="14"/>
      <c r="H97" s="14"/>
      <c r="I97" s="14"/>
      <c r="J97" s="14"/>
      <c r="K97" s="14"/>
      <c r="L97" s="14"/>
      <c r="M97" s="15"/>
      <c r="N97" s="14"/>
      <c r="O97" s="14"/>
      <c r="P97" s="14"/>
      <c r="Q97" s="14"/>
      <c r="R97" s="14"/>
      <c r="S97" s="14"/>
      <c r="T97" s="14"/>
      <c r="U97" s="14"/>
      <c r="V97" s="14"/>
      <c r="W97" s="14"/>
      <c r="X97" s="14"/>
    </row>
    <row r="98" spans="1:24" ht="22" customHeight="1">
      <c r="A98" s="3" t="s">
        <v>306</v>
      </c>
      <c r="B98" s="1"/>
      <c r="C98" s="14">
        <v>373</v>
      </c>
      <c r="D98" s="14"/>
      <c r="E98" s="14"/>
      <c r="F98" s="14"/>
      <c r="G98" s="14"/>
      <c r="H98" s="14"/>
      <c r="I98" s="14"/>
      <c r="J98" s="14"/>
      <c r="K98" s="14"/>
      <c r="L98" s="14"/>
      <c r="M98" s="15"/>
      <c r="N98" s="14"/>
      <c r="O98" s="14"/>
      <c r="P98" s="14"/>
      <c r="Q98" s="14"/>
      <c r="R98" s="14"/>
      <c r="S98" s="14"/>
      <c r="T98" s="14"/>
      <c r="U98" s="14"/>
      <c r="V98" s="14"/>
      <c r="W98" s="14"/>
      <c r="X98" s="14"/>
    </row>
    <row r="99" spans="1:24" ht="22" customHeight="1">
      <c r="A99" s="3" t="s">
        <v>1092</v>
      </c>
      <c r="B99" s="1"/>
      <c r="C99" s="14">
        <v>156</v>
      </c>
      <c r="D99" s="14"/>
      <c r="E99" s="14"/>
      <c r="F99" s="14"/>
      <c r="G99" s="14"/>
      <c r="H99" s="14"/>
      <c r="I99" s="14"/>
      <c r="J99" s="14"/>
      <c r="K99" s="14"/>
      <c r="L99" s="14"/>
      <c r="M99" s="15"/>
      <c r="N99" s="14"/>
      <c r="O99" s="14"/>
      <c r="P99" s="14"/>
      <c r="Q99" s="14"/>
      <c r="R99" s="14"/>
      <c r="S99" s="14"/>
      <c r="T99" s="14"/>
      <c r="U99" s="14"/>
      <c r="V99" s="14"/>
      <c r="W99" s="14"/>
      <c r="X99" s="14"/>
    </row>
    <row r="100" spans="1:24" ht="22" customHeight="1">
      <c r="A100" s="3" t="s">
        <v>1093</v>
      </c>
      <c r="B100" s="1"/>
      <c r="C100" s="14">
        <v>162</v>
      </c>
      <c r="D100" s="14"/>
      <c r="E100" s="14"/>
      <c r="F100" s="14"/>
      <c r="G100" s="14"/>
      <c r="H100" s="14"/>
      <c r="I100" s="14"/>
      <c r="J100" s="14"/>
      <c r="K100" s="14"/>
      <c r="L100" s="14"/>
      <c r="M100" s="15"/>
      <c r="N100" s="14"/>
      <c r="O100" s="14"/>
      <c r="P100" s="14"/>
      <c r="Q100" s="14"/>
      <c r="R100" s="14"/>
      <c r="S100" s="14"/>
      <c r="T100" s="14"/>
      <c r="U100" s="14"/>
      <c r="V100" s="14"/>
      <c r="W100" s="14"/>
      <c r="X100" s="14"/>
    </row>
    <row r="101" spans="1:24" ht="24" customHeight="1">
      <c r="A101" s="16" t="s">
        <v>1094</v>
      </c>
      <c r="B101" s="17"/>
      <c r="C101" s="18">
        <v>7040</v>
      </c>
      <c r="D101" s="18">
        <v>7524</v>
      </c>
      <c r="E101" s="18">
        <v>8065</v>
      </c>
      <c r="F101" s="18"/>
      <c r="G101" s="18"/>
      <c r="H101" s="18"/>
      <c r="I101" s="18"/>
      <c r="J101" s="18"/>
      <c r="K101" s="18"/>
      <c r="L101" s="18"/>
      <c r="M101" s="20"/>
      <c r="N101" s="18"/>
      <c r="O101" s="18"/>
      <c r="P101" s="18"/>
      <c r="Q101" s="18"/>
      <c r="R101" s="18"/>
      <c r="S101" s="18"/>
      <c r="T101" s="18"/>
      <c r="U101" s="18"/>
      <c r="V101" s="18"/>
      <c r="W101" s="18"/>
      <c r="X101" s="18"/>
    </row>
    <row r="102" spans="1:24" ht="22" customHeight="1">
      <c r="A102" s="3" t="s">
        <v>1095</v>
      </c>
      <c r="B102" s="1"/>
      <c r="C102" s="14"/>
      <c r="D102" s="14">
        <v>2451</v>
      </c>
      <c r="E102" s="14"/>
      <c r="F102" s="14"/>
      <c r="G102" s="14"/>
      <c r="H102" s="14"/>
      <c r="I102" s="14"/>
      <c r="J102" s="14"/>
      <c r="K102" s="14"/>
      <c r="L102" s="14"/>
      <c r="M102" s="15"/>
      <c r="N102" s="14"/>
      <c r="O102" s="14"/>
      <c r="P102" s="14"/>
      <c r="Q102" s="14"/>
      <c r="R102" s="14"/>
      <c r="S102" s="14"/>
      <c r="T102" s="14"/>
      <c r="U102" s="14"/>
      <c r="V102" s="14"/>
      <c r="W102" s="14"/>
      <c r="X102" s="14"/>
    </row>
    <row r="103" spans="1:24" ht="22" customHeight="1">
      <c r="A103" s="3" t="s">
        <v>1096</v>
      </c>
      <c r="B103" s="1"/>
      <c r="C103" s="14"/>
      <c r="D103" s="14"/>
      <c r="E103" s="14">
        <v>75</v>
      </c>
      <c r="F103" s="14"/>
      <c r="G103" s="14"/>
      <c r="H103" s="14"/>
      <c r="I103" s="14"/>
      <c r="J103" s="14"/>
      <c r="K103" s="14"/>
      <c r="L103" s="14"/>
      <c r="M103" s="15"/>
      <c r="N103" s="14"/>
      <c r="O103" s="14"/>
      <c r="P103" s="14"/>
      <c r="Q103" s="14"/>
      <c r="R103" s="14"/>
      <c r="S103" s="14"/>
      <c r="T103" s="14"/>
      <c r="U103" s="14"/>
      <c r="V103" s="14"/>
      <c r="W103" s="14"/>
      <c r="X103" s="14"/>
    </row>
    <row r="104" spans="1:24" ht="22" customHeight="1">
      <c r="A104" s="3" t="s">
        <v>1097</v>
      </c>
      <c r="B104" s="1"/>
      <c r="C104" s="14"/>
      <c r="D104" s="14"/>
      <c r="E104" s="14">
        <v>-28</v>
      </c>
      <c r="F104" s="14"/>
      <c r="G104" s="14"/>
      <c r="H104" s="14"/>
      <c r="I104" s="14"/>
      <c r="J104" s="14"/>
      <c r="K104" s="14"/>
      <c r="L104" s="14"/>
      <c r="M104" s="15"/>
      <c r="N104" s="14"/>
      <c r="O104" s="14"/>
      <c r="P104" s="14"/>
      <c r="Q104" s="14"/>
      <c r="R104" s="14"/>
      <c r="S104" s="14"/>
      <c r="T104" s="14"/>
      <c r="U104" s="14"/>
      <c r="V104" s="14"/>
      <c r="W104" s="14"/>
      <c r="X104" s="14"/>
    </row>
    <row r="105" spans="1:24" ht="22" customHeight="1">
      <c r="A105" s="3" t="s">
        <v>1098</v>
      </c>
      <c r="B105" s="1"/>
      <c r="C105" s="14"/>
      <c r="D105" s="14"/>
      <c r="E105" s="14">
        <v>-5064</v>
      </c>
      <c r="F105" s="14"/>
      <c r="G105" s="14"/>
      <c r="H105" s="14"/>
      <c r="I105" s="14"/>
      <c r="J105" s="14"/>
      <c r="K105" s="14"/>
      <c r="L105" s="14"/>
      <c r="M105" s="15"/>
      <c r="N105" s="14"/>
      <c r="O105" s="14"/>
      <c r="P105" s="14"/>
      <c r="Q105" s="14"/>
      <c r="R105" s="14"/>
      <c r="S105" s="14"/>
      <c r="T105" s="14"/>
      <c r="U105" s="14"/>
      <c r="V105" s="14"/>
      <c r="W105" s="14"/>
      <c r="X105" s="14"/>
    </row>
    <row r="106" spans="1:24" ht="22" customHeight="1">
      <c r="A106" s="3" t="s">
        <v>1099</v>
      </c>
      <c r="B106" s="1"/>
      <c r="C106" s="14"/>
      <c r="D106" s="14"/>
      <c r="E106" s="14">
        <v>191</v>
      </c>
      <c r="F106" s="14"/>
      <c r="G106" s="14"/>
      <c r="H106" s="14"/>
      <c r="I106" s="14"/>
      <c r="J106" s="14"/>
      <c r="K106" s="14"/>
      <c r="L106" s="14"/>
      <c r="M106" s="15"/>
      <c r="N106" s="14"/>
      <c r="O106" s="14"/>
      <c r="P106" s="14"/>
      <c r="Q106" s="14"/>
      <c r="R106" s="14"/>
      <c r="S106" s="14"/>
      <c r="T106" s="14"/>
      <c r="U106" s="14"/>
      <c r="V106" s="14"/>
      <c r="W106" s="14"/>
      <c r="X106" s="14"/>
    </row>
    <row r="107" spans="1:24" ht="22" customHeight="1">
      <c r="A107" s="3"/>
      <c r="B107" s="1"/>
      <c r="C107" s="2"/>
      <c r="D107" s="2"/>
      <c r="E107" s="2"/>
      <c r="F107" s="2"/>
      <c r="G107" s="2"/>
      <c r="H107" s="2"/>
      <c r="I107" s="2"/>
      <c r="J107" s="2"/>
      <c r="K107" s="2"/>
      <c r="L107" s="2"/>
      <c r="M107" s="2"/>
      <c r="N107" s="2"/>
      <c r="O107" s="2"/>
      <c r="P107" s="2"/>
      <c r="Q107" s="2"/>
      <c r="R107" s="2"/>
      <c r="S107" s="2"/>
      <c r="T107" s="2"/>
      <c r="U107" s="2"/>
      <c r="V107" s="2"/>
      <c r="W107" s="2"/>
      <c r="X107" s="2"/>
    </row>
    <row r="108" spans="1:24" ht="22" customHeight="1">
      <c r="A108" s="174" t="s">
        <v>1062</v>
      </c>
      <c r="B108" s="174"/>
      <c r="C108" s="175"/>
      <c r="D108" s="175"/>
      <c r="E108" s="175"/>
      <c r="F108" s="175"/>
      <c r="G108" s="175"/>
      <c r="H108" s="175"/>
      <c r="I108" s="175"/>
      <c r="J108" s="175"/>
      <c r="K108" s="175"/>
      <c r="L108" s="175"/>
      <c r="M108" s="175"/>
      <c r="N108" s="175"/>
      <c r="O108" s="175"/>
      <c r="P108" s="175"/>
      <c r="Q108" s="175"/>
      <c r="R108" s="175"/>
      <c r="S108" s="175"/>
      <c r="T108" s="175"/>
      <c r="U108" s="175"/>
      <c r="V108" s="175"/>
      <c r="W108" s="175"/>
      <c r="X108" s="175"/>
    </row>
    <row r="109" spans="1:24" ht="18" customHeight="1">
      <c r="A109" s="163" t="s">
        <v>1101</v>
      </c>
      <c r="B109" s="16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row>
    <row r="110" spans="1:24" ht="24" customHeight="1">
      <c r="A110" s="177" t="s">
        <v>1102</v>
      </c>
      <c r="B110" s="178"/>
      <c r="C110" s="179"/>
      <c r="D110" s="179"/>
      <c r="E110" s="179"/>
      <c r="F110" s="179"/>
      <c r="G110" s="179"/>
      <c r="H110" s="179"/>
      <c r="I110" s="179"/>
      <c r="J110" s="179"/>
      <c r="K110" s="179"/>
      <c r="L110" s="179"/>
      <c r="M110" s="12"/>
      <c r="N110" s="179"/>
      <c r="O110" s="179"/>
      <c r="P110" s="179"/>
      <c r="Q110" s="179"/>
      <c r="R110" s="179"/>
      <c r="S110" s="179"/>
      <c r="T110" s="179"/>
      <c r="U110" s="179"/>
      <c r="V110" s="179"/>
      <c r="W110" s="179"/>
      <c r="X110" s="179"/>
    </row>
    <row r="111" spans="1:24" ht="36" customHeight="1">
      <c r="A111" s="3" t="s">
        <v>1103</v>
      </c>
      <c r="B111" s="1"/>
      <c r="C111" s="26"/>
      <c r="D111" s="26"/>
      <c r="E111" s="26"/>
      <c r="F111" s="26">
        <v>5.2</v>
      </c>
      <c r="G111" s="26">
        <v>5.12</v>
      </c>
      <c r="H111" s="26">
        <v>5.49</v>
      </c>
      <c r="I111" s="26">
        <v>6.42</v>
      </c>
      <c r="J111" s="26">
        <v>6.56</v>
      </c>
      <c r="K111" s="26">
        <v>6.95</v>
      </c>
      <c r="L111" s="26">
        <v>6</v>
      </c>
      <c r="M111" s="33"/>
      <c r="N111" s="26">
        <v>1.48</v>
      </c>
      <c r="O111" s="26">
        <v>2.23</v>
      </c>
      <c r="P111" s="26">
        <v>2.13</v>
      </c>
      <c r="Q111" s="26"/>
      <c r="R111" s="26">
        <v>1.33</v>
      </c>
      <c r="S111" s="26">
        <v>0.92</v>
      </c>
      <c r="T111" s="26">
        <v>1.9</v>
      </c>
      <c r="U111" s="26"/>
      <c r="V111" s="26">
        <v>1.7</v>
      </c>
      <c r="W111" s="26">
        <v>2.1800000000000002</v>
      </c>
      <c r="X111" s="26">
        <v>2.23</v>
      </c>
    </row>
    <row r="112" spans="1:24" ht="22" customHeight="1">
      <c r="A112" s="3" t="s">
        <v>1104</v>
      </c>
      <c r="B112" s="1"/>
      <c r="C112" s="26"/>
      <c r="D112" s="26"/>
      <c r="E112" s="26"/>
      <c r="F112" s="26">
        <v>-0.06</v>
      </c>
      <c r="G112" s="26">
        <v>-0.04</v>
      </c>
      <c r="H112" s="26">
        <v>0.01</v>
      </c>
      <c r="I112" s="26">
        <v>0.03</v>
      </c>
      <c r="J112" s="26">
        <v>0.02</v>
      </c>
      <c r="K112" s="26">
        <v>-0.01</v>
      </c>
      <c r="L112" s="26">
        <v>0</v>
      </c>
      <c r="M112" s="33"/>
      <c r="N112" s="26">
        <v>-0.02</v>
      </c>
      <c r="O112" s="26">
        <v>0</v>
      </c>
      <c r="P112" s="26">
        <v>0.03</v>
      </c>
      <c r="Q112" s="26"/>
      <c r="R112" s="26">
        <v>-0.01</v>
      </c>
      <c r="S112" s="26">
        <v>-0.01</v>
      </c>
      <c r="T112" s="26">
        <v>0.01</v>
      </c>
      <c r="U112" s="26"/>
      <c r="V112" s="26">
        <v>-0.1</v>
      </c>
      <c r="W112" s="26">
        <v>0.02</v>
      </c>
      <c r="X112" s="26">
        <v>-0.04</v>
      </c>
    </row>
    <row r="113" spans="1:24" ht="22" customHeight="1">
      <c r="A113" s="3" t="s">
        <v>1105</v>
      </c>
      <c r="B113" s="1"/>
      <c r="C113" s="26"/>
      <c r="D113" s="26"/>
      <c r="E113" s="26"/>
      <c r="F113" s="26">
        <v>0.21</v>
      </c>
      <c r="G113" s="26">
        <v>0.17</v>
      </c>
      <c r="H113" s="26">
        <v>0.15</v>
      </c>
      <c r="I113" s="26">
        <v>0.24</v>
      </c>
      <c r="J113" s="26">
        <v>0.25</v>
      </c>
      <c r="K113" s="26">
        <v>0.41</v>
      </c>
      <c r="L113" s="26">
        <v>0.57999999999999996</v>
      </c>
      <c r="M113" s="33"/>
      <c r="N113" s="26">
        <v>0.05</v>
      </c>
      <c r="O113" s="26">
        <v>0.04</v>
      </c>
      <c r="P113" s="26">
        <v>0.14000000000000001</v>
      </c>
      <c r="Q113" s="26"/>
      <c r="R113" s="26">
        <v>0.14000000000000001</v>
      </c>
      <c r="S113" s="26">
        <v>0.12</v>
      </c>
      <c r="T113" s="26">
        <v>0.08</v>
      </c>
      <c r="U113" s="26"/>
      <c r="V113" s="26">
        <v>7.0000000000000007E-2</v>
      </c>
      <c r="W113" s="26">
        <v>0.03</v>
      </c>
      <c r="X113" s="26">
        <v>0.11</v>
      </c>
    </row>
    <row r="114" spans="1:24" ht="36" customHeight="1">
      <c r="A114" s="3" t="s">
        <v>1106</v>
      </c>
      <c r="B114" s="1"/>
      <c r="C114" s="26"/>
      <c r="D114" s="26"/>
      <c r="E114" s="26"/>
      <c r="F114" s="26">
        <v>0.03</v>
      </c>
      <c r="G114" s="26"/>
      <c r="H114" s="26"/>
      <c r="I114" s="26"/>
      <c r="J114" s="26"/>
      <c r="K114" s="26"/>
      <c r="L114" s="26"/>
      <c r="M114" s="33"/>
      <c r="N114" s="26"/>
      <c r="O114" s="26"/>
      <c r="P114" s="26"/>
      <c r="Q114" s="26"/>
      <c r="R114" s="26"/>
      <c r="S114" s="26"/>
      <c r="T114" s="26"/>
      <c r="U114" s="26"/>
      <c r="V114" s="26"/>
      <c r="W114" s="26"/>
      <c r="X114" s="26"/>
    </row>
    <row r="115" spans="1:24" ht="22" customHeight="1">
      <c r="A115" s="3" t="s">
        <v>1107</v>
      </c>
      <c r="B115" s="1"/>
      <c r="C115" s="26"/>
      <c r="D115" s="26"/>
      <c r="E115" s="26"/>
      <c r="F115" s="26">
        <v>0.15</v>
      </c>
      <c r="G115" s="26"/>
      <c r="H115" s="26"/>
      <c r="I115" s="26"/>
      <c r="J115" s="26"/>
      <c r="K115" s="26"/>
      <c r="L115" s="26"/>
      <c r="M115" s="33"/>
      <c r="N115" s="26"/>
      <c r="O115" s="26"/>
      <c r="P115" s="26"/>
      <c r="Q115" s="26"/>
      <c r="R115" s="26"/>
      <c r="S115" s="26"/>
      <c r="T115" s="26"/>
      <c r="U115" s="26"/>
      <c r="V115" s="26"/>
      <c r="W115" s="26"/>
      <c r="X115" s="26"/>
    </row>
    <row r="116" spans="1:24" ht="22" customHeight="1">
      <c r="A116" s="3" t="s">
        <v>1108</v>
      </c>
      <c r="B116" s="1"/>
      <c r="C116" s="26"/>
      <c r="D116" s="26"/>
      <c r="E116" s="26"/>
      <c r="F116" s="26">
        <v>-0.01</v>
      </c>
      <c r="G116" s="26"/>
      <c r="H116" s="26"/>
      <c r="I116" s="26"/>
      <c r="J116" s="26"/>
      <c r="K116" s="26"/>
      <c r="L116" s="26"/>
      <c r="M116" s="33"/>
      <c r="N116" s="26"/>
      <c r="O116" s="26"/>
      <c r="P116" s="26"/>
      <c r="Q116" s="26"/>
      <c r="R116" s="26"/>
      <c r="S116" s="26"/>
      <c r="T116" s="26"/>
      <c r="U116" s="26"/>
      <c r="V116" s="26"/>
      <c r="W116" s="26"/>
      <c r="X116" s="26"/>
    </row>
    <row r="117" spans="1:24" ht="36" customHeight="1">
      <c r="A117" s="3" t="s">
        <v>1109</v>
      </c>
      <c r="B117" s="1"/>
      <c r="C117" s="26"/>
      <c r="D117" s="26"/>
      <c r="E117" s="26"/>
      <c r="F117" s="26">
        <v>5.53</v>
      </c>
      <c r="G117" s="26">
        <v>5.52</v>
      </c>
      <c r="H117" s="26">
        <v>6.26</v>
      </c>
      <c r="I117" s="26">
        <v>6.79</v>
      </c>
      <c r="J117" s="26">
        <v>7.62</v>
      </c>
      <c r="K117" s="26">
        <v>8.16</v>
      </c>
      <c r="L117" s="26">
        <v>8.14</v>
      </c>
      <c r="M117" s="33"/>
      <c r="N117" s="26">
        <v>1.61</v>
      </c>
      <c r="O117" s="26">
        <v>2.2799999999999998</v>
      </c>
      <c r="P117" s="26">
        <v>2.31</v>
      </c>
      <c r="Q117" s="26"/>
      <c r="R117" s="26">
        <v>1.48</v>
      </c>
      <c r="S117" s="26">
        <v>2.12</v>
      </c>
      <c r="T117" s="26">
        <v>2.29</v>
      </c>
      <c r="U117" s="26"/>
      <c r="V117" s="26">
        <v>1.61</v>
      </c>
      <c r="W117" s="26">
        <v>2.2000000000000002</v>
      </c>
      <c r="X117" s="26">
        <v>2.34</v>
      </c>
    </row>
    <row r="118" spans="1:24" ht="36" customHeight="1">
      <c r="A118" s="3" t="s">
        <v>1110</v>
      </c>
      <c r="B118" s="1"/>
      <c r="C118" s="26"/>
      <c r="D118" s="26"/>
      <c r="E118" s="26"/>
      <c r="F118" s="26"/>
      <c r="G118" s="26">
        <v>0.17</v>
      </c>
      <c r="H118" s="26">
        <v>-0.02</v>
      </c>
      <c r="I118" s="26">
        <v>0.05</v>
      </c>
      <c r="J118" s="26">
        <v>0.02</v>
      </c>
      <c r="K118" s="26">
        <v>0.01</v>
      </c>
      <c r="L118" s="26">
        <v>0.25</v>
      </c>
      <c r="M118" s="33"/>
      <c r="N118" s="26">
        <v>0</v>
      </c>
      <c r="O118" s="26">
        <v>0</v>
      </c>
      <c r="P118" s="26">
        <v>0</v>
      </c>
      <c r="Q118" s="26"/>
      <c r="R118" s="26"/>
      <c r="S118" s="26"/>
      <c r="T118" s="26"/>
      <c r="U118" s="26"/>
      <c r="V118" s="26"/>
      <c r="W118" s="26"/>
      <c r="X118" s="26"/>
    </row>
    <row r="119" spans="1:24" ht="22" customHeight="1">
      <c r="A119" s="3" t="s">
        <v>1111</v>
      </c>
      <c r="B119" s="1"/>
      <c r="C119" s="26"/>
      <c r="D119" s="26"/>
      <c r="E119" s="26"/>
      <c r="F119" s="26"/>
      <c r="G119" s="26">
        <v>0.11</v>
      </c>
      <c r="H119" s="26">
        <v>0.01</v>
      </c>
      <c r="I119" s="26">
        <v>0.17</v>
      </c>
      <c r="J119" s="26">
        <v>0.01</v>
      </c>
      <c r="K119" s="26">
        <v>0.16</v>
      </c>
      <c r="L119" s="26">
        <v>0.14000000000000001</v>
      </c>
      <c r="M119" s="33"/>
      <c r="N119" s="26"/>
      <c r="O119" s="26">
        <v>0</v>
      </c>
      <c r="P119" s="26">
        <v>0.01</v>
      </c>
      <c r="Q119" s="26"/>
      <c r="R119" s="26"/>
      <c r="S119" s="26">
        <v>0</v>
      </c>
      <c r="T119" s="26">
        <v>0.01</v>
      </c>
      <c r="U119" s="26"/>
      <c r="V119" s="26"/>
      <c r="W119" s="26">
        <v>0</v>
      </c>
      <c r="X119" s="26">
        <v>0.1</v>
      </c>
    </row>
    <row r="120" spans="1:24" ht="22" customHeight="1">
      <c r="A120" s="3" t="s">
        <v>1112</v>
      </c>
      <c r="B120" s="1"/>
      <c r="C120" s="26"/>
      <c r="D120" s="26"/>
      <c r="E120" s="26"/>
      <c r="F120" s="26"/>
      <c r="G120" s="26">
        <v>0</v>
      </c>
      <c r="H120" s="26">
        <v>0.49</v>
      </c>
      <c r="I120" s="26"/>
      <c r="J120" s="26"/>
      <c r="K120" s="26"/>
      <c r="L120" s="26"/>
      <c r="M120" s="33"/>
      <c r="N120" s="26"/>
      <c r="O120" s="26"/>
      <c r="P120" s="26"/>
      <c r="Q120" s="26"/>
      <c r="R120" s="26"/>
      <c r="S120" s="26"/>
      <c r="T120" s="26"/>
      <c r="U120" s="26"/>
      <c r="V120" s="26"/>
      <c r="W120" s="26"/>
      <c r="X120" s="26"/>
    </row>
    <row r="121" spans="1:24" ht="22" customHeight="1">
      <c r="A121" s="3" t="s">
        <v>1113</v>
      </c>
      <c r="B121" s="1"/>
      <c r="C121" s="26"/>
      <c r="D121" s="26"/>
      <c r="E121" s="26"/>
      <c r="F121" s="26"/>
      <c r="G121" s="26">
        <v>0</v>
      </c>
      <c r="H121" s="26">
        <v>0.14000000000000001</v>
      </c>
      <c r="I121" s="26">
        <v>0.06</v>
      </c>
      <c r="J121" s="26"/>
      <c r="K121" s="26"/>
      <c r="L121" s="26"/>
      <c r="M121" s="33"/>
      <c r="N121" s="26"/>
      <c r="O121" s="26"/>
      <c r="P121" s="26"/>
      <c r="Q121" s="26"/>
      <c r="R121" s="26"/>
      <c r="S121" s="26"/>
      <c r="T121" s="26"/>
      <c r="U121" s="26"/>
      <c r="V121" s="26"/>
      <c r="W121" s="26"/>
      <c r="X121" s="26"/>
    </row>
    <row r="122" spans="1:24" ht="22" customHeight="1">
      <c r="A122" s="3" t="s">
        <v>1114</v>
      </c>
      <c r="B122" s="1"/>
      <c r="C122" s="26"/>
      <c r="D122" s="26"/>
      <c r="E122" s="26"/>
      <c r="F122" s="26"/>
      <c r="G122" s="26"/>
      <c r="H122" s="26">
        <v>0</v>
      </c>
      <c r="I122" s="26">
        <v>-2.08</v>
      </c>
      <c r="J122" s="26"/>
      <c r="K122" s="26"/>
      <c r="L122" s="26"/>
      <c r="M122" s="33"/>
      <c r="N122" s="26"/>
      <c r="O122" s="26"/>
      <c r="P122" s="26"/>
      <c r="Q122" s="26"/>
      <c r="R122" s="26"/>
      <c r="S122" s="26"/>
      <c r="T122" s="26"/>
      <c r="U122" s="26"/>
      <c r="V122" s="26"/>
      <c r="W122" s="26"/>
      <c r="X122" s="26"/>
    </row>
    <row r="123" spans="1:24" ht="22" customHeight="1">
      <c r="A123" s="3" t="s">
        <v>1115</v>
      </c>
      <c r="B123" s="1"/>
      <c r="C123" s="26"/>
      <c r="D123" s="26"/>
      <c r="E123" s="26"/>
      <c r="F123" s="26"/>
      <c r="G123" s="26"/>
      <c r="H123" s="26">
        <v>0</v>
      </c>
      <c r="I123" s="26">
        <v>2.12</v>
      </c>
      <c r="J123" s="26"/>
      <c r="K123" s="26">
        <v>0.38</v>
      </c>
      <c r="L123" s="26">
        <v>1.0900000000000001</v>
      </c>
      <c r="M123" s="33"/>
      <c r="N123" s="26"/>
      <c r="O123" s="26">
        <v>0</v>
      </c>
      <c r="P123" s="26">
        <v>0.01</v>
      </c>
      <c r="Q123" s="26"/>
      <c r="R123" s="26"/>
      <c r="S123" s="26">
        <v>1.05</v>
      </c>
      <c r="T123" s="26">
        <v>7.0000000000000007E-2</v>
      </c>
      <c r="U123" s="26"/>
      <c r="V123" s="26"/>
      <c r="W123" s="26">
        <v>0</v>
      </c>
      <c r="X123" s="26">
        <v>0</v>
      </c>
    </row>
    <row r="124" spans="1:24" ht="22" customHeight="1">
      <c r="A124" s="3" t="s">
        <v>1116</v>
      </c>
      <c r="B124" s="1"/>
      <c r="C124" s="26"/>
      <c r="D124" s="26"/>
      <c r="E124" s="26"/>
      <c r="F124" s="26"/>
      <c r="G124" s="26"/>
      <c r="H124" s="26">
        <v>0</v>
      </c>
      <c r="I124" s="26">
        <v>-0.23</v>
      </c>
      <c r="J124" s="26"/>
      <c r="K124" s="26"/>
      <c r="L124" s="26"/>
      <c r="M124" s="33"/>
      <c r="N124" s="26"/>
      <c r="O124" s="26"/>
      <c r="P124" s="26"/>
      <c r="Q124" s="26"/>
      <c r="R124" s="26"/>
      <c r="S124" s="26"/>
      <c r="T124" s="26"/>
      <c r="U124" s="26"/>
      <c r="V124" s="26"/>
      <c r="W124" s="26"/>
      <c r="X124" s="26"/>
    </row>
    <row r="125" spans="1:24" ht="22" customHeight="1">
      <c r="A125" s="3" t="s">
        <v>1117</v>
      </c>
      <c r="B125" s="1"/>
      <c r="C125" s="26"/>
      <c r="D125" s="26"/>
      <c r="E125" s="26"/>
      <c r="F125" s="26"/>
      <c r="G125" s="26"/>
      <c r="H125" s="26"/>
      <c r="I125" s="26">
        <v>0</v>
      </c>
      <c r="J125" s="26">
        <v>7.0000000000000007E-2</v>
      </c>
      <c r="K125" s="26">
        <v>0.1</v>
      </c>
      <c r="L125" s="26">
        <v>0</v>
      </c>
      <c r="M125" s="33"/>
      <c r="N125" s="26">
        <v>0.09</v>
      </c>
      <c r="O125" s="26">
        <v>0.01</v>
      </c>
      <c r="P125" s="26">
        <v>0</v>
      </c>
      <c r="Q125" s="26"/>
      <c r="R125" s="26"/>
      <c r="S125" s="26"/>
      <c r="T125" s="26"/>
      <c r="U125" s="26"/>
      <c r="V125" s="26"/>
      <c r="W125" s="26"/>
      <c r="X125" s="26"/>
    </row>
    <row r="126" spans="1:24" ht="22" customHeight="1">
      <c r="A126" s="3" t="s">
        <v>1118</v>
      </c>
      <c r="B126" s="1"/>
      <c r="C126" s="26"/>
      <c r="D126" s="26"/>
      <c r="E126" s="26"/>
      <c r="F126" s="26"/>
      <c r="G126" s="26"/>
      <c r="H126" s="26"/>
      <c r="I126" s="26"/>
      <c r="J126" s="26">
        <v>0.68</v>
      </c>
      <c r="K126" s="26"/>
      <c r="L126" s="26"/>
      <c r="M126" s="33"/>
      <c r="N126" s="26"/>
      <c r="O126" s="26"/>
      <c r="P126" s="26"/>
      <c r="Q126" s="26"/>
      <c r="R126" s="26"/>
      <c r="S126" s="26"/>
      <c r="T126" s="26"/>
      <c r="U126" s="26"/>
      <c r="V126" s="26"/>
      <c r="W126" s="26"/>
      <c r="X126" s="26"/>
    </row>
    <row r="127" spans="1:24" ht="22" customHeight="1">
      <c r="A127" s="3" t="s">
        <v>1119</v>
      </c>
      <c r="B127" s="1"/>
      <c r="C127" s="26"/>
      <c r="D127" s="26"/>
      <c r="E127" s="26"/>
      <c r="F127" s="26"/>
      <c r="G127" s="26"/>
      <c r="H127" s="26"/>
      <c r="I127" s="26"/>
      <c r="J127" s="26">
        <v>0</v>
      </c>
      <c r="K127" s="26"/>
      <c r="L127" s="26"/>
      <c r="M127" s="33"/>
      <c r="N127" s="26"/>
      <c r="O127" s="26"/>
      <c r="P127" s="26"/>
      <c r="Q127" s="26"/>
      <c r="R127" s="26"/>
      <c r="S127" s="26"/>
      <c r="T127" s="26"/>
      <c r="U127" s="26"/>
      <c r="V127" s="26"/>
      <c r="W127" s="26"/>
      <c r="X127" s="26"/>
    </row>
    <row r="128" spans="1:24" ht="22" customHeight="1">
      <c r="A128" s="3" t="s">
        <v>1120</v>
      </c>
      <c r="B128" s="1"/>
      <c r="C128" s="26"/>
      <c r="D128" s="26"/>
      <c r="E128" s="26"/>
      <c r="F128" s="26"/>
      <c r="G128" s="26"/>
      <c r="H128" s="26"/>
      <c r="I128" s="26"/>
      <c r="J128" s="26"/>
      <c r="K128" s="26">
        <v>0.16</v>
      </c>
      <c r="L128" s="26">
        <v>0.08</v>
      </c>
      <c r="M128" s="33"/>
      <c r="N128" s="26"/>
      <c r="O128" s="26"/>
      <c r="P128" s="26">
        <v>0</v>
      </c>
      <c r="Q128" s="26"/>
      <c r="R128" s="26"/>
      <c r="S128" s="26"/>
      <c r="T128" s="26">
        <v>0.09</v>
      </c>
      <c r="U128" s="26"/>
      <c r="V128" s="26"/>
      <c r="W128" s="26"/>
      <c r="X128" s="26">
        <v>0</v>
      </c>
    </row>
    <row r="129" spans="1:24" ht="36" customHeight="1">
      <c r="A129" s="3" t="s">
        <v>1121</v>
      </c>
      <c r="B129" s="1"/>
      <c r="C129" s="26"/>
      <c r="D129" s="26"/>
      <c r="E129" s="26"/>
      <c r="F129" s="26"/>
      <c r="G129" s="26"/>
      <c r="H129" s="26"/>
      <c r="I129" s="26"/>
      <c r="J129" s="26"/>
      <c r="K129" s="26"/>
      <c r="L129" s="26"/>
      <c r="M129" s="33"/>
      <c r="N129" s="26"/>
      <c r="O129" s="26"/>
      <c r="P129" s="26"/>
      <c r="Q129" s="26"/>
      <c r="R129" s="26">
        <v>0.01</v>
      </c>
      <c r="S129" s="26">
        <v>0.03</v>
      </c>
      <c r="T129" s="26">
        <v>0.12</v>
      </c>
      <c r="U129" s="26"/>
      <c r="V129" s="26">
        <v>-0.06</v>
      </c>
      <c r="W129" s="26">
        <v>-0.03</v>
      </c>
      <c r="X129" s="26">
        <v>-0.05</v>
      </c>
    </row>
    <row r="130" spans="1:24" ht="24" customHeight="1">
      <c r="A130" s="177" t="s">
        <v>1122</v>
      </c>
      <c r="B130" s="178"/>
      <c r="C130" s="179"/>
      <c r="D130" s="179"/>
      <c r="E130" s="179"/>
      <c r="F130" s="179"/>
      <c r="G130" s="179"/>
      <c r="H130" s="179"/>
      <c r="I130" s="179"/>
      <c r="J130" s="179"/>
      <c r="K130" s="179"/>
      <c r="L130" s="179"/>
      <c r="M130" s="12"/>
      <c r="N130" s="179"/>
      <c r="O130" s="179"/>
      <c r="P130" s="179"/>
      <c r="Q130" s="179"/>
      <c r="R130" s="179"/>
      <c r="S130" s="179"/>
      <c r="T130" s="179"/>
      <c r="U130" s="179"/>
      <c r="V130" s="179"/>
      <c r="W130" s="179"/>
      <c r="X130" s="179"/>
    </row>
    <row r="131" spans="1:24" ht="36" customHeight="1">
      <c r="A131" s="21" t="s">
        <v>1123</v>
      </c>
      <c r="B131" s="1"/>
      <c r="C131" s="22"/>
      <c r="D131" s="22"/>
      <c r="E131" s="22"/>
      <c r="F131" s="22"/>
      <c r="G131" s="22"/>
      <c r="H131" s="22"/>
      <c r="I131" s="22"/>
      <c r="J131" s="22"/>
      <c r="K131" s="22"/>
      <c r="L131" s="22"/>
      <c r="M131" s="24"/>
      <c r="N131" s="22">
        <v>0.06</v>
      </c>
      <c r="O131" s="22">
        <v>0.13</v>
      </c>
      <c r="P131" s="22">
        <v>-0.05</v>
      </c>
      <c r="Q131" s="22"/>
      <c r="R131" s="22">
        <v>-0.1</v>
      </c>
      <c r="S131" s="22">
        <v>-0.59</v>
      </c>
      <c r="T131" s="22">
        <v>-0.11</v>
      </c>
      <c r="U131" s="22"/>
      <c r="V131" s="22">
        <v>0.27</v>
      </c>
      <c r="W131" s="22">
        <v>1.37</v>
      </c>
      <c r="X131" s="22">
        <v>0.17</v>
      </c>
    </row>
    <row r="132" spans="1:24" ht="36" customHeight="1">
      <c r="A132" s="21" t="s">
        <v>1124</v>
      </c>
      <c r="B132" s="1"/>
      <c r="C132" s="22"/>
      <c r="D132" s="22"/>
      <c r="E132" s="22"/>
      <c r="F132" s="22"/>
      <c r="G132" s="22"/>
      <c r="H132" s="22"/>
      <c r="I132" s="22"/>
      <c r="J132" s="22"/>
      <c r="K132" s="22"/>
      <c r="L132" s="22"/>
      <c r="M132" s="24"/>
      <c r="N132" s="22">
        <v>7.0000000000000007E-2</v>
      </c>
      <c r="O132" s="22">
        <v>0.09</v>
      </c>
      <c r="P132" s="22">
        <v>0.03</v>
      </c>
      <c r="Q132" s="22"/>
      <c r="R132" s="22">
        <v>-0.08</v>
      </c>
      <c r="S132" s="22">
        <v>-7.0000000000000007E-2</v>
      </c>
      <c r="T132" s="22">
        <v>-0.01</v>
      </c>
      <c r="U132" s="22"/>
      <c r="V132" s="22">
        <v>0.09</v>
      </c>
      <c r="W132" s="22">
        <v>0.04</v>
      </c>
      <c r="X132" s="22">
        <v>0.02</v>
      </c>
    </row>
    <row r="133" spans="1:24" ht="20" customHeight="1">
      <c r="A133" s="21" t="s">
        <v>1125</v>
      </c>
      <c r="B133" s="1"/>
      <c r="C133" s="22"/>
      <c r="D133" s="22"/>
      <c r="E133" s="22"/>
      <c r="F133" s="22"/>
      <c r="G133" s="22"/>
      <c r="H133" s="22"/>
      <c r="I133" s="22"/>
      <c r="J133" s="22"/>
      <c r="K133" s="22"/>
      <c r="L133" s="22"/>
      <c r="M133" s="24"/>
      <c r="N133" s="22">
        <v>0</v>
      </c>
      <c r="O133" s="22">
        <v>0.01</v>
      </c>
      <c r="P133" s="22">
        <v>0.02</v>
      </c>
      <c r="Q133" s="22"/>
      <c r="R133" s="22">
        <v>0.04</v>
      </c>
      <c r="S133" s="22">
        <v>0.02</v>
      </c>
      <c r="T133" s="22">
        <v>-0.01</v>
      </c>
      <c r="U133" s="22"/>
      <c r="V133" s="22">
        <v>-0.04</v>
      </c>
      <c r="W133" s="22">
        <v>-0.03</v>
      </c>
      <c r="X133" s="22">
        <v>-0.01</v>
      </c>
    </row>
    <row r="134" spans="1:24" ht="50" customHeight="1">
      <c r="A134" s="21" t="s">
        <v>1126</v>
      </c>
      <c r="B134" s="1"/>
      <c r="C134" s="22"/>
      <c r="D134" s="22"/>
      <c r="E134" s="22"/>
      <c r="F134" s="22"/>
      <c r="G134" s="22"/>
      <c r="H134" s="22"/>
      <c r="I134" s="22"/>
      <c r="J134" s="22"/>
      <c r="K134" s="22"/>
      <c r="L134" s="22"/>
      <c r="M134" s="24"/>
      <c r="N134" s="22">
        <v>7.0000000000000007E-2</v>
      </c>
      <c r="O134" s="22">
        <v>0.1</v>
      </c>
      <c r="P134" s="22">
        <v>0.05</v>
      </c>
      <c r="Q134" s="22"/>
      <c r="R134" s="22"/>
      <c r="S134" s="22">
        <v>-0.05</v>
      </c>
      <c r="T134" s="22">
        <v>-0.02</v>
      </c>
      <c r="U134" s="22"/>
      <c r="V134" s="22"/>
      <c r="W134" s="22"/>
      <c r="X134" s="22"/>
    </row>
    <row r="135" spans="1:24" ht="50" customHeight="1">
      <c r="A135" s="21" t="s">
        <v>1127</v>
      </c>
      <c r="B135" s="1"/>
      <c r="C135" s="22"/>
      <c r="D135" s="22"/>
      <c r="E135" s="22"/>
      <c r="F135" s="22"/>
      <c r="G135" s="22"/>
      <c r="H135" s="22"/>
      <c r="I135" s="22"/>
      <c r="J135" s="22"/>
      <c r="K135" s="22"/>
      <c r="L135" s="22"/>
      <c r="M135" s="24"/>
      <c r="N135" s="22"/>
      <c r="O135" s="22"/>
      <c r="P135" s="22"/>
      <c r="Q135" s="22"/>
      <c r="R135" s="22">
        <v>-0.04</v>
      </c>
      <c r="S135" s="22"/>
      <c r="T135" s="22"/>
      <c r="U135" s="22"/>
      <c r="V135" s="22">
        <v>0.05</v>
      </c>
      <c r="W135" s="22">
        <v>0.01</v>
      </c>
      <c r="X135" s="22">
        <v>1.4999999999999999E-2</v>
      </c>
    </row>
    <row r="136" spans="1:24" ht="22" customHeight="1">
      <c r="A136" s="3"/>
      <c r="B136" s="1"/>
      <c r="C136" s="2"/>
      <c r="D136" s="2"/>
      <c r="E136" s="2"/>
      <c r="F136" s="2"/>
      <c r="G136" s="2"/>
      <c r="H136" s="2"/>
      <c r="I136" s="2"/>
      <c r="J136" s="2"/>
      <c r="K136" s="2"/>
      <c r="L136" s="2"/>
      <c r="M136" s="2"/>
      <c r="N136" s="2"/>
      <c r="O136" s="2"/>
      <c r="P136" s="2"/>
      <c r="Q136" s="2"/>
      <c r="R136" s="2"/>
      <c r="S136" s="2"/>
      <c r="T136" s="2"/>
      <c r="U136" s="2"/>
      <c r="V136" s="2"/>
      <c r="W136" s="2"/>
      <c r="X136" s="2"/>
    </row>
    <row r="137" spans="1:24" ht="22" customHeight="1">
      <c r="A137" s="174" t="s">
        <v>1063</v>
      </c>
      <c r="B137" s="174"/>
      <c r="C137" s="175"/>
      <c r="D137" s="175"/>
      <c r="E137" s="175"/>
      <c r="F137" s="175"/>
      <c r="G137" s="175"/>
      <c r="H137" s="175"/>
      <c r="I137" s="175"/>
      <c r="J137" s="175"/>
      <c r="K137" s="175"/>
      <c r="L137" s="175"/>
      <c r="M137" s="175"/>
      <c r="N137" s="175"/>
      <c r="O137" s="175"/>
      <c r="P137" s="175"/>
      <c r="Q137" s="175"/>
      <c r="R137" s="175"/>
      <c r="S137" s="175"/>
      <c r="T137" s="175"/>
      <c r="U137" s="175"/>
      <c r="V137" s="175"/>
      <c r="W137" s="175"/>
      <c r="X137" s="175"/>
    </row>
    <row r="138" spans="1:24" ht="18" customHeight="1">
      <c r="A138" s="163" t="s">
        <v>1128</v>
      </c>
      <c r="B138" s="16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row>
    <row r="139" spans="1:24" ht="24" customHeight="1">
      <c r="A139" s="177" t="s">
        <v>1102</v>
      </c>
      <c r="B139" s="178"/>
      <c r="C139" s="179"/>
      <c r="D139" s="179"/>
      <c r="E139" s="179"/>
      <c r="F139" s="179"/>
      <c r="G139" s="179"/>
      <c r="H139" s="179"/>
      <c r="I139" s="179"/>
      <c r="J139" s="179"/>
      <c r="K139" s="179"/>
      <c r="L139" s="179"/>
      <c r="M139" s="12"/>
      <c r="N139" s="179"/>
      <c r="O139" s="179"/>
      <c r="P139" s="179"/>
      <c r="Q139" s="179"/>
      <c r="R139" s="179"/>
      <c r="S139" s="179"/>
      <c r="T139" s="179"/>
      <c r="U139" s="179"/>
      <c r="V139" s="179"/>
      <c r="W139" s="179"/>
      <c r="X139" s="179"/>
    </row>
    <row r="140" spans="1:24" ht="36" customHeight="1">
      <c r="A140" s="3" t="s">
        <v>1103</v>
      </c>
      <c r="B140" s="1"/>
      <c r="C140" s="26"/>
      <c r="D140" s="26"/>
      <c r="E140" s="26"/>
      <c r="F140" s="26"/>
      <c r="G140" s="26"/>
      <c r="H140" s="26"/>
      <c r="I140" s="26"/>
      <c r="J140" s="26"/>
      <c r="K140" s="26"/>
      <c r="L140" s="26"/>
      <c r="M140" s="33"/>
      <c r="N140" s="26"/>
      <c r="O140" s="26">
        <v>3.71</v>
      </c>
      <c r="P140" s="26">
        <v>5.84</v>
      </c>
      <c r="Q140" s="26"/>
      <c r="R140" s="26"/>
      <c r="S140" s="26">
        <v>2.25</v>
      </c>
      <c r="T140" s="26">
        <v>4.1500000000000004</v>
      </c>
      <c r="U140" s="26"/>
      <c r="V140" s="26"/>
      <c r="W140" s="26">
        <v>3.88</v>
      </c>
      <c r="X140" s="26">
        <v>6.1</v>
      </c>
    </row>
    <row r="141" spans="1:24" ht="22" customHeight="1">
      <c r="A141" s="3" t="s">
        <v>1104</v>
      </c>
      <c r="B141" s="1"/>
      <c r="C141" s="26"/>
      <c r="D141" s="26"/>
      <c r="E141" s="26"/>
      <c r="F141" s="26"/>
      <c r="G141" s="26"/>
      <c r="H141" s="26"/>
      <c r="I141" s="26"/>
      <c r="J141" s="26"/>
      <c r="K141" s="26"/>
      <c r="L141" s="26"/>
      <c r="M141" s="33"/>
      <c r="N141" s="26"/>
      <c r="O141" s="26">
        <v>-0.02</v>
      </c>
      <c r="P141" s="26">
        <v>0</v>
      </c>
      <c r="Q141" s="26"/>
      <c r="R141" s="26"/>
      <c r="S141" s="26">
        <v>-0.02</v>
      </c>
      <c r="T141" s="26">
        <v>0</v>
      </c>
      <c r="U141" s="26"/>
      <c r="V141" s="26"/>
      <c r="W141" s="26">
        <v>-0.08</v>
      </c>
      <c r="X141" s="26">
        <v>-0.12</v>
      </c>
    </row>
    <row r="142" spans="1:24" ht="22" customHeight="1">
      <c r="A142" s="3" t="s">
        <v>1105</v>
      </c>
      <c r="B142" s="1"/>
      <c r="C142" s="26"/>
      <c r="D142" s="26"/>
      <c r="E142" s="26"/>
      <c r="F142" s="26"/>
      <c r="G142" s="26"/>
      <c r="H142" s="26"/>
      <c r="I142" s="26"/>
      <c r="J142" s="26"/>
      <c r="K142" s="26"/>
      <c r="L142" s="26"/>
      <c r="M142" s="33"/>
      <c r="N142" s="26"/>
      <c r="O142" s="26">
        <v>0.09</v>
      </c>
      <c r="P142" s="26">
        <v>0.24</v>
      </c>
      <c r="Q142" s="26"/>
      <c r="R142" s="26"/>
      <c r="S142" s="26">
        <v>0.26</v>
      </c>
      <c r="T142" s="26">
        <v>0.34</v>
      </c>
      <c r="U142" s="26"/>
      <c r="V142" s="26"/>
      <c r="W142" s="26">
        <v>0.1</v>
      </c>
      <c r="X142" s="26">
        <v>0.21</v>
      </c>
    </row>
    <row r="143" spans="1:24" ht="36" customHeight="1">
      <c r="A143" s="3" t="s">
        <v>1110</v>
      </c>
      <c r="B143" s="1"/>
      <c r="C143" s="26"/>
      <c r="D143" s="26"/>
      <c r="E143" s="26"/>
      <c r="F143" s="26"/>
      <c r="G143" s="26"/>
      <c r="H143" s="26"/>
      <c r="I143" s="26"/>
      <c r="J143" s="26"/>
      <c r="K143" s="26"/>
      <c r="L143" s="26"/>
      <c r="M143" s="33"/>
      <c r="N143" s="26"/>
      <c r="O143" s="26">
        <v>0</v>
      </c>
      <c r="P143" s="26">
        <v>0</v>
      </c>
      <c r="Q143" s="26"/>
      <c r="R143" s="26"/>
      <c r="S143" s="26"/>
      <c r="T143" s="26"/>
      <c r="U143" s="26"/>
      <c r="V143" s="26"/>
      <c r="W143" s="26"/>
      <c r="X143" s="26"/>
    </row>
    <row r="144" spans="1:24" ht="22" customHeight="1">
      <c r="A144" s="3" t="s">
        <v>1117</v>
      </c>
      <c r="B144" s="1"/>
      <c r="C144" s="26"/>
      <c r="D144" s="26"/>
      <c r="E144" s="26"/>
      <c r="F144" s="26"/>
      <c r="G144" s="26"/>
      <c r="H144" s="26"/>
      <c r="I144" s="26"/>
      <c r="J144" s="26"/>
      <c r="K144" s="26"/>
      <c r="L144" s="26"/>
      <c r="M144" s="33"/>
      <c r="N144" s="26"/>
      <c r="O144" s="26">
        <v>0.1</v>
      </c>
      <c r="P144" s="26">
        <v>0.1</v>
      </c>
      <c r="Q144" s="26"/>
      <c r="R144" s="26"/>
      <c r="S144" s="26"/>
      <c r="T144" s="26"/>
      <c r="U144" s="26"/>
      <c r="V144" s="26"/>
      <c r="W144" s="26"/>
      <c r="X144" s="26"/>
    </row>
    <row r="145" spans="1:24" ht="22" customHeight="1">
      <c r="A145" s="3" t="s">
        <v>1111</v>
      </c>
      <c r="B145" s="1"/>
      <c r="C145" s="26"/>
      <c r="D145" s="26"/>
      <c r="E145" s="26"/>
      <c r="F145" s="26"/>
      <c r="G145" s="26"/>
      <c r="H145" s="26"/>
      <c r="I145" s="26"/>
      <c r="J145" s="26"/>
      <c r="K145" s="26"/>
      <c r="L145" s="26"/>
      <c r="M145" s="33"/>
      <c r="N145" s="26"/>
      <c r="O145" s="26">
        <v>0</v>
      </c>
      <c r="P145" s="26">
        <v>0.01</v>
      </c>
      <c r="Q145" s="26"/>
      <c r="R145" s="26"/>
      <c r="S145" s="26">
        <v>0</v>
      </c>
      <c r="T145" s="26">
        <v>0.01</v>
      </c>
      <c r="U145" s="26"/>
      <c r="V145" s="26"/>
      <c r="W145" s="26">
        <v>0</v>
      </c>
      <c r="X145" s="26">
        <v>0.1</v>
      </c>
    </row>
    <row r="146" spans="1:24" ht="36" customHeight="1">
      <c r="A146" s="3" t="s">
        <v>1109</v>
      </c>
      <c r="B146" s="1"/>
      <c r="C146" s="26"/>
      <c r="D146" s="26"/>
      <c r="E146" s="26"/>
      <c r="F146" s="26"/>
      <c r="G146" s="26"/>
      <c r="H146" s="26"/>
      <c r="I146" s="26"/>
      <c r="J146" s="26"/>
      <c r="K146" s="26"/>
      <c r="L146" s="26"/>
      <c r="M146" s="33"/>
      <c r="N146" s="26"/>
      <c r="O146" s="26">
        <v>3.89</v>
      </c>
      <c r="P146" s="26">
        <v>6.2</v>
      </c>
      <c r="Q146" s="26"/>
      <c r="R146" s="26"/>
      <c r="S146" s="26">
        <v>3.59</v>
      </c>
      <c r="T146" s="26">
        <v>5.88</v>
      </c>
      <c r="U146" s="26"/>
      <c r="V146" s="26"/>
      <c r="W146" s="26">
        <v>3.81</v>
      </c>
      <c r="X146" s="26">
        <v>6.15</v>
      </c>
    </row>
    <row r="147" spans="1:24" ht="22" customHeight="1">
      <c r="A147" s="3" t="s">
        <v>1115</v>
      </c>
      <c r="B147" s="1"/>
      <c r="C147" s="26"/>
      <c r="D147" s="26"/>
      <c r="E147" s="26"/>
      <c r="F147" s="26"/>
      <c r="G147" s="26"/>
      <c r="H147" s="26"/>
      <c r="I147" s="26"/>
      <c r="J147" s="26"/>
      <c r="K147" s="26"/>
      <c r="L147" s="26"/>
      <c r="M147" s="33"/>
      <c r="N147" s="26"/>
      <c r="O147" s="26">
        <v>0</v>
      </c>
      <c r="P147" s="26">
        <v>0.01</v>
      </c>
      <c r="Q147" s="26"/>
      <c r="R147" s="26"/>
      <c r="S147" s="26">
        <v>1.05</v>
      </c>
      <c r="T147" s="26">
        <v>1.1200000000000001</v>
      </c>
      <c r="U147" s="26"/>
      <c r="V147" s="26"/>
      <c r="W147" s="26">
        <v>0</v>
      </c>
      <c r="X147" s="26">
        <v>0</v>
      </c>
    </row>
    <row r="148" spans="1:24" ht="22" customHeight="1">
      <c r="A148" s="3" t="s">
        <v>1120</v>
      </c>
      <c r="B148" s="1"/>
      <c r="C148" s="26"/>
      <c r="D148" s="26"/>
      <c r="E148" s="26"/>
      <c r="F148" s="26"/>
      <c r="G148" s="26"/>
      <c r="H148" s="26"/>
      <c r="I148" s="26"/>
      <c r="J148" s="26"/>
      <c r="K148" s="26"/>
      <c r="L148" s="26"/>
      <c r="M148" s="33"/>
      <c r="N148" s="26"/>
      <c r="O148" s="26"/>
      <c r="P148" s="26">
        <v>0</v>
      </c>
      <c r="Q148" s="26"/>
      <c r="R148" s="26"/>
      <c r="S148" s="26"/>
      <c r="T148" s="26">
        <v>0.09</v>
      </c>
      <c r="U148" s="26"/>
      <c r="V148" s="26"/>
      <c r="W148" s="26"/>
      <c r="X148" s="26">
        <v>0</v>
      </c>
    </row>
    <row r="149" spans="1:24" ht="36" customHeight="1">
      <c r="A149" s="3" t="s">
        <v>1121</v>
      </c>
      <c r="B149" s="1"/>
      <c r="C149" s="26"/>
      <c r="D149" s="26"/>
      <c r="E149" s="26"/>
      <c r="F149" s="26"/>
      <c r="G149" s="26"/>
      <c r="H149" s="26"/>
      <c r="I149" s="26"/>
      <c r="J149" s="26"/>
      <c r="K149" s="26"/>
      <c r="L149" s="26"/>
      <c r="M149" s="33"/>
      <c r="N149" s="26"/>
      <c r="O149" s="26"/>
      <c r="P149" s="26"/>
      <c r="Q149" s="26"/>
      <c r="R149" s="26"/>
      <c r="S149" s="26">
        <v>0.05</v>
      </c>
      <c r="T149" s="26">
        <v>0.17</v>
      </c>
      <c r="U149" s="26"/>
      <c r="V149" s="26"/>
      <c r="W149" s="26">
        <v>-0.09</v>
      </c>
      <c r="X149" s="26">
        <v>-0.14000000000000001</v>
      </c>
    </row>
    <row r="150" spans="1:24" ht="24" customHeight="1">
      <c r="A150" s="177" t="s">
        <v>1122</v>
      </c>
      <c r="B150" s="178"/>
      <c r="C150" s="179"/>
      <c r="D150" s="179"/>
      <c r="E150" s="179"/>
      <c r="F150" s="179"/>
      <c r="G150" s="179"/>
      <c r="H150" s="179"/>
      <c r="I150" s="179"/>
      <c r="J150" s="179"/>
      <c r="K150" s="179"/>
      <c r="L150" s="179"/>
      <c r="M150" s="12"/>
      <c r="N150" s="179"/>
      <c r="O150" s="179"/>
      <c r="P150" s="179"/>
      <c r="Q150" s="179"/>
      <c r="R150" s="179"/>
      <c r="S150" s="179"/>
      <c r="T150" s="179"/>
      <c r="U150" s="179"/>
      <c r="V150" s="179"/>
      <c r="W150" s="179"/>
      <c r="X150" s="179"/>
    </row>
    <row r="151" spans="1:24" ht="36" customHeight="1">
      <c r="A151" s="21" t="s">
        <v>1123</v>
      </c>
      <c r="B151" s="1"/>
      <c r="C151" s="22"/>
      <c r="D151" s="22"/>
      <c r="E151" s="22"/>
      <c r="F151" s="22"/>
      <c r="G151" s="22"/>
      <c r="H151" s="22"/>
      <c r="I151" s="22"/>
      <c r="J151" s="22"/>
      <c r="K151" s="22"/>
      <c r="L151" s="22"/>
      <c r="M151" s="24"/>
      <c r="N151" s="22"/>
      <c r="O151" s="22">
        <v>0.1</v>
      </c>
      <c r="P151" s="22">
        <v>0.04</v>
      </c>
      <c r="Q151" s="22"/>
      <c r="R151" s="22"/>
      <c r="S151" s="22">
        <v>-0.39</v>
      </c>
      <c r="T151" s="22">
        <v>-0.28999999999999998</v>
      </c>
      <c r="U151" s="22"/>
      <c r="V151" s="22"/>
      <c r="W151" s="22">
        <v>0.72</v>
      </c>
      <c r="X151" s="22">
        <v>0.47000000000000003</v>
      </c>
    </row>
    <row r="152" spans="1:24" ht="36" customHeight="1">
      <c r="A152" s="21" t="s">
        <v>1124</v>
      </c>
      <c r="B152" s="1"/>
      <c r="C152" s="22"/>
      <c r="D152" s="22"/>
      <c r="E152" s="22"/>
      <c r="F152" s="22"/>
      <c r="G152" s="22"/>
      <c r="H152" s="22"/>
      <c r="I152" s="22"/>
      <c r="J152" s="22"/>
      <c r="K152" s="22"/>
      <c r="L152" s="22"/>
      <c r="M152" s="24"/>
      <c r="N152" s="22"/>
      <c r="O152" s="22">
        <v>0.08</v>
      </c>
      <c r="P152" s="22">
        <v>0.06</v>
      </c>
      <c r="Q152" s="22"/>
      <c r="R152" s="22"/>
      <c r="S152" s="22">
        <v>-0.08</v>
      </c>
      <c r="T152" s="22">
        <v>-0.05</v>
      </c>
      <c r="U152" s="22"/>
      <c r="V152" s="22"/>
      <c r="W152" s="22">
        <v>0.06</v>
      </c>
      <c r="X152" s="22">
        <v>0.05</v>
      </c>
    </row>
    <row r="153" spans="1:24" ht="20" customHeight="1">
      <c r="A153" s="21" t="s">
        <v>1125</v>
      </c>
      <c r="B153" s="1"/>
      <c r="C153" s="22"/>
      <c r="D153" s="22"/>
      <c r="E153" s="22"/>
      <c r="F153" s="22"/>
      <c r="G153" s="22"/>
      <c r="H153" s="22"/>
      <c r="I153" s="22"/>
      <c r="J153" s="22"/>
      <c r="K153" s="22"/>
      <c r="L153" s="22"/>
      <c r="M153" s="24"/>
      <c r="N153" s="22"/>
      <c r="O153" s="22">
        <v>0</v>
      </c>
      <c r="P153" s="22">
        <v>0.01</v>
      </c>
      <c r="Q153" s="22"/>
      <c r="R153" s="22"/>
      <c r="S153" s="22">
        <v>0.03</v>
      </c>
      <c r="T153" s="22">
        <v>0.02</v>
      </c>
      <c r="U153" s="22"/>
      <c r="V153" s="22"/>
      <c r="W153" s="22">
        <v>-0.03</v>
      </c>
      <c r="X153" s="22">
        <v>-2.5000000000000001E-2</v>
      </c>
    </row>
    <row r="154" spans="1:24" ht="50" customHeight="1">
      <c r="A154" s="21" t="s">
        <v>1126</v>
      </c>
      <c r="B154" s="1"/>
      <c r="C154" s="22"/>
      <c r="D154" s="22"/>
      <c r="E154" s="22"/>
      <c r="F154" s="22"/>
      <c r="G154" s="22"/>
      <c r="H154" s="22"/>
      <c r="I154" s="22"/>
      <c r="J154" s="22"/>
      <c r="K154" s="22"/>
      <c r="L154" s="22"/>
      <c r="M154" s="24"/>
      <c r="N154" s="22"/>
      <c r="O154" s="22">
        <v>0.09</v>
      </c>
      <c r="P154" s="22">
        <v>7.0000000000000007E-2</v>
      </c>
      <c r="Q154" s="22"/>
      <c r="R154" s="22"/>
      <c r="S154" s="22">
        <v>-4.4999999999999998E-2</v>
      </c>
      <c r="T154" s="22">
        <v>-3.5000000000000003E-2</v>
      </c>
      <c r="U154" s="22"/>
      <c r="V154" s="22"/>
      <c r="W154" s="22"/>
      <c r="X154" s="22"/>
    </row>
    <row r="155" spans="1:24" ht="50" customHeight="1">
      <c r="A155" s="21" t="s">
        <v>1127</v>
      </c>
      <c r="B155" s="1"/>
      <c r="C155" s="22"/>
      <c r="D155" s="22"/>
      <c r="E155" s="22"/>
      <c r="F155" s="22"/>
      <c r="G155" s="22"/>
      <c r="H155" s="22"/>
      <c r="I155" s="22"/>
      <c r="J155" s="22"/>
      <c r="K155" s="22"/>
      <c r="L155" s="22"/>
      <c r="M155" s="24"/>
      <c r="N155" s="22"/>
      <c r="O155" s="22"/>
      <c r="P155" s="22"/>
      <c r="Q155" s="22"/>
      <c r="R155" s="22"/>
      <c r="S155" s="22"/>
      <c r="T155" s="22"/>
      <c r="U155" s="22"/>
      <c r="V155" s="22"/>
      <c r="W155" s="22">
        <v>0.03</v>
      </c>
      <c r="X155" s="22">
        <v>0.02</v>
      </c>
    </row>
    <row r="156" spans="1:24" ht="22" customHeight="1">
      <c r="A156" s="3"/>
      <c r="B156" s="1"/>
      <c r="C156" s="2"/>
      <c r="D156" s="2"/>
      <c r="E156" s="2"/>
      <c r="F156" s="2"/>
      <c r="G156" s="2"/>
      <c r="H156" s="2"/>
      <c r="I156" s="2"/>
      <c r="J156" s="2"/>
      <c r="K156" s="2"/>
      <c r="L156" s="2"/>
      <c r="M156" s="2"/>
      <c r="N156" s="2"/>
      <c r="O156" s="2"/>
      <c r="P156" s="2"/>
      <c r="Q156" s="2"/>
      <c r="R156" s="2"/>
      <c r="S156" s="2"/>
      <c r="T156" s="2"/>
      <c r="U156" s="2"/>
      <c r="V156" s="2"/>
      <c r="W156" s="2"/>
      <c r="X156" s="2"/>
    </row>
  </sheetData>
  <mergeCells count="53">
    <mergeCell ref="A137:X137"/>
    <mergeCell ref="A138:X138"/>
    <mergeCell ref="A139:L139"/>
    <mergeCell ref="N139:X139"/>
    <mergeCell ref="A150:L150"/>
    <mergeCell ref="N150:X150"/>
    <mergeCell ref="A108:X108"/>
    <mergeCell ref="A109:X109"/>
    <mergeCell ref="A110:L110"/>
    <mergeCell ref="N110:X110"/>
    <mergeCell ref="A130:L130"/>
    <mergeCell ref="N130:X130"/>
    <mergeCell ref="A79:X79"/>
    <mergeCell ref="A80:X80"/>
    <mergeCell ref="A81:L81"/>
    <mergeCell ref="N81:X81"/>
    <mergeCell ref="A94:L94"/>
    <mergeCell ref="N94:X94"/>
    <mergeCell ref="A69:L69"/>
    <mergeCell ref="N69:X69"/>
    <mergeCell ref="A73:L73"/>
    <mergeCell ref="N73:X73"/>
    <mergeCell ref="A76:L76"/>
    <mergeCell ref="N76:X76"/>
    <mergeCell ref="A53:L53"/>
    <mergeCell ref="N53:X53"/>
    <mergeCell ref="A58:X58"/>
    <mergeCell ref="A59:X59"/>
    <mergeCell ref="A60:L60"/>
    <mergeCell ref="N60:X60"/>
    <mergeCell ref="A44:L44"/>
    <mergeCell ref="N44:X44"/>
    <mergeCell ref="A48:L48"/>
    <mergeCell ref="N48:X48"/>
    <mergeCell ref="A51:L51"/>
    <mergeCell ref="N51:X51"/>
    <mergeCell ref="A23:X23"/>
    <mergeCell ref="A24:X24"/>
    <mergeCell ref="A34:X34"/>
    <mergeCell ref="A35:X35"/>
    <mergeCell ref="A36:L36"/>
    <mergeCell ref="N36:X36"/>
    <mergeCell ref="C9:L9"/>
    <mergeCell ref="N9:X9"/>
    <mergeCell ref="C10:L10"/>
    <mergeCell ref="A14:X14"/>
    <mergeCell ref="A15:X15"/>
    <mergeCell ref="A1:X1"/>
    <mergeCell ref="A2:X2"/>
    <mergeCell ref="C7:L7"/>
    <mergeCell ref="N7:X7"/>
    <mergeCell ref="C8:L8"/>
    <mergeCell ref="N8:X8"/>
  </mergeCells>
  <phoneticPr fontId="44" type="noConversion"/>
  <hyperlinks>
    <hyperlink ref="A3" location="'Contents'!A1" display="Metric (Return to Contents)" xr:uid="{00000000-0004-0000-0D00-000000000000}"/>
    <hyperlink ref="C7" location="'Core Reconciliations'!A14" display="Company-reported FCF reconciliation: annual and YTD" xr:uid="{00000000-0004-0000-0D00-000001000000}"/>
    <hyperlink ref="N7" location="'Core Reconciliations'!A23" display="Company-reported ROIC (financing-capital basis)" xr:uid="{00000000-0004-0000-0D00-000002000000}"/>
    <hyperlink ref="C8" location="'Core Reconciliations'!A34" display="Current structure: consolidated Core reconciliation" xr:uid="{00000000-0004-0000-0D00-000003000000}"/>
    <hyperlink ref="N8" location="'Core Reconciliations'!A58" display="Current structure: consolidated Core reconciliation (YTD)" xr:uid="{00000000-0004-0000-0D00-000004000000}"/>
    <hyperlink ref="C9" location="'Core Reconciliations'!A79" display="Earlier structure: consolidated Core reconciliation" xr:uid="{00000000-0004-0000-0D00-000005000000}"/>
    <hyperlink ref="N9" location="'Core Reconciliations'!A108" display="Consolidated GAAP / company Core diluted EPS reconciliation" xr:uid="{00000000-0004-0000-0D00-000006000000}"/>
    <hyperlink ref="C10" location="'Core Reconciliations'!A137" display="Consolidated GAAP / company Core diluted EPS reconciliation: YTD" xr:uid="{00000000-0004-0000-0D00-000007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4E79"/>
  </sheetPr>
  <dimension ref="A1:V221"/>
  <sheetViews>
    <sheetView showGridLines="0" workbookViewId="0">
      <pane xSplit="2" ySplit="4" topLeftCell="C5" activePane="bottomRight" state="frozen"/>
      <selection pane="topRight"/>
      <selection pane="bottomLeft"/>
      <selection pane="bottomRight" activeCell="L190" sqref="L190"/>
    </sheetView>
  </sheetViews>
  <sheetFormatPr baseColWidth="10" defaultColWidth="8.83203125" defaultRowHeight="14"/>
  <cols>
    <col min="1" max="1" width="60" customWidth="1"/>
    <col min="2" max="2" width="8" customWidth="1"/>
    <col min="3" max="8" width="12.1640625" customWidth="1"/>
    <col min="9" max="9" width="3" customWidth="1"/>
    <col min="10" max="14" width="12.1640625" customWidth="1"/>
    <col min="15" max="15" width="3" customWidth="1"/>
    <col min="16" max="22" width="12.1640625" customWidth="1"/>
  </cols>
  <sheetData>
    <row r="1" spans="1:22" ht="28" customHeight="1">
      <c r="A1" s="181" t="s">
        <v>1129</v>
      </c>
      <c r="B1" s="182"/>
      <c r="C1" s="183"/>
      <c r="D1" s="183"/>
      <c r="E1" s="183"/>
      <c r="F1" s="183"/>
      <c r="G1" s="183"/>
      <c r="H1" s="183"/>
      <c r="I1" s="92"/>
      <c r="J1" s="183" t="s">
        <v>1130</v>
      </c>
      <c r="K1" s="183"/>
      <c r="L1" s="183"/>
      <c r="M1" s="183"/>
      <c r="N1" s="183"/>
      <c r="O1" s="183"/>
      <c r="P1" s="183"/>
      <c r="Q1" s="183"/>
      <c r="R1" s="183"/>
      <c r="S1" s="183"/>
      <c r="T1" s="183"/>
      <c r="U1" s="183"/>
      <c r="V1" s="183"/>
    </row>
    <row r="2" spans="1:22" ht="22" customHeight="1">
      <c r="A2" s="184" t="s">
        <v>1131</v>
      </c>
      <c r="B2" s="185"/>
      <c r="C2" s="186"/>
      <c r="D2" s="186"/>
      <c r="E2" s="186"/>
      <c r="F2" s="186"/>
      <c r="G2" s="186"/>
      <c r="H2" s="186"/>
      <c r="I2" s="92"/>
      <c r="J2" s="92"/>
      <c r="K2" s="92"/>
      <c r="L2" s="92"/>
      <c r="M2" s="92"/>
      <c r="N2" s="92"/>
      <c r="O2" s="92"/>
      <c r="P2" s="92"/>
      <c r="Q2" s="92"/>
      <c r="R2" s="92"/>
      <c r="S2" s="92"/>
      <c r="T2" s="92"/>
      <c r="U2" s="92"/>
      <c r="V2" s="92"/>
    </row>
    <row r="3" spans="1:22" ht="22" customHeight="1">
      <c r="A3" s="187" t="s">
        <v>1132</v>
      </c>
      <c r="B3" s="185"/>
      <c r="C3" s="186"/>
      <c r="D3" s="186"/>
      <c r="E3" s="186"/>
      <c r="F3" s="186"/>
      <c r="G3" s="186"/>
      <c r="H3" s="186"/>
      <c r="I3" s="92"/>
      <c r="J3" s="92"/>
      <c r="K3" s="92"/>
      <c r="L3" s="92"/>
      <c r="M3" s="92"/>
      <c r="N3" s="92"/>
      <c r="O3" s="92"/>
      <c r="P3" s="92"/>
      <c r="Q3" s="92"/>
      <c r="R3" s="92"/>
      <c r="S3" s="92"/>
      <c r="T3" s="92"/>
      <c r="U3" s="92"/>
      <c r="V3" s="92"/>
    </row>
    <row r="4" spans="1:22" ht="22" customHeight="1">
      <c r="A4" s="91" t="s">
        <v>1133</v>
      </c>
      <c r="B4" s="93" t="s">
        <v>1134</v>
      </c>
      <c r="C4" s="94">
        <v>0.03</v>
      </c>
      <c r="D4" s="188" t="s">
        <v>1135</v>
      </c>
      <c r="E4" s="186"/>
      <c r="F4" s="186"/>
      <c r="G4" s="186"/>
      <c r="H4" s="186"/>
      <c r="I4" s="92"/>
      <c r="J4" s="92"/>
      <c r="K4" s="92"/>
      <c r="L4" s="92"/>
      <c r="M4" s="92"/>
      <c r="N4" s="92"/>
      <c r="O4" s="92"/>
      <c r="P4" s="92"/>
      <c r="Q4" s="92"/>
      <c r="R4" s="92"/>
      <c r="S4" s="92"/>
      <c r="T4" s="92"/>
      <c r="U4" s="92"/>
      <c r="V4" s="92"/>
    </row>
    <row r="5" spans="1:22" ht="22" customHeight="1">
      <c r="A5" s="91"/>
      <c r="B5" s="93"/>
      <c r="C5" s="92"/>
      <c r="D5" s="92"/>
      <c r="E5" s="92"/>
      <c r="F5" s="92"/>
      <c r="G5" s="92"/>
      <c r="H5" s="92"/>
      <c r="I5" s="92"/>
      <c r="J5" s="92"/>
      <c r="K5" s="92"/>
      <c r="L5" s="92"/>
      <c r="M5" s="92"/>
      <c r="N5" s="92"/>
      <c r="O5" s="92"/>
      <c r="P5" s="92"/>
      <c r="Q5" s="92"/>
      <c r="R5" s="92"/>
      <c r="S5" s="92"/>
      <c r="T5" s="92"/>
      <c r="U5" s="92"/>
      <c r="V5" s="92"/>
    </row>
    <row r="6" spans="1:22" ht="22" customHeight="1">
      <c r="A6" s="96" t="s">
        <v>1136</v>
      </c>
      <c r="B6" s="97"/>
      <c r="C6" s="98"/>
      <c r="D6" s="98"/>
      <c r="E6" s="98"/>
      <c r="F6" s="98"/>
      <c r="G6" s="98"/>
      <c r="H6" s="98"/>
      <c r="I6" s="92"/>
      <c r="J6" s="92"/>
      <c r="K6" s="92"/>
      <c r="L6" s="92"/>
      <c r="M6" s="92"/>
      <c r="N6" s="92"/>
      <c r="O6" s="92"/>
      <c r="P6" s="92"/>
      <c r="Q6" s="92"/>
      <c r="R6" s="92"/>
      <c r="S6" s="92"/>
      <c r="T6" s="92"/>
      <c r="U6" s="92"/>
      <c r="V6" s="92"/>
    </row>
    <row r="7" spans="1:22" ht="24" customHeight="1">
      <c r="A7" s="91"/>
      <c r="B7" s="93"/>
      <c r="C7" s="99" t="s">
        <v>1137</v>
      </c>
      <c r="D7" s="99" t="s">
        <v>1138</v>
      </c>
      <c r="E7" s="99" t="s">
        <v>1139</v>
      </c>
      <c r="F7" s="92"/>
      <c r="G7" s="92"/>
      <c r="H7" s="92"/>
      <c r="I7" s="92"/>
      <c r="J7" s="99" t="s">
        <v>1140</v>
      </c>
      <c r="K7" s="99" t="s">
        <v>1141</v>
      </c>
      <c r="L7" s="99" t="s">
        <v>1142</v>
      </c>
      <c r="M7" s="99" t="s">
        <v>1143</v>
      </c>
      <c r="N7" s="99" t="s">
        <v>1144</v>
      </c>
      <c r="O7" s="92"/>
      <c r="P7" s="100" t="s">
        <v>1145</v>
      </c>
      <c r="Q7" s="100" t="s">
        <v>1146</v>
      </c>
      <c r="R7" s="100" t="s">
        <v>1147</v>
      </c>
      <c r="S7" s="100" t="s">
        <v>1148</v>
      </c>
      <c r="T7" s="100" t="s">
        <v>1149</v>
      </c>
      <c r="U7" s="100" t="s">
        <v>1150</v>
      </c>
      <c r="V7" s="100" t="s">
        <v>1151</v>
      </c>
    </row>
    <row r="8" spans="1:22" ht="22" customHeight="1">
      <c r="A8" s="101" t="s">
        <v>1152</v>
      </c>
      <c r="B8" s="102" t="s">
        <v>1153</v>
      </c>
      <c r="C8" s="95"/>
      <c r="D8" s="95"/>
      <c r="E8" s="95"/>
      <c r="F8" s="95"/>
      <c r="G8" s="95"/>
      <c r="H8" s="95"/>
      <c r="I8" s="95"/>
      <c r="J8" s="95"/>
      <c r="K8" s="95"/>
      <c r="L8" s="95"/>
      <c r="M8" s="95"/>
      <c r="N8" s="95"/>
      <c r="O8" s="95"/>
      <c r="P8" s="95"/>
      <c r="Q8" s="95"/>
      <c r="R8" s="95"/>
      <c r="S8" s="95"/>
      <c r="T8" s="95"/>
      <c r="U8" s="95"/>
      <c r="V8" s="95"/>
    </row>
    <row r="9" spans="1:22" ht="22" customHeight="1">
      <c r="A9" s="91"/>
      <c r="B9" s="93"/>
      <c r="C9" s="92"/>
      <c r="D9" s="92"/>
      <c r="E9" s="92"/>
      <c r="F9" s="92"/>
      <c r="G9" s="92"/>
      <c r="H9" s="92"/>
      <c r="I9" s="92"/>
      <c r="J9" s="92"/>
      <c r="K9" s="92"/>
      <c r="L9" s="92"/>
      <c r="M9" s="92"/>
      <c r="N9" s="92"/>
      <c r="O9" s="92"/>
      <c r="P9" s="92"/>
      <c r="Q9" s="92"/>
      <c r="R9" s="92"/>
      <c r="S9" s="92"/>
      <c r="T9" s="92"/>
      <c r="U9" s="92"/>
      <c r="V9" s="92"/>
    </row>
    <row r="10" spans="1:22" ht="24" customHeight="1">
      <c r="A10" s="103" t="s">
        <v>82</v>
      </c>
      <c r="B10" s="104"/>
      <c r="C10" s="105"/>
      <c r="D10" s="105"/>
      <c r="E10" s="105"/>
      <c r="F10" s="105"/>
      <c r="G10" s="105"/>
      <c r="H10" s="105"/>
      <c r="I10" s="92"/>
      <c r="J10" s="92"/>
      <c r="K10" s="92"/>
      <c r="L10" s="92"/>
      <c r="M10" s="92"/>
      <c r="N10" s="92"/>
      <c r="O10" s="92"/>
      <c r="P10" s="92"/>
      <c r="Q10" s="92"/>
      <c r="R10" s="92"/>
      <c r="S10" s="92"/>
      <c r="T10" s="92"/>
      <c r="U10" s="92"/>
      <c r="V10" s="92"/>
    </row>
    <row r="11" spans="1:22" ht="20" customHeight="1">
      <c r="A11" s="106" t="s">
        <v>1154</v>
      </c>
      <c r="B11" s="93" t="s">
        <v>1134</v>
      </c>
      <c r="C11" s="119">
        <v>0</v>
      </c>
      <c r="D11" s="119">
        <v>5.0000000000000001E-3</v>
      </c>
      <c r="E11" s="114">
        <f>(C11*SUM(Segments!R31,Segments!S31,Segments!T31)+D11*S14)/M14</f>
        <v>1.5099171752397558E-3</v>
      </c>
      <c r="F11" s="92"/>
      <c r="G11" s="92"/>
      <c r="H11" s="92"/>
      <c r="I11" s="92"/>
      <c r="J11" s="114" t="str">
        <f>IF(COUNT(Segments!I87)=1,Segments!I87,"")</f>
        <v/>
      </c>
      <c r="K11" s="114">
        <f>IF(COUNT(Segments!J87)=1,Segments!J87,"")</f>
        <v>0.08</v>
      </c>
      <c r="L11" s="114">
        <f>IF(COUNT(Segments!K87)=1,Segments!K87,"")</f>
        <v>-0.02</v>
      </c>
      <c r="M11" s="114">
        <f>IF(COUNT(Segments!L87)=1,Segments!L87,"")</f>
        <v>-0.02</v>
      </c>
      <c r="N11" s="107">
        <f t="shared" ref="N11:N17" si="0">E11</f>
        <v>1.5099171752397558E-3</v>
      </c>
      <c r="O11" s="92"/>
      <c r="P11" s="114">
        <f>IF(COUNT(Segments!R87)=1,Segments!R87,"")</f>
        <v>-0.02</v>
      </c>
      <c r="Q11" s="114">
        <f>IF(COUNT(Segments!S87)=1,Segments!S87,"")</f>
        <v>-0.02</v>
      </c>
      <c r="R11" s="114">
        <f>IF(COUNT(Segments!T87)=1,Segments!T87,"")</f>
        <v>-0.03</v>
      </c>
      <c r="S11" s="114">
        <f>IF(COUNT(Segments!U87)=1,Segments!U87,"")</f>
        <v>-0.01</v>
      </c>
      <c r="T11" s="114">
        <f>IF(COUNT(Segments!V87)=1,Segments!V87,"")</f>
        <v>0.01</v>
      </c>
      <c r="U11" s="114">
        <f>IF(COUNT(Segments!W87)=1,Segments!W87,"")</f>
        <v>-0.02</v>
      </c>
      <c r="V11" s="114">
        <f>IF(COUNT(Segments!X87)=1,Segments!X87,"")</f>
        <v>0</v>
      </c>
    </row>
    <row r="12" spans="1:22" ht="20" customHeight="1">
      <c r="A12" s="106" t="s">
        <v>1155</v>
      </c>
      <c r="B12" s="93" t="s">
        <v>1134</v>
      </c>
      <c r="C12" s="107">
        <f>(1+C13)/(1+C11)-1</f>
        <v>-5.7246942492839015E-4</v>
      </c>
      <c r="D12" s="119">
        <v>0</v>
      </c>
      <c r="E12" s="107">
        <f>(1+E13)/(1+E11)-1</f>
        <v>-3.9899069862003866E-4</v>
      </c>
      <c r="F12" s="92"/>
      <c r="G12" s="92"/>
      <c r="H12" s="92"/>
      <c r="I12" s="92"/>
      <c r="J12" s="107" t="str">
        <f>IF(COUNT(J11,J13)=2,(1+J13)/(1+J11)-1,"")</f>
        <v/>
      </c>
      <c r="K12" s="107">
        <f>IF(COUNT(K11,K13)=2,(1+K13)/(1+K11)-1,"")</f>
        <v>-1.9325741377837824E-2</v>
      </c>
      <c r="L12" s="107">
        <f>IF(COUNT(L11,L13)=2,(1+L13)/(1+L11)-1,"")</f>
        <v>-8.63240173813562E-4</v>
      </c>
      <c r="M12" s="107">
        <f>IF(COUNT(M11,M13)=2,(1+M13)/(1+M11)-1,"")</f>
        <v>2.401647473177615E-2</v>
      </c>
      <c r="N12" s="107">
        <f t="shared" si="0"/>
        <v>-3.9899069862003866E-4</v>
      </c>
      <c r="O12" s="92"/>
      <c r="P12" s="107">
        <f t="shared" ref="P12:V12" si="1">IF(COUNT(P11,P13)=2,(1+P13)/(1+P11)-1,"")</f>
        <v>1.1293016169619863E-2</v>
      </c>
      <c r="Q12" s="107">
        <f t="shared" si="1"/>
        <v>2.6909598338169749E-2</v>
      </c>
      <c r="R12" s="107">
        <f t="shared" si="1"/>
        <v>2.9350528082373373E-2</v>
      </c>
      <c r="S12" s="107">
        <f t="shared" si="1"/>
        <v>2.5145854836979176E-2</v>
      </c>
      <c r="T12" s="107">
        <f t="shared" si="1"/>
        <v>9.0627604527715455E-3</v>
      </c>
      <c r="U12" s="107">
        <f t="shared" si="1"/>
        <v>3.3908560335809135E-3</v>
      </c>
      <c r="V12" s="107">
        <f t="shared" si="1"/>
        <v>-3.3711308611706903E-3</v>
      </c>
    </row>
    <row r="13" spans="1:22" ht="20" customHeight="1">
      <c r="A13" s="106" t="s">
        <v>1156</v>
      </c>
      <c r="B13" s="93" t="s">
        <v>1134</v>
      </c>
      <c r="C13" s="114">
        <f>C14/SUM(Segments!R31,Segments!S31,Segments!T31)-1</f>
        <v>-5.7246942492839015E-4</v>
      </c>
      <c r="D13" s="107">
        <f>(1+D11)*(1+D12)-1</f>
        <v>4.9999999999998934E-3</v>
      </c>
      <c r="E13" s="107">
        <f>E14/M14-1</f>
        <v>1.1103240337111409E-3</v>
      </c>
      <c r="F13" s="92"/>
      <c r="G13" s="92"/>
      <c r="H13" s="92"/>
      <c r="I13" s="92"/>
      <c r="J13" s="114" t="str">
        <f>IF(COUNT(Segments!I32)=1,Segments!I32,"")</f>
        <v/>
      </c>
      <c r="K13" s="114">
        <f>IF(COUNT(Segments!J32)=1,Segments!J32,"")</f>
        <v>5.9128199311935248E-2</v>
      </c>
      <c r="L13" s="114">
        <f>IF(COUNT(Segments!K32)=1,Segments!K32,"")</f>
        <v>-2.0845975370337277E-2</v>
      </c>
      <c r="M13" s="114">
        <f>IF(COUNT(Segments!L32)=1,Segments!L32,"")</f>
        <v>3.53614523714052E-3</v>
      </c>
      <c r="N13" s="107">
        <f t="shared" si="0"/>
        <v>1.1103240337111409E-3</v>
      </c>
      <c r="O13" s="92"/>
      <c r="P13" s="114">
        <f>IF(COUNT(Segments!R32)=1,Segments!R32,"")</f>
        <v>-8.9328441537724901E-3</v>
      </c>
      <c r="Q13" s="114">
        <f>IF(COUNT(Segments!S32)=1,Segments!S32,"")</f>
        <v>6.3714063714064295E-3</v>
      </c>
      <c r="R13" s="114">
        <f>IF(COUNT(Segments!T32)=1,Segments!T32,"")</f>
        <v>-1.5299877600979395E-3</v>
      </c>
      <c r="S13" s="114">
        <f>IF(COUNT(Segments!U32)=1,Segments!U32,"")</f>
        <v>1.4894396288609446E-2</v>
      </c>
      <c r="T13" s="114">
        <f>IF(COUNT(Segments!V32)=1,Segments!V32,"")</f>
        <v>1.9153388057299159E-2</v>
      </c>
      <c r="U13" s="114">
        <f>IF(COUNT(Segments!W32)=1,Segments!W32,"")</f>
        <v>-1.6676961087090825E-2</v>
      </c>
      <c r="V13" s="114">
        <f>IF(COUNT(Segments!X32)=1,Segments!X32,"")</f>
        <v>-3.3711308611706903E-3</v>
      </c>
    </row>
    <row r="14" spans="1:22" ht="24" customHeight="1">
      <c r="A14" s="109" t="s">
        <v>63</v>
      </c>
      <c r="B14" s="110" t="s">
        <v>1157</v>
      </c>
      <c r="C14" s="115">
        <f>IF(COUNT(Segments!V31,Segments!W31,Segments!X31)=3,SUM(Segments!V31,Segments!W31,Segments!X31),"")</f>
        <v>19204</v>
      </c>
      <c r="D14" s="111">
        <f>S14*(1+D13)</f>
        <v>8354.5649999999987</v>
      </c>
      <c r="E14" s="111">
        <f>SUM(C14:D14)</f>
        <v>27558.564999999999</v>
      </c>
      <c r="F14" s="92"/>
      <c r="G14" s="92"/>
      <c r="H14" s="92"/>
      <c r="I14" s="92"/>
      <c r="J14" s="115">
        <f>IF(COUNT(Segments!I31)=1,Segments!I31,"")</f>
        <v>26451</v>
      </c>
      <c r="K14" s="115">
        <f>IF(COUNT(Segments!J31)=1,Segments!J31,"")</f>
        <v>28015</v>
      </c>
      <c r="L14" s="115">
        <f>IF(COUNT(Segments!K31)=1,Segments!K31,"")</f>
        <v>27431</v>
      </c>
      <c r="M14" s="115">
        <f>IF(COUNT(Segments!L31)=1,Segments!L31,"")</f>
        <v>27528</v>
      </c>
      <c r="N14" s="111">
        <f t="shared" si="0"/>
        <v>27558.564999999999</v>
      </c>
      <c r="O14" s="92"/>
      <c r="P14" s="115">
        <f>IF(COUNT(Segments!R31)=1,Segments!R31,"")</f>
        <v>6213</v>
      </c>
      <c r="Q14" s="115">
        <f>IF(COUNT(Segments!S31)=1,Segments!S31,"")</f>
        <v>6476</v>
      </c>
      <c r="R14" s="115">
        <f>IF(COUNT(Segments!T31)=1,Segments!T31,"")</f>
        <v>6526</v>
      </c>
      <c r="S14" s="115">
        <f>IF(COUNT(Segments!U31)=1,Segments!U31,"")</f>
        <v>8313</v>
      </c>
      <c r="T14" s="115">
        <f>IF(COUNT(Segments!V31)=1,Segments!V31,"")</f>
        <v>6332</v>
      </c>
      <c r="U14" s="115">
        <f>IF(COUNT(Segments!W31)=1,Segments!W31,"")</f>
        <v>6368</v>
      </c>
      <c r="V14" s="115">
        <f>IF(COUNT(Segments!X31)=1,Segments!X31,"")</f>
        <v>6504</v>
      </c>
    </row>
    <row r="15" spans="1:22" ht="20" customHeight="1">
      <c r="A15" s="106" t="s">
        <v>86</v>
      </c>
      <c r="B15" s="93" t="s">
        <v>1134</v>
      </c>
      <c r="C15" s="107">
        <f>C16/C14</f>
        <v>0.22162049573005624</v>
      </c>
      <c r="D15" s="119">
        <v>0.21</v>
      </c>
      <c r="E15" s="107">
        <f>E16/E14</f>
        <v>0.21809766401117039</v>
      </c>
      <c r="F15" s="92"/>
      <c r="G15" s="92"/>
      <c r="H15" s="92"/>
      <c r="I15" s="92"/>
      <c r="J15" s="114" t="str">
        <f>IF(COUNT(Segments!I35)=1,Segments!I35,"")</f>
        <v/>
      </c>
      <c r="K15" s="114">
        <f>IF(COUNT(Segments!J35)=1,Segments!J35,"")</f>
        <v>0.26503658754238801</v>
      </c>
      <c r="L15" s="114">
        <f>IF(COUNT(Segments!K35)=1,Segments!K35,"")</f>
        <v>0.25452954686303819</v>
      </c>
      <c r="M15" s="114">
        <f>IF(COUNT(Segments!L35)=1,Segments!L35,"")</f>
        <v>0.23775791920953213</v>
      </c>
      <c r="N15" s="107">
        <f t="shared" si="0"/>
        <v>0.21809766401117039</v>
      </c>
      <c r="O15" s="92"/>
      <c r="P15" s="114">
        <f>IF(COUNT(Segments!R35)=1,Segments!R35,"")</f>
        <v>0.2535007242877837</v>
      </c>
      <c r="Q15" s="114">
        <f>IF(COUNT(Segments!S35)=1,Segments!S35,"")</f>
        <v>0.22977146386658431</v>
      </c>
      <c r="R15" s="114">
        <f>IF(COUNT(Segments!T35)=1,Segments!T35,"")</f>
        <v>0.24057615691081827</v>
      </c>
      <c r="S15" s="114">
        <f>IF(COUNT(Segments!U35)=1,Segments!U35,"")</f>
        <v>0.2300012029351618</v>
      </c>
      <c r="T15" s="114">
        <f>IF(COUNT(Segments!V35)=1,Segments!V35,"")</f>
        <v>0.23768161718256475</v>
      </c>
      <c r="U15" s="114">
        <f>IF(COUNT(Segments!W35)=1,Segments!W35,"")</f>
        <v>0.21498115577889448</v>
      </c>
      <c r="V15" s="114">
        <f>IF(COUNT(Segments!X35)=1,Segments!X35,"")</f>
        <v>0.21248462484624847</v>
      </c>
    </row>
    <row r="16" spans="1:22" ht="24" customHeight="1">
      <c r="A16" s="109" t="s">
        <v>84</v>
      </c>
      <c r="B16" s="110" t="s">
        <v>1157</v>
      </c>
      <c r="C16" s="115">
        <f>IF(COUNT(Segments!V33,Segments!W33,Segments!X33)=3,SUM(Segments!V33,Segments!W33,Segments!X33),"")</f>
        <v>4256</v>
      </c>
      <c r="D16" s="111">
        <f>D14*D15</f>
        <v>1754.4586499999996</v>
      </c>
      <c r="E16" s="111">
        <f>SUM(C16:D16)</f>
        <v>6010.4586499999996</v>
      </c>
      <c r="F16" s="92"/>
      <c r="G16" s="92"/>
      <c r="H16" s="92"/>
      <c r="I16" s="92"/>
      <c r="J16" s="115" t="str">
        <f>IF(COUNT(Segments!I33)=1,Segments!I33,"")</f>
        <v/>
      </c>
      <c r="K16" s="115">
        <f>IF(COUNT(Segments!J33)=1,Segments!J33,"")</f>
        <v>7425</v>
      </c>
      <c r="L16" s="115">
        <f>IF(COUNT(Segments!K33)=1,Segments!K33,"")</f>
        <v>6982</v>
      </c>
      <c r="M16" s="115">
        <f>IF(COUNT(Segments!L33)=1,Segments!L33,"")</f>
        <v>6545</v>
      </c>
      <c r="N16" s="111">
        <f t="shared" si="0"/>
        <v>6010.4586499999996</v>
      </c>
      <c r="O16" s="92"/>
      <c r="P16" s="115">
        <f>IF(COUNT(Segments!R33)=1,Segments!R33,"")</f>
        <v>1575</v>
      </c>
      <c r="Q16" s="115">
        <f>IF(COUNT(Segments!S33)=1,Segments!S33,"")</f>
        <v>1488</v>
      </c>
      <c r="R16" s="115">
        <f>IF(COUNT(Segments!T33)=1,Segments!T33,"")</f>
        <v>1570</v>
      </c>
      <c r="S16" s="115">
        <f>IF(COUNT(Segments!U33)=1,Segments!U33,"")</f>
        <v>1912</v>
      </c>
      <c r="T16" s="115">
        <f>IF(COUNT(Segments!V33)=1,Segments!V33,"")</f>
        <v>1505</v>
      </c>
      <c r="U16" s="115">
        <f>IF(COUNT(Segments!W33)=1,Segments!W33,"")</f>
        <v>1369</v>
      </c>
      <c r="V16" s="115">
        <f>IF(COUNT(Segments!X33)=1,Segments!X33,"")</f>
        <v>1382</v>
      </c>
    </row>
    <row r="17" spans="1:22" ht="20" customHeight="1">
      <c r="A17" s="106" t="s">
        <v>85</v>
      </c>
      <c r="B17" s="93" t="s">
        <v>1134</v>
      </c>
      <c r="C17" s="114">
        <f>C16/SUM(Segments!R33,Segments!S33,Segments!T33)-1</f>
        <v>-8.1372760630261221E-2</v>
      </c>
      <c r="D17" s="107">
        <f>D16/S16-1</f>
        <v>-8.2396103556485523E-2</v>
      </c>
      <c r="E17" s="107">
        <f>E16/M16-1</f>
        <v>-8.1671711229946542E-2</v>
      </c>
      <c r="F17" s="92"/>
      <c r="G17" s="92"/>
      <c r="H17" s="92"/>
      <c r="I17" s="92"/>
      <c r="J17" s="114" t="str">
        <f>IF(COUNT(Segments!I34)=1,Segments!I34,"")</f>
        <v/>
      </c>
      <c r="K17" s="114" t="str">
        <f>IF(COUNT(Segments!J34)=1,Segments!J34,"")</f>
        <v/>
      </c>
      <c r="L17" s="114">
        <f>IF(COUNT(Segments!K34)=1,Segments!K34,"")</f>
        <v>-5.966329966329964E-2</v>
      </c>
      <c r="M17" s="114">
        <f>IF(COUNT(Segments!L34)=1,Segments!L34,"")</f>
        <v>-6.2589515898023529E-2</v>
      </c>
      <c r="N17" s="107">
        <f t="shared" si="0"/>
        <v>-8.1671711229946542E-2</v>
      </c>
      <c r="O17" s="92"/>
      <c r="P17" s="114">
        <f>IF(COUNT(Segments!R34)=1,Segments!R34,"")</f>
        <v>-7.2438162544169571E-2</v>
      </c>
      <c r="Q17" s="114">
        <f>IF(COUNT(Segments!S34)=1,Segments!S34,"")</f>
        <v>-0.12727272727272732</v>
      </c>
      <c r="R17" s="114">
        <f>IF(COUNT(Segments!T34)=1,Segments!T34,"")</f>
        <v>-3.5033804548248337E-2</v>
      </c>
      <c r="S17" s="114">
        <f>IF(COUNT(Segments!U34)=1,Segments!U34,"")</f>
        <v>-2.0491803278688492E-2</v>
      </c>
      <c r="T17" s="114">
        <f>IF(COUNT(Segments!V34)=1,Segments!V34,"")</f>
        <v>-4.4444444444444398E-2</v>
      </c>
      <c r="U17" s="114">
        <f>IF(COUNT(Segments!W34)=1,Segments!W34,"")</f>
        <v>-7.9973118279569877E-2</v>
      </c>
      <c r="V17" s="114">
        <f>IF(COUNT(Segments!X34)=1,Segments!X34,"")</f>
        <v>-0.11974522292993628</v>
      </c>
    </row>
    <row r="18" spans="1:22" ht="22" customHeight="1">
      <c r="A18" s="91"/>
      <c r="B18" s="93"/>
      <c r="C18" s="92"/>
      <c r="D18" s="92"/>
      <c r="E18" s="92"/>
      <c r="F18" s="92"/>
      <c r="G18" s="92"/>
      <c r="H18" s="92"/>
      <c r="I18" s="92"/>
      <c r="J18" s="92"/>
      <c r="K18" s="92"/>
      <c r="L18" s="92"/>
      <c r="M18" s="92"/>
      <c r="N18" s="92"/>
      <c r="O18" s="92"/>
      <c r="P18" s="92"/>
      <c r="Q18" s="92"/>
      <c r="R18" s="92"/>
      <c r="S18" s="92"/>
      <c r="T18" s="92"/>
      <c r="U18" s="92"/>
      <c r="V18" s="92"/>
    </row>
    <row r="19" spans="1:22" ht="24" customHeight="1">
      <c r="A19" s="103" t="s">
        <v>88</v>
      </c>
      <c r="B19" s="104"/>
      <c r="C19" s="105"/>
      <c r="D19" s="105"/>
      <c r="E19" s="105"/>
      <c r="F19" s="105"/>
      <c r="G19" s="105"/>
      <c r="H19" s="105"/>
      <c r="I19" s="92"/>
      <c r="J19" s="92"/>
      <c r="K19" s="92"/>
      <c r="L19" s="92"/>
      <c r="M19" s="92"/>
      <c r="N19" s="92"/>
      <c r="O19" s="92"/>
      <c r="P19" s="92"/>
      <c r="Q19" s="92"/>
      <c r="R19" s="92"/>
      <c r="S19" s="92"/>
      <c r="T19" s="92"/>
      <c r="U19" s="92"/>
      <c r="V19" s="92"/>
    </row>
    <row r="20" spans="1:22" ht="20" customHeight="1">
      <c r="A20" s="106" t="s">
        <v>1154</v>
      </c>
      <c r="B20" s="93" t="s">
        <v>1134</v>
      </c>
      <c r="C20" s="119">
        <v>0.01</v>
      </c>
      <c r="D20" s="119">
        <v>5.0000000000000001E-3</v>
      </c>
      <c r="E20" s="114">
        <f>(C20*SUM(Segments!R38,Segments!S38,Segments!T38)+D20*S23)/M23</f>
        <v>8.5462992516934424E-3</v>
      </c>
      <c r="F20" s="92"/>
      <c r="G20" s="92"/>
      <c r="H20" s="92"/>
      <c r="I20" s="92"/>
      <c r="J20" s="114" t="str">
        <f>IF(COUNT(Segments!I92)=1,Segments!I92,"")</f>
        <v/>
      </c>
      <c r="K20" s="114">
        <f>IF(COUNT(Segments!J92)=1,Segments!J92,"")</f>
        <v>7.0000000000000007E-2</v>
      </c>
      <c r="L20" s="114">
        <f>IF(COUNT(Segments!K92)=1,Segments!K92,"")</f>
        <v>0.01</v>
      </c>
      <c r="M20" s="114">
        <f>IF(COUNT(Segments!L92)=1,Segments!L92,"")</f>
        <v>0.01</v>
      </c>
      <c r="N20" s="107">
        <f t="shared" ref="N20:N26" si="2">E20</f>
        <v>8.5462992516934424E-3</v>
      </c>
      <c r="O20" s="92"/>
      <c r="P20" s="114">
        <f>IF(COUNT(Segments!R92)=1,Segments!R92,"")</f>
        <v>0.01</v>
      </c>
      <c r="Q20" s="114">
        <f>IF(COUNT(Segments!S92)=1,Segments!S92,"")</f>
        <v>0.01</v>
      </c>
      <c r="R20" s="114">
        <f>IF(COUNT(Segments!T92)=1,Segments!T92,"")</f>
        <v>0.02</v>
      </c>
      <c r="S20" s="114">
        <f>IF(COUNT(Segments!U92)=1,Segments!U92,"")</f>
        <v>0.02</v>
      </c>
      <c r="T20" s="114">
        <f>IF(COUNT(Segments!V92)=1,Segments!V92,"")</f>
        <v>0.02</v>
      </c>
      <c r="U20" s="114">
        <f>IF(COUNT(Segments!W92)=1,Segments!W92,"")</f>
        <v>0.01</v>
      </c>
      <c r="V20" s="114">
        <f>IF(COUNT(Segments!X92)=1,Segments!X92,"")</f>
        <v>0</v>
      </c>
    </row>
    <row r="21" spans="1:22" ht="20" customHeight="1">
      <c r="A21" s="106" t="s">
        <v>1155</v>
      </c>
      <c r="B21" s="93" t="s">
        <v>1134</v>
      </c>
      <c r="C21" s="107">
        <f>(1+C22)/(1+C20)-1</f>
        <v>5.6488467987755753E-2</v>
      </c>
      <c r="D21" s="119">
        <v>0</v>
      </c>
      <c r="E21" s="107">
        <f>(1+E22)/(1+E20)-1</f>
        <v>4.0122751334658702E-2</v>
      </c>
      <c r="F21" s="92"/>
      <c r="G21" s="92"/>
      <c r="H21" s="92"/>
      <c r="I21" s="92"/>
      <c r="J21" s="107" t="str">
        <f>IF(COUNT(J20,J22)=2,(1+J22)/(1+J20)-1,"")</f>
        <v/>
      </c>
      <c r="K21" s="107">
        <f>IF(COUNT(K20,K22)=2,(1+K22)/(1+K20)-1,"")</f>
        <v>-1.5042475535610333E-2</v>
      </c>
      <c r="L21" s="107">
        <f>IF(COUNT(L20,L22)=2,(1+L22)/(1+L20)-1,"")</f>
        <v>-4.7759572163688091E-3</v>
      </c>
      <c r="M21" s="107">
        <f>IF(COUNT(M20,M22)=2,(1+M22)/(1+M20)-1,"")</f>
        <v>5.3592776901658645E-3</v>
      </c>
      <c r="N21" s="107">
        <f t="shared" si="2"/>
        <v>4.0122751334658702E-2</v>
      </c>
      <c r="O21" s="92"/>
      <c r="P21" s="107">
        <f t="shared" ref="P21:V21" si="3">IF(COUNT(P20,P22)=2,(1+P22)/(1+P20)-1,"")</f>
        <v>-9.5638777360883553E-3</v>
      </c>
      <c r="Q21" s="107">
        <f t="shared" si="3"/>
        <v>-1.2081504729536285E-2</v>
      </c>
      <c r="R21" s="107">
        <f t="shared" si="3"/>
        <v>1.1614401858304202E-3</v>
      </c>
      <c r="S21" s="107">
        <f t="shared" si="3"/>
        <v>1.6216323424046664E-2</v>
      </c>
      <c r="T21" s="107">
        <f t="shared" si="3"/>
        <v>6.6318290420320558E-2</v>
      </c>
      <c r="U21" s="107">
        <f t="shared" si="3"/>
        <v>5.522176702661441E-2</v>
      </c>
      <c r="V21" s="107">
        <f t="shared" si="3"/>
        <v>5.1726491060461344E-2</v>
      </c>
    </row>
    <row r="22" spans="1:22" ht="20" customHeight="1">
      <c r="A22" s="106" t="s">
        <v>1156</v>
      </c>
      <c r="B22" s="93" t="s">
        <v>1134</v>
      </c>
      <c r="C22" s="114">
        <f>C23/SUM(Segments!R38,Segments!S38,Segments!T38)-1</f>
        <v>6.7053352667633348E-2</v>
      </c>
      <c r="D22" s="107">
        <f>(1+D20)*(1+D21)-1</f>
        <v>4.9999999999998934E-3</v>
      </c>
      <c r="E22" s="107">
        <f>E23/M23-1</f>
        <v>4.9011951626059425E-2</v>
      </c>
      <c r="F22" s="92"/>
      <c r="G22" s="92"/>
      <c r="H22" s="92"/>
      <c r="I22" s="92"/>
      <c r="J22" s="114" t="str">
        <f>IF(COUNT(Segments!I39)=1,Segments!I39,"")</f>
        <v/>
      </c>
      <c r="K22" s="114">
        <f>IF(COUNT(Segments!J39)=1,Segments!J39,"")</f>
        <v>5.3904551176896964E-2</v>
      </c>
      <c r="L22" s="114">
        <f>IF(COUNT(Segments!K39)=1,Segments!K39,"")</f>
        <v>5.1762832114674584E-3</v>
      </c>
      <c r="M22" s="114">
        <f>IF(COUNT(Segments!L39)=1,Segments!L39,"")</f>
        <v>1.5412870467067519E-2</v>
      </c>
      <c r="N22" s="107">
        <f t="shared" si="2"/>
        <v>4.9011951626059425E-2</v>
      </c>
      <c r="O22" s="92"/>
      <c r="P22" s="114">
        <f>IF(COUNT(Segments!R39)=1,Segments!R39,"")</f>
        <v>3.4048348655080218E-4</v>
      </c>
      <c r="Q22" s="114">
        <f>IF(COUNT(Segments!S39)=1,Segments!S39,"")</f>
        <v>-2.2023197768316072E-3</v>
      </c>
      <c r="R22" s="114">
        <f>IF(COUNT(Segments!T39)=1,Segments!T39,"")</f>
        <v>2.1184668989546962E-2</v>
      </c>
      <c r="S22" s="114">
        <f>IF(COUNT(Segments!U39)=1,Segments!U39,"")</f>
        <v>3.6540649892527588E-2</v>
      </c>
      <c r="T22" s="114">
        <f>IF(COUNT(Segments!V39)=1,Segments!V39,"")</f>
        <v>8.7644656228726969E-2</v>
      </c>
      <c r="U22" s="114">
        <f>IF(COUNT(Segments!W39)=1,Segments!W39,"")</f>
        <v>6.5773984696880561E-2</v>
      </c>
      <c r="V22" s="114">
        <f>IF(COUNT(Segments!X39)=1,Segments!X39,"")</f>
        <v>5.1726491060461344E-2</v>
      </c>
    </row>
    <row r="23" spans="1:22" ht="24" customHeight="1">
      <c r="A23" s="109" t="s">
        <v>63</v>
      </c>
      <c r="B23" s="110" t="s">
        <v>1157</v>
      </c>
      <c r="C23" s="115">
        <f>IF(COUNT(Segments!V38,Segments!W38,Segments!X38)=3,SUM(Segments!V38,Segments!W38,Segments!X38),"")</f>
        <v>21340</v>
      </c>
      <c r="D23" s="111">
        <f>S23*(1+D22)</f>
        <v>8238.99</v>
      </c>
      <c r="E23" s="111">
        <f>SUM(C23:D23)</f>
        <v>29578.989999999998</v>
      </c>
      <c r="F23" s="92"/>
      <c r="G23" s="92"/>
      <c r="H23" s="92"/>
      <c r="I23" s="92"/>
      <c r="J23" s="115">
        <f>IF(COUNT(Segments!I38)=1,Segments!I38,"")</f>
        <v>26213</v>
      </c>
      <c r="K23" s="115">
        <f>IF(COUNT(Segments!J38)=1,Segments!J38,"")</f>
        <v>27626</v>
      </c>
      <c r="L23" s="115">
        <f>IF(COUNT(Segments!K38)=1,Segments!K38,"")</f>
        <v>27769</v>
      </c>
      <c r="M23" s="115">
        <f>IF(COUNT(Segments!L38)=1,Segments!L38,"")</f>
        <v>28197</v>
      </c>
      <c r="N23" s="111">
        <f t="shared" si="2"/>
        <v>29578.989999999998</v>
      </c>
      <c r="O23" s="92"/>
      <c r="P23" s="115">
        <f>IF(COUNT(Segments!R38)=1,Segments!R38,"")</f>
        <v>5876</v>
      </c>
      <c r="Q23" s="115">
        <f>IF(COUNT(Segments!S38)=1,Segments!S38,"")</f>
        <v>6796</v>
      </c>
      <c r="R23" s="115">
        <f>IF(COUNT(Segments!T38)=1,Segments!T38,"")</f>
        <v>7327</v>
      </c>
      <c r="S23" s="115">
        <f>IF(COUNT(Segments!U38)=1,Segments!U38,"")</f>
        <v>8198</v>
      </c>
      <c r="T23" s="115">
        <f>IF(COUNT(Segments!V38)=1,Segments!V38,"")</f>
        <v>6391</v>
      </c>
      <c r="U23" s="115">
        <f>IF(COUNT(Segments!W38)=1,Segments!W38,"")</f>
        <v>7243</v>
      </c>
      <c r="V23" s="115">
        <f>IF(COUNT(Segments!X38)=1,Segments!X38,"")</f>
        <v>7706</v>
      </c>
    </row>
    <row r="24" spans="1:22" ht="20" customHeight="1">
      <c r="A24" s="106" t="s">
        <v>86</v>
      </c>
      <c r="B24" s="93" t="s">
        <v>1134</v>
      </c>
      <c r="C24" s="107">
        <f>C25/C23</f>
        <v>0.12385192127460169</v>
      </c>
      <c r="D24" s="119">
        <v>8.4000000000000005E-2</v>
      </c>
      <c r="E24" s="107">
        <f>E25/E23</f>
        <v>0.11275148881013179</v>
      </c>
      <c r="F24" s="92"/>
      <c r="G24" s="92"/>
      <c r="H24" s="92"/>
      <c r="I24" s="92"/>
      <c r="J24" s="114" t="str">
        <f>IF(COUNT(Segments!I42)=1,Segments!I42,"")</f>
        <v/>
      </c>
      <c r="K24" s="114">
        <f>IF(COUNT(Segments!J42)=1,Segments!J42,"")</f>
        <v>0.10721783826829798</v>
      </c>
      <c r="L24" s="114">
        <f>IF(COUNT(Segments!K42)=1,Segments!K42,"")</f>
        <v>0.11177932226583601</v>
      </c>
      <c r="M24" s="114">
        <f>IF(COUNT(Segments!L42)=1,Segments!L42,"")</f>
        <v>0.11650175550590489</v>
      </c>
      <c r="N24" s="107">
        <f t="shared" si="2"/>
        <v>0.11275148881013179</v>
      </c>
      <c r="O24" s="92"/>
      <c r="P24" s="114">
        <f>IF(COUNT(Segments!R42)=1,Segments!R42,"")</f>
        <v>0.10125936010891763</v>
      </c>
      <c r="Q24" s="114">
        <f>IF(COUNT(Segments!S42)=1,Segments!S42,"")</f>
        <v>0.14626250735726898</v>
      </c>
      <c r="R24" s="114">
        <f>IF(COUNT(Segments!T42)=1,Segments!T42,"")</f>
        <v>0.13306946908693873</v>
      </c>
      <c r="S24" s="114">
        <f>IF(COUNT(Segments!U42)=1,Segments!U42,"")</f>
        <v>8.7948280068309348E-2</v>
      </c>
      <c r="T24" s="114">
        <f>IF(COUNT(Segments!V42)=1,Segments!V42,"")</f>
        <v>9.9984352996401182E-2</v>
      </c>
      <c r="U24" s="114">
        <f>IF(COUNT(Segments!W42)=1,Segments!W42,"")</f>
        <v>0.13695982327764739</v>
      </c>
      <c r="V24" s="114">
        <f>IF(COUNT(Segments!X42)=1,Segments!X42,"")</f>
        <v>0.13132623929405657</v>
      </c>
    </row>
    <row r="25" spans="1:22" ht="24" customHeight="1">
      <c r="A25" s="109" t="s">
        <v>84</v>
      </c>
      <c r="B25" s="110" t="s">
        <v>1157</v>
      </c>
      <c r="C25" s="115">
        <f>IF(COUNT(Segments!V40,Segments!W40,Segments!X40)=3,SUM(Segments!V40,Segments!W40,Segments!X40),"")</f>
        <v>2643</v>
      </c>
      <c r="D25" s="111">
        <f>D23*D24</f>
        <v>692.07515999999998</v>
      </c>
      <c r="E25" s="111">
        <f>SUM(C25:D25)</f>
        <v>3335.0751599999999</v>
      </c>
      <c r="F25" s="92"/>
      <c r="G25" s="92"/>
      <c r="H25" s="92"/>
      <c r="I25" s="92"/>
      <c r="J25" s="115" t="str">
        <f>IF(COUNT(Segments!I40)=1,Segments!I40,"")</f>
        <v/>
      </c>
      <c r="K25" s="115">
        <f>IF(COUNT(Segments!J40)=1,Segments!J40,"")</f>
        <v>2962</v>
      </c>
      <c r="L25" s="115">
        <f>IF(COUNT(Segments!K40)=1,Segments!K40,"")</f>
        <v>3104</v>
      </c>
      <c r="M25" s="115">
        <f>IF(COUNT(Segments!L40)=1,Segments!L40,"")</f>
        <v>3285</v>
      </c>
      <c r="N25" s="111">
        <f t="shared" si="2"/>
        <v>3335.0751599999999</v>
      </c>
      <c r="O25" s="92"/>
      <c r="P25" s="115">
        <f>IF(COUNT(Segments!R40)=1,Segments!R40,"")</f>
        <v>595</v>
      </c>
      <c r="Q25" s="115">
        <f>IF(COUNT(Segments!S40)=1,Segments!S40,"")</f>
        <v>994</v>
      </c>
      <c r="R25" s="115">
        <f>IF(COUNT(Segments!T40)=1,Segments!T40,"")</f>
        <v>975</v>
      </c>
      <c r="S25" s="115">
        <f>IF(COUNT(Segments!U40)=1,Segments!U40,"")</f>
        <v>721</v>
      </c>
      <c r="T25" s="115">
        <f>IF(COUNT(Segments!V40)=1,Segments!V40,"")</f>
        <v>639</v>
      </c>
      <c r="U25" s="115">
        <f>IF(COUNT(Segments!W40)=1,Segments!W40,"")</f>
        <v>992</v>
      </c>
      <c r="V25" s="115">
        <f>IF(COUNT(Segments!X40)=1,Segments!X40,"")</f>
        <v>1012</v>
      </c>
    </row>
    <row r="26" spans="1:22" ht="20" customHeight="1">
      <c r="A26" s="106" t="s">
        <v>85</v>
      </c>
      <c r="B26" s="93" t="s">
        <v>1134</v>
      </c>
      <c r="C26" s="114">
        <f>C25/SUM(Segments!R40,Segments!S40,Segments!T40)-1</f>
        <v>3.0811232449297954E-2</v>
      </c>
      <c r="D26" s="107">
        <f>D25/S25-1</f>
        <v>-4.0117669902912656E-2</v>
      </c>
      <c r="E26" s="107">
        <f>E25/M25-1</f>
        <v>1.5243579908675864E-2</v>
      </c>
      <c r="F26" s="92"/>
      <c r="G26" s="92"/>
      <c r="H26" s="92"/>
      <c r="I26" s="92"/>
      <c r="J26" s="114" t="str">
        <f>IF(COUNT(Segments!I41)=1,Segments!I41,"")</f>
        <v/>
      </c>
      <c r="K26" s="114" t="str">
        <f>IF(COUNT(Segments!J41)=1,Segments!J41,"")</f>
        <v/>
      </c>
      <c r="L26" s="114">
        <f>IF(COUNT(Segments!K41)=1,Segments!K41,"")</f>
        <v>4.7940580688723866E-2</v>
      </c>
      <c r="M26" s="114">
        <f>IF(COUNT(Segments!L41)=1,Segments!L41,"")</f>
        <v>5.8311855670102997E-2</v>
      </c>
      <c r="N26" s="107">
        <f t="shared" si="2"/>
        <v>1.5243579908675864E-2</v>
      </c>
      <c r="O26" s="92"/>
      <c r="P26" s="114">
        <f>IF(COUNT(Segments!R41)=1,Segments!R41,"")</f>
        <v>0.13984674329501923</v>
      </c>
      <c r="Q26" s="114">
        <f>IF(COUNT(Segments!S41)=1,Segments!S41,"")</f>
        <v>2.0161290322580072E-3</v>
      </c>
      <c r="R26" s="114">
        <f>IF(COUNT(Segments!T41)=1,Segments!T41,"")</f>
        <v>-6.8767908309455561E-2</v>
      </c>
      <c r="S26" s="114">
        <f>IF(COUNT(Segments!U41)=1,Segments!U41,"")</f>
        <v>0.32780847145488035</v>
      </c>
      <c r="T26" s="114">
        <f>IF(COUNT(Segments!V41)=1,Segments!V41,"")</f>
        <v>7.3949579831932732E-2</v>
      </c>
      <c r="U26" s="114">
        <f>IF(COUNT(Segments!W41)=1,Segments!W41,"")</f>
        <v>-2.0120724346076591E-3</v>
      </c>
      <c r="V26" s="114">
        <f>IF(COUNT(Segments!X41)=1,Segments!X41,"")</f>
        <v>3.7948717948717903E-2</v>
      </c>
    </row>
    <row r="27" spans="1:22" ht="22" customHeight="1">
      <c r="A27" s="91"/>
      <c r="B27" s="93"/>
      <c r="C27" s="92"/>
      <c r="D27" s="92"/>
      <c r="E27" s="92"/>
      <c r="F27" s="92"/>
      <c r="G27" s="92"/>
      <c r="H27" s="92"/>
      <c r="I27" s="92"/>
      <c r="J27" s="92"/>
      <c r="K27" s="92"/>
      <c r="L27" s="92"/>
      <c r="M27" s="92"/>
      <c r="N27" s="92"/>
      <c r="O27" s="92"/>
      <c r="P27" s="92"/>
      <c r="Q27" s="92"/>
      <c r="R27" s="92"/>
      <c r="S27" s="92"/>
      <c r="T27" s="92"/>
      <c r="U27" s="92"/>
      <c r="V27" s="92"/>
    </row>
    <row r="28" spans="1:22" ht="24" customHeight="1">
      <c r="A28" s="103" t="s">
        <v>89</v>
      </c>
      <c r="B28" s="104"/>
      <c r="C28" s="105"/>
      <c r="D28" s="105"/>
      <c r="E28" s="105"/>
      <c r="F28" s="105"/>
      <c r="G28" s="105"/>
      <c r="H28" s="105"/>
      <c r="I28" s="92"/>
      <c r="J28" s="92"/>
      <c r="K28" s="92"/>
      <c r="L28" s="92"/>
      <c r="M28" s="92"/>
      <c r="N28" s="92"/>
      <c r="O28" s="92"/>
      <c r="P28" s="92"/>
      <c r="Q28" s="92"/>
      <c r="R28" s="92"/>
      <c r="S28" s="92"/>
      <c r="T28" s="92"/>
      <c r="U28" s="92"/>
      <c r="V28" s="92"/>
    </row>
    <row r="29" spans="1:22" ht="20" customHeight="1">
      <c r="A29" s="106" t="s">
        <v>1154</v>
      </c>
      <c r="B29" s="93" t="s">
        <v>1134</v>
      </c>
      <c r="C29" s="119">
        <v>0.08</v>
      </c>
      <c r="D29" s="119">
        <v>7.0000000000000007E-2</v>
      </c>
      <c r="E29" s="114">
        <f>(C29*SUM(Segments!R45,Segments!S45,Segments!T45)+D29*S32)/M32</f>
        <v>7.6840104062437464E-2</v>
      </c>
      <c r="F29" s="92"/>
      <c r="G29" s="92"/>
      <c r="H29" s="92"/>
      <c r="I29" s="92"/>
      <c r="J29" s="114" t="str">
        <f>IF(COUNT(Segments!I97)=1,Segments!I97,"")</f>
        <v/>
      </c>
      <c r="K29" s="114">
        <f>IF(COUNT(Segments!J97)=1,Segments!J97,"")</f>
        <v>0.06</v>
      </c>
      <c r="L29" s="114">
        <f>IF(COUNT(Segments!K97)=1,Segments!K97,"")</f>
        <v>0.08</v>
      </c>
      <c r="M29" s="114">
        <f>IF(COUNT(Segments!L97)=1,Segments!L97,"")</f>
        <v>0.03</v>
      </c>
      <c r="N29" s="107">
        <f t="shared" ref="N29:N35" si="4">E29</f>
        <v>7.6840104062437464E-2</v>
      </c>
      <c r="O29" s="92"/>
      <c r="P29" s="114">
        <f>IF(COUNT(Segments!R97)=1,Segments!R97,"")</f>
        <v>7.0000000000000007E-2</v>
      </c>
      <c r="Q29" s="114">
        <f>IF(COUNT(Segments!S97)=1,Segments!S97,"")</f>
        <v>0.05</v>
      </c>
      <c r="R29" s="114">
        <f>IF(COUNT(Segments!T97)=1,Segments!T97,"")</f>
        <v>-0.01</v>
      </c>
      <c r="S29" s="114">
        <f>IF(COUNT(Segments!U97)=1,Segments!U97,"")</f>
        <v>0.02</v>
      </c>
      <c r="T29" s="114">
        <f>IF(COUNT(Segments!V97)=1,Segments!V97,"")</f>
        <v>0.05</v>
      </c>
      <c r="U29" s="114">
        <f>IF(COUNT(Segments!W97)=1,Segments!W97,"")</f>
        <v>0.09</v>
      </c>
      <c r="V29" s="114">
        <f>IF(COUNT(Segments!X97)=1,Segments!X97,"")</f>
        <v>7.0000000000000007E-2</v>
      </c>
    </row>
    <row r="30" spans="1:22" ht="20" customHeight="1">
      <c r="A30" s="106" t="s">
        <v>1155</v>
      </c>
      <c r="B30" s="93" t="s">
        <v>1134</v>
      </c>
      <c r="C30" s="107">
        <f>(1+C31)/(1+C29)-1</f>
        <v>1.5321933987820557E-2</v>
      </c>
      <c r="D30" s="119">
        <v>0</v>
      </c>
      <c r="E30" s="107">
        <f>(1+E31)/(1+E29)-1</f>
        <v>1.0511116025549327E-2</v>
      </c>
      <c r="F30" s="92"/>
      <c r="G30" s="92"/>
      <c r="H30" s="92"/>
      <c r="I30" s="92"/>
      <c r="J30" s="107" t="str">
        <f>IF(COUNT(J29,J31)=2,(1+J31)/(1+J29)-1,"")</f>
        <v/>
      </c>
      <c r="K30" s="107">
        <f>IF(COUNT(K29,K31)=2,(1+K31)/(1+K29)-1,"")</f>
        <v>-6.2515258256897743E-3</v>
      </c>
      <c r="L30" s="107">
        <f>IF(COUNT(L29,L31)=2,(1+L31)/(1+L29)-1,"")</f>
        <v>-9.0825635901311541E-3</v>
      </c>
      <c r="M30" s="107">
        <f>IF(COUNT(M29,M31)=2,(1+M31)/(1+M29)-1,"")</f>
        <v>-5.6453554663636885E-3</v>
      </c>
      <c r="N30" s="107">
        <f t="shared" si="4"/>
        <v>1.0511116025549327E-2</v>
      </c>
      <c r="O30" s="92"/>
      <c r="P30" s="107">
        <f t="shared" ref="P30:V30" si="5">IF(COUNT(P29,P31)=2,(1+P31)/(1+P29)-1,"")</f>
        <v>-4.0127477141375656E-2</v>
      </c>
      <c r="Q30" s="107">
        <f t="shared" si="5"/>
        <v>-1.7453135100193862E-2</v>
      </c>
      <c r="R30" s="107">
        <f t="shared" si="5"/>
        <v>1.0884034139848175E-2</v>
      </c>
      <c r="S30" s="107">
        <f t="shared" si="5"/>
        <v>1.5773763573670996E-2</v>
      </c>
      <c r="T30" s="107">
        <f t="shared" si="5"/>
        <v>3.3941903507120896E-2</v>
      </c>
      <c r="U30" s="107">
        <f t="shared" si="5"/>
        <v>2.1379902355276315E-2</v>
      </c>
      <c r="V30" s="107">
        <f t="shared" si="5"/>
        <v>1.4210530125889465E-2</v>
      </c>
    </row>
    <row r="31" spans="1:22" ht="20" customHeight="1">
      <c r="A31" s="106" t="s">
        <v>1156</v>
      </c>
      <c r="B31" s="93" t="s">
        <v>1134</v>
      </c>
      <c r="C31" s="114">
        <f>C32/SUM(Segments!R45,Segments!S45,Segments!T45)-1</f>
        <v>9.6547688706846158E-2</v>
      </c>
      <c r="D31" s="107">
        <f>(1+D29)*(1+D30)-1</f>
        <v>7.0000000000000062E-2</v>
      </c>
      <c r="E31" s="107">
        <f>E32/M32-1</f>
        <v>8.8158895337202559E-2</v>
      </c>
      <c r="F31" s="92"/>
      <c r="G31" s="92"/>
      <c r="H31" s="92"/>
      <c r="I31" s="92"/>
      <c r="J31" s="114" t="str">
        <f>IF(COUNT(Segments!I46)=1,Segments!I46,"")</f>
        <v/>
      </c>
      <c r="K31" s="114">
        <f>IF(COUNT(Segments!J46)=1,Segments!J46,"")</f>
        <v>5.3373382624768873E-2</v>
      </c>
      <c r="L31" s="114">
        <f>IF(COUNT(Segments!K46)=1,Segments!K46,"")</f>
        <v>7.0190831322658465E-2</v>
      </c>
      <c r="M31" s="114">
        <f>IF(COUNT(Segments!L46)=1,Segments!L46,"")</f>
        <v>2.4185283869645469E-2</v>
      </c>
      <c r="N31" s="107">
        <f t="shared" si="4"/>
        <v>8.8158895337202559E-2</v>
      </c>
      <c r="O31" s="92"/>
      <c r="P31" s="114">
        <f>IF(COUNT(Segments!R46)=1,Segments!R46,"")</f>
        <v>2.7063599458728049E-2</v>
      </c>
      <c r="Q31" s="114">
        <f>IF(COUNT(Segments!S46)=1,Segments!S46,"")</f>
        <v>3.167420814479649E-2</v>
      </c>
      <c r="R31" s="114">
        <f>IF(COUNT(Segments!T46)=1,Segments!T46,"")</f>
        <v>7.751937984497026E-4</v>
      </c>
      <c r="S31" s="114">
        <f>IF(COUNT(Segments!U46)=1,Segments!U46,"")</f>
        <v>3.6089238845144367E-2</v>
      </c>
      <c r="T31" s="114">
        <f>IF(COUNT(Segments!V46)=1,Segments!V46,"")</f>
        <v>8.5638998682477041E-2</v>
      </c>
      <c r="U31" s="114">
        <f>IF(COUNT(Segments!W46)=1,Segments!W46,"")</f>
        <v>0.11330409356725135</v>
      </c>
      <c r="V31" s="114">
        <f>IF(COUNT(Segments!X46)=1,Segments!X46,"")</f>
        <v>8.5205267234701676E-2</v>
      </c>
    </row>
    <row r="32" spans="1:22" ht="24" customHeight="1">
      <c r="A32" s="109" t="s">
        <v>63</v>
      </c>
      <c r="B32" s="110" t="s">
        <v>1157</v>
      </c>
      <c r="C32" s="115">
        <f>IF(COUNT(Segments!V45,Segments!W45,Segments!X45)=3,SUM(Segments!V45,Segments!W45,Segments!X45),"")</f>
        <v>3748</v>
      </c>
      <c r="D32" s="111">
        <f>S32*(1+D31)</f>
        <v>1689.5300000000002</v>
      </c>
      <c r="E32" s="111">
        <f>SUM(C32:D32)</f>
        <v>5437.5300000000007</v>
      </c>
      <c r="F32" s="92"/>
      <c r="G32" s="92"/>
      <c r="H32" s="92"/>
      <c r="I32" s="92"/>
      <c r="J32" s="115">
        <f>IF(COUNT(Segments!I45)=1,Segments!I45,"")</f>
        <v>4328</v>
      </c>
      <c r="K32" s="115">
        <f>IF(COUNT(Segments!J45)=1,Segments!J45,"")</f>
        <v>4559</v>
      </c>
      <c r="L32" s="115">
        <f>IF(COUNT(Segments!K45)=1,Segments!K45,"")</f>
        <v>4879</v>
      </c>
      <c r="M32" s="115">
        <f>IF(COUNT(Segments!L45)=1,Segments!L45,"")</f>
        <v>4997</v>
      </c>
      <c r="N32" s="111">
        <f t="shared" si="4"/>
        <v>5437.5300000000007</v>
      </c>
      <c r="O32" s="92"/>
      <c r="P32" s="115">
        <f>IF(COUNT(Segments!R45)=1,Segments!R45,"")</f>
        <v>759</v>
      </c>
      <c r="Q32" s="115">
        <f>IF(COUNT(Segments!S45)=1,Segments!S45,"")</f>
        <v>1368</v>
      </c>
      <c r="R32" s="115">
        <f>IF(COUNT(Segments!T45)=1,Segments!T45,"")</f>
        <v>1291</v>
      </c>
      <c r="S32" s="115">
        <f>IF(COUNT(Segments!U45)=1,Segments!U45,"")</f>
        <v>1579</v>
      </c>
      <c r="T32" s="115">
        <f>IF(COUNT(Segments!V45)=1,Segments!V45,"")</f>
        <v>824</v>
      </c>
      <c r="U32" s="115">
        <f>IF(COUNT(Segments!W45)=1,Segments!W45,"")</f>
        <v>1523</v>
      </c>
      <c r="V32" s="115">
        <f>IF(COUNT(Segments!X45)=1,Segments!X45,"")</f>
        <v>1401</v>
      </c>
    </row>
    <row r="33" spans="1:22" ht="20" customHeight="1">
      <c r="A33" s="106" t="s">
        <v>86</v>
      </c>
      <c r="B33" s="93" t="s">
        <v>1134</v>
      </c>
      <c r="C33" s="107">
        <f>C34/C32</f>
        <v>0.40821771611526148</v>
      </c>
      <c r="D33" s="119">
        <v>0.34499999999999997</v>
      </c>
      <c r="E33" s="107">
        <f>E34/E32</f>
        <v>0.38857493200037513</v>
      </c>
      <c r="F33" s="92"/>
      <c r="G33" s="92"/>
      <c r="H33" s="92"/>
      <c r="I33" s="92"/>
      <c r="J33" s="114" t="str">
        <f>IF(COUNT(Segments!I49)=1,Segments!I49,"")</f>
        <v/>
      </c>
      <c r="K33" s="114">
        <f>IF(COUNT(Segments!J49)=1,Segments!J49,"")</f>
        <v>0.31585874095196315</v>
      </c>
      <c r="L33" s="114">
        <f>IF(COUNT(Segments!K49)=1,Segments!K49,"")</f>
        <v>0.35007173601147779</v>
      </c>
      <c r="M33" s="114">
        <f>IF(COUNT(Segments!L49)=1,Segments!L49,"")</f>
        <v>0.37142285371222733</v>
      </c>
      <c r="N33" s="107">
        <f t="shared" si="4"/>
        <v>0.38857493200037513</v>
      </c>
      <c r="O33" s="92"/>
      <c r="P33" s="114">
        <f>IF(COUNT(Segments!R49)=1,Segments!R49,"")</f>
        <v>0.3675889328063241</v>
      </c>
      <c r="Q33" s="114">
        <f>IF(COUNT(Segments!S49)=1,Segments!S49,"")</f>
        <v>0.39327485380116961</v>
      </c>
      <c r="R33" s="114">
        <f>IF(COUNT(Segments!T49)=1,Segments!T49,"")</f>
        <v>0.39581719597211462</v>
      </c>
      <c r="S33" s="114">
        <f>IF(COUNT(Segments!U49)=1,Segments!U49,"")</f>
        <v>0.33438885370487648</v>
      </c>
      <c r="T33" s="114">
        <f>IF(COUNT(Segments!V49)=1,Segments!V49,"")</f>
        <v>0.39805825242718446</v>
      </c>
      <c r="U33" s="114">
        <f>IF(COUNT(Segments!W49)=1,Segments!W49,"")</f>
        <v>0.41891004596191728</v>
      </c>
      <c r="V33" s="114">
        <f>IF(COUNT(Segments!X49)=1,Segments!X49,"")</f>
        <v>0.40256959314775159</v>
      </c>
    </row>
    <row r="34" spans="1:22" ht="24" customHeight="1">
      <c r="A34" s="109" t="s">
        <v>84</v>
      </c>
      <c r="B34" s="110" t="s">
        <v>1157</v>
      </c>
      <c r="C34" s="115">
        <f>IF(COUNT(Segments!V47,Segments!W47,Segments!X47)=3,SUM(Segments!V47,Segments!W47,Segments!X47),"")</f>
        <v>1530</v>
      </c>
      <c r="D34" s="111">
        <f>D32*D33</f>
        <v>582.88785000000007</v>
      </c>
      <c r="E34" s="111">
        <f>SUM(C34:D34)</f>
        <v>2112.8878500000001</v>
      </c>
      <c r="F34" s="92"/>
      <c r="G34" s="92"/>
      <c r="H34" s="92"/>
      <c r="I34" s="92"/>
      <c r="J34" s="115" t="str">
        <f>IF(COUNT(Segments!I47)=1,Segments!I47,"")</f>
        <v/>
      </c>
      <c r="K34" s="115">
        <f>IF(COUNT(Segments!J47)=1,Segments!J47,"")</f>
        <v>1440</v>
      </c>
      <c r="L34" s="115">
        <f>IF(COUNT(Segments!K47)=1,Segments!K47,"")</f>
        <v>1708</v>
      </c>
      <c r="M34" s="115">
        <f>IF(COUNT(Segments!L47)=1,Segments!L47,"")</f>
        <v>1856</v>
      </c>
      <c r="N34" s="111">
        <f t="shared" si="4"/>
        <v>2112.8878500000001</v>
      </c>
      <c r="O34" s="92"/>
      <c r="P34" s="115">
        <f>IF(COUNT(Segments!R47)=1,Segments!R47,"")</f>
        <v>279</v>
      </c>
      <c r="Q34" s="115">
        <f>IF(COUNT(Segments!S47)=1,Segments!S47,"")</f>
        <v>538</v>
      </c>
      <c r="R34" s="115">
        <f>IF(COUNT(Segments!T47)=1,Segments!T47,"")</f>
        <v>511</v>
      </c>
      <c r="S34" s="115">
        <f>IF(COUNT(Segments!U47)=1,Segments!U47,"")</f>
        <v>528</v>
      </c>
      <c r="T34" s="115">
        <f>IF(COUNT(Segments!V47)=1,Segments!V47,"")</f>
        <v>328</v>
      </c>
      <c r="U34" s="115">
        <f>IF(COUNT(Segments!W47)=1,Segments!W47,"")</f>
        <v>638</v>
      </c>
      <c r="V34" s="115">
        <f>IF(COUNT(Segments!X47)=1,Segments!X47,"")</f>
        <v>564</v>
      </c>
    </row>
    <row r="35" spans="1:22" ht="20" customHeight="1">
      <c r="A35" s="106" t="s">
        <v>85</v>
      </c>
      <c r="B35" s="93" t="s">
        <v>1134</v>
      </c>
      <c r="C35" s="114">
        <f>C34/SUM(Segments!R47,Segments!S47,Segments!T47)-1</f>
        <v>0.15210843373493965</v>
      </c>
      <c r="D35" s="107">
        <f>D34/S34-1</f>
        <v>0.10395426136363639</v>
      </c>
      <c r="E35" s="107">
        <f>E34/M34-1</f>
        <v>0.13840940193965512</v>
      </c>
      <c r="F35" s="92"/>
      <c r="G35" s="92"/>
      <c r="H35" s="92"/>
      <c r="I35" s="92"/>
      <c r="J35" s="114" t="str">
        <f>IF(COUNT(Segments!I48)=1,Segments!I48,"")</f>
        <v/>
      </c>
      <c r="K35" s="114" t="str">
        <f>IF(COUNT(Segments!J48)=1,Segments!J48,"")</f>
        <v/>
      </c>
      <c r="L35" s="114">
        <f>IF(COUNT(Segments!K48)=1,Segments!K48,"")</f>
        <v>0.18611111111111112</v>
      </c>
      <c r="M35" s="114">
        <f>IF(COUNT(Segments!L48)=1,Segments!L48,"")</f>
        <v>8.6651053864168714E-2</v>
      </c>
      <c r="N35" s="107">
        <f t="shared" si="4"/>
        <v>0.13840940193965512</v>
      </c>
      <c r="O35" s="92"/>
      <c r="P35" s="114">
        <f>IF(COUNT(Segments!R48)=1,Segments!R48,"")</f>
        <v>6.8965517241379226E-2</v>
      </c>
      <c r="Q35" s="114">
        <f>IF(COUNT(Segments!S48)=1,Segments!S48,"")</f>
        <v>7.1713147410358502E-2</v>
      </c>
      <c r="R35" s="114">
        <f>IF(COUNT(Segments!T48)=1,Segments!T48,"")</f>
        <v>8.0338266384778034E-2</v>
      </c>
      <c r="S35" s="114">
        <f>IF(COUNT(Segments!U48)=1,Segments!U48,"")</f>
        <v>0.11864406779661008</v>
      </c>
      <c r="T35" s="114">
        <f>IF(COUNT(Segments!V48)=1,Segments!V48,"")</f>
        <v>0.17562724014336917</v>
      </c>
      <c r="U35" s="114">
        <f>IF(COUNT(Segments!W48)=1,Segments!W48,"")</f>
        <v>0.18587360594795532</v>
      </c>
      <c r="V35" s="114">
        <f>IF(COUNT(Segments!X48)=1,Segments!X48,"")</f>
        <v>0.10371819960861051</v>
      </c>
    </row>
    <row r="36" spans="1:22" ht="22" customHeight="1">
      <c r="A36" s="91"/>
      <c r="B36" s="93"/>
      <c r="C36" s="92"/>
      <c r="D36" s="92"/>
      <c r="E36" s="92"/>
      <c r="F36" s="92"/>
      <c r="G36" s="92"/>
      <c r="H36" s="92"/>
      <c r="I36" s="92"/>
      <c r="J36" s="92"/>
      <c r="K36" s="92"/>
      <c r="L36" s="92"/>
      <c r="M36" s="92"/>
      <c r="N36" s="92"/>
      <c r="O36" s="92"/>
      <c r="P36" s="92"/>
      <c r="Q36" s="92"/>
      <c r="R36" s="92"/>
      <c r="S36" s="92"/>
      <c r="T36" s="92"/>
      <c r="U36" s="92"/>
      <c r="V36" s="92"/>
    </row>
    <row r="37" spans="1:22" ht="24" customHeight="1">
      <c r="A37" s="103" t="s">
        <v>90</v>
      </c>
      <c r="B37" s="104"/>
      <c r="C37" s="105"/>
      <c r="D37" s="105"/>
      <c r="E37" s="105"/>
      <c r="F37" s="105"/>
      <c r="G37" s="105"/>
      <c r="H37" s="105"/>
      <c r="I37" s="92"/>
      <c r="J37" s="92"/>
      <c r="K37" s="92"/>
      <c r="L37" s="92"/>
      <c r="M37" s="92"/>
      <c r="N37" s="92"/>
      <c r="O37" s="92"/>
      <c r="P37" s="92"/>
      <c r="Q37" s="92"/>
      <c r="R37" s="92"/>
      <c r="S37" s="92"/>
      <c r="T37" s="92"/>
      <c r="U37" s="92"/>
      <c r="V37" s="92"/>
    </row>
    <row r="38" spans="1:22" ht="20" customHeight="1">
      <c r="A38" s="106" t="s">
        <v>1154</v>
      </c>
      <c r="B38" s="93" t="s">
        <v>1134</v>
      </c>
      <c r="C38" s="119">
        <v>7.0000000000000007E-2</v>
      </c>
      <c r="D38" s="119">
        <v>0.08</v>
      </c>
      <c r="E38" s="114">
        <f>(C38*SUM(Segments!R52,Segments!S52,Segments!T52)+D38*S41)/M41</f>
        <v>7.3372538141470184E-2</v>
      </c>
      <c r="F38" s="92"/>
      <c r="G38" s="92"/>
      <c r="H38" s="92"/>
      <c r="I38" s="92"/>
      <c r="J38" s="114" t="str">
        <f>IF(COUNT(Segments!I102)=1,Segments!I102,"")</f>
        <v/>
      </c>
      <c r="K38" s="114">
        <f>IF(COUNT(Segments!J102)=1,Segments!J102,"")</f>
        <v>0.17</v>
      </c>
      <c r="L38" s="114">
        <f>IF(COUNT(Segments!K102)=1,Segments!K102,"")</f>
        <v>0.08</v>
      </c>
      <c r="M38" s="114">
        <f>IF(COUNT(Segments!L102)=1,Segments!L102,"")</f>
        <v>0.06</v>
      </c>
      <c r="N38" s="107">
        <f t="shared" ref="N38:N44" si="6">E38</f>
        <v>7.3372538141470184E-2</v>
      </c>
      <c r="O38" s="92"/>
      <c r="P38" s="114">
        <f>IF(COUNT(Segments!R102)=1,Segments!R102,"")</f>
        <v>0.08</v>
      </c>
      <c r="Q38" s="114">
        <f>IF(COUNT(Segments!S102)=1,Segments!S102,"")</f>
        <v>7.0000000000000007E-2</v>
      </c>
      <c r="R38" s="114">
        <f>IF(COUNT(Segments!T102)=1,Segments!T102,"")</f>
        <v>5.5E-2</v>
      </c>
      <c r="S38" s="114">
        <f>IF(COUNT(Segments!U102)=1,Segments!U102,"")</f>
        <v>0.05</v>
      </c>
      <c r="T38" s="114">
        <f>IF(COUNT(Segments!V102)=1,Segments!V102,"")</f>
        <v>7.0000000000000007E-2</v>
      </c>
      <c r="U38" s="114">
        <f>IF(COUNT(Segments!W102)=1,Segments!W102,"")</f>
        <v>0.06</v>
      </c>
      <c r="V38" s="114">
        <f>IF(COUNT(Segments!X102)=1,Segments!X102,"")</f>
        <v>0.09</v>
      </c>
    </row>
    <row r="39" spans="1:22" ht="20" customHeight="1">
      <c r="A39" s="106" t="s">
        <v>1155</v>
      </c>
      <c r="B39" s="93" t="s">
        <v>1134</v>
      </c>
      <c r="C39" s="107">
        <f>(1+C40)/(1+C38)-1</f>
        <v>3.4170903019976162E-2</v>
      </c>
      <c r="D39" s="119">
        <v>0</v>
      </c>
      <c r="E39" s="107">
        <f>(1+E40)/(1+E38)-1</f>
        <v>2.2575479880129423E-2</v>
      </c>
      <c r="F39" s="92"/>
      <c r="G39" s="92"/>
      <c r="H39" s="92"/>
      <c r="I39" s="92"/>
      <c r="J39" s="107" t="str">
        <f>IF(COUNT(J38,J40)=2,(1+J40)/(1+J38)-1,"")</f>
        <v/>
      </c>
      <c r="K39" s="107">
        <f>IF(COUNT(K38,K40)=2,(1+K40)/(1+K38)-1,"")</f>
        <v>-0.13580957742634381</v>
      </c>
      <c r="L39" s="107">
        <f>IF(COUNT(L38,L40)=2,(1+L40)/(1+L38)-1,"")</f>
        <v>-4.8484017638860455E-2</v>
      </c>
      <c r="M39" s="107">
        <f>IF(COUNT(M38,M40)=2,(1+M40)/(1+M38)-1,"")</f>
        <v>2.0813842065798616E-2</v>
      </c>
      <c r="N39" s="107">
        <f t="shared" si="6"/>
        <v>2.2575479880129423E-2</v>
      </c>
      <c r="O39" s="92"/>
      <c r="P39" s="107">
        <f t="shared" ref="P39:V39" si="7">IF(COUNT(P38,P40)=2,(1+P40)/(1+P38)-1,"")</f>
        <v>-9.1199707722519063E-2</v>
      </c>
      <c r="Q39" s="107">
        <f t="shared" si="7"/>
        <v>1.344784519450104E-2</v>
      </c>
      <c r="R39" s="107">
        <f t="shared" si="7"/>
        <v>3.2131303872444894E-2</v>
      </c>
      <c r="S39" s="107">
        <f t="shared" si="7"/>
        <v>6.6210646321143596E-2</v>
      </c>
      <c r="T39" s="107">
        <f t="shared" si="7"/>
        <v>0.1048231813271967</v>
      </c>
      <c r="U39" s="107">
        <f t="shared" si="7"/>
        <v>3.6363182589597587E-2</v>
      </c>
      <c r="V39" s="107">
        <f t="shared" si="7"/>
        <v>-1.1139974935969854E-2</v>
      </c>
    </row>
    <row r="40" spans="1:22" ht="20" customHeight="1">
      <c r="A40" s="106" t="s">
        <v>1156</v>
      </c>
      <c r="B40" s="93" t="s">
        <v>1134</v>
      </c>
      <c r="C40" s="114">
        <f>C41/SUM(Segments!R52,Segments!S52,Segments!T52)-1</f>
        <v>0.10656286623137445</v>
      </c>
      <c r="D40" s="107">
        <f>(1+D38)*(1+D39)-1</f>
        <v>8.0000000000000071E-2</v>
      </c>
      <c r="E40" s="107">
        <f>E41/M41-1</f>
        <v>9.7604438280166406E-2</v>
      </c>
      <c r="F40" s="92"/>
      <c r="G40" s="92"/>
      <c r="H40" s="92"/>
      <c r="I40" s="92"/>
      <c r="J40" s="114" t="str">
        <f>IF(COUNT(Segments!I53)=1,Segments!I53,"")</f>
        <v/>
      </c>
      <c r="K40" s="114">
        <f>IF(COUNT(Segments!J53)=1,Segments!J53,"")</f>
        <v>1.1102794411177674E-2</v>
      </c>
      <c r="L40" s="114">
        <f>IF(COUNT(Segments!K53)=1,Segments!K53,"")</f>
        <v>2.7637260950030829E-2</v>
      </c>
      <c r="M40" s="114">
        <f>IF(COUNT(Segments!L53)=1,Segments!L53,"")</f>
        <v>8.2062672589746644E-2</v>
      </c>
      <c r="N40" s="107">
        <f t="shared" si="6"/>
        <v>9.7604438280166406E-2</v>
      </c>
      <c r="O40" s="92"/>
      <c r="P40" s="114">
        <f>IF(COUNT(Segments!R53)=1,Segments!R53,"")</f>
        <v>-1.8495684340320562E-2</v>
      </c>
      <c r="Q40" s="114">
        <f>IF(COUNT(Segments!S53)=1,Segments!S53,"")</f>
        <v>8.4389194358116093E-2</v>
      </c>
      <c r="R40" s="114">
        <f>IF(COUNT(Segments!T53)=1,Segments!T53,"")</f>
        <v>8.8898525585429322E-2</v>
      </c>
      <c r="S40" s="114">
        <f>IF(COUNT(Segments!U53)=1,Segments!U53,"")</f>
        <v>0.1195211786372008</v>
      </c>
      <c r="T40" s="114">
        <f>IF(COUNT(Segments!V53)=1,Segments!V53,"")</f>
        <v>0.1821608040201006</v>
      </c>
      <c r="U40" s="114">
        <f>IF(COUNT(Segments!W53)=1,Segments!W53,"")</f>
        <v>9.8544973544973491E-2</v>
      </c>
      <c r="V40" s="114">
        <f>IF(COUNT(Segments!X53)=1,Segments!X53,"")</f>
        <v>7.7857427319792949E-2</v>
      </c>
    </row>
    <row r="41" spans="1:22" ht="24" customHeight="1">
      <c r="A41" s="109" t="s">
        <v>63</v>
      </c>
      <c r="B41" s="110" t="s">
        <v>1157</v>
      </c>
      <c r="C41" s="115">
        <f>IF(COUNT(Segments!V52,Segments!W52,Segments!X52)=3,SUM(Segments!V52,Segments!W52,Segments!X52),"")</f>
        <v>13219</v>
      </c>
      <c r="D41" s="111">
        <f>S41*(1+D40)</f>
        <v>6565.3200000000006</v>
      </c>
      <c r="E41" s="111">
        <f>SUM(C41:D41)</f>
        <v>19784.32</v>
      </c>
      <c r="F41" s="92"/>
      <c r="G41" s="92"/>
      <c r="H41" s="92"/>
      <c r="I41" s="92"/>
      <c r="J41" s="115">
        <f>IF(COUNT(Segments!I52)=1,Segments!I52,"")</f>
        <v>16032</v>
      </c>
      <c r="K41" s="115">
        <f>IF(COUNT(Segments!J52)=1,Segments!J52,"")</f>
        <v>16210</v>
      </c>
      <c r="L41" s="115">
        <f>IF(COUNT(Segments!K52)=1,Segments!K52,"")</f>
        <v>16658</v>
      </c>
      <c r="M41" s="115">
        <f>IF(COUNT(Segments!L52)=1,Segments!L52,"")</f>
        <v>18025</v>
      </c>
      <c r="N41" s="111">
        <f t="shared" si="6"/>
        <v>19784.32</v>
      </c>
      <c r="O41" s="92"/>
      <c r="P41" s="115">
        <f>IF(COUNT(Segments!R52)=1,Segments!R52,"")</f>
        <v>2388</v>
      </c>
      <c r="Q41" s="115">
        <f>IF(COUNT(Segments!S52)=1,Segments!S52,"")</f>
        <v>4536</v>
      </c>
      <c r="R41" s="115">
        <f>IF(COUNT(Segments!T52)=1,Segments!T52,"")</f>
        <v>5022</v>
      </c>
      <c r="S41" s="115">
        <f>IF(COUNT(Segments!U52)=1,Segments!U52,"")</f>
        <v>6079</v>
      </c>
      <c r="T41" s="115">
        <f>IF(COUNT(Segments!V52)=1,Segments!V52,"")</f>
        <v>2823</v>
      </c>
      <c r="U41" s="115">
        <f>IF(COUNT(Segments!W52)=1,Segments!W52,"")</f>
        <v>4983</v>
      </c>
      <c r="V41" s="115">
        <f>IF(COUNT(Segments!X52)=1,Segments!X52,"")</f>
        <v>5413</v>
      </c>
    </row>
    <row r="42" spans="1:22" ht="20" customHeight="1">
      <c r="A42" s="106" t="s">
        <v>86</v>
      </c>
      <c r="B42" s="93" t="s">
        <v>1134</v>
      </c>
      <c r="C42" s="107">
        <f>C43/C41</f>
        <v>0.1519025644905061</v>
      </c>
      <c r="D42" s="119">
        <v>0.14749999999999999</v>
      </c>
      <c r="E42" s="107">
        <f>E43/E41</f>
        <v>0.1504415971840326</v>
      </c>
      <c r="F42" s="92"/>
      <c r="G42" s="92"/>
      <c r="H42" s="92"/>
      <c r="I42" s="92"/>
      <c r="J42" s="114" t="str">
        <f>IF(COUNT(Segments!I56)=1,Segments!I56,"")</f>
        <v/>
      </c>
      <c r="K42" s="114">
        <f>IF(COUNT(Segments!J56)=1,Segments!J56,"")</f>
        <v>0.12183837137569402</v>
      </c>
      <c r="L42" s="114">
        <f>IF(COUNT(Segments!K56)=1,Segments!K56,"")</f>
        <v>0.13398967463080802</v>
      </c>
      <c r="M42" s="114">
        <f>IF(COUNT(Segments!L56)=1,Segments!L56,"")</f>
        <v>0.14263522884882107</v>
      </c>
      <c r="N42" s="107">
        <f t="shared" si="6"/>
        <v>0.1504415971840326</v>
      </c>
      <c r="O42" s="92"/>
      <c r="P42" s="114">
        <f>IF(COUNT(Segments!R56)=1,Segments!R56,"")</f>
        <v>9.757118927973199E-2</v>
      </c>
      <c r="Q42" s="114">
        <f>IF(COUNT(Segments!S56)=1,Segments!S56,"")</f>
        <v>0.14484126984126985</v>
      </c>
      <c r="R42" s="114">
        <f>IF(COUNT(Segments!T56)=1,Segments!T56,"")</f>
        <v>0.1608920748705695</v>
      </c>
      <c r="S42" s="114">
        <f>IF(COUNT(Segments!U56)=1,Segments!U56,"")</f>
        <v>0.14360914624115809</v>
      </c>
      <c r="T42" s="114">
        <f>IF(COUNT(Segments!V56)=1,Segments!V56,"")</f>
        <v>0.10662415869642225</v>
      </c>
      <c r="U42" s="114">
        <f>IF(COUNT(Segments!W56)=1,Segments!W56,"")</f>
        <v>0.15392333935380292</v>
      </c>
      <c r="V42" s="114">
        <f>IF(COUNT(Segments!X56)=1,Segments!X56,"")</f>
        <v>0.17365601330131167</v>
      </c>
    </row>
    <row r="43" spans="1:22" ht="24" customHeight="1">
      <c r="A43" s="109" t="s">
        <v>84</v>
      </c>
      <c r="B43" s="110" t="s">
        <v>1157</v>
      </c>
      <c r="C43" s="115">
        <f>IF(COUNT(Segments!V54,Segments!W54,Segments!X54)=3,SUM(Segments!V54,Segments!W54,Segments!X54),"")</f>
        <v>2008</v>
      </c>
      <c r="D43" s="111">
        <f>D41*D42</f>
        <v>968.38470000000007</v>
      </c>
      <c r="E43" s="111">
        <f>SUM(C43:D43)</f>
        <v>2976.3847000000001</v>
      </c>
      <c r="F43" s="92"/>
      <c r="G43" s="92"/>
      <c r="H43" s="92"/>
      <c r="I43" s="92"/>
      <c r="J43" s="115" t="str">
        <f>IF(COUNT(Segments!I54)=1,Segments!I54,"")</f>
        <v/>
      </c>
      <c r="K43" s="115">
        <f>IF(COUNT(Segments!J54)=1,Segments!J54,"")</f>
        <v>1975</v>
      </c>
      <c r="L43" s="115">
        <f>IF(COUNT(Segments!K54)=1,Segments!K54,"")</f>
        <v>2232</v>
      </c>
      <c r="M43" s="115">
        <f>IF(COUNT(Segments!L54)=1,Segments!L54,"")</f>
        <v>2571</v>
      </c>
      <c r="N43" s="111">
        <f t="shared" si="6"/>
        <v>2976.3847000000001</v>
      </c>
      <c r="O43" s="92"/>
      <c r="P43" s="115">
        <f>IF(COUNT(Segments!R54)=1,Segments!R54,"")</f>
        <v>233</v>
      </c>
      <c r="Q43" s="115">
        <f>IF(COUNT(Segments!S54)=1,Segments!S54,"")</f>
        <v>657</v>
      </c>
      <c r="R43" s="115">
        <f>IF(COUNT(Segments!T54)=1,Segments!T54,"")</f>
        <v>808</v>
      </c>
      <c r="S43" s="115">
        <f>IF(COUNT(Segments!U54)=1,Segments!U54,"")</f>
        <v>873</v>
      </c>
      <c r="T43" s="115">
        <f>IF(COUNT(Segments!V54)=1,Segments!V54,"")</f>
        <v>301</v>
      </c>
      <c r="U43" s="115">
        <f>IF(COUNT(Segments!W54)=1,Segments!W54,"")</f>
        <v>767</v>
      </c>
      <c r="V43" s="115">
        <f>IF(COUNT(Segments!X54)=1,Segments!X54,"")</f>
        <v>940</v>
      </c>
    </row>
    <row r="44" spans="1:22" ht="20" customHeight="1">
      <c r="A44" s="106" t="s">
        <v>85</v>
      </c>
      <c r="B44" s="93" t="s">
        <v>1134</v>
      </c>
      <c r="C44" s="114">
        <f>C43/SUM(Segments!R54,Segments!S54,Segments!T54)-1</f>
        <v>0.18256772673733801</v>
      </c>
      <c r="D44" s="107">
        <f>D43/S43-1</f>
        <v>0.10926082474226817</v>
      </c>
      <c r="E44" s="107">
        <f>E43/M43-1</f>
        <v>0.15767588486970063</v>
      </c>
      <c r="F44" s="92"/>
      <c r="G44" s="92"/>
      <c r="H44" s="92"/>
      <c r="I44" s="92"/>
      <c r="J44" s="114" t="str">
        <f>IF(COUNT(Segments!I55)=1,Segments!I55,"")</f>
        <v/>
      </c>
      <c r="K44" s="114" t="str">
        <f>IF(COUNT(Segments!J55)=1,Segments!J55,"")</f>
        <v/>
      </c>
      <c r="L44" s="114">
        <f>IF(COUNT(Segments!K55)=1,Segments!K55,"")</f>
        <v>0.13012658227848095</v>
      </c>
      <c r="M44" s="114">
        <f>IF(COUNT(Segments!L55)=1,Segments!L55,"")</f>
        <v>0.1518817204301075</v>
      </c>
      <c r="N44" s="107">
        <f t="shared" si="6"/>
        <v>0.15767588486970063</v>
      </c>
      <c r="O44" s="92"/>
      <c r="P44" s="114">
        <f>IF(COUNT(Segments!R55)=1,Segments!R55,"")</f>
        <v>4.3103448275862988E-3</v>
      </c>
      <c r="Q44" s="114">
        <f>IF(COUNT(Segments!S55)=1,Segments!S55,"")</f>
        <v>8.7748344370860876E-2</v>
      </c>
      <c r="R44" s="114">
        <f>IF(COUNT(Segments!T55)=1,Segments!T55,"")</f>
        <v>6.5963060686015762E-2</v>
      </c>
      <c r="S44" s="114">
        <f>IF(COUNT(Segments!U55)=1,Segments!U55,"")</f>
        <v>0.36833855799373039</v>
      </c>
      <c r="T44" s="114">
        <f>IF(COUNT(Segments!V55)=1,Segments!V55,"")</f>
        <v>0.29184549356223166</v>
      </c>
      <c r="U44" s="114">
        <f>IF(COUNT(Segments!W55)=1,Segments!W55,"")</f>
        <v>0.16742770167427712</v>
      </c>
      <c r="V44" s="114">
        <f>IF(COUNT(Segments!X55)=1,Segments!X55,"")</f>
        <v>0.16336633663366329</v>
      </c>
    </row>
    <row r="45" spans="1:22" ht="22" customHeight="1">
      <c r="A45" s="91"/>
      <c r="B45" s="93"/>
      <c r="C45" s="92"/>
      <c r="D45" s="92"/>
      <c r="E45" s="92"/>
      <c r="F45" s="92"/>
      <c r="G45" s="92"/>
      <c r="H45" s="92"/>
      <c r="I45" s="92"/>
      <c r="J45" s="92"/>
      <c r="K45" s="92"/>
      <c r="L45" s="92"/>
      <c r="M45" s="92"/>
      <c r="N45" s="92"/>
      <c r="O45" s="92"/>
      <c r="P45" s="92"/>
      <c r="Q45" s="92"/>
      <c r="R45" s="92"/>
      <c r="S45" s="92"/>
      <c r="T45" s="92"/>
      <c r="U45" s="92"/>
      <c r="V45" s="92"/>
    </row>
    <row r="46" spans="1:22" ht="24" customHeight="1">
      <c r="A46" s="103" t="s">
        <v>91</v>
      </c>
      <c r="B46" s="104"/>
      <c r="C46" s="105"/>
      <c r="D46" s="105"/>
      <c r="E46" s="105"/>
      <c r="F46" s="105"/>
      <c r="G46" s="105"/>
      <c r="H46" s="105"/>
      <c r="I46" s="92"/>
      <c r="J46" s="92"/>
      <c r="K46" s="92"/>
      <c r="L46" s="92"/>
      <c r="M46" s="92"/>
      <c r="N46" s="92"/>
      <c r="O46" s="92"/>
      <c r="P46" s="92"/>
      <c r="Q46" s="92"/>
      <c r="R46" s="92"/>
      <c r="S46" s="92"/>
      <c r="T46" s="92"/>
      <c r="U46" s="92"/>
      <c r="V46" s="92"/>
    </row>
    <row r="47" spans="1:22" ht="20" customHeight="1">
      <c r="A47" s="106" t="s">
        <v>1154</v>
      </c>
      <c r="B47" s="93" t="s">
        <v>1134</v>
      </c>
      <c r="C47" s="119">
        <v>4.4999999999999998E-2</v>
      </c>
      <c r="D47" s="119">
        <v>0.05</v>
      </c>
      <c r="E47" s="114">
        <f>(C47*SUM(Segments!R59,Segments!S59,Segments!T59)+D47*S50)/M50</f>
        <v>4.6746137074604226E-2</v>
      </c>
      <c r="F47" s="92"/>
      <c r="G47" s="92"/>
      <c r="H47" s="92"/>
      <c r="I47" s="92"/>
      <c r="J47" s="114" t="str">
        <f>IF(COUNT(Segments!I108)=1,Segments!I108,"")</f>
        <v/>
      </c>
      <c r="K47" s="114">
        <f>IF(COUNT(Segments!J108)=1,Segments!J108,"")</f>
        <v>0.11</v>
      </c>
      <c r="L47" s="114">
        <f>IF(COUNT(Segments!K108)=1,Segments!K108,"")</f>
        <v>0.03</v>
      </c>
      <c r="M47" s="114">
        <f>IF(COUNT(Segments!L108)=1,Segments!L108,"")</f>
        <v>4.4999999999999998E-2</v>
      </c>
      <c r="N47" s="107">
        <f t="shared" ref="N47:N53" si="8">E47</f>
        <v>4.6746137074604226E-2</v>
      </c>
      <c r="O47" s="92"/>
      <c r="P47" s="114">
        <f>IF(COUNT(Segments!R108)=1,Segments!R108,"")</f>
        <v>0.03</v>
      </c>
      <c r="Q47" s="114">
        <f>IF(COUNT(Segments!S108)=1,Segments!S108,"")</f>
        <v>0.06</v>
      </c>
      <c r="R47" s="114">
        <f>IF(COUNT(Segments!T108)=1,Segments!T108,"")</f>
        <v>0.04</v>
      </c>
      <c r="S47" s="114">
        <f>IF(COUNT(Segments!U108)=1,Segments!U108,"")</f>
        <v>0.05</v>
      </c>
      <c r="T47" s="114">
        <f>IF(COUNT(Segments!V108)=1,Segments!V108,"")</f>
        <v>0.03</v>
      </c>
      <c r="U47" s="114">
        <f>IF(COUNT(Segments!W108)=1,Segments!W108,"")</f>
        <v>0.04</v>
      </c>
      <c r="V47" s="114">
        <f>IF(COUNT(Segments!X108)=1,Segments!X108,"")</f>
        <v>0.06</v>
      </c>
    </row>
    <row r="48" spans="1:22" ht="20" customHeight="1">
      <c r="A48" s="106" t="s">
        <v>1155</v>
      </c>
      <c r="B48" s="93" t="s">
        <v>1134</v>
      </c>
      <c r="C48" s="107">
        <f>(1+C49)/(1+C47)-1</f>
        <v>0.10051331732628932</v>
      </c>
      <c r="D48" s="119">
        <v>3.0000000000000027E-2</v>
      </c>
      <c r="E48" s="107">
        <f>(1+E49)/(1+E47)-1</f>
        <v>7.5811585179483165E-2</v>
      </c>
      <c r="F48" s="92"/>
      <c r="G48" s="92"/>
      <c r="H48" s="92"/>
      <c r="I48" s="92"/>
      <c r="J48" s="107" t="str">
        <f>IF(COUNT(J47,J49)=2,(1+J49)/(1+J47)-1,"")</f>
        <v/>
      </c>
      <c r="K48" s="107">
        <f>IF(COUNT(K47,K49)=2,(1+K49)/(1+K47)-1,"")</f>
        <v>7.4537941573015187E-2</v>
      </c>
      <c r="L48" s="107">
        <f>IF(COUNT(L47,L49)=2,(1+L49)/(1+L47)-1,"")</f>
        <v>-2.9860611312662488E-2</v>
      </c>
      <c r="M48" s="107">
        <f>IF(COUNT(M47,M49)=2,(1+M49)/(1+M47)-1,"")</f>
        <v>-4.4782660663771345E-2</v>
      </c>
      <c r="N48" s="107">
        <f t="shared" si="8"/>
        <v>7.5811585179483165E-2</v>
      </c>
      <c r="O48" s="92"/>
      <c r="P48" s="107">
        <f t="shared" ref="P48:V48" si="9">IF(COUNT(P47,P49)=2,(1+P49)/(1+P47)-1,"")</f>
        <v>-0.14676118559613704</v>
      </c>
      <c r="Q48" s="107">
        <f t="shared" si="9"/>
        <v>-0.12558254459597662</v>
      </c>
      <c r="R48" s="107">
        <f t="shared" si="9"/>
        <v>-2.3385792028239538E-2</v>
      </c>
      <c r="S48" s="107">
        <f t="shared" si="9"/>
        <v>5.8711957927407576E-2</v>
      </c>
      <c r="T48" s="107">
        <f t="shared" si="9"/>
        <v>0.1304454562989894</v>
      </c>
      <c r="U48" s="107">
        <f t="shared" si="9"/>
        <v>0.10946745562130156</v>
      </c>
      <c r="V48" s="107">
        <f t="shared" si="9"/>
        <v>7.3042168674698926E-2</v>
      </c>
    </row>
    <row r="49" spans="1:22" ht="20" customHeight="1">
      <c r="A49" s="106" t="s">
        <v>1156</v>
      </c>
      <c r="B49" s="93" t="s">
        <v>1134</v>
      </c>
      <c r="C49" s="114">
        <f>C50/SUM(Segments!R59,Segments!S59,Segments!T59)-1</f>
        <v>0.15003641660597222</v>
      </c>
      <c r="D49" s="107">
        <f>(1+D47)*(1+D48)-1</f>
        <v>8.1500000000000128E-2</v>
      </c>
      <c r="E49" s="107">
        <f>E50/M50-1</f>
        <v>0.1261016210067305</v>
      </c>
      <c r="F49" s="92"/>
      <c r="G49" s="92"/>
      <c r="H49" s="92"/>
      <c r="I49" s="92"/>
      <c r="J49" s="114" t="str">
        <f>IF(COUNT(Segments!I60)=1,Segments!I60,"")</f>
        <v/>
      </c>
      <c r="K49" s="114">
        <f>IF(COUNT(Segments!J60)=1,Segments!J60,"")</f>
        <v>0.19273711514604708</v>
      </c>
      <c r="L49" s="114">
        <f>IF(COUNT(Segments!K60)=1,Segments!K60,"")</f>
        <v>-7.5642965204236745E-4</v>
      </c>
      <c r="M49" s="114">
        <f>IF(COUNT(Segments!L60)=1,Segments!L60,"")</f>
        <v>-1.7978803936411492E-3</v>
      </c>
      <c r="N49" s="107">
        <f t="shared" si="8"/>
        <v>0.1261016210067305</v>
      </c>
      <c r="O49" s="92"/>
      <c r="P49" s="114">
        <f>IF(COUNT(Segments!R60)=1,Segments!R60,"")</f>
        <v>-0.12116402116402114</v>
      </c>
      <c r="Q49" s="114">
        <f>IF(COUNT(Segments!S60)=1,Segments!S60,"")</f>
        <v>-7.3117497271735221E-2</v>
      </c>
      <c r="R49" s="114">
        <f>IF(COUNT(Segments!T60)=1,Segments!T60,"")</f>
        <v>1.5678776290630969E-2</v>
      </c>
      <c r="S49" s="114">
        <f>IF(COUNT(Segments!U60)=1,Segments!U60,"")</f>
        <v>0.11164755582377794</v>
      </c>
      <c r="T49" s="114">
        <f>IF(COUNT(Segments!V60)=1,Segments!V60,"")</f>
        <v>0.16435881998795909</v>
      </c>
      <c r="U49" s="114">
        <f>IF(COUNT(Segments!W60)=1,Segments!W60,"")</f>
        <v>0.15384615384615374</v>
      </c>
      <c r="V49" s="114">
        <f>IF(COUNT(Segments!X60)=1,Segments!X60,"")</f>
        <v>0.13742469879518082</v>
      </c>
    </row>
    <row r="50" spans="1:22" ht="24" customHeight="1">
      <c r="A50" s="109" t="s">
        <v>63</v>
      </c>
      <c r="B50" s="110" t="s">
        <v>1157</v>
      </c>
      <c r="C50" s="115">
        <f>IF(COUNT(Segments!V59,Segments!W59,Segments!X59)=3,SUM(Segments!V59,Segments!W59,Segments!X59),"")</f>
        <v>7895</v>
      </c>
      <c r="D50" s="111">
        <f>S50*(1+D49)</f>
        <v>3984.2460000000005</v>
      </c>
      <c r="E50" s="111">
        <f>SUM(C50:D50)</f>
        <v>11879.246000000001</v>
      </c>
      <c r="F50" s="92"/>
      <c r="G50" s="92"/>
      <c r="H50" s="92"/>
      <c r="I50" s="92"/>
      <c r="J50" s="115">
        <f>IF(COUNT(Segments!I59)=1,Segments!I59,"")</f>
        <v>8867</v>
      </c>
      <c r="K50" s="115">
        <f>IF(COUNT(Segments!J59)=1,Segments!J59,"")</f>
        <v>10576</v>
      </c>
      <c r="L50" s="115">
        <f>IF(COUNT(Segments!K59)=1,Segments!K59,"")</f>
        <v>10568</v>
      </c>
      <c r="M50" s="115">
        <f>IF(COUNT(Segments!L59)=1,Segments!L59,"")</f>
        <v>10549</v>
      </c>
      <c r="N50" s="111">
        <f t="shared" si="8"/>
        <v>11879.246000000001</v>
      </c>
      <c r="O50" s="92"/>
      <c r="P50" s="115">
        <f>IF(COUNT(Segments!R59)=1,Segments!R59,"")</f>
        <v>1661</v>
      </c>
      <c r="Q50" s="115">
        <f>IF(COUNT(Segments!S59)=1,Segments!S59,"")</f>
        <v>2548</v>
      </c>
      <c r="R50" s="115">
        <f>IF(COUNT(Segments!T59)=1,Segments!T59,"")</f>
        <v>2656</v>
      </c>
      <c r="S50" s="115">
        <f>IF(COUNT(Segments!U59)=1,Segments!U59,"")</f>
        <v>3684</v>
      </c>
      <c r="T50" s="115">
        <f>IF(COUNT(Segments!V59)=1,Segments!V59,"")</f>
        <v>1934</v>
      </c>
      <c r="U50" s="115">
        <f>IF(COUNT(Segments!W59)=1,Segments!W59,"")</f>
        <v>2940</v>
      </c>
      <c r="V50" s="115">
        <f>IF(COUNT(Segments!X59)=1,Segments!X59,"")</f>
        <v>3021</v>
      </c>
    </row>
    <row r="51" spans="1:22" ht="20" customHeight="1">
      <c r="A51" s="106" t="s">
        <v>86</v>
      </c>
      <c r="B51" s="93" t="s">
        <v>1134</v>
      </c>
      <c r="C51" s="107">
        <f>C52/C50</f>
        <v>0.21241291956934769</v>
      </c>
      <c r="D51" s="119">
        <v>0.2</v>
      </c>
      <c r="E51" s="107">
        <f>E52/E50</f>
        <v>0.20824968184007636</v>
      </c>
      <c r="F51" s="92"/>
      <c r="G51" s="92"/>
      <c r="H51" s="92"/>
      <c r="I51" s="92"/>
      <c r="J51" s="114" t="str">
        <f>IF(COUNT(Segments!I63)=1,Segments!I63,"")</f>
        <v/>
      </c>
      <c r="K51" s="114">
        <f>IF(COUNT(Segments!J63)=1,Segments!J63,"")</f>
        <v>0.18239409984871408</v>
      </c>
      <c r="L51" s="114">
        <f>IF(COUNT(Segments!K63)=1,Segments!K63,"")</f>
        <v>0.19880772142316427</v>
      </c>
      <c r="M51" s="114">
        <f>IF(COUNT(Segments!L63)=1,Segments!L63,"")</f>
        <v>0.20324201346099155</v>
      </c>
      <c r="N51" s="107">
        <f t="shared" si="8"/>
        <v>0.20824968184007636</v>
      </c>
      <c r="O51" s="92"/>
      <c r="P51" s="114">
        <f>IF(COUNT(Segments!R63)=1,Segments!R63,"")</f>
        <v>0.21131848284166166</v>
      </c>
      <c r="Q51" s="114">
        <f>IF(COUNT(Segments!S63)=1,Segments!S63,"")</f>
        <v>0.21389324960753534</v>
      </c>
      <c r="R51" s="114">
        <f>IF(COUNT(Segments!T63)=1,Segments!T63,"")</f>
        <v>0.19691265060240964</v>
      </c>
      <c r="S51" s="114">
        <f>IF(COUNT(Segments!U63)=1,Segments!U63,"")</f>
        <v>0.19679695982627579</v>
      </c>
      <c r="T51" s="114">
        <f>IF(COUNT(Segments!V63)=1,Segments!V63,"")</f>
        <v>0.22285418821096173</v>
      </c>
      <c r="U51" s="114">
        <f>IF(COUNT(Segments!W63)=1,Segments!W63,"")</f>
        <v>0.21088435374149661</v>
      </c>
      <c r="V51" s="114">
        <f>IF(COUNT(Segments!X63)=1,Segments!X63,"")</f>
        <v>0.20721615359152598</v>
      </c>
    </row>
    <row r="52" spans="1:22" ht="24" customHeight="1">
      <c r="A52" s="109" t="s">
        <v>84</v>
      </c>
      <c r="B52" s="110" t="s">
        <v>1157</v>
      </c>
      <c r="C52" s="115">
        <f>IF(COUNT(Segments!V61,Segments!W61,Segments!X61)=3,SUM(Segments!V61,Segments!W61,Segments!X61),"")</f>
        <v>1677</v>
      </c>
      <c r="D52" s="111">
        <f>D50*D51</f>
        <v>796.84920000000011</v>
      </c>
      <c r="E52" s="111">
        <f>SUM(C52:D52)</f>
        <v>2473.8492000000001</v>
      </c>
      <c r="F52" s="92"/>
      <c r="G52" s="92"/>
      <c r="H52" s="92"/>
      <c r="I52" s="92"/>
      <c r="J52" s="115" t="str">
        <f>IF(COUNT(Segments!I61)=1,Segments!I61,"")</f>
        <v/>
      </c>
      <c r="K52" s="115">
        <f>IF(COUNT(Segments!J61)=1,Segments!J61,"")</f>
        <v>1929</v>
      </c>
      <c r="L52" s="115">
        <f>IF(COUNT(Segments!K61)=1,Segments!K61,"")</f>
        <v>2101</v>
      </c>
      <c r="M52" s="115">
        <f>IF(COUNT(Segments!L61)=1,Segments!L61,"")</f>
        <v>2144</v>
      </c>
      <c r="N52" s="111">
        <f t="shared" si="8"/>
        <v>2473.8492000000001</v>
      </c>
      <c r="O52" s="92"/>
      <c r="P52" s="115">
        <f>IF(COUNT(Segments!R61)=1,Segments!R61,"")</f>
        <v>351</v>
      </c>
      <c r="Q52" s="115">
        <f>IF(COUNT(Segments!S61)=1,Segments!S61,"")</f>
        <v>545</v>
      </c>
      <c r="R52" s="115">
        <f>IF(COUNT(Segments!T61)=1,Segments!T61,"")</f>
        <v>523</v>
      </c>
      <c r="S52" s="115">
        <f>IF(COUNT(Segments!U61)=1,Segments!U61,"")</f>
        <v>725</v>
      </c>
      <c r="T52" s="115">
        <f>IF(COUNT(Segments!V61)=1,Segments!V61,"")</f>
        <v>431</v>
      </c>
      <c r="U52" s="115">
        <f>IF(COUNT(Segments!W61)=1,Segments!W61,"")</f>
        <v>620</v>
      </c>
      <c r="V52" s="115">
        <f>IF(COUNT(Segments!X61)=1,Segments!X61,"")</f>
        <v>626</v>
      </c>
    </row>
    <row r="53" spans="1:22" ht="20" customHeight="1">
      <c r="A53" s="106" t="s">
        <v>85</v>
      </c>
      <c r="B53" s="93" t="s">
        <v>1134</v>
      </c>
      <c r="C53" s="114">
        <f>C52/SUM(Segments!R61,Segments!S61,Segments!T61)-1</f>
        <v>0.18181818181818188</v>
      </c>
      <c r="D53" s="107">
        <f>D52/S52-1</f>
        <v>9.9102344827586286E-2</v>
      </c>
      <c r="E53" s="107">
        <f>E52/M52-1</f>
        <v>0.15384757462686571</v>
      </c>
      <c r="F53" s="92"/>
      <c r="G53" s="92"/>
      <c r="H53" s="92"/>
      <c r="I53" s="92"/>
      <c r="J53" s="114" t="str">
        <f>IF(COUNT(Segments!I62)=1,Segments!I62,"")</f>
        <v/>
      </c>
      <c r="K53" s="114" t="str">
        <f>IF(COUNT(Segments!J62)=1,Segments!J62,"")</f>
        <v/>
      </c>
      <c r="L53" s="114">
        <f>IF(COUNT(Segments!K62)=1,Segments!K62,"")</f>
        <v>8.9165370658372156E-2</v>
      </c>
      <c r="M53" s="114">
        <f>IF(COUNT(Segments!L62)=1,Segments!L62,"")</f>
        <v>2.0466444550214291E-2</v>
      </c>
      <c r="N53" s="107">
        <f t="shared" si="8"/>
        <v>0.15384757462686571</v>
      </c>
      <c r="O53" s="92"/>
      <c r="P53" s="114">
        <f>IF(COUNT(Segments!R62)=1,Segments!R62,"")</f>
        <v>-0.17798594847775173</v>
      </c>
      <c r="Q53" s="114">
        <f>IF(COUNT(Segments!S62)=1,Segments!S62,"")</f>
        <v>-9.0909090909090384E-3</v>
      </c>
      <c r="R53" s="114">
        <f>IF(COUNT(Segments!T62)=1,Segments!T62,"")</f>
        <v>6.5173116089612959E-2</v>
      </c>
      <c r="S53" s="114">
        <f>IF(COUNT(Segments!U62)=1,Segments!U62,"")</f>
        <v>0.14533965244865721</v>
      </c>
      <c r="T53" s="114">
        <f>IF(COUNT(Segments!V62)=1,Segments!V62,"")</f>
        <v>0.22792022792022792</v>
      </c>
      <c r="U53" s="114">
        <f>IF(COUNT(Segments!W62)=1,Segments!W62,"")</f>
        <v>0.13761467889908263</v>
      </c>
      <c r="V53" s="114">
        <f>IF(COUNT(Segments!X62)=1,Segments!X62,"")</f>
        <v>0.19694072657743789</v>
      </c>
    </row>
    <row r="54" spans="1:22" ht="22" customHeight="1">
      <c r="A54" s="91"/>
      <c r="B54" s="93"/>
      <c r="C54" s="92"/>
      <c r="D54" s="92"/>
      <c r="E54" s="92"/>
      <c r="F54" s="92"/>
      <c r="G54" s="92"/>
      <c r="H54" s="92"/>
      <c r="I54" s="92"/>
      <c r="J54" s="92"/>
      <c r="K54" s="92"/>
      <c r="L54" s="92"/>
      <c r="M54" s="92"/>
      <c r="N54" s="92"/>
      <c r="O54" s="92"/>
      <c r="P54" s="92"/>
      <c r="Q54" s="92"/>
      <c r="R54" s="92"/>
      <c r="S54" s="92"/>
      <c r="T54" s="92"/>
      <c r="U54" s="92"/>
      <c r="V54" s="92"/>
    </row>
    <row r="55" spans="1:22" ht="24" customHeight="1">
      <c r="A55" s="103" t="s">
        <v>92</v>
      </c>
      <c r="B55" s="104"/>
      <c r="C55" s="105"/>
      <c r="D55" s="105"/>
      <c r="E55" s="105"/>
      <c r="F55" s="105"/>
      <c r="G55" s="105"/>
      <c r="H55" s="105"/>
      <c r="I55" s="92"/>
      <c r="J55" s="92"/>
      <c r="K55" s="92"/>
      <c r="L55" s="92"/>
      <c r="M55" s="92"/>
      <c r="N55" s="92"/>
      <c r="O55" s="92"/>
      <c r="P55" s="92"/>
      <c r="Q55" s="92"/>
      <c r="R55" s="92"/>
      <c r="S55" s="92"/>
      <c r="T55" s="92"/>
      <c r="U55" s="92"/>
      <c r="V55" s="92"/>
    </row>
    <row r="56" spans="1:22" ht="20" customHeight="1">
      <c r="A56" s="106" t="s">
        <v>1154</v>
      </c>
      <c r="B56" s="93" t="s">
        <v>1134</v>
      </c>
      <c r="C56" s="119">
        <v>0.09</v>
      </c>
      <c r="D56" s="119">
        <v>0.08</v>
      </c>
      <c r="E56" s="114">
        <f>(C56*SUM(Segments!R66,Segments!S66,Segments!T66)+D56*S59)/M59</f>
        <v>8.6781162238064369E-2</v>
      </c>
      <c r="F56" s="92"/>
      <c r="G56" s="92"/>
      <c r="H56" s="92"/>
      <c r="I56" s="92"/>
      <c r="J56" s="114" t="str">
        <f>IF(COUNT(Segments!I113)=1,Segments!I113,"")</f>
        <v/>
      </c>
      <c r="K56" s="114">
        <f>IF(COUNT(Segments!J113)=1,Segments!J113,"")</f>
        <v>0.04</v>
      </c>
      <c r="L56" s="114">
        <f>IF(COUNT(Segments!K113)=1,Segments!K113,"")</f>
        <v>0.03</v>
      </c>
      <c r="M56" s="114">
        <f>IF(COUNT(Segments!L113)=1,Segments!L113,"")</f>
        <v>1.4999999999999999E-2</v>
      </c>
      <c r="N56" s="107">
        <f t="shared" ref="N56:N62" si="10">E56</f>
        <v>8.6781162238064369E-2</v>
      </c>
      <c r="O56" s="92"/>
      <c r="P56" s="114">
        <f>IF(COUNT(Segments!R113)=1,Segments!R113,"")</f>
        <v>-0.01</v>
      </c>
      <c r="Q56" s="114">
        <f>IF(COUNT(Segments!S113)=1,Segments!S113,"")</f>
        <v>0</v>
      </c>
      <c r="R56" s="114">
        <f>IF(COUNT(Segments!T113)=1,Segments!T113,"")</f>
        <v>0.01</v>
      </c>
      <c r="S56" s="114">
        <f>IF(COUNT(Segments!U113)=1,Segments!U113,"")</f>
        <v>0.04</v>
      </c>
      <c r="T56" s="114">
        <f>IF(COUNT(Segments!V113)=1,Segments!V113,"")</f>
        <v>7.0000000000000007E-2</v>
      </c>
      <c r="U56" s="114">
        <f>IF(COUNT(Segments!W113)=1,Segments!W113,"")</f>
        <v>0.09</v>
      </c>
      <c r="V56" s="114">
        <f>IF(COUNT(Segments!X113)=1,Segments!X113,"")</f>
        <v>0.09</v>
      </c>
    </row>
    <row r="57" spans="1:22" ht="20" customHeight="1">
      <c r="A57" s="106" t="s">
        <v>1155</v>
      </c>
      <c r="B57" s="93" t="s">
        <v>1134</v>
      </c>
      <c r="C57" s="107">
        <f>(1+C58)/(1+C56)-1</f>
        <v>2.0602014899854026E-2</v>
      </c>
      <c r="D57" s="119">
        <v>0</v>
      </c>
      <c r="E57" s="107">
        <f>(1+E58)/(1+E56)-1</f>
        <v>1.4011938672672475E-2</v>
      </c>
      <c r="F57" s="92"/>
      <c r="G57" s="92"/>
      <c r="H57" s="92"/>
      <c r="I57" s="92"/>
      <c r="J57" s="107" t="str">
        <f>IF(COUNT(J56,J58)=2,(1+J58)/(1+J56)-1,"")</f>
        <v/>
      </c>
      <c r="K57" s="107">
        <f>IF(COUNT(K56,K58)=2,(1+K58)/(1+K56)-1,"")</f>
        <v>-4.1879582315041186E-2</v>
      </c>
      <c r="L57" s="107">
        <f>IF(COUNT(L56,L58)=2,(1+L58)/(1+L56)-1,"")</f>
        <v>-1.5272050307930329E-2</v>
      </c>
      <c r="M57" s="107">
        <f>IF(COUNT(M56,M58)=2,(1+M58)/(1+M56)-1,"")</f>
        <v>2.5480617729010113E-3</v>
      </c>
      <c r="N57" s="107">
        <f t="shared" si="10"/>
        <v>1.4011938672672475E-2</v>
      </c>
      <c r="O57" s="92"/>
      <c r="P57" s="107">
        <f t="shared" ref="P57:V57" si="11">IF(COUNT(P56,P58)=2,(1+P58)/(1+P56)-1,"")</f>
        <v>-1.2130878159586356E-2</v>
      </c>
      <c r="Q57" s="107">
        <f t="shared" si="11"/>
        <v>5.015045135406293E-3</v>
      </c>
      <c r="R57" s="107">
        <f t="shared" si="11"/>
        <v>1.1879373088546252E-2</v>
      </c>
      <c r="S57" s="107">
        <f t="shared" si="11"/>
        <v>1.178835289004776E-2</v>
      </c>
      <c r="T57" s="107">
        <f t="shared" si="11"/>
        <v>4.1571410282202681E-2</v>
      </c>
      <c r="U57" s="107">
        <f t="shared" si="11"/>
        <v>2.9134391766924894E-2</v>
      </c>
      <c r="V57" s="107">
        <f t="shared" si="11"/>
        <v>1.1231332537951833E-2</v>
      </c>
    </row>
    <row r="58" spans="1:22" ht="20" customHeight="1">
      <c r="A58" s="106" t="s">
        <v>1156</v>
      </c>
      <c r="B58" s="93" t="s">
        <v>1134</v>
      </c>
      <c r="C58" s="114">
        <f>C59/SUM(Segments!R66,Segments!S66,Segments!T66)-1</f>
        <v>0.11245619624084102</v>
      </c>
      <c r="D58" s="107">
        <f>(1+D56)*(1+D57)-1</f>
        <v>8.0000000000000071E-2</v>
      </c>
      <c r="E58" s="107">
        <f>E59/M59-1</f>
        <v>0.1020090732339598</v>
      </c>
      <c r="F58" s="92"/>
      <c r="G58" s="92"/>
      <c r="H58" s="92"/>
      <c r="I58" s="92"/>
      <c r="J58" s="114" t="str">
        <f>IF(COUNT(Segments!I67)=1,Segments!I67,"")</f>
        <v/>
      </c>
      <c r="K58" s="114">
        <f>IF(COUNT(Segments!J67)=1,Segments!J67,"")</f>
        <v>-3.5547656076427847E-3</v>
      </c>
      <c r="L58" s="114">
        <f>IF(COUNT(Segments!K67)=1,Segments!K67,"")</f>
        <v>1.4269788182831755E-2</v>
      </c>
      <c r="M58" s="114">
        <f>IF(COUNT(Segments!L67)=1,Segments!L67,"")</f>
        <v>1.758628269949436E-2</v>
      </c>
      <c r="N58" s="107">
        <f t="shared" si="10"/>
        <v>0.1020090732339598</v>
      </c>
      <c r="O58" s="92"/>
      <c r="P58" s="114">
        <f>IF(COUNT(Segments!R67)=1,Segments!R67,"")</f>
        <v>-2.2009569377990479E-2</v>
      </c>
      <c r="Q58" s="114">
        <f>IF(COUNT(Segments!S67)=1,Segments!S67,"")</f>
        <v>5.015045135406293E-3</v>
      </c>
      <c r="R58" s="114">
        <f>IF(COUNT(Segments!T67)=1,Segments!T67,"")</f>
        <v>2.1998166819431786E-2</v>
      </c>
      <c r="S58" s="114">
        <f>IF(COUNT(Segments!U67)=1,Segments!U67,"")</f>
        <v>5.2259887005649652E-2</v>
      </c>
      <c r="T58" s="114">
        <f>IF(COUNT(Segments!V67)=1,Segments!V67,"")</f>
        <v>0.11448140900195702</v>
      </c>
      <c r="U58" s="114">
        <f>IF(COUNT(Segments!W67)=1,Segments!W67,"")</f>
        <v>0.12175648702594821</v>
      </c>
      <c r="V58" s="114">
        <f>IF(COUNT(Segments!X67)=1,Segments!X67,"")</f>
        <v>0.1022421524663677</v>
      </c>
    </row>
    <row r="59" spans="1:22" ht="24" customHeight="1">
      <c r="A59" s="109" t="s">
        <v>63</v>
      </c>
      <c r="B59" s="110" t="s">
        <v>1157</v>
      </c>
      <c r="C59" s="115">
        <f>IF(COUNT(Segments!V66,Segments!W66,Segments!X66)=3,SUM(Segments!V66,Segments!W66,Segments!X66),"")</f>
        <v>3492</v>
      </c>
      <c r="D59" s="111">
        <f>S59*(1+D58)</f>
        <v>1609.2</v>
      </c>
      <c r="E59" s="111">
        <f>SUM(C59:D59)</f>
        <v>5101.2</v>
      </c>
      <c r="F59" s="92"/>
      <c r="G59" s="92"/>
      <c r="H59" s="92"/>
      <c r="I59" s="92"/>
      <c r="J59" s="115">
        <f>IF(COUNT(Segments!I66)=1,Segments!I66,"")</f>
        <v>4501</v>
      </c>
      <c r="K59" s="115">
        <f>IF(COUNT(Segments!J66)=1,Segments!J66,"")</f>
        <v>4485</v>
      </c>
      <c r="L59" s="115">
        <f>IF(COUNT(Segments!K66)=1,Segments!K66,"")</f>
        <v>4549</v>
      </c>
      <c r="M59" s="115">
        <f>IF(COUNT(Segments!L66)=1,Segments!L66,"")</f>
        <v>4629</v>
      </c>
      <c r="N59" s="111">
        <f t="shared" si="10"/>
        <v>5101.2</v>
      </c>
      <c r="O59" s="92"/>
      <c r="P59" s="115">
        <f>IF(COUNT(Segments!R66)=1,Segments!R66,"")</f>
        <v>1022</v>
      </c>
      <c r="Q59" s="115">
        <f>IF(COUNT(Segments!S66)=1,Segments!S66,"")</f>
        <v>1002</v>
      </c>
      <c r="R59" s="115">
        <f>IF(COUNT(Segments!T66)=1,Segments!T66,"")</f>
        <v>1115</v>
      </c>
      <c r="S59" s="115">
        <f>IF(COUNT(Segments!U66)=1,Segments!U66,"")</f>
        <v>1490</v>
      </c>
      <c r="T59" s="115">
        <f>IF(COUNT(Segments!V66)=1,Segments!V66,"")</f>
        <v>1139</v>
      </c>
      <c r="U59" s="115">
        <f>IF(COUNT(Segments!W66)=1,Segments!W66,"")</f>
        <v>1124</v>
      </c>
      <c r="V59" s="115">
        <f>IF(COUNT(Segments!X66)=1,Segments!X66,"")</f>
        <v>1229</v>
      </c>
    </row>
    <row r="60" spans="1:22" ht="20" customHeight="1">
      <c r="A60" s="106" t="s">
        <v>86</v>
      </c>
      <c r="B60" s="93" t="s">
        <v>1134</v>
      </c>
      <c r="C60" s="107">
        <f>C61/C59</f>
        <v>0.15206185567010308</v>
      </c>
      <c r="D60" s="119">
        <v>4.4999999999999998E-2</v>
      </c>
      <c r="E60" s="107">
        <f>E61/E59</f>
        <v>0.11828863796753705</v>
      </c>
      <c r="F60" s="92"/>
      <c r="G60" s="92"/>
      <c r="H60" s="92"/>
      <c r="I60" s="92"/>
      <c r="J60" s="114" t="str">
        <f>IF(COUNT(Segments!I70)=1,Segments!I70,"")</f>
        <v/>
      </c>
      <c r="K60" s="114">
        <f>IF(COUNT(Segments!J70)=1,Segments!J70,"")</f>
        <v>8.2497212931995537E-2</v>
      </c>
      <c r="L60" s="114">
        <f>IF(COUNT(Segments!K70)=1,Segments!K70,"")</f>
        <v>8.5952956693778851E-2</v>
      </c>
      <c r="M60" s="114">
        <f>IF(COUNT(Segments!L70)=1,Segments!L70,"")</f>
        <v>0.10023763231799525</v>
      </c>
      <c r="N60" s="107">
        <f t="shared" si="10"/>
        <v>0.11828863796753705</v>
      </c>
      <c r="O60" s="92"/>
      <c r="P60" s="114">
        <f>IF(COUNT(Segments!R70)=1,Segments!R70,"")</f>
        <v>0.15753424657534246</v>
      </c>
      <c r="Q60" s="114">
        <f>IF(COUNT(Segments!S70)=1,Segments!S70,"")</f>
        <v>9.2814371257485026E-2</v>
      </c>
      <c r="R60" s="114">
        <f>IF(COUNT(Segments!T70)=1,Segments!T70,"")</f>
        <v>0.13991031390134528</v>
      </c>
      <c r="S60" s="114">
        <f>IF(COUNT(Segments!U70)=1,Segments!U70,"")</f>
        <v>3.6241610738255034E-2</v>
      </c>
      <c r="T60" s="114">
        <f>IF(COUNT(Segments!V70)=1,Segments!V70,"")</f>
        <v>0.19139596136962247</v>
      </c>
      <c r="U60" s="114">
        <f>IF(COUNT(Segments!W70)=1,Segments!W70,"")</f>
        <v>0.11921708185053381</v>
      </c>
      <c r="V60" s="114">
        <f>IF(COUNT(Segments!X70)=1,Segments!X70,"")</f>
        <v>0.14564686737184704</v>
      </c>
    </row>
    <row r="61" spans="1:22" ht="24" customHeight="1">
      <c r="A61" s="109" t="s">
        <v>84</v>
      </c>
      <c r="B61" s="110" t="s">
        <v>1157</v>
      </c>
      <c r="C61" s="115">
        <f>IF(COUNT(Segments!V68,Segments!W68,Segments!X68)=3,SUM(Segments!V68,Segments!W68,Segments!X68),"")</f>
        <v>531</v>
      </c>
      <c r="D61" s="111">
        <f>D59*D60</f>
        <v>72.414000000000001</v>
      </c>
      <c r="E61" s="111">
        <f>SUM(C61:D61)</f>
        <v>603.41399999999999</v>
      </c>
      <c r="F61" s="92"/>
      <c r="G61" s="92"/>
      <c r="H61" s="92"/>
      <c r="I61" s="92"/>
      <c r="J61" s="115" t="str">
        <f>IF(COUNT(Segments!I68)=1,Segments!I68,"")</f>
        <v/>
      </c>
      <c r="K61" s="115">
        <f>IF(COUNT(Segments!J68)=1,Segments!J68,"")</f>
        <v>370</v>
      </c>
      <c r="L61" s="115">
        <f>IF(COUNT(Segments!K68)=1,Segments!K68,"")</f>
        <v>391</v>
      </c>
      <c r="M61" s="115">
        <f>IF(COUNT(Segments!L68)=1,Segments!L68,"")</f>
        <v>464</v>
      </c>
      <c r="N61" s="111">
        <f t="shared" si="10"/>
        <v>603.41399999999999</v>
      </c>
      <c r="O61" s="92"/>
      <c r="P61" s="115">
        <f>IF(COUNT(Segments!R68)=1,Segments!R68,"")</f>
        <v>161</v>
      </c>
      <c r="Q61" s="115">
        <f>IF(COUNT(Segments!S68)=1,Segments!S68,"")</f>
        <v>93</v>
      </c>
      <c r="R61" s="115">
        <f>IF(COUNT(Segments!T68)=1,Segments!T68,"")</f>
        <v>156</v>
      </c>
      <c r="S61" s="115">
        <f>IF(COUNT(Segments!U68)=1,Segments!U68,"")</f>
        <v>54</v>
      </c>
      <c r="T61" s="115">
        <f>IF(COUNT(Segments!V68)=1,Segments!V68,"")</f>
        <v>218</v>
      </c>
      <c r="U61" s="115">
        <f>IF(COUNT(Segments!W68)=1,Segments!W68,"")</f>
        <v>134</v>
      </c>
      <c r="V61" s="115">
        <f>IF(COUNT(Segments!X68)=1,Segments!X68,"")</f>
        <v>179</v>
      </c>
    </row>
    <row r="62" spans="1:22" ht="20" customHeight="1">
      <c r="A62" s="106" t="s">
        <v>85</v>
      </c>
      <c r="B62" s="93" t="s">
        <v>1134</v>
      </c>
      <c r="C62" s="114">
        <f>C61/SUM(Segments!R68,Segments!S68,Segments!T68)-1</f>
        <v>0.29512195121951224</v>
      </c>
      <c r="D62" s="107">
        <f>D61/S61-1</f>
        <v>0.34099999999999997</v>
      </c>
      <c r="E62" s="107">
        <f>E61/M61-1</f>
        <v>0.30046120689655176</v>
      </c>
      <c r="F62" s="92"/>
      <c r="G62" s="92"/>
      <c r="H62" s="92"/>
      <c r="I62" s="92"/>
      <c r="J62" s="114" t="str">
        <f>IF(COUNT(Segments!I69)=1,Segments!I69,"")</f>
        <v/>
      </c>
      <c r="K62" s="114" t="str">
        <f>IF(COUNT(Segments!J69)=1,Segments!J69,"")</f>
        <v/>
      </c>
      <c r="L62" s="114">
        <f>IF(COUNT(Segments!K69)=1,Segments!K69,"")</f>
        <v>5.6756756756756843E-2</v>
      </c>
      <c r="M62" s="114">
        <f>IF(COUNT(Segments!L69)=1,Segments!L69,"")</f>
        <v>0.1867007672634271</v>
      </c>
      <c r="N62" s="107">
        <f t="shared" si="10"/>
        <v>0.30046120689655176</v>
      </c>
      <c r="O62" s="92"/>
      <c r="P62" s="114">
        <f>IF(COUNT(Segments!R69)=1,Segments!R69,"")</f>
        <v>-7.999999999999996E-2</v>
      </c>
      <c r="Q62" s="114">
        <f>IF(COUNT(Segments!S69)=1,Segments!S69,"")</f>
        <v>-0.13084112149532712</v>
      </c>
      <c r="R62" s="114">
        <f>IF(COUNT(Segments!T69)=1,Segments!T69,"")</f>
        <v>0.19083969465648853</v>
      </c>
      <c r="S62" s="114" t="str">
        <f>IF(COUNT(Segments!U69)=1,Segments!U69,"")</f>
        <v/>
      </c>
      <c r="T62" s="114">
        <f>IF(COUNT(Segments!V69)=1,Segments!V69,"")</f>
        <v>0.35403726708074523</v>
      </c>
      <c r="U62" s="114">
        <f>IF(COUNT(Segments!W69)=1,Segments!W69,"")</f>
        <v>0.44086021505376349</v>
      </c>
      <c r="V62" s="114">
        <f>IF(COUNT(Segments!X69)=1,Segments!X69,"")</f>
        <v>0.14743589743589736</v>
      </c>
    </row>
    <row r="63" spans="1:22" ht="22" customHeight="1">
      <c r="A63" s="91"/>
      <c r="B63" s="93"/>
      <c r="C63" s="92"/>
      <c r="D63" s="92"/>
      <c r="E63" s="92"/>
      <c r="F63" s="92"/>
      <c r="G63" s="92"/>
      <c r="H63" s="92"/>
      <c r="I63" s="92"/>
      <c r="J63" s="92"/>
      <c r="K63" s="92"/>
      <c r="L63" s="92"/>
      <c r="M63" s="92"/>
      <c r="N63" s="92"/>
      <c r="O63" s="92"/>
      <c r="P63" s="92"/>
      <c r="Q63" s="92"/>
      <c r="R63" s="92"/>
      <c r="S63" s="92"/>
      <c r="T63" s="92"/>
      <c r="U63" s="92"/>
      <c r="V63" s="92"/>
    </row>
    <row r="64" spans="1:22" ht="22" customHeight="1">
      <c r="A64" s="91"/>
      <c r="B64" s="93"/>
      <c r="C64" s="92"/>
      <c r="D64" s="92"/>
      <c r="E64" s="92"/>
      <c r="F64" s="92"/>
      <c r="G64" s="92"/>
      <c r="H64" s="92"/>
      <c r="I64" s="92"/>
      <c r="J64" s="92"/>
      <c r="K64" s="92"/>
      <c r="L64" s="92"/>
      <c r="M64" s="92"/>
      <c r="N64" s="92"/>
      <c r="O64" s="92"/>
      <c r="P64" s="92"/>
      <c r="Q64" s="92"/>
      <c r="R64" s="92"/>
      <c r="S64" s="92"/>
      <c r="T64" s="92"/>
      <c r="U64" s="92"/>
      <c r="V64" s="92"/>
    </row>
    <row r="65" spans="1:22" ht="22" customHeight="1">
      <c r="A65" s="96" t="s">
        <v>1158</v>
      </c>
      <c r="B65" s="97"/>
      <c r="C65" s="98"/>
      <c r="D65" s="98"/>
      <c r="E65" s="98"/>
      <c r="F65" s="98"/>
      <c r="G65" s="98"/>
      <c r="H65" s="98"/>
      <c r="I65" s="92"/>
      <c r="J65" s="92"/>
      <c r="K65" s="92"/>
      <c r="L65" s="92"/>
      <c r="M65" s="92"/>
      <c r="N65" s="92"/>
      <c r="O65" s="92"/>
      <c r="P65" s="92"/>
      <c r="Q65" s="92"/>
      <c r="R65" s="92"/>
      <c r="S65" s="92"/>
      <c r="T65" s="92"/>
      <c r="U65" s="92"/>
      <c r="V65" s="92"/>
    </row>
    <row r="66" spans="1:22" ht="24" customHeight="1">
      <c r="A66" s="109" t="s">
        <v>63</v>
      </c>
      <c r="B66" s="110" t="s">
        <v>1157</v>
      </c>
      <c r="C66" s="111">
        <f>SUM(C14,C23,C32,C41,C50,C59)</f>
        <v>68898</v>
      </c>
      <c r="D66" s="111">
        <f>SUM(D14,D23,D32,D41,D50,D59)</f>
        <v>30441.850999999999</v>
      </c>
      <c r="E66" s="111">
        <f>SUM(E14,E23,E32,E41,E50,E59)</f>
        <v>99339.850999999995</v>
      </c>
      <c r="F66" s="92"/>
      <c r="G66" s="92"/>
      <c r="H66" s="92"/>
      <c r="I66" s="92"/>
      <c r="J66" s="115">
        <f>IF(COUNT(Segments!I76)=1,Segments!I76,"")</f>
        <v>86392</v>
      </c>
      <c r="K66" s="115">
        <f>IF(COUNT(Segments!J76)=1,Segments!J76,"")</f>
        <v>91471</v>
      </c>
      <c r="L66" s="115">
        <f>IF(COUNT(Segments!K76)=1,Segments!K76,"")</f>
        <v>91854</v>
      </c>
      <c r="M66" s="115">
        <f>IF(COUNT(Segments!L76)=1,Segments!L76,"")</f>
        <v>93925</v>
      </c>
      <c r="N66" s="111">
        <f t="shared" ref="N66:N79" si="12">E66</f>
        <v>99339.850999999995</v>
      </c>
      <c r="O66" s="92"/>
      <c r="P66" s="115">
        <f>IF(COUNT(Segments!R76)=1,Segments!R76,"")</f>
        <v>17919</v>
      </c>
      <c r="Q66" s="115">
        <f>IF(COUNT(Segments!S76)=1,Segments!S76,"")</f>
        <v>22726</v>
      </c>
      <c r="R66" s="115">
        <f>IF(COUNT(Segments!T76)=1,Segments!T76,"")</f>
        <v>23937</v>
      </c>
      <c r="S66" s="115">
        <f>IF(COUNT(Segments!U76)=1,Segments!U76,"")</f>
        <v>29343</v>
      </c>
      <c r="T66" s="115">
        <f>IF(COUNT(Segments!V76)=1,Segments!V76,"")</f>
        <v>19443</v>
      </c>
      <c r="U66" s="115">
        <f>IF(COUNT(Segments!W76)=1,Segments!W76,"")</f>
        <v>24181</v>
      </c>
      <c r="V66" s="115">
        <f>IF(COUNT(Segments!X76)=1,Segments!X76,"")</f>
        <v>25274</v>
      </c>
    </row>
    <row r="67" spans="1:22" ht="20" customHeight="1">
      <c r="A67" s="106" t="s">
        <v>1156</v>
      </c>
      <c r="B67" s="93" t="s">
        <v>1134</v>
      </c>
      <c r="C67" s="107">
        <f>C66/SUM(P66:R66)-1</f>
        <v>6.6829766808088831E-2</v>
      </c>
      <c r="D67" s="107">
        <f>D66/S66-1</f>
        <v>3.7448488566267812E-2</v>
      </c>
      <c r="E67" s="107">
        <f>E66/M66-1</f>
        <v>5.7650795847750791E-2</v>
      </c>
      <c r="F67" s="92"/>
      <c r="G67" s="92"/>
      <c r="H67" s="92"/>
      <c r="I67" s="92"/>
      <c r="J67" s="114">
        <f>IF(COUNT(Segments!I77)=1,Segments!I77,"")</f>
        <v>8.7047336235750006E-2</v>
      </c>
      <c r="K67" s="114">
        <f>IF(COUNT(Segments!J77)=1,Segments!J77,"")</f>
        <v>5.879016575608853E-2</v>
      </c>
      <c r="L67" s="114">
        <f>IF(COUNT(Segments!K77)=1,Segments!K77,"")</f>
        <v>4.1871194148965785E-3</v>
      </c>
      <c r="M67" s="114">
        <f>IF(COUNT(Segments!L77)=1,Segments!L77,"")</f>
        <v>2.2546650118666633E-2</v>
      </c>
      <c r="N67" s="107">
        <f t="shared" si="12"/>
        <v>5.7650795847750791E-2</v>
      </c>
      <c r="O67" s="92"/>
      <c r="P67" s="114">
        <f>IF(COUNT(Segments!R77)=1,Segments!R77,"")</f>
        <v>-1.813698630136984E-2</v>
      </c>
      <c r="Q67" s="114">
        <f>IF(COUNT(Segments!S77)=1,Segments!S77,"")</f>
        <v>9.9995555753078502E-3</v>
      </c>
      <c r="R67" s="114">
        <f>IF(COUNT(Segments!T77)=1,Segments!T77,"")</f>
        <v>2.6501994082078983E-2</v>
      </c>
      <c r="S67" s="114">
        <f>IF(COUNT(Segments!U77)=1,Segments!U77,"")</f>
        <v>5.6111431039447268E-2</v>
      </c>
      <c r="T67" s="114">
        <f>IF(COUNT(Segments!V77)=1,Segments!V77,"")</f>
        <v>8.5049388916792257E-2</v>
      </c>
      <c r="U67" s="114">
        <f>IF(COUNT(Segments!W77)=1,Segments!W77,"")</f>
        <v>6.4023585320778009E-2</v>
      </c>
      <c r="V67" s="114">
        <f>IF(COUNT(Segments!X77)=1,Segments!X77,"")</f>
        <v>5.585495258386608E-2</v>
      </c>
    </row>
    <row r="68" spans="1:22" ht="22" customHeight="1">
      <c r="A68" s="91" t="s">
        <v>1159</v>
      </c>
      <c r="B68" s="93" t="s">
        <v>1157</v>
      </c>
      <c r="C68" s="108">
        <f>SUM(C16,C25,C34,C43,C52,C61)</f>
        <v>12645</v>
      </c>
      <c r="D68" s="108">
        <f>SUM(D16,D25,D34,D43,D52,D61)</f>
        <v>4867.069559999999</v>
      </c>
      <c r="E68" s="108">
        <f>SUM(E16,E25,E34,E43,E52,E61)</f>
        <v>17512.06956</v>
      </c>
      <c r="F68" s="92"/>
      <c r="G68" s="92"/>
      <c r="H68" s="92"/>
      <c r="I68" s="92"/>
      <c r="J68" s="108" t="str">
        <f>IF(COUNT(J16,J25,J34,J43,J52,J61)=6,SUM(J16,J25,J34,J43,J52,J61),"")</f>
        <v/>
      </c>
      <c r="K68" s="108">
        <f>IF(COUNT(K16,K25,K34,K43,K52,K61)=6,SUM(K16,K25,K34,K43,K52,K61),"")</f>
        <v>16101</v>
      </c>
      <c r="L68" s="108">
        <f>IF(COUNT(L16,L25,L34,L43,L52,L61)=6,SUM(L16,L25,L34,L43,L52,L61),"")</f>
        <v>16518</v>
      </c>
      <c r="M68" s="108">
        <f>IF(COUNT(M16,M25,M34,M43,M52,M61)=6,SUM(M16,M25,M34,M43,M52,M61),"")</f>
        <v>16865</v>
      </c>
      <c r="N68" s="108">
        <f t="shared" si="12"/>
        <v>17512.06956</v>
      </c>
      <c r="O68" s="92"/>
      <c r="P68" s="108">
        <f t="shared" ref="P68:V68" si="13">SUM(P16,P25,P34,P43,P52,P61)</f>
        <v>3194</v>
      </c>
      <c r="Q68" s="108">
        <f t="shared" si="13"/>
        <v>4315</v>
      </c>
      <c r="R68" s="108">
        <f t="shared" si="13"/>
        <v>4543</v>
      </c>
      <c r="S68" s="108">
        <f t="shared" si="13"/>
        <v>4813</v>
      </c>
      <c r="T68" s="108">
        <f t="shared" si="13"/>
        <v>3422</v>
      </c>
      <c r="U68" s="108">
        <f t="shared" si="13"/>
        <v>4520</v>
      </c>
      <c r="V68" s="108">
        <f t="shared" si="13"/>
        <v>4703</v>
      </c>
    </row>
    <row r="69" spans="1:22" ht="22" customHeight="1">
      <c r="A69" s="91" t="s">
        <v>94</v>
      </c>
      <c r="B69" s="93" t="s">
        <v>1157</v>
      </c>
      <c r="C69" s="116">
        <f>IF(COUNT(Segments!V73,Segments!W73,Segments!X73)=3,SUM(Segments!V73,Segments!W73,Segments!X73),"")</f>
        <v>-1251</v>
      </c>
      <c r="D69" s="117">
        <v>-760</v>
      </c>
      <c r="E69" s="108">
        <f>SUM(C69:D69)</f>
        <v>-2011</v>
      </c>
      <c r="F69" s="92"/>
      <c r="G69" s="92"/>
      <c r="H69" s="92"/>
      <c r="I69" s="92"/>
      <c r="J69" s="116" t="str">
        <f>IF(COUNT(Segments!I73)=1,Segments!I73,"")</f>
        <v/>
      </c>
      <c r="K69" s="116">
        <f>IF(COUNT(Segments!J73)=1,Segments!J73,"")</f>
        <v>-2226</v>
      </c>
      <c r="L69" s="116">
        <f>IF(COUNT(Segments!K73)=1,Segments!K73,"")</f>
        <v>-1820</v>
      </c>
      <c r="M69" s="116">
        <f>IF(COUNT(Segments!L73)=1,Segments!L73,"")</f>
        <v>-1953</v>
      </c>
      <c r="N69" s="108">
        <f t="shared" si="12"/>
        <v>-2011</v>
      </c>
      <c r="O69" s="92"/>
      <c r="P69" s="116">
        <f>IF(COUNT(Segments!R73)=1,Segments!R73,"")</f>
        <v>-405</v>
      </c>
      <c r="Q69" s="116">
        <f>IF(COUNT(Segments!S73)=1,Segments!S73,"")</f>
        <v>-404</v>
      </c>
      <c r="R69" s="116">
        <f>IF(COUNT(Segments!T73)=1,Segments!T73,"")</f>
        <v>-406</v>
      </c>
      <c r="S69" s="116">
        <f>IF(COUNT(Segments!U73)=1,Segments!U73,"")</f>
        <v>-738</v>
      </c>
      <c r="T69" s="116">
        <f>IF(COUNT(Segments!V73)=1,Segments!V73,"")</f>
        <v>-372</v>
      </c>
      <c r="U69" s="116">
        <f>IF(COUNT(Segments!W73)=1,Segments!W73,"")</f>
        <v>-453</v>
      </c>
      <c r="V69" s="116">
        <f>IF(COUNT(Segments!X73)=1,Segments!X73,"")</f>
        <v>-426</v>
      </c>
    </row>
    <row r="70" spans="1:22" ht="24" customHeight="1">
      <c r="A70" s="109" t="s">
        <v>1160</v>
      </c>
      <c r="B70" s="110" t="s">
        <v>1157</v>
      </c>
      <c r="C70" s="111">
        <f>SUM(C68,C69)</f>
        <v>11394</v>
      </c>
      <c r="D70" s="111">
        <f>SUM(D68,D69)</f>
        <v>4107.069559999999</v>
      </c>
      <c r="E70" s="111">
        <f>SUM(E68,E69)</f>
        <v>15501.06956</v>
      </c>
      <c r="F70" s="92"/>
      <c r="G70" s="92"/>
      <c r="H70" s="92"/>
      <c r="I70" s="92"/>
      <c r="J70" s="115">
        <f>IF(COUNT(Segments!I78)=1,Segments!I78,"")</f>
        <v>12325</v>
      </c>
      <c r="K70" s="115">
        <f>IF(COUNT(Segments!J78)=1,Segments!J78,"")</f>
        <v>13875</v>
      </c>
      <c r="L70" s="115">
        <f>IF(COUNT(Segments!K78)=1,Segments!K78,"")</f>
        <v>14698</v>
      </c>
      <c r="M70" s="115">
        <f>IF(COUNT(Segments!L78)=1,Segments!L78,"")</f>
        <v>14912</v>
      </c>
      <c r="N70" s="111">
        <f t="shared" si="12"/>
        <v>15501.06956</v>
      </c>
      <c r="O70" s="92"/>
      <c r="P70" s="115">
        <f>IF(COUNT(Segments!R78)=1,Segments!R78,"")</f>
        <v>2789</v>
      </c>
      <c r="Q70" s="115">
        <f>IF(COUNT(Segments!S78)=1,Segments!S78,"")</f>
        <v>3911</v>
      </c>
      <c r="R70" s="115">
        <f>IF(COUNT(Segments!T78)=1,Segments!T78,"")</f>
        <v>4137</v>
      </c>
      <c r="S70" s="115">
        <f>IF(COUNT(Segments!U78)=1,Segments!U78,"")</f>
        <v>4075</v>
      </c>
      <c r="T70" s="115">
        <f>IF(COUNT(Segments!V78)=1,Segments!V78,"")</f>
        <v>3050</v>
      </c>
      <c r="U70" s="115">
        <f>IF(COUNT(Segments!W78)=1,Segments!W78,"")</f>
        <v>4067</v>
      </c>
      <c r="V70" s="115">
        <f>IF(COUNT(Segments!X78)=1,Segments!X78,"")</f>
        <v>4277</v>
      </c>
    </row>
    <row r="71" spans="1:22" ht="20" customHeight="1">
      <c r="A71" s="106" t="s">
        <v>1161</v>
      </c>
      <c r="B71" s="93" t="s">
        <v>1134</v>
      </c>
      <c r="C71" s="107">
        <f>C70/C66</f>
        <v>0.16537490202908647</v>
      </c>
      <c r="D71" s="107">
        <f>D70/D66</f>
        <v>0.13491523757868729</v>
      </c>
      <c r="E71" s="107">
        <f>E70/E66</f>
        <v>0.15604079736338644</v>
      </c>
      <c r="F71" s="92"/>
      <c r="G71" s="92"/>
      <c r="H71" s="92"/>
      <c r="I71" s="92"/>
      <c r="J71" s="114">
        <f>IF(COUNT(Segments!I80)=1,Segments!I80,"")</f>
        <v>0.14266367256227427</v>
      </c>
      <c r="K71" s="114">
        <f>IF(COUNT(Segments!J80)=1,Segments!J80,"")</f>
        <v>0.15168742005662997</v>
      </c>
      <c r="L71" s="114">
        <f>IF(COUNT(Segments!K80)=1,Segments!K80,"")</f>
        <v>0.16001480610534108</v>
      </c>
      <c r="M71" s="114">
        <f>IF(COUNT(Segments!L80)=1,Segments!L80,"")</f>
        <v>0.15876497205216927</v>
      </c>
      <c r="N71" s="107">
        <f t="shared" si="12"/>
        <v>0.15604079736338644</v>
      </c>
      <c r="O71" s="92"/>
      <c r="P71" s="114">
        <f>IF(COUNT(Segments!R80)=1,Segments!R80,"")</f>
        <v>0.15564484625258107</v>
      </c>
      <c r="Q71" s="114">
        <f>IF(COUNT(Segments!S80)=1,Segments!S80,"")</f>
        <v>0.17209363724368565</v>
      </c>
      <c r="R71" s="114">
        <f>IF(COUNT(Segments!T80)=1,Segments!T80,"")</f>
        <v>0.17282867527259055</v>
      </c>
      <c r="S71" s="114">
        <f>IF(COUNT(Segments!U80)=1,Segments!U80,"")</f>
        <v>0.13887468902293562</v>
      </c>
      <c r="T71" s="114">
        <f>IF(COUNT(Segments!V80)=1,Segments!V80,"")</f>
        <v>0.15686879596770045</v>
      </c>
      <c r="U71" s="114">
        <f>IF(COUNT(Segments!W80)=1,Segments!W80,"")</f>
        <v>0.16818990116206939</v>
      </c>
      <c r="V71" s="114">
        <f>IF(COUNT(Segments!X80)=1,Segments!X80,"")</f>
        <v>0.16922529081269289</v>
      </c>
    </row>
    <row r="72" spans="1:22" ht="22" customHeight="1">
      <c r="A72" s="91" t="s">
        <v>1162</v>
      </c>
      <c r="B72" s="93" t="s">
        <v>1157</v>
      </c>
      <c r="C72" s="108">
        <f>SUM(T72:V72)</f>
        <v>176</v>
      </c>
      <c r="D72" s="117">
        <v>58</v>
      </c>
      <c r="E72" s="108">
        <f>SUM(C72:D72)</f>
        <v>234</v>
      </c>
      <c r="F72" s="92"/>
      <c r="G72" s="92"/>
      <c r="H72" s="92"/>
      <c r="I72" s="92"/>
      <c r="J72" s="117">
        <v>476</v>
      </c>
      <c r="K72" s="117">
        <v>263</v>
      </c>
      <c r="L72" s="117">
        <v>286</v>
      </c>
      <c r="M72" s="117">
        <v>165</v>
      </c>
      <c r="N72" s="108">
        <f t="shared" si="12"/>
        <v>234</v>
      </c>
      <c r="O72" s="92"/>
      <c r="P72" s="117">
        <v>39</v>
      </c>
      <c r="Q72" s="117">
        <v>39</v>
      </c>
      <c r="R72" s="117">
        <v>38</v>
      </c>
      <c r="S72" s="117">
        <v>49</v>
      </c>
      <c r="T72" s="117">
        <v>59</v>
      </c>
      <c r="U72" s="117">
        <v>59</v>
      </c>
      <c r="V72" s="117">
        <v>58</v>
      </c>
    </row>
    <row r="73" spans="1:22" ht="22" customHeight="1">
      <c r="A73" s="91" t="s">
        <v>1163</v>
      </c>
      <c r="B73" s="93" t="s">
        <v>1157</v>
      </c>
      <c r="C73" s="116">
        <f>IF(COUNT('Income Statement'!V26,'Income Statement'!W26,'Income Statement'!X26)=3,SUM('Income Statement'!V26,'Income Statement'!W26,'Income Statement'!X26),"")</f>
        <v>-773</v>
      </c>
      <c r="D73" s="117">
        <v>-325</v>
      </c>
      <c r="E73" s="108">
        <f>SUM(C73:D73)</f>
        <v>-1098</v>
      </c>
      <c r="F73" s="92"/>
      <c r="G73" s="92"/>
      <c r="H73" s="92"/>
      <c r="I73" s="92"/>
      <c r="J73" s="116">
        <f>IF(COUNT('Income Statement'!I26)=1,'Income Statement'!I26,"")</f>
        <v>-939</v>
      </c>
      <c r="K73" s="116">
        <f>IF(COUNT('Income Statement'!J26)=1,'Income Statement'!J26,"")</f>
        <v>-819</v>
      </c>
      <c r="L73" s="116">
        <f>IF(COUNT('Income Statement'!K26)=1,'Income Statement'!K26,"")</f>
        <v>-919</v>
      </c>
      <c r="M73" s="116">
        <f>IF(COUNT('Income Statement'!L26)=1,'Income Statement'!L26,"")</f>
        <v>-1121</v>
      </c>
      <c r="N73" s="108">
        <f t="shared" si="12"/>
        <v>-1098</v>
      </c>
      <c r="O73" s="92"/>
      <c r="P73" s="116">
        <f>IF(COUNT('Income Statement'!R26)=1,'Income Statement'!R26,"")</f>
        <v>-264</v>
      </c>
      <c r="Q73" s="116">
        <f>IF(COUNT('Income Statement'!S26)=1,'Income Statement'!S26,"")</f>
        <v>-260</v>
      </c>
      <c r="R73" s="116">
        <f>IF(COUNT('Income Statement'!T26)=1,'Income Statement'!T26,"")</f>
        <v>-264</v>
      </c>
      <c r="S73" s="116">
        <f>IF(COUNT('Income Statement'!U26)=1,'Income Statement'!U26,"")</f>
        <v>-333</v>
      </c>
      <c r="T73" s="116">
        <f>IF(COUNT('Income Statement'!V26)=1,'Income Statement'!V26,"")</f>
        <v>-301</v>
      </c>
      <c r="U73" s="116">
        <f>IF(COUNT('Income Statement'!W26)=1,'Income Statement'!W26,"")</f>
        <v>-230</v>
      </c>
      <c r="V73" s="116">
        <f>IF(COUNT('Income Statement'!X26)=1,'Income Statement'!X26,"")</f>
        <v>-242</v>
      </c>
    </row>
    <row r="74" spans="1:22" ht="22" customHeight="1">
      <c r="A74" s="91" t="s">
        <v>1164</v>
      </c>
      <c r="B74" s="93" t="s">
        <v>1157</v>
      </c>
      <c r="C74" s="108">
        <f>SUM(C70,C72,C73)</f>
        <v>10797</v>
      </c>
      <c r="D74" s="108">
        <f>SUM(D70,D72,D73)</f>
        <v>3840.069559999999</v>
      </c>
      <c r="E74" s="108">
        <f>SUM(E70,E72,E73)</f>
        <v>14637.06956</v>
      </c>
      <c r="F74" s="92"/>
      <c r="G74" s="92"/>
      <c r="H74" s="92"/>
      <c r="I74" s="92"/>
      <c r="J74" s="108">
        <f>SUM(J70,J72,J73)</f>
        <v>11862</v>
      </c>
      <c r="K74" s="108">
        <f>SUM(K70,K72,K73)</f>
        <v>13319</v>
      </c>
      <c r="L74" s="108">
        <f>SUM(L70,L72,L73)</f>
        <v>14065</v>
      </c>
      <c r="M74" s="108">
        <f>SUM(M70,M72,M73)</f>
        <v>13956</v>
      </c>
      <c r="N74" s="108">
        <f t="shared" si="12"/>
        <v>14637.06956</v>
      </c>
      <c r="O74" s="92"/>
      <c r="P74" s="108">
        <f t="shared" ref="P74:V74" si="14">SUM(P70,P72,P73)</f>
        <v>2564</v>
      </c>
      <c r="Q74" s="108">
        <f t="shared" si="14"/>
        <v>3690</v>
      </c>
      <c r="R74" s="108">
        <f t="shared" si="14"/>
        <v>3911</v>
      </c>
      <c r="S74" s="108">
        <f t="shared" si="14"/>
        <v>3791</v>
      </c>
      <c r="T74" s="108">
        <f t="shared" si="14"/>
        <v>2808</v>
      </c>
      <c r="U74" s="108">
        <f t="shared" si="14"/>
        <v>3896</v>
      </c>
      <c r="V74" s="108">
        <f t="shared" si="14"/>
        <v>4093</v>
      </c>
    </row>
    <row r="75" spans="1:22" ht="20" customHeight="1">
      <c r="A75" s="106" t="s">
        <v>1165</v>
      </c>
      <c r="B75" s="93" t="s">
        <v>1134</v>
      </c>
      <c r="C75" s="107">
        <f>C76/C74</f>
        <v>0.21468926553672316</v>
      </c>
      <c r="D75" s="107">
        <f>D76/D74</f>
        <v>0.19681534300123465</v>
      </c>
      <c r="E75" s="119">
        <v>0.21</v>
      </c>
      <c r="F75" s="92"/>
      <c r="G75" s="92"/>
      <c r="H75" s="92"/>
      <c r="I75" s="92"/>
      <c r="J75" s="107">
        <f>J76/J74</f>
        <v>0.19996627887371438</v>
      </c>
      <c r="K75" s="107">
        <f>K76/K74</f>
        <v>0.20301824461295892</v>
      </c>
      <c r="L75" s="107">
        <f>L76/L74</f>
        <v>0.19701386420191966</v>
      </c>
      <c r="M75" s="107">
        <f>M76/M74</f>
        <v>0.19525652049297793</v>
      </c>
      <c r="N75" s="107">
        <f t="shared" si="12"/>
        <v>0.21</v>
      </c>
      <c r="O75" s="92"/>
      <c r="P75" s="107">
        <f t="shared" ref="P75:V75" si="15">P76/P74</f>
        <v>0.20436817472698907</v>
      </c>
      <c r="Q75" s="107">
        <f t="shared" si="15"/>
        <v>0.2078590785907859</v>
      </c>
      <c r="R75" s="107">
        <f t="shared" si="15"/>
        <v>0.19406801329583226</v>
      </c>
      <c r="S75" s="107">
        <f t="shared" si="15"/>
        <v>0.17805328409390661</v>
      </c>
      <c r="T75" s="107">
        <f t="shared" si="15"/>
        <v>0.21118233618233617</v>
      </c>
      <c r="U75" s="107">
        <f t="shared" si="15"/>
        <v>0.21996919917864477</v>
      </c>
      <c r="V75" s="107">
        <f t="shared" si="15"/>
        <v>0.21206938675787931</v>
      </c>
    </row>
    <row r="76" spans="1:22" ht="22" customHeight="1">
      <c r="A76" s="91" t="s">
        <v>1166</v>
      </c>
      <c r="B76" s="93" t="s">
        <v>1157</v>
      </c>
      <c r="C76" s="108">
        <f>SUM(T76:V76)</f>
        <v>2318</v>
      </c>
      <c r="D76" s="108">
        <f>E74*E75-C76</f>
        <v>755.78460760000007</v>
      </c>
      <c r="E76" s="108">
        <f>E74*E75</f>
        <v>3073.7846076000001</v>
      </c>
      <c r="F76" s="92"/>
      <c r="G76" s="92"/>
      <c r="H76" s="92"/>
      <c r="I76" s="92"/>
      <c r="J76" s="117">
        <v>2372</v>
      </c>
      <c r="K76" s="117">
        <v>2704</v>
      </c>
      <c r="L76" s="117">
        <v>2771</v>
      </c>
      <c r="M76" s="117">
        <v>2725</v>
      </c>
      <c r="N76" s="108">
        <f t="shared" si="12"/>
        <v>3073.7846076000001</v>
      </c>
      <c r="O76" s="92"/>
      <c r="P76" s="117">
        <v>524</v>
      </c>
      <c r="Q76" s="117">
        <v>767</v>
      </c>
      <c r="R76" s="117">
        <v>759</v>
      </c>
      <c r="S76" s="117">
        <v>675</v>
      </c>
      <c r="T76" s="117">
        <v>593</v>
      </c>
      <c r="U76" s="117">
        <v>857</v>
      </c>
      <c r="V76" s="117">
        <v>868</v>
      </c>
    </row>
    <row r="77" spans="1:22" ht="22" customHeight="1">
      <c r="A77" s="91" t="s">
        <v>1167</v>
      </c>
      <c r="B77" s="93" t="s">
        <v>1157</v>
      </c>
      <c r="C77" s="116">
        <f>IF(COUNT('Income Statement'!V30,'Income Statement'!W30,'Income Statement'!X30)=3,SUM('Income Statement'!V30,'Income Statement'!W30,'Income Statement'!X30),"")</f>
        <v>56</v>
      </c>
      <c r="D77" s="117">
        <v>19</v>
      </c>
      <c r="E77" s="108">
        <f>SUM(C77:D77)</f>
        <v>75</v>
      </c>
      <c r="F77" s="92"/>
      <c r="G77" s="92"/>
      <c r="H77" s="92"/>
      <c r="I77" s="92"/>
      <c r="J77" s="117">
        <v>69</v>
      </c>
      <c r="K77" s="117">
        <v>82</v>
      </c>
      <c r="L77" s="116">
        <f>IF(COUNT('Income Statement'!K30)=1,'Income Statement'!K30,"")</f>
        <v>48</v>
      </c>
      <c r="M77" s="116">
        <f>IF(COUNT('Income Statement'!L30)=1,'Income Statement'!L30,"")</f>
        <v>55</v>
      </c>
      <c r="N77" s="108">
        <f t="shared" si="12"/>
        <v>75</v>
      </c>
      <c r="O77" s="92"/>
      <c r="P77" s="116">
        <f>IF(COUNT('Income Statement'!R30)=1,'Income Statement'!R30,"")</f>
        <v>9</v>
      </c>
      <c r="Q77" s="116">
        <f>IF(COUNT('Income Statement'!S30)=1,'Income Statement'!S30,"")</f>
        <v>16</v>
      </c>
      <c r="R77" s="116">
        <f>IF(COUNT('Income Statement'!T30)=1,'Income Statement'!T30,"")</f>
        <v>15</v>
      </c>
      <c r="S77" s="116">
        <f>IF(COUNT('Income Statement'!U30)=1,'Income Statement'!U30,"")</f>
        <v>15</v>
      </c>
      <c r="T77" s="116">
        <f>IF(COUNT('Income Statement'!V30)=1,'Income Statement'!V30,"")</f>
        <v>11</v>
      </c>
      <c r="U77" s="116">
        <f>IF(COUNT('Income Statement'!W30)=1,'Income Statement'!W30,"")</f>
        <v>23</v>
      </c>
      <c r="V77" s="116">
        <f>IF(COUNT('Income Statement'!X30)=1,'Income Statement'!X30,"")</f>
        <v>22</v>
      </c>
    </row>
    <row r="78" spans="1:22" ht="24" customHeight="1">
      <c r="A78" s="109" t="s">
        <v>1168</v>
      </c>
      <c r="B78" s="110" t="s">
        <v>1157</v>
      </c>
      <c r="C78" s="111">
        <f>C74-C76-C77</f>
        <v>8423</v>
      </c>
      <c r="D78" s="111">
        <f>D74-D76-D77</f>
        <v>3065.2849523999989</v>
      </c>
      <c r="E78" s="111">
        <f>E74-E76-E77</f>
        <v>11488.284952399999</v>
      </c>
      <c r="F78" s="92"/>
      <c r="G78" s="92"/>
      <c r="H78" s="92"/>
      <c r="I78" s="92"/>
      <c r="J78" s="118">
        <v>9421</v>
      </c>
      <c r="K78" s="118">
        <v>10533</v>
      </c>
      <c r="L78" s="118">
        <v>11246</v>
      </c>
      <c r="M78" s="118">
        <v>11176</v>
      </c>
      <c r="N78" s="111">
        <f t="shared" si="12"/>
        <v>11488.284952399999</v>
      </c>
      <c r="O78" s="92"/>
      <c r="P78" s="118">
        <v>2031</v>
      </c>
      <c r="Q78" s="118">
        <v>2907</v>
      </c>
      <c r="R78" s="118">
        <v>3137</v>
      </c>
      <c r="S78" s="118">
        <v>3101</v>
      </c>
      <c r="T78" s="118">
        <v>2204</v>
      </c>
      <c r="U78" s="118">
        <v>3016</v>
      </c>
      <c r="V78" s="118">
        <v>3203</v>
      </c>
    </row>
    <row r="79" spans="1:22" ht="20" customHeight="1">
      <c r="A79" s="106" t="s">
        <v>1169</v>
      </c>
      <c r="B79" s="93" t="s">
        <v>1134</v>
      </c>
      <c r="C79" s="107">
        <f>C78/SUM(P78:R78)-1</f>
        <v>4.3095975232198214E-2</v>
      </c>
      <c r="D79" s="107">
        <f>D78/S78-1</f>
        <v>-1.1517267849081247E-2</v>
      </c>
      <c r="E79" s="107">
        <f>E78/M78-1</f>
        <v>2.7942461739441704E-2</v>
      </c>
      <c r="F79" s="92"/>
      <c r="G79" s="92"/>
      <c r="H79" s="92"/>
      <c r="I79" s="92"/>
      <c r="J79" s="119">
        <v>8.4369244935543333E-2</v>
      </c>
      <c r="K79" s="107">
        <f>K78/J78-1</f>
        <v>0.11803417896189372</v>
      </c>
      <c r="L79" s="107">
        <f>L78/K78-1</f>
        <v>6.7692015570113062E-2</v>
      </c>
      <c r="M79" s="107">
        <f>M78/L78-1</f>
        <v>-6.2244353547927789E-3</v>
      </c>
      <c r="N79" s="107">
        <f t="shared" si="12"/>
        <v>2.7942461739441704E-2</v>
      </c>
      <c r="O79" s="92"/>
      <c r="P79" s="107"/>
      <c r="Q79" s="107"/>
      <c r="R79" s="107"/>
      <c r="S79" s="107"/>
      <c r="T79" s="107">
        <f>T78/P78-1</f>
        <v>8.5179714426391051E-2</v>
      </c>
      <c r="U79" s="107">
        <f>U78/Q78-1</f>
        <v>3.7495700034399615E-2</v>
      </c>
      <c r="V79" s="107">
        <f>V78/R78-1</f>
        <v>2.1039209435766759E-2</v>
      </c>
    </row>
    <row r="80" spans="1:22" ht="22" customHeight="1">
      <c r="A80" s="91" t="s">
        <v>1170</v>
      </c>
      <c r="B80" s="93" t="s">
        <v>1157</v>
      </c>
      <c r="C80" s="108"/>
      <c r="D80" s="117">
        <v>500</v>
      </c>
      <c r="E80" s="108"/>
      <c r="F80" s="180" t="s">
        <v>1171</v>
      </c>
      <c r="G80" s="180"/>
      <c r="H80" s="180"/>
      <c r="I80" s="92"/>
      <c r="J80" s="108"/>
      <c r="K80" s="108"/>
      <c r="L80" s="108"/>
      <c r="M80" s="108"/>
      <c r="N80" s="108"/>
      <c r="O80" s="92"/>
      <c r="P80" s="108"/>
      <c r="Q80" s="108"/>
      <c r="R80" s="108"/>
      <c r="S80" s="108"/>
      <c r="T80" s="108"/>
      <c r="U80" s="108"/>
      <c r="V80" s="108"/>
    </row>
    <row r="81" spans="1:22" ht="22" customHeight="1">
      <c r="A81" s="91" t="s">
        <v>1172</v>
      </c>
      <c r="B81" s="93" t="s">
        <v>1157</v>
      </c>
      <c r="C81" s="108"/>
      <c r="D81" s="117">
        <v>30</v>
      </c>
      <c r="E81" s="108"/>
      <c r="F81" s="180"/>
      <c r="G81" s="180"/>
      <c r="H81" s="180"/>
      <c r="I81" s="92"/>
      <c r="J81" s="108"/>
      <c r="K81" s="108"/>
      <c r="L81" s="108"/>
      <c r="M81" s="108"/>
      <c r="N81" s="108"/>
      <c r="O81" s="92"/>
      <c r="P81" s="108"/>
      <c r="Q81" s="108"/>
      <c r="R81" s="108"/>
      <c r="S81" s="108"/>
      <c r="T81" s="108"/>
      <c r="U81" s="108"/>
      <c r="V81" s="108"/>
    </row>
    <row r="82" spans="1:22" ht="22" customHeight="1">
      <c r="A82" s="91" t="s">
        <v>1173</v>
      </c>
      <c r="B82" s="93" t="s">
        <v>1157</v>
      </c>
      <c r="C82" s="108"/>
      <c r="D82" s="117">
        <v>50</v>
      </c>
      <c r="E82" s="108"/>
      <c r="F82" s="180"/>
      <c r="G82" s="180"/>
      <c r="H82" s="180"/>
      <c r="I82" s="92"/>
      <c r="J82" s="108"/>
      <c r="K82" s="108"/>
      <c r="L82" s="108"/>
      <c r="M82" s="108"/>
      <c r="N82" s="108"/>
      <c r="O82" s="92"/>
      <c r="P82" s="108"/>
      <c r="Q82" s="108"/>
      <c r="R82" s="108"/>
      <c r="S82" s="108"/>
      <c r="T82" s="108"/>
      <c r="U82" s="108"/>
      <c r="V82" s="108"/>
    </row>
    <row r="83" spans="1:22" ht="22" customHeight="1">
      <c r="A83" s="91" t="s">
        <v>1174</v>
      </c>
      <c r="B83" s="93" t="s">
        <v>1157</v>
      </c>
      <c r="C83" s="108"/>
      <c r="D83" s="117">
        <v>0</v>
      </c>
      <c r="E83" s="108"/>
      <c r="F83" s="180"/>
      <c r="G83" s="180"/>
      <c r="H83" s="180"/>
      <c r="I83" s="92"/>
      <c r="J83" s="108"/>
      <c r="K83" s="108"/>
      <c r="L83" s="108"/>
      <c r="M83" s="108"/>
      <c r="N83" s="108"/>
      <c r="O83" s="92"/>
      <c r="P83" s="108"/>
      <c r="Q83" s="108"/>
      <c r="R83" s="108"/>
      <c r="S83" s="108"/>
      <c r="T83" s="108"/>
      <c r="U83" s="108"/>
      <c r="V83" s="108"/>
    </row>
    <row r="84" spans="1:22" ht="20" customHeight="1">
      <c r="A84" s="106" t="s">
        <v>1175</v>
      </c>
      <c r="B84" s="93" t="s">
        <v>1134</v>
      </c>
      <c r="C84" s="107"/>
      <c r="D84" s="119">
        <v>0.21</v>
      </c>
      <c r="E84" s="107"/>
      <c r="F84" s="180"/>
      <c r="G84" s="180"/>
      <c r="H84" s="180"/>
      <c r="I84" s="92"/>
      <c r="J84" s="107"/>
      <c r="K84" s="107"/>
      <c r="L84" s="107"/>
      <c r="M84" s="107"/>
      <c r="N84" s="107"/>
      <c r="O84" s="92"/>
      <c r="P84" s="107"/>
      <c r="Q84" s="107"/>
      <c r="R84" s="107"/>
      <c r="S84" s="107"/>
      <c r="T84" s="107"/>
      <c r="U84" s="107"/>
      <c r="V84" s="107"/>
    </row>
    <row r="85" spans="1:22" ht="22" customHeight="1">
      <c r="A85" s="91" t="s">
        <v>1176</v>
      </c>
      <c r="B85" s="93" t="s">
        <v>1157</v>
      </c>
      <c r="C85" s="108">
        <f>C78-C86</f>
        <v>67</v>
      </c>
      <c r="D85" s="108">
        <f>(SUM(D80:D81,D83)-D82)*(1-D84)</f>
        <v>379.20000000000005</v>
      </c>
      <c r="E85" s="108">
        <f>SUM(C85:D85)</f>
        <v>446.20000000000005</v>
      </c>
      <c r="F85" s="92"/>
      <c r="G85" s="92"/>
      <c r="H85" s="92"/>
      <c r="I85" s="92"/>
      <c r="J85" s="108">
        <f>J78-J86</f>
        <v>511</v>
      </c>
      <c r="K85" s="108">
        <f>K78-K86</f>
        <v>1459</v>
      </c>
      <c r="L85" s="108">
        <f>L78-L86</f>
        <v>1668</v>
      </c>
      <c r="M85" s="108">
        <f>M78-M86</f>
        <v>2936</v>
      </c>
      <c r="N85" s="108">
        <f>E85</f>
        <v>446.20000000000005</v>
      </c>
      <c r="O85" s="92"/>
      <c r="P85" s="108">
        <f t="shared" ref="P85:V85" si="16">P78-P86</f>
        <v>197</v>
      </c>
      <c r="Q85" s="108">
        <f t="shared" si="16"/>
        <v>1644</v>
      </c>
      <c r="R85" s="108">
        <f t="shared" si="16"/>
        <v>534</v>
      </c>
      <c r="S85" s="108">
        <f t="shared" si="16"/>
        <v>561</v>
      </c>
      <c r="T85" s="108">
        <f t="shared" si="16"/>
        <v>-123</v>
      </c>
      <c r="U85" s="108">
        <f t="shared" si="16"/>
        <v>35</v>
      </c>
      <c r="V85" s="108">
        <f t="shared" si="16"/>
        <v>155</v>
      </c>
    </row>
    <row r="86" spans="1:22" ht="24" customHeight="1">
      <c r="A86" s="109" t="s">
        <v>1177</v>
      </c>
      <c r="B86" s="110" t="s">
        <v>1157</v>
      </c>
      <c r="C86" s="115">
        <f>IF(COUNT('Income Statement'!V31,'Income Statement'!W31,'Income Statement'!X31)=3,SUM('Income Statement'!V31,'Income Statement'!W31,'Income Statement'!X31),"")</f>
        <v>8356</v>
      </c>
      <c r="D86" s="111">
        <f>D78-D85</f>
        <v>2686.0849523999987</v>
      </c>
      <c r="E86" s="111">
        <f>SUM(C86:D86)</f>
        <v>11042.084952399999</v>
      </c>
      <c r="F86" s="92"/>
      <c r="G86" s="92"/>
      <c r="H86" s="92"/>
      <c r="I86" s="92"/>
      <c r="J86" s="115">
        <f>IF(COUNT('Income Statement'!I31)=1,'Income Statement'!I31,"")</f>
        <v>8910</v>
      </c>
      <c r="K86" s="115">
        <f>IF(COUNT('Income Statement'!J31)=1,'Income Statement'!J31,"")</f>
        <v>9074</v>
      </c>
      <c r="L86" s="115">
        <f>IF(COUNT('Income Statement'!K31)=1,'Income Statement'!K31,"")</f>
        <v>9578</v>
      </c>
      <c r="M86" s="115">
        <f>IF(COUNT('Income Statement'!L31)=1,'Income Statement'!L31,"")</f>
        <v>8240</v>
      </c>
      <c r="N86" s="111">
        <f>E86</f>
        <v>11042.084952399999</v>
      </c>
      <c r="O86" s="92"/>
      <c r="P86" s="115">
        <f>IF(COUNT('Income Statement'!R31)=1,'Income Statement'!R31,"")</f>
        <v>1834</v>
      </c>
      <c r="Q86" s="115">
        <f>IF(COUNT('Income Statement'!S31)=1,'Income Statement'!S31,"")</f>
        <v>1263</v>
      </c>
      <c r="R86" s="115">
        <f>IF(COUNT('Income Statement'!T31)=1,'Income Statement'!T31,"")</f>
        <v>2603</v>
      </c>
      <c r="S86" s="115">
        <f>IF(COUNT('Income Statement'!U31)=1,'Income Statement'!U31,"")</f>
        <v>2540</v>
      </c>
      <c r="T86" s="115">
        <f>IF(COUNT('Income Statement'!V31)=1,'Income Statement'!V31,"")</f>
        <v>2327</v>
      </c>
      <c r="U86" s="115">
        <f>IF(COUNT('Income Statement'!W31)=1,'Income Statement'!W31,"")</f>
        <v>2981</v>
      </c>
      <c r="V86" s="115">
        <f>IF(COUNT('Income Statement'!X31)=1,'Income Statement'!X31,"")</f>
        <v>3048</v>
      </c>
    </row>
    <row r="87" spans="1:22" ht="20" customHeight="1">
      <c r="A87" s="106" t="s">
        <v>1178</v>
      </c>
      <c r="B87" s="93" t="s">
        <v>1134</v>
      </c>
      <c r="C87" s="107">
        <f>C86/SUM(P86:R86)-1</f>
        <v>0.46596491228070169</v>
      </c>
      <c r="D87" s="107">
        <f>D86/S86-1</f>
        <v>5.7513760787401003E-2</v>
      </c>
      <c r="E87" s="107">
        <f>E86/M86-1</f>
        <v>0.34005885344660181</v>
      </c>
      <c r="F87" s="92"/>
      <c r="G87" s="92"/>
      <c r="H87" s="92"/>
      <c r="I87" s="92"/>
      <c r="J87" s="114">
        <f>IF(COUNT('Income Statement'!I32)=1,'Income Statement'!I32,"")</f>
        <v>0.16959831976896833</v>
      </c>
      <c r="K87" s="114">
        <f>IF(COUNT('Income Statement'!J32)=1,'Income Statement'!J32,"")</f>
        <v>1.8406285072951833E-2</v>
      </c>
      <c r="L87" s="114">
        <f>IF(COUNT('Income Statement'!K32)=1,'Income Statement'!K32,"")</f>
        <v>5.5543310557637282E-2</v>
      </c>
      <c r="M87" s="114">
        <f>IF(COUNT('Income Statement'!L32)=1,'Income Statement'!L32,"")</f>
        <v>-0.13969513468365002</v>
      </c>
      <c r="N87" s="107">
        <f>E87</f>
        <v>0.34005885344660181</v>
      </c>
      <c r="O87" s="92"/>
      <c r="P87" s="114">
        <f>IF(COUNT('Income Statement'!R32)=1,'Income Statement'!R32,"")</f>
        <v>-0.10186092066601371</v>
      </c>
      <c r="Q87" s="114">
        <f>IF(COUNT('Income Statement'!S32)=1,'Income Statement'!S32,"")</f>
        <v>-0.59033409017191052</v>
      </c>
      <c r="R87" s="114">
        <f>IF(COUNT('Income Statement'!T32)=1,'Income Statement'!T32,"")</f>
        <v>-0.11160409556313988</v>
      </c>
      <c r="S87" s="114">
        <f>IF(COUNT('Income Statement'!U32)=1,'Income Statement'!U32,"")</f>
        <v>0.6677609980302035</v>
      </c>
      <c r="T87" s="114">
        <f>IF(COUNT('Income Statement'!V32)=1,'Income Statement'!V32,"")</f>
        <v>0.26881134133042539</v>
      </c>
      <c r="U87" s="114">
        <f>IF(COUNT('Income Statement'!W32)=1,'Income Statement'!W32,"")</f>
        <v>1.3602533650039588</v>
      </c>
      <c r="V87" s="114">
        <f>IF(COUNT('Income Statement'!X32)=1,'Income Statement'!X32,"")</f>
        <v>0.17095658855167106</v>
      </c>
    </row>
    <row r="88" spans="1:22" ht="22" customHeight="1">
      <c r="A88" s="91"/>
      <c r="B88" s="93"/>
      <c r="C88" s="92"/>
      <c r="D88" s="92"/>
      <c r="E88" s="92"/>
      <c r="F88" s="92"/>
      <c r="G88" s="92"/>
      <c r="H88" s="92"/>
      <c r="I88" s="92"/>
      <c r="J88" s="92"/>
      <c r="K88" s="92"/>
      <c r="L88" s="92"/>
      <c r="M88" s="92"/>
      <c r="N88" s="92"/>
      <c r="O88" s="92"/>
      <c r="P88" s="92"/>
      <c r="Q88" s="92"/>
      <c r="R88" s="92"/>
      <c r="S88" s="92"/>
      <c r="T88" s="92"/>
      <c r="U88" s="92"/>
      <c r="V88" s="92"/>
    </row>
    <row r="89" spans="1:22" ht="22" customHeight="1">
      <c r="A89" s="91"/>
      <c r="B89" s="93"/>
      <c r="C89" s="92"/>
      <c r="D89" s="92"/>
      <c r="E89" s="92"/>
      <c r="F89" s="92"/>
      <c r="G89" s="92"/>
      <c r="H89" s="92"/>
      <c r="I89" s="92"/>
      <c r="J89" s="92"/>
      <c r="K89" s="92"/>
      <c r="L89" s="92"/>
      <c r="M89" s="92"/>
      <c r="N89" s="92"/>
      <c r="O89" s="92"/>
      <c r="P89" s="92"/>
      <c r="Q89" s="92"/>
      <c r="R89" s="92"/>
      <c r="S89" s="92"/>
      <c r="T89" s="92"/>
      <c r="U89" s="92"/>
      <c r="V89" s="92"/>
    </row>
    <row r="90" spans="1:22" ht="22" customHeight="1">
      <c r="A90" s="91"/>
      <c r="B90" s="93"/>
      <c r="C90" s="92"/>
      <c r="D90" s="92"/>
      <c r="E90" s="92"/>
      <c r="F90" s="92"/>
      <c r="G90" s="92"/>
      <c r="H90" s="92"/>
      <c r="I90" s="92"/>
      <c r="J90" s="92"/>
      <c r="K90" s="92"/>
      <c r="L90" s="92"/>
      <c r="M90" s="92"/>
      <c r="N90" s="92"/>
      <c r="O90" s="92"/>
      <c r="P90" s="92"/>
      <c r="Q90" s="92"/>
      <c r="R90" s="92"/>
      <c r="S90" s="92"/>
      <c r="T90" s="92"/>
      <c r="U90" s="92"/>
      <c r="V90" s="92"/>
    </row>
    <row r="91" spans="1:22" ht="22" customHeight="1">
      <c r="A91" s="91"/>
      <c r="B91" s="93"/>
      <c r="C91" s="92"/>
      <c r="D91" s="92"/>
      <c r="E91" s="92"/>
      <c r="F91" s="92"/>
      <c r="G91" s="92"/>
      <c r="H91" s="92"/>
      <c r="I91" s="92"/>
      <c r="J91" s="92"/>
      <c r="K91" s="92"/>
      <c r="L91" s="92"/>
      <c r="M91" s="92"/>
      <c r="N91" s="92"/>
      <c r="O91" s="92"/>
      <c r="P91" s="92"/>
      <c r="Q91" s="92"/>
      <c r="R91" s="92"/>
      <c r="S91" s="92"/>
      <c r="T91" s="92"/>
      <c r="U91" s="92"/>
      <c r="V91" s="92"/>
    </row>
    <row r="92" spans="1:22" ht="22" customHeight="1">
      <c r="A92" s="91"/>
      <c r="B92" s="93"/>
      <c r="C92" s="92"/>
      <c r="D92" s="92"/>
      <c r="E92" s="92"/>
      <c r="F92" s="92"/>
      <c r="G92" s="92"/>
      <c r="H92" s="92"/>
      <c r="I92" s="92"/>
      <c r="J92" s="92"/>
      <c r="K92" s="92"/>
      <c r="L92" s="92"/>
      <c r="M92" s="92"/>
      <c r="N92" s="92"/>
      <c r="O92" s="92"/>
      <c r="P92" s="92"/>
      <c r="Q92" s="92"/>
      <c r="R92" s="92"/>
      <c r="S92" s="92"/>
      <c r="T92" s="92"/>
      <c r="U92" s="92"/>
      <c r="V92" s="92"/>
    </row>
    <row r="93" spans="1:22" ht="22" customHeight="1">
      <c r="A93" s="96" t="s">
        <v>1179</v>
      </c>
      <c r="B93" s="97"/>
      <c r="C93" s="98"/>
      <c r="D93" s="98"/>
      <c r="E93" s="98"/>
      <c r="F93" s="98"/>
      <c r="G93" s="98"/>
      <c r="H93" s="98"/>
      <c r="I93" s="92"/>
      <c r="J93" s="92"/>
      <c r="K93" s="92"/>
      <c r="L93" s="92"/>
      <c r="M93" s="92"/>
      <c r="N93" s="92"/>
      <c r="O93" s="92"/>
      <c r="P93" s="92"/>
      <c r="Q93" s="92"/>
      <c r="R93" s="92"/>
      <c r="S93" s="92"/>
      <c r="T93" s="92"/>
      <c r="U93" s="92"/>
      <c r="V93" s="92"/>
    </row>
    <row r="94" spans="1:22" ht="24" customHeight="1">
      <c r="A94" s="91"/>
      <c r="B94" s="93"/>
      <c r="C94" s="99" t="s">
        <v>1180</v>
      </c>
      <c r="D94" s="99" t="s">
        <v>1181</v>
      </c>
      <c r="E94" s="99" t="s">
        <v>1182</v>
      </c>
      <c r="F94" s="99" t="s">
        <v>1183</v>
      </c>
      <c r="G94" s="99" t="s">
        <v>1184</v>
      </c>
      <c r="H94" s="99" t="s">
        <v>1185</v>
      </c>
      <c r="I94" s="92"/>
      <c r="J94" s="99" t="s">
        <v>1140</v>
      </c>
      <c r="K94" s="99" t="s">
        <v>1141</v>
      </c>
      <c r="L94" s="99" t="s">
        <v>1142</v>
      </c>
      <c r="M94" s="99" t="s">
        <v>1143</v>
      </c>
      <c r="N94" s="99" t="s">
        <v>1144</v>
      </c>
      <c r="O94" s="92"/>
      <c r="P94" s="100" t="s">
        <v>1145</v>
      </c>
      <c r="Q94" s="100" t="s">
        <v>1146</v>
      </c>
      <c r="R94" s="100" t="s">
        <v>1147</v>
      </c>
      <c r="S94" s="100" t="s">
        <v>1148</v>
      </c>
      <c r="T94" s="100" t="s">
        <v>1149</v>
      </c>
      <c r="U94" s="100" t="s">
        <v>1150</v>
      </c>
      <c r="V94" s="100" t="s">
        <v>1151</v>
      </c>
    </row>
    <row r="95" spans="1:22" ht="22" customHeight="1">
      <c r="A95" s="101" t="s">
        <v>1152</v>
      </c>
      <c r="B95" s="102" t="s">
        <v>1153</v>
      </c>
      <c r="C95" s="95"/>
      <c r="D95" s="95"/>
      <c r="E95" s="95"/>
      <c r="F95" s="95"/>
      <c r="G95" s="95"/>
      <c r="H95" s="95"/>
      <c r="I95" s="95"/>
      <c r="J95" s="95"/>
      <c r="K95" s="95"/>
      <c r="L95" s="95"/>
      <c r="M95" s="95"/>
      <c r="N95" s="95"/>
      <c r="O95" s="95"/>
      <c r="P95" s="95"/>
      <c r="Q95" s="95"/>
      <c r="R95" s="95"/>
      <c r="S95" s="95"/>
      <c r="T95" s="95"/>
      <c r="U95" s="95"/>
      <c r="V95" s="95"/>
    </row>
    <row r="96" spans="1:22" ht="22" customHeight="1">
      <c r="A96" s="91"/>
      <c r="B96" s="93"/>
      <c r="C96" s="92"/>
      <c r="D96" s="92"/>
      <c r="E96" s="92"/>
      <c r="F96" s="92"/>
      <c r="G96" s="92"/>
      <c r="H96" s="92"/>
      <c r="I96" s="92"/>
      <c r="J96" s="92"/>
      <c r="K96" s="92"/>
      <c r="L96" s="92"/>
      <c r="M96" s="92"/>
      <c r="N96" s="92"/>
      <c r="O96" s="92"/>
      <c r="P96" s="92"/>
      <c r="Q96" s="92"/>
      <c r="R96" s="92"/>
      <c r="S96" s="92"/>
      <c r="T96" s="92"/>
      <c r="U96" s="92"/>
      <c r="V96" s="92"/>
    </row>
    <row r="97" spans="1:22" ht="24" customHeight="1">
      <c r="A97" s="103" t="s">
        <v>82</v>
      </c>
      <c r="B97" s="104"/>
      <c r="C97" s="105"/>
      <c r="D97" s="105"/>
      <c r="E97" s="105"/>
      <c r="F97" s="105"/>
      <c r="G97" s="105"/>
      <c r="H97" s="105"/>
      <c r="I97" s="92"/>
      <c r="J97" s="92"/>
      <c r="K97" s="92"/>
      <c r="L97" s="92"/>
      <c r="M97" s="92"/>
      <c r="N97" s="92"/>
      <c r="O97" s="92"/>
      <c r="P97" s="92"/>
      <c r="Q97" s="92"/>
      <c r="R97" s="92"/>
      <c r="S97" s="92"/>
      <c r="T97" s="92"/>
      <c r="U97" s="92"/>
      <c r="V97" s="92"/>
    </row>
    <row r="98" spans="1:22" ht="20" customHeight="1">
      <c r="A98" s="106" t="s">
        <v>66</v>
      </c>
      <c r="B98" s="93" t="s">
        <v>1134</v>
      </c>
      <c r="C98" s="119">
        <v>1.4999999999999999E-2</v>
      </c>
      <c r="D98" s="119">
        <v>0.02</v>
      </c>
      <c r="E98" s="119">
        <v>2.5000000000000001E-2</v>
      </c>
      <c r="F98" s="119">
        <v>2.5000000000000001E-2</v>
      </c>
      <c r="G98" s="119">
        <v>2.5000000000000001E-2</v>
      </c>
      <c r="H98" s="107">
        <f>$C$4</f>
        <v>0.03</v>
      </c>
      <c r="I98" s="92"/>
      <c r="J98" s="114" t="str">
        <f>IF(COUNT(Segments!I87)=1,Segments!I87,"")</f>
        <v/>
      </c>
      <c r="K98" s="114">
        <f>IF(COUNT(Segments!J87)=1,Segments!J87,"")</f>
        <v>0.08</v>
      </c>
      <c r="L98" s="114">
        <f>IF(COUNT(Segments!K87)=1,Segments!K87,"")</f>
        <v>-0.02</v>
      </c>
      <c r="M98" s="114">
        <f>IF(COUNT(Segments!L87)=1,Segments!L87,"")</f>
        <v>-0.02</v>
      </c>
      <c r="N98" s="107">
        <f t="shared" ref="N98:N104" si="17">E11</f>
        <v>1.5099171752397558E-3</v>
      </c>
      <c r="O98" s="92"/>
      <c r="P98" s="114">
        <f>IF(COUNT(Segments!R87)=1,Segments!R87,"")</f>
        <v>-0.02</v>
      </c>
      <c r="Q98" s="114">
        <f>IF(COUNT(Segments!S87)=1,Segments!S87,"")</f>
        <v>-0.02</v>
      </c>
      <c r="R98" s="114">
        <f>IF(COUNT(Segments!T87)=1,Segments!T87,"")</f>
        <v>-0.03</v>
      </c>
      <c r="S98" s="114">
        <f>IF(COUNT(Segments!U87)=1,Segments!U87,"")</f>
        <v>-0.01</v>
      </c>
      <c r="T98" s="114">
        <f>IF(COUNT(Segments!V87)=1,Segments!V87,"")</f>
        <v>0.01</v>
      </c>
      <c r="U98" s="114">
        <f>IF(COUNT(Segments!W87)=1,Segments!W87,"")</f>
        <v>-0.02</v>
      </c>
      <c r="V98" s="114">
        <f>IF(COUNT(Segments!X87)=1,Segments!X87,"")</f>
        <v>0</v>
      </c>
    </row>
    <row r="99" spans="1:22" ht="20" customHeight="1">
      <c r="A99" s="106" t="s">
        <v>1155</v>
      </c>
      <c r="B99" s="93" t="s">
        <v>1134</v>
      </c>
      <c r="C99" s="119">
        <v>0</v>
      </c>
      <c r="D99" s="119">
        <v>1.9230769230769162E-2</v>
      </c>
      <c r="E99" s="119">
        <v>-1.8867924528301883E-2</v>
      </c>
      <c r="F99" s="119">
        <v>0</v>
      </c>
      <c r="G99" s="119">
        <v>0</v>
      </c>
      <c r="H99" s="119">
        <v>0</v>
      </c>
      <c r="I99" s="92"/>
      <c r="J99" s="107" t="str">
        <f>IF(COUNT(J98,J100)=2,(1+J100)/(1+J98)-1,"")</f>
        <v/>
      </c>
      <c r="K99" s="107">
        <f>IF(COUNT(K98,K100)=2,(1+K100)/(1+K98)-1,"")</f>
        <v>-1.9325741377837824E-2</v>
      </c>
      <c r="L99" s="107">
        <f>IF(COUNT(L98,L100)=2,(1+L100)/(1+L98)-1,"")</f>
        <v>-8.63240173813562E-4</v>
      </c>
      <c r="M99" s="107">
        <f>IF(COUNT(M98,M100)=2,(1+M100)/(1+M98)-1,"")</f>
        <v>2.401647473177615E-2</v>
      </c>
      <c r="N99" s="107">
        <f t="shared" si="17"/>
        <v>-3.9899069862003866E-4</v>
      </c>
      <c r="O99" s="92"/>
      <c r="P99" s="107">
        <f t="shared" ref="P99:V99" si="18">IF(COUNT(P98,P100)=2,(1+P100)/(1+P98)-1,"")</f>
        <v>1.1293016169619863E-2</v>
      </c>
      <c r="Q99" s="107">
        <f t="shared" si="18"/>
        <v>2.6909598338169749E-2</v>
      </c>
      <c r="R99" s="107">
        <f t="shared" si="18"/>
        <v>2.9350528082373373E-2</v>
      </c>
      <c r="S99" s="107">
        <f t="shared" si="18"/>
        <v>2.5145854836979176E-2</v>
      </c>
      <c r="T99" s="107">
        <f t="shared" si="18"/>
        <v>9.0627604527715455E-3</v>
      </c>
      <c r="U99" s="107">
        <f t="shared" si="18"/>
        <v>3.3908560335809135E-3</v>
      </c>
      <c r="V99" s="107">
        <f t="shared" si="18"/>
        <v>-3.3711308611706903E-3</v>
      </c>
    </row>
    <row r="100" spans="1:22" ht="20" customHeight="1">
      <c r="A100" s="106" t="s">
        <v>1156</v>
      </c>
      <c r="B100" s="93" t="s">
        <v>1134</v>
      </c>
      <c r="C100" s="107">
        <f t="shared" ref="C100:H100" si="19">(1+C98)*(1+C99)-1</f>
        <v>1.4999999999999902E-2</v>
      </c>
      <c r="D100" s="107">
        <f t="shared" si="19"/>
        <v>3.9615384615384608E-2</v>
      </c>
      <c r="E100" s="107">
        <f t="shared" si="19"/>
        <v>5.6603773584904538E-3</v>
      </c>
      <c r="F100" s="107">
        <f t="shared" si="19"/>
        <v>2.4999999999999911E-2</v>
      </c>
      <c r="G100" s="107">
        <f t="shared" si="19"/>
        <v>2.4999999999999911E-2</v>
      </c>
      <c r="H100" s="107">
        <f t="shared" si="19"/>
        <v>3.0000000000000027E-2</v>
      </c>
      <c r="I100" s="92"/>
      <c r="J100" s="114" t="str">
        <f>IF(COUNT(Segments!I32)=1,Segments!I32,"")</f>
        <v/>
      </c>
      <c r="K100" s="114">
        <f>IF(COUNT(Segments!J32)=1,Segments!J32,"")</f>
        <v>5.9128199311935248E-2</v>
      </c>
      <c r="L100" s="114">
        <f>IF(COUNT(Segments!K32)=1,Segments!K32,"")</f>
        <v>-2.0845975370337277E-2</v>
      </c>
      <c r="M100" s="114">
        <f>IF(COUNT(Segments!L32)=1,Segments!L32,"")</f>
        <v>3.53614523714052E-3</v>
      </c>
      <c r="N100" s="107">
        <f t="shared" si="17"/>
        <v>1.1103240337111409E-3</v>
      </c>
      <c r="O100" s="92"/>
      <c r="P100" s="114">
        <f>IF(COUNT(Segments!R32)=1,Segments!R32,"")</f>
        <v>-8.9328441537724901E-3</v>
      </c>
      <c r="Q100" s="114">
        <f>IF(COUNT(Segments!S32)=1,Segments!S32,"")</f>
        <v>6.3714063714064295E-3</v>
      </c>
      <c r="R100" s="114">
        <f>IF(COUNT(Segments!T32)=1,Segments!T32,"")</f>
        <v>-1.5299877600979395E-3</v>
      </c>
      <c r="S100" s="114">
        <f>IF(COUNT(Segments!U32)=1,Segments!U32,"")</f>
        <v>1.4894396288609446E-2</v>
      </c>
      <c r="T100" s="114">
        <f>IF(COUNT(Segments!V32)=1,Segments!V32,"")</f>
        <v>1.9153388057299159E-2</v>
      </c>
      <c r="U100" s="114">
        <f>IF(COUNT(Segments!W32)=1,Segments!W32,"")</f>
        <v>-1.6676961087090825E-2</v>
      </c>
      <c r="V100" s="114">
        <f>IF(COUNT(Segments!X32)=1,Segments!X32,"")</f>
        <v>-3.3711308611706903E-3</v>
      </c>
    </row>
    <row r="101" spans="1:22" ht="24" customHeight="1">
      <c r="A101" s="109" t="s">
        <v>63</v>
      </c>
      <c r="B101" s="110" t="s">
        <v>1157</v>
      </c>
      <c r="C101" s="111">
        <f>N101*(1+C100)</f>
        <v>27971.943474999996</v>
      </c>
      <c r="D101" s="111">
        <f>C101*(1+D100)</f>
        <v>29080.062774201921</v>
      </c>
      <c r="E101" s="111">
        <f>D101*(1+E100)</f>
        <v>29244.666903112495</v>
      </c>
      <c r="F101" s="111">
        <f>E101*(1+F100)</f>
        <v>29975.783575690304</v>
      </c>
      <c r="G101" s="111">
        <f>F101*(1+G100)</f>
        <v>30725.178165082558</v>
      </c>
      <c r="H101" s="111">
        <f>G101*(1+H100)</f>
        <v>31646.933510035036</v>
      </c>
      <c r="I101" s="92"/>
      <c r="J101" s="115">
        <f>IF(COUNT(Segments!I31)=1,Segments!I31,"")</f>
        <v>26451</v>
      </c>
      <c r="K101" s="115">
        <f>IF(COUNT(Segments!J31)=1,Segments!J31,"")</f>
        <v>28015</v>
      </c>
      <c r="L101" s="115">
        <f>IF(COUNT(Segments!K31)=1,Segments!K31,"")</f>
        <v>27431</v>
      </c>
      <c r="M101" s="115">
        <f>IF(COUNT(Segments!L31)=1,Segments!L31,"")</f>
        <v>27528</v>
      </c>
      <c r="N101" s="111">
        <f t="shared" si="17"/>
        <v>27558.564999999999</v>
      </c>
      <c r="O101" s="92"/>
      <c r="P101" s="115">
        <f>IF(COUNT(Segments!R31)=1,Segments!R31,"")</f>
        <v>6213</v>
      </c>
      <c r="Q101" s="115">
        <f>IF(COUNT(Segments!S31)=1,Segments!S31,"")</f>
        <v>6476</v>
      </c>
      <c r="R101" s="115">
        <f>IF(COUNT(Segments!T31)=1,Segments!T31,"")</f>
        <v>6526</v>
      </c>
      <c r="S101" s="115">
        <f>IF(COUNT(Segments!U31)=1,Segments!U31,"")</f>
        <v>8313</v>
      </c>
      <c r="T101" s="115">
        <f>IF(COUNT(Segments!V31)=1,Segments!V31,"")</f>
        <v>6332</v>
      </c>
      <c r="U101" s="115">
        <f>IF(COUNT(Segments!W31)=1,Segments!W31,"")</f>
        <v>6368</v>
      </c>
      <c r="V101" s="115">
        <f>IF(COUNT(Segments!X31)=1,Segments!X31,"")</f>
        <v>6504</v>
      </c>
    </row>
    <row r="102" spans="1:22" ht="20" customHeight="1">
      <c r="A102" s="106" t="s">
        <v>86</v>
      </c>
      <c r="B102" s="93" t="s">
        <v>1134</v>
      </c>
      <c r="C102" s="119">
        <v>0.217</v>
      </c>
      <c r="D102" s="119">
        <v>0.21899999999999997</v>
      </c>
      <c r="E102" s="119">
        <v>0.221</v>
      </c>
      <c r="F102" s="119">
        <v>0.223</v>
      </c>
      <c r="G102" s="119">
        <v>0.22500000000000001</v>
      </c>
      <c r="H102" s="107">
        <f>G102</f>
        <v>0.22500000000000001</v>
      </c>
      <c r="I102" s="92"/>
      <c r="J102" s="114" t="str">
        <f>IF(COUNT(Segments!I35)=1,Segments!I35,"")</f>
        <v/>
      </c>
      <c r="K102" s="114">
        <f>IF(COUNT(Segments!J35)=1,Segments!J35,"")</f>
        <v>0.26503658754238801</v>
      </c>
      <c r="L102" s="114">
        <f>IF(COUNT(Segments!K35)=1,Segments!K35,"")</f>
        <v>0.25452954686303819</v>
      </c>
      <c r="M102" s="114">
        <f>IF(COUNT(Segments!L35)=1,Segments!L35,"")</f>
        <v>0.23775791920953213</v>
      </c>
      <c r="N102" s="107">
        <f t="shared" si="17"/>
        <v>0.21809766401117039</v>
      </c>
      <c r="O102" s="92"/>
      <c r="P102" s="114">
        <f>IF(COUNT(Segments!R35)=1,Segments!R35,"")</f>
        <v>0.2535007242877837</v>
      </c>
      <c r="Q102" s="114">
        <f>IF(COUNT(Segments!S35)=1,Segments!S35,"")</f>
        <v>0.22977146386658431</v>
      </c>
      <c r="R102" s="114">
        <f>IF(COUNT(Segments!T35)=1,Segments!T35,"")</f>
        <v>0.24057615691081827</v>
      </c>
      <c r="S102" s="114">
        <f>IF(COUNT(Segments!U35)=1,Segments!U35,"")</f>
        <v>0.2300012029351618</v>
      </c>
      <c r="T102" s="114">
        <f>IF(COUNT(Segments!V35)=1,Segments!V35,"")</f>
        <v>0.23768161718256475</v>
      </c>
      <c r="U102" s="114">
        <f>IF(COUNT(Segments!W35)=1,Segments!W35,"")</f>
        <v>0.21498115577889448</v>
      </c>
      <c r="V102" s="114">
        <f>IF(COUNT(Segments!X35)=1,Segments!X35,"")</f>
        <v>0.21248462484624847</v>
      </c>
    </row>
    <row r="103" spans="1:22" ht="24" customHeight="1">
      <c r="A103" s="109" t="s">
        <v>84</v>
      </c>
      <c r="B103" s="110" t="s">
        <v>1157</v>
      </c>
      <c r="C103" s="111">
        <f t="shared" ref="C103:H103" si="20">C101*C102</f>
        <v>6069.911734074999</v>
      </c>
      <c r="D103" s="111">
        <f t="shared" si="20"/>
        <v>6368.5337475502201</v>
      </c>
      <c r="E103" s="111">
        <f t="shared" si="20"/>
        <v>6463.0713855878612</v>
      </c>
      <c r="F103" s="111">
        <f t="shared" si="20"/>
        <v>6684.5997373789378</v>
      </c>
      <c r="G103" s="111">
        <f t="shared" si="20"/>
        <v>6913.1650871435759</v>
      </c>
      <c r="H103" s="111">
        <f t="shared" si="20"/>
        <v>7120.5600397578837</v>
      </c>
      <c r="I103" s="92"/>
      <c r="J103" s="115" t="str">
        <f>IF(COUNT(Segments!I33)=1,Segments!I33,"")</f>
        <v/>
      </c>
      <c r="K103" s="115">
        <f>IF(COUNT(Segments!J33)=1,Segments!J33,"")</f>
        <v>7425</v>
      </c>
      <c r="L103" s="115">
        <f>IF(COUNT(Segments!K33)=1,Segments!K33,"")</f>
        <v>6982</v>
      </c>
      <c r="M103" s="115">
        <f>IF(COUNT(Segments!L33)=1,Segments!L33,"")</f>
        <v>6545</v>
      </c>
      <c r="N103" s="111">
        <f t="shared" si="17"/>
        <v>6010.4586499999996</v>
      </c>
      <c r="O103" s="92"/>
      <c r="P103" s="115">
        <f>IF(COUNT(Segments!R33)=1,Segments!R33,"")</f>
        <v>1575</v>
      </c>
      <c r="Q103" s="115">
        <f>IF(COUNT(Segments!S33)=1,Segments!S33,"")</f>
        <v>1488</v>
      </c>
      <c r="R103" s="115">
        <f>IF(COUNT(Segments!T33)=1,Segments!T33,"")</f>
        <v>1570</v>
      </c>
      <c r="S103" s="115">
        <f>IF(COUNT(Segments!U33)=1,Segments!U33,"")</f>
        <v>1912</v>
      </c>
      <c r="T103" s="115">
        <f>IF(COUNT(Segments!V33)=1,Segments!V33,"")</f>
        <v>1505</v>
      </c>
      <c r="U103" s="115">
        <f>IF(COUNT(Segments!W33)=1,Segments!W33,"")</f>
        <v>1369</v>
      </c>
      <c r="V103" s="115">
        <f>IF(COUNT(Segments!X33)=1,Segments!X33,"")</f>
        <v>1382</v>
      </c>
    </row>
    <row r="104" spans="1:22" ht="20" customHeight="1">
      <c r="A104" s="106" t="s">
        <v>85</v>
      </c>
      <c r="B104" s="93" t="s">
        <v>1134</v>
      </c>
      <c r="C104" s="107">
        <f>C103/N103-1</f>
        <v>9.8916052063680038E-3</v>
      </c>
      <c r="D104" s="107">
        <f>D103/C103-1</f>
        <v>4.9197093229351285E-2</v>
      </c>
      <c r="E104" s="107">
        <f>E103/D103-1</f>
        <v>1.4844490393727927E-2</v>
      </c>
      <c r="F104" s="107">
        <f>F103/E103-1</f>
        <v>3.427601809954739E-2</v>
      </c>
      <c r="G104" s="107">
        <f>G103/F103-1</f>
        <v>3.4192825112107528E-2</v>
      </c>
      <c r="H104" s="107">
        <f>H103/G103-1</f>
        <v>3.0000000000000027E-2</v>
      </c>
      <c r="I104" s="92"/>
      <c r="J104" s="114" t="str">
        <f>IF(COUNT(Segments!I34)=1,Segments!I34,"")</f>
        <v/>
      </c>
      <c r="K104" s="114" t="str">
        <f>IF(COUNT(Segments!J34)=1,Segments!J34,"")</f>
        <v/>
      </c>
      <c r="L104" s="114">
        <f>IF(COUNT(Segments!K34)=1,Segments!K34,"")</f>
        <v>-5.966329966329964E-2</v>
      </c>
      <c r="M104" s="114">
        <f>IF(COUNT(Segments!L34)=1,Segments!L34,"")</f>
        <v>-6.2589515898023529E-2</v>
      </c>
      <c r="N104" s="107">
        <f t="shared" si="17"/>
        <v>-8.1671711229946542E-2</v>
      </c>
      <c r="O104" s="92"/>
      <c r="P104" s="114">
        <f>IF(COUNT(Segments!R34)=1,Segments!R34,"")</f>
        <v>-7.2438162544169571E-2</v>
      </c>
      <c r="Q104" s="114">
        <f>IF(COUNT(Segments!S34)=1,Segments!S34,"")</f>
        <v>-0.12727272727272732</v>
      </c>
      <c r="R104" s="114">
        <f>IF(COUNT(Segments!T34)=1,Segments!T34,"")</f>
        <v>-3.5033804548248337E-2</v>
      </c>
      <c r="S104" s="114">
        <f>IF(COUNT(Segments!U34)=1,Segments!U34,"")</f>
        <v>-2.0491803278688492E-2</v>
      </c>
      <c r="T104" s="114">
        <f>IF(COUNT(Segments!V34)=1,Segments!V34,"")</f>
        <v>-4.4444444444444398E-2</v>
      </c>
      <c r="U104" s="114">
        <f>IF(COUNT(Segments!W34)=1,Segments!W34,"")</f>
        <v>-7.9973118279569877E-2</v>
      </c>
      <c r="V104" s="114">
        <f>IF(COUNT(Segments!X34)=1,Segments!X34,"")</f>
        <v>-0.11974522292993628</v>
      </c>
    </row>
    <row r="105" spans="1:22" ht="22" customHeight="1">
      <c r="A105" s="91"/>
      <c r="B105" s="93"/>
      <c r="C105" s="92"/>
      <c r="D105" s="92"/>
      <c r="E105" s="92"/>
      <c r="F105" s="92"/>
      <c r="G105" s="92"/>
      <c r="H105" s="92"/>
      <c r="I105" s="92"/>
      <c r="J105" s="92"/>
      <c r="K105" s="92"/>
      <c r="L105" s="92"/>
      <c r="M105" s="92"/>
      <c r="N105" s="92"/>
      <c r="O105" s="92"/>
      <c r="P105" s="92"/>
      <c r="Q105" s="92"/>
      <c r="R105" s="92"/>
      <c r="S105" s="92"/>
      <c r="T105" s="92"/>
      <c r="U105" s="92"/>
      <c r="V105" s="92"/>
    </row>
    <row r="106" spans="1:22" ht="24" customHeight="1">
      <c r="A106" s="103" t="s">
        <v>88</v>
      </c>
      <c r="B106" s="104"/>
      <c r="C106" s="105"/>
      <c r="D106" s="105"/>
      <c r="E106" s="105"/>
      <c r="F106" s="105"/>
      <c r="G106" s="105"/>
      <c r="H106" s="105"/>
      <c r="I106" s="92"/>
      <c r="J106" s="92"/>
      <c r="K106" s="92"/>
      <c r="L106" s="92"/>
      <c r="M106" s="92"/>
      <c r="N106" s="92"/>
      <c r="O106" s="92"/>
      <c r="P106" s="92"/>
      <c r="Q106" s="92"/>
      <c r="R106" s="92"/>
      <c r="S106" s="92"/>
      <c r="T106" s="92"/>
      <c r="U106" s="92"/>
      <c r="V106" s="92"/>
    </row>
    <row r="107" spans="1:22" ht="20" customHeight="1">
      <c r="A107" s="106" t="s">
        <v>66</v>
      </c>
      <c r="B107" s="93" t="s">
        <v>1134</v>
      </c>
      <c r="C107" s="119">
        <v>0.01</v>
      </c>
      <c r="D107" s="119">
        <v>0.02</v>
      </c>
      <c r="E107" s="119">
        <v>0.02</v>
      </c>
      <c r="F107" s="119">
        <v>0.02</v>
      </c>
      <c r="G107" s="119">
        <v>0.02</v>
      </c>
      <c r="H107" s="107">
        <f>$C$4</f>
        <v>0.03</v>
      </c>
      <c r="I107" s="92"/>
      <c r="J107" s="114" t="str">
        <f>IF(COUNT(Segments!I92)=1,Segments!I92,"")</f>
        <v/>
      </c>
      <c r="K107" s="114">
        <f>IF(COUNT(Segments!J92)=1,Segments!J92,"")</f>
        <v>7.0000000000000007E-2</v>
      </c>
      <c r="L107" s="114">
        <f>IF(COUNT(Segments!K92)=1,Segments!K92,"")</f>
        <v>0.01</v>
      </c>
      <c r="M107" s="114">
        <f>IF(COUNT(Segments!L92)=1,Segments!L92,"")</f>
        <v>0.01</v>
      </c>
      <c r="N107" s="107">
        <f t="shared" ref="N107:N113" si="21">E20</f>
        <v>8.5462992516934424E-3</v>
      </c>
      <c r="O107" s="92"/>
      <c r="P107" s="114">
        <f>IF(COUNT(Segments!R92)=1,Segments!R92,"")</f>
        <v>0.01</v>
      </c>
      <c r="Q107" s="114">
        <f>IF(COUNT(Segments!S92)=1,Segments!S92,"")</f>
        <v>0.01</v>
      </c>
      <c r="R107" s="114">
        <f>IF(COUNT(Segments!T92)=1,Segments!T92,"")</f>
        <v>0.02</v>
      </c>
      <c r="S107" s="114">
        <f>IF(COUNT(Segments!U92)=1,Segments!U92,"")</f>
        <v>0.02</v>
      </c>
      <c r="T107" s="114">
        <f>IF(COUNT(Segments!V92)=1,Segments!V92,"")</f>
        <v>0.02</v>
      </c>
      <c r="U107" s="114">
        <f>IF(COUNT(Segments!W92)=1,Segments!W92,"")</f>
        <v>0.01</v>
      </c>
      <c r="V107" s="114">
        <f>IF(COUNT(Segments!X92)=1,Segments!X92,"")</f>
        <v>0</v>
      </c>
    </row>
    <row r="108" spans="1:22" ht="20" customHeight="1">
      <c r="A108" s="106" t="s">
        <v>1155</v>
      </c>
      <c r="B108" s="93" t="s">
        <v>1134</v>
      </c>
      <c r="C108" s="119">
        <v>0</v>
      </c>
      <c r="D108" s="119">
        <v>1.9230769230769162E-2</v>
      </c>
      <c r="E108" s="119">
        <v>-1.8867924528301883E-2</v>
      </c>
      <c r="F108" s="119">
        <v>0</v>
      </c>
      <c r="G108" s="119">
        <v>0</v>
      </c>
      <c r="H108" s="119">
        <v>0</v>
      </c>
      <c r="I108" s="92"/>
      <c r="J108" s="107" t="str">
        <f>IF(COUNT(J107,J109)=2,(1+J109)/(1+J107)-1,"")</f>
        <v/>
      </c>
      <c r="K108" s="107">
        <f>IF(COUNT(K107,K109)=2,(1+K109)/(1+K107)-1,"")</f>
        <v>-1.5042475535610333E-2</v>
      </c>
      <c r="L108" s="107">
        <f>IF(COUNT(L107,L109)=2,(1+L109)/(1+L107)-1,"")</f>
        <v>-4.7759572163688091E-3</v>
      </c>
      <c r="M108" s="107">
        <f>IF(COUNT(M107,M109)=2,(1+M109)/(1+M107)-1,"")</f>
        <v>5.3592776901658645E-3</v>
      </c>
      <c r="N108" s="107">
        <f t="shared" si="21"/>
        <v>4.0122751334658702E-2</v>
      </c>
      <c r="O108" s="92"/>
      <c r="P108" s="107">
        <f t="shared" ref="P108:V108" si="22">IF(COUNT(P107,P109)=2,(1+P109)/(1+P107)-1,"")</f>
        <v>-9.5638777360883553E-3</v>
      </c>
      <c r="Q108" s="107">
        <f t="shared" si="22"/>
        <v>-1.2081504729536285E-2</v>
      </c>
      <c r="R108" s="107">
        <f t="shared" si="22"/>
        <v>1.1614401858304202E-3</v>
      </c>
      <c r="S108" s="107">
        <f t="shared" si="22"/>
        <v>1.6216323424046664E-2</v>
      </c>
      <c r="T108" s="107">
        <f t="shared" si="22"/>
        <v>6.6318290420320558E-2</v>
      </c>
      <c r="U108" s="107">
        <f t="shared" si="22"/>
        <v>5.522176702661441E-2</v>
      </c>
      <c r="V108" s="107">
        <f t="shared" si="22"/>
        <v>5.1726491060461344E-2</v>
      </c>
    </row>
    <row r="109" spans="1:22" ht="20" customHeight="1">
      <c r="A109" s="106" t="s">
        <v>1156</v>
      </c>
      <c r="B109" s="93" t="s">
        <v>1134</v>
      </c>
      <c r="C109" s="107">
        <f t="shared" ref="C109:H109" si="23">(1+C107)*(1+C108)-1</f>
        <v>1.0000000000000009E-2</v>
      </c>
      <c r="D109" s="107">
        <f t="shared" si="23"/>
        <v>3.9615384615384608E-2</v>
      </c>
      <c r="E109" s="107">
        <f t="shared" si="23"/>
        <v>7.5471698113216412E-4</v>
      </c>
      <c r="F109" s="107">
        <f t="shared" si="23"/>
        <v>2.0000000000000018E-2</v>
      </c>
      <c r="G109" s="107">
        <f t="shared" si="23"/>
        <v>2.0000000000000018E-2</v>
      </c>
      <c r="H109" s="107">
        <f t="shared" si="23"/>
        <v>3.0000000000000027E-2</v>
      </c>
      <c r="I109" s="92"/>
      <c r="J109" s="114" t="str">
        <f>IF(COUNT(Segments!I39)=1,Segments!I39,"")</f>
        <v/>
      </c>
      <c r="K109" s="114">
        <f>IF(COUNT(Segments!J39)=1,Segments!J39,"")</f>
        <v>5.3904551176896964E-2</v>
      </c>
      <c r="L109" s="114">
        <f>IF(COUNT(Segments!K39)=1,Segments!K39,"")</f>
        <v>5.1762832114674584E-3</v>
      </c>
      <c r="M109" s="114">
        <f>IF(COUNT(Segments!L39)=1,Segments!L39,"")</f>
        <v>1.5412870467067519E-2</v>
      </c>
      <c r="N109" s="107">
        <f t="shared" si="21"/>
        <v>4.9011951626059425E-2</v>
      </c>
      <c r="O109" s="92"/>
      <c r="P109" s="114">
        <f>IF(COUNT(Segments!R39)=1,Segments!R39,"")</f>
        <v>3.4048348655080218E-4</v>
      </c>
      <c r="Q109" s="114">
        <f>IF(COUNT(Segments!S39)=1,Segments!S39,"")</f>
        <v>-2.2023197768316072E-3</v>
      </c>
      <c r="R109" s="114">
        <f>IF(COUNT(Segments!T39)=1,Segments!T39,"")</f>
        <v>2.1184668989546962E-2</v>
      </c>
      <c r="S109" s="114">
        <f>IF(COUNT(Segments!U39)=1,Segments!U39,"")</f>
        <v>3.6540649892527588E-2</v>
      </c>
      <c r="T109" s="114">
        <f>IF(COUNT(Segments!V39)=1,Segments!V39,"")</f>
        <v>8.7644656228726969E-2</v>
      </c>
      <c r="U109" s="114">
        <f>IF(COUNT(Segments!W39)=1,Segments!W39,"")</f>
        <v>6.5773984696880561E-2</v>
      </c>
      <c r="V109" s="114">
        <f>IF(COUNT(Segments!X39)=1,Segments!X39,"")</f>
        <v>5.1726491060461344E-2</v>
      </c>
    </row>
    <row r="110" spans="1:22" ht="24" customHeight="1">
      <c r="A110" s="109" t="s">
        <v>63</v>
      </c>
      <c r="B110" s="110" t="s">
        <v>1157</v>
      </c>
      <c r="C110" s="111">
        <f>N110*(1+C109)</f>
        <v>29874.779899999998</v>
      </c>
      <c r="D110" s="111">
        <f>C110*(1+D109)</f>
        <v>31058.28079603846</v>
      </c>
      <c r="E110" s="111">
        <f>D110*(1+E109)</f>
        <v>31081.721007960001</v>
      </c>
      <c r="F110" s="111">
        <f>E110*(1+F109)</f>
        <v>31703.355428119201</v>
      </c>
      <c r="G110" s="111">
        <f>F110*(1+G109)</f>
        <v>32337.422536681584</v>
      </c>
      <c r="H110" s="111">
        <f>G110*(1+H109)</f>
        <v>33307.545212782032</v>
      </c>
      <c r="I110" s="92"/>
      <c r="J110" s="115">
        <f>IF(COUNT(Segments!I38)=1,Segments!I38,"")</f>
        <v>26213</v>
      </c>
      <c r="K110" s="115">
        <f>IF(COUNT(Segments!J38)=1,Segments!J38,"")</f>
        <v>27626</v>
      </c>
      <c r="L110" s="115">
        <f>IF(COUNT(Segments!K38)=1,Segments!K38,"")</f>
        <v>27769</v>
      </c>
      <c r="M110" s="115">
        <f>IF(COUNT(Segments!L38)=1,Segments!L38,"")</f>
        <v>28197</v>
      </c>
      <c r="N110" s="111">
        <f t="shared" si="21"/>
        <v>29578.989999999998</v>
      </c>
      <c r="O110" s="92"/>
      <c r="P110" s="115">
        <f>IF(COUNT(Segments!R38)=1,Segments!R38,"")</f>
        <v>5876</v>
      </c>
      <c r="Q110" s="115">
        <f>IF(COUNT(Segments!S38)=1,Segments!S38,"")</f>
        <v>6796</v>
      </c>
      <c r="R110" s="115">
        <f>IF(COUNT(Segments!T38)=1,Segments!T38,"")</f>
        <v>7327</v>
      </c>
      <c r="S110" s="115">
        <f>IF(COUNT(Segments!U38)=1,Segments!U38,"")</f>
        <v>8198</v>
      </c>
      <c r="T110" s="115">
        <f>IF(COUNT(Segments!V38)=1,Segments!V38,"")</f>
        <v>6391</v>
      </c>
      <c r="U110" s="115">
        <f>IF(COUNT(Segments!W38)=1,Segments!W38,"")</f>
        <v>7243</v>
      </c>
      <c r="V110" s="115">
        <f>IF(COUNT(Segments!X38)=1,Segments!X38,"")</f>
        <v>7706</v>
      </c>
    </row>
    <row r="111" spans="1:22" ht="20" customHeight="1">
      <c r="A111" s="106" t="s">
        <v>86</v>
      </c>
      <c r="B111" s="93" t="s">
        <v>1134</v>
      </c>
      <c r="C111" s="119">
        <v>0.10800000000000001</v>
      </c>
      <c r="D111" s="119">
        <v>0.109</v>
      </c>
      <c r="E111" s="119">
        <v>0.11</v>
      </c>
      <c r="F111" s="119">
        <v>0.111</v>
      </c>
      <c r="G111" s="119">
        <v>0.11199999999999999</v>
      </c>
      <c r="H111" s="107">
        <f>G111</f>
        <v>0.11199999999999999</v>
      </c>
      <c r="I111" s="92"/>
      <c r="J111" s="114" t="str">
        <f>IF(COUNT(Segments!I42)=1,Segments!I42,"")</f>
        <v/>
      </c>
      <c r="K111" s="114">
        <f>IF(COUNT(Segments!J42)=1,Segments!J42,"")</f>
        <v>0.10721783826829798</v>
      </c>
      <c r="L111" s="114">
        <f>IF(COUNT(Segments!K42)=1,Segments!K42,"")</f>
        <v>0.11177932226583601</v>
      </c>
      <c r="M111" s="114">
        <f>IF(COUNT(Segments!L42)=1,Segments!L42,"")</f>
        <v>0.11650175550590489</v>
      </c>
      <c r="N111" s="107">
        <f t="shared" si="21"/>
        <v>0.11275148881013179</v>
      </c>
      <c r="O111" s="92"/>
      <c r="P111" s="114">
        <f>IF(COUNT(Segments!R42)=1,Segments!R42,"")</f>
        <v>0.10125936010891763</v>
      </c>
      <c r="Q111" s="114">
        <f>IF(COUNT(Segments!S42)=1,Segments!S42,"")</f>
        <v>0.14626250735726898</v>
      </c>
      <c r="R111" s="114">
        <f>IF(COUNT(Segments!T42)=1,Segments!T42,"")</f>
        <v>0.13306946908693873</v>
      </c>
      <c r="S111" s="114">
        <f>IF(COUNT(Segments!U42)=1,Segments!U42,"")</f>
        <v>8.7948280068309348E-2</v>
      </c>
      <c r="T111" s="114">
        <f>IF(COUNT(Segments!V42)=1,Segments!V42,"")</f>
        <v>9.9984352996401182E-2</v>
      </c>
      <c r="U111" s="114">
        <f>IF(COUNT(Segments!W42)=1,Segments!W42,"")</f>
        <v>0.13695982327764739</v>
      </c>
      <c r="V111" s="114">
        <f>IF(COUNT(Segments!X42)=1,Segments!X42,"")</f>
        <v>0.13132623929405657</v>
      </c>
    </row>
    <row r="112" spans="1:22" ht="24" customHeight="1">
      <c r="A112" s="109" t="s">
        <v>84</v>
      </c>
      <c r="B112" s="110" t="s">
        <v>1157</v>
      </c>
      <c r="C112" s="111">
        <f t="shared" ref="C112:H112" si="24">C110*C111</f>
        <v>3226.4762292</v>
      </c>
      <c r="D112" s="111">
        <f t="shared" si="24"/>
        <v>3385.3526067681919</v>
      </c>
      <c r="E112" s="111">
        <f t="shared" si="24"/>
        <v>3418.9893108756</v>
      </c>
      <c r="F112" s="111">
        <f t="shared" si="24"/>
        <v>3519.0724525212313</v>
      </c>
      <c r="G112" s="111">
        <f t="shared" si="24"/>
        <v>3621.791324108337</v>
      </c>
      <c r="H112" s="111">
        <f t="shared" si="24"/>
        <v>3730.445063831587</v>
      </c>
      <c r="I112" s="92"/>
      <c r="J112" s="115" t="str">
        <f>IF(COUNT(Segments!I40)=1,Segments!I40,"")</f>
        <v/>
      </c>
      <c r="K112" s="115">
        <f>IF(COUNT(Segments!J40)=1,Segments!J40,"")</f>
        <v>2962</v>
      </c>
      <c r="L112" s="115">
        <f>IF(COUNT(Segments!K40)=1,Segments!K40,"")</f>
        <v>3104</v>
      </c>
      <c r="M112" s="115">
        <f>IF(COUNT(Segments!L40)=1,Segments!L40,"")</f>
        <v>3285</v>
      </c>
      <c r="N112" s="111">
        <f t="shared" si="21"/>
        <v>3335.0751599999999</v>
      </c>
      <c r="O112" s="92"/>
      <c r="P112" s="115">
        <f>IF(COUNT(Segments!R40)=1,Segments!R40,"")</f>
        <v>595</v>
      </c>
      <c r="Q112" s="115">
        <f>IF(COUNT(Segments!S40)=1,Segments!S40,"")</f>
        <v>994</v>
      </c>
      <c r="R112" s="115">
        <f>IF(COUNT(Segments!T40)=1,Segments!T40,"")</f>
        <v>975</v>
      </c>
      <c r="S112" s="115">
        <f>IF(COUNT(Segments!U40)=1,Segments!U40,"")</f>
        <v>721</v>
      </c>
      <c r="T112" s="115">
        <f>IF(COUNT(Segments!V40)=1,Segments!V40,"")</f>
        <v>639</v>
      </c>
      <c r="U112" s="115">
        <f>IF(COUNT(Segments!W40)=1,Segments!W40,"")</f>
        <v>992</v>
      </c>
      <c r="V112" s="115">
        <f>IF(COUNT(Segments!X40)=1,Segments!X40,"")</f>
        <v>1012</v>
      </c>
    </row>
    <row r="113" spans="1:22" ht="20" customHeight="1">
      <c r="A113" s="106" t="s">
        <v>85</v>
      </c>
      <c r="B113" s="93" t="s">
        <v>1134</v>
      </c>
      <c r="C113" s="107">
        <f>C112/N112-1</f>
        <v>-3.2562663685216542E-2</v>
      </c>
      <c r="D113" s="107">
        <f>D112/C112-1</f>
        <v>4.9241452991452883E-2</v>
      </c>
      <c r="E113" s="107">
        <f>E112/D112-1</f>
        <v>9.9359529167388771E-3</v>
      </c>
      <c r="F113" s="107">
        <f>F112/E112-1</f>
        <v>2.9272727272727339E-2</v>
      </c>
      <c r="G113" s="107">
        <f>G112/F112-1</f>
        <v>2.9189189189189113E-2</v>
      </c>
      <c r="H113" s="107">
        <f>H112/G112-1</f>
        <v>3.0000000000000027E-2</v>
      </c>
      <c r="I113" s="92"/>
      <c r="J113" s="114" t="str">
        <f>IF(COUNT(Segments!I41)=1,Segments!I41,"")</f>
        <v/>
      </c>
      <c r="K113" s="114" t="str">
        <f>IF(COUNT(Segments!J41)=1,Segments!J41,"")</f>
        <v/>
      </c>
      <c r="L113" s="114">
        <f>IF(COUNT(Segments!K41)=1,Segments!K41,"")</f>
        <v>4.7940580688723866E-2</v>
      </c>
      <c r="M113" s="114">
        <f>IF(COUNT(Segments!L41)=1,Segments!L41,"")</f>
        <v>5.8311855670102997E-2</v>
      </c>
      <c r="N113" s="107">
        <f t="shared" si="21"/>
        <v>1.5243579908675864E-2</v>
      </c>
      <c r="O113" s="92"/>
      <c r="P113" s="114">
        <f>IF(COUNT(Segments!R41)=1,Segments!R41,"")</f>
        <v>0.13984674329501923</v>
      </c>
      <c r="Q113" s="114">
        <f>IF(COUNT(Segments!S41)=1,Segments!S41,"")</f>
        <v>2.0161290322580072E-3</v>
      </c>
      <c r="R113" s="114">
        <f>IF(COUNT(Segments!T41)=1,Segments!T41,"")</f>
        <v>-6.8767908309455561E-2</v>
      </c>
      <c r="S113" s="114">
        <f>IF(COUNT(Segments!U41)=1,Segments!U41,"")</f>
        <v>0.32780847145488035</v>
      </c>
      <c r="T113" s="114">
        <f>IF(COUNT(Segments!V41)=1,Segments!V41,"")</f>
        <v>7.3949579831932732E-2</v>
      </c>
      <c r="U113" s="114">
        <f>IF(COUNT(Segments!W41)=1,Segments!W41,"")</f>
        <v>-2.0120724346076591E-3</v>
      </c>
      <c r="V113" s="114">
        <f>IF(COUNT(Segments!X41)=1,Segments!X41,"")</f>
        <v>3.7948717948717903E-2</v>
      </c>
    </row>
    <row r="114" spans="1:22" ht="22" customHeight="1">
      <c r="A114" s="91"/>
      <c r="B114" s="93"/>
      <c r="C114" s="92"/>
      <c r="D114" s="92"/>
      <c r="E114" s="92"/>
      <c r="F114" s="92"/>
      <c r="G114" s="92"/>
      <c r="H114" s="92"/>
      <c r="I114" s="92"/>
      <c r="J114" s="92"/>
      <c r="K114" s="92"/>
      <c r="L114" s="92"/>
      <c r="M114" s="92"/>
      <c r="N114" s="92"/>
      <c r="O114" s="92"/>
      <c r="P114" s="92"/>
      <c r="Q114" s="92"/>
      <c r="R114" s="92"/>
      <c r="S114" s="92"/>
      <c r="T114" s="92"/>
      <c r="U114" s="92"/>
      <c r="V114" s="92"/>
    </row>
    <row r="115" spans="1:22" ht="24" customHeight="1">
      <c r="A115" s="103" t="s">
        <v>89</v>
      </c>
      <c r="B115" s="104"/>
      <c r="C115" s="105"/>
      <c r="D115" s="105"/>
      <c r="E115" s="105"/>
      <c r="F115" s="105"/>
      <c r="G115" s="105"/>
      <c r="H115" s="105"/>
      <c r="I115" s="92"/>
      <c r="J115" s="92"/>
      <c r="K115" s="92"/>
      <c r="L115" s="92"/>
      <c r="M115" s="92"/>
      <c r="N115" s="92"/>
      <c r="O115" s="92"/>
      <c r="P115" s="92"/>
      <c r="Q115" s="92"/>
      <c r="R115" s="92"/>
      <c r="S115" s="92"/>
      <c r="T115" s="92"/>
      <c r="U115" s="92"/>
      <c r="V115" s="92"/>
    </row>
    <row r="116" spans="1:22" ht="20" customHeight="1">
      <c r="A116" s="106" t="s">
        <v>66</v>
      </c>
      <c r="B116" s="93" t="s">
        <v>1134</v>
      </c>
      <c r="C116" s="119">
        <v>6.5000000000000002E-2</v>
      </c>
      <c r="D116" s="119">
        <v>0.06</v>
      </c>
      <c r="E116" s="119">
        <v>5.5E-2</v>
      </c>
      <c r="F116" s="119">
        <v>5.5E-2</v>
      </c>
      <c r="G116" s="119">
        <v>0.05</v>
      </c>
      <c r="H116" s="107">
        <f>$C$4</f>
        <v>0.03</v>
      </c>
      <c r="I116" s="92"/>
      <c r="J116" s="114" t="str">
        <f>IF(COUNT(Segments!I97)=1,Segments!I97,"")</f>
        <v/>
      </c>
      <c r="K116" s="114">
        <f>IF(COUNT(Segments!J97)=1,Segments!J97,"")</f>
        <v>0.06</v>
      </c>
      <c r="L116" s="114">
        <f>IF(COUNT(Segments!K97)=1,Segments!K97,"")</f>
        <v>0.08</v>
      </c>
      <c r="M116" s="114">
        <f>IF(COUNT(Segments!L97)=1,Segments!L97,"")</f>
        <v>0.03</v>
      </c>
      <c r="N116" s="107">
        <f t="shared" ref="N116:N122" si="25">E29</f>
        <v>7.6840104062437464E-2</v>
      </c>
      <c r="O116" s="92"/>
      <c r="P116" s="114">
        <f>IF(COUNT(Segments!R97)=1,Segments!R97,"")</f>
        <v>7.0000000000000007E-2</v>
      </c>
      <c r="Q116" s="114">
        <f>IF(COUNT(Segments!S97)=1,Segments!S97,"")</f>
        <v>0.05</v>
      </c>
      <c r="R116" s="114">
        <f>IF(COUNT(Segments!T97)=1,Segments!T97,"")</f>
        <v>-0.01</v>
      </c>
      <c r="S116" s="114">
        <f>IF(COUNT(Segments!U97)=1,Segments!U97,"")</f>
        <v>0.02</v>
      </c>
      <c r="T116" s="114">
        <f>IF(COUNT(Segments!V97)=1,Segments!V97,"")</f>
        <v>0.05</v>
      </c>
      <c r="U116" s="114">
        <f>IF(COUNT(Segments!W97)=1,Segments!W97,"")</f>
        <v>0.09</v>
      </c>
      <c r="V116" s="114">
        <f>IF(COUNT(Segments!X97)=1,Segments!X97,"")</f>
        <v>7.0000000000000007E-2</v>
      </c>
    </row>
    <row r="117" spans="1:22" ht="20" customHeight="1">
      <c r="A117" s="106" t="s">
        <v>1155</v>
      </c>
      <c r="B117" s="93" t="s">
        <v>1134</v>
      </c>
      <c r="C117" s="119">
        <v>0</v>
      </c>
      <c r="D117" s="119">
        <v>0</v>
      </c>
      <c r="E117" s="119">
        <v>0</v>
      </c>
      <c r="F117" s="119">
        <v>0</v>
      </c>
      <c r="G117" s="119">
        <v>0</v>
      </c>
      <c r="H117" s="119">
        <v>0</v>
      </c>
      <c r="I117" s="92"/>
      <c r="J117" s="107" t="str">
        <f>IF(COUNT(J116,J118)=2,(1+J118)/(1+J116)-1,"")</f>
        <v/>
      </c>
      <c r="K117" s="107">
        <f>IF(COUNT(K116,K118)=2,(1+K118)/(1+K116)-1,"")</f>
        <v>-6.2515258256897743E-3</v>
      </c>
      <c r="L117" s="107">
        <f>IF(COUNT(L116,L118)=2,(1+L118)/(1+L116)-1,"")</f>
        <v>-9.0825635901311541E-3</v>
      </c>
      <c r="M117" s="107">
        <f>IF(COUNT(M116,M118)=2,(1+M118)/(1+M116)-1,"")</f>
        <v>-5.6453554663636885E-3</v>
      </c>
      <c r="N117" s="107">
        <f t="shared" si="25"/>
        <v>1.0511116025549327E-2</v>
      </c>
      <c r="O117" s="92"/>
      <c r="P117" s="107">
        <f t="shared" ref="P117:V117" si="26">IF(COUNT(P116,P118)=2,(1+P118)/(1+P116)-1,"")</f>
        <v>-4.0127477141375656E-2</v>
      </c>
      <c r="Q117" s="107">
        <f t="shared" si="26"/>
        <v>-1.7453135100193862E-2</v>
      </c>
      <c r="R117" s="107">
        <f t="shared" si="26"/>
        <v>1.0884034139848175E-2</v>
      </c>
      <c r="S117" s="107">
        <f t="shared" si="26"/>
        <v>1.5773763573670996E-2</v>
      </c>
      <c r="T117" s="107">
        <f t="shared" si="26"/>
        <v>3.3941903507120896E-2</v>
      </c>
      <c r="U117" s="107">
        <f t="shared" si="26"/>
        <v>2.1379902355276315E-2</v>
      </c>
      <c r="V117" s="107">
        <f t="shared" si="26"/>
        <v>1.4210530125889465E-2</v>
      </c>
    </row>
    <row r="118" spans="1:22" ht="20" customHeight="1">
      <c r="A118" s="106" t="s">
        <v>1156</v>
      </c>
      <c r="B118" s="93" t="s">
        <v>1134</v>
      </c>
      <c r="C118" s="107">
        <f t="shared" ref="C118:H118" si="27">(1+C116)*(1+C117)-1</f>
        <v>6.4999999999999947E-2</v>
      </c>
      <c r="D118" s="107">
        <f t="shared" si="27"/>
        <v>6.0000000000000053E-2</v>
      </c>
      <c r="E118" s="107">
        <f t="shared" si="27"/>
        <v>5.4999999999999938E-2</v>
      </c>
      <c r="F118" s="107">
        <f t="shared" si="27"/>
        <v>5.4999999999999938E-2</v>
      </c>
      <c r="G118" s="107">
        <f t="shared" si="27"/>
        <v>5.0000000000000044E-2</v>
      </c>
      <c r="H118" s="107">
        <f t="shared" si="27"/>
        <v>3.0000000000000027E-2</v>
      </c>
      <c r="I118" s="92"/>
      <c r="J118" s="114" t="str">
        <f>IF(COUNT(Segments!I46)=1,Segments!I46,"")</f>
        <v/>
      </c>
      <c r="K118" s="114">
        <f>IF(COUNT(Segments!J46)=1,Segments!J46,"")</f>
        <v>5.3373382624768873E-2</v>
      </c>
      <c r="L118" s="114">
        <f>IF(COUNT(Segments!K46)=1,Segments!K46,"")</f>
        <v>7.0190831322658465E-2</v>
      </c>
      <c r="M118" s="114">
        <f>IF(COUNT(Segments!L46)=1,Segments!L46,"")</f>
        <v>2.4185283869645469E-2</v>
      </c>
      <c r="N118" s="107">
        <f t="shared" si="25"/>
        <v>8.8158895337202559E-2</v>
      </c>
      <c r="O118" s="92"/>
      <c r="P118" s="114">
        <f>IF(COUNT(Segments!R46)=1,Segments!R46,"")</f>
        <v>2.7063599458728049E-2</v>
      </c>
      <c r="Q118" s="114">
        <f>IF(COUNT(Segments!S46)=1,Segments!S46,"")</f>
        <v>3.167420814479649E-2</v>
      </c>
      <c r="R118" s="114">
        <f>IF(COUNT(Segments!T46)=1,Segments!T46,"")</f>
        <v>7.751937984497026E-4</v>
      </c>
      <c r="S118" s="114">
        <f>IF(COUNT(Segments!U46)=1,Segments!U46,"")</f>
        <v>3.6089238845144367E-2</v>
      </c>
      <c r="T118" s="114">
        <f>IF(COUNT(Segments!V46)=1,Segments!V46,"")</f>
        <v>8.5638998682477041E-2</v>
      </c>
      <c r="U118" s="114">
        <f>IF(COUNT(Segments!W46)=1,Segments!W46,"")</f>
        <v>0.11330409356725135</v>
      </c>
      <c r="V118" s="114">
        <f>IF(COUNT(Segments!X46)=1,Segments!X46,"")</f>
        <v>8.5205267234701676E-2</v>
      </c>
    </row>
    <row r="119" spans="1:22" ht="24" customHeight="1">
      <c r="A119" s="109" t="s">
        <v>63</v>
      </c>
      <c r="B119" s="110" t="s">
        <v>1157</v>
      </c>
      <c r="C119" s="111">
        <f>N119*(1+C118)</f>
        <v>5790.9694500000005</v>
      </c>
      <c r="D119" s="111">
        <f>C119*(1+D118)</f>
        <v>6138.4276170000012</v>
      </c>
      <c r="E119" s="111">
        <f>D119*(1+E118)</f>
        <v>6476.041135935001</v>
      </c>
      <c r="F119" s="111">
        <f>E119*(1+F118)</f>
        <v>6832.2233984114255</v>
      </c>
      <c r="G119" s="111">
        <f>F119*(1+G118)</f>
        <v>7173.8345683319967</v>
      </c>
      <c r="H119" s="111">
        <f>G119*(1+H118)</f>
        <v>7389.049605381957</v>
      </c>
      <c r="I119" s="92"/>
      <c r="J119" s="115">
        <f>IF(COUNT(Segments!I45)=1,Segments!I45,"")</f>
        <v>4328</v>
      </c>
      <c r="K119" s="115">
        <f>IF(COUNT(Segments!J45)=1,Segments!J45,"")</f>
        <v>4559</v>
      </c>
      <c r="L119" s="115">
        <f>IF(COUNT(Segments!K45)=1,Segments!K45,"")</f>
        <v>4879</v>
      </c>
      <c r="M119" s="115">
        <f>IF(COUNT(Segments!L45)=1,Segments!L45,"")</f>
        <v>4997</v>
      </c>
      <c r="N119" s="111">
        <f t="shared" si="25"/>
        <v>5437.5300000000007</v>
      </c>
      <c r="O119" s="92"/>
      <c r="P119" s="115">
        <f>IF(COUNT(Segments!R45)=1,Segments!R45,"")</f>
        <v>759</v>
      </c>
      <c r="Q119" s="115">
        <f>IF(COUNT(Segments!S45)=1,Segments!S45,"")</f>
        <v>1368</v>
      </c>
      <c r="R119" s="115">
        <f>IF(COUNT(Segments!T45)=1,Segments!T45,"")</f>
        <v>1291</v>
      </c>
      <c r="S119" s="115">
        <f>IF(COUNT(Segments!U45)=1,Segments!U45,"")</f>
        <v>1579</v>
      </c>
      <c r="T119" s="115">
        <f>IF(COUNT(Segments!V45)=1,Segments!V45,"")</f>
        <v>824</v>
      </c>
      <c r="U119" s="115">
        <f>IF(COUNT(Segments!W45)=1,Segments!W45,"")</f>
        <v>1523</v>
      </c>
      <c r="V119" s="115">
        <f>IF(COUNT(Segments!X45)=1,Segments!X45,"")</f>
        <v>1401</v>
      </c>
    </row>
    <row r="120" spans="1:22" ht="20" customHeight="1">
      <c r="A120" s="106" t="s">
        <v>86</v>
      </c>
      <c r="B120" s="93" t="s">
        <v>1134</v>
      </c>
      <c r="C120" s="119">
        <v>0.38799999999999996</v>
      </c>
      <c r="D120" s="119">
        <v>0.39</v>
      </c>
      <c r="E120" s="119">
        <v>0.39200000000000002</v>
      </c>
      <c r="F120" s="119">
        <v>0.39399999999999996</v>
      </c>
      <c r="G120" s="119">
        <v>0.39500000000000002</v>
      </c>
      <c r="H120" s="107">
        <f>G120</f>
        <v>0.39500000000000002</v>
      </c>
      <c r="I120" s="92"/>
      <c r="J120" s="114" t="str">
        <f>IF(COUNT(Segments!I49)=1,Segments!I49,"")</f>
        <v/>
      </c>
      <c r="K120" s="114">
        <f>IF(COUNT(Segments!J49)=1,Segments!J49,"")</f>
        <v>0.31585874095196315</v>
      </c>
      <c r="L120" s="114">
        <f>IF(COUNT(Segments!K49)=1,Segments!K49,"")</f>
        <v>0.35007173601147779</v>
      </c>
      <c r="M120" s="114">
        <f>IF(COUNT(Segments!L49)=1,Segments!L49,"")</f>
        <v>0.37142285371222733</v>
      </c>
      <c r="N120" s="107">
        <f t="shared" si="25"/>
        <v>0.38857493200037513</v>
      </c>
      <c r="O120" s="92"/>
      <c r="P120" s="114">
        <f>IF(COUNT(Segments!R49)=1,Segments!R49,"")</f>
        <v>0.3675889328063241</v>
      </c>
      <c r="Q120" s="114">
        <f>IF(COUNT(Segments!S49)=1,Segments!S49,"")</f>
        <v>0.39327485380116961</v>
      </c>
      <c r="R120" s="114">
        <f>IF(COUNT(Segments!T49)=1,Segments!T49,"")</f>
        <v>0.39581719597211462</v>
      </c>
      <c r="S120" s="114">
        <f>IF(COUNT(Segments!U49)=1,Segments!U49,"")</f>
        <v>0.33438885370487648</v>
      </c>
      <c r="T120" s="114">
        <f>IF(COUNT(Segments!V49)=1,Segments!V49,"")</f>
        <v>0.39805825242718446</v>
      </c>
      <c r="U120" s="114">
        <f>IF(COUNT(Segments!W49)=1,Segments!W49,"")</f>
        <v>0.41891004596191728</v>
      </c>
      <c r="V120" s="114">
        <f>IF(COUNT(Segments!X49)=1,Segments!X49,"")</f>
        <v>0.40256959314775159</v>
      </c>
    </row>
    <row r="121" spans="1:22" ht="24" customHeight="1">
      <c r="A121" s="109" t="s">
        <v>84</v>
      </c>
      <c r="B121" s="110" t="s">
        <v>1157</v>
      </c>
      <c r="C121" s="111">
        <f t="shared" ref="C121:H121" si="28">C119*C120</f>
        <v>2246.8961466000001</v>
      </c>
      <c r="D121" s="111">
        <f t="shared" si="28"/>
        <v>2393.9867706300006</v>
      </c>
      <c r="E121" s="111">
        <f t="shared" si="28"/>
        <v>2538.6081252865206</v>
      </c>
      <c r="F121" s="111">
        <f t="shared" si="28"/>
        <v>2691.8960189741015</v>
      </c>
      <c r="G121" s="111">
        <f t="shared" si="28"/>
        <v>2833.6646544911387</v>
      </c>
      <c r="H121" s="111">
        <f t="shared" si="28"/>
        <v>2918.6745941258732</v>
      </c>
      <c r="I121" s="92"/>
      <c r="J121" s="115" t="str">
        <f>IF(COUNT(Segments!I47)=1,Segments!I47,"")</f>
        <v/>
      </c>
      <c r="K121" s="115">
        <f>IF(COUNT(Segments!J47)=1,Segments!J47,"")</f>
        <v>1440</v>
      </c>
      <c r="L121" s="115">
        <f>IF(COUNT(Segments!K47)=1,Segments!K47,"")</f>
        <v>1708</v>
      </c>
      <c r="M121" s="115">
        <f>IF(COUNT(Segments!L47)=1,Segments!L47,"")</f>
        <v>1856</v>
      </c>
      <c r="N121" s="111">
        <f t="shared" si="25"/>
        <v>2112.8878500000001</v>
      </c>
      <c r="O121" s="92"/>
      <c r="P121" s="115">
        <f>IF(COUNT(Segments!R47)=1,Segments!R47,"")</f>
        <v>279</v>
      </c>
      <c r="Q121" s="115">
        <f>IF(COUNT(Segments!S47)=1,Segments!S47,"")</f>
        <v>538</v>
      </c>
      <c r="R121" s="115">
        <f>IF(COUNT(Segments!T47)=1,Segments!T47,"")</f>
        <v>511</v>
      </c>
      <c r="S121" s="115">
        <f>IF(COUNT(Segments!U47)=1,Segments!U47,"")</f>
        <v>528</v>
      </c>
      <c r="T121" s="115">
        <f>IF(COUNT(Segments!V47)=1,Segments!V47,"")</f>
        <v>328</v>
      </c>
      <c r="U121" s="115">
        <f>IF(COUNT(Segments!W47)=1,Segments!W47,"")</f>
        <v>638</v>
      </c>
      <c r="V121" s="115">
        <f>IF(COUNT(Segments!X47)=1,Segments!X47,"")</f>
        <v>564</v>
      </c>
    </row>
    <row r="122" spans="1:22" ht="20" customHeight="1">
      <c r="A122" s="106" t="s">
        <v>85</v>
      </c>
      <c r="B122" s="93" t="s">
        <v>1134</v>
      </c>
      <c r="C122" s="107">
        <f>C121/N121-1</f>
        <v>6.3424235507814508E-2</v>
      </c>
      <c r="D122" s="107">
        <f>D121/C121-1</f>
        <v>6.5463917525773407E-2</v>
      </c>
      <c r="E122" s="107">
        <f>E121/D121-1</f>
        <v>6.0410256410256435E-2</v>
      </c>
      <c r="F122" s="107">
        <f>F121/E121-1</f>
        <v>6.0382653061224145E-2</v>
      </c>
      <c r="G122" s="107">
        <f>G121/F121-1</f>
        <v>5.2664974619289318E-2</v>
      </c>
      <c r="H122" s="107">
        <f>H121/G121-1</f>
        <v>3.0000000000000249E-2</v>
      </c>
      <c r="I122" s="92"/>
      <c r="J122" s="114" t="str">
        <f>IF(COUNT(Segments!I48)=1,Segments!I48,"")</f>
        <v/>
      </c>
      <c r="K122" s="114" t="str">
        <f>IF(COUNT(Segments!J48)=1,Segments!J48,"")</f>
        <v/>
      </c>
      <c r="L122" s="114">
        <f>IF(COUNT(Segments!K48)=1,Segments!K48,"")</f>
        <v>0.18611111111111112</v>
      </c>
      <c r="M122" s="114">
        <f>IF(COUNT(Segments!L48)=1,Segments!L48,"")</f>
        <v>8.6651053864168714E-2</v>
      </c>
      <c r="N122" s="107">
        <f t="shared" si="25"/>
        <v>0.13840940193965512</v>
      </c>
      <c r="O122" s="92"/>
      <c r="P122" s="114">
        <f>IF(COUNT(Segments!R48)=1,Segments!R48,"")</f>
        <v>6.8965517241379226E-2</v>
      </c>
      <c r="Q122" s="114">
        <f>IF(COUNT(Segments!S48)=1,Segments!S48,"")</f>
        <v>7.1713147410358502E-2</v>
      </c>
      <c r="R122" s="114">
        <f>IF(COUNT(Segments!T48)=1,Segments!T48,"")</f>
        <v>8.0338266384778034E-2</v>
      </c>
      <c r="S122" s="114">
        <f>IF(COUNT(Segments!U48)=1,Segments!U48,"")</f>
        <v>0.11864406779661008</v>
      </c>
      <c r="T122" s="114">
        <f>IF(COUNT(Segments!V48)=1,Segments!V48,"")</f>
        <v>0.17562724014336917</v>
      </c>
      <c r="U122" s="114">
        <f>IF(COUNT(Segments!W48)=1,Segments!W48,"")</f>
        <v>0.18587360594795532</v>
      </c>
      <c r="V122" s="114">
        <f>IF(COUNT(Segments!X48)=1,Segments!X48,"")</f>
        <v>0.10371819960861051</v>
      </c>
    </row>
    <row r="123" spans="1:22" ht="22" customHeight="1">
      <c r="A123" s="91"/>
      <c r="B123" s="93"/>
      <c r="C123" s="92"/>
      <c r="D123" s="92"/>
      <c r="E123" s="92"/>
      <c r="F123" s="92"/>
      <c r="G123" s="92"/>
      <c r="H123" s="92"/>
      <c r="I123" s="92"/>
      <c r="J123" s="92"/>
      <c r="K123" s="92"/>
      <c r="L123" s="92"/>
      <c r="M123" s="92"/>
      <c r="N123" s="92"/>
      <c r="O123" s="92"/>
      <c r="P123" s="92"/>
      <c r="Q123" s="92"/>
      <c r="R123" s="92"/>
      <c r="S123" s="92"/>
      <c r="T123" s="92"/>
      <c r="U123" s="92"/>
      <c r="V123" s="92"/>
    </row>
    <row r="124" spans="1:22" ht="24" customHeight="1">
      <c r="A124" s="103" t="s">
        <v>90</v>
      </c>
      <c r="B124" s="104"/>
      <c r="C124" s="105"/>
      <c r="D124" s="105"/>
      <c r="E124" s="105"/>
      <c r="F124" s="105"/>
      <c r="G124" s="105"/>
      <c r="H124" s="105"/>
      <c r="I124" s="92"/>
      <c r="J124" s="92"/>
      <c r="K124" s="92"/>
      <c r="L124" s="92"/>
      <c r="M124" s="92"/>
      <c r="N124" s="92"/>
      <c r="O124" s="92"/>
      <c r="P124" s="92"/>
      <c r="Q124" s="92"/>
      <c r="R124" s="92"/>
      <c r="S124" s="92"/>
      <c r="T124" s="92"/>
      <c r="U124" s="92"/>
      <c r="V124" s="92"/>
    </row>
    <row r="125" spans="1:22" ht="20" customHeight="1">
      <c r="A125" s="106" t="s">
        <v>66</v>
      </c>
      <c r="B125" s="93" t="s">
        <v>1134</v>
      </c>
      <c r="C125" s="119">
        <v>5.5E-2</v>
      </c>
      <c r="D125" s="119">
        <v>0.05</v>
      </c>
      <c r="E125" s="119">
        <v>4.4999999999999998E-2</v>
      </c>
      <c r="F125" s="119">
        <v>4.4999999999999998E-2</v>
      </c>
      <c r="G125" s="119">
        <v>0.04</v>
      </c>
      <c r="H125" s="107">
        <f>$C$4</f>
        <v>0.03</v>
      </c>
      <c r="I125" s="92"/>
      <c r="J125" s="114" t="str">
        <f>IF(COUNT(Segments!I102)=1,Segments!I102,"")</f>
        <v/>
      </c>
      <c r="K125" s="114">
        <f>IF(COUNT(Segments!J102)=1,Segments!J102,"")</f>
        <v>0.17</v>
      </c>
      <c r="L125" s="114">
        <f>IF(COUNT(Segments!K102)=1,Segments!K102,"")</f>
        <v>0.08</v>
      </c>
      <c r="M125" s="114">
        <f>IF(COUNT(Segments!L102)=1,Segments!L102,"")</f>
        <v>0.06</v>
      </c>
      <c r="N125" s="107">
        <f t="shared" ref="N125:N131" si="29">E38</f>
        <v>7.3372538141470184E-2</v>
      </c>
      <c r="O125" s="92"/>
      <c r="P125" s="114">
        <f>IF(COUNT(Segments!R102)=1,Segments!R102,"")</f>
        <v>0.08</v>
      </c>
      <c r="Q125" s="114">
        <f>IF(COUNT(Segments!S102)=1,Segments!S102,"")</f>
        <v>7.0000000000000007E-2</v>
      </c>
      <c r="R125" s="114">
        <f>IF(COUNT(Segments!T102)=1,Segments!T102,"")</f>
        <v>5.5E-2</v>
      </c>
      <c r="S125" s="114">
        <f>IF(COUNT(Segments!U102)=1,Segments!U102,"")</f>
        <v>0.05</v>
      </c>
      <c r="T125" s="114">
        <f>IF(COUNT(Segments!V102)=1,Segments!V102,"")</f>
        <v>7.0000000000000007E-2</v>
      </c>
      <c r="U125" s="114">
        <f>IF(COUNT(Segments!W102)=1,Segments!W102,"")</f>
        <v>0.06</v>
      </c>
      <c r="V125" s="114">
        <f>IF(COUNT(Segments!X102)=1,Segments!X102,"")</f>
        <v>0.09</v>
      </c>
    </row>
    <row r="126" spans="1:22" ht="20" customHeight="1">
      <c r="A126" s="106" t="s">
        <v>1155</v>
      </c>
      <c r="B126" s="93" t="s">
        <v>1134</v>
      </c>
      <c r="C126" s="119">
        <v>0</v>
      </c>
      <c r="D126" s="119">
        <v>0</v>
      </c>
      <c r="E126" s="119">
        <v>0</v>
      </c>
      <c r="F126" s="119">
        <v>0</v>
      </c>
      <c r="G126" s="119">
        <v>0</v>
      </c>
      <c r="H126" s="119">
        <v>0</v>
      </c>
      <c r="I126" s="92"/>
      <c r="J126" s="107" t="str">
        <f>IF(COUNT(J125,J127)=2,(1+J127)/(1+J125)-1,"")</f>
        <v/>
      </c>
      <c r="K126" s="107">
        <f>IF(COUNT(K125,K127)=2,(1+K127)/(1+K125)-1,"")</f>
        <v>-0.13580957742634381</v>
      </c>
      <c r="L126" s="107">
        <f>IF(COUNT(L125,L127)=2,(1+L127)/(1+L125)-1,"")</f>
        <v>-4.8484017638860455E-2</v>
      </c>
      <c r="M126" s="107">
        <f>IF(COUNT(M125,M127)=2,(1+M127)/(1+M125)-1,"")</f>
        <v>2.0813842065798616E-2</v>
      </c>
      <c r="N126" s="107">
        <f t="shared" si="29"/>
        <v>2.2575479880129423E-2</v>
      </c>
      <c r="O126" s="92"/>
      <c r="P126" s="107">
        <f t="shared" ref="P126:V126" si="30">IF(COUNT(P125,P127)=2,(1+P127)/(1+P125)-1,"")</f>
        <v>-9.1199707722519063E-2</v>
      </c>
      <c r="Q126" s="107">
        <f t="shared" si="30"/>
        <v>1.344784519450104E-2</v>
      </c>
      <c r="R126" s="107">
        <f t="shared" si="30"/>
        <v>3.2131303872444894E-2</v>
      </c>
      <c r="S126" s="107">
        <f t="shared" si="30"/>
        <v>6.6210646321143596E-2</v>
      </c>
      <c r="T126" s="107">
        <f t="shared" si="30"/>
        <v>0.1048231813271967</v>
      </c>
      <c r="U126" s="107">
        <f t="shared" si="30"/>
        <v>3.6363182589597587E-2</v>
      </c>
      <c r="V126" s="107">
        <f t="shared" si="30"/>
        <v>-1.1139974935969854E-2</v>
      </c>
    </row>
    <row r="127" spans="1:22" ht="20" customHeight="1">
      <c r="A127" s="106" t="s">
        <v>1156</v>
      </c>
      <c r="B127" s="93" t="s">
        <v>1134</v>
      </c>
      <c r="C127" s="107">
        <f t="shared" ref="C127:H127" si="31">(1+C125)*(1+C126)-1</f>
        <v>5.4999999999999938E-2</v>
      </c>
      <c r="D127" s="107">
        <f t="shared" si="31"/>
        <v>5.0000000000000044E-2</v>
      </c>
      <c r="E127" s="107">
        <f t="shared" si="31"/>
        <v>4.4999999999999929E-2</v>
      </c>
      <c r="F127" s="107">
        <f t="shared" si="31"/>
        <v>4.4999999999999929E-2</v>
      </c>
      <c r="G127" s="107">
        <f t="shared" si="31"/>
        <v>4.0000000000000036E-2</v>
      </c>
      <c r="H127" s="107">
        <f t="shared" si="31"/>
        <v>3.0000000000000027E-2</v>
      </c>
      <c r="I127" s="92"/>
      <c r="J127" s="114" t="str">
        <f>IF(COUNT(Segments!I53)=1,Segments!I53,"")</f>
        <v/>
      </c>
      <c r="K127" s="114">
        <f>IF(COUNT(Segments!J53)=1,Segments!J53,"")</f>
        <v>1.1102794411177674E-2</v>
      </c>
      <c r="L127" s="114">
        <f>IF(COUNT(Segments!K53)=1,Segments!K53,"")</f>
        <v>2.7637260950030829E-2</v>
      </c>
      <c r="M127" s="114">
        <f>IF(COUNT(Segments!L53)=1,Segments!L53,"")</f>
        <v>8.2062672589746644E-2</v>
      </c>
      <c r="N127" s="107">
        <f t="shared" si="29"/>
        <v>9.7604438280166406E-2</v>
      </c>
      <c r="O127" s="92"/>
      <c r="P127" s="114">
        <f>IF(COUNT(Segments!R53)=1,Segments!R53,"")</f>
        <v>-1.8495684340320562E-2</v>
      </c>
      <c r="Q127" s="114">
        <f>IF(COUNT(Segments!S53)=1,Segments!S53,"")</f>
        <v>8.4389194358116093E-2</v>
      </c>
      <c r="R127" s="114">
        <f>IF(COUNT(Segments!T53)=1,Segments!T53,"")</f>
        <v>8.8898525585429322E-2</v>
      </c>
      <c r="S127" s="114">
        <f>IF(COUNT(Segments!U53)=1,Segments!U53,"")</f>
        <v>0.1195211786372008</v>
      </c>
      <c r="T127" s="114">
        <f>IF(COUNT(Segments!V53)=1,Segments!V53,"")</f>
        <v>0.1821608040201006</v>
      </c>
      <c r="U127" s="114">
        <f>IF(COUNT(Segments!W53)=1,Segments!W53,"")</f>
        <v>9.8544973544973491E-2</v>
      </c>
      <c r="V127" s="114">
        <f>IF(COUNT(Segments!X53)=1,Segments!X53,"")</f>
        <v>7.7857427319792949E-2</v>
      </c>
    </row>
    <row r="128" spans="1:22" ht="24" customHeight="1">
      <c r="A128" s="109" t="s">
        <v>63</v>
      </c>
      <c r="B128" s="110" t="s">
        <v>1157</v>
      </c>
      <c r="C128" s="111">
        <f>N128*(1+C127)</f>
        <v>20872.457599999998</v>
      </c>
      <c r="D128" s="111">
        <f>C128*(1+D127)</f>
        <v>21916.080480000001</v>
      </c>
      <c r="E128" s="111">
        <f>D128*(1+E127)</f>
        <v>22902.304101599999</v>
      </c>
      <c r="F128" s="111">
        <f>E128*(1+F127)</f>
        <v>23932.907786171996</v>
      </c>
      <c r="G128" s="111">
        <f>F128*(1+G127)</f>
        <v>24890.224097618877</v>
      </c>
      <c r="H128" s="111">
        <f>G128*(1+H127)</f>
        <v>25636.930820547444</v>
      </c>
      <c r="I128" s="92"/>
      <c r="J128" s="115">
        <f>IF(COUNT(Segments!I52)=1,Segments!I52,"")</f>
        <v>16032</v>
      </c>
      <c r="K128" s="115">
        <f>IF(COUNT(Segments!J52)=1,Segments!J52,"")</f>
        <v>16210</v>
      </c>
      <c r="L128" s="115">
        <f>IF(COUNT(Segments!K52)=1,Segments!K52,"")</f>
        <v>16658</v>
      </c>
      <c r="M128" s="115">
        <f>IF(COUNT(Segments!L52)=1,Segments!L52,"")</f>
        <v>18025</v>
      </c>
      <c r="N128" s="111">
        <f t="shared" si="29"/>
        <v>19784.32</v>
      </c>
      <c r="O128" s="92"/>
      <c r="P128" s="115">
        <f>IF(COUNT(Segments!R52)=1,Segments!R52,"")</f>
        <v>2388</v>
      </c>
      <c r="Q128" s="115">
        <f>IF(COUNT(Segments!S52)=1,Segments!S52,"")</f>
        <v>4536</v>
      </c>
      <c r="R128" s="115">
        <f>IF(COUNT(Segments!T52)=1,Segments!T52,"")</f>
        <v>5022</v>
      </c>
      <c r="S128" s="115">
        <f>IF(COUNT(Segments!U52)=1,Segments!U52,"")</f>
        <v>6079</v>
      </c>
      <c r="T128" s="115">
        <f>IF(COUNT(Segments!V52)=1,Segments!V52,"")</f>
        <v>2823</v>
      </c>
      <c r="U128" s="115">
        <f>IF(COUNT(Segments!W52)=1,Segments!W52,"")</f>
        <v>4983</v>
      </c>
      <c r="V128" s="115">
        <f>IF(COUNT(Segments!X52)=1,Segments!X52,"")</f>
        <v>5413</v>
      </c>
    </row>
    <row r="129" spans="1:22" ht="20" customHeight="1">
      <c r="A129" s="106" t="s">
        <v>86</v>
      </c>
      <c r="B129" s="93" t="s">
        <v>1134</v>
      </c>
      <c r="C129" s="119">
        <v>0.151</v>
      </c>
      <c r="D129" s="119">
        <v>0.152</v>
      </c>
      <c r="E129" s="119">
        <v>0.153</v>
      </c>
      <c r="F129" s="119">
        <v>0.154</v>
      </c>
      <c r="G129" s="119">
        <v>0.155</v>
      </c>
      <c r="H129" s="107">
        <f>G129</f>
        <v>0.155</v>
      </c>
      <c r="I129" s="92"/>
      <c r="J129" s="114" t="str">
        <f>IF(COUNT(Segments!I56)=1,Segments!I56,"")</f>
        <v/>
      </c>
      <c r="K129" s="114">
        <f>IF(COUNT(Segments!J56)=1,Segments!J56,"")</f>
        <v>0.12183837137569402</v>
      </c>
      <c r="L129" s="114">
        <f>IF(COUNT(Segments!K56)=1,Segments!K56,"")</f>
        <v>0.13398967463080802</v>
      </c>
      <c r="M129" s="114">
        <f>IF(COUNT(Segments!L56)=1,Segments!L56,"")</f>
        <v>0.14263522884882107</v>
      </c>
      <c r="N129" s="107">
        <f t="shared" si="29"/>
        <v>0.1504415971840326</v>
      </c>
      <c r="O129" s="92"/>
      <c r="P129" s="114">
        <f>IF(COUNT(Segments!R56)=1,Segments!R56,"")</f>
        <v>9.757118927973199E-2</v>
      </c>
      <c r="Q129" s="114">
        <f>IF(COUNT(Segments!S56)=1,Segments!S56,"")</f>
        <v>0.14484126984126985</v>
      </c>
      <c r="R129" s="114">
        <f>IF(COUNT(Segments!T56)=1,Segments!T56,"")</f>
        <v>0.1608920748705695</v>
      </c>
      <c r="S129" s="114">
        <f>IF(COUNT(Segments!U56)=1,Segments!U56,"")</f>
        <v>0.14360914624115809</v>
      </c>
      <c r="T129" s="114">
        <f>IF(COUNT(Segments!V56)=1,Segments!V56,"")</f>
        <v>0.10662415869642225</v>
      </c>
      <c r="U129" s="114">
        <f>IF(COUNT(Segments!W56)=1,Segments!W56,"")</f>
        <v>0.15392333935380292</v>
      </c>
      <c r="V129" s="114">
        <f>IF(COUNT(Segments!X56)=1,Segments!X56,"")</f>
        <v>0.17365601330131167</v>
      </c>
    </row>
    <row r="130" spans="1:22" ht="24" customHeight="1">
      <c r="A130" s="109" t="s">
        <v>84</v>
      </c>
      <c r="B130" s="110" t="s">
        <v>1157</v>
      </c>
      <c r="C130" s="111">
        <f t="shared" ref="C130:H130" si="32">C128*C129</f>
        <v>3151.7410975999996</v>
      </c>
      <c r="D130" s="111">
        <f t="shared" si="32"/>
        <v>3331.2442329599999</v>
      </c>
      <c r="E130" s="111">
        <f t="shared" si="32"/>
        <v>3504.0525275447999</v>
      </c>
      <c r="F130" s="111">
        <f t="shared" si="32"/>
        <v>3685.6677990704875</v>
      </c>
      <c r="G130" s="111">
        <f t="shared" si="32"/>
        <v>3857.9847351309259</v>
      </c>
      <c r="H130" s="111">
        <f t="shared" si="32"/>
        <v>3973.7242771848537</v>
      </c>
      <c r="I130" s="92"/>
      <c r="J130" s="115" t="str">
        <f>IF(COUNT(Segments!I54)=1,Segments!I54,"")</f>
        <v/>
      </c>
      <c r="K130" s="115">
        <f>IF(COUNT(Segments!J54)=1,Segments!J54,"")</f>
        <v>1975</v>
      </c>
      <c r="L130" s="115">
        <f>IF(COUNT(Segments!K54)=1,Segments!K54,"")</f>
        <v>2232</v>
      </c>
      <c r="M130" s="115">
        <f>IF(COUNT(Segments!L54)=1,Segments!L54,"")</f>
        <v>2571</v>
      </c>
      <c r="N130" s="111">
        <f t="shared" si="29"/>
        <v>2976.3847000000001</v>
      </c>
      <c r="O130" s="92"/>
      <c r="P130" s="115">
        <f>IF(COUNT(Segments!R54)=1,Segments!R54,"")</f>
        <v>233</v>
      </c>
      <c r="Q130" s="115">
        <f>IF(COUNT(Segments!S54)=1,Segments!S54,"")</f>
        <v>657</v>
      </c>
      <c r="R130" s="115">
        <f>IF(COUNT(Segments!T54)=1,Segments!T54,"")</f>
        <v>808</v>
      </c>
      <c r="S130" s="115">
        <f>IF(COUNT(Segments!U54)=1,Segments!U54,"")</f>
        <v>873</v>
      </c>
      <c r="T130" s="115">
        <f>IF(COUNT(Segments!V54)=1,Segments!V54,"")</f>
        <v>301</v>
      </c>
      <c r="U130" s="115">
        <f>IF(COUNT(Segments!W54)=1,Segments!W54,"")</f>
        <v>767</v>
      </c>
      <c r="V130" s="115">
        <f>IF(COUNT(Segments!X54)=1,Segments!X54,"")</f>
        <v>940</v>
      </c>
    </row>
    <row r="131" spans="1:22" ht="20" customHeight="1">
      <c r="A131" s="106" t="s">
        <v>85</v>
      </c>
      <c r="B131" s="93" t="s">
        <v>1134</v>
      </c>
      <c r="C131" s="107">
        <f>C130/N130-1</f>
        <v>5.8915904788786166E-2</v>
      </c>
      <c r="D131" s="107">
        <f>D130/C130-1</f>
        <v>5.695364238410594E-2</v>
      </c>
      <c r="E131" s="107">
        <f>E130/D130-1</f>
        <v>5.1875000000000115E-2</v>
      </c>
      <c r="F131" s="107">
        <f>F130/E130-1</f>
        <v>5.1830065359476984E-2</v>
      </c>
      <c r="G131" s="107">
        <f>G130/F130-1</f>
        <v>4.6753246753246769E-2</v>
      </c>
      <c r="H131" s="107">
        <f>H130/G130-1</f>
        <v>3.0000000000000027E-2</v>
      </c>
      <c r="I131" s="92"/>
      <c r="J131" s="114" t="str">
        <f>IF(COUNT(Segments!I55)=1,Segments!I55,"")</f>
        <v/>
      </c>
      <c r="K131" s="114" t="str">
        <f>IF(COUNT(Segments!J55)=1,Segments!J55,"")</f>
        <v/>
      </c>
      <c r="L131" s="114">
        <f>IF(COUNT(Segments!K55)=1,Segments!K55,"")</f>
        <v>0.13012658227848095</v>
      </c>
      <c r="M131" s="114">
        <f>IF(COUNT(Segments!L55)=1,Segments!L55,"")</f>
        <v>0.1518817204301075</v>
      </c>
      <c r="N131" s="107">
        <f t="shared" si="29"/>
        <v>0.15767588486970063</v>
      </c>
      <c r="O131" s="92"/>
      <c r="P131" s="114">
        <f>IF(COUNT(Segments!R55)=1,Segments!R55,"")</f>
        <v>4.3103448275862988E-3</v>
      </c>
      <c r="Q131" s="114">
        <f>IF(COUNT(Segments!S55)=1,Segments!S55,"")</f>
        <v>8.7748344370860876E-2</v>
      </c>
      <c r="R131" s="114">
        <f>IF(COUNT(Segments!T55)=1,Segments!T55,"")</f>
        <v>6.5963060686015762E-2</v>
      </c>
      <c r="S131" s="114">
        <f>IF(COUNT(Segments!U55)=1,Segments!U55,"")</f>
        <v>0.36833855799373039</v>
      </c>
      <c r="T131" s="114">
        <f>IF(COUNT(Segments!V55)=1,Segments!V55,"")</f>
        <v>0.29184549356223166</v>
      </c>
      <c r="U131" s="114">
        <f>IF(COUNT(Segments!W55)=1,Segments!W55,"")</f>
        <v>0.16742770167427712</v>
      </c>
      <c r="V131" s="114">
        <f>IF(COUNT(Segments!X55)=1,Segments!X55,"")</f>
        <v>0.16336633663366329</v>
      </c>
    </row>
    <row r="132" spans="1:22" ht="22" customHeight="1">
      <c r="A132" s="91"/>
      <c r="B132" s="93"/>
      <c r="C132" s="92"/>
      <c r="D132" s="92"/>
      <c r="E132" s="92"/>
      <c r="F132" s="92"/>
      <c r="G132" s="92"/>
      <c r="H132" s="92"/>
      <c r="I132" s="92"/>
      <c r="J132" s="92"/>
      <c r="K132" s="92"/>
      <c r="L132" s="92"/>
      <c r="M132" s="92"/>
      <c r="N132" s="92"/>
      <c r="O132" s="92"/>
      <c r="P132" s="92"/>
      <c r="Q132" s="92"/>
      <c r="R132" s="92"/>
      <c r="S132" s="92"/>
      <c r="T132" s="92"/>
      <c r="U132" s="92"/>
      <c r="V132" s="92"/>
    </row>
    <row r="133" spans="1:22" ht="24" customHeight="1">
      <c r="A133" s="103" t="s">
        <v>91</v>
      </c>
      <c r="B133" s="104"/>
      <c r="C133" s="105"/>
      <c r="D133" s="105"/>
      <c r="E133" s="105"/>
      <c r="F133" s="105"/>
      <c r="G133" s="105"/>
      <c r="H133" s="105"/>
      <c r="I133" s="92"/>
      <c r="J133" s="92"/>
      <c r="K133" s="92"/>
      <c r="L133" s="92"/>
      <c r="M133" s="92"/>
      <c r="N133" s="92"/>
      <c r="O133" s="92"/>
      <c r="P133" s="92"/>
      <c r="Q133" s="92"/>
      <c r="R133" s="92"/>
      <c r="S133" s="92"/>
      <c r="T133" s="92"/>
      <c r="U133" s="92"/>
      <c r="V133" s="92"/>
    </row>
    <row r="134" spans="1:22" ht="20" customHeight="1">
      <c r="A134" s="106" t="s">
        <v>66</v>
      </c>
      <c r="B134" s="93" t="s">
        <v>1134</v>
      </c>
      <c r="C134" s="119">
        <v>4.4999999999999998E-2</v>
      </c>
      <c r="D134" s="119">
        <v>4.4999999999999998E-2</v>
      </c>
      <c r="E134" s="119">
        <v>0.04</v>
      </c>
      <c r="F134" s="119">
        <v>0.04</v>
      </c>
      <c r="G134" s="119">
        <v>0.04</v>
      </c>
      <c r="H134" s="107">
        <f>$C$4</f>
        <v>0.03</v>
      </c>
      <c r="I134" s="92"/>
      <c r="J134" s="114" t="str">
        <f>IF(COUNT(Segments!I108)=1,Segments!I108,"")</f>
        <v/>
      </c>
      <c r="K134" s="114">
        <f>IF(COUNT(Segments!J108)=1,Segments!J108,"")</f>
        <v>0.11</v>
      </c>
      <c r="L134" s="114">
        <f>IF(COUNT(Segments!K108)=1,Segments!K108,"")</f>
        <v>0.03</v>
      </c>
      <c r="M134" s="114">
        <f>IF(COUNT(Segments!L108)=1,Segments!L108,"")</f>
        <v>4.4999999999999998E-2</v>
      </c>
      <c r="N134" s="107">
        <f t="shared" ref="N134:N140" si="33">E47</f>
        <v>4.6746137074604226E-2</v>
      </c>
      <c r="O134" s="92"/>
      <c r="P134" s="114">
        <f>IF(COUNT(Segments!R108)=1,Segments!R108,"")</f>
        <v>0.03</v>
      </c>
      <c r="Q134" s="114">
        <f>IF(COUNT(Segments!S108)=1,Segments!S108,"")</f>
        <v>0.06</v>
      </c>
      <c r="R134" s="114">
        <f>IF(COUNT(Segments!T108)=1,Segments!T108,"")</f>
        <v>0.04</v>
      </c>
      <c r="S134" s="114">
        <f>IF(COUNT(Segments!U108)=1,Segments!U108,"")</f>
        <v>0.05</v>
      </c>
      <c r="T134" s="114">
        <f>IF(COUNT(Segments!V108)=1,Segments!V108,"")</f>
        <v>0.03</v>
      </c>
      <c r="U134" s="114">
        <f>IF(COUNT(Segments!W108)=1,Segments!W108,"")</f>
        <v>0.04</v>
      </c>
      <c r="V134" s="114">
        <f>IF(COUNT(Segments!X108)=1,Segments!X108,"")</f>
        <v>0.06</v>
      </c>
    </row>
    <row r="135" spans="1:22" ht="20" customHeight="1">
      <c r="A135" s="106" t="s">
        <v>1155</v>
      </c>
      <c r="B135" s="93" t="s">
        <v>1134</v>
      </c>
      <c r="C135" s="119">
        <v>0</v>
      </c>
      <c r="D135" s="119">
        <v>0</v>
      </c>
      <c r="E135" s="119">
        <v>0</v>
      </c>
      <c r="F135" s="119">
        <v>0</v>
      </c>
      <c r="G135" s="119">
        <v>0</v>
      </c>
      <c r="H135" s="119">
        <v>0</v>
      </c>
      <c r="I135" s="92"/>
      <c r="J135" s="107" t="str">
        <f>IF(COUNT(J134,J136)=2,(1+J136)/(1+J134)-1,"")</f>
        <v/>
      </c>
      <c r="K135" s="107">
        <f>IF(COUNT(K134,K136)=2,(1+K136)/(1+K134)-1,"")</f>
        <v>7.4537941573015187E-2</v>
      </c>
      <c r="L135" s="107">
        <f>IF(COUNT(L134,L136)=2,(1+L136)/(1+L134)-1,"")</f>
        <v>-2.9860611312662488E-2</v>
      </c>
      <c r="M135" s="107">
        <f>IF(COUNT(M134,M136)=2,(1+M136)/(1+M134)-1,"")</f>
        <v>-4.4782660663771345E-2</v>
      </c>
      <c r="N135" s="107">
        <f t="shared" si="33"/>
        <v>7.5811585179483165E-2</v>
      </c>
      <c r="O135" s="92"/>
      <c r="P135" s="107">
        <f t="shared" ref="P135:V135" si="34">IF(COUNT(P134,P136)=2,(1+P136)/(1+P134)-1,"")</f>
        <v>-0.14676118559613704</v>
      </c>
      <c r="Q135" s="107">
        <f t="shared" si="34"/>
        <v>-0.12558254459597662</v>
      </c>
      <c r="R135" s="107">
        <f t="shared" si="34"/>
        <v>-2.3385792028239538E-2</v>
      </c>
      <c r="S135" s="107">
        <f t="shared" si="34"/>
        <v>5.8711957927407576E-2</v>
      </c>
      <c r="T135" s="107">
        <f t="shared" si="34"/>
        <v>0.1304454562989894</v>
      </c>
      <c r="U135" s="107">
        <f t="shared" si="34"/>
        <v>0.10946745562130156</v>
      </c>
      <c r="V135" s="107">
        <f t="shared" si="34"/>
        <v>7.3042168674698926E-2</v>
      </c>
    </row>
    <row r="136" spans="1:22" ht="20" customHeight="1">
      <c r="A136" s="106" t="s">
        <v>1156</v>
      </c>
      <c r="B136" s="93" t="s">
        <v>1134</v>
      </c>
      <c r="C136" s="107">
        <f t="shared" ref="C136:H136" si="35">(1+C134)*(1+C135)-1</f>
        <v>4.4999999999999929E-2</v>
      </c>
      <c r="D136" s="107">
        <f t="shared" si="35"/>
        <v>4.4999999999999929E-2</v>
      </c>
      <c r="E136" s="107">
        <f t="shared" si="35"/>
        <v>4.0000000000000036E-2</v>
      </c>
      <c r="F136" s="107">
        <f t="shared" si="35"/>
        <v>4.0000000000000036E-2</v>
      </c>
      <c r="G136" s="107">
        <f t="shared" si="35"/>
        <v>4.0000000000000036E-2</v>
      </c>
      <c r="H136" s="107">
        <f t="shared" si="35"/>
        <v>3.0000000000000027E-2</v>
      </c>
      <c r="I136" s="92"/>
      <c r="J136" s="114" t="str">
        <f>IF(COUNT(Segments!I60)=1,Segments!I60,"")</f>
        <v/>
      </c>
      <c r="K136" s="114">
        <f>IF(COUNT(Segments!J60)=1,Segments!J60,"")</f>
        <v>0.19273711514604708</v>
      </c>
      <c r="L136" s="114">
        <f>IF(COUNT(Segments!K60)=1,Segments!K60,"")</f>
        <v>-7.5642965204236745E-4</v>
      </c>
      <c r="M136" s="114">
        <f>IF(COUNT(Segments!L60)=1,Segments!L60,"")</f>
        <v>-1.7978803936411492E-3</v>
      </c>
      <c r="N136" s="107">
        <f t="shared" si="33"/>
        <v>0.1261016210067305</v>
      </c>
      <c r="O136" s="92"/>
      <c r="P136" s="114">
        <f>IF(COUNT(Segments!R60)=1,Segments!R60,"")</f>
        <v>-0.12116402116402114</v>
      </c>
      <c r="Q136" s="114">
        <f>IF(COUNT(Segments!S60)=1,Segments!S60,"")</f>
        <v>-7.3117497271735221E-2</v>
      </c>
      <c r="R136" s="114">
        <f>IF(COUNT(Segments!T60)=1,Segments!T60,"")</f>
        <v>1.5678776290630969E-2</v>
      </c>
      <c r="S136" s="114">
        <f>IF(COUNT(Segments!U60)=1,Segments!U60,"")</f>
        <v>0.11164755582377794</v>
      </c>
      <c r="T136" s="114">
        <f>IF(COUNT(Segments!V60)=1,Segments!V60,"")</f>
        <v>0.16435881998795909</v>
      </c>
      <c r="U136" s="114">
        <f>IF(COUNT(Segments!W60)=1,Segments!W60,"")</f>
        <v>0.15384615384615374</v>
      </c>
      <c r="V136" s="114">
        <f>IF(COUNT(Segments!X60)=1,Segments!X60,"")</f>
        <v>0.13742469879518082</v>
      </c>
    </row>
    <row r="137" spans="1:22" ht="24" customHeight="1">
      <c r="A137" s="109" t="s">
        <v>63</v>
      </c>
      <c r="B137" s="110" t="s">
        <v>1157</v>
      </c>
      <c r="C137" s="111">
        <f>N137*(1+C136)</f>
        <v>12413.81207</v>
      </c>
      <c r="D137" s="111">
        <f>C137*(1+D136)</f>
        <v>12972.433613149999</v>
      </c>
      <c r="E137" s="111">
        <f>D137*(1+E136)</f>
        <v>13491.330957675998</v>
      </c>
      <c r="F137" s="111">
        <f>E137*(1+F136)</f>
        <v>14030.984195983039</v>
      </c>
      <c r="G137" s="111">
        <f>F137*(1+G136)</f>
        <v>14592.223563822361</v>
      </c>
      <c r="H137" s="111">
        <f>G137*(1+H136)</f>
        <v>15029.990270737033</v>
      </c>
      <c r="I137" s="92"/>
      <c r="J137" s="115">
        <f>IF(COUNT(Segments!I59)=1,Segments!I59,"")</f>
        <v>8867</v>
      </c>
      <c r="K137" s="115">
        <f>IF(COUNT(Segments!J59)=1,Segments!J59,"")</f>
        <v>10576</v>
      </c>
      <c r="L137" s="115">
        <f>IF(COUNT(Segments!K59)=1,Segments!K59,"")</f>
        <v>10568</v>
      </c>
      <c r="M137" s="115">
        <f>IF(COUNT(Segments!L59)=1,Segments!L59,"")</f>
        <v>10549</v>
      </c>
      <c r="N137" s="111">
        <f t="shared" si="33"/>
        <v>11879.246000000001</v>
      </c>
      <c r="O137" s="92"/>
      <c r="P137" s="115">
        <f>IF(COUNT(Segments!R59)=1,Segments!R59,"")</f>
        <v>1661</v>
      </c>
      <c r="Q137" s="115">
        <f>IF(COUNT(Segments!S59)=1,Segments!S59,"")</f>
        <v>2548</v>
      </c>
      <c r="R137" s="115">
        <f>IF(COUNT(Segments!T59)=1,Segments!T59,"")</f>
        <v>2656</v>
      </c>
      <c r="S137" s="115">
        <f>IF(COUNT(Segments!U59)=1,Segments!U59,"")</f>
        <v>3684</v>
      </c>
      <c r="T137" s="115">
        <f>IF(COUNT(Segments!V59)=1,Segments!V59,"")</f>
        <v>1934</v>
      </c>
      <c r="U137" s="115">
        <f>IF(COUNT(Segments!W59)=1,Segments!W59,"")</f>
        <v>2940</v>
      </c>
      <c r="V137" s="115">
        <f>IF(COUNT(Segments!X59)=1,Segments!X59,"")</f>
        <v>3021</v>
      </c>
    </row>
    <row r="138" spans="1:22" ht="20" customHeight="1">
      <c r="A138" s="106" t="s">
        <v>86</v>
      </c>
      <c r="B138" s="93" t="s">
        <v>1134</v>
      </c>
      <c r="C138" s="119">
        <v>0.20499999999999999</v>
      </c>
      <c r="D138" s="119">
        <v>0.20600000000000002</v>
      </c>
      <c r="E138" s="119">
        <v>0.20699999999999999</v>
      </c>
      <c r="F138" s="119">
        <v>0.20800000000000002</v>
      </c>
      <c r="G138" s="119">
        <v>0.20800000000000002</v>
      </c>
      <c r="H138" s="107">
        <f>G138</f>
        <v>0.20800000000000002</v>
      </c>
      <c r="I138" s="92"/>
      <c r="J138" s="114" t="str">
        <f>IF(COUNT(Segments!I63)=1,Segments!I63,"")</f>
        <v/>
      </c>
      <c r="K138" s="114">
        <f>IF(COUNT(Segments!J63)=1,Segments!J63,"")</f>
        <v>0.18239409984871408</v>
      </c>
      <c r="L138" s="114">
        <f>IF(COUNT(Segments!K63)=1,Segments!K63,"")</f>
        <v>0.19880772142316427</v>
      </c>
      <c r="M138" s="114">
        <f>IF(COUNT(Segments!L63)=1,Segments!L63,"")</f>
        <v>0.20324201346099155</v>
      </c>
      <c r="N138" s="107">
        <f t="shared" si="33"/>
        <v>0.20824968184007636</v>
      </c>
      <c r="O138" s="92"/>
      <c r="P138" s="114">
        <f>IF(COUNT(Segments!R63)=1,Segments!R63,"")</f>
        <v>0.21131848284166166</v>
      </c>
      <c r="Q138" s="114">
        <f>IF(COUNT(Segments!S63)=1,Segments!S63,"")</f>
        <v>0.21389324960753534</v>
      </c>
      <c r="R138" s="114">
        <f>IF(COUNT(Segments!T63)=1,Segments!T63,"")</f>
        <v>0.19691265060240964</v>
      </c>
      <c r="S138" s="114">
        <f>IF(COUNT(Segments!U63)=1,Segments!U63,"")</f>
        <v>0.19679695982627579</v>
      </c>
      <c r="T138" s="114">
        <f>IF(COUNT(Segments!V63)=1,Segments!V63,"")</f>
        <v>0.22285418821096173</v>
      </c>
      <c r="U138" s="114">
        <f>IF(COUNT(Segments!W63)=1,Segments!W63,"")</f>
        <v>0.21088435374149661</v>
      </c>
      <c r="V138" s="114">
        <f>IF(COUNT(Segments!X63)=1,Segments!X63,"")</f>
        <v>0.20721615359152598</v>
      </c>
    </row>
    <row r="139" spans="1:22" ht="24" customHeight="1">
      <c r="A139" s="109" t="s">
        <v>84</v>
      </c>
      <c r="B139" s="110" t="s">
        <v>1157</v>
      </c>
      <c r="C139" s="111">
        <f t="shared" ref="C139:H139" si="36">C137*C138</f>
        <v>2544.83147435</v>
      </c>
      <c r="D139" s="111">
        <f t="shared" si="36"/>
        <v>2672.3213243088999</v>
      </c>
      <c r="E139" s="111">
        <f t="shared" si="36"/>
        <v>2792.7055082389315</v>
      </c>
      <c r="F139" s="111">
        <f t="shared" si="36"/>
        <v>2918.4447127644726</v>
      </c>
      <c r="G139" s="111">
        <f t="shared" si="36"/>
        <v>3035.1825012750514</v>
      </c>
      <c r="H139" s="111">
        <f t="shared" si="36"/>
        <v>3126.2379763133031</v>
      </c>
      <c r="I139" s="92"/>
      <c r="J139" s="115" t="str">
        <f>IF(COUNT(Segments!I61)=1,Segments!I61,"")</f>
        <v/>
      </c>
      <c r="K139" s="115">
        <f>IF(COUNT(Segments!J61)=1,Segments!J61,"")</f>
        <v>1929</v>
      </c>
      <c r="L139" s="115">
        <f>IF(COUNT(Segments!K61)=1,Segments!K61,"")</f>
        <v>2101</v>
      </c>
      <c r="M139" s="115">
        <f>IF(COUNT(Segments!L61)=1,Segments!L61,"")</f>
        <v>2144</v>
      </c>
      <c r="N139" s="111">
        <f t="shared" si="33"/>
        <v>2473.8492000000001</v>
      </c>
      <c r="O139" s="92"/>
      <c r="P139" s="115">
        <f>IF(COUNT(Segments!R61)=1,Segments!R61,"")</f>
        <v>351</v>
      </c>
      <c r="Q139" s="115">
        <f>IF(COUNT(Segments!S61)=1,Segments!S61,"")</f>
        <v>545</v>
      </c>
      <c r="R139" s="115">
        <f>IF(COUNT(Segments!T61)=1,Segments!T61,"")</f>
        <v>523</v>
      </c>
      <c r="S139" s="115">
        <f>IF(COUNT(Segments!U61)=1,Segments!U61,"")</f>
        <v>725</v>
      </c>
      <c r="T139" s="115">
        <f>IF(COUNT(Segments!V61)=1,Segments!V61,"")</f>
        <v>431</v>
      </c>
      <c r="U139" s="115">
        <f>IF(COUNT(Segments!W61)=1,Segments!W61,"")</f>
        <v>620</v>
      </c>
      <c r="V139" s="115">
        <f>IF(COUNT(Segments!X61)=1,Segments!X61,"")</f>
        <v>626</v>
      </c>
    </row>
    <row r="140" spans="1:22" ht="20" customHeight="1">
      <c r="A140" s="106" t="s">
        <v>85</v>
      </c>
      <c r="B140" s="93" t="s">
        <v>1134</v>
      </c>
      <c r="C140" s="107">
        <f>C139/N139-1</f>
        <v>2.8693048206010152E-2</v>
      </c>
      <c r="D140" s="107">
        <f>D139/C139-1</f>
        <v>5.0097560975609801E-2</v>
      </c>
      <c r="E140" s="107">
        <f>E139/D139-1</f>
        <v>4.5048543689320208E-2</v>
      </c>
      <c r="F140" s="107">
        <f>F139/E139-1</f>
        <v>4.5024154589372145E-2</v>
      </c>
      <c r="G140" s="107">
        <f>G139/F139-1</f>
        <v>4.0000000000000036E-2</v>
      </c>
      <c r="H140" s="107">
        <f>H139/G139-1</f>
        <v>3.0000000000000027E-2</v>
      </c>
      <c r="I140" s="92"/>
      <c r="J140" s="114" t="str">
        <f>IF(COUNT(Segments!I62)=1,Segments!I62,"")</f>
        <v/>
      </c>
      <c r="K140" s="114" t="str">
        <f>IF(COUNT(Segments!J62)=1,Segments!J62,"")</f>
        <v/>
      </c>
      <c r="L140" s="114">
        <f>IF(COUNT(Segments!K62)=1,Segments!K62,"")</f>
        <v>8.9165370658372156E-2</v>
      </c>
      <c r="M140" s="114">
        <f>IF(COUNT(Segments!L62)=1,Segments!L62,"")</f>
        <v>2.0466444550214291E-2</v>
      </c>
      <c r="N140" s="107">
        <f t="shared" si="33"/>
        <v>0.15384757462686571</v>
      </c>
      <c r="O140" s="92"/>
      <c r="P140" s="114">
        <f>IF(COUNT(Segments!R62)=1,Segments!R62,"")</f>
        <v>-0.17798594847775173</v>
      </c>
      <c r="Q140" s="114">
        <f>IF(COUNT(Segments!S62)=1,Segments!S62,"")</f>
        <v>-9.0909090909090384E-3</v>
      </c>
      <c r="R140" s="114">
        <f>IF(COUNT(Segments!T62)=1,Segments!T62,"")</f>
        <v>6.5173116089612959E-2</v>
      </c>
      <c r="S140" s="114">
        <f>IF(COUNT(Segments!U62)=1,Segments!U62,"")</f>
        <v>0.14533965244865721</v>
      </c>
      <c r="T140" s="114">
        <f>IF(COUNT(Segments!V62)=1,Segments!V62,"")</f>
        <v>0.22792022792022792</v>
      </c>
      <c r="U140" s="114">
        <f>IF(COUNT(Segments!W62)=1,Segments!W62,"")</f>
        <v>0.13761467889908263</v>
      </c>
      <c r="V140" s="114">
        <f>IF(COUNT(Segments!X62)=1,Segments!X62,"")</f>
        <v>0.19694072657743789</v>
      </c>
    </row>
    <row r="141" spans="1:22" ht="22" customHeight="1">
      <c r="A141" s="91"/>
      <c r="B141" s="93"/>
      <c r="C141" s="92"/>
      <c r="D141" s="92"/>
      <c r="E141" s="92"/>
      <c r="F141" s="92"/>
      <c r="G141" s="92"/>
      <c r="H141" s="92"/>
      <c r="I141" s="92"/>
      <c r="J141" s="92"/>
      <c r="K141" s="92"/>
      <c r="L141" s="92"/>
      <c r="M141" s="92"/>
      <c r="N141" s="92"/>
      <c r="O141" s="92"/>
      <c r="P141" s="92"/>
      <c r="Q141" s="92"/>
      <c r="R141" s="92"/>
      <c r="S141" s="92"/>
      <c r="T141" s="92"/>
      <c r="U141" s="92"/>
      <c r="V141" s="92"/>
    </row>
    <row r="142" spans="1:22" ht="24" customHeight="1">
      <c r="A142" s="103" t="s">
        <v>92</v>
      </c>
      <c r="B142" s="104"/>
      <c r="C142" s="105"/>
      <c r="D142" s="105"/>
      <c r="E142" s="105"/>
      <c r="F142" s="105"/>
      <c r="G142" s="105"/>
      <c r="H142" s="105"/>
      <c r="I142" s="92"/>
      <c r="J142" s="92"/>
      <c r="K142" s="92"/>
      <c r="L142" s="92"/>
      <c r="M142" s="92"/>
      <c r="N142" s="92"/>
      <c r="O142" s="92"/>
      <c r="P142" s="92"/>
      <c r="Q142" s="92"/>
      <c r="R142" s="92"/>
      <c r="S142" s="92"/>
      <c r="T142" s="92"/>
      <c r="U142" s="92"/>
      <c r="V142" s="92"/>
    </row>
    <row r="143" spans="1:22" ht="20" customHeight="1">
      <c r="A143" s="106" t="s">
        <v>66</v>
      </c>
      <c r="B143" s="93" t="s">
        <v>1134</v>
      </c>
      <c r="C143" s="119">
        <v>0.06</v>
      </c>
      <c r="D143" s="119">
        <v>5.5E-2</v>
      </c>
      <c r="E143" s="119">
        <v>0.05</v>
      </c>
      <c r="F143" s="119">
        <v>0.05</v>
      </c>
      <c r="G143" s="119">
        <v>4.4999999999999998E-2</v>
      </c>
      <c r="H143" s="107">
        <f>$C$4</f>
        <v>0.03</v>
      </c>
      <c r="I143" s="92"/>
      <c r="J143" s="114" t="str">
        <f>IF(COUNT(Segments!I113)=1,Segments!I113,"")</f>
        <v/>
      </c>
      <c r="K143" s="114">
        <f>IF(COUNT(Segments!J113)=1,Segments!J113,"")</f>
        <v>0.04</v>
      </c>
      <c r="L143" s="114">
        <f>IF(COUNT(Segments!K113)=1,Segments!K113,"")</f>
        <v>0.03</v>
      </c>
      <c r="M143" s="114">
        <f>IF(COUNT(Segments!L113)=1,Segments!L113,"")</f>
        <v>1.4999999999999999E-2</v>
      </c>
      <c r="N143" s="107">
        <f t="shared" ref="N143:N149" si="37">E56</f>
        <v>8.6781162238064369E-2</v>
      </c>
      <c r="O143" s="92"/>
      <c r="P143" s="114">
        <f>IF(COUNT(Segments!R113)=1,Segments!R113,"")</f>
        <v>-0.01</v>
      </c>
      <c r="Q143" s="114">
        <f>IF(COUNT(Segments!S113)=1,Segments!S113,"")</f>
        <v>0</v>
      </c>
      <c r="R143" s="114">
        <f>IF(COUNT(Segments!T113)=1,Segments!T113,"")</f>
        <v>0.01</v>
      </c>
      <c r="S143" s="114">
        <f>IF(COUNT(Segments!U113)=1,Segments!U113,"")</f>
        <v>0.04</v>
      </c>
      <c r="T143" s="114">
        <f>IF(COUNT(Segments!V113)=1,Segments!V113,"")</f>
        <v>7.0000000000000007E-2</v>
      </c>
      <c r="U143" s="114">
        <f>IF(COUNT(Segments!W113)=1,Segments!W113,"")</f>
        <v>0.09</v>
      </c>
      <c r="V143" s="114">
        <f>IF(COUNT(Segments!X113)=1,Segments!X113,"")</f>
        <v>0.09</v>
      </c>
    </row>
    <row r="144" spans="1:22" ht="20" customHeight="1">
      <c r="A144" s="106" t="s">
        <v>1155</v>
      </c>
      <c r="B144" s="93" t="s">
        <v>1134</v>
      </c>
      <c r="C144" s="119">
        <v>0</v>
      </c>
      <c r="D144" s="119">
        <v>0</v>
      </c>
      <c r="E144" s="119">
        <v>0</v>
      </c>
      <c r="F144" s="119">
        <v>0</v>
      </c>
      <c r="G144" s="119">
        <v>0</v>
      </c>
      <c r="H144" s="119">
        <v>0</v>
      </c>
      <c r="I144" s="92"/>
      <c r="J144" s="107" t="str">
        <f>IF(COUNT(J143,J145)=2,(1+J145)/(1+J143)-1,"")</f>
        <v/>
      </c>
      <c r="K144" s="107">
        <f>IF(COUNT(K143,K145)=2,(1+K145)/(1+K143)-1,"")</f>
        <v>-4.1879582315041186E-2</v>
      </c>
      <c r="L144" s="107">
        <f>IF(COUNT(L143,L145)=2,(1+L145)/(1+L143)-1,"")</f>
        <v>-1.5272050307930329E-2</v>
      </c>
      <c r="M144" s="107">
        <f>IF(COUNT(M143,M145)=2,(1+M145)/(1+M143)-1,"")</f>
        <v>2.5480617729010113E-3</v>
      </c>
      <c r="N144" s="107">
        <f t="shared" si="37"/>
        <v>1.4011938672672475E-2</v>
      </c>
      <c r="O144" s="92"/>
      <c r="P144" s="107">
        <f t="shared" ref="P144:V144" si="38">IF(COUNT(P143,P145)=2,(1+P145)/(1+P143)-1,"")</f>
        <v>-1.2130878159586356E-2</v>
      </c>
      <c r="Q144" s="107">
        <f t="shared" si="38"/>
        <v>5.015045135406293E-3</v>
      </c>
      <c r="R144" s="107">
        <f t="shared" si="38"/>
        <v>1.1879373088546252E-2</v>
      </c>
      <c r="S144" s="107">
        <f t="shared" si="38"/>
        <v>1.178835289004776E-2</v>
      </c>
      <c r="T144" s="107">
        <f t="shared" si="38"/>
        <v>4.1571410282202681E-2</v>
      </c>
      <c r="U144" s="107">
        <f t="shared" si="38"/>
        <v>2.9134391766924894E-2</v>
      </c>
      <c r="V144" s="107">
        <f t="shared" si="38"/>
        <v>1.1231332537951833E-2</v>
      </c>
    </row>
    <row r="145" spans="1:22" ht="20" customHeight="1">
      <c r="A145" s="106" t="s">
        <v>1156</v>
      </c>
      <c r="B145" s="93" t="s">
        <v>1134</v>
      </c>
      <c r="C145" s="107">
        <f t="shared" ref="C145:H145" si="39">(1+C143)*(1+C144)-1</f>
        <v>6.0000000000000053E-2</v>
      </c>
      <c r="D145" s="107">
        <f t="shared" si="39"/>
        <v>5.4999999999999938E-2</v>
      </c>
      <c r="E145" s="107">
        <f t="shared" si="39"/>
        <v>5.0000000000000044E-2</v>
      </c>
      <c r="F145" s="107">
        <f t="shared" si="39"/>
        <v>5.0000000000000044E-2</v>
      </c>
      <c r="G145" s="107">
        <f t="shared" si="39"/>
        <v>4.4999999999999929E-2</v>
      </c>
      <c r="H145" s="107">
        <f t="shared" si="39"/>
        <v>3.0000000000000027E-2</v>
      </c>
      <c r="I145" s="92"/>
      <c r="J145" s="114" t="str">
        <f>IF(COUNT(Segments!I67)=1,Segments!I67,"")</f>
        <v/>
      </c>
      <c r="K145" s="114">
        <f>IF(COUNT(Segments!J67)=1,Segments!J67,"")</f>
        <v>-3.5547656076427847E-3</v>
      </c>
      <c r="L145" s="114">
        <f>IF(COUNT(Segments!K67)=1,Segments!K67,"")</f>
        <v>1.4269788182831755E-2</v>
      </c>
      <c r="M145" s="114">
        <f>IF(COUNT(Segments!L67)=1,Segments!L67,"")</f>
        <v>1.758628269949436E-2</v>
      </c>
      <c r="N145" s="107">
        <f t="shared" si="37"/>
        <v>0.1020090732339598</v>
      </c>
      <c r="O145" s="92"/>
      <c r="P145" s="114">
        <f>IF(COUNT(Segments!R67)=1,Segments!R67,"")</f>
        <v>-2.2009569377990479E-2</v>
      </c>
      <c r="Q145" s="114">
        <f>IF(COUNT(Segments!S67)=1,Segments!S67,"")</f>
        <v>5.015045135406293E-3</v>
      </c>
      <c r="R145" s="114">
        <f>IF(COUNT(Segments!T67)=1,Segments!T67,"")</f>
        <v>2.1998166819431786E-2</v>
      </c>
      <c r="S145" s="114">
        <f>IF(COUNT(Segments!U67)=1,Segments!U67,"")</f>
        <v>5.2259887005649652E-2</v>
      </c>
      <c r="T145" s="114">
        <f>IF(COUNT(Segments!V67)=1,Segments!V67,"")</f>
        <v>0.11448140900195702</v>
      </c>
      <c r="U145" s="114">
        <f>IF(COUNT(Segments!W67)=1,Segments!W67,"")</f>
        <v>0.12175648702594821</v>
      </c>
      <c r="V145" s="114">
        <f>IF(COUNT(Segments!X67)=1,Segments!X67,"")</f>
        <v>0.1022421524663677</v>
      </c>
    </row>
    <row r="146" spans="1:22" ht="24" customHeight="1">
      <c r="A146" s="109" t="s">
        <v>63</v>
      </c>
      <c r="B146" s="110" t="s">
        <v>1157</v>
      </c>
      <c r="C146" s="111">
        <f>N146*(1+C145)</f>
        <v>5407.2719999999999</v>
      </c>
      <c r="D146" s="111">
        <f>C146*(1+D145)</f>
        <v>5704.6719599999997</v>
      </c>
      <c r="E146" s="111">
        <f>D146*(1+E145)</f>
        <v>5989.9055579999995</v>
      </c>
      <c r="F146" s="111">
        <f>E146*(1+F145)</f>
        <v>6289.4008358999999</v>
      </c>
      <c r="G146" s="111">
        <f>F146*(1+G145)</f>
        <v>6572.4238735154995</v>
      </c>
      <c r="H146" s="111">
        <f>G146*(1+H145)</f>
        <v>6769.5965897209644</v>
      </c>
      <c r="I146" s="92"/>
      <c r="J146" s="115">
        <f>IF(COUNT(Segments!I66)=1,Segments!I66,"")</f>
        <v>4501</v>
      </c>
      <c r="K146" s="115">
        <f>IF(COUNT(Segments!J66)=1,Segments!J66,"")</f>
        <v>4485</v>
      </c>
      <c r="L146" s="115">
        <f>IF(COUNT(Segments!K66)=1,Segments!K66,"")</f>
        <v>4549</v>
      </c>
      <c r="M146" s="115">
        <f>IF(COUNT(Segments!L66)=1,Segments!L66,"")</f>
        <v>4629</v>
      </c>
      <c r="N146" s="111">
        <f t="shared" si="37"/>
        <v>5101.2</v>
      </c>
      <c r="O146" s="92"/>
      <c r="P146" s="115">
        <f>IF(COUNT(Segments!R66)=1,Segments!R66,"")</f>
        <v>1022</v>
      </c>
      <c r="Q146" s="115">
        <f>IF(COUNT(Segments!S66)=1,Segments!S66,"")</f>
        <v>1002</v>
      </c>
      <c r="R146" s="115">
        <f>IF(COUNT(Segments!T66)=1,Segments!T66,"")</f>
        <v>1115</v>
      </c>
      <c r="S146" s="115">
        <f>IF(COUNT(Segments!U66)=1,Segments!U66,"")</f>
        <v>1490</v>
      </c>
      <c r="T146" s="115">
        <f>IF(COUNT(Segments!V66)=1,Segments!V66,"")</f>
        <v>1139</v>
      </c>
      <c r="U146" s="115">
        <f>IF(COUNT(Segments!W66)=1,Segments!W66,"")</f>
        <v>1124</v>
      </c>
      <c r="V146" s="115">
        <f>IF(COUNT(Segments!X66)=1,Segments!X66,"")</f>
        <v>1229</v>
      </c>
    </row>
    <row r="147" spans="1:22" ht="20" customHeight="1">
      <c r="A147" s="106" t="s">
        <v>86</v>
      </c>
      <c r="B147" s="93" t="s">
        <v>1134</v>
      </c>
      <c r="C147" s="119">
        <v>0.11749999999999999</v>
      </c>
      <c r="D147" s="119">
        <v>0.12</v>
      </c>
      <c r="E147" s="119">
        <v>0.1225</v>
      </c>
      <c r="F147" s="119">
        <v>0.125</v>
      </c>
      <c r="G147" s="119">
        <v>0.1275</v>
      </c>
      <c r="H147" s="107">
        <f>G147</f>
        <v>0.1275</v>
      </c>
      <c r="I147" s="92"/>
      <c r="J147" s="114" t="str">
        <f>IF(COUNT(Segments!I70)=1,Segments!I70,"")</f>
        <v/>
      </c>
      <c r="K147" s="114">
        <f>IF(COUNT(Segments!J70)=1,Segments!J70,"")</f>
        <v>8.2497212931995537E-2</v>
      </c>
      <c r="L147" s="114">
        <f>IF(COUNT(Segments!K70)=1,Segments!K70,"")</f>
        <v>8.5952956693778851E-2</v>
      </c>
      <c r="M147" s="114">
        <f>IF(COUNT(Segments!L70)=1,Segments!L70,"")</f>
        <v>0.10023763231799525</v>
      </c>
      <c r="N147" s="107">
        <f t="shared" si="37"/>
        <v>0.11828863796753705</v>
      </c>
      <c r="O147" s="92"/>
      <c r="P147" s="114">
        <f>IF(COUNT(Segments!R70)=1,Segments!R70,"")</f>
        <v>0.15753424657534246</v>
      </c>
      <c r="Q147" s="114">
        <f>IF(COUNT(Segments!S70)=1,Segments!S70,"")</f>
        <v>9.2814371257485026E-2</v>
      </c>
      <c r="R147" s="114">
        <f>IF(COUNT(Segments!T70)=1,Segments!T70,"")</f>
        <v>0.13991031390134528</v>
      </c>
      <c r="S147" s="114">
        <f>IF(COUNT(Segments!U70)=1,Segments!U70,"")</f>
        <v>3.6241610738255034E-2</v>
      </c>
      <c r="T147" s="114">
        <f>IF(COUNT(Segments!V70)=1,Segments!V70,"")</f>
        <v>0.19139596136962247</v>
      </c>
      <c r="U147" s="114">
        <f>IF(COUNT(Segments!W70)=1,Segments!W70,"")</f>
        <v>0.11921708185053381</v>
      </c>
      <c r="V147" s="114">
        <f>IF(COUNT(Segments!X70)=1,Segments!X70,"")</f>
        <v>0.14564686737184704</v>
      </c>
    </row>
    <row r="148" spans="1:22" ht="24" customHeight="1">
      <c r="A148" s="109" t="s">
        <v>84</v>
      </c>
      <c r="B148" s="110" t="s">
        <v>1157</v>
      </c>
      <c r="C148" s="111">
        <f t="shared" ref="C148:H148" si="40">C146*C147</f>
        <v>635.3544599999999</v>
      </c>
      <c r="D148" s="111">
        <f t="shared" si="40"/>
        <v>684.56063519999998</v>
      </c>
      <c r="E148" s="111">
        <f t="shared" si="40"/>
        <v>733.76343085499991</v>
      </c>
      <c r="F148" s="111">
        <f t="shared" si="40"/>
        <v>786.17510448749999</v>
      </c>
      <c r="G148" s="111">
        <f t="shared" si="40"/>
        <v>837.98404387322626</v>
      </c>
      <c r="H148" s="111">
        <f t="shared" si="40"/>
        <v>863.12356518942295</v>
      </c>
      <c r="I148" s="92"/>
      <c r="J148" s="115" t="str">
        <f>IF(COUNT(Segments!I68)=1,Segments!I68,"")</f>
        <v/>
      </c>
      <c r="K148" s="115">
        <f>IF(COUNT(Segments!J68)=1,Segments!J68,"")</f>
        <v>370</v>
      </c>
      <c r="L148" s="115">
        <f>IF(COUNT(Segments!K68)=1,Segments!K68,"")</f>
        <v>391</v>
      </c>
      <c r="M148" s="115">
        <f>IF(COUNT(Segments!L68)=1,Segments!L68,"")</f>
        <v>464</v>
      </c>
      <c r="N148" s="111">
        <f t="shared" si="37"/>
        <v>603.41399999999999</v>
      </c>
      <c r="O148" s="92"/>
      <c r="P148" s="115">
        <f>IF(COUNT(Segments!R68)=1,Segments!R68,"")</f>
        <v>161</v>
      </c>
      <c r="Q148" s="115">
        <f>IF(COUNT(Segments!S68)=1,Segments!S68,"")</f>
        <v>93</v>
      </c>
      <c r="R148" s="115">
        <f>IF(COUNT(Segments!T68)=1,Segments!T68,"")</f>
        <v>156</v>
      </c>
      <c r="S148" s="115">
        <f>IF(COUNT(Segments!U68)=1,Segments!U68,"")</f>
        <v>54</v>
      </c>
      <c r="T148" s="115">
        <f>IF(COUNT(Segments!V68)=1,Segments!V68,"")</f>
        <v>218</v>
      </c>
      <c r="U148" s="115">
        <f>IF(COUNT(Segments!W68)=1,Segments!W68,"")</f>
        <v>134</v>
      </c>
      <c r="V148" s="115">
        <f>IF(COUNT(Segments!X68)=1,Segments!X68,"")</f>
        <v>179</v>
      </c>
    </row>
    <row r="149" spans="1:22" ht="20" customHeight="1">
      <c r="A149" s="106" t="s">
        <v>85</v>
      </c>
      <c r="B149" s="93" t="s">
        <v>1134</v>
      </c>
      <c r="C149" s="107">
        <f>C148/N148-1</f>
        <v>5.2932911732243459E-2</v>
      </c>
      <c r="D149" s="107">
        <f>D148/C148-1</f>
        <v>7.7446808510638343E-2</v>
      </c>
      <c r="E149" s="107">
        <f>E148/D148-1</f>
        <v>7.1874999999999911E-2</v>
      </c>
      <c r="F149" s="107">
        <f>F148/E148-1</f>
        <v>7.1428571428571619E-2</v>
      </c>
      <c r="G149" s="107">
        <f>G148/F148-1</f>
        <v>6.590000000000007E-2</v>
      </c>
      <c r="H149" s="107">
        <f>H148/G148-1</f>
        <v>2.9999999999999805E-2</v>
      </c>
      <c r="I149" s="92"/>
      <c r="J149" s="114" t="str">
        <f>IF(COUNT(Segments!I69)=1,Segments!I69,"")</f>
        <v/>
      </c>
      <c r="K149" s="114" t="str">
        <f>IF(COUNT(Segments!J69)=1,Segments!J69,"")</f>
        <v/>
      </c>
      <c r="L149" s="114">
        <f>IF(COUNT(Segments!K69)=1,Segments!K69,"")</f>
        <v>5.6756756756756843E-2</v>
      </c>
      <c r="M149" s="114">
        <f>IF(COUNT(Segments!L69)=1,Segments!L69,"")</f>
        <v>0.1867007672634271</v>
      </c>
      <c r="N149" s="107">
        <f t="shared" si="37"/>
        <v>0.30046120689655176</v>
      </c>
      <c r="O149" s="92"/>
      <c r="P149" s="114">
        <f>IF(COUNT(Segments!R69)=1,Segments!R69,"")</f>
        <v>-7.999999999999996E-2</v>
      </c>
      <c r="Q149" s="114">
        <f>IF(COUNT(Segments!S69)=1,Segments!S69,"")</f>
        <v>-0.13084112149532712</v>
      </c>
      <c r="R149" s="114">
        <f>IF(COUNT(Segments!T69)=1,Segments!T69,"")</f>
        <v>0.19083969465648853</v>
      </c>
      <c r="S149" s="114" t="str">
        <f>IF(COUNT(Segments!U69)=1,Segments!U69,"")</f>
        <v/>
      </c>
      <c r="T149" s="114">
        <f>IF(COUNT(Segments!V69)=1,Segments!V69,"")</f>
        <v>0.35403726708074523</v>
      </c>
      <c r="U149" s="114">
        <f>IF(COUNT(Segments!W69)=1,Segments!W69,"")</f>
        <v>0.44086021505376349</v>
      </c>
      <c r="V149" s="114">
        <f>IF(COUNT(Segments!X69)=1,Segments!X69,"")</f>
        <v>0.14743589743589736</v>
      </c>
    </row>
    <row r="150" spans="1:22" ht="22" customHeight="1">
      <c r="A150" s="91"/>
      <c r="B150" s="93"/>
      <c r="C150" s="92"/>
      <c r="D150" s="92"/>
      <c r="E150" s="92"/>
      <c r="F150" s="92"/>
      <c r="G150" s="92"/>
      <c r="H150" s="92"/>
      <c r="I150" s="92"/>
      <c r="J150" s="92"/>
      <c r="K150" s="92"/>
      <c r="L150" s="92"/>
      <c r="M150" s="92"/>
      <c r="N150" s="92"/>
      <c r="O150" s="92"/>
      <c r="P150" s="92"/>
      <c r="Q150" s="92"/>
      <c r="R150" s="92"/>
      <c r="S150" s="92"/>
      <c r="T150" s="92"/>
      <c r="U150" s="92"/>
      <c r="V150" s="92"/>
    </row>
    <row r="151" spans="1:22" ht="22" customHeight="1">
      <c r="A151" s="91"/>
      <c r="B151" s="93"/>
      <c r="C151" s="92"/>
      <c r="D151" s="92"/>
      <c r="E151" s="92"/>
      <c r="F151" s="92"/>
      <c r="G151" s="92"/>
      <c r="H151" s="92"/>
      <c r="I151" s="92"/>
      <c r="J151" s="92"/>
      <c r="K151" s="92"/>
      <c r="L151" s="92"/>
      <c r="M151" s="92"/>
      <c r="N151" s="92"/>
      <c r="O151" s="92"/>
      <c r="P151" s="92"/>
      <c r="Q151" s="92"/>
      <c r="R151" s="92"/>
      <c r="S151" s="92"/>
      <c r="T151" s="92"/>
      <c r="U151" s="92"/>
      <c r="V151" s="92"/>
    </row>
    <row r="152" spans="1:22" ht="22" customHeight="1">
      <c r="A152" s="96" t="s">
        <v>1158</v>
      </c>
      <c r="B152" s="97"/>
      <c r="C152" s="98"/>
      <c r="D152" s="98"/>
      <c r="E152" s="98"/>
      <c r="F152" s="98"/>
      <c r="G152" s="98"/>
      <c r="H152" s="98"/>
      <c r="I152" s="92"/>
      <c r="J152" s="92"/>
      <c r="K152" s="92"/>
      <c r="L152" s="92"/>
      <c r="M152" s="92"/>
      <c r="N152" s="92"/>
      <c r="O152" s="92"/>
      <c r="P152" s="92"/>
      <c r="Q152" s="92"/>
      <c r="R152" s="92"/>
      <c r="S152" s="92"/>
      <c r="T152" s="92"/>
      <c r="U152" s="92"/>
      <c r="V152" s="92"/>
    </row>
    <row r="153" spans="1:22" ht="24" customHeight="1">
      <c r="A153" s="109" t="s">
        <v>63</v>
      </c>
      <c r="B153" s="110" t="s">
        <v>1157</v>
      </c>
      <c r="C153" s="111">
        <f t="shared" ref="C153:H153" si="41">SUM(C101,C110,C119,C128,C137,C146)</f>
        <v>102331.23449499998</v>
      </c>
      <c r="D153" s="111">
        <f t="shared" si="41"/>
        <v>106869.95724039039</v>
      </c>
      <c r="E153" s="111">
        <f t="shared" si="41"/>
        <v>109185.96966428348</v>
      </c>
      <c r="F153" s="111">
        <f t="shared" si="41"/>
        <v>112764.65522027596</v>
      </c>
      <c r="G153" s="111">
        <f t="shared" si="41"/>
        <v>116291.30680505287</v>
      </c>
      <c r="H153" s="111">
        <f t="shared" si="41"/>
        <v>119780.04600920448</v>
      </c>
      <c r="I153" s="92"/>
      <c r="J153" s="115">
        <f>IF(COUNT(Segments!I76)=1,Segments!I76,"")</f>
        <v>86392</v>
      </c>
      <c r="K153" s="115">
        <f>IF(COUNT(Segments!J76)=1,Segments!J76,"")</f>
        <v>91471</v>
      </c>
      <c r="L153" s="115">
        <f>IF(COUNT(Segments!K76)=1,Segments!K76,"")</f>
        <v>91854</v>
      </c>
      <c r="M153" s="115">
        <f>IF(COUNT(Segments!L76)=1,Segments!L76,"")</f>
        <v>93925</v>
      </c>
      <c r="N153" s="111">
        <f t="shared" ref="N153:N166" si="42">E66</f>
        <v>99339.850999999995</v>
      </c>
      <c r="O153" s="92"/>
      <c r="P153" s="115">
        <f>IF(COUNT(Segments!R76)=1,Segments!R76,"")</f>
        <v>17919</v>
      </c>
      <c r="Q153" s="115">
        <f>IF(COUNT(Segments!S76)=1,Segments!S76,"")</f>
        <v>22726</v>
      </c>
      <c r="R153" s="115">
        <f>IF(COUNT(Segments!T76)=1,Segments!T76,"")</f>
        <v>23937</v>
      </c>
      <c r="S153" s="115">
        <f>IF(COUNT(Segments!U76)=1,Segments!U76,"")</f>
        <v>29343</v>
      </c>
      <c r="T153" s="115">
        <f>IF(COUNT(Segments!V76)=1,Segments!V76,"")</f>
        <v>19443</v>
      </c>
      <c r="U153" s="115">
        <f>IF(COUNT(Segments!W76)=1,Segments!W76,"")</f>
        <v>24181</v>
      </c>
      <c r="V153" s="115">
        <f>IF(COUNT(Segments!X76)=1,Segments!X76,"")</f>
        <v>25274</v>
      </c>
    </row>
    <row r="154" spans="1:22" ht="20" customHeight="1">
      <c r="A154" s="106" t="s">
        <v>1156</v>
      </c>
      <c r="B154" s="93" t="s">
        <v>1134</v>
      </c>
      <c r="C154" s="107">
        <f>C153/N153-1</f>
        <v>3.0112623130469363E-2</v>
      </c>
      <c r="D154" s="107">
        <f>D153/C153-1</f>
        <v>4.4353249208697543E-2</v>
      </c>
      <c r="E154" s="107">
        <f>E153/D153-1</f>
        <v>2.1671314218677074E-2</v>
      </c>
      <c r="F154" s="107">
        <f>F153/E153-1</f>
        <v>3.2776056914601392E-2</v>
      </c>
      <c r="G154" s="107">
        <f>G153/F153-1</f>
        <v>3.1274441250123131E-2</v>
      </c>
      <c r="H154" s="107">
        <f>H153/G153-1</f>
        <v>3.0000000000000249E-2</v>
      </c>
      <c r="I154" s="92"/>
      <c r="J154" s="114">
        <f>IF(COUNT(Segments!I77)=1,Segments!I77,"")</f>
        <v>8.7047336235750006E-2</v>
      </c>
      <c r="K154" s="114">
        <f>IF(COUNT(Segments!J77)=1,Segments!J77,"")</f>
        <v>5.879016575608853E-2</v>
      </c>
      <c r="L154" s="114">
        <f>IF(COUNT(Segments!K77)=1,Segments!K77,"")</f>
        <v>4.1871194148965785E-3</v>
      </c>
      <c r="M154" s="114">
        <f>IF(COUNT(Segments!L77)=1,Segments!L77,"")</f>
        <v>2.2546650118666633E-2</v>
      </c>
      <c r="N154" s="107">
        <f t="shared" si="42"/>
        <v>5.7650795847750791E-2</v>
      </c>
      <c r="O154" s="92"/>
      <c r="P154" s="114">
        <f>IF(COUNT(Segments!R77)=1,Segments!R77,"")</f>
        <v>-1.813698630136984E-2</v>
      </c>
      <c r="Q154" s="114">
        <f>IF(COUNT(Segments!S77)=1,Segments!S77,"")</f>
        <v>9.9995555753078502E-3</v>
      </c>
      <c r="R154" s="114">
        <f>IF(COUNT(Segments!T77)=1,Segments!T77,"")</f>
        <v>2.6501994082078983E-2</v>
      </c>
      <c r="S154" s="114">
        <f>IF(COUNT(Segments!U77)=1,Segments!U77,"")</f>
        <v>5.6111431039447268E-2</v>
      </c>
      <c r="T154" s="114">
        <f>IF(COUNT(Segments!V77)=1,Segments!V77,"")</f>
        <v>8.5049388916792257E-2</v>
      </c>
      <c r="U154" s="114">
        <f>IF(COUNT(Segments!W77)=1,Segments!W77,"")</f>
        <v>6.4023585320778009E-2</v>
      </c>
      <c r="V154" s="114">
        <f>IF(COUNT(Segments!X77)=1,Segments!X77,"")</f>
        <v>5.585495258386608E-2</v>
      </c>
    </row>
    <row r="155" spans="1:22" ht="22" customHeight="1">
      <c r="A155" s="91" t="s">
        <v>1159</v>
      </c>
      <c r="B155" s="93" t="s">
        <v>1157</v>
      </c>
      <c r="C155" s="108">
        <f t="shared" ref="C155:H155" si="43">SUM(C103,C112,C121,C130,C139,C148)</f>
        <v>17875.211141824999</v>
      </c>
      <c r="D155" s="108">
        <f t="shared" si="43"/>
        <v>18835.999317417314</v>
      </c>
      <c r="E155" s="108">
        <f t="shared" si="43"/>
        <v>19451.190288388712</v>
      </c>
      <c r="F155" s="108">
        <f t="shared" si="43"/>
        <v>20285.855825196726</v>
      </c>
      <c r="G155" s="108">
        <f t="shared" si="43"/>
        <v>21099.772346022255</v>
      </c>
      <c r="H155" s="108">
        <f t="shared" si="43"/>
        <v>21732.765516402924</v>
      </c>
      <c r="I155" s="92"/>
      <c r="J155" s="108" t="str">
        <f>IF(COUNT(J103,J112,J121,J130,J139,J148)=6,SUM(J103,J112,J121,J130,J139,J148),"")</f>
        <v/>
      </c>
      <c r="K155" s="108">
        <f>IF(COUNT(K103,K112,K121,K130,K139,K148)=6,SUM(K103,K112,K121,K130,K139,K148),"")</f>
        <v>16101</v>
      </c>
      <c r="L155" s="108">
        <f>IF(COUNT(L103,L112,L121,L130,L139,L148)=6,SUM(L103,L112,L121,L130,L139,L148),"")</f>
        <v>16518</v>
      </c>
      <c r="M155" s="108">
        <f>IF(COUNT(M103,M112,M121,M130,M139,M148)=6,SUM(M103,M112,M121,M130,M139,M148),"")</f>
        <v>16865</v>
      </c>
      <c r="N155" s="108">
        <f t="shared" si="42"/>
        <v>17512.06956</v>
      </c>
      <c r="O155" s="92"/>
      <c r="P155" s="108">
        <f t="shared" ref="P155:V155" si="44">SUM(P103,P112,P121,P130,P139,P148)</f>
        <v>3194</v>
      </c>
      <c r="Q155" s="108">
        <f t="shared" si="44"/>
        <v>4315</v>
      </c>
      <c r="R155" s="108">
        <f t="shared" si="44"/>
        <v>4543</v>
      </c>
      <c r="S155" s="108">
        <f t="shared" si="44"/>
        <v>4813</v>
      </c>
      <c r="T155" s="108">
        <f t="shared" si="44"/>
        <v>3422</v>
      </c>
      <c r="U155" s="108">
        <f t="shared" si="44"/>
        <v>4520</v>
      </c>
      <c r="V155" s="108">
        <f t="shared" si="44"/>
        <v>4703</v>
      </c>
    </row>
    <row r="156" spans="1:22" ht="22" customHeight="1">
      <c r="A156" s="91" t="s">
        <v>94</v>
      </c>
      <c r="B156" s="93" t="s">
        <v>1157</v>
      </c>
      <c r="C156" s="117">
        <v>-2071.33</v>
      </c>
      <c r="D156" s="117">
        <v>-2133.4699000000001</v>
      </c>
      <c r="E156" s="117">
        <v>-2197.4739970000001</v>
      </c>
      <c r="F156" s="117">
        <v>-2263.3982169100004</v>
      </c>
      <c r="G156" s="117">
        <v>-2331.3001634173002</v>
      </c>
      <c r="H156" s="108">
        <f>G156*(1+$C$4)</f>
        <v>-2401.2391683198193</v>
      </c>
      <c r="I156" s="92"/>
      <c r="J156" s="116" t="str">
        <f>IF(COUNT(Segments!I73)=1,Segments!I73,"")</f>
        <v/>
      </c>
      <c r="K156" s="116">
        <f>IF(COUNT(Segments!J73)=1,Segments!J73,"")</f>
        <v>-2226</v>
      </c>
      <c r="L156" s="116">
        <f>IF(COUNT(Segments!K73)=1,Segments!K73,"")</f>
        <v>-1820</v>
      </c>
      <c r="M156" s="116">
        <f>IF(COUNT(Segments!L73)=1,Segments!L73,"")</f>
        <v>-1953</v>
      </c>
      <c r="N156" s="108">
        <f t="shared" si="42"/>
        <v>-2011</v>
      </c>
      <c r="O156" s="92"/>
      <c r="P156" s="116">
        <f>IF(COUNT(Segments!R73)=1,Segments!R73,"")</f>
        <v>-405</v>
      </c>
      <c r="Q156" s="116">
        <f>IF(COUNT(Segments!S73)=1,Segments!S73,"")</f>
        <v>-404</v>
      </c>
      <c r="R156" s="116">
        <f>IF(COUNT(Segments!T73)=1,Segments!T73,"")</f>
        <v>-406</v>
      </c>
      <c r="S156" s="116">
        <f>IF(COUNT(Segments!U73)=1,Segments!U73,"")</f>
        <v>-738</v>
      </c>
      <c r="T156" s="116">
        <f>IF(COUNT(Segments!V73)=1,Segments!V73,"")</f>
        <v>-372</v>
      </c>
      <c r="U156" s="116">
        <f>IF(COUNT(Segments!W73)=1,Segments!W73,"")</f>
        <v>-453</v>
      </c>
      <c r="V156" s="116">
        <f>IF(COUNT(Segments!X73)=1,Segments!X73,"")</f>
        <v>-426</v>
      </c>
    </row>
    <row r="157" spans="1:22" ht="24" customHeight="1">
      <c r="A157" s="109" t="s">
        <v>1160</v>
      </c>
      <c r="B157" s="110" t="s">
        <v>1157</v>
      </c>
      <c r="C157" s="111">
        <f t="shared" ref="C157:H157" si="45">SUM(C155,C156)</f>
        <v>15803.881141824999</v>
      </c>
      <c r="D157" s="111">
        <f t="shared" si="45"/>
        <v>16702.529417417314</v>
      </c>
      <c r="E157" s="111">
        <f t="shared" si="45"/>
        <v>17253.716291388711</v>
      </c>
      <c r="F157" s="111">
        <f t="shared" si="45"/>
        <v>18022.457608286724</v>
      </c>
      <c r="G157" s="111">
        <f t="shared" si="45"/>
        <v>18768.472182604954</v>
      </c>
      <c r="H157" s="111">
        <f t="shared" si="45"/>
        <v>19331.526348083105</v>
      </c>
      <c r="I157" s="92"/>
      <c r="J157" s="115">
        <f>IF(COUNT(Segments!I78)=1,Segments!I78,"")</f>
        <v>12325</v>
      </c>
      <c r="K157" s="115">
        <f>IF(COUNT(Segments!J78)=1,Segments!J78,"")</f>
        <v>13875</v>
      </c>
      <c r="L157" s="115">
        <f>IF(COUNT(Segments!K78)=1,Segments!K78,"")</f>
        <v>14698</v>
      </c>
      <c r="M157" s="115">
        <f>IF(COUNT(Segments!L78)=1,Segments!L78,"")</f>
        <v>14912</v>
      </c>
      <c r="N157" s="111">
        <f t="shared" si="42"/>
        <v>15501.06956</v>
      </c>
      <c r="O157" s="92"/>
      <c r="P157" s="115">
        <f>IF(COUNT(Segments!R78)=1,Segments!R78,"")</f>
        <v>2789</v>
      </c>
      <c r="Q157" s="115">
        <f>IF(COUNT(Segments!S78)=1,Segments!S78,"")</f>
        <v>3911</v>
      </c>
      <c r="R157" s="115">
        <f>IF(COUNT(Segments!T78)=1,Segments!T78,"")</f>
        <v>4137</v>
      </c>
      <c r="S157" s="115">
        <f>IF(COUNT(Segments!U78)=1,Segments!U78,"")</f>
        <v>4075</v>
      </c>
      <c r="T157" s="115">
        <f>IF(COUNT(Segments!V78)=1,Segments!V78,"")</f>
        <v>3050</v>
      </c>
      <c r="U157" s="115">
        <f>IF(COUNT(Segments!W78)=1,Segments!W78,"")</f>
        <v>4067</v>
      </c>
      <c r="V157" s="115">
        <f>IF(COUNT(Segments!X78)=1,Segments!X78,"")</f>
        <v>4277</v>
      </c>
    </row>
    <row r="158" spans="1:22" ht="20" customHeight="1">
      <c r="A158" s="106" t="s">
        <v>1161</v>
      </c>
      <c r="B158" s="93" t="s">
        <v>1134</v>
      </c>
      <c r="C158" s="107">
        <f t="shared" ref="C158:H158" si="46">C157/C153</f>
        <v>0.15443848810987612</v>
      </c>
      <c r="D158" s="107">
        <f t="shared" si="46"/>
        <v>0.15628835127019933</v>
      </c>
      <c r="E158" s="107">
        <f t="shared" si="46"/>
        <v>0.15802136798747216</v>
      </c>
      <c r="F158" s="107">
        <f t="shared" si="46"/>
        <v>0.15982363953564543</v>
      </c>
      <c r="G158" s="107">
        <f t="shared" si="46"/>
        <v>0.16139187612766134</v>
      </c>
      <c r="H158" s="107">
        <f t="shared" si="46"/>
        <v>0.16139187612766134</v>
      </c>
      <c r="I158" s="92"/>
      <c r="J158" s="114">
        <f>IF(COUNT(Segments!I80)=1,Segments!I80,"")</f>
        <v>0.14266367256227427</v>
      </c>
      <c r="K158" s="114">
        <f>IF(COUNT(Segments!J80)=1,Segments!J80,"")</f>
        <v>0.15168742005662997</v>
      </c>
      <c r="L158" s="114">
        <f>IF(COUNT(Segments!K80)=1,Segments!K80,"")</f>
        <v>0.16001480610534108</v>
      </c>
      <c r="M158" s="114">
        <f>IF(COUNT(Segments!L80)=1,Segments!L80,"")</f>
        <v>0.15876497205216927</v>
      </c>
      <c r="N158" s="107">
        <f t="shared" si="42"/>
        <v>0.15604079736338644</v>
      </c>
      <c r="O158" s="92"/>
      <c r="P158" s="114">
        <f>IF(COUNT(Segments!R80)=1,Segments!R80,"")</f>
        <v>0.15564484625258107</v>
      </c>
      <c r="Q158" s="114">
        <f>IF(COUNT(Segments!S80)=1,Segments!S80,"")</f>
        <v>0.17209363724368565</v>
      </c>
      <c r="R158" s="114">
        <f>IF(COUNT(Segments!T80)=1,Segments!T80,"")</f>
        <v>0.17282867527259055</v>
      </c>
      <c r="S158" s="114">
        <f>IF(COUNT(Segments!U80)=1,Segments!U80,"")</f>
        <v>0.13887468902293562</v>
      </c>
      <c r="T158" s="114">
        <f>IF(COUNT(Segments!V80)=1,Segments!V80,"")</f>
        <v>0.15686879596770045</v>
      </c>
      <c r="U158" s="114">
        <f>IF(COUNT(Segments!W80)=1,Segments!W80,"")</f>
        <v>0.16818990116206939</v>
      </c>
      <c r="V158" s="114">
        <f>IF(COUNT(Segments!X80)=1,Segments!X80,"")</f>
        <v>0.16922529081269289</v>
      </c>
    </row>
    <row r="159" spans="1:22" ht="22" customHeight="1">
      <c r="A159" s="91" t="s">
        <v>1162</v>
      </c>
      <c r="B159" s="93" t="s">
        <v>1157</v>
      </c>
      <c r="C159" s="117">
        <v>235</v>
      </c>
      <c r="D159" s="117">
        <v>235</v>
      </c>
      <c r="E159" s="117">
        <v>235</v>
      </c>
      <c r="F159" s="117">
        <v>235</v>
      </c>
      <c r="G159" s="117">
        <v>235</v>
      </c>
      <c r="H159" s="108">
        <f>G159*(1+$C$4)</f>
        <v>242.05</v>
      </c>
      <c r="I159" s="92"/>
      <c r="J159" s="117">
        <v>476</v>
      </c>
      <c r="K159" s="117">
        <v>263</v>
      </c>
      <c r="L159" s="117">
        <v>286</v>
      </c>
      <c r="M159" s="117">
        <v>165</v>
      </c>
      <c r="N159" s="108">
        <f t="shared" si="42"/>
        <v>234</v>
      </c>
      <c r="O159" s="92"/>
      <c r="P159" s="117">
        <v>39</v>
      </c>
      <c r="Q159" s="117">
        <v>39</v>
      </c>
      <c r="R159" s="117">
        <v>38</v>
      </c>
      <c r="S159" s="117">
        <v>49</v>
      </c>
      <c r="T159" s="117">
        <v>59</v>
      </c>
      <c r="U159" s="117">
        <v>59</v>
      </c>
      <c r="V159" s="117">
        <v>58</v>
      </c>
    </row>
    <row r="160" spans="1:22" ht="22" customHeight="1">
      <c r="A160" s="91" t="s">
        <v>1163</v>
      </c>
      <c r="B160" s="93" t="s">
        <v>1157</v>
      </c>
      <c r="C160" s="117">
        <v>-1150</v>
      </c>
      <c r="D160" s="117">
        <v>-1180</v>
      </c>
      <c r="E160" s="117">
        <v>-1210</v>
      </c>
      <c r="F160" s="117">
        <v>-1240</v>
      </c>
      <c r="G160" s="117">
        <v>-1270</v>
      </c>
      <c r="H160" s="108">
        <f>G160*(1+$C$4)</f>
        <v>-1308.1000000000001</v>
      </c>
      <c r="I160" s="92"/>
      <c r="J160" s="116">
        <f>IF(COUNT('Income Statement'!I26)=1,'Income Statement'!I26,"")</f>
        <v>-939</v>
      </c>
      <c r="K160" s="116">
        <f>IF(COUNT('Income Statement'!J26)=1,'Income Statement'!J26,"")</f>
        <v>-819</v>
      </c>
      <c r="L160" s="116">
        <f>IF(COUNT('Income Statement'!K26)=1,'Income Statement'!K26,"")</f>
        <v>-919</v>
      </c>
      <c r="M160" s="116">
        <f>IF(COUNT('Income Statement'!L26)=1,'Income Statement'!L26,"")</f>
        <v>-1121</v>
      </c>
      <c r="N160" s="108">
        <f t="shared" si="42"/>
        <v>-1098</v>
      </c>
      <c r="O160" s="92"/>
      <c r="P160" s="116">
        <f>IF(COUNT('Income Statement'!R26)=1,'Income Statement'!R26,"")</f>
        <v>-264</v>
      </c>
      <c r="Q160" s="116">
        <f>IF(COUNT('Income Statement'!S26)=1,'Income Statement'!S26,"")</f>
        <v>-260</v>
      </c>
      <c r="R160" s="116">
        <f>IF(COUNT('Income Statement'!T26)=1,'Income Statement'!T26,"")</f>
        <v>-264</v>
      </c>
      <c r="S160" s="116">
        <f>IF(COUNT('Income Statement'!U26)=1,'Income Statement'!U26,"")</f>
        <v>-333</v>
      </c>
      <c r="T160" s="116">
        <f>IF(COUNT('Income Statement'!V26)=1,'Income Statement'!V26,"")</f>
        <v>-301</v>
      </c>
      <c r="U160" s="116">
        <f>IF(COUNT('Income Statement'!W26)=1,'Income Statement'!W26,"")</f>
        <v>-230</v>
      </c>
      <c r="V160" s="116">
        <f>IF(COUNT('Income Statement'!X26)=1,'Income Statement'!X26,"")</f>
        <v>-242</v>
      </c>
    </row>
    <row r="161" spans="1:22" ht="22" customHeight="1">
      <c r="A161" s="91" t="s">
        <v>1164</v>
      </c>
      <c r="B161" s="93" t="s">
        <v>1157</v>
      </c>
      <c r="C161" s="108">
        <f t="shared" ref="C161:H161" si="47">SUM(C157,C159,C160)</f>
        <v>14888.881141824999</v>
      </c>
      <c r="D161" s="108">
        <f t="shared" si="47"/>
        <v>15757.529417417314</v>
      </c>
      <c r="E161" s="108">
        <f t="shared" si="47"/>
        <v>16278.716291388711</v>
      </c>
      <c r="F161" s="108">
        <f t="shared" si="47"/>
        <v>17017.457608286724</v>
      </c>
      <c r="G161" s="108">
        <f t="shared" si="47"/>
        <v>17733.472182604954</v>
      </c>
      <c r="H161" s="108">
        <f t="shared" si="47"/>
        <v>18265.476348083106</v>
      </c>
      <c r="I161" s="92"/>
      <c r="J161" s="108">
        <f>SUM(J157,J159,J160)</f>
        <v>11862</v>
      </c>
      <c r="K161" s="108">
        <f>SUM(K157,K159,K160)</f>
        <v>13319</v>
      </c>
      <c r="L161" s="108">
        <f>SUM(L157,L159,L160)</f>
        <v>14065</v>
      </c>
      <c r="M161" s="108">
        <f>SUM(M157,M159,M160)</f>
        <v>13956</v>
      </c>
      <c r="N161" s="108">
        <f t="shared" si="42"/>
        <v>14637.06956</v>
      </c>
      <c r="O161" s="92"/>
      <c r="P161" s="108">
        <f t="shared" ref="P161:V161" si="48">SUM(P157,P159,P160)</f>
        <v>2564</v>
      </c>
      <c r="Q161" s="108">
        <f t="shared" si="48"/>
        <v>3690</v>
      </c>
      <c r="R161" s="108">
        <f t="shared" si="48"/>
        <v>3911</v>
      </c>
      <c r="S161" s="108">
        <f t="shared" si="48"/>
        <v>3791</v>
      </c>
      <c r="T161" s="108">
        <f t="shared" si="48"/>
        <v>2808</v>
      </c>
      <c r="U161" s="108">
        <f t="shared" si="48"/>
        <v>3896</v>
      </c>
      <c r="V161" s="108">
        <f t="shared" si="48"/>
        <v>4093</v>
      </c>
    </row>
    <row r="162" spans="1:22" ht="20" customHeight="1">
      <c r="A162" s="106" t="s">
        <v>1165</v>
      </c>
      <c r="B162" s="93" t="s">
        <v>1134</v>
      </c>
      <c r="C162" s="119">
        <v>0.215</v>
      </c>
      <c r="D162" s="119">
        <v>0.215</v>
      </c>
      <c r="E162" s="119">
        <v>0.215</v>
      </c>
      <c r="F162" s="119">
        <v>0.215</v>
      </c>
      <c r="G162" s="119">
        <v>0.215</v>
      </c>
      <c r="H162" s="107">
        <f>G162</f>
        <v>0.215</v>
      </c>
      <c r="I162" s="92"/>
      <c r="J162" s="107">
        <f>J163/J161</f>
        <v>0.19996627887371438</v>
      </c>
      <c r="K162" s="107">
        <f>K163/K161</f>
        <v>0.20301824461295892</v>
      </c>
      <c r="L162" s="107">
        <f>L163/L161</f>
        <v>0.19701386420191966</v>
      </c>
      <c r="M162" s="107">
        <f>M163/M161</f>
        <v>0.19525652049297793</v>
      </c>
      <c r="N162" s="107">
        <f t="shared" si="42"/>
        <v>0.21</v>
      </c>
      <c r="O162" s="92"/>
      <c r="P162" s="107">
        <f t="shared" ref="P162:V162" si="49">P163/P161</f>
        <v>0.20436817472698907</v>
      </c>
      <c r="Q162" s="107">
        <f t="shared" si="49"/>
        <v>0.2078590785907859</v>
      </c>
      <c r="R162" s="107">
        <f t="shared" si="49"/>
        <v>0.19406801329583226</v>
      </c>
      <c r="S162" s="107">
        <f t="shared" si="49"/>
        <v>0.17805328409390661</v>
      </c>
      <c r="T162" s="107">
        <f t="shared" si="49"/>
        <v>0.21118233618233617</v>
      </c>
      <c r="U162" s="107">
        <f t="shared" si="49"/>
        <v>0.21996919917864477</v>
      </c>
      <c r="V162" s="107">
        <f t="shared" si="49"/>
        <v>0.21206938675787931</v>
      </c>
    </row>
    <row r="163" spans="1:22" ht="22" customHeight="1">
      <c r="A163" s="91" t="s">
        <v>1166</v>
      </c>
      <c r="B163" s="93" t="s">
        <v>1157</v>
      </c>
      <c r="C163" s="108">
        <f t="shared" ref="C163:H163" si="50">C161*C162</f>
        <v>3201.1094454923746</v>
      </c>
      <c r="D163" s="108">
        <f t="shared" si="50"/>
        <v>3387.8688247447226</v>
      </c>
      <c r="E163" s="108">
        <f t="shared" si="50"/>
        <v>3499.9240026485727</v>
      </c>
      <c r="F163" s="108">
        <f t="shared" si="50"/>
        <v>3658.7533857816456</v>
      </c>
      <c r="G163" s="108">
        <f t="shared" si="50"/>
        <v>3812.6965192600651</v>
      </c>
      <c r="H163" s="108">
        <f t="shared" si="50"/>
        <v>3927.0774148378678</v>
      </c>
      <c r="I163" s="92"/>
      <c r="J163" s="117">
        <v>2372</v>
      </c>
      <c r="K163" s="117">
        <v>2704</v>
      </c>
      <c r="L163" s="117">
        <v>2771</v>
      </c>
      <c r="M163" s="117">
        <v>2725</v>
      </c>
      <c r="N163" s="108">
        <f t="shared" si="42"/>
        <v>3073.7846076000001</v>
      </c>
      <c r="O163" s="92"/>
      <c r="P163" s="117">
        <v>524</v>
      </c>
      <c r="Q163" s="117">
        <v>767</v>
      </c>
      <c r="R163" s="117">
        <v>759</v>
      </c>
      <c r="S163" s="117">
        <v>675</v>
      </c>
      <c r="T163" s="117">
        <v>593</v>
      </c>
      <c r="U163" s="117">
        <v>857</v>
      </c>
      <c r="V163" s="117">
        <v>868</v>
      </c>
    </row>
    <row r="164" spans="1:22" ht="22" customHeight="1">
      <c r="A164" s="91" t="s">
        <v>1167</v>
      </c>
      <c r="B164" s="93" t="s">
        <v>1157</v>
      </c>
      <c r="C164" s="117">
        <v>80</v>
      </c>
      <c r="D164" s="117">
        <v>82</v>
      </c>
      <c r="E164" s="117">
        <v>84</v>
      </c>
      <c r="F164" s="117">
        <v>86</v>
      </c>
      <c r="G164" s="117">
        <v>88</v>
      </c>
      <c r="H164" s="108">
        <f>G164*(1+$C$4)</f>
        <v>90.64</v>
      </c>
      <c r="I164" s="92"/>
      <c r="J164" s="117">
        <v>69</v>
      </c>
      <c r="K164" s="117">
        <v>82</v>
      </c>
      <c r="L164" s="116">
        <f>IF(COUNT('Income Statement'!K30)=1,'Income Statement'!K30,"")</f>
        <v>48</v>
      </c>
      <c r="M164" s="116">
        <f>IF(COUNT('Income Statement'!L30)=1,'Income Statement'!L30,"")</f>
        <v>55</v>
      </c>
      <c r="N164" s="108">
        <f t="shared" si="42"/>
        <v>75</v>
      </c>
      <c r="O164" s="92"/>
      <c r="P164" s="116">
        <f>IF(COUNT('Income Statement'!R30)=1,'Income Statement'!R30,"")</f>
        <v>9</v>
      </c>
      <c r="Q164" s="116">
        <f>IF(COUNT('Income Statement'!S30)=1,'Income Statement'!S30,"")</f>
        <v>16</v>
      </c>
      <c r="R164" s="116">
        <f>IF(COUNT('Income Statement'!T30)=1,'Income Statement'!T30,"")</f>
        <v>15</v>
      </c>
      <c r="S164" s="116">
        <f>IF(COUNT('Income Statement'!U30)=1,'Income Statement'!U30,"")</f>
        <v>15</v>
      </c>
      <c r="T164" s="116">
        <f>IF(COUNT('Income Statement'!V30)=1,'Income Statement'!V30,"")</f>
        <v>11</v>
      </c>
      <c r="U164" s="116">
        <f>IF(COUNT('Income Statement'!W30)=1,'Income Statement'!W30,"")</f>
        <v>23</v>
      </c>
      <c r="V164" s="116">
        <f>IF(COUNT('Income Statement'!X30)=1,'Income Statement'!X30,"")</f>
        <v>22</v>
      </c>
    </row>
    <row r="165" spans="1:22" ht="24" customHeight="1">
      <c r="A165" s="109" t="s">
        <v>1168</v>
      </c>
      <c r="B165" s="110" t="s">
        <v>1157</v>
      </c>
      <c r="C165" s="111">
        <f t="shared" ref="C165:H165" si="51">C161-C163-C164</f>
        <v>11607.771696332624</v>
      </c>
      <c r="D165" s="111">
        <f t="shared" si="51"/>
        <v>12287.660592672592</v>
      </c>
      <c r="E165" s="111">
        <f t="shared" si="51"/>
        <v>12694.792288740138</v>
      </c>
      <c r="F165" s="111">
        <f t="shared" si="51"/>
        <v>13272.704222505079</v>
      </c>
      <c r="G165" s="111">
        <f t="shared" si="51"/>
        <v>13832.775663344888</v>
      </c>
      <c r="H165" s="111">
        <f t="shared" si="51"/>
        <v>14247.758933245239</v>
      </c>
      <c r="I165" s="92"/>
      <c r="J165" s="118">
        <v>9421</v>
      </c>
      <c r="K165" s="118">
        <v>10533</v>
      </c>
      <c r="L165" s="118">
        <v>11246</v>
      </c>
      <c r="M165" s="118">
        <v>11176</v>
      </c>
      <c r="N165" s="111">
        <f t="shared" si="42"/>
        <v>11488.284952399999</v>
      </c>
      <c r="O165" s="92"/>
      <c r="P165" s="118">
        <v>2031</v>
      </c>
      <c r="Q165" s="118">
        <v>2907</v>
      </c>
      <c r="R165" s="118">
        <v>3137</v>
      </c>
      <c r="S165" s="118">
        <v>3101</v>
      </c>
      <c r="T165" s="118">
        <v>2204</v>
      </c>
      <c r="U165" s="118">
        <v>3016</v>
      </c>
      <c r="V165" s="118">
        <v>3203</v>
      </c>
    </row>
    <row r="166" spans="1:22" ht="20" customHeight="1">
      <c r="A166" s="106" t="s">
        <v>1169</v>
      </c>
      <c r="B166" s="93" t="s">
        <v>1134</v>
      </c>
      <c r="C166" s="107">
        <f>C165/N165-1</f>
        <v>1.0400746884996259E-2</v>
      </c>
      <c r="D166" s="107">
        <f>D165/C165-1</f>
        <v>5.8571870133763193E-2</v>
      </c>
      <c r="E166" s="107">
        <f>E165/D165-1</f>
        <v>3.3133377423390842E-2</v>
      </c>
      <c r="F166" s="107">
        <f>F165/E165-1</f>
        <v>4.5523543876927475E-2</v>
      </c>
      <c r="G166" s="107">
        <f>G165/F165-1</f>
        <v>4.2197236633221724E-2</v>
      </c>
      <c r="H166" s="107">
        <f>H165/G165-1</f>
        <v>3.0000000000000249E-2</v>
      </c>
      <c r="I166" s="92"/>
      <c r="J166" s="119">
        <v>8.4369244935543333E-2</v>
      </c>
      <c r="K166" s="107">
        <f>K165/J165-1</f>
        <v>0.11803417896189372</v>
      </c>
      <c r="L166" s="107">
        <f>L165/K165-1</f>
        <v>6.7692015570113062E-2</v>
      </c>
      <c r="M166" s="107">
        <f>M165/L165-1</f>
        <v>-6.2244353547927789E-3</v>
      </c>
      <c r="N166" s="107">
        <f t="shared" si="42"/>
        <v>2.7942461739441704E-2</v>
      </c>
      <c r="O166" s="92"/>
      <c r="P166" s="107"/>
      <c r="Q166" s="107"/>
      <c r="R166" s="107"/>
      <c r="S166" s="107"/>
      <c r="T166" s="107">
        <f>T165/P165-1</f>
        <v>8.5179714426391051E-2</v>
      </c>
      <c r="U166" s="107">
        <f>U165/Q165-1</f>
        <v>3.7495700034399615E-2</v>
      </c>
      <c r="V166" s="107">
        <f>V165/R165-1</f>
        <v>2.1039209435766759E-2</v>
      </c>
    </row>
    <row r="167" spans="1:22" ht="22" customHeight="1">
      <c r="A167" s="91" t="s">
        <v>1186</v>
      </c>
      <c r="B167" s="93" t="s">
        <v>1157</v>
      </c>
      <c r="C167" s="117">
        <v>950</v>
      </c>
      <c r="D167" s="117">
        <v>300</v>
      </c>
      <c r="E167" s="117">
        <v>225</v>
      </c>
      <c r="F167" s="117">
        <v>175</v>
      </c>
      <c r="G167" s="117">
        <v>300</v>
      </c>
      <c r="H167" s="108">
        <f>G167*(1+$C$4)</f>
        <v>309</v>
      </c>
      <c r="I167" s="92"/>
      <c r="J167" s="108"/>
      <c r="K167" s="108"/>
      <c r="L167" s="108"/>
      <c r="M167" s="108"/>
      <c r="N167" s="108"/>
      <c r="O167" s="92"/>
      <c r="P167" s="108"/>
      <c r="Q167" s="108"/>
      <c r="R167" s="108"/>
      <c r="S167" s="108"/>
      <c r="T167" s="108"/>
      <c r="U167" s="108"/>
      <c r="V167" s="108"/>
    </row>
    <row r="168" spans="1:22" ht="22" customHeight="1">
      <c r="A168" s="91" t="s">
        <v>1187</v>
      </c>
      <c r="B168" s="93" t="s">
        <v>1157</v>
      </c>
      <c r="C168" s="117">
        <v>100</v>
      </c>
      <c r="D168" s="117">
        <v>100</v>
      </c>
      <c r="E168" s="117">
        <v>100</v>
      </c>
      <c r="F168" s="117">
        <v>100</v>
      </c>
      <c r="G168" s="117">
        <v>100</v>
      </c>
      <c r="H168" s="108">
        <f>G168*(1+$C$4)</f>
        <v>103</v>
      </c>
      <c r="I168" s="92"/>
      <c r="J168" s="108"/>
      <c r="K168" s="108"/>
      <c r="L168" s="108"/>
      <c r="M168" s="108"/>
      <c r="N168" s="108"/>
      <c r="O168" s="92"/>
      <c r="P168" s="108"/>
      <c r="Q168" s="108"/>
      <c r="R168" s="108"/>
      <c r="S168" s="108"/>
      <c r="T168" s="108"/>
      <c r="U168" s="108"/>
      <c r="V168" s="108"/>
    </row>
    <row r="169" spans="1:22" ht="22" customHeight="1">
      <c r="A169" s="91" t="s">
        <v>1188</v>
      </c>
      <c r="B169" s="93" t="s">
        <v>1157</v>
      </c>
      <c r="C169" s="117">
        <v>0</v>
      </c>
      <c r="D169" s="117">
        <v>0</v>
      </c>
      <c r="E169" s="117">
        <v>0</v>
      </c>
      <c r="F169" s="117">
        <v>0</v>
      </c>
      <c r="G169" s="117">
        <v>0</v>
      </c>
      <c r="H169" s="108">
        <f>G169*(1+$C$4)</f>
        <v>0</v>
      </c>
      <c r="I169" s="92"/>
      <c r="J169" s="108"/>
      <c r="K169" s="108"/>
      <c r="L169" s="108"/>
      <c r="M169" s="108"/>
      <c r="N169" s="108"/>
      <c r="O169" s="92"/>
      <c r="P169" s="108"/>
      <c r="Q169" s="108"/>
      <c r="R169" s="108"/>
      <c r="S169" s="108"/>
      <c r="T169" s="108"/>
      <c r="U169" s="108"/>
      <c r="V169" s="108"/>
    </row>
    <row r="170" spans="1:22" ht="22" customHeight="1">
      <c r="A170" s="91" t="s">
        <v>1189</v>
      </c>
      <c r="B170" s="93" t="s">
        <v>1157</v>
      </c>
      <c r="C170" s="117">
        <v>0</v>
      </c>
      <c r="D170" s="117">
        <v>0</v>
      </c>
      <c r="E170" s="117">
        <v>0</v>
      </c>
      <c r="F170" s="117">
        <v>0</v>
      </c>
      <c r="G170" s="117">
        <v>0</v>
      </c>
      <c r="H170" s="108">
        <f>G170*(1+$C$4)</f>
        <v>0</v>
      </c>
      <c r="I170" s="92"/>
      <c r="J170" s="108"/>
      <c r="K170" s="108"/>
      <c r="L170" s="108"/>
      <c r="M170" s="108"/>
      <c r="N170" s="108"/>
      <c r="O170" s="92"/>
      <c r="P170" s="108"/>
      <c r="Q170" s="108"/>
      <c r="R170" s="108"/>
      <c r="S170" s="108"/>
      <c r="T170" s="108"/>
      <c r="U170" s="108"/>
      <c r="V170" s="108"/>
    </row>
    <row r="171" spans="1:22" ht="20" customHeight="1">
      <c r="A171" s="106" t="s">
        <v>1190</v>
      </c>
      <c r="B171" s="93" t="s">
        <v>1134</v>
      </c>
      <c r="C171" s="119">
        <v>0.215</v>
      </c>
      <c r="D171" s="119">
        <v>0.215</v>
      </c>
      <c r="E171" s="119">
        <v>0.215</v>
      </c>
      <c r="F171" s="119">
        <v>0.215</v>
      </c>
      <c r="G171" s="119">
        <v>0.215</v>
      </c>
      <c r="H171" s="107">
        <f>G171</f>
        <v>0.215</v>
      </c>
      <c r="I171" s="92"/>
      <c r="J171" s="107"/>
      <c r="K171" s="107"/>
      <c r="L171" s="107"/>
      <c r="M171" s="107"/>
      <c r="N171" s="107"/>
      <c r="O171" s="92"/>
      <c r="P171" s="107"/>
      <c r="Q171" s="107"/>
      <c r="R171" s="107"/>
      <c r="S171" s="107"/>
      <c r="T171" s="107"/>
      <c r="U171" s="107"/>
      <c r="V171" s="107"/>
    </row>
    <row r="172" spans="1:22" ht="22" customHeight="1">
      <c r="A172" s="91" t="s">
        <v>1176</v>
      </c>
      <c r="B172" s="93" t="s">
        <v>1157</v>
      </c>
      <c r="C172" s="108">
        <f t="shared" ref="C172:H172" si="52">(SUM(C167:C168,C170)-C169)*(1-C171)</f>
        <v>824.25</v>
      </c>
      <c r="D172" s="108">
        <f t="shared" si="52"/>
        <v>314</v>
      </c>
      <c r="E172" s="108">
        <f t="shared" si="52"/>
        <v>255.125</v>
      </c>
      <c r="F172" s="108">
        <f t="shared" si="52"/>
        <v>215.875</v>
      </c>
      <c r="G172" s="108">
        <f t="shared" si="52"/>
        <v>314</v>
      </c>
      <c r="H172" s="108">
        <f t="shared" si="52"/>
        <v>323.42</v>
      </c>
      <c r="I172" s="92"/>
      <c r="J172" s="108">
        <f>J165-J173</f>
        <v>511</v>
      </c>
      <c r="K172" s="108">
        <f>K165-K173</f>
        <v>1459</v>
      </c>
      <c r="L172" s="108">
        <f>L165-L173</f>
        <v>1668</v>
      </c>
      <c r="M172" s="108">
        <f>M165-M173</f>
        <v>2936</v>
      </c>
      <c r="N172" s="108">
        <f>E85</f>
        <v>446.20000000000005</v>
      </c>
      <c r="O172" s="92"/>
      <c r="P172" s="108">
        <f t="shared" ref="P172:V172" si="53">P165-P173</f>
        <v>197</v>
      </c>
      <c r="Q172" s="108">
        <f t="shared" si="53"/>
        <v>1644</v>
      </c>
      <c r="R172" s="108">
        <f t="shared" si="53"/>
        <v>534</v>
      </c>
      <c r="S172" s="108">
        <f t="shared" si="53"/>
        <v>561</v>
      </c>
      <c r="T172" s="108">
        <f t="shared" si="53"/>
        <v>-123</v>
      </c>
      <c r="U172" s="108">
        <f t="shared" si="53"/>
        <v>35</v>
      </c>
      <c r="V172" s="108">
        <f t="shared" si="53"/>
        <v>155</v>
      </c>
    </row>
    <row r="173" spans="1:22" ht="24" customHeight="1">
      <c r="A173" s="109" t="s">
        <v>1177</v>
      </c>
      <c r="B173" s="110" t="s">
        <v>1157</v>
      </c>
      <c r="C173" s="111">
        <f t="shared" ref="C173:H173" si="54">C165-C172</f>
        <v>10783.521696332624</v>
      </c>
      <c r="D173" s="111">
        <f t="shared" si="54"/>
        <v>11973.660592672592</v>
      </c>
      <c r="E173" s="111">
        <f t="shared" si="54"/>
        <v>12439.667288740138</v>
      </c>
      <c r="F173" s="111">
        <f t="shared" si="54"/>
        <v>13056.829222505079</v>
      </c>
      <c r="G173" s="111">
        <f t="shared" si="54"/>
        <v>13518.775663344888</v>
      </c>
      <c r="H173" s="111">
        <f t="shared" si="54"/>
        <v>13924.338933245239</v>
      </c>
      <c r="I173" s="92"/>
      <c r="J173" s="115">
        <f>IF(COUNT('Income Statement'!I31)=1,'Income Statement'!I31,"")</f>
        <v>8910</v>
      </c>
      <c r="K173" s="115">
        <f>IF(COUNT('Income Statement'!J31)=1,'Income Statement'!J31,"")</f>
        <v>9074</v>
      </c>
      <c r="L173" s="115">
        <f>IF(COUNT('Income Statement'!K31)=1,'Income Statement'!K31,"")</f>
        <v>9578</v>
      </c>
      <c r="M173" s="115">
        <f>IF(COUNT('Income Statement'!L31)=1,'Income Statement'!L31,"")</f>
        <v>8240</v>
      </c>
      <c r="N173" s="111">
        <f>E86</f>
        <v>11042.084952399999</v>
      </c>
      <c r="O173" s="92"/>
      <c r="P173" s="115">
        <f>IF(COUNT('Income Statement'!R31)=1,'Income Statement'!R31,"")</f>
        <v>1834</v>
      </c>
      <c r="Q173" s="115">
        <f>IF(COUNT('Income Statement'!S31)=1,'Income Statement'!S31,"")</f>
        <v>1263</v>
      </c>
      <c r="R173" s="115">
        <f>IF(COUNT('Income Statement'!T31)=1,'Income Statement'!T31,"")</f>
        <v>2603</v>
      </c>
      <c r="S173" s="115">
        <f>IF(COUNT('Income Statement'!U31)=1,'Income Statement'!U31,"")</f>
        <v>2540</v>
      </c>
      <c r="T173" s="115">
        <f>IF(COUNT('Income Statement'!V31)=1,'Income Statement'!V31,"")</f>
        <v>2327</v>
      </c>
      <c r="U173" s="115">
        <f>IF(COUNT('Income Statement'!W31)=1,'Income Statement'!W31,"")</f>
        <v>2981</v>
      </c>
      <c r="V173" s="115">
        <f>IF(COUNT('Income Statement'!X31)=1,'Income Statement'!X31,"")</f>
        <v>3048</v>
      </c>
    </row>
    <row r="174" spans="1:22" ht="20" customHeight="1">
      <c r="A174" s="106" t="s">
        <v>1178</v>
      </c>
      <c r="B174" s="93" t="s">
        <v>1134</v>
      </c>
      <c r="C174" s="107">
        <f>C173/N173-1</f>
        <v>-2.3416162543757335E-2</v>
      </c>
      <c r="D174" s="107">
        <f>D173/C173-1</f>
        <v>0.1103664396339763</v>
      </c>
      <c r="E174" s="107">
        <f>E173/D173-1</f>
        <v>3.8919317318274693E-2</v>
      </c>
      <c r="F174" s="107">
        <f>F173/E173-1</f>
        <v>4.9612414821059492E-2</v>
      </c>
      <c r="G174" s="107">
        <f>G173/F173-1</f>
        <v>3.5379680086769172E-2</v>
      </c>
      <c r="H174" s="107">
        <f>H173/G173-1</f>
        <v>3.0000000000000249E-2</v>
      </c>
      <c r="I174" s="92"/>
      <c r="J174" s="114">
        <f>IF(COUNT('Income Statement'!I32)=1,'Income Statement'!I32,"")</f>
        <v>0.16959831976896833</v>
      </c>
      <c r="K174" s="114">
        <f>IF(COUNT('Income Statement'!J32)=1,'Income Statement'!J32,"")</f>
        <v>1.8406285072951833E-2</v>
      </c>
      <c r="L174" s="114">
        <f>IF(COUNT('Income Statement'!K32)=1,'Income Statement'!K32,"")</f>
        <v>5.5543310557637282E-2</v>
      </c>
      <c r="M174" s="114">
        <f>IF(COUNT('Income Statement'!L32)=1,'Income Statement'!L32,"")</f>
        <v>-0.13969513468365002</v>
      </c>
      <c r="N174" s="107">
        <f>E87</f>
        <v>0.34005885344660181</v>
      </c>
      <c r="O174" s="92"/>
      <c r="P174" s="114">
        <f>IF(COUNT('Income Statement'!R32)=1,'Income Statement'!R32,"")</f>
        <v>-0.10186092066601371</v>
      </c>
      <c r="Q174" s="114">
        <f>IF(COUNT('Income Statement'!S32)=1,'Income Statement'!S32,"")</f>
        <v>-0.59033409017191052</v>
      </c>
      <c r="R174" s="114">
        <f>IF(COUNT('Income Statement'!T32)=1,'Income Statement'!T32,"")</f>
        <v>-0.11160409556313988</v>
      </c>
      <c r="S174" s="114">
        <f>IF(COUNT('Income Statement'!U32)=1,'Income Statement'!U32,"")</f>
        <v>0.6677609980302035</v>
      </c>
      <c r="T174" s="114">
        <f>IF(COUNT('Income Statement'!V32)=1,'Income Statement'!V32,"")</f>
        <v>0.26881134133042539</v>
      </c>
      <c r="U174" s="114">
        <f>IF(COUNT('Income Statement'!W32)=1,'Income Statement'!W32,"")</f>
        <v>1.3602533650039588</v>
      </c>
      <c r="V174" s="114">
        <f>IF(COUNT('Income Statement'!X32)=1,'Income Statement'!X32,"")</f>
        <v>0.17095658855167106</v>
      </c>
    </row>
    <row r="175" spans="1:22" ht="22" customHeight="1">
      <c r="A175" s="91"/>
      <c r="B175" s="93"/>
      <c r="C175" s="92"/>
      <c r="D175" s="92"/>
      <c r="E175" s="92"/>
      <c r="F175" s="92"/>
      <c r="G175" s="92"/>
      <c r="H175" s="92"/>
      <c r="I175" s="92"/>
      <c r="J175" s="92"/>
      <c r="K175" s="92"/>
      <c r="L175" s="92"/>
      <c r="M175" s="92"/>
      <c r="N175" s="92"/>
      <c r="O175" s="92"/>
      <c r="P175" s="92"/>
      <c r="Q175" s="92"/>
      <c r="R175" s="92"/>
      <c r="S175" s="92"/>
      <c r="T175" s="92"/>
      <c r="U175" s="92"/>
      <c r="V175" s="92"/>
    </row>
    <row r="176" spans="1:22" ht="22" customHeight="1">
      <c r="A176" s="180" t="s">
        <v>1191</v>
      </c>
      <c r="B176" s="180"/>
      <c r="C176" s="180"/>
      <c r="D176" s="180"/>
      <c r="E176" s="180"/>
      <c r="F176" s="180"/>
      <c r="G176" s="180"/>
      <c r="H176" s="180"/>
      <c r="I176" s="92"/>
      <c r="J176" s="92"/>
      <c r="K176" s="92"/>
      <c r="L176" s="92"/>
      <c r="M176" s="92"/>
      <c r="N176" s="92"/>
      <c r="O176" s="92"/>
      <c r="P176" s="92"/>
      <c r="Q176" s="92"/>
      <c r="R176" s="92"/>
      <c r="S176" s="92"/>
      <c r="T176" s="92"/>
      <c r="U176" s="92"/>
      <c r="V176" s="92"/>
    </row>
    <row r="177" spans="1:22" ht="22" customHeight="1">
      <c r="A177" s="180"/>
      <c r="B177" s="180"/>
      <c r="C177" s="180"/>
      <c r="D177" s="180"/>
      <c r="E177" s="180"/>
      <c r="F177" s="180"/>
      <c r="G177" s="180"/>
      <c r="H177" s="180"/>
      <c r="I177" s="92"/>
      <c r="J177" s="92"/>
      <c r="K177" s="92"/>
      <c r="L177" s="92"/>
      <c r="M177" s="92"/>
      <c r="N177" s="92"/>
      <c r="O177" s="92"/>
      <c r="P177" s="92"/>
      <c r="Q177" s="92"/>
      <c r="R177" s="92"/>
      <c r="S177" s="92"/>
      <c r="T177" s="92"/>
      <c r="U177" s="92"/>
      <c r="V177" s="92"/>
    </row>
    <row r="178" spans="1:22" ht="22" customHeight="1">
      <c r="A178" s="91"/>
      <c r="B178" s="93"/>
      <c r="C178" s="92"/>
      <c r="D178" s="92"/>
      <c r="E178" s="92"/>
      <c r="F178" s="92"/>
      <c r="G178" s="92"/>
      <c r="H178" s="92"/>
      <c r="I178" s="92"/>
      <c r="J178" s="92"/>
      <c r="K178" s="92"/>
      <c r="L178" s="92"/>
      <c r="M178" s="92"/>
      <c r="N178" s="92"/>
      <c r="O178" s="92"/>
      <c r="P178" s="92"/>
      <c r="Q178" s="92"/>
      <c r="R178" s="92"/>
      <c r="S178" s="92"/>
      <c r="T178" s="92"/>
      <c r="U178" s="92"/>
      <c r="V178" s="92"/>
    </row>
    <row r="179" spans="1:22" ht="22" customHeight="1">
      <c r="A179" s="96" t="s">
        <v>1192</v>
      </c>
      <c r="B179" s="97"/>
      <c r="C179" s="98"/>
      <c r="D179" s="98"/>
      <c r="E179" s="98"/>
      <c r="F179" s="98"/>
      <c r="G179" s="98"/>
      <c r="H179" s="98"/>
      <c r="I179" s="92"/>
      <c r="J179" s="92"/>
      <c r="K179" s="92"/>
      <c r="L179" s="92"/>
      <c r="M179" s="92"/>
      <c r="N179" s="92"/>
      <c r="O179" s="92"/>
      <c r="P179" s="92"/>
      <c r="Q179" s="92"/>
      <c r="R179" s="92"/>
      <c r="S179" s="92"/>
      <c r="T179" s="92"/>
      <c r="U179" s="92"/>
      <c r="V179" s="92"/>
    </row>
    <row r="180" spans="1:22" ht="24" customHeight="1">
      <c r="A180" s="91" t="s">
        <v>1193</v>
      </c>
      <c r="B180" s="93"/>
      <c r="C180" s="99" t="s">
        <v>1194</v>
      </c>
      <c r="D180" s="99" t="s">
        <v>1195</v>
      </c>
      <c r="E180" s="99" t="s">
        <v>1196</v>
      </c>
      <c r="F180" s="99" t="s">
        <v>1197</v>
      </c>
      <c r="G180" s="92"/>
      <c r="H180" s="92"/>
      <c r="I180" s="92"/>
      <c r="J180" s="92"/>
      <c r="K180" s="92"/>
      <c r="L180" s="92"/>
      <c r="M180" s="92"/>
      <c r="N180" s="92"/>
      <c r="O180" s="92"/>
      <c r="P180" s="92"/>
      <c r="Q180" s="92"/>
      <c r="R180" s="92"/>
      <c r="S180" s="92"/>
      <c r="T180" s="92"/>
      <c r="U180" s="92"/>
      <c r="V180" s="92"/>
    </row>
    <row r="181" spans="1:22" ht="22" customHeight="1">
      <c r="A181" s="91"/>
      <c r="B181" s="93"/>
      <c r="C181" s="112">
        <f>(G153/E66)^(1/5)-1</f>
        <v>3.2012005043748237E-2</v>
      </c>
      <c r="D181" s="112">
        <f>(G157/E70)^(1/5)-1</f>
        <v>3.8994984657984677E-2</v>
      </c>
      <c r="E181" s="112">
        <f>(G165/E78)^(1/5)-1</f>
        <v>3.7841008056366032E-2</v>
      </c>
      <c r="F181" s="112">
        <f>(G173/E86)^(1/5)-1</f>
        <v>4.1303325688114789E-2</v>
      </c>
      <c r="G181" s="92"/>
      <c r="H181" s="92"/>
      <c r="I181" s="92"/>
      <c r="J181" s="92"/>
      <c r="K181" s="92"/>
      <c r="L181" s="92"/>
      <c r="M181" s="92"/>
      <c r="N181" s="92"/>
      <c r="O181" s="92"/>
      <c r="P181" s="92"/>
      <c r="Q181" s="92"/>
      <c r="R181" s="92"/>
      <c r="S181" s="92"/>
      <c r="T181" s="92"/>
      <c r="U181" s="92"/>
      <c r="V181" s="92"/>
    </row>
    <row r="182" spans="1:22" ht="22" customHeight="1">
      <c r="A182" s="91"/>
      <c r="B182" s="93"/>
      <c r="C182" s="92"/>
      <c r="D182" s="92"/>
      <c r="E182" s="92"/>
      <c r="F182" s="92"/>
      <c r="G182" s="92"/>
      <c r="H182" s="92"/>
      <c r="I182" s="92"/>
      <c r="J182" s="92"/>
      <c r="K182" s="92"/>
      <c r="L182" s="92"/>
      <c r="M182" s="92"/>
      <c r="N182" s="92"/>
      <c r="O182" s="92"/>
      <c r="P182" s="92"/>
      <c r="Q182" s="92"/>
      <c r="R182" s="92"/>
      <c r="S182" s="92"/>
      <c r="T182" s="92"/>
      <c r="U182" s="92"/>
      <c r="V182" s="92"/>
    </row>
    <row r="183" spans="1:22" ht="22" customHeight="1">
      <c r="A183" s="91" t="s">
        <v>1198</v>
      </c>
      <c r="B183" s="93"/>
      <c r="C183" s="120">
        <f>SUM(C66:D66)-E66</f>
        <v>0</v>
      </c>
      <c r="D183" s="92"/>
      <c r="E183" s="92"/>
      <c r="F183" s="92"/>
      <c r="G183" s="92"/>
      <c r="H183" s="92"/>
      <c r="I183" s="92"/>
      <c r="J183" s="92"/>
      <c r="K183" s="92"/>
      <c r="L183" s="92"/>
      <c r="M183" s="92"/>
      <c r="N183" s="92"/>
      <c r="O183" s="92"/>
      <c r="P183" s="92"/>
      <c r="Q183" s="92"/>
      <c r="R183" s="92"/>
      <c r="S183" s="92"/>
      <c r="T183" s="92"/>
      <c r="U183" s="92"/>
      <c r="V183" s="92"/>
    </row>
    <row r="184" spans="1:22" ht="22" customHeight="1">
      <c r="A184" s="91" t="s">
        <v>1199</v>
      </c>
      <c r="B184" s="93"/>
      <c r="C184" s="120">
        <f>E78-(SUM(T78:V78)+D78)</f>
        <v>0</v>
      </c>
      <c r="D184" s="92"/>
      <c r="E184" s="92"/>
      <c r="F184" s="92"/>
      <c r="G184" s="92"/>
      <c r="H184" s="92"/>
      <c r="I184" s="92"/>
      <c r="J184" s="92"/>
      <c r="K184" s="92"/>
      <c r="L184" s="92"/>
      <c r="M184" s="92"/>
      <c r="N184" s="92"/>
      <c r="O184" s="92"/>
      <c r="P184" s="92"/>
      <c r="Q184" s="92"/>
      <c r="R184" s="92"/>
      <c r="S184" s="92"/>
      <c r="T184" s="92"/>
      <c r="U184" s="92"/>
      <c r="V184" s="92"/>
    </row>
    <row r="185" spans="1:22" ht="22" customHeight="1">
      <c r="A185" s="91" t="s">
        <v>1200</v>
      </c>
      <c r="B185" s="93"/>
      <c r="C185" s="120">
        <f>E86-(SUM(T86:V86)+D86)</f>
        <v>0</v>
      </c>
      <c r="D185" s="92"/>
      <c r="E185" s="92"/>
      <c r="F185" s="92"/>
      <c r="G185" s="92"/>
      <c r="H185" s="92"/>
      <c r="I185" s="92"/>
      <c r="J185" s="92"/>
      <c r="K185" s="92"/>
      <c r="L185" s="92"/>
      <c r="M185" s="92"/>
      <c r="N185" s="92"/>
      <c r="O185" s="92"/>
      <c r="P185" s="92"/>
      <c r="Q185" s="92"/>
      <c r="R185" s="92"/>
      <c r="S185" s="92"/>
      <c r="T185" s="92"/>
      <c r="U185" s="92"/>
      <c r="V185" s="92"/>
    </row>
    <row r="186" spans="1:22" ht="22" customHeight="1">
      <c r="A186" s="91" t="s">
        <v>1201</v>
      </c>
      <c r="B186" s="93"/>
      <c r="C186" s="120">
        <f>H166-$C$4</f>
        <v>2.4980018054066022E-16</v>
      </c>
      <c r="D186" s="92"/>
      <c r="E186" s="92"/>
      <c r="F186" s="92"/>
      <c r="G186" s="92"/>
      <c r="H186" s="92"/>
      <c r="I186" s="92"/>
      <c r="J186" s="92"/>
      <c r="K186" s="92"/>
      <c r="L186" s="92"/>
      <c r="M186" s="92"/>
      <c r="N186" s="92"/>
      <c r="O186" s="92"/>
      <c r="P186" s="92"/>
      <c r="Q186" s="92"/>
      <c r="R186" s="92"/>
      <c r="S186" s="92"/>
      <c r="T186" s="92"/>
      <c r="U186" s="92"/>
      <c r="V186" s="92"/>
    </row>
    <row r="187" spans="1:22" ht="22" customHeight="1">
      <c r="A187" s="91" t="s">
        <v>1202</v>
      </c>
      <c r="B187" s="93"/>
      <c r="C187" s="120">
        <f>H174-$C$4</f>
        <v>2.4980018054066022E-16</v>
      </c>
      <c r="D187" s="92"/>
      <c r="E187" s="92"/>
      <c r="F187" s="92"/>
      <c r="G187" s="92"/>
      <c r="H187" s="92"/>
      <c r="I187" s="92"/>
      <c r="J187" s="92"/>
      <c r="K187" s="92"/>
      <c r="L187" s="92"/>
      <c r="M187" s="92"/>
      <c r="N187" s="92"/>
      <c r="O187" s="92"/>
      <c r="P187" s="92"/>
      <c r="Q187" s="92"/>
      <c r="R187" s="92"/>
      <c r="S187" s="92"/>
      <c r="T187" s="92"/>
      <c r="U187" s="92"/>
      <c r="V187" s="92"/>
    </row>
    <row r="188" spans="1:22" ht="22" customHeight="1">
      <c r="A188" s="91"/>
      <c r="B188" s="93"/>
      <c r="C188" s="92"/>
      <c r="D188" s="92"/>
      <c r="E188" s="92"/>
      <c r="F188" s="92"/>
      <c r="G188" s="92"/>
      <c r="H188" s="92"/>
      <c r="I188" s="92"/>
      <c r="J188" s="92"/>
      <c r="K188" s="92"/>
      <c r="L188" s="92"/>
      <c r="M188" s="92"/>
      <c r="N188" s="92"/>
      <c r="O188" s="92"/>
      <c r="P188" s="92"/>
      <c r="Q188" s="92"/>
      <c r="R188" s="92"/>
      <c r="S188" s="92"/>
      <c r="T188" s="92"/>
      <c r="U188" s="92"/>
      <c r="V188" s="92"/>
    </row>
    <row r="189" spans="1:22" ht="22" customHeight="1">
      <c r="A189" s="96" t="s">
        <v>1203</v>
      </c>
      <c r="B189" s="97"/>
      <c r="C189" s="98"/>
      <c r="D189" s="98"/>
      <c r="E189" s="98"/>
      <c r="F189" s="98"/>
      <c r="G189" s="98"/>
      <c r="H189" s="98"/>
      <c r="I189" s="92"/>
      <c r="J189" s="92"/>
      <c r="K189" s="92"/>
      <c r="L189" s="92"/>
      <c r="M189" s="92"/>
      <c r="N189" s="92"/>
      <c r="O189" s="92"/>
      <c r="P189" s="92"/>
      <c r="Q189" s="92"/>
      <c r="R189" s="92"/>
      <c r="S189" s="92"/>
      <c r="T189" s="92"/>
      <c r="U189" s="92"/>
      <c r="V189" s="92"/>
    </row>
    <row r="190" spans="1:22" ht="36" customHeight="1">
      <c r="A190" s="113" t="s">
        <v>1204</v>
      </c>
      <c r="B190" s="113"/>
      <c r="C190" s="180" t="s">
        <v>1205</v>
      </c>
      <c r="D190" s="180"/>
      <c r="E190" s="180"/>
      <c r="F190" s="180"/>
      <c r="G190" s="180"/>
      <c r="H190" s="180"/>
      <c r="I190" s="92"/>
      <c r="J190" s="92"/>
      <c r="K190" s="92"/>
      <c r="L190" s="92"/>
      <c r="M190" s="92"/>
      <c r="N190" s="92"/>
      <c r="O190" s="92"/>
      <c r="P190" s="92"/>
      <c r="Q190" s="92"/>
      <c r="R190" s="92"/>
      <c r="S190" s="92"/>
      <c r="T190" s="92"/>
      <c r="U190" s="92"/>
      <c r="V190" s="92"/>
    </row>
    <row r="191" spans="1:22" ht="36" customHeight="1">
      <c r="A191" s="113" t="s">
        <v>82</v>
      </c>
      <c r="B191" s="113"/>
      <c r="C191" s="180" t="s">
        <v>1206</v>
      </c>
      <c r="D191" s="180"/>
      <c r="E191" s="180"/>
      <c r="F191" s="180"/>
      <c r="G191" s="180"/>
      <c r="H191" s="180"/>
      <c r="I191" s="92"/>
      <c r="J191" s="92"/>
      <c r="K191" s="92"/>
      <c r="L191" s="92"/>
      <c r="M191" s="92"/>
      <c r="N191" s="92"/>
      <c r="O191" s="92"/>
      <c r="P191" s="92"/>
      <c r="Q191" s="92"/>
      <c r="R191" s="92"/>
      <c r="S191" s="92"/>
      <c r="T191" s="92"/>
      <c r="U191" s="92"/>
      <c r="V191" s="92"/>
    </row>
    <row r="192" spans="1:22" ht="36" customHeight="1">
      <c r="A192" s="113" t="s">
        <v>88</v>
      </c>
      <c r="B192" s="113"/>
      <c r="C192" s="180" t="s">
        <v>1207</v>
      </c>
      <c r="D192" s="180"/>
      <c r="E192" s="180"/>
      <c r="F192" s="180"/>
      <c r="G192" s="180"/>
      <c r="H192" s="180"/>
      <c r="I192" s="92"/>
      <c r="J192" s="92"/>
      <c r="K192" s="92"/>
      <c r="L192" s="92"/>
      <c r="M192" s="92"/>
      <c r="N192" s="92"/>
      <c r="O192" s="92"/>
      <c r="P192" s="92"/>
      <c r="Q192" s="92"/>
      <c r="R192" s="92"/>
      <c r="S192" s="92"/>
      <c r="T192" s="92"/>
      <c r="U192" s="92"/>
      <c r="V192" s="92"/>
    </row>
    <row r="193" spans="1:22" ht="36" customHeight="1">
      <c r="A193" s="113" t="s">
        <v>89</v>
      </c>
      <c r="B193" s="113"/>
      <c r="C193" s="180" t="s">
        <v>1208</v>
      </c>
      <c r="D193" s="180"/>
      <c r="E193" s="180"/>
      <c r="F193" s="180"/>
      <c r="G193" s="180"/>
      <c r="H193" s="180"/>
      <c r="I193" s="92"/>
      <c r="J193" s="92"/>
      <c r="K193" s="92"/>
      <c r="L193" s="92"/>
      <c r="M193" s="92"/>
      <c r="N193" s="92"/>
      <c r="O193" s="92"/>
      <c r="P193" s="92"/>
      <c r="Q193" s="92"/>
      <c r="R193" s="92"/>
      <c r="S193" s="92"/>
      <c r="T193" s="92"/>
      <c r="U193" s="92"/>
      <c r="V193" s="92"/>
    </row>
    <row r="194" spans="1:22" ht="36" customHeight="1">
      <c r="A194" s="113" t="s">
        <v>90</v>
      </c>
      <c r="B194" s="113"/>
      <c r="C194" s="180" t="s">
        <v>1209</v>
      </c>
      <c r="D194" s="180"/>
      <c r="E194" s="180"/>
      <c r="F194" s="180"/>
      <c r="G194" s="180"/>
      <c r="H194" s="180"/>
      <c r="I194" s="92"/>
      <c r="J194" s="92"/>
      <c r="K194" s="92"/>
      <c r="L194" s="92"/>
      <c r="M194" s="92"/>
      <c r="N194" s="92"/>
      <c r="O194" s="92"/>
      <c r="P194" s="92"/>
      <c r="Q194" s="92"/>
      <c r="R194" s="92"/>
      <c r="S194" s="92"/>
      <c r="T194" s="92"/>
      <c r="U194" s="92"/>
      <c r="V194" s="92"/>
    </row>
    <row r="195" spans="1:22" ht="36" customHeight="1">
      <c r="A195" s="113" t="s">
        <v>91</v>
      </c>
      <c r="B195" s="113"/>
      <c r="C195" s="180" t="s">
        <v>1210</v>
      </c>
      <c r="D195" s="180"/>
      <c r="E195" s="180"/>
      <c r="F195" s="180"/>
      <c r="G195" s="180"/>
      <c r="H195" s="180"/>
      <c r="I195" s="92"/>
      <c r="J195" s="92"/>
      <c r="K195" s="92"/>
      <c r="L195" s="92"/>
      <c r="M195" s="92"/>
      <c r="N195" s="92"/>
      <c r="O195" s="92"/>
      <c r="P195" s="92"/>
      <c r="Q195" s="92"/>
      <c r="R195" s="92"/>
      <c r="S195" s="92"/>
      <c r="T195" s="92"/>
      <c r="U195" s="92"/>
      <c r="V195" s="92"/>
    </row>
    <row r="196" spans="1:22" ht="36" customHeight="1">
      <c r="A196" s="113" t="s">
        <v>92</v>
      </c>
      <c r="B196" s="113"/>
      <c r="C196" s="180" t="s">
        <v>1211</v>
      </c>
      <c r="D196" s="180"/>
      <c r="E196" s="180"/>
      <c r="F196" s="180"/>
      <c r="G196" s="180"/>
      <c r="H196" s="180"/>
      <c r="I196" s="92"/>
      <c r="J196" s="92"/>
      <c r="K196" s="92"/>
      <c r="L196" s="92"/>
      <c r="M196" s="92"/>
      <c r="N196" s="92"/>
      <c r="O196" s="92"/>
      <c r="P196" s="92"/>
      <c r="Q196" s="92"/>
      <c r="R196" s="92"/>
      <c r="S196" s="92"/>
      <c r="T196" s="92"/>
      <c r="U196" s="92"/>
      <c r="V196" s="92"/>
    </row>
    <row r="197" spans="1:22" ht="36" customHeight="1">
      <c r="A197" s="113" t="s">
        <v>1212</v>
      </c>
      <c r="B197" s="113"/>
      <c r="C197" s="180" t="s">
        <v>1213</v>
      </c>
      <c r="D197" s="180"/>
      <c r="E197" s="180"/>
      <c r="F197" s="180"/>
      <c r="G197" s="180"/>
      <c r="H197" s="180"/>
      <c r="I197" s="92"/>
      <c r="J197" s="92"/>
      <c r="K197" s="92"/>
      <c r="L197" s="92"/>
      <c r="M197" s="92"/>
      <c r="N197" s="92"/>
      <c r="O197" s="92"/>
      <c r="P197" s="92"/>
      <c r="Q197" s="92"/>
      <c r="R197" s="92"/>
      <c r="S197" s="92"/>
      <c r="T197" s="92"/>
      <c r="U197" s="92"/>
      <c r="V197" s="92"/>
    </row>
    <row r="198" spans="1:22" ht="36" customHeight="1">
      <c r="A198" s="113" t="s">
        <v>1214</v>
      </c>
      <c r="B198" s="113"/>
      <c r="C198" s="180" t="s">
        <v>1215</v>
      </c>
      <c r="D198" s="180"/>
      <c r="E198" s="180"/>
      <c r="F198" s="180"/>
      <c r="G198" s="180"/>
      <c r="H198" s="180"/>
      <c r="I198" s="92"/>
      <c r="J198" s="92"/>
      <c r="K198" s="92"/>
      <c r="L198" s="92"/>
      <c r="M198" s="92"/>
      <c r="N198" s="92"/>
      <c r="O198" s="92"/>
      <c r="P198" s="92"/>
      <c r="Q198" s="92"/>
      <c r="R198" s="92"/>
      <c r="S198" s="92"/>
      <c r="T198" s="92"/>
      <c r="U198" s="92"/>
      <c r="V198" s="92"/>
    </row>
    <row r="199" spans="1:22" ht="36" customHeight="1">
      <c r="A199" s="113" t="s">
        <v>1216</v>
      </c>
      <c r="B199" s="113"/>
      <c r="C199" s="180" t="s">
        <v>1217</v>
      </c>
      <c r="D199" s="180"/>
      <c r="E199" s="180"/>
      <c r="F199" s="180"/>
      <c r="G199" s="180"/>
      <c r="H199" s="180"/>
      <c r="I199" s="92"/>
      <c r="J199" s="92"/>
      <c r="K199" s="92"/>
      <c r="L199" s="92"/>
      <c r="M199" s="92"/>
      <c r="N199" s="92"/>
      <c r="O199" s="92"/>
      <c r="P199" s="92"/>
      <c r="Q199" s="92"/>
      <c r="R199" s="92"/>
      <c r="S199" s="92"/>
      <c r="T199" s="92"/>
      <c r="U199" s="92"/>
      <c r="V199" s="92"/>
    </row>
    <row r="200" spans="1:22" ht="36" customHeight="1">
      <c r="A200" s="113" t="s">
        <v>1218</v>
      </c>
      <c r="B200" s="113"/>
      <c r="C200" s="180" t="s">
        <v>1219</v>
      </c>
      <c r="D200" s="180"/>
      <c r="E200" s="180"/>
      <c r="F200" s="180"/>
      <c r="G200" s="180"/>
      <c r="H200" s="180"/>
      <c r="I200" s="92"/>
      <c r="J200" s="92"/>
      <c r="K200" s="92"/>
      <c r="L200" s="92"/>
      <c r="M200" s="92"/>
      <c r="N200" s="92"/>
      <c r="O200" s="92"/>
      <c r="P200" s="92"/>
      <c r="Q200" s="92"/>
      <c r="R200" s="92"/>
      <c r="S200" s="92"/>
      <c r="T200" s="92"/>
      <c r="U200" s="92"/>
      <c r="V200" s="92"/>
    </row>
    <row r="201" spans="1:22" ht="36" customHeight="1">
      <c r="A201" s="113" t="s">
        <v>1220</v>
      </c>
      <c r="B201" s="113"/>
      <c r="C201" s="180" t="s">
        <v>1221</v>
      </c>
      <c r="D201" s="180"/>
      <c r="E201" s="180"/>
      <c r="F201" s="180"/>
      <c r="G201" s="180"/>
      <c r="H201" s="180"/>
      <c r="I201" s="92"/>
      <c r="J201" s="92"/>
      <c r="K201" s="92"/>
      <c r="L201" s="92"/>
      <c r="M201" s="92"/>
      <c r="N201" s="92"/>
      <c r="O201" s="92"/>
      <c r="P201" s="92"/>
      <c r="Q201" s="92"/>
      <c r="R201" s="92"/>
      <c r="S201" s="92"/>
      <c r="T201" s="92"/>
      <c r="U201" s="92"/>
      <c r="V201" s="92"/>
    </row>
    <row r="202" spans="1:22" ht="36" customHeight="1">
      <c r="A202" s="113" t="s">
        <v>1222</v>
      </c>
      <c r="B202" s="113"/>
      <c r="C202" s="180" t="s">
        <v>1223</v>
      </c>
      <c r="D202" s="180"/>
      <c r="E202" s="180"/>
      <c r="F202" s="180"/>
      <c r="G202" s="180"/>
      <c r="H202" s="180"/>
      <c r="I202" s="92"/>
      <c r="J202" s="92"/>
      <c r="K202" s="92"/>
      <c r="L202" s="92"/>
      <c r="M202" s="92"/>
      <c r="N202" s="92"/>
      <c r="O202" s="92"/>
      <c r="P202" s="92"/>
      <c r="Q202" s="92"/>
      <c r="R202" s="92"/>
      <c r="S202" s="92"/>
      <c r="T202" s="92"/>
      <c r="U202" s="92"/>
      <c r="V202" s="92"/>
    </row>
    <row r="203" spans="1:22" ht="36" customHeight="1">
      <c r="A203" s="113" t="s">
        <v>1224</v>
      </c>
      <c r="B203" s="113"/>
      <c r="C203" s="180" t="s">
        <v>1225</v>
      </c>
      <c r="D203" s="180"/>
      <c r="E203" s="180"/>
      <c r="F203" s="180"/>
      <c r="G203" s="180"/>
      <c r="H203" s="180"/>
      <c r="I203" s="92"/>
      <c r="J203" s="92"/>
      <c r="K203" s="92"/>
      <c r="L203" s="92"/>
      <c r="M203" s="92"/>
      <c r="N203" s="92"/>
      <c r="O203" s="92"/>
      <c r="P203" s="92"/>
      <c r="Q203" s="92"/>
      <c r="R203" s="92"/>
      <c r="S203" s="92"/>
      <c r="T203" s="92"/>
      <c r="U203" s="92"/>
      <c r="V203" s="92"/>
    </row>
    <row r="204" spans="1:22" ht="36" customHeight="1">
      <c r="A204" s="113" t="s">
        <v>1226</v>
      </c>
      <c r="B204" s="113"/>
      <c r="C204" s="180" t="s">
        <v>1227</v>
      </c>
      <c r="D204" s="180"/>
      <c r="E204" s="180"/>
      <c r="F204" s="180"/>
      <c r="G204" s="180"/>
      <c r="H204" s="180"/>
      <c r="I204" s="92"/>
      <c r="J204" s="92"/>
      <c r="K204" s="92"/>
      <c r="L204" s="92"/>
      <c r="M204" s="92"/>
      <c r="N204" s="92"/>
      <c r="O204" s="92"/>
      <c r="P204" s="92"/>
      <c r="Q204" s="92"/>
      <c r="R204" s="92"/>
      <c r="S204" s="92"/>
      <c r="T204" s="92"/>
      <c r="U204" s="92"/>
      <c r="V204" s="92"/>
    </row>
    <row r="205" spans="1:22" ht="36" customHeight="1">
      <c r="A205" s="113" t="s">
        <v>1228</v>
      </c>
      <c r="B205" s="113"/>
      <c r="C205" s="180" t="s">
        <v>1229</v>
      </c>
      <c r="D205" s="180"/>
      <c r="E205" s="180"/>
      <c r="F205" s="180"/>
      <c r="G205" s="180"/>
      <c r="H205" s="180"/>
      <c r="I205" s="92"/>
      <c r="J205" s="92"/>
      <c r="K205" s="92"/>
      <c r="L205" s="92"/>
      <c r="M205" s="92"/>
      <c r="N205" s="92"/>
      <c r="O205" s="92"/>
      <c r="P205" s="92"/>
      <c r="Q205" s="92"/>
      <c r="R205" s="92"/>
      <c r="S205" s="92"/>
      <c r="T205" s="92"/>
      <c r="U205" s="92"/>
      <c r="V205" s="92"/>
    </row>
    <row r="206" spans="1:22" ht="36" customHeight="1">
      <c r="A206" s="113" t="s">
        <v>1230</v>
      </c>
      <c r="B206" s="113"/>
      <c r="C206" s="180" t="s">
        <v>1231</v>
      </c>
      <c r="D206" s="180"/>
      <c r="E206" s="180"/>
      <c r="F206" s="180"/>
      <c r="G206" s="180"/>
      <c r="H206" s="180"/>
      <c r="I206" s="92"/>
      <c r="J206" s="92"/>
      <c r="K206" s="92"/>
      <c r="L206" s="92"/>
      <c r="M206" s="92"/>
      <c r="N206" s="92"/>
      <c r="O206" s="92"/>
      <c r="P206" s="92"/>
      <c r="Q206" s="92"/>
      <c r="R206" s="92"/>
      <c r="S206" s="92"/>
      <c r="T206" s="92"/>
      <c r="U206" s="92"/>
      <c r="V206" s="92"/>
    </row>
    <row r="207" spans="1:22" ht="36" customHeight="1">
      <c r="A207" s="113" t="s">
        <v>1232</v>
      </c>
      <c r="B207" s="113"/>
      <c r="C207" s="180" t="s">
        <v>1233</v>
      </c>
      <c r="D207" s="180"/>
      <c r="E207" s="180"/>
      <c r="F207" s="180"/>
      <c r="G207" s="180"/>
      <c r="H207" s="180"/>
      <c r="I207" s="92"/>
      <c r="J207" s="92"/>
      <c r="K207" s="92"/>
      <c r="L207" s="92"/>
      <c r="M207" s="92"/>
      <c r="N207" s="92"/>
      <c r="O207" s="92"/>
      <c r="P207" s="92"/>
      <c r="Q207" s="92"/>
      <c r="R207" s="92"/>
      <c r="S207" s="92"/>
      <c r="T207" s="92"/>
      <c r="U207" s="92"/>
      <c r="V207" s="92"/>
    </row>
    <row r="208" spans="1:22" ht="36" customHeight="1">
      <c r="A208" s="113" t="s">
        <v>1234</v>
      </c>
      <c r="B208" s="113"/>
      <c r="C208" s="180" t="s">
        <v>1235</v>
      </c>
      <c r="D208" s="180"/>
      <c r="E208" s="180"/>
      <c r="F208" s="180"/>
      <c r="G208" s="180"/>
      <c r="H208" s="180"/>
      <c r="I208" s="92"/>
      <c r="J208" s="92"/>
      <c r="K208" s="92"/>
      <c r="L208" s="92"/>
      <c r="M208" s="92"/>
      <c r="N208" s="92"/>
      <c r="O208" s="92"/>
      <c r="P208" s="92"/>
      <c r="Q208" s="92"/>
      <c r="R208" s="92"/>
      <c r="S208" s="92"/>
      <c r="T208" s="92"/>
      <c r="U208" s="92"/>
      <c r="V208" s="92"/>
    </row>
    <row r="209" spans="1:22" ht="22" customHeight="1">
      <c r="A209" s="91"/>
      <c r="B209" s="93"/>
      <c r="C209" s="92"/>
      <c r="D209" s="92"/>
      <c r="E209" s="92"/>
      <c r="F209" s="92"/>
      <c r="G209" s="92"/>
      <c r="H209" s="92"/>
      <c r="I209" s="92"/>
      <c r="J209" s="92"/>
      <c r="K209" s="92"/>
      <c r="L209" s="92"/>
      <c r="M209" s="92"/>
      <c r="N209" s="92"/>
      <c r="O209" s="92"/>
      <c r="P209" s="92"/>
      <c r="Q209" s="92"/>
      <c r="R209" s="92"/>
      <c r="S209" s="92"/>
      <c r="T209" s="92"/>
      <c r="U209" s="92"/>
      <c r="V209" s="92"/>
    </row>
    <row r="210" spans="1:22" ht="22" customHeight="1">
      <c r="A210" s="91"/>
      <c r="B210" s="93"/>
      <c r="C210" s="92"/>
      <c r="D210" s="92"/>
      <c r="E210" s="92"/>
      <c r="F210" s="92"/>
      <c r="G210" s="92"/>
      <c r="H210" s="92"/>
      <c r="I210" s="92"/>
      <c r="J210" s="92"/>
      <c r="K210" s="92"/>
      <c r="L210" s="92"/>
      <c r="M210" s="92"/>
      <c r="N210" s="92"/>
      <c r="O210" s="92"/>
      <c r="P210" s="92"/>
      <c r="Q210" s="92"/>
      <c r="R210" s="92"/>
      <c r="S210" s="92"/>
      <c r="T210" s="92"/>
      <c r="U210" s="92"/>
      <c r="V210" s="92"/>
    </row>
    <row r="211" spans="1:22" ht="22" customHeight="1">
      <c r="A211" s="91"/>
      <c r="B211" s="93"/>
      <c r="C211" s="92"/>
      <c r="D211" s="92"/>
      <c r="E211" s="92"/>
      <c r="F211" s="92"/>
      <c r="G211" s="92"/>
      <c r="H211" s="92"/>
      <c r="I211" s="92"/>
      <c r="J211" s="92"/>
      <c r="K211" s="92"/>
      <c r="L211" s="92"/>
      <c r="M211" s="92"/>
      <c r="N211" s="92"/>
      <c r="O211" s="92"/>
      <c r="P211" s="92"/>
      <c r="Q211" s="92"/>
      <c r="R211" s="92"/>
      <c r="S211" s="92"/>
      <c r="T211" s="92"/>
      <c r="U211" s="92"/>
      <c r="V211" s="92"/>
    </row>
    <row r="212" spans="1:22" ht="22" customHeight="1">
      <c r="A212" s="91"/>
      <c r="B212" s="93"/>
      <c r="C212" s="92"/>
      <c r="D212" s="92"/>
      <c r="E212" s="92"/>
      <c r="F212" s="92"/>
      <c r="G212" s="92"/>
      <c r="H212" s="92"/>
      <c r="I212" s="92"/>
      <c r="J212" s="92"/>
      <c r="K212" s="92"/>
      <c r="L212" s="92"/>
      <c r="M212" s="92"/>
      <c r="N212" s="92"/>
      <c r="O212" s="92"/>
      <c r="P212" s="92"/>
      <c r="Q212" s="92"/>
      <c r="R212" s="92"/>
      <c r="S212" s="92"/>
      <c r="T212" s="92"/>
      <c r="U212" s="92"/>
      <c r="V212" s="92"/>
    </row>
    <row r="213" spans="1:22" ht="22" customHeight="1">
      <c r="A213" s="91"/>
      <c r="B213" s="93"/>
      <c r="C213" s="92"/>
      <c r="D213" s="92"/>
      <c r="E213" s="92"/>
      <c r="F213" s="92"/>
      <c r="G213" s="92"/>
      <c r="H213" s="92"/>
      <c r="I213" s="92"/>
      <c r="J213" s="92"/>
      <c r="K213" s="92"/>
      <c r="L213" s="92"/>
      <c r="M213" s="92"/>
      <c r="N213" s="92"/>
      <c r="O213" s="92"/>
      <c r="P213" s="92"/>
      <c r="Q213" s="92"/>
      <c r="R213" s="92"/>
      <c r="S213" s="92"/>
      <c r="T213" s="92"/>
      <c r="U213" s="92"/>
      <c r="V213" s="92"/>
    </row>
    <row r="214" spans="1:22" ht="22" customHeight="1">
      <c r="A214" s="91"/>
      <c r="B214" s="93"/>
      <c r="C214" s="92"/>
      <c r="D214" s="92"/>
      <c r="E214" s="92"/>
      <c r="F214" s="92"/>
      <c r="G214" s="92"/>
      <c r="H214" s="92"/>
      <c r="I214" s="92"/>
      <c r="J214" s="92"/>
      <c r="K214" s="92"/>
      <c r="L214" s="92"/>
      <c r="M214" s="92"/>
      <c r="N214" s="92"/>
      <c r="O214" s="92"/>
      <c r="P214" s="92"/>
      <c r="Q214" s="92"/>
      <c r="R214" s="92"/>
      <c r="S214" s="92"/>
      <c r="T214" s="92"/>
      <c r="U214" s="92"/>
      <c r="V214" s="92"/>
    </row>
    <row r="215" spans="1:22" ht="22" customHeight="1">
      <c r="A215" s="91"/>
      <c r="B215" s="93"/>
      <c r="C215" s="92"/>
      <c r="D215" s="92"/>
      <c r="E215" s="92"/>
      <c r="F215" s="92"/>
      <c r="G215" s="92"/>
      <c r="H215" s="92"/>
      <c r="I215" s="92"/>
      <c r="J215" s="92"/>
      <c r="K215" s="92"/>
      <c r="L215" s="92"/>
      <c r="M215" s="92"/>
      <c r="N215" s="92"/>
      <c r="O215" s="92"/>
      <c r="P215" s="92"/>
      <c r="Q215" s="92"/>
      <c r="R215" s="92"/>
      <c r="S215" s="92"/>
      <c r="T215" s="92"/>
      <c r="U215" s="92"/>
      <c r="V215" s="92"/>
    </row>
    <row r="216" spans="1:22" ht="22" customHeight="1">
      <c r="A216" s="91"/>
      <c r="B216" s="93"/>
      <c r="C216" s="92"/>
      <c r="D216" s="92"/>
      <c r="E216" s="92"/>
      <c r="F216" s="92"/>
      <c r="G216" s="92"/>
      <c r="H216" s="92"/>
      <c r="I216" s="92"/>
      <c r="J216" s="92"/>
      <c r="K216" s="92"/>
      <c r="L216" s="92"/>
      <c r="M216" s="92"/>
      <c r="N216" s="92"/>
      <c r="O216" s="92"/>
      <c r="P216" s="92"/>
      <c r="Q216" s="92"/>
      <c r="R216" s="92"/>
      <c r="S216" s="92"/>
      <c r="T216" s="92"/>
      <c r="U216" s="92"/>
      <c r="V216" s="92"/>
    </row>
    <row r="217" spans="1:22" ht="22" customHeight="1">
      <c r="A217" s="91"/>
      <c r="B217" s="93"/>
      <c r="C217" s="92"/>
      <c r="D217" s="92"/>
      <c r="E217" s="92"/>
      <c r="F217" s="92"/>
      <c r="G217" s="92"/>
      <c r="H217" s="92"/>
      <c r="I217" s="92"/>
      <c r="J217" s="92"/>
      <c r="K217" s="92"/>
      <c r="L217" s="92"/>
      <c r="M217" s="92"/>
      <c r="N217" s="92"/>
      <c r="O217" s="92"/>
      <c r="P217" s="92"/>
      <c r="Q217" s="92"/>
      <c r="R217" s="92"/>
      <c r="S217" s="92"/>
      <c r="T217" s="92"/>
      <c r="U217" s="92"/>
      <c r="V217" s="92"/>
    </row>
    <row r="218" spans="1:22" ht="22" customHeight="1">
      <c r="A218" s="91"/>
      <c r="B218" s="93"/>
      <c r="C218" s="92"/>
      <c r="D218" s="92"/>
      <c r="E218" s="92"/>
      <c r="F218" s="92"/>
      <c r="G218" s="92"/>
      <c r="H218" s="92"/>
      <c r="I218" s="92"/>
      <c r="J218" s="92"/>
      <c r="K218" s="92"/>
      <c r="L218" s="92"/>
      <c r="M218" s="92"/>
      <c r="N218" s="92"/>
      <c r="O218" s="92"/>
      <c r="P218" s="92"/>
      <c r="Q218" s="92"/>
      <c r="R218" s="92"/>
      <c r="S218" s="92"/>
      <c r="T218" s="92"/>
      <c r="U218" s="92"/>
      <c r="V218" s="92"/>
    </row>
    <row r="219" spans="1:22" ht="22" customHeight="1">
      <c r="A219" s="91"/>
      <c r="B219" s="93"/>
      <c r="C219" s="92"/>
      <c r="D219" s="92"/>
      <c r="E219" s="92"/>
      <c r="F219" s="92"/>
      <c r="G219" s="92"/>
      <c r="H219" s="92"/>
      <c r="I219" s="92"/>
      <c r="J219" s="92"/>
      <c r="K219" s="92"/>
      <c r="L219" s="92"/>
      <c r="M219" s="92"/>
      <c r="N219" s="92"/>
      <c r="O219" s="92"/>
      <c r="P219" s="92"/>
      <c r="Q219" s="92"/>
      <c r="R219" s="92"/>
      <c r="S219" s="92"/>
      <c r="T219" s="92"/>
      <c r="U219" s="92"/>
      <c r="V219" s="92"/>
    </row>
    <row r="220" spans="1:22" ht="22" customHeight="1">
      <c r="A220" s="91"/>
      <c r="B220" s="93"/>
      <c r="C220" s="92"/>
      <c r="D220" s="92"/>
      <c r="E220" s="92"/>
      <c r="F220" s="92"/>
      <c r="G220" s="92"/>
      <c r="H220" s="92"/>
      <c r="I220" s="92"/>
      <c r="J220" s="92"/>
      <c r="K220" s="92"/>
      <c r="L220" s="92"/>
      <c r="M220" s="92"/>
      <c r="N220" s="92"/>
      <c r="O220" s="92"/>
      <c r="P220" s="92"/>
      <c r="Q220" s="92"/>
      <c r="R220" s="92"/>
      <c r="S220" s="92"/>
      <c r="T220" s="92"/>
      <c r="U220" s="92"/>
      <c r="V220" s="92"/>
    </row>
    <row r="221" spans="1:22" ht="22" customHeight="1">
      <c r="A221" s="91"/>
      <c r="B221" s="93"/>
      <c r="C221" s="92"/>
      <c r="D221" s="92"/>
      <c r="E221" s="92"/>
      <c r="F221" s="92"/>
      <c r="G221" s="92"/>
      <c r="H221" s="92"/>
      <c r="I221" s="92"/>
      <c r="J221" s="92"/>
      <c r="K221" s="92"/>
      <c r="L221" s="92"/>
      <c r="M221" s="92"/>
      <c r="N221" s="92"/>
      <c r="O221" s="92"/>
      <c r="P221" s="92"/>
      <c r="Q221" s="92"/>
      <c r="R221" s="92"/>
      <c r="S221" s="92"/>
      <c r="T221" s="92"/>
      <c r="U221" s="92"/>
      <c r="V221" s="92"/>
    </row>
  </sheetData>
  <mergeCells count="26">
    <mergeCell ref="A1:H1"/>
    <mergeCell ref="J1:V1"/>
    <mergeCell ref="A2:H2"/>
    <mergeCell ref="A3:H3"/>
    <mergeCell ref="D4:H4"/>
    <mergeCell ref="F80:H84"/>
    <mergeCell ref="A176:H177"/>
    <mergeCell ref="C190:H190"/>
    <mergeCell ref="C191:H191"/>
    <mergeCell ref="C192:H192"/>
    <mergeCell ref="C193:H193"/>
    <mergeCell ref="C194:H194"/>
    <mergeCell ref="C195:H195"/>
    <mergeCell ref="C196:H196"/>
    <mergeCell ref="C197:H197"/>
    <mergeCell ref="C198:H198"/>
    <mergeCell ref="C199:H199"/>
    <mergeCell ref="C200:H200"/>
    <mergeCell ref="C201:H201"/>
    <mergeCell ref="C202:H202"/>
    <mergeCell ref="C208:H208"/>
    <mergeCell ref="C203:H203"/>
    <mergeCell ref="C204:H204"/>
    <mergeCell ref="C205:H205"/>
    <mergeCell ref="C206:H206"/>
    <mergeCell ref="C207:H207"/>
  </mergeCells>
  <phoneticPr fontId="44" type="noConversion"/>
  <conditionalFormatting sqref="C183:C187">
    <cfRule type="expression" dxfId="1" priority="1">
      <formula>ABS(C183)&gt;0.000001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064A2"/>
  </sheetPr>
  <dimension ref="A1:O91"/>
  <sheetViews>
    <sheetView showGridLines="0" tabSelected="1" workbookViewId="0">
      <pane xSplit="1" ySplit="3" topLeftCell="B4" activePane="bottomRight" state="frozen"/>
      <selection pane="topRight"/>
      <selection pane="bottomLeft"/>
      <selection pane="bottomRight" activeCell="J29" sqref="J29:O30"/>
    </sheetView>
  </sheetViews>
  <sheetFormatPr baseColWidth="10" defaultColWidth="8.83203125" defaultRowHeight="14"/>
  <cols>
    <col min="1" max="1" width="60" customWidth="1"/>
    <col min="2" max="8" width="14" customWidth="1"/>
    <col min="9" max="9" width="3" customWidth="1"/>
    <col min="10" max="10" width="42" customWidth="1"/>
    <col min="11" max="15" width="14" customWidth="1"/>
  </cols>
  <sheetData>
    <row r="1" spans="1:15" ht="28" customHeight="1">
      <c r="A1" s="150" t="s">
        <v>1236</v>
      </c>
      <c r="B1" s="151"/>
      <c r="C1" s="151"/>
      <c r="D1" s="151"/>
      <c r="E1" s="151"/>
      <c r="F1" s="151"/>
      <c r="G1" s="151"/>
      <c r="H1" s="151"/>
      <c r="I1" s="122"/>
      <c r="J1" s="152" t="s">
        <v>1237</v>
      </c>
      <c r="K1" s="151"/>
      <c r="L1" s="151"/>
      <c r="M1" s="151"/>
      <c r="N1" s="151"/>
      <c r="O1" s="151"/>
    </row>
    <row r="2" spans="1:15" ht="22" customHeight="1">
      <c r="A2" s="153" t="s">
        <v>1316</v>
      </c>
      <c r="B2" s="2"/>
      <c r="C2" s="2"/>
      <c r="D2" s="2"/>
      <c r="E2" s="2"/>
      <c r="F2" s="2"/>
      <c r="G2" s="2"/>
      <c r="H2" s="2"/>
      <c r="I2" s="122"/>
      <c r="J2" s="2" t="s">
        <v>1238</v>
      </c>
      <c r="K2" s="2"/>
      <c r="L2" s="2"/>
      <c r="M2" s="2"/>
      <c r="N2" s="2"/>
      <c r="O2" s="2"/>
    </row>
    <row r="3" spans="1:15" ht="24" customHeight="1">
      <c r="A3" s="121"/>
      <c r="B3" s="122"/>
      <c r="C3" s="123" t="s">
        <v>1239</v>
      </c>
      <c r="D3" s="123" t="s">
        <v>1240</v>
      </c>
      <c r="E3" s="123" t="s">
        <v>1241</v>
      </c>
      <c r="F3" s="122"/>
      <c r="G3" s="122"/>
      <c r="H3" s="122"/>
      <c r="I3" s="122"/>
      <c r="J3" s="146"/>
      <c r="K3" s="123" t="s">
        <v>1242</v>
      </c>
      <c r="L3" s="123" t="s">
        <v>1243</v>
      </c>
      <c r="M3" s="123" t="s">
        <v>1244</v>
      </c>
      <c r="N3" s="123" t="s">
        <v>1245</v>
      </c>
      <c r="O3" s="123" t="s">
        <v>1246</v>
      </c>
    </row>
    <row r="4" spans="1:15" ht="24" customHeight="1">
      <c r="A4" s="132" t="s">
        <v>1247</v>
      </c>
      <c r="B4" s="133"/>
      <c r="C4" s="134">
        <f>IF(COUNT(C38:G38,G40)=6,SUM(C38:G38,G40),"")</f>
        <v>86.870368405549783</v>
      </c>
      <c r="D4" s="134">
        <f>IF(COUNT(C48:G48,G50)=6,SUM(C48:G48,G50),"")</f>
        <v>110.51483412906801</v>
      </c>
      <c r="E4" s="134">
        <f>IF(COUNT(C58:G58,G60)=6,SUM(C58:G58,G60),"")</f>
        <v>140.34511694898114</v>
      </c>
      <c r="F4" s="133"/>
      <c r="G4" s="133"/>
      <c r="H4" s="133"/>
      <c r="I4" s="122"/>
      <c r="J4" s="146" t="s">
        <v>1248</v>
      </c>
      <c r="K4" s="141">
        <f>IF(COUNT('Income Statement'!H31)=1,'Income Statement'!H31,"")</f>
        <v>7618</v>
      </c>
      <c r="L4" s="141">
        <f>IF(COUNT('Income Statement'!I31)=1,'Income Statement'!I31,"")</f>
        <v>8910</v>
      </c>
      <c r="M4" s="141">
        <f>IF(COUNT('Income Statement'!J31)=1,'Income Statement'!J31,"")</f>
        <v>9074</v>
      </c>
      <c r="N4" s="141">
        <f>IF(COUNT('Income Statement'!K31)=1,'Income Statement'!K31,"")</f>
        <v>9578</v>
      </c>
      <c r="O4" s="141">
        <f>IF(COUNT('Income Statement'!L31)=1,'Income Statement'!L31,"")</f>
        <v>8240</v>
      </c>
    </row>
    <row r="5" spans="1:15" ht="22" customHeight="1">
      <c r="A5" s="135" t="s">
        <v>1249</v>
      </c>
      <c r="B5" s="136"/>
      <c r="C5" s="137">
        <f>H24</f>
        <v>2.4308242694009774E-2</v>
      </c>
      <c r="D5" s="137">
        <f>H25</f>
        <v>3.0282846329172886E-2</v>
      </c>
      <c r="E5" s="137">
        <f>H26</f>
        <v>4.1303325688114789E-2</v>
      </c>
      <c r="F5" s="136" t="s">
        <v>1250</v>
      </c>
      <c r="G5" s="138">
        <v>132.63</v>
      </c>
      <c r="H5" s="136"/>
      <c r="I5" s="122"/>
      <c r="J5" s="146" t="s">
        <v>1251</v>
      </c>
      <c r="K5" s="144">
        <f>IF(COUNT(K9:K10)=2,K9-K10,"")</f>
        <v>6991</v>
      </c>
      <c r="L5" s="144">
        <f>IF(COUNT(L9:L10)=2,L9-L10,"")</f>
        <v>5604</v>
      </c>
      <c r="M5" s="144">
        <f>IF(COUNT(M9:M10)=2,M9-M10,"")</f>
        <v>7924</v>
      </c>
      <c r="N5" s="144">
        <f>IF(COUNT(N9:N10)=2,N9-N10,"")</f>
        <v>7189</v>
      </c>
      <c r="O5" s="144">
        <f>IF(COUNT(O9:O10)=2,O9-O10,"")</f>
        <v>7672</v>
      </c>
    </row>
    <row r="6" spans="1:15" ht="22" customHeight="1">
      <c r="A6" s="121" t="s">
        <v>1252</v>
      </c>
      <c r="B6" s="122"/>
      <c r="C6" s="128">
        <f>G39</f>
        <v>131.56899643118325</v>
      </c>
      <c r="D6" s="128">
        <f>G49</f>
        <v>178.1136331952174</v>
      </c>
      <c r="E6" s="128">
        <f>G59</f>
        <v>236.8335226563174</v>
      </c>
      <c r="F6" s="122" t="s">
        <v>1253</v>
      </c>
      <c r="G6" s="131">
        <v>46323</v>
      </c>
      <c r="H6" s="122"/>
      <c r="I6" s="122"/>
      <c r="J6" s="146" t="s">
        <v>1254</v>
      </c>
      <c r="K6" s="141">
        <f>IF(COUNT('Cash Flow'!H71)=1,-'Cash Flow'!H71,"")</f>
        <v>5815</v>
      </c>
      <c r="L6" s="141">
        <f>IF(COUNT('Cash Flow'!I71)=1,-'Cash Flow'!I71,"")</f>
        <v>6172</v>
      </c>
      <c r="M6" s="141">
        <f>IF(COUNT('Cash Flow'!J71)=1,-'Cash Flow'!J71,"")</f>
        <v>6682</v>
      </c>
      <c r="N6" s="141">
        <f>IF(COUNT('Cash Flow'!K71)=1,-'Cash Flow'!K71,"")</f>
        <v>7229</v>
      </c>
      <c r="O6" s="141">
        <f>IF(COUNT('Cash Flow'!L71)=1,-'Cash Flow'!L71,"")</f>
        <v>7638</v>
      </c>
    </row>
    <row r="7" spans="1:15" ht="22" customHeight="1">
      <c r="A7" s="121" t="s">
        <v>1255</v>
      </c>
      <c r="B7" s="122"/>
      <c r="C7" s="128">
        <f>IF(COUNT(C38:G38)=5,SUM(C38:G38),"")</f>
        <v>21.507399659667868</v>
      </c>
      <c r="D7" s="128">
        <f>IF(COUNT(C48:G48)=5,SUM(C48:G48),"")</f>
        <v>22.028669792899333</v>
      </c>
      <c r="E7" s="128">
        <f>IF(COUNT(C58:G58)=5,SUM(C58:G58),"")</f>
        <v>22.687138555425243</v>
      </c>
      <c r="F7" s="122" t="s">
        <v>1256</v>
      </c>
      <c r="G7" s="131">
        <v>46324</v>
      </c>
      <c r="H7" s="122"/>
      <c r="I7" s="122"/>
      <c r="J7" s="146" t="s">
        <v>1257</v>
      </c>
      <c r="K7" s="139">
        <v>1383</v>
      </c>
      <c r="L7" s="139">
        <v>1377</v>
      </c>
      <c r="M7" s="139">
        <v>1374</v>
      </c>
      <c r="N7" s="139">
        <v>1372</v>
      </c>
      <c r="O7" s="139">
        <v>1367</v>
      </c>
    </row>
    <row r="8" spans="1:15" ht="22" customHeight="1">
      <c r="A8" s="121" t="s">
        <v>1258</v>
      </c>
      <c r="B8" s="122"/>
      <c r="C8" s="128">
        <f>IF(COUNT(C4,$D$10,$B$18,$G$7)=4,C4/(1+$D$10)^(($B$18-$G$7)/365),"")</f>
        <v>84.962352120010593</v>
      </c>
      <c r="D8" s="128">
        <f>IF(COUNT(D4,$D$10,$B$18,$G$7)=4,D4/(1+$D$10)^(($B$18-$G$7)/365),"")</f>
        <v>108.08749201941427</v>
      </c>
      <c r="E8" s="128">
        <f>IF(COUNT(E4,$D$10,$B$18,$G$7)=4,E4/(1+$D$10)^(($B$18-$G$7)/365),"")</f>
        <v>137.26258404795283</v>
      </c>
      <c r="F8" s="122"/>
      <c r="G8" s="122"/>
      <c r="H8" s="122"/>
      <c r="I8" s="122"/>
      <c r="J8" s="146" t="s">
        <v>1259</v>
      </c>
      <c r="K8" s="139">
        <v>1380</v>
      </c>
      <c r="L8" s="139">
        <v>1383</v>
      </c>
      <c r="M8" s="139">
        <v>1377</v>
      </c>
      <c r="N8" s="139">
        <v>1374</v>
      </c>
      <c r="O8" s="139">
        <v>1372</v>
      </c>
    </row>
    <row r="9" spans="1:15" ht="22" customHeight="1">
      <c r="A9" s="124" t="s">
        <v>1260</v>
      </c>
      <c r="B9" s="125"/>
      <c r="C9" s="125"/>
      <c r="D9" s="125"/>
      <c r="E9" s="125"/>
      <c r="F9" s="125"/>
      <c r="G9" s="125"/>
      <c r="H9" s="125"/>
      <c r="I9" s="122"/>
      <c r="J9" s="146" t="s">
        <v>1261</v>
      </c>
      <c r="K9" s="141">
        <f>IF(COUNT('Cash Flow'!H46)=1,'Cash Flow'!H46,"")</f>
        <v>11616</v>
      </c>
      <c r="L9" s="141">
        <f>IF(COUNT('Cash Flow'!I46)=1,'Cash Flow'!I46,"")</f>
        <v>10811</v>
      </c>
      <c r="M9" s="141">
        <f>IF(COUNT('Cash Flow'!J46)=1,'Cash Flow'!J46,"")</f>
        <v>13442</v>
      </c>
      <c r="N9" s="141">
        <f>IF(COUNT('Cash Flow'!K46)=1,'Cash Flow'!K46,"")</f>
        <v>12507</v>
      </c>
      <c r="O9" s="141">
        <f>IF(COUNT('Cash Flow'!L46)=1,'Cash Flow'!L46,"")</f>
        <v>12087</v>
      </c>
    </row>
    <row r="10" spans="1:15" ht="22" customHeight="1">
      <c r="A10" s="121" t="s">
        <v>1262</v>
      </c>
      <c r="B10" s="122"/>
      <c r="C10" s="129">
        <f>IF(COUNT($D$10)=1,$D$10,"")</f>
        <v>0.15</v>
      </c>
      <c r="D10" s="126">
        <v>0.15</v>
      </c>
      <c r="E10" s="129">
        <f>IF(COUNT($D$10)=1,$D$10,"")</f>
        <v>0.15</v>
      </c>
      <c r="F10" s="2" t="s">
        <v>1263</v>
      </c>
      <c r="G10" s="2"/>
      <c r="H10" s="2"/>
      <c r="I10" s="122"/>
      <c r="J10" s="146" t="s">
        <v>1264</v>
      </c>
      <c r="K10" s="141">
        <f>IF(COUNT('Cash Flow'!H48)=1,-'Cash Flow'!H48,"")</f>
        <v>4625</v>
      </c>
      <c r="L10" s="141">
        <f>IF(COUNT('Cash Flow'!I48)=1,-'Cash Flow'!I48,"")</f>
        <v>5207</v>
      </c>
      <c r="M10" s="141">
        <f>IF(COUNT('Cash Flow'!J48)=1,-'Cash Flow'!J48,"")</f>
        <v>5518</v>
      </c>
      <c r="N10" s="141">
        <f>IF(COUNT('Cash Flow'!K48)=1,-'Cash Flow'!K48,"")</f>
        <v>5318</v>
      </c>
      <c r="O10" s="141">
        <f>IF(COUNT('Cash Flow'!L48)=1,-'Cash Flow'!L48,"")</f>
        <v>4415</v>
      </c>
    </row>
    <row r="11" spans="1:15" ht="22" customHeight="1">
      <c r="A11" s="121" t="s">
        <v>1265</v>
      </c>
      <c r="B11" s="122"/>
      <c r="C11" s="127">
        <v>18</v>
      </c>
      <c r="D11" s="127">
        <v>22</v>
      </c>
      <c r="E11" s="127">
        <v>26</v>
      </c>
      <c r="F11" s="2"/>
      <c r="G11" s="2"/>
      <c r="H11" s="2"/>
      <c r="I11" s="122"/>
      <c r="J11" s="146" t="s">
        <v>1266</v>
      </c>
      <c r="K11" s="141">
        <f>IF(COUNT('Cash Flow'!H72)=1,-'Cash Flow'!H72,"")</f>
        <v>106</v>
      </c>
      <c r="L11" s="141">
        <f>IF(COUNT('Cash Flow'!I72)=1,-'Cash Flow'!I72,"")</f>
        <v>1500</v>
      </c>
      <c r="M11" s="141">
        <f>IF(COUNT('Cash Flow'!J72)=1,-'Cash Flow'!J72,"")</f>
        <v>1000</v>
      </c>
      <c r="N11" s="141">
        <f>IF(COUNT('Cash Flow'!K72)=1,-'Cash Flow'!K72,"")</f>
        <v>1000</v>
      </c>
      <c r="O11" s="141">
        <f>IF(COUNT('Cash Flow'!L72)=1,-'Cash Flow'!L72,"")</f>
        <v>1000</v>
      </c>
    </row>
    <row r="12" spans="1:15" ht="22" customHeight="1">
      <c r="A12" s="121" t="s">
        <v>1267</v>
      </c>
      <c r="B12" s="122"/>
      <c r="C12" s="126">
        <v>0.8</v>
      </c>
      <c r="D12" s="126">
        <v>0.85</v>
      </c>
      <c r="E12" s="126">
        <v>0.9</v>
      </c>
      <c r="F12" s="2"/>
      <c r="G12" s="2"/>
      <c r="H12" s="2"/>
      <c r="I12" s="122"/>
      <c r="J12" s="146" t="s">
        <v>1268</v>
      </c>
      <c r="K12" s="129">
        <f>IF(AND(COUNT(K4:K5)=2,K4&lt;&gt;0),K5/K4,"")</f>
        <v>0.91769493305329486</v>
      </c>
      <c r="L12" s="129">
        <f>IF(AND(COUNT(L4:L5)=2,L4&lt;&gt;0),L5/L4,"")</f>
        <v>0.62895622895622894</v>
      </c>
      <c r="M12" s="129">
        <f>IF(AND(COUNT(M4:M5)=2,M4&lt;&gt;0),M5/M4,"")</f>
        <v>0.8732642715450738</v>
      </c>
      <c r="N12" s="129">
        <f>IF(AND(COUNT(N4:N5)=2,N4&lt;&gt;0),N5/N4,"")</f>
        <v>0.75057423261641265</v>
      </c>
      <c r="O12" s="129">
        <f>IF(AND(COUNT(O4:O5)=2,O4&lt;&gt;0),O5/O4,"")</f>
        <v>0.93106796116504853</v>
      </c>
    </row>
    <row r="13" spans="1:15" ht="22" customHeight="1">
      <c r="A13" s="121" t="s">
        <v>1269</v>
      </c>
      <c r="B13" s="122"/>
      <c r="C13" s="126">
        <v>0.8</v>
      </c>
      <c r="D13" s="126">
        <v>0.85</v>
      </c>
      <c r="E13" s="126">
        <v>0.9</v>
      </c>
      <c r="F13" s="2"/>
      <c r="G13" s="2"/>
      <c r="H13" s="2"/>
      <c r="I13" s="122"/>
      <c r="J13" s="146"/>
      <c r="K13" s="122"/>
      <c r="L13" s="122"/>
      <c r="M13" s="122"/>
      <c r="N13" s="122"/>
      <c r="O13" s="122"/>
    </row>
    <row r="14" spans="1:15" ht="22" customHeight="1">
      <c r="A14" s="121" t="s">
        <v>1270</v>
      </c>
      <c r="B14" s="122"/>
      <c r="C14" s="126">
        <v>0.75</v>
      </c>
      <c r="D14" s="126">
        <v>0.75</v>
      </c>
      <c r="E14" s="126">
        <v>0.75</v>
      </c>
      <c r="F14" s="2"/>
      <c r="G14" s="2"/>
      <c r="H14" s="2"/>
      <c r="I14" s="122"/>
      <c r="J14" s="146" t="s">
        <v>1270</v>
      </c>
      <c r="K14" s="129">
        <f>IF(AND(COUNT(K4,K6)=2,K4&lt;&gt;0),K6/K4,"")</f>
        <v>0.76332370700971386</v>
      </c>
      <c r="L14" s="129">
        <f>IF(AND(COUNT(L4,L6)=2,L4&lt;&gt;0),L6/L4,"")</f>
        <v>0.69270482603815942</v>
      </c>
      <c r="M14" s="129">
        <f>IF(AND(COUNT(M4,M6)=2,M4&lt;&gt;0),M6/M4,"")</f>
        <v>0.73638968481375355</v>
      </c>
      <c r="N14" s="129">
        <f>IF(AND(COUNT(N4,N6)=2,N4&lt;&gt;0),N6/N4,"")</f>
        <v>0.75475046982668614</v>
      </c>
      <c r="O14" s="129">
        <f>IF(AND(COUNT(O4,O6)=2,O4&lt;&gt;0),O6/O4,"")</f>
        <v>0.92694174757281556</v>
      </c>
    </row>
    <row r="15" spans="1:15" ht="22" customHeight="1">
      <c r="A15" s="121" t="s">
        <v>1271</v>
      </c>
      <c r="B15" s="122"/>
      <c r="C15" s="130">
        <v>0</v>
      </c>
      <c r="D15" s="130">
        <v>-2.5000000000000001E-3</v>
      </c>
      <c r="E15" s="130">
        <v>-4.0000000000000001E-3</v>
      </c>
      <c r="F15" s="2"/>
      <c r="G15" s="2"/>
      <c r="H15" s="2"/>
      <c r="I15" s="122"/>
      <c r="J15" s="146" t="s">
        <v>1272</v>
      </c>
      <c r="K15" s="145">
        <f>IF(AND(COUNT(K7:K8)=2,K8&gt;0),K7/K8-1,"")</f>
        <v>2.1739130434783593E-3</v>
      </c>
      <c r="L15" s="145">
        <f>IF(AND(COUNT(L7:L8)=2,L8&gt;0),L7/L8-1,"")</f>
        <v>-4.3383947939262812E-3</v>
      </c>
      <c r="M15" s="145">
        <f>IF(AND(COUNT(M7:M8)=2,M8&gt;0),M7/M8-1,"")</f>
        <v>-2.1786492374727962E-3</v>
      </c>
      <c r="N15" s="145">
        <f>IF(AND(COUNT(N7:N8)=2,N8&gt;0),N7/N8-1,"")</f>
        <v>-1.4556040756914523E-3</v>
      </c>
      <c r="O15" s="145">
        <f>IF(AND(COUNT(O7:O8)=2,O8&gt;0),O7/O8-1,"")</f>
        <v>-3.6443148688046767E-3</v>
      </c>
    </row>
    <row r="16" spans="1:15" ht="22" customHeight="1">
      <c r="A16" s="121" t="s">
        <v>1273</v>
      </c>
      <c r="B16" s="122"/>
      <c r="C16" s="129">
        <f>IF(AND(COUNT(C8,$G$5)=2,$G$5&gt;0),C8/$G$5-1,"")</f>
        <v>-0.35940321103814676</v>
      </c>
      <c r="D16" s="129">
        <f>IF(AND(COUNT(D8,$G$5)=2,$G$5&gt;0),D8/$G$5-1,"")</f>
        <v>-0.18504492181697751</v>
      </c>
      <c r="E16" s="129">
        <f>IF(AND(COUNT(E8,$G$5)=2,$G$5&gt;0),E8/$G$5-1,"")</f>
        <v>3.4928628876972345E-2</v>
      </c>
      <c r="F16" s="122"/>
      <c r="G16" s="122"/>
      <c r="H16" s="122"/>
      <c r="I16" s="122"/>
      <c r="J16" s="146"/>
      <c r="K16" s="122"/>
      <c r="L16" s="122"/>
      <c r="M16" s="122"/>
      <c r="N16" s="122"/>
      <c r="O16" s="122"/>
    </row>
    <row r="17" spans="1:15" ht="18" customHeight="1">
      <c r="A17" s="121" t="s">
        <v>1274</v>
      </c>
      <c r="B17" s="139">
        <v>1362.741092</v>
      </c>
      <c r="C17" s="122"/>
      <c r="D17" s="122" t="s">
        <v>1275</v>
      </c>
      <c r="E17" s="131">
        <v>46296</v>
      </c>
      <c r="F17" s="122"/>
      <c r="G17" s="122"/>
      <c r="H17" s="122"/>
      <c r="I17" s="122"/>
      <c r="J17" s="4" t="s">
        <v>1276</v>
      </c>
      <c r="K17" s="4"/>
      <c r="L17" s="4"/>
      <c r="M17" s="4"/>
      <c r="N17" s="4"/>
      <c r="O17" s="4"/>
    </row>
    <row r="18" spans="1:15" ht="18" customHeight="1">
      <c r="A18" s="121" t="s">
        <v>1277</v>
      </c>
      <c r="B18" s="131">
        <v>46382</v>
      </c>
      <c r="C18" s="4" t="s">
        <v>1278</v>
      </c>
      <c r="D18" s="4"/>
      <c r="E18" s="4"/>
      <c r="F18" s="4"/>
      <c r="G18" s="4"/>
      <c r="H18" s="4"/>
      <c r="I18" s="122"/>
      <c r="J18" s="4"/>
      <c r="K18" s="4"/>
      <c r="L18" s="4"/>
      <c r="M18" s="4"/>
      <c r="N18" s="4"/>
      <c r="O18" s="4"/>
    </row>
    <row r="19" spans="1:15" ht="18" customHeight="1">
      <c r="A19" s="121" t="s">
        <v>1279</v>
      </c>
      <c r="B19" s="126">
        <v>2E-3</v>
      </c>
      <c r="C19" s="122"/>
      <c r="D19" s="122"/>
      <c r="E19" s="122"/>
      <c r="F19" s="3" t="str">
        <f>IF(AND(COUNT(C15:E15,$B$19)=4,MAX(C15:E15)&gt;$B$19),"净增股超过发行假设，请调整稀释率或股数变化。","")</f>
        <v/>
      </c>
      <c r="G19" s="2"/>
      <c r="H19" s="2"/>
      <c r="I19" s="122"/>
      <c r="J19" s="4"/>
      <c r="K19" s="4"/>
      <c r="L19" s="4"/>
      <c r="M19" s="4"/>
      <c r="N19" s="4"/>
      <c r="O19" s="4"/>
    </row>
    <row r="20" spans="1:15" ht="22" customHeight="1">
      <c r="A20" s="124" t="s">
        <v>1280</v>
      </c>
      <c r="B20" s="125"/>
      <c r="C20" s="125"/>
      <c r="D20" s="125"/>
      <c r="E20" s="125"/>
      <c r="F20" s="125"/>
      <c r="G20" s="125"/>
      <c r="H20" s="125"/>
      <c r="I20" s="122"/>
      <c r="J20" s="147" t="s">
        <v>1281</v>
      </c>
      <c r="K20" s="125"/>
      <c r="L20" s="125"/>
      <c r="M20" s="125"/>
      <c r="N20" s="125"/>
      <c r="O20" s="125"/>
    </row>
    <row r="21" spans="1:15" ht="24" customHeight="1">
      <c r="A21" s="121"/>
      <c r="B21" s="123" t="s">
        <v>1139</v>
      </c>
      <c r="C21" s="123" t="s">
        <v>1180</v>
      </c>
      <c r="D21" s="123" t="s">
        <v>1181</v>
      </c>
      <c r="E21" s="123" t="s">
        <v>1182</v>
      </c>
      <c r="F21" s="123" t="s">
        <v>1183</v>
      </c>
      <c r="G21" s="123" t="s">
        <v>1184</v>
      </c>
      <c r="H21" s="123" t="s">
        <v>1282</v>
      </c>
      <c r="I21" s="122"/>
      <c r="J21" s="146"/>
      <c r="K21" s="123" t="s">
        <v>1180</v>
      </c>
      <c r="L21" s="123" t="s">
        <v>1181</v>
      </c>
      <c r="M21" s="123" t="s">
        <v>1182</v>
      </c>
      <c r="N21" s="123" t="s">
        <v>1183</v>
      </c>
      <c r="O21" s="123" t="s">
        <v>1184</v>
      </c>
    </row>
    <row r="22" spans="1:15" ht="22" customHeight="1">
      <c r="A22" s="121"/>
      <c r="B22" s="140">
        <v>46382</v>
      </c>
      <c r="C22" s="140">
        <v>46746</v>
      </c>
      <c r="D22" s="140">
        <v>47117</v>
      </c>
      <c r="E22" s="140">
        <v>47481</v>
      </c>
      <c r="F22" s="140">
        <v>47845</v>
      </c>
      <c r="G22" s="140">
        <v>48209</v>
      </c>
      <c r="H22" s="122"/>
      <c r="I22" s="122"/>
      <c r="J22" s="146" t="s">
        <v>1283</v>
      </c>
      <c r="K22" s="126">
        <v>1.4999999999999999E-2</v>
      </c>
      <c r="L22" s="126">
        <v>0.02</v>
      </c>
      <c r="M22" s="126">
        <v>2.5000000000000001E-2</v>
      </c>
      <c r="N22" s="126">
        <v>2.5000000000000001E-2</v>
      </c>
      <c r="O22" s="126">
        <v>2.5000000000000001E-2</v>
      </c>
    </row>
    <row r="23" spans="1:15" ht="22" customHeight="1">
      <c r="A23" s="121" t="s">
        <v>1284</v>
      </c>
      <c r="B23" s="141">
        <f>IF(COUNT('Profit Forecast'!E86)=1,'Profit Forecast'!E86,"")</f>
        <v>11042.084952399999</v>
      </c>
      <c r="C23" s="141">
        <f>IF(COUNT('Profit Forecast'!C173)=1,'Profit Forecast'!C173,"")</f>
        <v>10783.521696332624</v>
      </c>
      <c r="D23" s="141">
        <f>IF(COUNT('Profit Forecast'!D173)=1,'Profit Forecast'!D173,"")</f>
        <v>11973.660592672592</v>
      </c>
      <c r="E23" s="141">
        <f>IF(COUNT('Profit Forecast'!E173)=1,'Profit Forecast'!E173,"")</f>
        <v>12439.667288740138</v>
      </c>
      <c r="F23" s="141">
        <f>IF(COUNT('Profit Forecast'!F173)=1,'Profit Forecast'!F173,"")</f>
        <v>13056.829222505079</v>
      </c>
      <c r="G23" s="141">
        <f>IF(COUNT('Profit Forecast'!G173)=1,'Profit Forecast'!G173,"")</f>
        <v>13518.775663344888</v>
      </c>
      <c r="H23" s="129">
        <f>IF(AND(COUNT(B23:G23)=6,B23&gt;0,G23&gt;0),(G23/B23)^(1/5)-1,"")</f>
        <v>4.1303325688114789E-2</v>
      </c>
      <c r="I23" s="122"/>
      <c r="J23" s="146" t="s">
        <v>1285</v>
      </c>
      <c r="K23" s="126">
        <v>0.217</v>
      </c>
      <c r="L23" s="126">
        <v>0.21899999999999997</v>
      </c>
      <c r="M23" s="126">
        <v>0.221</v>
      </c>
      <c r="N23" s="126">
        <v>0.223</v>
      </c>
      <c r="O23" s="126">
        <v>0.22500000000000001</v>
      </c>
    </row>
    <row r="24" spans="1:15" ht="22" customHeight="1">
      <c r="A24" s="121" t="s">
        <v>1286</v>
      </c>
      <c r="B24" s="142">
        <v>11042.084952399999</v>
      </c>
      <c r="C24" s="142">
        <v>10688.027672286751</v>
      </c>
      <c r="D24" s="142">
        <v>11657.533611025425</v>
      </c>
      <c r="E24" s="142">
        <v>11884.420169141324</v>
      </c>
      <c r="F24" s="142">
        <v>12249.117080558448</v>
      </c>
      <c r="G24" s="142">
        <v>12451.005407637136</v>
      </c>
      <c r="H24" s="129">
        <f>IF(AND(COUNT(B24:G24)=6,B24&gt;0,G24&gt;0),(G24/B24)^(1/5)-1,"")</f>
        <v>2.4308242694009774E-2</v>
      </c>
      <c r="I24" s="122"/>
      <c r="J24" s="146" t="s">
        <v>1287</v>
      </c>
      <c r="K24" s="126">
        <v>0.01</v>
      </c>
      <c r="L24" s="126">
        <v>0.02</v>
      </c>
      <c r="M24" s="126">
        <v>0.02</v>
      </c>
      <c r="N24" s="126">
        <v>0.02</v>
      </c>
      <c r="O24" s="126">
        <v>0.02</v>
      </c>
    </row>
    <row r="25" spans="1:15" ht="22" customHeight="1">
      <c r="A25" s="121" t="s">
        <v>1288</v>
      </c>
      <c r="B25" s="142">
        <v>11042.084952399999</v>
      </c>
      <c r="C25" s="142">
        <v>10760.049377558002</v>
      </c>
      <c r="D25" s="142">
        <v>11805.08115453593</v>
      </c>
      <c r="E25" s="142">
        <v>12102.653138283737</v>
      </c>
      <c r="F25" s="142">
        <v>12541.554084663536</v>
      </c>
      <c r="G25" s="142">
        <v>12818.388487054526</v>
      </c>
      <c r="H25" s="129">
        <f>IF(AND(COUNT(B25:G25)=6,B25&gt;0,G25&gt;0),(G25/B25)^(1/5)-1,"")</f>
        <v>3.0282846329172886E-2</v>
      </c>
      <c r="I25" s="122"/>
      <c r="J25" s="146" t="s">
        <v>1289</v>
      </c>
      <c r="K25" s="126">
        <v>0.10800000000000001</v>
      </c>
      <c r="L25" s="126">
        <v>0.109</v>
      </c>
      <c r="M25" s="126">
        <v>0.11</v>
      </c>
      <c r="N25" s="126">
        <v>0.111</v>
      </c>
      <c r="O25" s="126">
        <v>0.11199999999999999</v>
      </c>
    </row>
    <row r="26" spans="1:15" ht="22" customHeight="1">
      <c r="A26" s="121" t="s">
        <v>1290</v>
      </c>
      <c r="B26" s="142">
        <v>11042.084952399999</v>
      </c>
      <c r="C26" s="142">
        <v>10783.521696332624</v>
      </c>
      <c r="D26" s="142">
        <v>11973.660592672592</v>
      </c>
      <c r="E26" s="142">
        <v>12439.667288740138</v>
      </c>
      <c r="F26" s="142">
        <v>13056.829222505083</v>
      </c>
      <c r="G26" s="142">
        <v>13518.77566334489</v>
      </c>
      <c r="H26" s="129">
        <f>IF(AND(COUNT(B26:G26)=6,B26&gt;0,G26&gt;0),(G26/B26)^(1/5)-1,"")</f>
        <v>4.1303325688114789E-2</v>
      </c>
      <c r="I26" s="122"/>
      <c r="J26" s="146"/>
      <c r="K26" s="122"/>
      <c r="L26" s="122"/>
      <c r="M26" s="122"/>
      <c r="N26" s="122"/>
      <c r="O26" s="122"/>
    </row>
    <row r="27" spans="1:15" ht="22" customHeight="1">
      <c r="A27" s="121"/>
      <c r="B27" s="122"/>
      <c r="C27" s="122"/>
      <c r="D27" s="122"/>
      <c r="E27" s="122"/>
      <c r="F27" s="122"/>
      <c r="G27" s="122"/>
      <c r="H27" s="122"/>
      <c r="I27" s="122"/>
      <c r="J27" s="4" t="s">
        <v>1291</v>
      </c>
      <c r="K27" s="4"/>
      <c r="L27" s="4"/>
      <c r="M27" s="4"/>
      <c r="N27" s="4"/>
      <c r="O27" s="4"/>
    </row>
    <row r="28" spans="1:15" ht="36" customHeight="1">
      <c r="A28" s="121" t="s">
        <v>1292</v>
      </c>
      <c r="B28" s="131">
        <v>46324</v>
      </c>
      <c r="C28" s="2" t="s">
        <v>1293</v>
      </c>
      <c r="D28" s="2"/>
      <c r="E28" s="2"/>
      <c r="F28" s="2"/>
      <c r="G28" s="2"/>
      <c r="H28" s="2"/>
      <c r="I28" s="122"/>
      <c r="J28" s="4"/>
      <c r="K28" s="4"/>
      <c r="L28" s="4"/>
      <c r="M28" s="4"/>
      <c r="N28" s="4"/>
      <c r="O28" s="4"/>
    </row>
    <row r="29" spans="1:15" ht="36" customHeight="1">
      <c r="A29" s="121" t="s">
        <v>1294</v>
      </c>
      <c r="B29" s="131">
        <v>46324</v>
      </c>
      <c r="C29" s="2" t="s">
        <v>1295</v>
      </c>
      <c r="D29" s="2"/>
      <c r="E29" s="2"/>
      <c r="F29" s="2"/>
      <c r="G29" s="2"/>
      <c r="H29" s="2"/>
      <c r="I29" s="122"/>
      <c r="J29" s="4" t="s">
        <v>1296</v>
      </c>
      <c r="K29" s="4"/>
      <c r="L29" s="4"/>
      <c r="M29" s="4"/>
      <c r="N29" s="4"/>
      <c r="O29" s="4"/>
    </row>
    <row r="30" spans="1:15" ht="36" customHeight="1">
      <c r="A30" s="121" t="s">
        <v>1297</v>
      </c>
      <c r="B30" s="131">
        <v>46324</v>
      </c>
      <c r="C30" s="2" t="s">
        <v>1298</v>
      </c>
      <c r="D30" s="2"/>
      <c r="E30" s="2"/>
      <c r="F30" s="2"/>
      <c r="G30" s="2"/>
      <c r="H30" s="2"/>
      <c r="I30" s="122"/>
      <c r="J30" s="4"/>
      <c r="K30" s="4"/>
      <c r="L30" s="4"/>
      <c r="M30" s="4"/>
      <c r="N30" s="4"/>
      <c r="O30" s="4"/>
    </row>
    <row r="31" spans="1:15" ht="22" customHeight="1">
      <c r="A31" s="121"/>
      <c r="B31" s="122"/>
      <c r="C31" s="122"/>
      <c r="D31" s="122"/>
      <c r="E31" s="122"/>
      <c r="F31" s="122"/>
      <c r="G31" s="122"/>
      <c r="H31" s="122"/>
      <c r="I31" s="122"/>
      <c r="J31" s="4" t="s">
        <v>1299</v>
      </c>
      <c r="K31" s="4"/>
      <c r="L31" s="4"/>
      <c r="M31" s="4"/>
      <c r="N31" s="4"/>
      <c r="O31" s="4"/>
    </row>
    <row r="32" spans="1:15" ht="22" customHeight="1">
      <c r="A32" s="124" t="s">
        <v>1300</v>
      </c>
      <c r="B32" s="125"/>
      <c r="C32" s="125"/>
      <c r="D32" s="125"/>
      <c r="E32" s="125"/>
      <c r="F32" s="125"/>
      <c r="G32" s="125"/>
      <c r="H32" s="125"/>
      <c r="I32" s="122"/>
      <c r="J32" s="4"/>
      <c r="K32" s="4"/>
      <c r="L32" s="4"/>
      <c r="M32" s="4"/>
      <c r="N32" s="4"/>
      <c r="O32" s="4"/>
    </row>
    <row r="33" spans="1:15" ht="24" customHeight="1">
      <c r="A33" s="121"/>
      <c r="B33" s="123" t="s">
        <v>1139</v>
      </c>
      <c r="C33" s="123" t="s">
        <v>1180</v>
      </c>
      <c r="D33" s="123" t="s">
        <v>1181</v>
      </c>
      <c r="E33" s="123" t="s">
        <v>1182</v>
      </c>
      <c r="F33" s="123" t="s">
        <v>1183</v>
      </c>
      <c r="G33" s="123" t="s">
        <v>1184</v>
      </c>
      <c r="H33" s="122"/>
      <c r="I33" s="122"/>
      <c r="J33" s="4"/>
      <c r="K33" s="4"/>
      <c r="L33" s="4"/>
      <c r="M33" s="4"/>
      <c r="N33" s="4"/>
      <c r="O33" s="4"/>
    </row>
    <row r="34" spans="1:15" ht="22" customHeight="1">
      <c r="A34" s="124" t="s">
        <v>1239</v>
      </c>
      <c r="B34" s="125"/>
      <c r="C34" s="125"/>
      <c r="D34" s="125"/>
      <c r="E34" s="125"/>
      <c r="F34" s="125"/>
      <c r="G34" s="125"/>
      <c r="H34" s="125"/>
      <c r="I34" s="122"/>
      <c r="J34" s="146"/>
      <c r="K34" s="122"/>
      <c r="L34" s="122"/>
      <c r="M34" s="122"/>
      <c r="N34" s="122"/>
      <c r="O34" s="122"/>
    </row>
    <row r="35" spans="1:15" ht="22" customHeight="1">
      <c r="A35" s="121" t="s">
        <v>1257</v>
      </c>
      <c r="B35" s="143">
        <f>$B$17</f>
        <v>1362.741092</v>
      </c>
      <c r="C35" s="143">
        <f>IF(AND(COUNT(B35,$C$15)=2,B35&gt;0,$C$15&gt;-1),B35*(1+$C$15),"")</f>
        <v>1362.741092</v>
      </c>
      <c r="D35" s="143">
        <f>IF(AND(COUNT(C35,$C$15)=2,C35&gt;0,$C$15&gt;-1),C35*(1+$C$15),"")</f>
        <v>1362.741092</v>
      </c>
      <c r="E35" s="143">
        <f>IF(AND(COUNT(D35,$C$15)=2,D35&gt;0,$C$15&gt;-1),D35*(1+$C$15),"")</f>
        <v>1362.741092</v>
      </c>
      <c r="F35" s="143">
        <f>IF(AND(COUNT(E35,$C$15)=2,E35&gt;0,$C$15&gt;-1),E35*(1+$C$15),"")</f>
        <v>1362.741092</v>
      </c>
      <c r="G35" s="143">
        <f>IF(AND(COUNT(F35,$C$15)=2,F35&gt;0,$C$15&gt;-1),F35*(1+$C$15),"")</f>
        <v>1362.741092</v>
      </c>
      <c r="H35" s="122"/>
      <c r="I35" s="122"/>
      <c r="J35" s="4" t="str">
        <f>"当前实时利润匹配："&amp;IF(AND(COUNT(B23:G23,B24:G24)=12,ABS(B23-B24)+ABS(C23-C24)+ABS(D23-D24)+ABS(E23-E24)+ABS(F23-F24)+ABS(G23-G24)&lt;0.01),"悲观",IF(AND(COUNT(B23:G23,B25:G25)=12,ABS(B23-B25)+ABS(C23-C25)+ABS(D23-D25)+ABS(E23-E25)+ABS(F23-F25)+ABS(G23-G25)&lt;0.01),"基准",IF(AND(COUNT(B23:G23,B26:G26)=12,ABS(B23-B26)+ABS(C23-C26)+ABS(D23-D26)+ABS(E23-E26)+ABS(F23-F26)+ABS(G23-G26)&lt;0.01),"乐观","与保存情景不同")))&amp;"。改经营参数后需重新粘贴数值；未匹配可表示正在编辑新路径。"</f>
        <v>当前实时利润匹配：乐观。改经营参数后需重新粘贴数值；未匹配可表示正在编辑新路径。</v>
      </c>
      <c r="K35" s="4"/>
      <c r="L35" s="4"/>
      <c r="M35" s="4"/>
      <c r="N35" s="4"/>
      <c r="O35" s="4"/>
    </row>
    <row r="36" spans="1:15" ht="22" customHeight="1">
      <c r="A36" s="121" t="s">
        <v>1301</v>
      </c>
      <c r="B36" s="122"/>
      <c r="C36" s="144">
        <f>IF(COUNT(C24,$C$12:$C$13)=3,C24*($C$12+($C$13-$C$12)*(1-1)/4),"")</f>
        <v>8550.4221378294005</v>
      </c>
      <c r="D36" s="144">
        <f>IF(COUNT(D24,$C$12:$C$13)=3,D24*($C$12+($C$13-$C$12)*(2-1)/4),"")</f>
        <v>9326.0268888203409</v>
      </c>
      <c r="E36" s="144">
        <f>IF(COUNT(E24,$C$12:$C$13)=3,E24*($C$12+($C$13-$C$12)*(3-1)/4),"")</f>
        <v>9507.5361353130593</v>
      </c>
      <c r="F36" s="144">
        <f>IF(COUNT(F24,$C$12:$C$13)=3,F24*($C$12+($C$13-$C$12)*(4-1)/4),"")</f>
        <v>9799.2936644467591</v>
      </c>
      <c r="G36" s="144">
        <f>IF(COUNT(G24,$C$12:$C$13)=3,G24*($C$12+($C$13-$C$12)*(5-1)/4),"")</f>
        <v>9960.80432610971</v>
      </c>
      <c r="H36" s="122"/>
      <c r="I36" s="122"/>
      <c r="J36" s="4"/>
      <c r="K36" s="4"/>
      <c r="L36" s="4"/>
      <c r="M36" s="4"/>
      <c r="N36" s="4"/>
      <c r="O36" s="4"/>
    </row>
    <row r="37" spans="1:15" ht="22" customHeight="1">
      <c r="A37" s="121" t="s">
        <v>1302</v>
      </c>
      <c r="B37" s="122"/>
      <c r="C37" s="128">
        <f>IF(AND(COUNT(C24,$C$14,C35)=3,C35&gt;0),C24*$C$14/C35,"")</f>
        <v>5.8822771260610551</v>
      </c>
      <c r="D37" s="128">
        <f>IF(AND(COUNT(D24,$C$14,D35)=3,D35&gt;0),D24*$C$14/D35,"")</f>
        <v>6.4158557040628725</v>
      </c>
      <c r="E37" s="128">
        <f>IF(AND(COUNT(E24,$C$14,E35)=3,E35&gt;0),E24*$C$14/E35,"")</f>
        <v>6.5407252919735042</v>
      </c>
      <c r="F37" s="128">
        <f>IF(AND(COUNT(F24,$C$14,F35)=3,F35&gt;0),F24*$C$14/F35,"")</f>
        <v>6.7414403692310731</v>
      </c>
      <c r="G37" s="128">
        <f>IF(AND(COUNT(G24,$C$14,G35)=3,G35&gt;0),G24*$C$14/G35,"")</f>
        <v>6.8525518974574604</v>
      </c>
      <c r="H37" s="122"/>
      <c r="I37" s="122"/>
      <c r="J37" s="4"/>
      <c r="K37" s="4"/>
      <c r="L37" s="4"/>
      <c r="M37" s="4"/>
      <c r="N37" s="4"/>
      <c r="O37" s="4"/>
    </row>
    <row r="38" spans="1:15" ht="24" customHeight="1">
      <c r="A38" s="132" t="s">
        <v>1303</v>
      </c>
      <c r="B38" s="133"/>
      <c r="C38" s="134">
        <f>IF(AND(COUNT(C37,$C$10)=2,$C$10&gt;-1),C37/(1+$C$10)^((C$22-$B$18)/365),"")</f>
        <v>5.1169825536809128</v>
      </c>
      <c r="D38" s="134">
        <f>IF(AND(COUNT(D37,$C$10)=2,$C$10&gt;-1),D37/(1+$C$10)^((D$22-$B$18)/365),"")</f>
        <v>4.8420294872604828</v>
      </c>
      <c r="E38" s="134">
        <f>IF(AND(COUNT(E37,$C$10)=2,$C$10&gt;-1),E37/(1+$C$10)^((E$22-$B$18)/365),"")</f>
        <v>4.2940510814131274</v>
      </c>
      <c r="F38" s="134">
        <f>IF(AND(COUNT(F37,$C$10)=2,$C$10&gt;-1),F37/(1+$C$10)^((F$22-$B$18)/365),"")</f>
        <v>3.8500152484653278</v>
      </c>
      <c r="G38" s="134">
        <f>IF(AND(COUNT(G37,$C$10)=2,$C$10&gt;-1),G37/(1+$C$10)^((G$22-$B$18)/365),"")</f>
        <v>3.4043212888480161</v>
      </c>
      <c r="H38" s="133"/>
      <c r="I38" s="122"/>
      <c r="J38" s="146"/>
      <c r="K38" s="122"/>
      <c r="L38" s="122"/>
      <c r="M38" s="122"/>
      <c r="N38" s="122"/>
      <c r="O38" s="122"/>
    </row>
    <row r="39" spans="1:15" ht="22" customHeight="1">
      <c r="A39" s="121" t="s">
        <v>1304</v>
      </c>
      <c r="B39" s="122"/>
      <c r="C39" s="122"/>
      <c r="D39" s="122"/>
      <c r="E39" s="122"/>
      <c r="F39" s="122"/>
      <c r="G39" s="128">
        <f>IF(AND(COUNT(G36,$C$11,G35)=3,G35&gt;0),G36*$C$11/G35,"")</f>
        <v>131.56899643118325</v>
      </c>
      <c r="H39" s="122"/>
      <c r="I39" s="122"/>
      <c r="J39" s="146"/>
      <c r="K39" s="122"/>
      <c r="L39" s="122"/>
      <c r="M39" s="122"/>
      <c r="N39" s="122"/>
      <c r="O39" s="122"/>
    </row>
    <row r="40" spans="1:15" ht="22" customHeight="1">
      <c r="A40" s="121" t="s">
        <v>1305</v>
      </c>
      <c r="B40" s="122"/>
      <c r="C40" s="122"/>
      <c r="D40" s="122"/>
      <c r="E40" s="122"/>
      <c r="F40" s="122"/>
      <c r="G40" s="128">
        <f>IF(AND(COUNT(G39,$C$10)=2,$C$10&gt;-1),G39/(1+$C$10)^(($G$22-$B$18)/365),"")</f>
        <v>65.362968745881915</v>
      </c>
      <c r="H40" s="122"/>
      <c r="I40" s="122"/>
      <c r="J40" s="146"/>
      <c r="K40" s="122"/>
      <c r="L40" s="122"/>
      <c r="M40" s="122"/>
      <c r="N40" s="122"/>
      <c r="O40" s="122"/>
    </row>
    <row r="41" spans="1:15" ht="22" customHeight="1">
      <c r="A41" s="121" t="s">
        <v>1306</v>
      </c>
      <c r="B41" s="122"/>
      <c r="C41" s="144">
        <f>IF(AND(COUNT(C36,$C$11,$B$19,$C$15)=4,$C$15&gt;-1,$C$15&lt;=$B$19),C36*$C$11*($B$19-$C$15)/(1+$C$15),"n.a.")</f>
        <v>307.81519696185842</v>
      </c>
      <c r="D41" s="144">
        <f>IF(AND(COUNT(D36,$C$11,$B$19,$C$15)=4,$C$15&gt;-1,$C$15&lt;=$B$19),D36*$C$11*($B$19-$C$15)/(1+$C$15),"n.a.")</f>
        <v>335.7369679975323</v>
      </c>
      <c r="E41" s="144">
        <f>IF(AND(COUNT(E36,$C$11,$B$19,$C$15)=4,$C$15&gt;-1,$C$15&lt;=$B$19),E36*$C$11*($B$19-$C$15)/(1+$C$15),"n.a.")</f>
        <v>342.27130087127011</v>
      </c>
      <c r="F41" s="144">
        <f>IF(AND(COUNT(F36,$C$11,$B$19,$C$15)=4,$C$15&gt;-1,$C$15&lt;=$B$19),F36*$C$11*($B$19-$C$15)/(1+$C$15),"n.a.")</f>
        <v>352.7745719200833</v>
      </c>
      <c r="G41" s="144">
        <f>IF(AND(COUNT(G36,$C$11,$B$19,$C$15)=4,$C$15&gt;-1,$C$15&lt;=$B$19),G36*$C$11*($B$19-$C$15)/(1+$C$15),"n.a.")</f>
        <v>358.58895573994954</v>
      </c>
      <c r="H41" s="122"/>
      <c r="I41" s="122"/>
      <c r="J41" s="146"/>
      <c r="K41" s="122"/>
      <c r="L41" s="122"/>
      <c r="M41" s="122"/>
      <c r="N41" s="122"/>
      <c r="O41" s="122"/>
    </row>
    <row r="42" spans="1:15" ht="22" customHeight="1">
      <c r="A42" s="121" t="s">
        <v>1307</v>
      </c>
      <c r="B42" s="122"/>
      <c r="C42" s="144">
        <f>IF(COUNT(C36,C24,$C$14,C41)=4,C36-C24*$C$14-C41,"")</f>
        <v>226.58618665247832</v>
      </c>
      <c r="D42" s="144">
        <f>IF(COUNT(D36,D24,$C$14,D41)=4,D36-D24*$C$14-D41,"")</f>
        <v>247.13971255374094</v>
      </c>
      <c r="E42" s="144">
        <f>IF(COUNT(E36,E24,$C$14,E41)=4,E36-E24*$C$14-E41,"")</f>
        <v>251.94970758579689</v>
      </c>
      <c r="F42" s="144">
        <f>IF(COUNT(F36,F24,$C$14,F41)=4,F36-F24*$C$14-F41,"")</f>
        <v>259.68128210783982</v>
      </c>
      <c r="G42" s="144">
        <f>IF(COUNT(G36,G24,$C$14,G41)=4,G36-G24*$C$14-G41,"")</f>
        <v>263.96131464190881</v>
      </c>
      <c r="H42" s="122"/>
      <c r="I42" s="122"/>
      <c r="J42" s="146"/>
      <c r="K42" s="122"/>
      <c r="L42" s="122"/>
      <c r="M42" s="122"/>
      <c r="N42" s="122"/>
      <c r="O42" s="122"/>
    </row>
    <row r="43" spans="1:15" ht="22" customHeight="1">
      <c r="A43" s="121"/>
      <c r="B43" s="122"/>
      <c r="C43" s="122"/>
      <c r="D43" s="122"/>
      <c r="E43" s="122"/>
      <c r="F43" s="122"/>
      <c r="G43" s="122"/>
      <c r="H43" s="122"/>
      <c r="I43" s="122"/>
      <c r="J43" s="146"/>
      <c r="K43" s="122"/>
      <c r="L43" s="122"/>
      <c r="M43" s="122"/>
      <c r="N43" s="122"/>
      <c r="O43" s="122"/>
    </row>
    <row r="44" spans="1:15" ht="22" customHeight="1">
      <c r="A44" s="124" t="s">
        <v>1240</v>
      </c>
      <c r="B44" s="125"/>
      <c r="C44" s="125"/>
      <c r="D44" s="125"/>
      <c r="E44" s="125"/>
      <c r="F44" s="125"/>
      <c r="G44" s="125"/>
      <c r="H44" s="125"/>
      <c r="I44" s="122"/>
      <c r="J44" s="146"/>
      <c r="K44" s="122"/>
      <c r="L44" s="122"/>
      <c r="M44" s="122"/>
      <c r="N44" s="122"/>
      <c r="O44" s="122"/>
    </row>
    <row r="45" spans="1:15" ht="22" customHeight="1">
      <c r="A45" s="121" t="s">
        <v>1257</v>
      </c>
      <c r="B45" s="143">
        <f>$B$17</f>
        <v>1362.741092</v>
      </c>
      <c r="C45" s="143">
        <f>IF(AND(COUNT(B45,$D$15)=2,B45&gt;0,$D$15&gt;-1),B45*(1+$D$15),"")</f>
        <v>1359.3342392700001</v>
      </c>
      <c r="D45" s="143">
        <f>IF(AND(COUNT(C45,$D$15)=2,C45&gt;0,$D$15&gt;-1),C45*(1+$D$15),"")</f>
        <v>1355.9359036718251</v>
      </c>
      <c r="E45" s="143">
        <f>IF(AND(COUNT(D45,$D$15)=2,D45&gt;0,$D$15&gt;-1),D45*(1+$D$15),"")</f>
        <v>1352.5460639126456</v>
      </c>
      <c r="F45" s="143">
        <f>IF(AND(COUNT(E45,$D$15)=2,E45&gt;0,$D$15&gt;-1),E45*(1+$D$15),"")</f>
        <v>1349.1646987528641</v>
      </c>
      <c r="G45" s="143">
        <f>IF(AND(COUNT(F45,$D$15)=2,F45&gt;0,$D$15&gt;-1),F45*(1+$D$15),"")</f>
        <v>1345.7917870059821</v>
      </c>
      <c r="H45" s="122"/>
      <c r="I45" s="122"/>
      <c r="J45" s="146"/>
      <c r="K45" s="122"/>
      <c r="L45" s="122"/>
      <c r="M45" s="122"/>
      <c r="N45" s="122"/>
      <c r="O45" s="122"/>
    </row>
    <row r="46" spans="1:15" ht="22" customHeight="1">
      <c r="A46" s="121" t="s">
        <v>1301</v>
      </c>
      <c r="B46" s="122"/>
      <c r="C46" s="144">
        <f>IF(COUNT(C25,$D$12:$D$13)=3,C25*($D$12+($D$13-$D$12)*(1-1)/4),"")</f>
        <v>9146.0419709243015</v>
      </c>
      <c r="D46" s="144">
        <f>IF(COUNT(D25,$D$12:$D$13)=3,D25*($D$12+($D$13-$D$12)*(2-1)/4),"")</f>
        <v>10034.31898135554</v>
      </c>
      <c r="E46" s="144">
        <f>IF(COUNT(E25,$D$12:$D$13)=3,E25*($D$12+($D$13-$D$12)*(3-1)/4),"")</f>
        <v>10287.255167541176</v>
      </c>
      <c r="F46" s="144">
        <f>IF(COUNT(F25,$D$12:$D$13)=3,F25*($D$12+($D$13-$D$12)*(4-1)/4),"")</f>
        <v>10660.320971964005</v>
      </c>
      <c r="G46" s="144">
        <f>IF(COUNT(G25,$D$12:$D$13)=3,G25*($D$12+($D$13-$D$12)*(5-1)/4),"")</f>
        <v>10895.630213996346</v>
      </c>
      <c r="H46" s="122"/>
      <c r="I46" s="122"/>
      <c r="J46" s="146"/>
      <c r="K46" s="122"/>
      <c r="L46" s="122"/>
      <c r="M46" s="122"/>
      <c r="N46" s="122"/>
      <c r="O46" s="122"/>
    </row>
    <row r="47" spans="1:15" ht="22" customHeight="1">
      <c r="A47" s="121" t="s">
        <v>1302</v>
      </c>
      <c r="B47" s="122"/>
      <c r="C47" s="128">
        <f>IF(AND(COUNT(C25,$D$14,C45)=3,C45&gt;0),C25*$D$14/C45,"")</f>
        <v>5.936756980021582</v>
      </c>
      <c r="D47" s="128">
        <f>IF(AND(COUNT(D25,$D$14,D45)=3,D45&gt;0),D25*$D$14/D45,"")</f>
        <v>6.5296676944139831</v>
      </c>
      <c r="E47" s="128">
        <f>IF(AND(COUNT(E25,$D$14,E45)=3,E45&gt;0),E25*$D$14/E45,"")</f>
        <v>6.7110393471220373</v>
      </c>
      <c r="F47" s="128">
        <f>IF(AND(COUNT(F25,$D$14,F45)=3,F45&gt;0),F25*$D$14/F45,"")</f>
        <v>6.9718438172837525</v>
      </c>
      <c r="G47" s="128">
        <f>IF(AND(COUNT(G25,$D$14,G45)=3,G45&gt;0),G25*$D$14/G45,"")</f>
        <v>7.1435949142466866</v>
      </c>
      <c r="H47" s="122"/>
      <c r="I47" s="122"/>
      <c r="J47" s="146"/>
      <c r="K47" s="122"/>
      <c r="L47" s="122"/>
      <c r="M47" s="122"/>
      <c r="N47" s="122"/>
      <c r="O47" s="122"/>
    </row>
    <row r="48" spans="1:15" ht="24" customHeight="1">
      <c r="A48" s="132" t="s">
        <v>1303</v>
      </c>
      <c r="B48" s="133"/>
      <c r="C48" s="134">
        <f>IF(AND(COUNT(C47,$D$10)=2,$D$10&gt;-1),C47/(1+$D$10)^((C$22-$B$18)/365),"")</f>
        <v>5.1643744830764211</v>
      </c>
      <c r="D48" s="134">
        <f>IF(AND(COUNT(D47,$D$10)=2,$D$10&gt;-1),D47/(1+$D$10)^((D$22-$B$18)/365),"")</f>
        <v>4.9279230981368789</v>
      </c>
      <c r="E48" s="134">
        <f>IF(AND(COUNT(E47,$D$10)=2,$D$10&gt;-1),E47/(1+$D$10)^((E$22-$B$18)/365),"")</f>
        <v>4.4058639492594311</v>
      </c>
      <c r="F48" s="134">
        <f>IF(AND(COUNT(F47,$D$10)=2,$D$10&gt;-1),F47/(1+$D$10)^((F$22-$B$18)/365),"")</f>
        <v>3.9815979280882856</v>
      </c>
      <c r="G48" s="134">
        <f>IF(AND(COUNT(G47,$D$10)=2,$D$10&gt;-1),G47/(1+$D$10)^((G$22-$B$18)/365),"")</f>
        <v>3.5489103343383155</v>
      </c>
      <c r="H48" s="133"/>
      <c r="I48" s="122"/>
      <c r="J48" s="146"/>
      <c r="K48" s="122"/>
      <c r="L48" s="122"/>
      <c r="M48" s="122"/>
      <c r="N48" s="122"/>
      <c r="O48" s="122"/>
    </row>
    <row r="49" spans="1:15" ht="22" customHeight="1">
      <c r="A49" s="121" t="s">
        <v>1304</v>
      </c>
      <c r="B49" s="122"/>
      <c r="C49" s="122"/>
      <c r="D49" s="122"/>
      <c r="E49" s="122"/>
      <c r="F49" s="122"/>
      <c r="G49" s="128">
        <f>IF(AND(COUNT(G46,$D$11,G45)=3,G45&gt;0),G46*$D$11/G45,"")</f>
        <v>178.1136331952174</v>
      </c>
      <c r="H49" s="122"/>
      <c r="I49" s="122"/>
      <c r="J49" s="146"/>
      <c r="K49" s="122"/>
      <c r="L49" s="122"/>
      <c r="M49" s="122"/>
      <c r="N49" s="122"/>
      <c r="O49" s="122"/>
    </row>
    <row r="50" spans="1:15" ht="22" customHeight="1">
      <c r="A50" s="121" t="s">
        <v>1305</v>
      </c>
      <c r="B50" s="122"/>
      <c r="C50" s="122"/>
      <c r="D50" s="122"/>
      <c r="E50" s="122"/>
      <c r="F50" s="122"/>
      <c r="G50" s="128">
        <f>IF(AND(COUNT(G49,$D$10)=2,$D$10&gt;-1),G49/(1+$D$10)^(($G$22-$B$18)/365),"")</f>
        <v>88.48616433616867</v>
      </c>
      <c r="H50" s="122"/>
      <c r="I50" s="122"/>
      <c r="J50" s="146"/>
      <c r="K50" s="122"/>
      <c r="L50" s="122"/>
      <c r="M50" s="122"/>
      <c r="N50" s="122"/>
      <c r="O50" s="122"/>
    </row>
    <row r="51" spans="1:15" ht="22" customHeight="1">
      <c r="A51" s="121" t="s">
        <v>1306</v>
      </c>
      <c r="B51" s="122"/>
      <c r="C51" s="144">
        <f>IF(AND(COUNT(C46,$D$11,$B$19,$D$15)=4,$D$15&gt;-1,$D$15&lt;=$B$19),C46*$D$11*($B$19-$D$15)/(1+$D$15),"n.a.")</f>
        <v>907.72747380602095</v>
      </c>
      <c r="D51" s="144">
        <f>IF(AND(COUNT(D46,$D$11,$B$19,$D$15)=4,$D$15&gt;-1,$D$15&lt;=$B$19),D46*$D$11*($B$19-$D$15)/(1+$D$15),"n.a.")</f>
        <v>995.88729739769281</v>
      </c>
      <c r="E51" s="144">
        <f>IF(AND(COUNT(E46,$D$11,$B$19,$D$15)=4,$D$15&gt;-1,$D$15&lt;=$B$19),E46*$D$11*($B$19-$D$15)/(1+$D$15),"n.a.")</f>
        <v>1020.9907384326582</v>
      </c>
      <c r="F51" s="144">
        <f>IF(AND(COUNT(F46,$D$11,$B$19,$D$15)=4,$D$15&gt;-1,$D$15&lt;=$B$19),F46*$D$11*($B$19-$D$15)/(1+$D$15),"n.a.")</f>
        <v>1058.0168182701118</v>
      </c>
      <c r="G51" s="144">
        <f>IF(AND(COUNT(G46,$D$11,$B$19,$D$15)=4,$D$15&gt;-1,$D$15&lt;=$B$19),G46*$D$11*($B$19-$D$15)/(1+$D$15),"n.a.")</f>
        <v>1081.3708182312164</v>
      </c>
      <c r="H51" s="122"/>
      <c r="I51" s="122"/>
      <c r="J51" s="146"/>
      <c r="K51" s="122"/>
      <c r="L51" s="122"/>
      <c r="M51" s="122"/>
      <c r="N51" s="122"/>
      <c r="O51" s="122"/>
    </row>
    <row r="52" spans="1:15" ht="22" customHeight="1">
      <c r="A52" s="121" t="s">
        <v>1307</v>
      </c>
      <c r="B52" s="122"/>
      <c r="C52" s="144">
        <f>IF(COUNT(C46,C25,$D$14,C51)=4,C46-C25*$D$14-C51,"")</f>
        <v>168.27746394977976</v>
      </c>
      <c r="D52" s="144">
        <f>IF(COUNT(D46,D25,$D$14,D51)=4,D46-D25*$D$14-D51,"")</f>
        <v>184.62081805590003</v>
      </c>
      <c r="E52" s="144">
        <f>IF(COUNT(E46,E25,$D$14,E51)=4,E46-E25*$D$14-E51,"")</f>
        <v>189.27457539571492</v>
      </c>
      <c r="F52" s="144">
        <f>IF(COUNT(F46,F25,$D$14,F51)=4,F46-F25*$D$14-F51,"")</f>
        <v>196.13859019624124</v>
      </c>
      <c r="G52" s="144">
        <f>IF(COUNT(G46,G25,$D$14,G51)=4,G46-G25*$D$14-G51,"")</f>
        <v>200.46803047423623</v>
      </c>
      <c r="H52" s="122"/>
      <c r="I52" s="122"/>
      <c r="J52" s="146"/>
      <c r="K52" s="122"/>
      <c r="L52" s="122"/>
      <c r="M52" s="122"/>
      <c r="N52" s="122"/>
      <c r="O52" s="122"/>
    </row>
    <row r="53" spans="1:15" ht="22" customHeight="1">
      <c r="A53" s="121"/>
      <c r="B53" s="122"/>
      <c r="C53" s="122"/>
      <c r="D53" s="122"/>
      <c r="E53" s="122"/>
      <c r="F53" s="122"/>
      <c r="G53" s="122"/>
      <c r="H53" s="122"/>
      <c r="I53" s="122"/>
      <c r="J53" s="146"/>
      <c r="K53" s="122"/>
      <c r="L53" s="122"/>
      <c r="M53" s="122"/>
      <c r="N53" s="122"/>
      <c r="O53" s="122"/>
    </row>
    <row r="54" spans="1:15" ht="22" customHeight="1">
      <c r="A54" s="124" t="s">
        <v>1241</v>
      </c>
      <c r="B54" s="125"/>
      <c r="C54" s="125"/>
      <c r="D54" s="125"/>
      <c r="E54" s="125"/>
      <c r="F54" s="125"/>
      <c r="G54" s="125"/>
      <c r="H54" s="125"/>
      <c r="I54" s="122"/>
      <c r="J54" s="146"/>
      <c r="K54" s="122"/>
      <c r="L54" s="122"/>
      <c r="M54" s="122"/>
      <c r="N54" s="122"/>
      <c r="O54" s="122"/>
    </row>
    <row r="55" spans="1:15" ht="22" customHeight="1">
      <c r="A55" s="121" t="s">
        <v>1257</v>
      </c>
      <c r="B55" s="143">
        <f>$B$17</f>
        <v>1362.741092</v>
      </c>
      <c r="C55" s="143">
        <f>IF(AND(COUNT(B55,$E$15)=2,B55&gt;0,$E$15&gt;-1),B55*(1+$E$15),"")</f>
        <v>1357.2901276319999</v>
      </c>
      <c r="D55" s="143">
        <f>IF(AND(COUNT(C55,$E$15)=2,C55&gt;0,$E$15&gt;-1),C55*(1+$E$15),"")</f>
        <v>1351.860967121472</v>
      </c>
      <c r="E55" s="143">
        <f>IF(AND(COUNT(D55,$E$15)=2,D55&gt;0,$E$15&gt;-1),D55*(1+$E$15),"")</f>
        <v>1346.4535232529861</v>
      </c>
      <c r="F55" s="143">
        <f>IF(AND(COUNT(E55,$E$15)=2,E55&gt;0,$E$15&gt;-1),E55*(1+$E$15),"")</f>
        <v>1341.0677091599741</v>
      </c>
      <c r="G55" s="143">
        <f>IF(AND(COUNT(F55,$E$15)=2,F55&gt;0,$E$15&gt;-1),F55*(1+$E$15),"")</f>
        <v>1335.7034383233342</v>
      </c>
      <c r="H55" s="122"/>
      <c r="I55" s="122"/>
      <c r="J55" s="146"/>
      <c r="K55" s="122"/>
      <c r="L55" s="122"/>
      <c r="M55" s="122"/>
      <c r="N55" s="122"/>
      <c r="O55" s="122"/>
    </row>
    <row r="56" spans="1:15" ht="22" customHeight="1">
      <c r="A56" s="121" t="s">
        <v>1301</v>
      </c>
      <c r="B56" s="122"/>
      <c r="C56" s="144">
        <f>IF(COUNT(C26,$E$12:$E$13)=3,C26*($E$12+($E$13-$E$12)*(1-1)/4),"")</f>
        <v>9705.1695266993611</v>
      </c>
      <c r="D56" s="144">
        <f>IF(COUNT(D26,$E$12:$E$13)=3,D26*($E$12+($E$13-$E$12)*(2-1)/4),"")</f>
        <v>10776.294533405333</v>
      </c>
      <c r="E56" s="144">
        <f>IF(COUNT(E26,$E$12:$E$13)=3,E26*($E$12+($E$13-$E$12)*(3-1)/4),"")</f>
        <v>11195.700559866125</v>
      </c>
      <c r="F56" s="144">
        <f>IF(COUNT(F26,$E$12:$E$13)=3,F26*($E$12+($E$13-$E$12)*(4-1)/4),"")</f>
        <v>11751.146300254575</v>
      </c>
      <c r="G56" s="144">
        <f>IF(COUNT(G26,$E$12:$E$13)=3,G26*($E$12+($E$13-$E$12)*(5-1)/4),"")</f>
        <v>12166.8980970104</v>
      </c>
      <c r="H56" s="122"/>
      <c r="I56" s="122"/>
      <c r="J56" s="146"/>
      <c r="K56" s="122"/>
      <c r="L56" s="122"/>
      <c r="M56" s="122"/>
      <c r="N56" s="122"/>
      <c r="O56" s="122"/>
    </row>
    <row r="57" spans="1:15" ht="22" customHeight="1">
      <c r="A57" s="121" t="s">
        <v>1302</v>
      </c>
      <c r="B57" s="122"/>
      <c r="C57" s="128">
        <f>IF(AND(COUNT(C26,$E$14,C55)=3,C55&gt;0),C26*$E$14/C55,"")</f>
        <v>5.958668016218164</v>
      </c>
      <c r="D57" s="128">
        <f>IF(AND(COUNT(D26,$E$14,D55)=3,D55&gt;0),D26*$E$14/D55,"")</f>
        <v>6.6428764961134652</v>
      </c>
      <c r="E57" s="128">
        <f>IF(AND(COUNT(E26,$E$14,E55)=3,E55&gt;0),E26*$E$14/E55,"")</f>
        <v>6.9291292312970025</v>
      </c>
      <c r="F57" s="128">
        <f>IF(AND(COUNT(F26,$E$14,F55)=3,F55&gt;0),F26*$E$14/F55,"")</f>
        <v>7.3021084990651008</v>
      </c>
      <c r="G57" s="128">
        <f>IF(AND(COUNT(G26,$E$14,G55)=3,G55&gt;0),G26*$E$14/G55,"")</f>
        <v>7.5908180338563271</v>
      </c>
      <c r="H57" s="122"/>
      <c r="I57" s="122"/>
      <c r="J57" s="146"/>
      <c r="K57" s="122"/>
      <c r="L57" s="122"/>
      <c r="M57" s="122"/>
      <c r="N57" s="122"/>
      <c r="O57" s="122"/>
    </row>
    <row r="58" spans="1:15" ht="24" customHeight="1">
      <c r="A58" s="132" t="s">
        <v>1303</v>
      </c>
      <c r="B58" s="133"/>
      <c r="C58" s="134">
        <f>IF(AND(COUNT(C57,$E$10)=2,$E$10&gt;-1),C57/(1+$E$10)^((C$22-$B$18)/365),"")</f>
        <v>5.1834348550290192</v>
      </c>
      <c r="D58" s="134">
        <f>IF(AND(COUNT(D57,$E$10)=2,$E$10&gt;-1),D57/(1+$E$10)^((D$22-$B$18)/365),"")</f>
        <v>5.0133614841185326</v>
      </c>
      <c r="E58" s="134">
        <f>IF(AND(COUNT(E57,$E$10)=2,$E$10&gt;-1),E57/(1+$E$10)^((E$22-$B$18)/365),"")</f>
        <v>4.5490421231136358</v>
      </c>
      <c r="F58" s="134">
        <f>IF(AND(COUNT(F57,$E$10)=2,$E$10&gt;-1),F57/(1+$E$10)^((F$22-$B$18)/365),"")</f>
        <v>4.1702110420885461</v>
      </c>
      <c r="G58" s="134">
        <f>IF(AND(COUNT(G57,$E$10)=2,$E$10&gt;-1),G57/(1+$E$10)^((G$22-$B$18)/365),"")</f>
        <v>3.7710890510755095</v>
      </c>
      <c r="H58" s="133"/>
      <c r="I58" s="122"/>
      <c r="J58" s="146"/>
      <c r="K58" s="122"/>
      <c r="L58" s="122"/>
      <c r="M58" s="122"/>
      <c r="N58" s="122"/>
      <c r="O58" s="122"/>
    </row>
    <row r="59" spans="1:15" ht="22" customHeight="1">
      <c r="A59" s="121" t="s">
        <v>1304</v>
      </c>
      <c r="B59" s="122"/>
      <c r="C59" s="122"/>
      <c r="D59" s="122"/>
      <c r="E59" s="122"/>
      <c r="F59" s="122"/>
      <c r="G59" s="128">
        <f>IF(AND(COUNT(G56,$E$11,G55)=3,G55&gt;0),G56*$E$11/G55,"")</f>
        <v>236.8335226563174</v>
      </c>
      <c r="H59" s="122"/>
      <c r="I59" s="122"/>
      <c r="J59" s="146"/>
      <c r="K59" s="122"/>
      <c r="L59" s="122"/>
      <c r="M59" s="122"/>
      <c r="N59" s="122"/>
      <c r="O59" s="122"/>
    </row>
    <row r="60" spans="1:15" ht="22" customHeight="1">
      <c r="A60" s="121" t="s">
        <v>1305</v>
      </c>
      <c r="B60" s="122"/>
      <c r="C60" s="122"/>
      <c r="D60" s="122"/>
      <c r="E60" s="122"/>
      <c r="F60" s="122"/>
      <c r="G60" s="128">
        <f>IF(AND(COUNT(G59,$E$10)=2,$E$10&gt;-1),G59/(1+$E$10)^(($G$22-$B$18)/365),"")</f>
        <v>117.65797839355589</v>
      </c>
      <c r="H60" s="122"/>
      <c r="I60" s="122"/>
      <c r="J60" s="146"/>
      <c r="K60" s="122"/>
      <c r="L60" s="122"/>
      <c r="M60" s="122"/>
      <c r="N60" s="122"/>
      <c r="O60" s="122"/>
    </row>
    <row r="61" spans="1:15" ht="22" customHeight="1">
      <c r="A61" s="121" t="s">
        <v>1306</v>
      </c>
      <c r="B61" s="122"/>
      <c r="C61" s="144">
        <f>IF(AND(COUNT(C56,$E$11,$B$19,$E$15)=4,$E$15&gt;-1,$E$15&lt;=$B$19),C56*$E$11*($B$19-$E$15)/(1+$E$15),"n.a.")</f>
        <v>1520.0867933384541</v>
      </c>
      <c r="D61" s="144">
        <f>IF(AND(COUNT(D56,$E$11,$B$19,$E$15)=4,$E$15&gt;-1,$E$15&lt;=$B$19),D56*$E$11*($B$19-$E$15)/(1+$E$15),"n.a.")</f>
        <v>1687.8533606538472</v>
      </c>
      <c r="E61" s="144">
        <f>IF(AND(COUNT(E56,$E$11,$B$19,$E$15)=4,$E$15&gt;-1,$E$15&lt;=$B$19),E56*$E$11*($B$19-$E$15)/(1+$E$15),"n.a.")</f>
        <v>1753.5434611838507</v>
      </c>
      <c r="F61" s="144">
        <f>IF(AND(COUNT(F56,$E$11,$B$19,$E$15)=4,$E$15&gt;-1,$E$15&lt;=$B$19),F56*$E$11*($B$19-$E$15)/(1+$E$15),"n.a.")</f>
        <v>1840.5409867868614</v>
      </c>
      <c r="G61" s="144">
        <f>IF(AND(COUNT(G56,$E$11,$B$19,$E$15)=4,$E$15&gt;-1,$E$15&lt;=$B$19),G56*$E$11*($B$19-$E$15)/(1+$E$15),"n.a.")</f>
        <v>1905.6587380859664</v>
      </c>
      <c r="H61" s="122"/>
      <c r="I61" s="122"/>
      <c r="J61" s="146"/>
      <c r="K61" s="122"/>
      <c r="L61" s="122"/>
      <c r="M61" s="122"/>
      <c r="N61" s="122"/>
      <c r="O61" s="122"/>
    </row>
    <row r="62" spans="1:15" ht="22" customHeight="1">
      <c r="A62" s="121" t="s">
        <v>1307</v>
      </c>
      <c r="B62" s="122"/>
      <c r="C62" s="144">
        <f>IF(COUNT(C56,C26,$E$14,C61)=4,C56-C26*$E$14-C61,"")</f>
        <v>97.441461111439139</v>
      </c>
      <c r="D62" s="144">
        <f>IF(COUNT(D56,D26,$E$14,D61)=4,D56-D26*$E$14-D61,"")</f>
        <v>108.19572824704164</v>
      </c>
      <c r="E62" s="144">
        <f>IF(COUNT(E56,E26,$E$14,E61)=4,E56-E26*$E$14-E61,"")</f>
        <v>112.4066321271705</v>
      </c>
      <c r="F62" s="144">
        <f>IF(COUNT(F56,F26,$E$14,F61)=4,F56-F26*$E$14-F61,"")</f>
        <v>117.98339658890177</v>
      </c>
      <c r="G62" s="144">
        <f>IF(COUNT(G56,G26,$E$14,G61)=4,G56-G26*$E$14-G61,"")</f>
        <v>122.15761141576604</v>
      </c>
      <c r="H62" s="122"/>
      <c r="I62" s="122"/>
      <c r="J62" s="146"/>
      <c r="K62" s="122"/>
      <c r="L62" s="122"/>
      <c r="M62" s="122"/>
      <c r="N62" s="122"/>
      <c r="O62" s="122"/>
    </row>
    <row r="63" spans="1:15" ht="22" customHeight="1">
      <c r="A63" s="121"/>
      <c r="B63" s="122"/>
      <c r="C63" s="122"/>
      <c r="D63" s="122"/>
      <c r="E63" s="122"/>
      <c r="F63" s="122"/>
      <c r="G63" s="122"/>
      <c r="H63" s="122"/>
      <c r="I63" s="122"/>
      <c r="J63" s="146"/>
      <c r="K63" s="122"/>
      <c r="L63" s="122"/>
      <c r="M63" s="122"/>
      <c r="N63" s="122"/>
      <c r="O63" s="122"/>
    </row>
    <row r="64" spans="1:15" ht="22" customHeight="1">
      <c r="A64" s="121"/>
      <c r="B64" s="122"/>
      <c r="C64" s="122"/>
      <c r="D64" s="122"/>
      <c r="E64" s="122"/>
      <c r="F64" s="122"/>
      <c r="G64" s="122"/>
      <c r="H64" s="122"/>
      <c r="I64" s="122"/>
      <c r="J64" s="146"/>
      <c r="K64" s="122"/>
      <c r="L64" s="122"/>
      <c r="M64" s="122"/>
      <c r="N64" s="122"/>
      <c r="O64" s="122"/>
    </row>
    <row r="65" spans="1:15" ht="22" customHeight="1">
      <c r="A65" s="149" t="s">
        <v>1317</v>
      </c>
      <c r="B65" s="149"/>
      <c r="C65" s="149"/>
      <c r="D65" s="149"/>
      <c r="E65" s="149"/>
      <c r="F65" s="149"/>
      <c r="G65" s="149"/>
      <c r="H65" s="149"/>
      <c r="I65" s="122"/>
      <c r="J65" s="146"/>
      <c r="K65" s="122"/>
      <c r="L65" s="122"/>
      <c r="M65" s="122"/>
      <c r="N65" s="122"/>
      <c r="O65" s="122"/>
    </row>
    <row r="66" spans="1:15" ht="60" customHeight="1">
      <c r="A66" s="148" t="s">
        <v>1318</v>
      </c>
      <c r="B66" s="154" t="s">
        <v>1319</v>
      </c>
      <c r="C66" s="154"/>
      <c r="D66" s="154"/>
      <c r="E66" s="154"/>
      <c r="F66" s="154"/>
      <c r="G66" s="154"/>
      <c r="H66" s="154"/>
      <c r="I66" s="122"/>
      <c r="J66" s="146"/>
      <c r="K66" s="122"/>
      <c r="L66" s="122"/>
      <c r="M66" s="122"/>
      <c r="N66" s="122"/>
      <c r="O66" s="122"/>
    </row>
    <row r="67" spans="1:15" ht="40" customHeight="1">
      <c r="A67" s="148" t="s">
        <v>1320</v>
      </c>
      <c r="B67" s="154" t="s">
        <v>1321</v>
      </c>
      <c r="C67" s="154"/>
      <c r="D67" s="154"/>
      <c r="E67" s="154"/>
      <c r="F67" s="154"/>
      <c r="G67" s="154"/>
      <c r="H67" s="154"/>
      <c r="I67" s="122"/>
      <c r="J67" s="146"/>
      <c r="K67" s="122"/>
      <c r="L67" s="122"/>
      <c r="M67" s="122"/>
      <c r="N67" s="122"/>
      <c r="O67" s="122"/>
    </row>
    <row r="68" spans="1:15" ht="60" customHeight="1">
      <c r="A68" s="148" t="s">
        <v>1322</v>
      </c>
      <c r="B68" s="154" t="s">
        <v>1323</v>
      </c>
      <c r="C68" s="154"/>
      <c r="D68" s="154"/>
      <c r="E68" s="154"/>
      <c r="F68" s="154"/>
      <c r="G68" s="154"/>
      <c r="H68" s="154"/>
      <c r="I68" s="122"/>
      <c r="J68" s="146"/>
      <c r="K68" s="122"/>
      <c r="L68" s="122"/>
      <c r="M68" s="122"/>
      <c r="N68" s="122"/>
      <c r="O68" s="122"/>
    </row>
    <row r="69" spans="1:15" ht="40" customHeight="1">
      <c r="A69" s="148" t="s">
        <v>1324</v>
      </c>
      <c r="B69" s="154" t="s">
        <v>1325</v>
      </c>
      <c r="C69" s="154"/>
      <c r="D69" s="154"/>
      <c r="E69" s="154"/>
      <c r="F69" s="154"/>
      <c r="G69" s="154"/>
      <c r="H69" s="154"/>
      <c r="I69" s="122"/>
      <c r="J69" s="146"/>
      <c r="K69" s="122"/>
      <c r="L69" s="122"/>
      <c r="M69" s="122"/>
      <c r="N69" s="122"/>
      <c r="O69" s="122"/>
    </row>
    <row r="70" spans="1:15" ht="60" customHeight="1">
      <c r="A70" s="148" t="s">
        <v>1326</v>
      </c>
      <c r="B70" s="154" t="s">
        <v>1327</v>
      </c>
      <c r="C70" s="154"/>
      <c r="D70" s="154"/>
      <c r="E70" s="154"/>
      <c r="F70" s="154"/>
      <c r="G70" s="154"/>
      <c r="H70" s="154"/>
      <c r="I70" s="122"/>
      <c r="J70" s="146"/>
      <c r="K70" s="122"/>
      <c r="L70" s="122"/>
      <c r="M70" s="122"/>
      <c r="N70" s="122"/>
      <c r="O70" s="122"/>
    </row>
    <row r="71" spans="1:15" ht="60" customHeight="1">
      <c r="A71" s="148" t="s">
        <v>1328</v>
      </c>
      <c r="B71" s="154" t="s">
        <v>1329</v>
      </c>
      <c r="C71" s="154"/>
      <c r="D71" s="154"/>
      <c r="E71" s="154"/>
      <c r="F71" s="154"/>
      <c r="G71" s="154"/>
      <c r="H71" s="154"/>
      <c r="I71" s="122"/>
      <c r="J71" s="146"/>
      <c r="K71" s="122"/>
      <c r="L71" s="122"/>
      <c r="M71" s="122"/>
      <c r="N71" s="122"/>
      <c r="O71" s="122"/>
    </row>
    <row r="72" spans="1:15" ht="80" customHeight="1">
      <c r="A72" s="148" t="s">
        <v>1330</v>
      </c>
      <c r="B72" s="154" t="s">
        <v>1331</v>
      </c>
      <c r="C72" s="154"/>
      <c r="D72" s="154"/>
      <c r="E72" s="154"/>
      <c r="F72" s="154"/>
      <c r="G72" s="154"/>
      <c r="H72" s="154"/>
      <c r="I72" s="122"/>
      <c r="J72" s="146"/>
      <c r="K72" s="122"/>
      <c r="L72" s="122"/>
      <c r="M72" s="122"/>
      <c r="N72" s="122"/>
      <c r="O72" s="122"/>
    </row>
    <row r="73" spans="1:15" ht="60" customHeight="1">
      <c r="A73" s="148" t="s">
        <v>1332</v>
      </c>
      <c r="B73" s="154" t="s">
        <v>1333</v>
      </c>
      <c r="C73" s="154"/>
      <c r="D73" s="154"/>
      <c r="E73" s="154"/>
      <c r="F73" s="154"/>
      <c r="G73" s="154"/>
      <c r="H73" s="154"/>
      <c r="I73" s="122"/>
      <c r="J73" s="146"/>
      <c r="K73" s="122"/>
      <c r="L73" s="122"/>
      <c r="M73" s="122"/>
      <c r="N73" s="122"/>
      <c r="O73" s="122"/>
    </row>
    <row r="74" spans="1:15" ht="60" customHeight="1">
      <c r="A74" s="148" t="s">
        <v>1334</v>
      </c>
      <c r="B74" s="154" t="s">
        <v>1335</v>
      </c>
      <c r="C74" s="154"/>
      <c r="D74" s="154"/>
      <c r="E74" s="154"/>
      <c r="F74" s="154"/>
      <c r="G74" s="154"/>
      <c r="H74" s="154"/>
      <c r="I74" s="122"/>
      <c r="J74" s="146"/>
      <c r="K74" s="122"/>
      <c r="L74" s="122"/>
      <c r="M74" s="122"/>
      <c r="N74" s="122"/>
      <c r="O74" s="122"/>
    </row>
    <row r="75" spans="1:15" ht="60" customHeight="1">
      <c r="A75" s="148" t="s">
        <v>1336</v>
      </c>
      <c r="B75" s="154" t="s">
        <v>1337</v>
      </c>
      <c r="C75" s="154"/>
      <c r="D75" s="154"/>
      <c r="E75" s="154"/>
      <c r="F75" s="154"/>
      <c r="G75" s="154"/>
      <c r="H75" s="154"/>
      <c r="I75" s="122"/>
      <c r="J75" s="146"/>
      <c r="K75" s="122"/>
      <c r="L75" s="122"/>
      <c r="M75" s="122"/>
      <c r="N75" s="122"/>
      <c r="O75" s="122"/>
    </row>
    <row r="76" spans="1:15" ht="60" customHeight="1">
      <c r="A76" s="148" t="s">
        <v>1338</v>
      </c>
      <c r="B76" s="154" t="s">
        <v>1339</v>
      </c>
      <c r="C76" s="154"/>
      <c r="D76" s="154"/>
      <c r="E76" s="154"/>
      <c r="F76" s="154"/>
      <c r="G76" s="154"/>
      <c r="H76" s="154"/>
      <c r="I76" s="122"/>
      <c r="J76" s="146"/>
      <c r="K76" s="122"/>
      <c r="L76" s="122"/>
      <c r="M76" s="122"/>
      <c r="N76" s="122"/>
      <c r="O76" s="122"/>
    </row>
    <row r="77" spans="1:15" ht="60" customHeight="1">
      <c r="A77" s="148" t="s">
        <v>1340</v>
      </c>
      <c r="B77" s="154" t="s">
        <v>1341</v>
      </c>
      <c r="C77" s="154"/>
      <c r="D77" s="154"/>
      <c r="E77" s="154"/>
      <c r="F77" s="154"/>
      <c r="G77" s="154"/>
      <c r="H77" s="154"/>
      <c r="I77" s="122"/>
      <c r="J77" s="146"/>
      <c r="K77" s="122"/>
      <c r="L77" s="122"/>
      <c r="M77" s="122"/>
      <c r="N77" s="122"/>
      <c r="O77" s="122"/>
    </row>
    <row r="78" spans="1:15" ht="80" customHeight="1">
      <c r="A78" s="148" t="s">
        <v>1342</v>
      </c>
      <c r="B78" s="154" t="s">
        <v>1343</v>
      </c>
      <c r="C78" s="154"/>
      <c r="D78" s="154"/>
      <c r="E78" s="154"/>
      <c r="F78" s="154"/>
      <c r="G78" s="154"/>
      <c r="H78" s="154"/>
      <c r="I78" s="122"/>
      <c r="J78" s="146"/>
      <c r="K78" s="122"/>
      <c r="L78" s="122"/>
      <c r="M78" s="122"/>
      <c r="N78" s="122"/>
      <c r="O78" s="122"/>
    </row>
    <row r="79" spans="1:15" ht="40" customHeight="1">
      <c r="A79" s="148" t="s">
        <v>1344</v>
      </c>
      <c r="B79" s="154" t="s">
        <v>1345</v>
      </c>
      <c r="C79" s="154"/>
      <c r="D79" s="154"/>
      <c r="E79" s="154"/>
      <c r="F79" s="154"/>
      <c r="G79" s="154"/>
      <c r="H79" s="154"/>
      <c r="I79" s="122"/>
      <c r="J79" s="146"/>
      <c r="K79" s="122"/>
      <c r="L79" s="122"/>
      <c r="M79" s="122"/>
      <c r="N79" s="122"/>
      <c r="O79" s="122"/>
    </row>
    <row r="80" spans="1:15" ht="60" customHeight="1">
      <c r="A80" s="148" t="s">
        <v>1346</v>
      </c>
      <c r="B80" s="154" t="s">
        <v>1347</v>
      </c>
      <c r="C80" s="154"/>
      <c r="D80" s="154"/>
      <c r="E80" s="154"/>
      <c r="F80" s="154"/>
      <c r="G80" s="154"/>
      <c r="H80" s="154"/>
      <c r="I80" s="122"/>
      <c r="J80" s="146"/>
      <c r="K80" s="122"/>
      <c r="L80" s="122"/>
      <c r="M80" s="122"/>
      <c r="N80" s="122"/>
      <c r="O80" s="122"/>
    </row>
    <row r="81" spans="1:15" ht="60" customHeight="1">
      <c r="A81" s="148" t="s">
        <v>1348</v>
      </c>
      <c r="B81" s="154" t="s">
        <v>1349</v>
      </c>
      <c r="C81" s="154"/>
      <c r="D81" s="154"/>
      <c r="E81" s="154"/>
      <c r="F81" s="154"/>
      <c r="G81" s="154"/>
      <c r="H81" s="154"/>
      <c r="I81" s="122"/>
      <c r="J81" s="146"/>
      <c r="K81" s="122"/>
      <c r="L81" s="122"/>
      <c r="M81" s="122"/>
      <c r="N81" s="122"/>
      <c r="O81" s="122"/>
    </row>
    <row r="82" spans="1:15" ht="60" customHeight="1">
      <c r="A82" s="148" t="s">
        <v>1350</v>
      </c>
      <c r="B82" s="154" t="s">
        <v>1351</v>
      </c>
      <c r="C82" s="154"/>
      <c r="D82" s="154"/>
      <c r="E82" s="154"/>
      <c r="F82" s="154"/>
      <c r="G82" s="154"/>
      <c r="H82" s="154"/>
      <c r="I82" s="122"/>
      <c r="J82" s="146"/>
      <c r="K82" s="122"/>
      <c r="L82" s="122"/>
      <c r="M82" s="122"/>
      <c r="N82" s="122"/>
      <c r="O82" s="122"/>
    </row>
    <row r="83" spans="1:15" ht="60" customHeight="1">
      <c r="A83" s="148" t="s">
        <v>1352</v>
      </c>
      <c r="B83" s="154" t="s">
        <v>1353</v>
      </c>
      <c r="C83" s="154"/>
      <c r="D83" s="154"/>
      <c r="E83" s="154"/>
      <c r="F83" s="154"/>
      <c r="G83" s="154"/>
      <c r="H83" s="154"/>
      <c r="I83" s="122"/>
      <c r="J83" s="146"/>
      <c r="K83" s="122"/>
      <c r="L83" s="122"/>
      <c r="M83" s="122"/>
      <c r="N83" s="122"/>
      <c r="O83" s="122"/>
    </row>
    <row r="84" spans="1:15" ht="60" customHeight="1">
      <c r="A84" s="148" t="s">
        <v>1354</v>
      </c>
      <c r="B84" s="154" t="s">
        <v>1355</v>
      </c>
      <c r="C84" s="154"/>
      <c r="D84" s="154"/>
      <c r="E84" s="154"/>
      <c r="F84" s="154"/>
      <c r="G84" s="154"/>
      <c r="H84" s="154"/>
      <c r="I84" s="122"/>
      <c r="J84" s="146"/>
      <c r="K84" s="122"/>
      <c r="L84" s="122"/>
      <c r="M84" s="122"/>
      <c r="N84" s="122"/>
      <c r="O84" s="122"/>
    </row>
    <row r="85" spans="1:15" ht="60" customHeight="1">
      <c r="A85" s="148" t="s">
        <v>1356</v>
      </c>
      <c r="B85" s="154" t="s">
        <v>1357</v>
      </c>
      <c r="C85" s="154"/>
      <c r="D85" s="154"/>
      <c r="E85" s="154"/>
      <c r="F85" s="154"/>
      <c r="G85" s="154"/>
      <c r="H85" s="154"/>
      <c r="I85" s="122"/>
      <c r="J85" s="146"/>
      <c r="K85" s="122"/>
      <c r="L85" s="122"/>
      <c r="M85" s="122"/>
      <c r="N85" s="122"/>
      <c r="O85" s="122"/>
    </row>
    <row r="86" spans="1:15" ht="8" customHeight="1">
      <c r="A86" s="148"/>
      <c r="B86" s="148"/>
      <c r="C86" s="148"/>
      <c r="D86" s="148"/>
      <c r="E86" s="148"/>
      <c r="F86" s="148"/>
      <c r="G86" s="148"/>
      <c r="H86" s="148"/>
      <c r="I86" s="122"/>
      <c r="J86" s="146"/>
      <c r="K86" s="122"/>
      <c r="L86" s="122"/>
      <c r="M86" s="122"/>
      <c r="N86" s="122"/>
      <c r="O86" s="122"/>
    </row>
    <row r="87" spans="1:15" ht="22" customHeight="1">
      <c r="A87" s="149" t="s">
        <v>1308</v>
      </c>
      <c r="B87" s="149"/>
      <c r="C87" s="149"/>
      <c r="D87" s="149"/>
      <c r="E87" s="149"/>
      <c r="F87" s="149"/>
      <c r="G87" s="149"/>
      <c r="H87" s="149"/>
    </row>
    <row r="88" spans="1:15" ht="36" customHeight="1">
      <c r="A88" s="148" t="s">
        <v>1309</v>
      </c>
      <c r="B88" s="154" t="s">
        <v>1310</v>
      </c>
      <c r="C88" s="154"/>
      <c r="D88" s="154"/>
      <c r="E88" s="154"/>
      <c r="F88" s="154"/>
      <c r="G88" s="154"/>
      <c r="H88" s="154"/>
    </row>
    <row r="89" spans="1:15" ht="36" customHeight="1">
      <c r="A89" s="148" t="s">
        <v>1311</v>
      </c>
      <c r="B89" s="154" t="s">
        <v>1312</v>
      </c>
      <c r="C89" s="154"/>
      <c r="D89" s="154"/>
      <c r="E89" s="154"/>
      <c r="F89" s="154"/>
      <c r="G89" s="154"/>
      <c r="H89" s="154"/>
    </row>
    <row r="90" spans="1:15" ht="36" customHeight="1">
      <c r="A90" s="148" t="s">
        <v>1250</v>
      </c>
      <c r="B90" s="154" t="s">
        <v>1313</v>
      </c>
      <c r="C90" s="154"/>
      <c r="D90" s="154"/>
      <c r="E90" s="154"/>
      <c r="F90" s="154"/>
      <c r="G90" s="154"/>
      <c r="H90" s="154"/>
    </row>
    <row r="91" spans="1:15" ht="36" customHeight="1">
      <c r="A91" s="148" t="s">
        <v>1314</v>
      </c>
      <c r="B91" s="154" t="s">
        <v>1315</v>
      </c>
      <c r="C91" s="154"/>
      <c r="D91" s="154"/>
      <c r="E91" s="154"/>
      <c r="F91" s="154"/>
      <c r="G91" s="154"/>
      <c r="H91" s="154"/>
    </row>
  </sheetData>
  <mergeCells count="39">
    <mergeCell ref="B88:H88"/>
    <mergeCell ref="B89:H89"/>
    <mergeCell ref="B90:H90"/>
    <mergeCell ref="B91:H91"/>
    <mergeCell ref="B81:H81"/>
    <mergeCell ref="B82:H82"/>
    <mergeCell ref="B83:H83"/>
    <mergeCell ref="B84:H84"/>
    <mergeCell ref="B85:H85"/>
    <mergeCell ref="B76:H76"/>
    <mergeCell ref="B77:H77"/>
    <mergeCell ref="B78:H78"/>
    <mergeCell ref="B79:H79"/>
    <mergeCell ref="B80:H80"/>
    <mergeCell ref="B71:H71"/>
    <mergeCell ref="B72:H72"/>
    <mergeCell ref="B73:H73"/>
    <mergeCell ref="B74:H74"/>
    <mergeCell ref="B75:H75"/>
    <mergeCell ref="B66:H66"/>
    <mergeCell ref="B67:H67"/>
    <mergeCell ref="B68:H68"/>
    <mergeCell ref="B69:H69"/>
    <mergeCell ref="B70:H70"/>
    <mergeCell ref="A1:H1"/>
    <mergeCell ref="J1:O1"/>
    <mergeCell ref="A2:H2"/>
    <mergeCell ref="J2:O2"/>
    <mergeCell ref="F10:H15"/>
    <mergeCell ref="C18:H18"/>
    <mergeCell ref="F19:H19"/>
    <mergeCell ref="C28:H28"/>
    <mergeCell ref="C29:H29"/>
    <mergeCell ref="C30:H30"/>
    <mergeCell ref="J17:O19"/>
    <mergeCell ref="J27:O28"/>
    <mergeCell ref="J29:O30"/>
    <mergeCell ref="J31:O33"/>
    <mergeCell ref="J35:O37"/>
  </mergeCells>
  <phoneticPr fontId="44" type="noConversion"/>
  <conditionalFormatting sqref="F19:H19">
    <cfRule type="expression" dxfId="0" priority="1">
      <formula>AND(COUNT($C$15:$E$15,$B$19)=4,MAX($C$15:$E$15)&gt;$B$19)</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16</vt:i4>
      </vt:variant>
    </vt:vector>
  </HeadingPairs>
  <TitlesOfParts>
    <vt:vector size="16" baseType="lpstr">
      <vt:lpstr>Contents</vt:lpstr>
      <vt:lpstr>Segments</vt:lpstr>
      <vt:lpstr>Operating Metrics</vt:lpstr>
      <vt:lpstr>Products &amp; Geography</vt:lpstr>
      <vt:lpstr>Income Statement</vt:lpstr>
      <vt:lpstr>Balance Sheet</vt:lpstr>
      <vt:lpstr>Cash Flow</vt:lpstr>
      <vt:lpstr>Derived Metrics</vt:lpstr>
      <vt:lpstr>Note Schedules</vt:lpstr>
      <vt:lpstr>Debt &amp; Leases</vt:lpstr>
      <vt:lpstr>Investments</vt:lpstr>
      <vt:lpstr>Acquisitions &amp; Intangibles</vt:lpstr>
      <vt:lpstr>Pension &amp; Retiree Medical</vt:lpstr>
      <vt:lpstr>Core Reconciliations</vt:lpstr>
      <vt:lpstr>Profit Forecast</vt:lpstr>
      <vt:lpstr>Valuation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e69900</cp:lastModifiedBy>
  <dcterms:modified xsi:type="dcterms:W3CDTF">2026-10-29T10:03:16Z</dcterms:modified>
</cp:coreProperties>
</file>