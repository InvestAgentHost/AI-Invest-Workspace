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54f522f26ff4d92" /></Relationships>
</file>

<file path=xl/workbook.xml><?xml version="1.0" encoding="utf-8"?>
<x:workbook xmlns:x="http://schemas.openxmlformats.org/spreadsheetml/2006/main">
  <x:sheets>
    <x:sheet xmlns:r="http://schemas.openxmlformats.org/officeDocument/2006/relationships" name="Contents" sheetId="1" r:id="Rf2e84a3c2a2c4120"/>
    <x:sheet xmlns:r="http://schemas.openxmlformats.org/officeDocument/2006/relationships" name="Segments" sheetId="2" r:id="R7b1a8395ef6a471c"/>
    <x:sheet xmlns:r="http://schemas.openxmlformats.org/officeDocument/2006/relationships" name="Operating Metrics" sheetId="3" r:id="Rbddbe557c3db4677"/>
    <x:sheet xmlns:r="http://schemas.openxmlformats.org/officeDocument/2006/relationships" name="Products &amp; Geography" sheetId="4" r:id="R0503f7ea4e6d4cd5"/>
    <x:sheet xmlns:r="http://schemas.openxmlformats.org/officeDocument/2006/relationships" name="Income Statement" sheetId="5" r:id="R5cf61d453b5a4b96"/>
    <x:sheet xmlns:r="http://schemas.openxmlformats.org/officeDocument/2006/relationships" name="Balance Sheet" sheetId="6" r:id="R6f07d13f1609420a"/>
    <x:sheet xmlns:r="http://schemas.openxmlformats.org/officeDocument/2006/relationships" name="Cash Flow" sheetId="7" r:id="R4d8bdafc63604dff"/>
    <x:sheet xmlns:r="http://schemas.openxmlformats.org/officeDocument/2006/relationships" name="Derived Metrics" sheetId="8" r:id="R5b896bad51ed4346"/>
    <x:sheet xmlns:r="http://schemas.openxmlformats.org/officeDocument/2006/relationships" name="Note Schedules" sheetId="9" r:id="R5c3f9ac014d64be4"/>
    <x:sheet xmlns:r="http://schemas.openxmlformats.org/officeDocument/2006/relationships" name="Debt &amp; Leases" sheetId="10" r:id="Rd0e719edf8f24739"/>
    <x:sheet xmlns:r="http://schemas.openxmlformats.org/officeDocument/2006/relationships" name="Investments" sheetId="11" r:id="Rc00a0a7ce560433c"/>
    <x:sheet xmlns:r="http://schemas.openxmlformats.org/officeDocument/2006/relationships" name="Acquisitions &amp; Intangibles" sheetId="12" r:id="R37525ed7f88a403c"/>
    <x:sheet xmlns:r="http://schemas.openxmlformats.org/officeDocument/2006/relationships" name="Pension &amp; Retiree Medical" sheetId="13" r:id="R26754a7c160f4bc1"/>
    <x:sheet xmlns:r="http://schemas.openxmlformats.org/officeDocument/2006/relationships" name="Core Reconciliations" sheetId="14" r:id="R8e4da5a901644cd5"/>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yyyy-mm-dd"/>
    <x:numFmt numFmtId="201" formatCode="#,##0;(#,##0);&quot;–&quot;"/>
    <x:numFmt numFmtId="202" formatCode="0.0%;(0.0%);&quot;–&quot;"/>
    <x:numFmt numFmtId="203" formatCode="0.00;(0.00);&quot;–&quot;"/>
    <x:numFmt numFmtId="204" formatCode="0.0&quot;x&quot;;(0.0&quot;x&quot;);&quot;–&quot;"/>
    <x:numFmt numFmtId="205" formatCode="#,##0.0;(#,##0.0);&quot;–&quot;"/>
  </x:numFmts>
  <x:fonts count="119">
    <x:font>
      <x:sz val="11"/>
      <x:name val="Carlito"/>
    </x:font>
    <x:font>
      <x:sz val="10.5"/>
      <x:color rgb="FF243447"/>
      <x:name val="Arial"/>
    </x:font>
    <x:font>
      <x:b/>
      <x:sz val="14"/>
      <x:color rgb="FFFFFFFF"/>
      <x:name val="Arial"/>
    </x:font>
    <x:font>
      <x:sz val="9"/>
      <x:color rgb="FF64748B"/>
      <x:name val="Arial"/>
    </x:font>
    <x:font>
      <x:b/>
      <x:sz val="10"/>
      <x:color rgb="FF243447"/>
      <x:name val="Arial"/>
    </x:font>
    <x:font>
      <x:b/>
      <x:sz val="10"/>
      <x:color rgb="FFFFFFFF"/>
      <x:name val="Arial"/>
    </x:font>
    <x:font>
      <x:sz val="8.5"/>
      <x:color rgb="FF64748B"/>
      <x:name val="Arial"/>
    </x:font>
    <x:font>
      <x:b/>
      <x:sz val="10"/>
      <x:color rgb="FF64748B"/>
      <x:name val="Arial"/>
    </x:font>
    <x:font>
      <x:sz val="10"/>
      <x:color rgb="FF20746C"/>
      <x:name val="Arial"/>
    </x:font>
    <x:font>
      <x:b/>
      <x:sz val="10.5"/>
      <x:color rgb="FF243447"/>
      <x:name val="Arial"/>
    </x:font>
    <x:font>
      <x:sz val="10.5"/>
      <x:color rgb="FF2454A4"/>
      <x:name val="Arial"/>
    </x:font>
    <x:font>
      <x:b/>
      <x:sz val="10.5"/>
      <x:color rgb="FF2454A4"/>
      <x:name val="Arial"/>
    </x:font>
    <x:font>
      <x:i/>
      <x:sz val="10.5"/>
      <x:color rgb="FF243447"/>
      <x:name val="Arial"/>
    </x:font>
    <x:font>
      <x:i/>
      <x:sz val="10.5"/>
      <x:color rgb="FF2454A4"/>
      <x:name val="Arial"/>
    </x:font>
    <x:font>
      <x:b/>
      <x:i/>
      <x:sz val="10.5"/>
      <x:color rgb="FF243447"/>
      <x:name val="Arial"/>
    </x:font>
    <x:font>
      <x:b/>
      <x:i/>
      <x:sz val="10.5"/>
      <x:color rgb="FF2454A4"/>
      <x:name val="Arial"/>
    </x:font>
    <x:font>
      <x:i/>
      <x:sz val="10.5"/>
      <x:color rgb="FF20746C"/>
      <x:name val="Arial"/>
    </x:font>
    <x:font>
      <x:sz val="10.5"/>
      <x:color rgb="FF20746C"/>
      <x:name val="Arial"/>
    </x:font>
    <x:font>
      <x:b/>
      <x:sz val="10.5"/>
      <x:color rgb="FF20746C"/>
      <x:name val="Arial"/>
    </x:font>
    <x:font>
      <x:b/>
      <x:sz val="11"/>
      <x:color rgb="FF243447"/>
      <x:name val="Arial"/>
    </x:font>
    <x:font>
      <x:sz val="10.5"/>
      <x:color rgb="FF243447"/>
      <x:name val="Arial"/>
    </x:font>
    <x:font>
      <x:b/>
      <x:sz val="14"/>
      <x:color rgb="FFFFFFFF"/>
      <x:name val="Arial"/>
    </x:font>
    <x:font>
      <x:sz val="9"/>
      <x:color rgb="FF64748B"/>
      <x:name val="Arial"/>
    </x:font>
    <x:font>
      <x:b/>
      <x:sz val="10"/>
      <x:color rgb="FF243447"/>
      <x:name val="Arial"/>
    </x:font>
    <x:font>
      <x:sz val="10"/>
      <x:color rgb="FF243447"/>
      <x:name val="Arial"/>
    </x:font>
    <x:font>
      <x:b/>
      <x:sz val="10"/>
      <x:color rgb="FF64748B"/>
      <x:name val="Arial"/>
    </x:font>
    <x:font>
      <x:sz val="10"/>
      <x:color rgb="FF20746C"/>
      <x:name val="Arial"/>
    </x:font>
    <x:font>
      <x:b/>
      <x:sz val="10"/>
      <x:color rgb="FFFFFFFF"/>
      <x:name val="Arial"/>
    </x:font>
    <x:font>
      <x:b/>
      <x:sz val="9"/>
      <x:color rgb="FF64748B"/>
      <x:name val="Arial"/>
    </x:font>
    <x:font>
      <x:sz val="8.5"/>
      <x:color rgb="FF64748B"/>
      <x:name val="Arial"/>
    </x:font>
    <x:font>
      <x:b/>
      <x:sz val="10.5"/>
      <x:color rgb="FF243447"/>
      <x:name val="Arial"/>
    </x:font>
    <x:font>
      <x:b/>
      <x:sz val="10.5"/>
      <x:color rgb="FF2454A4"/>
      <x:name val="Arial"/>
    </x:font>
    <x:font>
      <x:i/>
      <x:sz val="10.5"/>
      <x:color rgb="FF2454A4"/>
      <x:name val="Arial"/>
    </x:font>
    <x:font>
      <x:i/>
      <x:sz val="10.5"/>
      <x:color rgb="FF243447"/>
      <x:name val="Arial"/>
    </x:font>
    <x:font>
      <x:sz val="10.5"/>
      <x:color rgb="FF2454A4"/>
      <x:name val="Arial"/>
    </x:font>
    <x:font>
      <x:sz val="9.5"/>
      <x:color rgb="FF2454A4"/>
      <x:name val="Arial"/>
    </x:font>
    <x:font>
      <x:sz val="10.5"/>
      <x:color rgb="FF243447"/>
      <x:name val="Arial"/>
    </x:font>
    <x:font>
      <x:b/>
      <x:sz val="14"/>
      <x:color rgb="FFFFFFFF"/>
      <x:name val="Arial"/>
    </x:font>
    <x:font>
      <x:sz val="9"/>
      <x:color rgb="FF64748B"/>
      <x:name val="Arial"/>
    </x:font>
    <x:font>
      <x:b/>
      <x:sz val="10"/>
      <x:color rgb="FF243447"/>
      <x:name val="Arial"/>
    </x:font>
    <x:font>
      <x:sz val="10"/>
      <x:color rgb="FF243447"/>
      <x:name val="Arial"/>
    </x:font>
    <x:font>
      <x:b/>
      <x:sz val="10"/>
      <x:color rgb="FF64748B"/>
      <x:name val="Arial"/>
    </x:font>
    <x:font>
      <x:sz val="10"/>
      <x:color rgb="FF20746C"/>
      <x:name val="Arial"/>
    </x:font>
    <x:font>
      <x:b/>
      <x:sz val="10"/>
      <x:color rgb="FFFFFFFF"/>
      <x:name val="Arial"/>
    </x:font>
    <x:font>
      <x:b/>
      <x:sz val="9"/>
      <x:color rgb="FF64748B"/>
      <x:name val="Arial"/>
    </x:font>
    <x:font>
      <x:sz val="8.5"/>
      <x:color rgb="FF64748B"/>
      <x:name val="Arial"/>
    </x:font>
    <x:font>
      <x:b/>
      <x:sz val="10.5"/>
      <x:color rgb="FF243447"/>
      <x:name val="Arial"/>
    </x:font>
    <x:font>
      <x:b/>
      <x:sz val="10.5"/>
      <x:color rgb="FF2454A4"/>
      <x:name val="Arial"/>
    </x:font>
    <x:font>
      <x:i/>
      <x:sz val="10.5"/>
      <x:color rgb="FF2454A4"/>
      <x:name val="Arial"/>
    </x:font>
    <x:font>
      <x:i/>
      <x:sz val="10.5"/>
      <x:color rgb="FF243447"/>
      <x:name val="Arial"/>
    </x:font>
    <x:font>
      <x:sz val="10.5"/>
      <x:color rgb="FF2454A4"/>
      <x:name val="Arial"/>
    </x:font>
    <x:font>
      <x:sz val="9.5"/>
      <x:color rgb="FF2454A4"/>
      <x:name val="Arial"/>
    </x:font>
    <x:font>
      <x:sz val="10.5"/>
      <x:color rgb="FF243447"/>
      <x:name val="Arial"/>
    </x:font>
    <x:font>
      <x:b/>
      <x:sz val="14"/>
      <x:color rgb="FFFFFFFF"/>
      <x:name val="Arial"/>
    </x:font>
    <x:font>
      <x:sz val="9"/>
      <x:color rgb="FF64748B"/>
      <x:name val="Arial"/>
    </x:font>
    <x:font>
      <x:b/>
      <x:sz val="10"/>
      <x:color rgb="FF243447"/>
      <x:name val="Arial"/>
    </x:font>
    <x:font>
      <x:sz val="10"/>
      <x:color rgb="FF243447"/>
      <x:name val="Arial"/>
    </x:font>
    <x:font>
      <x:b/>
      <x:sz val="10"/>
      <x:color rgb="FF64748B"/>
      <x:name val="Arial"/>
    </x:font>
    <x:font>
      <x:sz val="10"/>
      <x:color rgb="FF20746C"/>
      <x:name val="Arial"/>
    </x:font>
    <x:font>
      <x:b/>
      <x:sz val="10"/>
      <x:color rgb="FFFFFFFF"/>
      <x:name val="Arial"/>
    </x:font>
    <x:font>
      <x:b/>
      <x:sz val="9"/>
      <x:color rgb="FF64748B"/>
      <x:name val="Arial"/>
    </x:font>
    <x:font>
      <x:sz val="8.5"/>
      <x:color rgb="FF64748B"/>
      <x:name val="Arial"/>
    </x:font>
    <x:font>
      <x:b/>
      <x:sz val="10.5"/>
      <x:color rgb="FF243447"/>
      <x:name val="Arial"/>
    </x:font>
    <x:font>
      <x:b/>
      <x:sz val="10.5"/>
      <x:color rgb="FF2454A4"/>
      <x:name val="Arial"/>
    </x:font>
    <x:font>
      <x:i/>
      <x:sz val="10.5"/>
      <x:color rgb="FF2454A4"/>
      <x:name val="Arial"/>
    </x:font>
    <x:font>
      <x:i/>
      <x:sz val="10.5"/>
      <x:color rgb="FF243447"/>
      <x:name val="Arial"/>
    </x:font>
    <x:font>
      <x:sz val="10.5"/>
      <x:color rgb="FF2454A4"/>
      <x:name val="Arial"/>
    </x:font>
    <x:font>
      <x:sz val="9.5"/>
      <x:color rgb="FF2454A4"/>
      <x:name val="Arial"/>
    </x:font>
    <x:font>
      <x:b/>
      <x:sz val="9"/>
      <x:color rgb="FF64748B"/>
      <x:name val="Arial"/>
    </x:font>
    <x:font>
      <x:sz val="9"/>
      <x:color rgb="FF64748B"/>
      <x:name val="Arial"/>
    </x:font>
    <x:font>
      <x:sz val="10.5"/>
      <x:color rgb="FF243447"/>
      <x:name val="Arial"/>
    </x:font>
    <x:font>
      <x:b/>
      <x:sz val="14"/>
      <x:color rgb="FFFFFFFF"/>
      <x:name val="Arial"/>
    </x:font>
    <x:font>
      <x:sz val="9"/>
      <x:color rgb="FF64748B"/>
      <x:name val="Arial"/>
    </x:font>
    <x:font>
      <x:sz val="10"/>
      <x:color rgb="FF20746C"/>
      <x:name val="Arial"/>
    </x:font>
    <x:font>
      <x:b/>
      <x:sz val="10"/>
      <x:color rgb="FFFFFFFF"/>
      <x:name val="Arial"/>
    </x:font>
    <x:font>
      <x:b/>
      <x:sz val="10"/>
      <x:color rgb="FF243447"/>
      <x:name val="Arial"/>
    </x:font>
    <x:font>
      <x:i/>
      <x:sz val="10.5"/>
      <x:color rgb="FF243447"/>
      <x:name val="Arial"/>
    </x:font>
    <x:font>
      <x:b/>
      <x:sz val="10.5"/>
      <x:color rgb="FF243447"/>
      <x:name val="Arial"/>
    </x:font>
    <x:font>
      <x:sz val="8.5"/>
      <x:color rgb="FF64748B"/>
      <x:name val="Arial"/>
    </x:font>
    <x:font>
      <x:sz val="10.5"/>
      <x:color rgb="FF20746C"/>
      <x:name val="Arial"/>
    </x:font>
    <x:font>
      <x:sz val="10.5"/>
      <x:color rgb="FF2454A4"/>
      <x:name val="Arial"/>
    </x:font>
    <x:font>
      <x:i/>
      <x:sz val="10.5"/>
      <x:color rgb="FF2454A4"/>
      <x:name val="Arial"/>
    </x:font>
    <x:font>
      <x:b/>
      <x:sz val="10.5"/>
      <x:color rgb="FF2454A4"/>
      <x:name val="Arial"/>
    </x:font>
    <x:font>
      <x:sz val="10.5"/>
      <x:color rgb="FF243447"/>
      <x:name val="Arial"/>
    </x:font>
    <x:font>
      <x:b/>
      <x:sz val="14"/>
      <x:color rgb="FFFFFFFF"/>
      <x:name val="Arial"/>
    </x:font>
    <x:font>
      <x:sz val="9"/>
      <x:color rgb="FF64748B"/>
      <x:name val="Arial"/>
    </x:font>
    <x:font>
      <x:sz val="10"/>
      <x:color rgb="FF20746C"/>
      <x:name val="Arial"/>
    </x:font>
    <x:font>
      <x:b/>
      <x:sz val="10"/>
      <x:color rgb="FFFFFFFF"/>
      <x:name val="Arial"/>
    </x:font>
    <x:font>
      <x:b/>
      <x:sz val="10"/>
      <x:color rgb="FF243447"/>
      <x:name val="Arial"/>
    </x:font>
    <x:font>
      <x:i/>
      <x:sz val="10.5"/>
      <x:color rgb="FF243447"/>
      <x:name val="Arial"/>
    </x:font>
    <x:font>
      <x:b/>
      <x:sz val="10.5"/>
      <x:color rgb="FF243447"/>
      <x:name val="Arial"/>
    </x:font>
    <x:font>
      <x:sz val="8.5"/>
      <x:color rgb="FF64748B"/>
      <x:name val="Arial"/>
    </x:font>
    <x:font>
      <x:sz val="10.5"/>
      <x:color rgb="FF20746C"/>
      <x:name val="Arial"/>
    </x:font>
    <x:font>
      <x:sz val="10.5"/>
      <x:color rgb="FF2454A4"/>
      <x:name val="Arial"/>
    </x:font>
    <x:font>
      <x:i/>
      <x:sz val="10.5"/>
      <x:color rgb="FF2454A4"/>
      <x:name val="Arial"/>
    </x:font>
    <x:font>
      <x:b/>
      <x:sz val="10.5"/>
      <x:color rgb="FF2454A4"/>
      <x:name val="Arial"/>
    </x:font>
    <x:font>
      <x:sz val="10.5"/>
      <x:color rgb="FF243447"/>
      <x:name val="Arial"/>
    </x:font>
    <x:font>
      <x:b/>
      <x:sz val="14"/>
      <x:color rgb="FFFFFFFF"/>
      <x:name val="Arial"/>
    </x:font>
    <x:font>
      <x:sz val="9"/>
      <x:color rgb="FF64748B"/>
      <x:name val="Arial"/>
    </x:font>
    <x:font>
      <x:sz val="10"/>
      <x:color rgb="FF20746C"/>
      <x:name val="Arial"/>
    </x:font>
    <x:font>
      <x:b/>
      <x:sz val="10"/>
      <x:color rgb="FFFFFFFF"/>
      <x:name val="Arial"/>
    </x:font>
    <x:font>
      <x:b/>
      <x:sz val="10"/>
      <x:color rgb="FF243447"/>
      <x:name val="Arial"/>
    </x:font>
    <x:font>
      <x:i/>
      <x:sz val="10.5"/>
      <x:color rgb="FF243447"/>
      <x:name val="Arial"/>
    </x:font>
    <x:font>
      <x:b/>
      <x:sz val="10.5"/>
      <x:color rgb="FF243447"/>
      <x:name val="Arial"/>
    </x:font>
    <x:font>
      <x:sz val="8.5"/>
      <x:color rgb="FF64748B"/>
      <x:name val="Arial"/>
    </x:font>
    <x:font>
      <x:sz val="10.5"/>
      <x:color rgb="FF20746C"/>
      <x:name val="Arial"/>
    </x:font>
    <x:font>
      <x:sz val="10.5"/>
      <x:color rgb="FF2454A4"/>
      <x:name val="Arial"/>
    </x:font>
    <x:font>
      <x:i/>
      <x:sz val="10.5"/>
      <x:color rgb="FF2454A4"/>
      <x:name val="Arial"/>
    </x:font>
    <x:font>
      <x:b/>
      <x:sz val="10.5"/>
      <x:color rgb="FF2454A4"/>
      <x:name val="Arial"/>
    </x:font>
    <x:font>
      <x:sz val="9"/>
      <x:color rgb="FF64748B"/>
      <x:name val="Arial"/>
    </x:font>
    <x:font>
      <x:sz val="10.5"/>
      <x:color rgb="FF243447"/>
      <x:name val="Arial"/>
    </x:font>
    <x:font>
      <x:b/>
      <x:sz val="14"/>
      <x:color rgb="FFFFFFFF"/>
      <x:name val="Arial"/>
    </x:font>
    <x:font>
      <x:sz val="9"/>
      <x:color rgb="FF64748B"/>
      <x:name val="Arial"/>
    </x:font>
    <x:font>
      <x:sz val="10"/>
      <x:color rgb="FF20746C"/>
      <x:name val="Arial"/>
    </x:font>
    <x:font>
      <x:b/>
      <x:sz val="10"/>
      <x:color rgb="FF243447"/>
      <x:name val="Arial"/>
    </x:font>
    <x:font>
      <x:b/>
      <x:sz val="10"/>
      <x:color rgb="FFFFFFFF"/>
      <x:name val="Arial"/>
    </x:font>
    <x:font>
      <x:sz val="8.5"/>
      <x:color rgb="FF64748B"/>
      <x:name val="Arial"/>
    </x:font>
    <x:font>
      <x:b/>
      <x:sz val="10.5"/>
      <x:color rgb="FF243447"/>
      <x:name val="Arial"/>
    </x:font>
    <x:font>
      <x:i/>
      <x:sz val="10.5"/>
      <x:color rgb="FF243447"/>
      <x:name val="Arial"/>
    </x:font>
  </x:fonts>
  <x:fills count="45">
    <x:fill>
      <x:patternFill patternType="none"/>
    </x:fill>
    <x:fill>
      <x:patternFill patternType="gray125"/>
    </x:fill>
    <x:fill>
      <x:patternFill patternType="solid">
        <x:fgColor rgb="FF1F4E79"/>
      </x:patternFill>
    </x:fill>
    <x:fill>
      <x:patternFill patternType="solid">
        <x:fgColor rgb="FF18324F"/>
      </x:patternFill>
    </x:fill>
    <x:fill>
      <x:patternFill patternType="solid">
        <x:fgColor rgb="FFF2F5F9"/>
      </x:patternFill>
    </x:fill>
    <x:fill>
      <x:patternFill patternType="solid">
        <x:fgColor rgb="FF20746C"/>
      </x:patternFill>
    </x:fill>
    <x:fill>
      <x:patternFill patternType="solid">
        <x:fgColor rgb="FFF1F4F8"/>
      </x:patternFill>
    </x:fill>
    <x:fill>
      <x:patternFill patternType="solid">
        <x:fgColor rgb="FFFFFFFF"/>
      </x:patternFill>
    </x:fill>
    <x:fill>
      <x:patternFill patternType="solid">
        <x:fgColor rgb="FFEAF0F8"/>
      </x:patternFill>
    </x:fill>
    <x:fill>
      <x:patternFill patternType="solid">
        <x:fgColor rgb="FF1F4E79"/>
      </x:patternFill>
    </x:fill>
    <x:fill>
      <x:patternFill patternType="solid">
        <x:fgColor rgb="FF18324F"/>
      </x:patternFill>
    </x:fill>
    <x:fill>
      <x:patternFill patternType="solid">
        <x:fgColor rgb="FFF2F5F9"/>
      </x:patternFill>
    </x:fill>
    <x:fill>
      <x:patternFill patternType="solid">
        <x:fgColor rgb="FF20746C"/>
      </x:patternFill>
    </x:fill>
    <x:fill>
      <x:patternFill patternType="solid">
        <x:fgColor rgb="FFEAF0F8"/>
      </x:patternFill>
    </x:fill>
    <x:fill>
      <x:patternFill patternType="solid">
        <x:fgColor rgb="FF1F4E79"/>
      </x:patternFill>
    </x:fill>
    <x:fill>
      <x:patternFill patternType="solid">
        <x:fgColor rgb="FF18324F"/>
      </x:patternFill>
    </x:fill>
    <x:fill>
      <x:patternFill patternType="solid">
        <x:fgColor rgb="FFF2F5F9"/>
      </x:patternFill>
    </x:fill>
    <x:fill>
      <x:patternFill patternType="solid">
        <x:fgColor rgb="FF20746C"/>
      </x:patternFill>
    </x:fill>
    <x:fill>
      <x:patternFill patternType="solid">
        <x:fgColor rgb="FFEAF0F8"/>
      </x:patternFill>
    </x:fill>
    <x:fill>
      <x:patternFill patternType="solid">
        <x:fgColor rgb="FF1F4E79"/>
      </x:patternFill>
    </x:fill>
    <x:fill>
      <x:patternFill patternType="solid">
        <x:fgColor rgb="FF18324F"/>
      </x:patternFill>
    </x:fill>
    <x:fill>
      <x:patternFill patternType="solid">
        <x:fgColor rgb="FFF2F5F9"/>
      </x:patternFill>
    </x:fill>
    <x:fill>
      <x:patternFill patternType="solid">
        <x:fgColor rgb="FF20746C"/>
      </x:patternFill>
    </x:fill>
    <x:fill>
      <x:patternFill patternType="solid">
        <x:fgColor rgb="FFEAF0F8"/>
      </x:patternFill>
    </x:fill>
    <x:fill>
      <x:patternFill patternType="solid">
        <x:fgColor rgb="FFF2F5F9"/>
      </x:patternFill>
    </x:fill>
    <x:fill>
      <x:patternFill patternType="solid">
        <x:fgColor rgb="FF1F4E79"/>
      </x:patternFill>
    </x:fill>
    <x:fill>
      <x:patternFill patternType="solid">
        <x:fgColor rgb="FF18324F"/>
      </x:patternFill>
    </x:fill>
    <x:fill>
      <x:patternFill patternType="solid">
        <x:fgColor rgb="FFF2F5F9"/>
      </x:patternFill>
    </x:fill>
    <x:fill>
      <x:patternFill patternType="solid">
        <x:fgColor rgb="FF20746C"/>
      </x:patternFill>
    </x:fill>
    <x:fill>
      <x:patternFill patternType="solid">
        <x:fgColor rgb="FFEAF0F8"/>
      </x:patternFill>
    </x:fill>
    <x:fill>
      <x:patternFill patternType="solid">
        <x:fgColor rgb="FF1F4E79"/>
      </x:patternFill>
    </x:fill>
    <x:fill>
      <x:patternFill patternType="solid">
        <x:fgColor rgb="FF18324F"/>
      </x:patternFill>
    </x:fill>
    <x:fill>
      <x:patternFill patternType="solid">
        <x:fgColor rgb="FFF2F5F9"/>
      </x:patternFill>
    </x:fill>
    <x:fill>
      <x:patternFill patternType="solid">
        <x:fgColor rgb="FF20746C"/>
      </x:patternFill>
    </x:fill>
    <x:fill>
      <x:patternFill patternType="solid">
        <x:fgColor rgb="FFEAF0F8"/>
      </x:patternFill>
    </x:fill>
    <x:fill>
      <x:patternFill patternType="solid">
        <x:fgColor rgb="FF1F4E79"/>
      </x:patternFill>
    </x:fill>
    <x:fill>
      <x:patternFill patternType="solid">
        <x:fgColor rgb="FF18324F"/>
      </x:patternFill>
    </x:fill>
    <x:fill>
      <x:patternFill patternType="solid">
        <x:fgColor rgb="FFF2F5F9"/>
      </x:patternFill>
    </x:fill>
    <x:fill>
      <x:patternFill patternType="solid">
        <x:fgColor rgb="FF20746C"/>
      </x:patternFill>
    </x:fill>
    <x:fill>
      <x:patternFill patternType="solid">
        <x:fgColor rgb="FFEAF0F8"/>
      </x:patternFill>
    </x:fill>
    <x:fill>
      <x:patternFill patternType="solid">
        <x:fgColor rgb="FF1F4E79"/>
      </x:patternFill>
    </x:fill>
    <x:fill>
      <x:patternFill patternType="solid">
        <x:fgColor rgb="FF18324F"/>
      </x:patternFill>
    </x:fill>
    <x:fill>
      <x:patternFill patternType="solid">
        <x:fgColor rgb="FFF2F5F9"/>
      </x:patternFill>
    </x:fill>
    <x:fill>
      <x:patternFill patternType="solid">
        <x:fgColor rgb="FF20746C"/>
      </x:patternFill>
    </x:fill>
    <x:fill>
      <x:patternFill patternType="solid">
        <x:fgColor rgb="FFEAF0F8"/>
      </x:patternFill>
    </x:fill>
  </x:fills>
  <x:borders count="2">
    <x:border>
      <x:left/>
      <x:right/>
      <x:top/>
      <x:bottom/>
      <x:diagonal/>
    </x:border>
    <x:border>
      <x:left/>
      <x:right/>
      <x:top style="thin">
        <x:color rgb="FFBBC8D6"/>
      </x:top>
      <x:bottom/>
      <x:diagonal/>
    </x:border>
  </x:borders>
  <x:cellStyleXfs count="1">
    <x:xf numFmtId="0" fontId="0" fillId="0" borderId="0"/>
  </x:cellStyleXfs>
  <x:cellXfs count="56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horizontal="right"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5" fillId="3" borderId="0" xfId="0" applyNumberFormat="1" applyFont="1" applyFill="1" applyBorder="1" applyAlignment="1">
      <x:alignment vertical="center" wrapText="1"/>
    </x:xf>
    <x:xf numFmtId="0" fontId="5" fillId="3" borderId="0" xfId="0" applyNumberFormat="1" applyFont="1" applyFill="1" applyBorder="1" applyAlignment="1">
      <x:alignment horizontal="center" vertical="center" wrapText="1"/>
    </x:xf>
    <x:xf numFmtId="0" fontId="1" fillId="4" borderId="0" xfId="0" applyNumberFormat="1" applyFont="1" applyFill="1" applyBorder="1" applyAlignment="1">
      <x:alignment vertical="center"/>
    </x:xf>
    <x:xf numFmtId="0" fontId="6" fillId="4" borderId="0" xfId="0" applyNumberFormat="1" applyFont="1" applyFill="1" applyBorder="1" applyAlignment="1">
      <x:alignment vertical="center"/>
    </x:xf>
    <x:xf numFmtId="200" fontId="6" fillId="4" borderId="0" xfId="0" applyNumberFormat="1" applyFont="1" applyFill="1" applyBorder="1" applyAlignment="1">
      <x:alignment vertical="center"/>
    </x:xf>
    <x:xf numFmtId="200" fontId="6" fillId="4" borderId="0" xfId="0" applyNumberFormat="1" applyFont="1" applyFill="1" applyBorder="1" applyAlignment="1">
      <x:alignment horizontal="center" vertical="center"/>
    </x:xf>
    <x:xf numFmtId="0" fontId="3" fillId="0" borderId="0" xfId="0" applyNumberFormat="1" applyFont="1" applyFill="1" applyBorder="1" applyAlignment="1">
      <x:alignment horizontal="center" vertical="center"/>
    </x:xf>
    <x:xf numFmtId="0" fontId="1" fillId="5" borderId="0" xfId="0" applyNumberFormat="1" applyFont="1" applyFill="1" applyBorder="1" applyAlignment="1">
      <x:alignment vertical="center"/>
    </x:xf>
    <x:xf numFmtId="0" fontId="5" fillId="5" borderId="0" xfId="0" applyNumberFormat="1" applyFont="1" applyFill="1" applyBorder="1" applyAlignment="1">
      <x:alignment vertical="center"/>
    </x:xf>
    <x:xf numFmtId="0" fontId="5" fillId="5" borderId="0" xfId="0" applyNumberFormat="1" applyFont="1" applyFill="1" applyBorder="1" applyAlignment="1">
      <x:alignment vertical="center" wrapText="1"/>
    </x:xf>
    <x:xf numFmtId="0" fontId="5" fillId="5" borderId="0" xfId="0" applyNumberFormat="1" applyFont="1" applyFill="1" applyBorder="1" applyAlignment="1">
      <x:alignment horizontal="center" vertical="center" wrapText="1"/>
    </x:xf>
    <x:xf numFmtId="0" fontId="7" fillId="0" borderId="0" xfId="0" applyNumberFormat="1" applyFont="1" applyFill="1" applyBorder="1" applyAlignment="1">
      <x:alignment vertical="center" wrapText="1"/>
    </x:xf>
    <x:xf numFmtId="0" fontId="8" fillId="0" borderId="0" xfId="0" applyNumberFormat="1" applyFont="1" applyFill="1" applyBorder="1" applyAlignment="1">
      <x:alignment horizontal="right" vertical="center"/>
    </x:xf>
    <x:xf numFmtId="0" fontId="8" fillId="0" borderId="0" xfId="0" applyNumberFormat="1" applyFont="1" applyFill="1" applyBorder="1" applyAlignment="1">
      <x:alignment horizontal="right" vertical="center" wrapText="0"/>
    </x:xf>
    <x:xf numFmtId="0" fontId="8" fillId="0" borderId="0" xfId="0" applyNumberFormat="1" applyFont="1" applyFill="1" applyBorder="1" applyAlignment="1">
      <x:alignment horizontal="left" vertical="center" wrapText="0"/>
    </x:xf>
    <x:xf numFmtId="0" fontId="1" fillId="2" borderId="0" xfId="0" applyNumberFormat="1" applyFont="1" applyFill="1" applyBorder="1" applyAlignment="1">
      <x:alignment vertical="center" wrapText="1"/>
    </x:xf>
    <x:xf numFmtId="0" fontId="1" fillId="2" borderId="0" xfId="0" applyNumberFormat="1" applyFont="1" applyFill="1" applyBorder="1" applyAlignment="1">
      <x:alignment horizontal="right" vertical="center"/>
    </x:xf>
    <x:xf numFmtId="0" fontId="5" fillId="2" borderId="0" xfId="0" applyNumberFormat="1" applyFont="1" applyFill="1" applyBorder="1" applyAlignment="1">
      <x:alignment vertical="center" wrapText="1"/>
    </x:xf>
    <x:xf numFmtId="0" fontId="5" fillId="2" borderId="0" xfId="0" applyNumberFormat="1" applyFont="1" applyFill="1" applyBorder="1" applyAlignment="1">
      <x:alignment vertical="center"/>
    </x:xf>
    <x:xf numFmtId="0" fontId="5" fillId="2" borderId="0" xfId="0" applyNumberFormat="1" applyFont="1" applyFill="1" applyBorder="1" applyAlignment="1">
      <x:alignment horizontal="right" vertical="center"/>
    </x:xf>
    <x:xf numFmtId="0" fontId="5" fillId="2" borderId="0" xfId="0" applyNumberFormat="1" applyFont="1" applyFill="1" applyBorder="1" applyAlignment="1">
      <x:alignment horizontal="right" vertical="center" wrapText="1"/>
    </x:xf>
    <x:xf numFmtId="0" fontId="3" fillId="0" borderId="0" xfId="0" applyNumberFormat="1" applyFont="1" applyFill="1" applyBorder="1" applyAlignment="1">
      <x:alignment vertical="center" wrapText="1"/>
    </x:xf>
    <x:xf numFmtId="0" fontId="3" fillId="0" borderId="0" xfId="0" applyNumberFormat="1" applyFont="1" applyFill="1" applyBorder="1" applyAlignment="1">
      <x:alignment horizontal="right" vertical="center"/>
    </x:xf>
    <x:xf numFmtId="0" fontId="3" fillId="0" borderId="0" xfId="0" applyNumberFormat="1" applyFont="1" applyFill="1" applyBorder="1" applyAlignment="1">
      <x:alignment horizontal="right" vertical="center" wrapText="1"/>
    </x:xf>
    <x:xf numFmtId="0" fontId="1" fillId="6" borderId="0" xfId="0" applyNumberFormat="1" applyFont="1" applyFill="1" applyBorder="1" applyAlignment="1">
      <x:alignment vertical="center" wrapText="1"/>
    </x:xf>
    <x:xf numFmtId="0" fontId="1" fillId="6" borderId="0" xfId="0" applyNumberFormat="1" applyFont="1" applyFill="1" applyBorder="1" applyAlignment="1">
      <x:alignment vertical="center"/>
    </x:xf>
    <x:xf numFmtId="0" fontId="1" fillId="6" borderId="0" xfId="0" applyNumberFormat="1" applyFont="1" applyFill="1" applyBorder="1" applyAlignment="1">
      <x:alignment horizontal="right" vertical="center"/>
    </x:xf>
    <x:xf numFmtId="0" fontId="9" fillId="6" borderId="0" xfId="0" applyNumberFormat="1" applyFont="1" applyFill="1" applyBorder="1" applyAlignment="1">
      <x:alignment vertical="center" wrapText="1"/>
    </x:xf>
    <x:xf numFmtId="0" fontId="9" fillId="6" borderId="0" xfId="0" applyNumberFormat="1" applyFont="1" applyFill="1" applyBorder="1" applyAlignment="1">
      <x:alignment vertical="center"/>
    </x:xf>
    <x:xf numFmtId="0" fontId="9" fillId="6" borderId="0" xfId="0" applyNumberFormat="1" applyFont="1" applyFill="1" applyBorder="1" applyAlignment="1">
      <x:alignment horizontal="right" vertical="center"/>
    </x:xf>
    <x:xf numFmtId="0" fontId="9" fillId="7" borderId="0" xfId="0" applyNumberFormat="1" applyFont="1" applyFill="1" applyBorder="1" applyAlignment="1">
      <x:alignment horizontal="right" vertical="center"/>
    </x:xf>
    <x:xf numFmtId="201" fontId="1" fillId="0" borderId="0" xfId="0" applyNumberFormat="1" applyFont="1" applyFill="1" applyBorder="1" applyAlignment="1">
      <x:alignment horizontal="right" vertical="center"/>
    </x:xf>
    <x:xf numFmtId="201" fontId="10" fillId="0" borderId="0" xfId="0" applyNumberFormat="1" applyFont="1" applyFill="1" applyBorder="1" applyAlignment="1">
      <x:alignment horizontal="right" vertical="center"/>
    </x:xf>
    <x:xf numFmtId="201" fontId="10" fillId="7" borderId="0" xfId="0" applyNumberFormat="1" applyFont="1" applyFill="1" applyBorder="1" applyAlignment="1">
      <x:alignment horizontal="right" vertical="center"/>
    </x:xf>
    <x:xf numFmtId="0" fontId="9" fillId="0" borderId="0" xfId="0" applyNumberFormat="1" applyFont="1" applyFill="1" applyBorder="1" applyAlignment="1">
      <x:alignment vertical="center" wrapText="1"/>
    </x:xf>
    <x:xf numFmtId="201" fontId="11" fillId="0" borderId="0" xfId="0" applyNumberFormat="1" applyFont="1" applyFill="1" applyBorder="1" applyAlignment="1">
      <x:alignment horizontal="right" vertical="center"/>
    </x:xf>
    <x:xf numFmtId="0" fontId="9" fillId="8" borderId="0" xfId="0" applyNumberFormat="1" applyFont="1" applyFill="1" applyBorder="1" applyAlignment="1">
      <x:alignment vertical="center" wrapText="1"/>
    </x:xf>
    <x:xf numFmtId="0" fontId="1" fillId="8" borderId="0" xfId="0" applyNumberFormat="1" applyFont="1" applyFill="1" applyBorder="1" applyAlignment="1">
      <x:alignment vertical="center"/>
    </x:xf>
    <x:xf numFmtId="201" fontId="11" fillId="8" borderId="0" xfId="0" applyNumberFormat="1" applyFont="1" applyFill="1" applyBorder="1" applyAlignment="1">
      <x:alignment horizontal="right" vertical="center"/>
    </x:xf>
    <x:xf numFmtId="0" fontId="9" fillId="8" borderId="1" xfId="0" applyNumberFormat="1" applyFont="1" applyFill="1" applyBorder="1" applyAlignment="1">
      <x:alignment vertical="center" wrapText="1"/>
    </x:xf>
    <x:xf numFmtId="0" fontId="1" fillId="8" borderId="1" xfId="0" applyNumberFormat="1" applyFont="1" applyFill="1" applyBorder="1" applyAlignment="1">
      <x:alignment vertical="center"/>
    </x:xf>
    <x:xf numFmtId="201" fontId="11" fillId="8" borderId="1" xfId="0" applyNumberFormat="1" applyFont="1" applyFill="1" applyBorder="1" applyAlignment="1">
      <x:alignment horizontal="right" vertical="center"/>
    </x:xf>
    <x:xf numFmtId="201" fontId="9" fillId="8" borderId="1" xfId="0" applyNumberFormat="1" applyFont="1" applyFill="1" applyBorder="1" applyAlignment="1">
      <x:alignment horizontal="right" vertical="center"/>
    </x:xf>
    <x:xf numFmtId="201" fontId="11" fillId="7" borderId="1" xfId="0" applyNumberFormat="1" applyFont="1" applyFill="1" applyBorder="1" applyAlignment="1">
      <x:alignment horizontal="right" vertical="center"/>
    </x:xf>
    <x:xf numFmtId="0" fontId="12" fillId="0" borderId="0" xfId="0" applyNumberFormat="1" applyFont="1" applyFill="1" applyBorder="1" applyAlignment="1">
      <x:alignment vertical="center" wrapText="1"/>
    </x:xf>
    <x:xf numFmtId="202" fontId="1" fillId="0" borderId="0" xfId="0" applyNumberFormat="1" applyFont="1" applyFill="1" applyBorder="1" applyAlignment="1">
      <x:alignment horizontal="right" vertical="center"/>
    </x:xf>
    <x:xf numFmtId="202" fontId="13" fillId="0" borderId="0" xfId="0" applyNumberFormat="1" applyFont="1" applyFill="1" applyBorder="1" applyAlignment="1">
      <x:alignment horizontal="right" vertical="center"/>
    </x:xf>
    <x:xf numFmtId="202" fontId="12" fillId="0" borderId="0" xfId="0" applyNumberFormat="1" applyFont="1" applyFill="1" applyBorder="1" applyAlignment="1">
      <x:alignment horizontal="right" vertical="center"/>
    </x:xf>
    <x:xf numFmtId="202" fontId="13" fillId="7" borderId="0" xfId="0" applyNumberFormat="1" applyFont="1" applyFill="1" applyBorder="1" applyAlignment="1">
      <x:alignment horizontal="right" vertical="center"/>
    </x:xf>
    <x:xf numFmtId="203" fontId="1" fillId="0" borderId="0" xfId="0" applyNumberFormat="1" applyFont="1" applyFill="1" applyBorder="1" applyAlignment="1">
      <x:alignment horizontal="right" vertical="center"/>
    </x:xf>
    <x:xf numFmtId="203" fontId="10" fillId="0" borderId="0" xfId="0" applyNumberFormat="1" applyFont="1" applyFill="1" applyBorder="1" applyAlignment="1">
      <x:alignment horizontal="right" vertical="center"/>
    </x:xf>
    <x:xf numFmtId="203" fontId="1" fillId="7" borderId="0" xfId="0" applyNumberFormat="1" applyFont="1" applyFill="1" applyBorder="1" applyAlignment="1">
      <x:alignment horizontal="right" vertical="center"/>
    </x:xf>
    <x:xf numFmtId="0" fontId="14" fillId="0" borderId="0" xfId="0" applyNumberFormat="1" applyFont="1" applyFill="1" applyBorder="1" applyAlignment="1">
      <x:alignment vertical="center" wrapText="1"/>
    </x:xf>
    <x:xf numFmtId="202" fontId="15" fillId="0" borderId="0" xfId="0" applyNumberFormat="1" applyFont="1" applyFill="1" applyBorder="1" applyAlignment="1">
      <x:alignment horizontal="right" vertical="center"/>
    </x:xf>
    <x:xf numFmtId="0" fontId="14" fillId="8" borderId="0" xfId="0" applyNumberFormat="1" applyFont="1" applyFill="1" applyBorder="1" applyAlignment="1">
      <x:alignment vertical="center" wrapText="1"/>
    </x:xf>
    <x:xf numFmtId="202" fontId="15" fillId="8" borderId="0" xfId="0" applyNumberFormat="1" applyFont="1" applyFill="1" applyBorder="1" applyAlignment="1">
      <x:alignment horizontal="right" vertical="center"/>
    </x:xf>
    <x:xf numFmtId="0" fontId="14" fillId="8" borderId="1" xfId="0" applyNumberFormat="1" applyFont="1" applyFill="1" applyBorder="1" applyAlignment="1">
      <x:alignment vertical="center" wrapText="1"/>
    </x:xf>
    <x:xf numFmtId="202" fontId="15" fillId="8" borderId="1" xfId="0" applyNumberFormat="1" applyFont="1" applyFill="1" applyBorder="1" applyAlignment="1">
      <x:alignment horizontal="right" vertical="center"/>
    </x:xf>
    <x:xf numFmtId="202" fontId="15" fillId="7" borderId="1" xfId="0" applyNumberFormat="1" applyFont="1" applyFill="1" applyBorder="1" applyAlignment="1">
      <x:alignment horizontal="right" vertical="center"/>
    </x:xf>
    <x:xf numFmtId="202" fontId="14" fillId="8" borderId="1" xfId="0" applyNumberFormat="1" applyFont="1" applyFill="1" applyBorder="1" applyAlignment="1">
      <x:alignment horizontal="right" vertical="center"/>
    </x:xf>
    <x:xf numFmtId="202" fontId="16" fillId="0" borderId="0" xfId="0" applyNumberFormat="1" applyFont="1" applyFill="1" applyBorder="1" applyAlignment="1">
      <x:alignment horizontal="right" vertical="center"/>
    </x:xf>
    <x:xf numFmtId="203" fontId="10" fillId="7" borderId="0" xfId="0" applyNumberFormat="1" applyFont="1" applyFill="1" applyBorder="1" applyAlignment="1">
      <x:alignment horizontal="right" vertical="center"/>
    </x:xf>
    <x:xf numFmtId="201" fontId="17" fillId="0" borderId="0" xfId="0" applyNumberFormat="1" applyFont="1" applyFill="1" applyBorder="1" applyAlignment="1">
      <x:alignment horizontal="right" vertical="center"/>
    </x:xf>
    <x:xf numFmtId="204" fontId="1" fillId="0" borderId="0" xfId="0" applyNumberFormat="1" applyFont="1" applyFill="1" applyBorder="1" applyAlignment="1">
      <x:alignment horizontal="right" vertical="center"/>
    </x:xf>
    <x:xf numFmtId="204" fontId="13" fillId="0" borderId="0" xfId="0" applyNumberFormat="1" applyFont="1" applyFill="1" applyBorder="1" applyAlignment="1">
      <x:alignment horizontal="right" vertical="center"/>
    </x:xf>
    <x:xf numFmtId="204" fontId="16" fillId="0" borderId="0" xfId="0" applyNumberFormat="1" applyFont="1" applyFill="1" applyBorder="1" applyAlignment="1">
      <x:alignment horizontal="right" vertical="center"/>
    </x:xf>
    <x:xf numFmtId="204" fontId="13" fillId="7" borderId="0" xfId="0" applyNumberFormat="1" applyFont="1" applyFill="1" applyBorder="1" applyAlignment="1">
      <x:alignment horizontal="right" vertical="center"/>
    </x:xf>
    <x:xf numFmtId="201" fontId="18" fillId="8" borderId="1" xfId="0" applyNumberFormat="1" applyFont="1" applyFill="1" applyBorder="1" applyAlignment="1">
      <x:alignment horizontal="right" vertical="center"/>
    </x:xf>
    <x:xf numFmtId="204" fontId="12" fillId="0" borderId="0" xfId="0" applyNumberFormat="1" applyFont="1" applyFill="1" applyBorder="1" applyAlignment="1">
      <x:alignment horizontal="right" vertical="center"/>
    </x:xf>
    <x:xf numFmtId="205" fontId="1" fillId="0" borderId="0" xfId="0" applyNumberFormat="1" applyFont="1" applyFill="1" applyBorder="1" applyAlignment="1">
      <x:alignment horizontal="right" vertical="center"/>
    </x:xf>
    <x:xf numFmtId="205" fontId="10" fillId="0" borderId="0" xfId="0" applyNumberFormat="1" applyFont="1" applyFill="1" applyBorder="1" applyAlignment="1">
      <x:alignment horizontal="right" vertical="center"/>
    </x:xf>
    <x:xf numFmtId="205" fontId="17" fillId="0" borderId="0" xfId="0" applyNumberFormat="1" applyFont="1" applyFill="1" applyBorder="1" applyAlignment="1">
      <x:alignment horizontal="right" vertical="center"/>
    </x:xf>
    <x:xf numFmtId="205" fontId="10" fillId="7" borderId="0" xfId="0" applyNumberFormat="1" applyFont="1" applyFill="1" applyBorder="1" applyAlignment="1">
      <x:alignment horizontal="right" vertical="center"/>
    </x:xf>
    <x:xf numFmtId="0" fontId="19" fillId="0" borderId="0" xfId="0" applyNumberFormat="1" applyFont="1" applyFill="1" applyBorder="1" applyAlignment="1">
      <x:alignment vertical="center"/>
    </x:xf>
    <x:xf numFmtId="0" fontId="17" fillId="0" borderId="0" xfId="0" applyNumberFormat="1" applyFont="1" applyFill="1" applyBorder="1" applyAlignment="1">
      <x:alignment vertical="center"/>
    </x:xf>
    <x:xf numFmtId="0" fontId="20" fillId="0" borderId="0" xfId="0" applyNumberFormat="1" applyFont="1" applyFill="1" applyBorder="1"/>
    <x:xf numFmtId="0" fontId="20" fillId="0" borderId="0" xfId="0" applyNumberFormat="1" applyFont="1" applyFill="1" applyBorder="1" applyAlignment="1">
      <x:alignment vertical="center"/>
    </x:xf>
    <x:xf numFmtId="0" fontId="20" fillId="0" borderId="0" xfId="0" applyNumberFormat="1" applyFont="1" applyFill="1" applyBorder="1" applyAlignment="1">
      <x:alignment horizontal="right" vertical="center"/>
    </x:xf>
    <x:xf numFmtId="0" fontId="20" fillId="0" borderId="0" xfId="0" applyNumberFormat="1" applyFont="1" applyFill="1" applyBorder="1" applyAlignment="1">
      <x:alignment vertical="center" wrapText="1"/>
    </x:xf>
    <x:xf numFmtId="0" fontId="20" fillId="9" borderId="0" xfId="0" applyNumberFormat="1" applyFont="1" applyFill="1" applyBorder="1" applyAlignment="1">
      <x:alignment vertical="center"/>
    </x:xf>
    <x:xf numFmtId="0" fontId="21" fillId="9" borderId="0" xfId="0" applyNumberFormat="1" applyFont="1" applyFill="1" applyBorder="1" applyAlignment="1">
      <x:alignment vertical="center"/>
    </x:xf>
    <x:xf numFmtId="0" fontId="21" fillId="9" borderId="0" xfId="0" applyNumberFormat="1" applyFont="1" applyFill="1" applyBorder="1" applyAlignment="1">
      <x:alignment vertical="center" wrapText="1"/>
    </x:xf>
    <x:xf numFmtId="0" fontId="22" fillId="0" borderId="0" xfId="0" applyNumberFormat="1" applyFont="1" applyFill="1" applyBorder="1" applyAlignment="1">
      <x:alignment vertical="center"/>
    </x:xf>
    <x:xf numFmtId="0" fontId="23" fillId="0" borderId="0" xfId="0" applyNumberFormat="1" applyFont="1" applyFill="1" applyBorder="1" applyAlignment="1">
      <x:alignment vertical="center"/>
    </x:xf>
    <x:xf numFmtId="0" fontId="24" fillId="0" borderId="0" xfId="0" applyNumberFormat="1" applyFont="1" applyFill="1" applyBorder="1" applyAlignment="1">
      <x:alignment vertical="center"/>
    </x:xf>
    <x:xf numFmtId="0" fontId="24" fillId="0" borderId="0" xfId="0" applyNumberFormat="1" applyFont="1" applyFill="1" applyBorder="1" applyAlignment="1">
      <x:alignment horizontal="left" vertical="center"/>
    </x:xf>
    <x:xf numFmtId="0" fontId="25" fillId="0" borderId="0" xfId="0" applyNumberFormat="1" applyFont="1" applyFill="1" applyBorder="1" applyAlignment="1">
      <x:alignment vertical="center" wrapText="1"/>
    </x:xf>
    <x:xf numFmtId="0" fontId="26" fillId="0" borderId="0" xfId="0" applyNumberFormat="1" applyFont="1" applyFill="1" applyBorder="1" applyAlignment="1">
      <x:alignment horizontal="right" vertical="center"/>
    </x:xf>
    <x:xf numFmtId="0" fontId="26" fillId="0" borderId="0" xfId="0" applyNumberFormat="1" applyFont="1" applyFill="1" applyBorder="1" applyAlignment="1">
      <x:alignment horizontal="right" vertical="center" wrapText="0"/>
    </x:xf>
    <x:xf numFmtId="0" fontId="26" fillId="0" borderId="0" xfId="0" applyNumberFormat="1" applyFont="1" applyFill="1" applyBorder="1" applyAlignment="1">
      <x:alignment horizontal="left" vertical="center" wrapText="0"/>
    </x:xf>
    <x:xf numFmtId="0" fontId="20" fillId="9" borderId="0" xfId="0" applyNumberFormat="1" applyFont="1" applyFill="1" applyBorder="1" applyAlignment="1">
      <x:alignment vertical="center" wrapText="1"/>
    </x:xf>
    <x:xf numFmtId="0" fontId="20" fillId="9" borderId="0" xfId="0" applyNumberFormat="1" applyFont="1" applyFill="1" applyBorder="1" applyAlignment="1">
      <x:alignment horizontal="right" vertical="center"/>
    </x:xf>
    <x:xf numFmtId="0" fontId="27" fillId="9" borderId="0" xfId="0" applyNumberFormat="1" applyFont="1" applyFill="1" applyBorder="1" applyAlignment="1">
      <x:alignment vertical="center" wrapText="1"/>
    </x:xf>
    <x:xf numFmtId="0" fontId="27" fillId="9" borderId="0" xfId="0" applyNumberFormat="1" applyFont="1" applyFill="1" applyBorder="1" applyAlignment="1">
      <x:alignment vertical="center"/>
    </x:xf>
    <x:xf numFmtId="0" fontId="27" fillId="9" borderId="0" xfId="0" applyNumberFormat="1" applyFont="1" applyFill="1" applyBorder="1" applyAlignment="1">
      <x:alignment horizontal="right" vertical="center"/>
    </x:xf>
    <x:xf numFmtId="0" fontId="27" fillId="9" borderId="0" xfId="0" applyNumberFormat="1" applyFont="1" applyFill="1" applyBorder="1" applyAlignment="1">
      <x:alignment horizontal="right" vertical="center" wrapText="1"/>
    </x:xf>
    <x:xf numFmtId="0" fontId="22" fillId="0" borderId="0" xfId="0" applyNumberFormat="1" applyFont="1" applyFill="1" applyBorder="1" applyAlignment="1">
      <x:alignment vertical="center" wrapText="1"/>
    </x:xf>
    <x:xf numFmtId="0" fontId="22" fillId="0" borderId="0" xfId="0" applyNumberFormat="1" applyFont="1" applyFill="1" applyBorder="1" applyAlignment="1">
      <x:alignment horizontal="right" vertical="center"/>
    </x:xf>
    <x:xf numFmtId="0" fontId="22" fillId="0" borderId="0" xfId="0" applyNumberFormat="1" applyFont="1" applyFill="1" applyBorder="1" applyAlignment="1">
      <x:alignment horizontal="right" vertical="center" wrapText="1"/>
    </x:xf>
    <x:xf numFmtId="0" fontId="20" fillId="10" borderId="0" xfId="0" applyNumberFormat="1" applyFont="1" applyFill="1" applyBorder="1" applyAlignment="1">
      <x:alignment vertical="center" wrapText="1"/>
    </x:xf>
    <x:xf numFmtId="0" fontId="27" fillId="10" borderId="0" xfId="0" applyNumberFormat="1" applyFont="1" applyFill="1" applyBorder="1" applyAlignment="1">
      <x:alignment vertical="center" wrapText="1"/>
    </x:xf>
    <x:xf numFmtId="0" fontId="20" fillId="11" borderId="0" xfId="0" applyNumberFormat="1" applyFont="1" applyFill="1" applyBorder="1" applyAlignment="1">
      <x:alignment vertical="center"/>
    </x:xf>
    <x:xf numFmtId="0" fontId="28" fillId="11" borderId="0" xfId="0" applyNumberFormat="1" applyFont="1" applyFill="1" applyBorder="1" applyAlignment="1">
      <x:alignment vertical="center"/>
    </x:xf>
    <x:xf numFmtId="0" fontId="28" fillId="11" borderId="0" xfId="0" applyNumberFormat="1" applyFont="1" applyFill="1" applyBorder="1" applyAlignment="1">
      <x:alignment vertical="center" wrapText="1"/>
    </x:xf>
    <x:xf numFmtId="0" fontId="20" fillId="10" borderId="0" xfId="0" applyNumberFormat="1" applyFont="1" applyFill="1" applyBorder="1" applyAlignment="1">
      <x:alignment horizontal="right" vertical="center"/>
    </x:xf>
    <x:xf numFmtId="0" fontId="27" fillId="10" borderId="0" xfId="0" applyNumberFormat="1" applyFont="1" applyFill="1" applyBorder="1" applyAlignment="1">
      <x:alignment horizontal="right" vertical="center"/>
    </x:xf>
    <x:xf numFmtId="0" fontId="27" fillId="10" borderId="0" xfId="0" applyNumberFormat="1" applyFont="1" applyFill="1" applyBorder="1" applyAlignment="1">
      <x:alignment horizontal="center" vertical="center"/>
    </x:xf>
    <x:xf numFmtId="0" fontId="20" fillId="11" borderId="0" xfId="0" applyNumberFormat="1" applyFont="1" applyFill="1" applyBorder="1" applyAlignment="1">
      <x:alignment horizontal="right" vertical="center"/>
    </x:xf>
    <x:xf numFmtId="0" fontId="29" fillId="11" borderId="0" xfId="0" applyNumberFormat="1" applyFont="1" applyFill="1" applyBorder="1" applyAlignment="1">
      <x:alignment horizontal="right" vertical="center"/>
    </x:xf>
    <x:xf numFmtId="0" fontId="29" fillId="11" borderId="0" xfId="0" applyNumberFormat="1" applyFont="1" applyFill="1" applyBorder="1" applyAlignment="1">
      <x:alignment horizontal="center" vertical="center"/>
    </x:xf>
    <x:xf numFmtId="0" fontId="20" fillId="12" borderId="0" xfId="0" applyNumberFormat="1" applyFont="1" applyFill="1" applyBorder="1" applyAlignment="1">
      <x:alignment horizontal="right" vertical="center"/>
    </x:xf>
    <x:xf numFmtId="0" fontId="27" fillId="12" borderId="0" xfId="0" applyNumberFormat="1" applyFont="1" applyFill="1" applyBorder="1" applyAlignment="1">
      <x:alignment horizontal="right" vertical="center"/>
    </x:xf>
    <x:xf numFmtId="0" fontId="27" fillId="12" borderId="0" xfId="0" applyNumberFormat="1" applyFont="1" applyFill="1" applyBorder="1" applyAlignment="1">
      <x:alignment horizontal="center" vertical="center"/>
    </x:xf>
    <x:xf numFmtId="0" fontId="20" fillId="11" borderId="0" xfId="0" applyNumberFormat="1" applyFont="1" applyFill="1" applyBorder="1" applyAlignment="1">
      <x:alignment vertical="center" wrapText="1"/>
    </x:xf>
    <x:xf numFmtId="0" fontId="30" fillId="11" borderId="0" xfId="0" applyNumberFormat="1" applyFont="1" applyFill="1" applyBorder="1" applyAlignment="1">
      <x:alignment vertical="center" wrapText="1"/>
    </x:xf>
    <x:xf numFmtId="0" fontId="30" fillId="11" borderId="0" xfId="0" applyNumberFormat="1" applyFont="1" applyFill="1" applyBorder="1" applyAlignment="1">
      <x:alignment vertical="center"/>
    </x:xf>
    <x:xf numFmtId="0" fontId="30" fillId="11" borderId="0" xfId="0" applyNumberFormat="1" applyFont="1" applyFill="1" applyBorder="1" applyAlignment="1">
      <x:alignment horizontal="right" vertical="center"/>
    </x:xf>
    <x:xf numFmtId="201" fontId="20" fillId="0" borderId="0" xfId="0" applyNumberFormat="1" applyFont="1" applyFill="1" applyBorder="1" applyAlignment="1">
      <x:alignment horizontal="right" vertical="center"/>
    </x:xf>
    <x:xf numFmtId="201" fontId="31" fillId="0" borderId="0" xfId="0" applyNumberFormat="1" applyFont="1" applyFill="1" applyBorder="1" applyAlignment="1">
      <x:alignment horizontal="right" vertical="center"/>
    </x:xf>
    <x:xf numFmtId="0" fontId="30" fillId="0" borderId="0" xfId="0" applyNumberFormat="1" applyFont="1" applyFill="1" applyBorder="1" applyAlignment="1">
      <x:alignment vertical="center" wrapText="1"/>
    </x:xf>
    <x:xf numFmtId="0" fontId="30" fillId="13" borderId="0" xfId="0" applyNumberFormat="1" applyFont="1" applyFill="1" applyBorder="1" applyAlignment="1">
      <x:alignment vertical="center" wrapText="1"/>
    </x:xf>
    <x:xf numFmtId="0" fontId="20" fillId="13" borderId="0" xfId="0" applyNumberFormat="1" applyFont="1" applyFill="1" applyBorder="1" applyAlignment="1">
      <x:alignment vertical="center"/>
    </x:xf>
    <x:xf numFmtId="201" fontId="31" fillId="13" borderId="0" xfId="0" applyNumberFormat="1" applyFont="1" applyFill="1" applyBorder="1" applyAlignment="1">
      <x:alignment horizontal="right" vertical="center"/>
    </x:xf>
    <x:xf numFmtId="0" fontId="30" fillId="13" borderId="1" xfId="0" applyNumberFormat="1" applyFont="1" applyFill="1" applyBorder="1" applyAlignment="1">
      <x:alignment vertical="center" wrapText="1"/>
    </x:xf>
    <x:xf numFmtId="0" fontId="20" fillId="13" borderId="1" xfId="0" applyNumberFormat="1" applyFont="1" applyFill="1" applyBorder="1" applyAlignment="1">
      <x:alignment vertical="center"/>
    </x:xf>
    <x:xf numFmtId="201" fontId="31" fillId="13" borderId="1" xfId="0" applyNumberFormat="1" applyFont="1" applyFill="1" applyBorder="1" applyAlignment="1">
      <x:alignment horizontal="right" vertical="center"/>
    </x:xf>
    <x:xf numFmtId="202" fontId="20" fillId="0" borderId="0" xfId="0" applyNumberFormat="1" applyFont="1" applyFill="1" applyBorder="1" applyAlignment="1">
      <x:alignment horizontal="right" vertical="center"/>
    </x:xf>
    <x:xf numFmtId="202" fontId="32" fillId="0" borderId="0" xfId="0" applyNumberFormat="1" applyFont="1" applyFill="1" applyBorder="1" applyAlignment="1">
      <x:alignment horizontal="right" vertical="center"/>
    </x:xf>
    <x:xf numFmtId="0" fontId="33" fillId="0" borderId="0" xfId="0" applyNumberFormat="1" applyFont="1" applyFill="1" applyBorder="1" applyAlignment="1">
      <x:alignment vertical="center" wrapText="1"/>
    </x:xf>
    <x:xf numFmtId="202" fontId="33" fillId="0" borderId="0" xfId="0" applyNumberFormat="1" applyFont="1" applyFill="1" applyBorder="1" applyAlignment="1">
      <x:alignment horizontal="right" vertical="center"/>
    </x:xf>
    <x:xf numFmtId="0" fontId="22" fillId="0" borderId="0" xfId="0" applyNumberFormat="1" applyFont="1" applyFill="1" applyBorder="1" applyAlignment="1">
      <x:alignment horizontal="left" vertical="center" wrapText="1"/>
    </x:xf>
    <x:xf numFmtId="203" fontId="20" fillId="0" borderId="0" xfId="0" applyNumberFormat="1" applyFont="1" applyFill="1" applyBorder="1" applyAlignment="1">
      <x:alignment horizontal="right" vertical="center"/>
    </x:xf>
    <x:xf numFmtId="203" fontId="34" fillId="0" borderId="0" xfId="0" applyNumberFormat="1" applyFont="1" applyFill="1" applyBorder="1" applyAlignment="1">
      <x:alignment horizontal="right" vertical="center"/>
    </x:xf>
    <x:xf numFmtId="201" fontId="34" fillId="0" borderId="0" xfId="0" applyNumberFormat="1" applyFont="1" applyFill="1" applyBorder="1" applyAlignment="1">
      <x:alignment horizontal="right" vertical="center"/>
    </x:xf>
    <x:xf numFmtId="201" fontId="30" fillId="13" borderId="1" xfId="0" applyNumberFormat="1" applyFont="1" applyFill="1" applyBorder="1" applyAlignment="1">
      <x:alignment horizontal="right" vertical="center"/>
    </x:xf>
    <x:xf numFmtId="0" fontId="14" fillId="13" borderId="0" xfId="0" applyNumberFormat="1" applyFont="1" applyFill="1" applyBorder="1" applyAlignment="1">
      <x:alignment vertical="center" wrapText="1"/>
    </x:xf>
    <x:xf numFmtId="202" fontId="15" fillId="13" borderId="0" xfId="0" applyNumberFormat="1" applyFont="1" applyFill="1" applyBorder="1" applyAlignment="1">
      <x:alignment horizontal="right" vertical="center"/>
    </x:xf>
    <x:xf numFmtId="0" fontId="14" fillId="13" borderId="1" xfId="0" applyNumberFormat="1" applyFont="1" applyFill="1" applyBorder="1" applyAlignment="1">
      <x:alignment vertical="center" wrapText="1"/>
    </x:xf>
    <x:xf numFmtId="202" fontId="15" fillId="13" borderId="1" xfId="0" applyNumberFormat="1" applyFont="1" applyFill="1" applyBorder="1" applyAlignment="1">
      <x:alignment horizontal="right" vertical="center"/>
    </x:xf>
    <x:xf numFmtId="202" fontId="32" fillId="0" borderId="0" xfId="0" applyNumberFormat="1" applyFont="1" applyFill="1" applyBorder="1" applyAlignment="1">
      <x:alignment horizontal="right" vertical="center" wrapText="1"/>
    </x:xf>
    <x:xf numFmtId="0" fontId="20" fillId="10" borderId="0" xfId="0" applyNumberFormat="1" applyFont="1" applyFill="1" applyBorder="1" applyAlignment="1">
      <x:alignment vertical="center"/>
    </x:xf>
    <x:xf numFmtId="0" fontId="27" fillId="10" borderId="0" xfId="0" applyNumberFormat="1" applyFont="1" applyFill="1" applyBorder="1" applyAlignment="1">
      <x:alignment vertical="center"/>
    </x:xf>
    <x:xf numFmtId="0" fontId="35" fillId="0" borderId="0" xfId="0" applyNumberFormat="1" applyFont="1" applyFill="1" applyBorder="1" applyAlignment="1">
      <x:alignment horizontal="right" vertical="center"/>
    </x:xf>
    <x:xf numFmtId="0" fontId="35" fillId="0" borderId="0" xfId="0" applyNumberFormat="1" applyFont="1" applyFill="1" applyBorder="1" applyAlignment="1">
      <x:alignment horizontal="right" vertical="center" wrapText="1"/>
    </x:xf>
    <x:xf numFmtId="0" fontId="35" fillId="0" borderId="0" xfId="0" applyNumberFormat="1" applyFont="1" applyFill="1" applyBorder="1" applyAlignment="1">
      <x:alignment horizontal="left" vertical="center" wrapText="1"/>
    </x:xf>
    <x:xf numFmtId="0" fontId="36" fillId="0" borderId="0" xfId="0" applyNumberFormat="1" applyFont="1" applyFill="1" applyBorder="1"/>
    <x:xf numFmtId="0" fontId="36" fillId="0" borderId="0" xfId="0" applyNumberFormat="1" applyFont="1" applyFill="1" applyBorder="1" applyAlignment="1">
      <x:alignment vertical="center"/>
    </x:xf>
    <x:xf numFmtId="0" fontId="36" fillId="0" borderId="0" xfId="0" applyNumberFormat="1" applyFont="1" applyFill="1" applyBorder="1" applyAlignment="1">
      <x:alignment horizontal="right" vertical="center"/>
    </x:xf>
    <x:xf numFmtId="0" fontId="36" fillId="0" borderId="0" xfId="0" applyNumberFormat="1" applyFont="1" applyFill="1" applyBorder="1" applyAlignment="1">
      <x:alignment vertical="center" wrapText="1"/>
    </x:xf>
    <x:xf numFmtId="0" fontId="36" fillId="14" borderId="0" xfId="0" applyNumberFormat="1" applyFont="1" applyFill="1" applyBorder="1" applyAlignment="1">
      <x:alignment vertical="center"/>
    </x:xf>
    <x:xf numFmtId="0" fontId="37" fillId="14" borderId="0" xfId="0" applyNumberFormat="1" applyFont="1" applyFill="1" applyBorder="1" applyAlignment="1">
      <x:alignment vertical="center"/>
    </x:xf>
    <x:xf numFmtId="0" fontId="37" fillId="14" borderId="0" xfId="0" applyNumberFormat="1" applyFont="1" applyFill="1" applyBorder="1" applyAlignment="1">
      <x:alignment vertical="center" wrapText="1"/>
    </x:xf>
    <x:xf numFmtId="0" fontId="38" fillId="0" borderId="0" xfId="0" applyNumberFormat="1" applyFont="1" applyFill="1" applyBorder="1" applyAlignment="1">
      <x:alignment vertical="center"/>
    </x:xf>
    <x:xf numFmtId="0" fontId="39" fillId="0" borderId="0" xfId="0" applyNumberFormat="1" applyFont="1" applyFill="1" applyBorder="1" applyAlignment="1">
      <x:alignment vertical="center"/>
    </x:xf>
    <x:xf numFmtId="0" fontId="40" fillId="0" borderId="0" xfId="0" applyNumberFormat="1" applyFont="1" applyFill="1" applyBorder="1" applyAlignment="1">
      <x:alignment vertical="center"/>
    </x:xf>
    <x:xf numFmtId="0" fontId="40" fillId="0" borderId="0" xfId="0" applyNumberFormat="1" applyFont="1" applyFill="1" applyBorder="1" applyAlignment="1">
      <x:alignment horizontal="left" vertical="center"/>
    </x:xf>
    <x:xf numFmtId="0" fontId="41" fillId="0" borderId="0" xfId="0" applyNumberFormat="1" applyFont="1" applyFill="1" applyBorder="1" applyAlignment="1">
      <x:alignment vertical="center" wrapText="1"/>
    </x:xf>
    <x:xf numFmtId="0" fontId="42" fillId="0" borderId="0" xfId="0" applyNumberFormat="1" applyFont="1" applyFill="1" applyBorder="1" applyAlignment="1">
      <x:alignment horizontal="right" vertical="center"/>
    </x:xf>
    <x:xf numFmtId="0" fontId="42" fillId="0" borderId="0" xfId="0" applyNumberFormat="1" applyFont="1" applyFill="1" applyBorder="1" applyAlignment="1">
      <x:alignment horizontal="right" vertical="center" wrapText="0"/>
    </x:xf>
    <x:xf numFmtId="0" fontId="42" fillId="0" borderId="0" xfId="0" applyNumberFormat="1" applyFont="1" applyFill="1" applyBorder="1" applyAlignment="1">
      <x:alignment horizontal="left" vertical="center" wrapText="0"/>
    </x:xf>
    <x:xf numFmtId="0" fontId="36" fillId="14" borderId="0" xfId="0" applyNumberFormat="1" applyFont="1" applyFill="1" applyBorder="1" applyAlignment="1">
      <x:alignment vertical="center" wrapText="1"/>
    </x:xf>
    <x:xf numFmtId="0" fontId="36" fillId="14" borderId="0" xfId="0" applyNumberFormat="1" applyFont="1" applyFill="1" applyBorder="1" applyAlignment="1">
      <x:alignment horizontal="right" vertical="center"/>
    </x:xf>
    <x:xf numFmtId="0" fontId="43" fillId="14" borderId="0" xfId="0" applyNumberFormat="1" applyFont="1" applyFill="1" applyBorder="1" applyAlignment="1">
      <x:alignment vertical="center" wrapText="1"/>
    </x:xf>
    <x:xf numFmtId="0" fontId="43" fillId="14" borderId="0" xfId="0" applyNumberFormat="1" applyFont="1" applyFill="1" applyBorder="1" applyAlignment="1">
      <x:alignment vertical="center"/>
    </x:xf>
    <x:xf numFmtId="0" fontId="43" fillId="14" borderId="0" xfId="0" applyNumberFormat="1" applyFont="1" applyFill="1" applyBorder="1" applyAlignment="1">
      <x:alignment horizontal="right" vertical="center"/>
    </x:xf>
    <x:xf numFmtId="0" fontId="43" fillId="14" borderId="0" xfId="0" applyNumberFormat="1" applyFont="1" applyFill="1" applyBorder="1" applyAlignment="1">
      <x:alignment horizontal="right" vertical="center" wrapText="1"/>
    </x:xf>
    <x:xf numFmtId="0" fontId="38" fillId="0" borderId="0" xfId="0" applyNumberFormat="1" applyFont="1" applyFill="1" applyBorder="1" applyAlignment="1">
      <x:alignment vertical="center" wrapText="1"/>
    </x:xf>
    <x:xf numFmtId="0" fontId="38" fillId="0" borderId="0" xfId="0" applyNumberFormat="1" applyFont="1" applyFill="1" applyBorder="1" applyAlignment="1">
      <x:alignment horizontal="right" vertical="center"/>
    </x:xf>
    <x:xf numFmtId="0" fontId="38" fillId="0" borderId="0" xfId="0" applyNumberFormat="1" applyFont="1" applyFill="1" applyBorder="1" applyAlignment="1">
      <x:alignment horizontal="right" vertical="center" wrapText="1"/>
    </x:xf>
    <x:xf numFmtId="0" fontId="36" fillId="15" borderId="0" xfId="0" applyNumberFormat="1" applyFont="1" applyFill="1" applyBorder="1" applyAlignment="1">
      <x:alignment vertical="center" wrapText="1"/>
    </x:xf>
    <x:xf numFmtId="0" fontId="43" fillId="15" borderId="0" xfId="0" applyNumberFormat="1" applyFont="1" applyFill="1" applyBorder="1" applyAlignment="1">
      <x:alignment vertical="center" wrapText="1"/>
    </x:xf>
    <x:xf numFmtId="0" fontId="36" fillId="16" borderId="0" xfId="0" applyNumberFormat="1" applyFont="1" applyFill="1" applyBorder="1" applyAlignment="1">
      <x:alignment vertical="center"/>
    </x:xf>
    <x:xf numFmtId="0" fontId="44" fillId="16" borderId="0" xfId="0" applyNumberFormat="1" applyFont="1" applyFill="1" applyBorder="1" applyAlignment="1">
      <x:alignment vertical="center"/>
    </x:xf>
    <x:xf numFmtId="0" fontId="44" fillId="16" borderId="0" xfId="0" applyNumberFormat="1" applyFont="1" applyFill="1" applyBorder="1" applyAlignment="1">
      <x:alignment vertical="center" wrapText="1"/>
    </x:xf>
    <x:xf numFmtId="0" fontId="36" fillId="15" borderId="0" xfId="0" applyNumberFormat="1" applyFont="1" applyFill="1" applyBorder="1" applyAlignment="1">
      <x:alignment horizontal="right" vertical="center"/>
    </x:xf>
    <x:xf numFmtId="0" fontId="43" fillId="15" borderId="0" xfId="0" applyNumberFormat="1" applyFont="1" applyFill="1" applyBorder="1" applyAlignment="1">
      <x:alignment horizontal="right" vertical="center"/>
    </x:xf>
    <x:xf numFmtId="0" fontId="43" fillId="15" borderId="0" xfId="0" applyNumberFormat="1" applyFont="1" applyFill="1" applyBorder="1" applyAlignment="1">
      <x:alignment horizontal="center" vertical="center"/>
    </x:xf>
    <x:xf numFmtId="0" fontId="36" fillId="16" borderId="0" xfId="0" applyNumberFormat="1" applyFont="1" applyFill="1" applyBorder="1" applyAlignment="1">
      <x:alignment horizontal="right" vertical="center"/>
    </x:xf>
    <x:xf numFmtId="0" fontId="45" fillId="16" borderId="0" xfId="0" applyNumberFormat="1" applyFont="1" applyFill="1" applyBorder="1" applyAlignment="1">
      <x:alignment horizontal="right" vertical="center"/>
    </x:xf>
    <x:xf numFmtId="0" fontId="45" fillId="16" borderId="0" xfId="0" applyNumberFormat="1" applyFont="1" applyFill="1" applyBorder="1" applyAlignment="1">
      <x:alignment horizontal="center" vertical="center"/>
    </x:xf>
    <x:xf numFmtId="0" fontId="36" fillId="17" borderId="0" xfId="0" applyNumberFormat="1" applyFont="1" applyFill="1" applyBorder="1" applyAlignment="1">
      <x:alignment horizontal="right" vertical="center"/>
    </x:xf>
    <x:xf numFmtId="0" fontId="43" fillId="17" borderId="0" xfId="0" applyNumberFormat="1" applyFont="1" applyFill="1" applyBorder="1" applyAlignment="1">
      <x:alignment horizontal="right" vertical="center"/>
    </x:xf>
    <x:xf numFmtId="0" fontId="43" fillId="17" borderId="0" xfId="0" applyNumberFormat="1" applyFont="1" applyFill="1" applyBorder="1" applyAlignment="1">
      <x:alignment horizontal="center" vertical="center"/>
    </x:xf>
    <x:xf numFmtId="0" fontId="36" fillId="16" borderId="0" xfId="0" applyNumberFormat="1" applyFont="1" applyFill="1" applyBorder="1" applyAlignment="1">
      <x:alignment vertical="center" wrapText="1"/>
    </x:xf>
    <x:xf numFmtId="0" fontId="46" fillId="16" borderId="0" xfId="0" applyNumberFormat="1" applyFont="1" applyFill="1" applyBorder="1" applyAlignment="1">
      <x:alignment vertical="center" wrapText="1"/>
    </x:xf>
    <x:xf numFmtId="0" fontId="46" fillId="16" borderId="0" xfId="0" applyNumberFormat="1" applyFont="1" applyFill="1" applyBorder="1" applyAlignment="1">
      <x:alignment vertical="center"/>
    </x:xf>
    <x:xf numFmtId="0" fontId="46" fillId="16" borderId="0" xfId="0" applyNumberFormat="1" applyFont="1" applyFill="1" applyBorder="1" applyAlignment="1">
      <x:alignment horizontal="right" vertical="center"/>
    </x:xf>
    <x:xf numFmtId="201" fontId="36" fillId="0" borderId="0" xfId="0" applyNumberFormat="1" applyFont="1" applyFill="1" applyBorder="1" applyAlignment="1">
      <x:alignment horizontal="right" vertical="center"/>
    </x:xf>
    <x:xf numFmtId="201" fontId="47" fillId="0" borderId="0" xfId="0" applyNumberFormat="1" applyFont="1" applyFill="1" applyBorder="1" applyAlignment="1">
      <x:alignment horizontal="right" vertical="center"/>
    </x:xf>
    <x:xf numFmtId="0" fontId="46" fillId="0" borderId="0" xfId="0" applyNumberFormat="1" applyFont="1" applyFill="1" applyBorder="1" applyAlignment="1">
      <x:alignment vertical="center" wrapText="1"/>
    </x:xf>
    <x:xf numFmtId="0" fontId="46" fillId="18" borderId="0" xfId="0" applyNumberFormat="1" applyFont="1" applyFill="1" applyBorder="1" applyAlignment="1">
      <x:alignment vertical="center" wrapText="1"/>
    </x:xf>
    <x:xf numFmtId="0" fontId="36" fillId="18" borderId="0" xfId="0" applyNumberFormat="1" applyFont="1" applyFill="1" applyBorder="1" applyAlignment="1">
      <x:alignment vertical="center"/>
    </x:xf>
    <x:xf numFmtId="201" fontId="47" fillId="18" borderId="0" xfId="0" applyNumberFormat="1" applyFont="1" applyFill="1" applyBorder="1" applyAlignment="1">
      <x:alignment horizontal="right" vertical="center"/>
    </x:xf>
    <x:xf numFmtId="0" fontId="46" fillId="18" borderId="1" xfId="0" applyNumberFormat="1" applyFont="1" applyFill="1" applyBorder="1" applyAlignment="1">
      <x:alignment vertical="center" wrapText="1"/>
    </x:xf>
    <x:xf numFmtId="0" fontId="36" fillId="18" borderId="1" xfId="0" applyNumberFormat="1" applyFont="1" applyFill="1" applyBorder="1" applyAlignment="1">
      <x:alignment vertical="center"/>
    </x:xf>
    <x:xf numFmtId="201" fontId="47" fillId="18" borderId="1" xfId="0" applyNumberFormat="1" applyFont="1" applyFill="1" applyBorder="1" applyAlignment="1">
      <x:alignment horizontal="right" vertical="center"/>
    </x:xf>
    <x:xf numFmtId="202" fontId="36" fillId="0" borderId="0" xfId="0" applyNumberFormat="1" applyFont="1" applyFill="1" applyBorder="1" applyAlignment="1">
      <x:alignment horizontal="right" vertical="center"/>
    </x:xf>
    <x:xf numFmtId="202" fontId="48" fillId="0" borderId="0" xfId="0" applyNumberFormat="1" applyFont="1" applyFill="1" applyBorder="1" applyAlignment="1">
      <x:alignment horizontal="right" vertical="center"/>
    </x:xf>
    <x:xf numFmtId="0" fontId="49" fillId="0" borderId="0" xfId="0" applyNumberFormat="1" applyFont="1" applyFill="1" applyBorder="1" applyAlignment="1">
      <x:alignment vertical="center" wrapText="1"/>
    </x:xf>
    <x:xf numFmtId="202" fontId="49" fillId="0" borderId="0" xfId="0" applyNumberFormat="1" applyFont="1" applyFill="1" applyBorder="1" applyAlignment="1">
      <x:alignment horizontal="right" vertical="center"/>
    </x:xf>
    <x:xf numFmtId="0" fontId="38" fillId="0" borderId="0" xfId="0" applyNumberFormat="1" applyFont="1" applyFill="1" applyBorder="1" applyAlignment="1">
      <x:alignment horizontal="left" vertical="center" wrapText="1"/>
    </x:xf>
    <x:xf numFmtId="201" fontId="46" fillId="18" borderId="1" xfId="0" applyNumberFormat="1" applyFont="1" applyFill="1" applyBorder="1" applyAlignment="1">
      <x:alignment horizontal="right" vertical="center"/>
    </x:xf>
    <x:xf numFmtId="203" fontId="36" fillId="0" borderId="0" xfId="0" applyNumberFormat="1" applyFont="1" applyFill="1" applyBorder="1" applyAlignment="1">
      <x:alignment horizontal="right" vertical="center"/>
    </x:xf>
    <x:xf numFmtId="203" fontId="50" fillId="0" borderId="0" xfId="0" applyNumberFormat="1" applyFont="1" applyFill="1" applyBorder="1" applyAlignment="1">
      <x:alignment horizontal="right" vertical="center"/>
    </x:xf>
    <x:xf numFmtId="201" fontId="50" fillId="0" borderId="0" xfId="0" applyNumberFormat="1" applyFont="1" applyFill="1" applyBorder="1" applyAlignment="1">
      <x:alignment horizontal="right" vertical="center"/>
    </x:xf>
    <x:xf numFmtId="0" fontId="14" fillId="18" borderId="0" xfId="0" applyNumberFormat="1" applyFont="1" applyFill="1" applyBorder="1" applyAlignment="1">
      <x:alignment vertical="center" wrapText="1"/>
    </x:xf>
    <x:xf numFmtId="202" fontId="15" fillId="18" borderId="0" xfId="0" applyNumberFormat="1" applyFont="1" applyFill="1" applyBorder="1" applyAlignment="1">
      <x:alignment horizontal="right" vertical="center"/>
    </x:xf>
    <x:xf numFmtId="0" fontId="14" fillId="18" borderId="1" xfId="0" applyNumberFormat="1" applyFont="1" applyFill="1" applyBorder="1" applyAlignment="1">
      <x:alignment vertical="center" wrapText="1"/>
    </x:xf>
    <x:xf numFmtId="202" fontId="15" fillId="18" borderId="1" xfId="0" applyNumberFormat="1" applyFont="1" applyFill="1" applyBorder="1" applyAlignment="1">
      <x:alignment horizontal="right" vertical="center"/>
    </x:xf>
    <x:xf numFmtId="202" fontId="48" fillId="0" borderId="0" xfId="0" applyNumberFormat="1" applyFont="1" applyFill="1" applyBorder="1" applyAlignment="1">
      <x:alignment horizontal="right" vertical="center" wrapText="1"/>
    </x:xf>
    <x:xf numFmtId="0" fontId="36" fillId="15" borderId="0" xfId="0" applyNumberFormat="1" applyFont="1" applyFill="1" applyBorder="1" applyAlignment="1">
      <x:alignment vertical="center"/>
    </x:xf>
    <x:xf numFmtId="0" fontId="43" fillId="15" borderId="0" xfId="0" applyNumberFormat="1" applyFont="1" applyFill="1" applyBorder="1" applyAlignment="1">
      <x:alignment vertical="center"/>
    </x:xf>
    <x:xf numFmtId="0" fontId="51" fillId="0" borderId="0" xfId="0" applyNumberFormat="1" applyFont="1" applyFill="1" applyBorder="1" applyAlignment="1">
      <x:alignment horizontal="right" vertical="center"/>
    </x:xf>
    <x:xf numFmtId="0" fontId="51" fillId="0" borderId="0" xfId="0" applyNumberFormat="1" applyFont="1" applyFill="1" applyBorder="1" applyAlignment="1">
      <x:alignment horizontal="right" vertical="center" wrapText="1"/>
    </x:xf>
    <x:xf numFmtId="0" fontId="51" fillId="0" borderId="0" xfId="0" applyNumberFormat="1" applyFont="1" applyFill="1" applyBorder="1" applyAlignment="1">
      <x:alignment horizontal="left" vertical="center" wrapText="1"/>
    </x:xf>
    <x:xf numFmtId="0" fontId="52" fillId="0" borderId="0" xfId="0" applyNumberFormat="1" applyFont="1" applyFill="1" applyBorder="1"/>
    <x:xf numFmtId="0" fontId="52" fillId="0" borderId="0" xfId="0" applyNumberFormat="1" applyFont="1" applyFill="1" applyBorder="1" applyAlignment="1">
      <x:alignment vertical="center"/>
    </x:xf>
    <x:xf numFmtId="0" fontId="52" fillId="0" borderId="0" xfId="0" applyNumberFormat="1" applyFont="1" applyFill="1" applyBorder="1" applyAlignment="1">
      <x:alignment horizontal="right" vertical="center"/>
    </x:xf>
    <x:xf numFmtId="0" fontId="52" fillId="0" borderId="0" xfId="0" applyNumberFormat="1" applyFont="1" applyFill="1" applyBorder="1" applyAlignment="1">
      <x:alignment vertical="center" wrapText="1"/>
    </x:xf>
    <x:xf numFmtId="0" fontId="52" fillId="19" borderId="0" xfId="0" applyNumberFormat="1" applyFont="1" applyFill="1" applyBorder="1" applyAlignment="1">
      <x:alignment vertical="center"/>
    </x:xf>
    <x:xf numFmtId="0" fontId="53" fillId="19" borderId="0" xfId="0" applyNumberFormat="1" applyFont="1" applyFill="1" applyBorder="1" applyAlignment="1">
      <x:alignment vertical="center"/>
    </x:xf>
    <x:xf numFmtId="0" fontId="53" fillId="19" borderId="0" xfId="0" applyNumberFormat="1" applyFont="1" applyFill="1" applyBorder="1" applyAlignment="1">
      <x:alignment vertical="center" wrapText="1"/>
    </x:xf>
    <x:xf numFmtId="0" fontId="54" fillId="0" borderId="0" xfId="0" applyNumberFormat="1" applyFont="1" applyFill="1" applyBorder="1" applyAlignment="1">
      <x:alignment vertical="center"/>
    </x:xf>
    <x:xf numFmtId="0" fontId="55" fillId="0" borderId="0" xfId="0" applyNumberFormat="1" applyFont="1" applyFill="1" applyBorder="1" applyAlignment="1">
      <x:alignment vertical="center"/>
    </x:xf>
    <x:xf numFmtId="0" fontId="56" fillId="0" borderId="0" xfId="0" applyNumberFormat="1" applyFont="1" applyFill="1" applyBorder="1" applyAlignment="1">
      <x:alignment vertical="center"/>
    </x:xf>
    <x:xf numFmtId="0" fontId="56" fillId="0" borderId="0" xfId="0" applyNumberFormat="1" applyFont="1" applyFill="1" applyBorder="1" applyAlignment="1">
      <x:alignment horizontal="left" vertical="center"/>
    </x:xf>
    <x:xf numFmtId="0" fontId="57" fillId="0" borderId="0" xfId="0" applyNumberFormat="1" applyFont="1" applyFill="1" applyBorder="1" applyAlignment="1">
      <x:alignment vertical="center" wrapText="1"/>
    </x:xf>
    <x:xf numFmtId="0" fontId="58" fillId="0" borderId="0" xfId="0" applyNumberFormat="1" applyFont="1" applyFill="1" applyBorder="1" applyAlignment="1">
      <x:alignment horizontal="right" vertical="center"/>
    </x:xf>
    <x:xf numFmtId="0" fontId="58" fillId="0" borderId="0" xfId="0" applyNumberFormat="1" applyFont="1" applyFill="1" applyBorder="1" applyAlignment="1">
      <x:alignment horizontal="right" vertical="center" wrapText="0"/>
    </x:xf>
    <x:xf numFmtId="0" fontId="58" fillId="0" borderId="0" xfId="0" applyNumberFormat="1" applyFont="1" applyFill="1" applyBorder="1" applyAlignment="1">
      <x:alignment horizontal="left" vertical="center" wrapText="0"/>
    </x:xf>
    <x:xf numFmtId="0" fontId="52" fillId="19" borderId="0" xfId="0" applyNumberFormat="1" applyFont="1" applyFill="1" applyBorder="1" applyAlignment="1">
      <x:alignment vertical="center" wrapText="1"/>
    </x:xf>
    <x:xf numFmtId="0" fontId="52" fillId="19" borderId="0" xfId="0" applyNumberFormat="1" applyFont="1" applyFill="1" applyBorder="1" applyAlignment="1">
      <x:alignment horizontal="right" vertical="center"/>
    </x:xf>
    <x:xf numFmtId="0" fontId="59" fillId="19" borderId="0" xfId="0" applyNumberFormat="1" applyFont="1" applyFill="1" applyBorder="1" applyAlignment="1">
      <x:alignment vertical="center" wrapText="1"/>
    </x:xf>
    <x:xf numFmtId="0" fontId="59" fillId="19" borderId="0" xfId="0" applyNumberFormat="1" applyFont="1" applyFill="1" applyBorder="1" applyAlignment="1">
      <x:alignment vertical="center"/>
    </x:xf>
    <x:xf numFmtId="0" fontId="59" fillId="19" borderId="0" xfId="0" applyNumberFormat="1" applyFont="1" applyFill="1" applyBorder="1" applyAlignment="1">
      <x:alignment horizontal="right" vertical="center"/>
    </x:xf>
    <x:xf numFmtId="0" fontId="59" fillId="19" borderId="0" xfId="0" applyNumberFormat="1" applyFont="1" applyFill="1" applyBorder="1" applyAlignment="1">
      <x:alignment horizontal="right" vertical="center" wrapText="1"/>
    </x:xf>
    <x:xf numFmtId="0" fontId="54" fillId="0" borderId="0" xfId="0" applyNumberFormat="1" applyFont="1" applyFill="1" applyBorder="1" applyAlignment="1">
      <x:alignment vertical="center" wrapText="1"/>
    </x:xf>
    <x:xf numFmtId="0" fontId="54" fillId="0" borderId="0" xfId="0" applyNumberFormat="1" applyFont="1" applyFill="1" applyBorder="1" applyAlignment="1">
      <x:alignment horizontal="right" vertical="center"/>
    </x:xf>
    <x:xf numFmtId="0" fontId="54" fillId="0" borderId="0" xfId="0" applyNumberFormat="1" applyFont="1" applyFill="1" applyBorder="1" applyAlignment="1">
      <x:alignment horizontal="right" vertical="center" wrapText="1"/>
    </x:xf>
    <x:xf numFmtId="0" fontId="52" fillId="20" borderId="0" xfId="0" applyNumberFormat="1" applyFont="1" applyFill="1" applyBorder="1" applyAlignment="1">
      <x:alignment vertical="center" wrapText="1"/>
    </x:xf>
    <x:xf numFmtId="0" fontId="59" fillId="20" borderId="0" xfId="0" applyNumberFormat="1" applyFont="1" applyFill="1" applyBorder="1" applyAlignment="1">
      <x:alignment vertical="center" wrapText="1"/>
    </x:xf>
    <x:xf numFmtId="0" fontId="52" fillId="21" borderId="0" xfId="0" applyNumberFormat="1" applyFont="1" applyFill="1" applyBorder="1" applyAlignment="1">
      <x:alignment vertical="center"/>
    </x:xf>
    <x:xf numFmtId="0" fontId="60" fillId="21" borderId="0" xfId="0" applyNumberFormat="1" applyFont="1" applyFill="1" applyBorder="1" applyAlignment="1">
      <x:alignment vertical="center"/>
    </x:xf>
    <x:xf numFmtId="0" fontId="60" fillId="21" borderId="0" xfId="0" applyNumberFormat="1" applyFont="1" applyFill="1" applyBorder="1" applyAlignment="1">
      <x:alignment vertical="center" wrapText="1"/>
    </x:xf>
    <x:xf numFmtId="0" fontId="52" fillId="20" borderId="0" xfId="0" applyNumberFormat="1" applyFont="1" applyFill="1" applyBorder="1" applyAlignment="1">
      <x:alignment horizontal="right" vertical="center"/>
    </x:xf>
    <x:xf numFmtId="0" fontId="59" fillId="20" borderId="0" xfId="0" applyNumberFormat="1" applyFont="1" applyFill="1" applyBorder="1" applyAlignment="1">
      <x:alignment horizontal="right" vertical="center"/>
    </x:xf>
    <x:xf numFmtId="0" fontId="59" fillId="20" borderId="0" xfId="0" applyNumberFormat="1" applyFont="1" applyFill="1" applyBorder="1" applyAlignment="1">
      <x:alignment horizontal="center" vertical="center"/>
    </x:xf>
    <x:xf numFmtId="0" fontId="52" fillId="21" borderId="0" xfId="0" applyNumberFormat="1" applyFont="1" applyFill="1" applyBorder="1" applyAlignment="1">
      <x:alignment horizontal="right" vertical="center"/>
    </x:xf>
    <x:xf numFmtId="0" fontId="61" fillId="21" borderId="0" xfId="0" applyNumberFormat="1" applyFont="1" applyFill="1" applyBorder="1" applyAlignment="1">
      <x:alignment horizontal="right" vertical="center"/>
    </x:xf>
    <x:xf numFmtId="0" fontId="61" fillId="21" borderId="0" xfId="0" applyNumberFormat="1" applyFont="1" applyFill="1" applyBorder="1" applyAlignment="1">
      <x:alignment horizontal="center" vertical="center"/>
    </x:xf>
    <x:xf numFmtId="0" fontId="52" fillId="22" borderId="0" xfId="0" applyNumberFormat="1" applyFont="1" applyFill="1" applyBorder="1" applyAlignment="1">
      <x:alignment horizontal="right" vertical="center"/>
    </x:xf>
    <x:xf numFmtId="0" fontId="59" fillId="22" borderId="0" xfId="0" applyNumberFormat="1" applyFont="1" applyFill="1" applyBorder="1" applyAlignment="1">
      <x:alignment horizontal="right" vertical="center"/>
    </x:xf>
    <x:xf numFmtId="0" fontId="59" fillId="22" borderId="0" xfId="0" applyNumberFormat="1" applyFont="1" applyFill="1" applyBorder="1" applyAlignment="1">
      <x:alignment horizontal="center" vertical="center"/>
    </x:xf>
    <x:xf numFmtId="0" fontId="52" fillId="21" borderId="0" xfId="0" applyNumberFormat="1" applyFont="1" applyFill="1" applyBorder="1" applyAlignment="1">
      <x:alignment vertical="center" wrapText="1"/>
    </x:xf>
    <x:xf numFmtId="0" fontId="62" fillId="21" borderId="0" xfId="0" applyNumberFormat="1" applyFont="1" applyFill="1" applyBorder="1" applyAlignment="1">
      <x:alignment vertical="center" wrapText="1"/>
    </x:xf>
    <x:xf numFmtId="0" fontId="62" fillId="21" borderId="0" xfId="0" applyNumberFormat="1" applyFont="1" applyFill="1" applyBorder="1" applyAlignment="1">
      <x:alignment vertical="center"/>
    </x:xf>
    <x:xf numFmtId="0" fontId="62" fillId="21" borderId="0" xfId="0" applyNumberFormat="1" applyFont="1" applyFill="1" applyBorder="1" applyAlignment="1">
      <x:alignment horizontal="right" vertical="center"/>
    </x:xf>
    <x:xf numFmtId="201" fontId="52" fillId="0" borderId="0" xfId="0" applyNumberFormat="1" applyFont="1" applyFill="1" applyBorder="1" applyAlignment="1">
      <x:alignment horizontal="right" vertical="center"/>
    </x:xf>
    <x:xf numFmtId="201" fontId="63" fillId="0" borderId="0" xfId="0" applyNumberFormat="1" applyFont="1" applyFill="1" applyBorder="1" applyAlignment="1">
      <x:alignment horizontal="right" vertical="center"/>
    </x:xf>
    <x:xf numFmtId="0" fontId="62" fillId="0" borderId="0" xfId="0" applyNumberFormat="1" applyFont="1" applyFill="1" applyBorder="1" applyAlignment="1">
      <x:alignment vertical="center" wrapText="1"/>
    </x:xf>
    <x:xf numFmtId="0" fontId="62" fillId="23" borderId="0" xfId="0" applyNumberFormat="1" applyFont="1" applyFill="1" applyBorder="1" applyAlignment="1">
      <x:alignment vertical="center" wrapText="1"/>
    </x:xf>
    <x:xf numFmtId="0" fontId="52" fillId="23" borderId="0" xfId="0" applyNumberFormat="1" applyFont="1" applyFill="1" applyBorder="1" applyAlignment="1">
      <x:alignment vertical="center"/>
    </x:xf>
    <x:xf numFmtId="201" fontId="63" fillId="23" borderId="0" xfId="0" applyNumberFormat="1" applyFont="1" applyFill="1" applyBorder="1" applyAlignment="1">
      <x:alignment horizontal="right" vertical="center"/>
    </x:xf>
    <x:xf numFmtId="0" fontId="62" fillId="23" borderId="1" xfId="0" applyNumberFormat="1" applyFont="1" applyFill="1" applyBorder="1" applyAlignment="1">
      <x:alignment vertical="center" wrapText="1"/>
    </x:xf>
    <x:xf numFmtId="0" fontId="52" fillId="23" borderId="1" xfId="0" applyNumberFormat="1" applyFont="1" applyFill="1" applyBorder="1" applyAlignment="1">
      <x:alignment vertical="center"/>
    </x:xf>
    <x:xf numFmtId="201" fontId="63" fillId="23" borderId="1" xfId="0" applyNumberFormat="1" applyFont="1" applyFill="1" applyBorder="1" applyAlignment="1">
      <x:alignment horizontal="right" vertical="center"/>
    </x:xf>
    <x:xf numFmtId="202" fontId="52" fillId="0" borderId="0" xfId="0" applyNumberFormat="1" applyFont="1" applyFill="1" applyBorder="1" applyAlignment="1">
      <x:alignment horizontal="right" vertical="center"/>
    </x:xf>
    <x:xf numFmtId="202" fontId="64" fillId="0" borderId="0" xfId="0" applyNumberFormat="1" applyFont="1" applyFill="1" applyBorder="1" applyAlignment="1">
      <x:alignment horizontal="right" vertical="center"/>
    </x:xf>
    <x:xf numFmtId="0" fontId="65" fillId="0" borderId="0" xfId="0" applyNumberFormat="1" applyFont="1" applyFill="1" applyBorder="1" applyAlignment="1">
      <x:alignment vertical="center" wrapText="1"/>
    </x:xf>
    <x:xf numFmtId="202" fontId="65" fillId="0" borderId="0" xfId="0" applyNumberFormat="1" applyFont="1" applyFill="1" applyBorder="1" applyAlignment="1">
      <x:alignment horizontal="right" vertical="center"/>
    </x:xf>
    <x:xf numFmtId="0" fontId="54" fillId="0" borderId="0" xfId="0" applyNumberFormat="1" applyFont="1" applyFill="1" applyBorder="1" applyAlignment="1">
      <x:alignment horizontal="left" vertical="center" wrapText="1"/>
    </x:xf>
    <x:xf numFmtId="201" fontId="62" fillId="23" borderId="1" xfId="0" applyNumberFormat="1" applyFont="1" applyFill="1" applyBorder="1" applyAlignment="1">
      <x:alignment horizontal="right" vertical="center"/>
    </x:xf>
    <x:xf numFmtId="203" fontId="52" fillId="0" borderId="0" xfId="0" applyNumberFormat="1" applyFont="1" applyFill="1" applyBorder="1" applyAlignment="1">
      <x:alignment horizontal="right" vertical="center"/>
    </x:xf>
    <x:xf numFmtId="203" fontId="66" fillId="0" borderId="0" xfId="0" applyNumberFormat="1" applyFont="1" applyFill="1" applyBorder="1" applyAlignment="1">
      <x:alignment horizontal="right" vertical="center"/>
    </x:xf>
    <x:xf numFmtId="201" fontId="66" fillId="0" borderId="0" xfId="0" applyNumberFormat="1" applyFont="1" applyFill="1" applyBorder="1" applyAlignment="1">
      <x:alignment horizontal="right" vertical="center"/>
    </x:xf>
    <x:xf numFmtId="0" fontId="14" fillId="23" borderId="0" xfId="0" applyNumberFormat="1" applyFont="1" applyFill="1" applyBorder="1" applyAlignment="1">
      <x:alignment vertical="center" wrapText="1"/>
    </x:xf>
    <x:xf numFmtId="202" fontId="15" fillId="23" borderId="0" xfId="0" applyNumberFormat="1" applyFont="1" applyFill="1" applyBorder="1" applyAlignment="1">
      <x:alignment horizontal="right" vertical="center"/>
    </x:xf>
    <x:xf numFmtId="0" fontId="14" fillId="23" borderId="1" xfId="0" applyNumberFormat="1" applyFont="1" applyFill="1" applyBorder="1" applyAlignment="1">
      <x:alignment vertical="center" wrapText="1"/>
    </x:xf>
    <x:xf numFmtId="202" fontId="15" fillId="23" borderId="1" xfId="0" applyNumberFormat="1" applyFont="1" applyFill="1" applyBorder="1" applyAlignment="1">
      <x:alignment horizontal="right" vertical="center"/>
    </x:xf>
    <x:xf numFmtId="202" fontId="64" fillId="0" borderId="0" xfId="0" applyNumberFormat="1" applyFont="1" applyFill="1" applyBorder="1" applyAlignment="1">
      <x:alignment horizontal="right" vertical="center" wrapText="1"/>
    </x:xf>
    <x:xf numFmtId="0" fontId="52" fillId="20" borderId="0" xfId="0" applyNumberFormat="1" applyFont="1" applyFill="1" applyBorder="1" applyAlignment="1">
      <x:alignment vertical="center"/>
    </x:xf>
    <x:xf numFmtId="0" fontId="59" fillId="20" borderId="0" xfId="0" applyNumberFormat="1" applyFont="1" applyFill="1" applyBorder="1" applyAlignment="1">
      <x:alignment vertical="center"/>
    </x:xf>
    <x:xf numFmtId="0" fontId="67" fillId="0" borderId="0" xfId="0" applyNumberFormat="1" applyFont="1" applyFill="1" applyBorder="1" applyAlignment="1">
      <x:alignment horizontal="right" vertical="center"/>
    </x:xf>
    <x:xf numFmtId="0" fontId="67" fillId="0" borderId="0" xfId="0" applyNumberFormat="1" applyFont="1" applyFill="1" applyBorder="1" applyAlignment="1">
      <x:alignment horizontal="right" vertical="center" wrapText="1"/>
    </x:xf>
    <x:xf numFmtId="0" fontId="67" fillId="0" borderId="0" xfId="0" applyNumberFormat="1" applyFont="1" applyFill="1" applyBorder="1" applyAlignment="1">
      <x:alignment horizontal="left" vertical="center" wrapText="1"/>
    </x:xf>
    <x:xf numFmtId="0" fontId="1" fillId="24" borderId="0" xfId="0" applyNumberFormat="1" applyFont="1" applyFill="1" applyBorder="1" applyAlignment="1">
      <x:alignment horizontal="right" vertical="center"/>
    </x:xf>
    <x:xf numFmtId="0" fontId="68" fillId="24" borderId="0" xfId="0" applyNumberFormat="1" applyFont="1" applyFill="1" applyBorder="1" applyAlignment="1">
      <x:alignment horizontal="right" vertical="center"/>
    </x:xf>
    <x:xf numFmtId="0" fontId="68" fillId="24" borderId="0" xfId="0" applyNumberFormat="1" applyFont="1" applyFill="1" applyBorder="1" applyAlignment="1">
      <x:alignment horizontal="right" vertical="center" wrapText="1"/>
    </x:xf>
    <x:xf numFmtId="0" fontId="68" fillId="24" borderId="0" xfId="0" applyNumberFormat="1" applyFont="1" applyFill="1" applyBorder="1" applyAlignment="1">
      <x:alignment horizontal="left" vertical="center" wrapText="1"/>
    </x:xf>
    <x:xf numFmtId="202" fontId="69" fillId="0" borderId="0" xfId="0" applyNumberFormat="1" applyFont="1" applyFill="1" applyBorder="1" applyAlignment="1">
      <x:alignment horizontal="right" vertical="center"/>
    </x:xf>
    <x:xf numFmtId="202" fontId="69" fillId="0" borderId="0" xfId="0" applyNumberFormat="1" applyFont="1" applyFill="1" applyBorder="1" applyAlignment="1">
      <x:alignment horizontal="right" vertical="center" wrapText="1"/>
    </x:xf>
    <x:xf numFmtId="202" fontId="69" fillId="0" borderId="0" xfId="0" applyNumberFormat="1" applyFont="1" applyFill="1" applyBorder="1" applyAlignment="1">
      <x:alignment horizontal="left" vertical="center" wrapText="1"/>
    </x:xf>
    <x:xf numFmtId="201" fontId="69" fillId="0" borderId="0" xfId="0" applyNumberFormat="1" applyFont="1" applyFill="1" applyBorder="1" applyAlignment="1">
      <x:alignment horizontal="right" vertical="center"/>
    </x:xf>
    <x:xf numFmtId="201" fontId="69" fillId="0" borderId="0" xfId="0" applyNumberFormat="1" applyFont="1" applyFill="1" applyBorder="1" applyAlignment="1">
      <x:alignment horizontal="right" vertical="center" wrapText="1"/>
    </x:xf>
    <x:xf numFmtId="201" fontId="69" fillId="0" borderId="0" xfId="0" applyNumberFormat="1" applyFont="1" applyFill="1" applyBorder="1" applyAlignment="1">
      <x:alignment horizontal="left" vertical="center" wrapText="1"/>
    </x:xf>
    <x:xf numFmtId="203" fontId="69" fillId="0" borderId="0" xfId="0" applyNumberFormat="1" applyFont="1" applyFill="1" applyBorder="1" applyAlignment="1">
      <x:alignment horizontal="right" vertical="center"/>
    </x:xf>
    <x:xf numFmtId="203" fontId="69" fillId="0" borderId="0" xfId="0" applyNumberFormat="1" applyFont="1" applyFill="1" applyBorder="1" applyAlignment="1">
      <x:alignment horizontal="right" vertical="center" wrapText="1"/>
    </x:xf>
    <x:xf numFmtId="203" fontId="69" fillId="0" borderId="0" xfId="0" applyNumberFormat="1" applyFont="1" applyFill="1" applyBorder="1" applyAlignment="1">
      <x:alignment horizontal="left" vertical="center" wrapText="1"/>
    </x:xf>
    <x:xf numFmtId="0" fontId="0" fillId="24" borderId="0" xfId="0" applyNumberFormat="1" applyFont="1" applyFill="1" applyBorder="1"/>
    <x:xf numFmtId="0" fontId="68" fillId="24" borderId="0" xfId="0" applyNumberFormat="1" applyFont="1" applyFill="1" applyBorder="1"/>
    <x:xf numFmtId="0" fontId="68" fillId="24" borderId="0" xfId="0" applyNumberFormat="1" applyFont="1" applyFill="1" applyBorder="1" applyAlignment="1">
      <x:alignment wrapText="1"/>
    </x:xf>
    <x:xf numFmtId="0" fontId="68" fillId="24" borderId="0" xfId="0" applyNumberFormat="1" applyFont="1" applyFill="1" applyBorder="1" applyAlignment="1">
      <x:alignment horizontal="left" wrapText="1"/>
    </x:xf>
    <x:xf numFmtId="0" fontId="69" fillId="0" borderId="0" xfId="0" applyNumberFormat="1" applyFont="1" applyFill="1" applyBorder="1"/>
    <x:xf numFmtId="0" fontId="69" fillId="0" borderId="0" xfId="0" applyNumberFormat="1" applyFont="1" applyFill="1" applyBorder="1" applyAlignment="1">
      <x:alignment wrapText="1"/>
    </x:xf>
    <x:xf numFmtId="0" fontId="69" fillId="0" borderId="0" xfId="0" applyNumberFormat="1" applyFont="1" applyFill="1" applyBorder="1" applyAlignment="1">
      <x:alignment horizontal="left" wrapText="1"/>
    </x:xf>
    <x:xf numFmtId="0" fontId="69" fillId="0" borderId="0" xfId="0" applyNumberFormat="1" applyFont="1" applyFill="1" applyBorder="1" applyAlignment="1">
      <x:alignment horizontal="left" vertical="center" wrapText="1"/>
    </x:xf>
    <x:xf numFmtId="0" fontId="1" fillId="24" borderId="0" xfId="0" applyNumberFormat="1" applyFont="1" applyFill="1" applyBorder="1" applyAlignment="1">
      <x:alignment vertical="center"/>
    </x:xf>
    <x:xf numFmtId="0" fontId="68" fillId="24" borderId="0" xfId="0" applyNumberFormat="1" applyFont="1" applyFill="1" applyBorder="1" applyAlignment="1">
      <x:alignment vertical="center"/>
    </x:xf>
    <x:xf numFmtId="0" fontId="68" fillId="24" borderId="0" xfId="0" applyNumberFormat="1" applyFont="1" applyFill="1" applyBorder="1" applyAlignment="1">
      <x:alignment vertical="center" wrapText="1"/>
    </x:xf>
    <x:xf numFmtId="0" fontId="69" fillId="0" borderId="0" xfId="0" applyNumberFormat="1" applyFont="1" applyFill="1" applyBorder="1" applyAlignment="1">
      <x:alignment vertical="center"/>
    </x:xf>
    <x:xf numFmtId="0" fontId="69" fillId="0" borderId="0" xfId="0" applyNumberFormat="1" applyFont="1" applyFill="1" applyBorder="1" applyAlignment="1">
      <x:alignment vertical="center" wrapText="1"/>
    </x:xf>
    <x:xf numFmtId="0" fontId="70" fillId="0" borderId="0" xfId="0" applyNumberFormat="1" applyFont="1" applyFill="1" applyBorder="1"/>
    <x:xf numFmtId="0" fontId="70" fillId="0" borderId="0" xfId="0" applyNumberFormat="1" applyFont="1" applyFill="1" applyBorder="1" applyAlignment="1">
      <x:alignment vertical="center"/>
    </x:xf>
    <x:xf numFmtId="0" fontId="70" fillId="25" borderId="0" xfId="0" applyNumberFormat="1" applyFont="1" applyFill="1" applyBorder="1" applyAlignment="1">
      <x:alignment vertical="center"/>
    </x:xf>
    <x:xf numFmtId="0" fontId="71" fillId="25" borderId="0" xfId="0" applyNumberFormat="1" applyFont="1" applyFill="1" applyBorder="1" applyAlignment="1">
      <x:alignment vertical="center"/>
    </x:xf>
    <x:xf numFmtId="0" fontId="71" fillId="25" borderId="0" xfId="0" applyNumberFormat="1" applyFont="1" applyFill="1" applyBorder="1" applyAlignment="1">
      <x:alignment vertical="center" wrapText="1"/>
    </x:xf>
    <x:xf numFmtId="0" fontId="72" fillId="0" borderId="0" xfId="0" applyNumberFormat="1" applyFont="1" applyFill="1" applyBorder="1" applyAlignment="1">
      <x:alignment vertical="center"/>
    </x:xf>
    <x:xf numFmtId="0" fontId="73" fillId="0" borderId="0" xfId="0" applyNumberFormat="1" applyFont="1" applyFill="1" applyBorder="1" applyAlignment="1">
      <x:alignment vertical="center"/>
    </x:xf>
    <x:xf numFmtId="0" fontId="72" fillId="0" borderId="0" xfId="0" applyNumberFormat="1" applyFont="1" applyFill="1" applyBorder="1" applyAlignment="1">
      <x:alignment horizontal="left" vertical="center"/>
    </x:xf>
    <x:xf numFmtId="0" fontId="74" fillId="25" borderId="0" xfId="0" applyNumberFormat="1" applyFont="1" applyFill="1" applyBorder="1" applyAlignment="1">
      <x:alignment vertical="center"/>
    </x:xf>
    <x:xf numFmtId="0" fontId="74" fillId="25" borderId="0" xfId="0" applyNumberFormat="1" applyFont="1" applyFill="1" applyBorder="1" applyAlignment="1">
      <x:alignment vertical="center" wrapText="1"/>
    </x:xf>
    <x:xf numFmtId="0" fontId="70" fillId="26" borderId="0" xfId="0" applyNumberFormat="1" applyFont="1" applyFill="1" applyBorder="1" applyAlignment="1">
      <x:alignment vertical="center"/>
    </x:xf>
    <x:xf numFmtId="0" fontId="74" fillId="26" borderId="0" xfId="0" applyNumberFormat="1" applyFont="1" applyFill="1" applyBorder="1" applyAlignment="1">
      <x:alignment vertical="center"/>
    </x:xf>
    <x:xf numFmtId="0" fontId="74" fillId="26" borderId="0" xfId="0" applyNumberFormat="1" applyFont="1" applyFill="1" applyBorder="1" applyAlignment="1">
      <x:alignment horizontal="center" vertical="center"/>
    </x:xf>
    <x:xf numFmtId="0" fontId="70" fillId="27" borderId="0" xfId="0" applyNumberFormat="1" applyFont="1" applyFill="1" applyBorder="1" applyAlignment="1">
      <x:alignment vertical="center"/>
    </x:xf>
    <x:xf numFmtId="0" fontId="75" fillId="27" borderId="0" xfId="0" applyNumberFormat="1" applyFont="1" applyFill="1" applyBorder="1" applyAlignment="1">
      <x:alignment vertical="center"/>
    </x:xf>
    <x:xf numFmtId="0" fontId="75" fillId="27" borderId="0" xfId="0" applyNumberFormat="1" applyFont="1" applyFill="1" applyBorder="1" applyAlignment="1">
      <x:alignment vertical="center" wrapText="1"/>
    </x:xf>
    <x:xf numFmtId="0" fontId="75" fillId="27" borderId="0" xfId="0" applyNumberFormat="1" applyFont="1" applyFill="1" applyBorder="1" applyAlignment="1">
      <x:alignment horizontal="center" vertical="center" wrapText="1"/>
    </x:xf>
    <x:xf numFmtId="0" fontId="70" fillId="28" borderId="0" xfId="0" applyNumberFormat="1" applyFont="1" applyFill="1" applyBorder="1" applyAlignment="1">
      <x:alignment vertical="center"/>
    </x:xf>
    <x:xf numFmtId="0" fontId="74" fillId="28" borderId="0" xfId="0" applyNumberFormat="1" applyFont="1" applyFill="1" applyBorder="1" applyAlignment="1">
      <x:alignment vertical="center"/>
    </x:xf>
    <x:xf numFmtId="0" fontId="74" fillId="28" borderId="0" xfId="0" applyNumberFormat="1" applyFont="1" applyFill="1" applyBorder="1" applyAlignment="1">
      <x:alignment horizontal="center" vertical="center"/>
    </x:xf>
    <x:xf numFmtId="0" fontId="75" fillId="0" borderId="0" xfId="0" applyNumberFormat="1" applyFont="1" applyFill="1" applyBorder="1" applyAlignment="1">
      <x:alignment vertical="center"/>
    </x:xf>
    <x:xf numFmtId="201" fontId="70" fillId="0" borderId="0" xfId="0" applyNumberFormat="1" applyFont="1" applyFill="1" applyBorder="1" applyAlignment="1">
      <x:alignment vertical="center"/>
    </x:xf>
    <x:xf numFmtId="201" fontId="70" fillId="0" borderId="0" xfId="0" applyNumberFormat="1" applyFont="1" applyFill="1" applyBorder="1" applyAlignment="1">
      <x:alignment horizontal="right" vertical="center"/>
    </x:xf>
    <x:xf numFmtId="202" fontId="70" fillId="0" borderId="0" xfId="0" applyNumberFormat="1" applyFont="1" applyFill="1" applyBorder="1" applyAlignment="1">
      <x:alignment vertical="center"/>
    </x:xf>
    <x:xf numFmtId="202" fontId="76" fillId="0" borderId="0" xfId="0" applyNumberFormat="1" applyFont="1" applyFill="1" applyBorder="1" applyAlignment="1">
      <x:alignment vertical="center"/>
    </x:xf>
    <x:xf numFmtId="202" fontId="76" fillId="0" borderId="0" xfId="0" applyNumberFormat="1" applyFont="1" applyFill="1" applyBorder="1" applyAlignment="1">
      <x:alignment horizontal="right" vertical="center"/>
    </x:xf>
    <x:xf numFmtId="0" fontId="77" fillId="27" borderId="0" xfId="0" applyNumberFormat="1" applyFont="1" applyFill="1" applyBorder="1" applyAlignment="1">
      <x:alignment vertical="center"/>
    </x:xf>
    <x:xf numFmtId="201" fontId="77" fillId="27" borderId="0" xfId="0" applyNumberFormat="1" applyFont="1" applyFill="1" applyBorder="1" applyAlignment="1">
      <x:alignment vertical="center"/>
    </x:xf>
    <x:xf numFmtId="201" fontId="77" fillId="27" borderId="0" xfId="0" applyNumberFormat="1" applyFont="1" applyFill="1" applyBorder="1" applyAlignment="1">
      <x:alignment horizontal="right" vertical="center"/>
    </x:xf>
    <x:xf numFmtId="202" fontId="77" fillId="27" borderId="0" xfId="0" applyNumberFormat="1" applyFont="1" applyFill="1" applyBorder="1" applyAlignment="1">
      <x:alignment vertical="center"/>
    </x:xf>
    <x:xf numFmtId="202" fontId="14" fillId="27" borderId="0" xfId="0" applyNumberFormat="1" applyFont="1" applyFill="1" applyBorder="1" applyAlignment="1">
      <x:alignment vertical="center"/>
    </x:xf>
    <x:xf numFmtId="202" fontId="14" fillId="27" borderId="0" xfId="0" applyNumberFormat="1" applyFont="1" applyFill="1" applyBorder="1" applyAlignment="1">
      <x:alignment horizontal="right" vertical="center"/>
    </x:xf>
    <x:xf numFmtId="0" fontId="70" fillId="29" borderId="0" xfId="0" applyNumberFormat="1" applyFont="1" applyFill="1" applyBorder="1" applyAlignment="1">
      <x:alignment vertical="center"/>
    </x:xf>
    <x:xf numFmtId="0" fontId="77" fillId="29" borderId="0" xfId="0" applyNumberFormat="1" applyFont="1" applyFill="1" applyBorder="1" applyAlignment="1">
      <x:alignment vertical="center"/>
    </x:xf>
    <x:xf numFmtId="201" fontId="77" fillId="29" borderId="0" xfId="0" applyNumberFormat="1" applyFont="1" applyFill="1" applyBorder="1" applyAlignment="1">
      <x:alignment vertical="center"/>
    </x:xf>
    <x:xf numFmtId="201" fontId="77" fillId="29" borderId="0" xfId="0" applyNumberFormat="1" applyFont="1" applyFill="1" applyBorder="1" applyAlignment="1">
      <x:alignment horizontal="right" vertical="center"/>
    </x:xf>
    <x:xf numFmtId="202" fontId="77" fillId="29" borderId="0" xfId="0" applyNumberFormat="1" applyFont="1" applyFill="1" applyBorder="1" applyAlignment="1">
      <x:alignment vertical="center"/>
    </x:xf>
    <x:xf numFmtId="202" fontId="14" fillId="29" borderId="0" xfId="0" applyNumberFormat="1" applyFont="1" applyFill="1" applyBorder="1" applyAlignment="1">
      <x:alignment vertical="center"/>
    </x:xf>
    <x:xf numFmtId="202" fontId="14" fillId="29" borderId="0" xfId="0" applyNumberFormat="1" applyFont="1" applyFill="1" applyBorder="1" applyAlignment="1">
      <x:alignment horizontal="right" vertical="center"/>
    </x:xf>
    <x:xf numFmtId="0" fontId="72" fillId="0" borderId="0" xfId="0" applyNumberFormat="1" applyFont="1" applyFill="1" applyBorder="1" applyAlignment="1">
      <x:alignment vertical="center" wrapText="1"/>
    </x:xf>
    <x:xf numFmtId="204" fontId="70" fillId="0" borderId="0" xfId="0" applyNumberFormat="1" applyFont="1" applyFill="1" applyBorder="1" applyAlignment="1">
      <x:alignment vertical="center"/>
    </x:xf>
    <x:xf numFmtId="204" fontId="70" fillId="0" borderId="0" xfId="0" applyNumberFormat="1" applyFont="1" applyFill="1" applyBorder="1" applyAlignment="1">
      <x:alignment horizontal="right" vertical="center"/>
    </x:xf>
    <x:xf numFmtId="204" fontId="77" fillId="27" borderId="0" xfId="0" applyNumberFormat="1" applyFont="1" applyFill="1" applyBorder="1" applyAlignment="1">
      <x:alignment vertical="center"/>
    </x:xf>
    <x:xf numFmtId="204" fontId="77" fillId="27" borderId="0" xfId="0" applyNumberFormat="1" applyFont="1" applyFill="1" applyBorder="1" applyAlignment="1">
      <x:alignment horizontal="right" vertical="center"/>
    </x:xf>
    <x:xf numFmtId="204" fontId="77" fillId="29" borderId="0" xfId="0" applyNumberFormat="1" applyFont="1" applyFill="1" applyBorder="1" applyAlignment="1">
      <x:alignment vertical="center"/>
    </x:xf>
    <x:xf numFmtId="204" fontId="77" fillId="29" borderId="0" xfId="0" applyNumberFormat="1" applyFont="1" applyFill="1" applyBorder="1" applyAlignment="1">
      <x:alignment horizontal="right" vertical="center"/>
    </x:xf>
    <x:xf numFmtId="0" fontId="73" fillId="0" borderId="0" xfId="0" applyNumberFormat="1" applyFont="1" applyFill="1" applyBorder="1" applyAlignment="1">
      <x:alignment horizontal="left" vertical="center"/>
    </x:xf>
    <x:xf numFmtId="200" fontId="70" fillId="0" borderId="0" xfId="0" applyNumberFormat="1" applyFont="1" applyFill="1" applyBorder="1" applyAlignment="1">
      <x:alignment vertical="center"/>
    </x:xf>
    <x:xf numFmtId="200" fontId="70" fillId="27" borderId="0" xfId="0" applyNumberFormat="1" applyFont="1" applyFill="1" applyBorder="1" applyAlignment="1">
      <x:alignment vertical="center"/>
    </x:xf>
    <x:xf numFmtId="200" fontId="78" fillId="27" borderId="0" xfId="0" applyNumberFormat="1" applyFont="1" applyFill="1" applyBorder="1" applyAlignment="1">
      <x:alignment vertical="center"/>
    </x:xf>
    <x:xf numFmtId="200" fontId="78" fillId="27" borderId="0" xfId="0" applyNumberFormat="1" applyFont="1" applyFill="1" applyBorder="1" applyAlignment="1">
      <x:alignment horizontal="center" vertical="center"/>
    </x:xf>
    <x:xf numFmtId="0" fontId="70" fillId="0" borderId="0" xfId="0" applyNumberFormat="1" applyFont="1" applyFill="1" applyBorder="1" applyAlignment="1">
      <x:alignment vertical="center" wrapText="1"/>
    </x:xf>
    <x:xf numFmtId="201" fontId="79" fillId="0" borderId="0" xfId="0" applyNumberFormat="1" applyFont="1" applyFill="1" applyBorder="1" applyAlignment="1">
      <x:alignment horizontal="right" vertical="center"/>
    </x:xf>
    <x:xf numFmtId="0" fontId="76" fillId="0" borderId="0" xfId="0" applyNumberFormat="1" applyFont="1" applyFill="1" applyBorder="1" applyAlignment="1">
      <x:alignment vertical="center"/>
    </x:xf>
    <x:xf numFmtId="0" fontId="76" fillId="0" borderId="0" xfId="0" applyNumberFormat="1" applyFont="1" applyFill="1" applyBorder="1" applyAlignment="1">
      <x:alignment vertical="center" wrapText="1"/>
    </x:xf>
    <x:xf numFmtId="202" fontId="70" fillId="0" borderId="0" xfId="0" applyNumberFormat="1" applyFont="1" applyFill="1" applyBorder="1" applyAlignment="1">
      <x:alignment horizontal="right" vertical="center"/>
    </x:xf>
    <x:xf numFmtId="201" fontId="80" fillId="0" borderId="0" xfId="0" applyNumberFormat="1" applyFont="1" applyFill="1" applyBorder="1" applyAlignment="1">
      <x:alignment horizontal="right" vertical="center"/>
    </x:xf>
    <x:xf numFmtId="202" fontId="81" fillId="0" borderId="0" xfId="0" applyNumberFormat="1" applyFont="1" applyFill="1" applyBorder="1" applyAlignment="1">
      <x:alignment horizontal="right" vertical="center"/>
    </x:xf>
    <x:xf numFmtId="0" fontId="77" fillId="0" borderId="0" xfId="0" applyNumberFormat="1" applyFont="1" applyFill="1" applyBorder="1" applyAlignment="1">
      <x:alignment vertical="center"/>
    </x:xf>
    <x:xf numFmtId="0" fontId="77" fillId="0" borderId="0" xfId="0" applyNumberFormat="1" applyFont="1" applyFill="1" applyBorder="1" applyAlignment="1">
      <x:alignment vertical="center" wrapText="1"/>
    </x:xf>
    <x:xf numFmtId="0" fontId="77" fillId="29" borderId="0" xfId="0" applyNumberFormat="1" applyFont="1" applyFill="1" applyBorder="1" applyAlignment="1">
      <x:alignment vertical="center" wrapText="1"/>
    </x:xf>
    <x:xf numFmtId="201" fontId="70" fillId="29" borderId="0" xfId="0" applyNumberFormat="1" applyFont="1" applyFill="1" applyBorder="1" applyAlignment="1">
      <x:alignment vertical="center"/>
    </x:xf>
    <x:xf numFmtId="201" fontId="70" fillId="29" borderId="0" xfId="0" applyNumberFormat="1" applyFont="1" applyFill="1" applyBorder="1" applyAlignment="1">
      <x:alignment horizontal="right" vertical="center"/>
    </x:xf>
    <x:xf numFmtId="201" fontId="82" fillId="29" borderId="0" xfId="0" applyNumberFormat="1" applyFont="1" applyFill="1" applyBorder="1" applyAlignment="1">
      <x:alignment horizontal="right" vertical="center"/>
    </x:xf>
    <x:xf numFmtId="0" fontId="83" fillId="0" borderId="0" xfId="0" applyNumberFormat="1" applyFont="1" applyFill="1" applyBorder="1"/>
    <x:xf numFmtId="0" fontId="83" fillId="0" borderId="0" xfId="0" applyNumberFormat="1" applyFont="1" applyFill="1" applyBorder="1" applyAlignment="1">
      <x:alignment vertical="center"/>
    </x:xf>
    <x:xf numFmtId="0" fontId="83" fillId="30" borderId="0" xfId="0" applyNumberFormat="1" applyFont="1" applyFill="1" applyBorder="1" applyAlignment="1">
      <x:alignment vertical="center"/>
    </x:xf>
    <x:xf numFmtId="0" fontId="84" fillId="30" borderId="0" xfId="0" applyNumberFormat="1" applyFont="1" applyFill="1" applyBorder="1" applyAlignment="1">
      <x:alignment vertical="center"/>
    </x:xf>
    <x:xf numFmtId="0" fontId="84" fillId="30" borderId="0" xfId="0" applyNumberFormat="1" applyFont="1" applyFill="1" applyBorder="1" applyAlignment="1">
      <x:alignment vertical="center" wrapText="1"/>
    </x:xf>
    <x:xf numFmtId="0" fontId="85" fillId="0" borderId="0" xfId="0" applyNumberFormat="1" applyFont="1" applyFill="1" applyBorder="1" applyAlignment="1">
      <x:alignment vertical="center"/>
    </x:xf>
    <x:xf numFmtId="0" fontId="86" fillId="0" borderId="0" xfId="0" applyNumberFormat="1" applyFont="1" applyFill="1" applyBorder="1" applyAlignment="1">
      <x:alignment vertical="center"/>
    </x:xf>
    <x:xf numFmtId="0" fontId="85" fillId="0" borderId="0" xfId="0" applyNumberFormat="1" applyFont="1" applyFill="1" applyBorder="1" applyAlignment="1">
      <x:alignment horizontal="left" vertical="center"/>
    </x:xf>
    <x:xf numFmtId="0" fontId="87" fillId="30" borderId="0" xfId="0" applyNumberFormat="1" applyFont="1" applyFill="1" applyBorder="1" applyAlignment="1">
      <x:alignment vertical="center"/>
    </x:xf>
    <x:xf numFmtId="0" fontId="87" fillId="30" borderId="0" xfId="0" applyNumberFormat="1" applyFont="1" applyFill="1" applyBorder="1" applyAlignment="1">
      <x:alignment vertical="center" wrapText="1"/>
    </x:xf>
    <x:xf numFmtId="0" fontId="83" fillId="31" borderId="0" xfId="0" applyNumberFormat="1" applyFont="1" applyFill="1" applyBorder="1" applyAlignment="1">
      <x:alignment vertical="center"/>
    </x:xf>
    <x:xf numFmtId="0" fontId="87" fillId="31" borderId="0" xfId="0" applyNumberFormat="1" applyFont="1" applyFill="1" applyBorder="1" applyAlignment="1">
      <x:alignment vertical="center"/>
    </x:xf>
    <x:xf numFmtId="0" fontId="87" fillId="31" borderId="0" xfId="0" applyNumberFormat="1" applyFont="1" applyFill="1" applyBorder="1" applyAlignment="1">
      <x:alignment horizontal="center" vertical="center"/>
    </x:xf>
    <x:xf numFmtId="0" fontId="83" fillId="32" borderId="0" xfId="0" applyNumberFormat="1" applyFont="1" applyFill="1" applyBorder="1" applyAlignment="1">
      <x:alignment vertical="center"/>
    </x:xf>
    <x:xf numFmtId="0" fontId="88" fillId="32" borderId="0" xfId="0" applyNumberFormat="1" applyFont="1" applyFill="1" applyBorder="1" applyAlignment="1">
      <x:alignment vertical="center"/>
    </x:xf>
    <x:xf numFmtId="0" fontId="88" fillId="32" borderId="0" xfId="0" applyNumberFormat="1" applyFont="1" applyFill="1" applyBorder="1" applyAlignment="1">
      <x:alignment vertical="center" wrapText="1"/>
    </x:xf>
    <x:xf numFmtId="0" fontId="88" fillId="32" borderId="0" xfId="0" applyNumberFormat="1" applyFont="1" applyFill="1" applyBorder="1" applyAlignment="1">
      <x:alignment horizontal="center" vertical="center" wrapText="1"/>
    </x:xf>
    <x:xf numFmtId="0" fontId="83" fillId="33" borderId="0" xfId="0" applyNumberFormat="1" applyFont="1" applyFill="1" applyBorder="1" applyAlignment="1">
      <x:alignment vertical="center"/>
    </x:xf>
    <x:xf numFmtId="0" fontId="87" fillId="33" borderId="0" xfId="0" applyNumberFormat="1" applyFont="1" applyFill="1" applyBorder="1" applyAlignment="1">
      <x:alignment vertical="center"/>
    </x:xf>
    <x:xf numFmtId="0" fontId="87" fillId="33" borderId="0" xfId="0" applyNumberFormat="1" applyFont="1" applyFill="1" applyBorder="1" applyAlignment="1">
      <x:alignment horizontal="center" vertical="center"/>
    </x:xf>
    <x:xf numFmtId="0" fontId="88" fillId="0" borderId="0" xfId="0" applyNumberFormat="1" applyFont="1" applyFill="1" applyBorder="1" applyAlignment="1">
      <x:alignment vertical="center"/>
    </x:xf>
    <x:xf numFmtId="201" fontId="83" fillId="0" borderId="0" xfId="0" applyNumberFormat="1" applyFont="1" applyFill="1" applyBorder="1" applyAlignment="1">
      <x:alignment vertical="center"/>
    </x:xf>
    <x:xf numFmtId="201" fontId="83" fillId="0" borderId="0" xfId="0" applyNumberFormat="1" applyFont="1" applyFill="1" applyBorder="1" applyAlignment="1">
      <x:alignment horizontal="right" vertical="center"/>
    </x:xf>
    <x:xf numFmtId="202" fontId="83" fillId="0" borderId="0" xfId="0" applyNumberFormat="1" applyFont="1" applyFill="1" applyBorder="1" applyAlignment="1">
      <x:alignment vertical="center"/>
    </x:xf>
    <x:xf numFmtId="202" fontId="89" fillId="0" borderId="0" xfId="0" applyNumberFormat="1" applyFont="1" applyFill="1" applyBorder="1" applyAlignment="1">
      <x:alignment vertical="center"/>
    </x:xf>
    <x:xf numFmtId="202" fontId="89" fillId="0" borderId="0" xfId="0" applyNumberFormat="1" applyFont="1" applyFill="1" applyBorder="1" applyAlignment="1">
      <x:alignment horizontal="right" vertical="center"/>
    </x:xf>
    <x:xf numFmtId="0" fontId="90" fillId="32" borderId="0" xfId="0" applyNumberFormat="1" applyFont="1" applyFill="1" applyBorder="1" applyAlignment="1">
      <x:alignment vertical="center"/>
    </x:xf>
    <x:xf numFmtId="201" fontId="90" fillId="32" borderId="0" xfId="0" applyNumberFormat="1" applyFont="1" applyFill="1" applyBorder="1" applyAlignment="1">
      <x:alignment vertical="center"/>
    </x:xf>
    <x:xf numFmtId="201" fontId="90" fillId="32" borderId="0" xfId="0" applyNumberFormat="1" applyFont="1" applyFill="1" applyBorder="1" applyAlignment="1">
      <x:alignment horizontal="right" vertical="center"/>
    </x:xf>
    <x:xf numFmtId="202" fontId="90" fillId="32" borderId="0" xfId="0" applyNumberFormat="1" applyFont="1" applyFill="1" applyBorder="1" applyAlignment="1">
      <x:alignment vertical="center"/>
    </x:xf>
    <x:xf numFmtId="202" fontId="14" fillId="32" borderId="0" xfId="0" applyNumberFormat="1" applyFont="1" applyFill="1" applyBorder="1" applyAlignment="1">
      <x:alignment vertical="center"/>
    </x:xf>
    <x:xf numFmtId="202" fontId="14" fillId="32" borderId="0" xfId="0" applyNumberFormat="1" applyFont="1" applyFill="1" applyBorder="1" applyAlignment="1">
      <x:alignment horizontal="right" vertical="center"/>
    </x:xf>
    <x:xf numFmtId="0" fontId="83" fillId="34" borderId="0" xfId="0" applyNumberFormat="1" applyFont="1" applyFill="1" applyBorder="1" applyAlignment="1">
      <x:alignment vertical="center"/>
    </x:xf>
    <x:xf numFmtId="0" fontId="90" fillId="34" borderId="0" xfId="0" applyNumberFormat="1" applyFont="1" applyFill="1" applyBorder="1" applyAlignment="1">
      <x:alignment vertical="center"/>
    </x:xf>
    <x:xf numFmtId="201" fontId="90" fillId="34" borderId="0" xfId="0" applyNumberFormat="1" applyFont="1" applyFill="1" applyBorder="1" applyAlignment="1">
      <x:alignment vertical="center"/>
    </x:xf>
    <x:xf numFmtId="201" fontId="90" fillId="34" borderId="0" xfId="0" applyNumberFormat="1" applyFont="1" applyFill="1" applyBorder="1" applyAlignment="1">
      <x:alignment horizontal="right" vertical="center"/>
    </x:xf>
    <x:xf numFmtId="202" fontId="90" fillId="34" borderId="0" xfId="0" applyNumberFormat="1" applyFont="1" applyFill="1" applyBorder="1" applyAlignment="1">
      <x:alignment vertical="center"/>
    </x:xf>
    <x:xf numFmtId="202" fontId="14" fillId="34" borderId="0" xfId="0" applyNumberFormat="1" applyFont="1" applyFill="1" applyBorder="1" applyAlignment="1">
      <x:alignment vertical="center"/>
    </x:xf>
    <x:xf numFmtId="202" fontId="14" fillId="34" borderId="0" xfId="0" applyNumberFormat="1" applyFont="1" applyFill="1" applyBorder="1" applyAlignment="1">
      <x:alignment horizontal="right" vertical="center"/>
    </x:xf>
    <x:xf numFmtId="0" fontId="85" fillId="0" borderId="0" xfId="0" applyNumberFormat="1" applyFont="1" applyFill="1" applyBorder="1" applyAlignment="1">
      <x:alignment vertical="center" wrapText="1"/>
    </x:xf>
    <x:xf numFmtId="204" fontId="83" fillId="0" borderId="0" xfId="0" applyNumberFormat="1" applyFont="1" applyFill="1" applyBorder="1" applyAlignment="1">
      <x:alignment vertical="center"/>
    </x:xf>
    <x:xf numFmtId="204" fontId="83" fillId="0" borderId="0" xfId="0" applyNumberFormat="1" applyFont="1" applyFill="1" applyBorder="1" applyAlignment="1">
      <x:alignment horizontal="right" vertical="center"/>
    </x:xf>
    <x:xf numFmtId="204" fontId="90" fillId="32" borderId="0" xfId="0" applyNumberFormat="1" applyFont="1" applyFill="1" applyBorder="1" applyAlignment="1">
      <x:alignment vertical="center"/>
    </x:xf>
    <x:xf numFmtId="204" fontId="90" fillId="32" borderId="0" xfId="0" applyNumberFormat="1" applyFont="1" applyFill="1" applyBorder="1" applyAlignment="1">
      <x:alignment horizontal="right" vertical="center"/>
    </x:xf>
    <x:xf numFmtId="204" fontId="90" fillId="34" borderId="0" xfId="0" applyNumberFormat="1" applyFont="1" applyFill="1" applyBorder="1" applyAlignment="1">
      <x:alignment vertical="center"/>
    </x:xf>
    <x:xf numFmtId="204" fontId="90" fillId="34" borderId="0" xfId="0" applyNumberFormat="1" applyFont="1" applyFill="1" applyBorder="1" applyAlignment="1">
      <x:alignment horizontal="right" vertical="center"/>
    </x:xf>
    <x:xf numFmtId="0" fontId="86" fillId="0" borderId="0" xfId="0" applyNumberFormat="1" applyFont="1" applyFill="1" applyBorder="1" applyAlignment="1">
      <x:alignment horizontal="left" vertical="center"/>
    </x:xf>
    <x:xf numFmtId="200" fontId="83" fillId="0" borderId="0" xfId="0" applyNumberFormat="1" applyFont="1" applyFill="1" applyBorder="1" applyAlignment="1">
      <x:alignment vertical="center"/>
    </x:xf>
    <x:xf numFmtId="200" fontId="83" fillId="32" borderId="0" xfId="0" applyNumberFormat="1" applyFont="1" applyFill="1" applyBorder="1" applyAlignment="1">
      <x:alignment vertical="center"/>
    </x:xf>
    <x:xf numFmtId="200" fontId="91" fillId="32" borderId="0" xfId="0" applyNumberFormat="1" applyFont="1" applyFill="1" applyBorder="1" applyAlignment="1">
      <x:alignment vertical="center"/>
    </x:xf>
    <x:xf numFmtId="200" fontId="91" fillId="32" borderId="0" xfId="0" applyNumberFormat="1" applyFont="1" applyFill="1" applyBorder="1" applyAlignment="1">
      <x:alignment horizontal="center" vertical="center"/>
    </x:xf>
    <x:xf numFmtId="0" fontId="83" fillId="0" borderId="0" xfId="0" applyNumberFormat="1" applyFont="1" applyFill="1" applyBorder="1" applyAlignment="1">
      <x:alignment vertical="center" wrapText="1"/>
    </x:xf>
    <x:xf numFmtId="201" fontId="92" fillId="0" borderId="0" xfId="0" applyNumberFormat="1" applyFont="1" applyFill="1" applyBorder="1" applyAlignment="1">
      <x:alignment horizontal="right" vertical="center"/>
    </x:xf>
    <x:xf numFmtId="0" fontId="89" fillId="0" borderId="0" xfId="0" applyNumberFormat="1" applyFont="1" applyFill="1" applyBorder="1" applyAlignment="1">
      <x:alignment vertical="center"/>
    </x:xf>
    <x:xf numFmtId="0" fontId="89" fillId="0" borderId="0" xfId="0" applyNumberFormat="1" applyFont="1" applyFill="1" applyBorder="1" applyAlignment="1">
      <x:alignment vertical="center" wrapText="1"/>
    </x:xf>
    <x:xf numFmtId="202" fontId="83" fillId="0" borderId="0" xfId="0" applyNumberFormat="1" applyFont="1" applyFill="1" applyBorder="1" applyAlignment="1">
      <x:alignment horizontal="right" vertical="center"/>
    </x:xf>
    <x:xf numFmtId="201" fontId="93" fillId="0" borderId="0" xfId="0" applyNumberFormat="1" applyFont="1" applyFill="1" applyBorder="1" applyAlignment="1">
      <x:alignment horizontal="right" vertical="center"/>
    </x:xf>
    <x:xf numFmtId="202" fontId="94" fillId="0" borderId="0" xfId="0" applyNumberFormat="1" applyFont="1" applyFill="1" applyBorder="1" applyAlignment="1">
      <x:alignment horizontal="right" vertical="center"/>
    </x:xf>
    <x:xf numFmtId="0" fontId="90" fillId="0" borderId="0" xfId="0" applyNumberFormat="1" applyFont="1" applyFill="1" applyBorder="1" applyAlignment="1">
      <x:alignment vertical="center"/>
    </x:xf>
    <x:xf numFmtId="0" fontId="90" fillId="0" borderId="0" xfId="0" applyNumberFormat="1" applyFont="1" applyFill="1" applyBorder="1" applyAlignment="1">
      <x:alignment vertical="center" wrapText="1"/>
    </x:xf>
    <x:xf numFmtId="0" fontId="90" fillId="34" borderId="0" xfId="0" applyNumberFormat="1" applyFont="1" applyFill="1" applyBorder="1" applyAlignment="1">
      <x:alignment vertical="center" wrapText="1"/>
    </x:xf>
    <x:xf numFmtId="201" fontId="83" fillId="34" borderId="0" xfId="0" applyNumberFormat="1" applyFont="1" applyFill="1" applyBorder="1" applyAlignment="1">
      <x:alignment vertical="center"/>
    </x:xf>
    <x:xf numFmtId="201" fontId="83" fillId="34" borderId="0" xfId="0" applyNumberFormat="1" applyFont="1" applyFill="1" applyBorder="1" applyAlignment="1">
      <x:alignment horizontal="right" vertical="center"/>
    </x:xf>
    <x:xf numFmtId="201" fontId="95" fillId="34" borderId="0" xfId="0" applyNumberFormat="1" applyFont="1" applyFill="1" applyBorder="1" applyAlignment="1">
      <x:alignment horizontal="right" vertical="center"/>
    </x:xf>
    <x:xf numFmtId="0" fontId="96" fillId="0" borderId="0" xfId="0" applyNumberFormat="1" applyFont="1" applyFill="1" applyBorder="1"/>
    <x:xf numFmtId="0" fontId="96" fillId="0" borderId="0" xfId="0" applyNumberFormat="1" applyFont="1" applyFill="1" applyBorder="1" applyAlignment="1">
      <x:alignment vertical="center"/>
    </x:xf>
    <x:xf numFmtId="0" fontId="96" fillId="35" borderId="0" xfId="0" applyNumberFormat="1" applyFont="1" applyFill="1" applyBorder="1" applyAlignment="1">
      <x:alignment vertical="center"/>
    </x:xf>
    <x:xf numFmtId="0" fontId="97" fillId="35" borderId="0" xfId="0" applyNumberFormat="1" applyFont="1" applyFill="1" applyBorder="1" applyAlignment="1">
      <x:alignment vertical="center"/>
    </x:xf>
    <x:xf numFmtId="0" fontId="97" fillId="35" borderId="0" xfId="0" applyNumberFormat="1" applyFont="1" applyFill="1" applyBorder="1" applyAlignment="1">
      <x:alignment vertical="center" wrapText="1"/>
    </x:xf>
    <x:xf numFmtId="0" fontId="98" fillId="0" borderId="0" xfId="0" applyNumberFormat="1" applyFont="1" applyFill="1" applyBorder="1" applyAlignment="1">
      <x:alignment vertical="center"/>
    </x:xf>
    <x:xf numFmtId="0" fontId="99" fillId="0" borderId="0" xfId="0" applyNumberFormat="1" applyFont="1" applyFill="1" applyBorder="1" applyAlignment="1">
      <x:alignment vertical="center"/>
    </x:xf>
    <x:xf numFmtId="0" fontId="98" fillId="0" borderId="0" xfId="0" applyNumberFormat="1" applyFont="1" applyFill="1" applyBorder="1" applyAlignment="1">
      <x:alignment horizontal="left" vertical="center"/>
    </x:xf>
    <x:xf numFmtId="0" fontId="100" fillId="35" borderId="0" xfId="0" applyNumberFormat="1" applyFont="1" applyFill="1" applyBorder="1" applyAlignment="1">
      <x:alignment vertical="center"/>
    </x:xf>
    <x:xf numFmtId="0" fontId="100" fillId="35" borderId="0" xfId="0" applyNumberFormat="1" applyFont="1" applyFill="1" applyBorder="1" applyAlignment="1">
      <x:alignment vertical="center" wrapText="1"/>
    </x:xf>
    <x:xf numFmtId="0" fontId="96" fillId="36" borderId="0" xfId="0" applyNumberFormat="1" applyFont="1" applyFill="1" applyBorder="1" applyAlignment="1">
      <x:alignment vertical="center"/>
    </x:xf>
    <x:xf numFmtId="0" fontId="100" fillId="36" borderId="0" xfId="0" applyNumberFormat="1" applyFont="1" applyFill="1" applyBorder="1" applyAlignment="1">
      <x:alignment vertical="center"/>
    </x:xf>
    <x:xf numFmtId="0" fontId="100" fillId="36" borderId="0" xfId="0" applyNumberFormat="1" applyFont="1" applyFill="1" applyBorder="1" applyAlignment="1">
      <x:alignment horizontal="center" vertical="center"/>
    </x:xf>
    <x:xf numFmtId="0" fontId="96" fillId="37" borderId="0" xfId="0" applyNumberFormat="1" applyFont="1" applyFill="1" applyBorder="1" applyAlignment="1">
      <x:alignment vertical="center"/>
    </x:xf>
    <x:xf numFmtId="0" fontId="101" fillId="37" borderId="0" xfId="0" applyNumberFormat="1" applyFont="1" applyFill="1" applyBorder="1" applyAlignment="1">
      <x:alignment vertical="center"/>
    </x:xf>
    <x:xf numFmtId="0" fontId="101" fillId="37" borderId="0" xfId="0" applyNumberFormat="1" applyFont="1" applyFill="1" applyBorder="1" applyAlignment="1">
      <x:alignment vertical="center" wrapText="1"/>
    </x:xf>
    <x:xf numFmtId="0" fontId="101" fillId="37" borderId="0" xfId="0" applyNumberFormat="1" applyFont="1" applyFill="1" applyBorder="1" applyAlignment="1">
      <x:alignment horizontal="center" vertical="center" wrapText="1"/>
    </x:xf>
    <x:xf numFmtId="0" fontId="96" fillId="38" borderId="0" xfId="0" applyNumberFormat="1" applyFont="1" applyFill="1" applyBorder="1" applyAlignment="1">
      <x:alignment vertical="center"/>
    </x:xf>
    <x:xf numFmtId="0" fontId="100" fillId="38" borderId="0" xfId="0" applyNumberFormat="1" applyFont="1" applyFill="1" applyBorder="1" applyAlignment="1">
      <x:alignment vertical="center"/>
    </x:xf>
    <x:xf numFmtId="0" fontId="100" fillId="38" borderId="0" xfId="0" applyNumberFormat="1" applyFont="1" applyFill="1" applyBorder="1" applyAlignment="1">
      <x:alignment horizontal="center" vertical="center"/>
    </x:xf>
    <x:xf numFmtId="0" fontId="101" fillId="0" borderId="0" xfId="0" applyNumberFormat="1" applyFont="1" applyFill="1" applyBorder="1" applyAlignment="1">
      <x:alignment vertical="center"/>
    </x:xf>
    <x:xf numFmtId="201" fontId="96" fillId="0" borderId="0" xfId="0" applyNumberFormat="1" applyFont="1" applyFill="1" applyBorder="1" applyAlignment="1">
      <x:alignment vertical="center"/>
    </x:xf>
    <x:xf numFmtId="201" fontId="96" fillId="0" borderId="0" xfId="0" applyNumberFormat="1" applyFont="1" applyFill="1" applyBorder="1" applyAlignment="1">
      <x:alignment horizontal="right" vertical="center"/>
    </x:xf>
    <x:xf numFmtId="202" fontId="96" fillId="0" borderId="0" xfId="0" applyNumberFormat="1" applyFont="1" applyFill="1" applyBorder="1" applyAlignment="1">
      <x:alignment vertical="center"/>
    </x:xf>
    <x:xf numFmtId="202" fontId="102" fillId="0" borderId="0" xfId="0" applyNumberFormat="1" applyFont="1" applyFill="1" applyBorder="1" applyAlignment="1">
      <x:alignment vertical="center"/>
    </x:xf>
    <x:xf numFmtId="202" fontId="102" fillId="0" borderId="0" xfId="0" applyNumberFormat="1" applyFont="1" applyFill="1" applyBorder="1" applyAlignment="1">
      <x:alignment horizontal="right" vertical="center"/>
    </x:xf>
    <x:xf numFmtId="0" fontId="103" fillId="37" borderId="0" xfId="0" applyNumberFormat="1" applyFont="1" applyFill="1" applyBorder="1" applyAlignment="1">
      <x:alignment vertical="center"/>
    </x:xf>
    <x:xf numFmtId="201" fontId="103" fillId="37" borderId="0" xfId="0" applyNumberFormat="1" applyFont="1" applyFill="1" applyBorder="1" applyAlignment="1">
      <x:alignment vertical="center"/>
    </x:xf>
    <x:xf numFmtId="201" fontId="103" fillId="37" borderId="0" xfId="0" applyNumberFormat="1" applyFont="1" applyFill="1" applyBorder="1" applyAlignment="1">
      <x:alignment horizontal="right" vertical="center"/>
    </x:xf>
    <x:xf numFmtId="202" fontId="103" fillId="37" borderId="0" xfId="0" applyNumberFormat="1" applyFont="1" applyFill="1" applyBorder="1" applyAlignment="1">
      <x:alignment vertical="center"/>
    </x:xf>
    <x:xf numFmtId="202" fontId="14" fillId="37" borderId="0" xfId="0" applyNumberFormat="1" applyFont="1" applyFill="1" applyBorder="1" applyAlignment="1">
      <x:alignment vertical="center"/>
    </x:xf>
    <x:xf numFmtId="202" fontId="14" fillId="37" borderId="0" xfId="0" applyNumberFormat="1" applyFont="1" applyFill="1" applyBorder="1" applyAlignment="1">
      <x:alignment horizontal="right" vertical="center"/>
    </x:xf>
    <x:xf numFmtId="0" fontId="96" fillId="39" borderId="0" xfId="0" applyNumberFormat="1" applyFont="1" applyFill="1" applyBorder="1" applyAlignment="1">
      <x:alignment vertical="center"/>
    </x:xf>
    <x:xf numFmtId="0" fontId="103" fillId="39" borderId="0" xfId="0" applyNumberFormat="1" applyFont="1" applyFill="1" applyBorder="1" applyAlignment="1">
      <x:alignment vertical="center"/>
    </x:xf>
    <x:xf numFmtId="201" fontId="103" fillId="39" borderId="0" xfId="0" applyNumberFormat="1" applyFont="1" applyFill="1" applyBorder="1" applyAlignment="1">
      <x:alignment vertical="center"/>
    </x:xf>
    <x:xf numFmtId="201" fontId="103" fillId="39" borderId="0" xfId="0" applyNumberFormat="1" applyFont="1" applyFill="1" applyBorder="1" applyAlignment="1">
      <x:alignment horizontal="right" vertical="center"/>
    </x:xf>
    <x:xf numFmtId="202" fontId="103" fillId="39" borderId="0" xfId="0" applyNumberFormat="1" applyFont="1" applyFill="1" applyBorder="1" applyAlignment="1">
      <x:alignment vertical="center"/>
    </x:xf>
    <x:xf numFmtId="202" fontId="14" fillId="39" borderId="0" xfId="0" applyNumberFormat="1" applyFont="1" applyFill="1" applyBorder="1" applyAlignment="1">
      <x:alignment vertical="center"/>
    </x:xf>
    <x:xf numFmtId="202" fontId="14" fillId="39" borderId="0" xfId="0" applyNumberFormat="1" applyFont="1" applyFill="1" applyBorder="1" applyAlignment="1">
      <x:alignment horizontal="right" vertical="center"/>
    </x:xf>
    <x:xf numFmtId="0" fontId="98" fillId="0" borderId="0" xfId="0" applyNumberFormat="1" applyFont="1" applyFill="1" applyBorder="1" applyAlignment="1">
      <x:alignment vertical="center" wrapText="1"/>
    </x:xf>
    <x:xf numFmtId="204" fontId="96" fillId="0" borderId="0" xfId="0" applyNumberFormat="1" applyFont="1" applyFill="1" applyBorder="1" applyAlignment="1">
      <x:alignment vertical="center"/>
    </x:xf>
    <x:xf numFmtId="204" fontId="96" fillId="0" borderId="0" xfId="0" applyNumberFormat="1" applyFont="1" applyFill="1" applyBorder="1" applyAlignment="1">
      <x:alignment horizontal="right" vertical="center"/>
    </x:xf>
    <x:xf numFmtId="204" fontId="103" fillId="37" borderId="0" xfId="0" applyNumberFormat="1" applyFont="1" applyFill="1" applyBorder="1" applyAlignment="1">
      <x:alignment vertical="center"/>
    </x:xf>
    <x:xf numFmtId="204" fontId="103" fillId="37" borderId="0" xfId="0" applyNumberFormat="1" applyFont="1" applyFill="1" applyBorder="1" applyAlignment="1">
      <x:alignment horizontal="right" vertical="center"/>
    </x:xf>
    <x:xf numFmtId="204" fontId="103" fillId="39" borderId="0" xfId="0" applyNumberFormat="1" applyFont="1" applyFill="1" applyBorder="1" applyAlignment="1">
      <x:alignment vertical="center"/>
    </x:xf>
    <x:xf numFmtId="204" fontId="103" fillId="39" borderId="0" xfId="0" applyNumberFormat="1" applyFont="1" applyFill="1" applyBorder="1" applyAlignment="1">
      <x:alignment horizontal="right" vertical="center"/>
    </x:xf>
    <x:xf numFmtId="0" fontId="99" fillId="0" borderId="0" xfId="0" applyNumberFormat="1" applyFont="1" applyFill="1" applyBorder="1" applyAlignment="1">
      <x:alignment horizontal="left" vertical="center"/>
    </x:xf>
    <x:xf numFmtId="200" fontId="96" fillId="0" borderId="0" xfId="0" applyNumberFormat="1" applyFont="1" applyFill="1" applyBorder="1" applyAlignment="1">
      <x:alignment vertical="center"/>
    </x:xf>
    <x:xf numFmtId="200" fontId="96" fillId="37" borderId="0" xfId="0" applyNumberFormat="1" applyFont="1" applyFill="1" applyBorder="1" applyAlignment="1">
      <x:alignment vertical="center"/>
    </x:xf>
    <x:xf numFmtId="200" fontId="104" fillId="37" borderId="0" xfId="0" applyNumberFormat="1" applyFont="1" applyFill="1" applyBorder="1" applyAlignment="1">
      <x:alignment vertical="center"/>
    </x:xf>
    <x:xf numFmtId="200" fontId="104" fillId="37" borderId="0" xfId="0" applyNumberFormat="1" applyFont="1" applyFill="1" applyBorder="1" applyAlignment="1">
      <x:alignment horizontal="center" vertical="center"/>
    </x:xf>
    <x:xf numFmtId="0" fontId="96" fillId="0" borderId="0" xfId="0" applyNumberFormat="1" applyFont="1" applyFill="1" applyBorder="1" applyAlignment="1">
      <x:alignment vertical="center" wrapText="1"/>
    </x:xf>
    <x:xf numFmtId="201" fontId="105" fillId="0" borderId="0" xfId="0" applyNumberFormat="1" applyFont="1" applyFill="1" applyBorder="1" applyAlignment="1">
      <x:alignment horizontal="right" vertical="center"/>
    </x:xf>
    <x:xf numFmtId="0" fontId="102" fillId="0" borderId="0" xfId="0" applyNumberFormat="1" applyFont="1" applyFill="1" applyBorder="1" applyAlignment="1">
      <x:alignment vertical="center"/>
    </x:xf>
    <x:xf numFmtId="0" fontId="102" fillId="0" borderId="0" xfId="0" applyNumberFormat="1" applyFont="1" applyFill="1" applyBorder="1" applyAlignment="1">
      <x:alignment vertical="center" wrapText="1"/>
    </x:xf>
    <x:xf numFmtId="202" fontId="96" fillId="0" borderId="0" xfId="0" applyNumberFormat="1" applyFont="1" applyFill="1" applyBorder="1" applyAlignment="1">
      <x:alignment horizontal="right" vertical="center"/>
    </x:xf>
    <x:xf numFmtId="201" fontId="106" fillId="0" borderId="0" xfId="0" applyNumberFormat="1" applyFont="1" applyFill="1" applyBorder="1" applyAlignment="1">
      <x:alignment horizontal="right" vertical="center"/>
    </x:xf>
    <x:xf numFmtId="202" fontId="107" fillId="0" borderId="0" xfId="0" applyNumberFormat="1" applyFont="1" applyFill="1" applyBorder="1" applyAlignment="1">
      <x:alignment horizontal="right" vertical="center"/>
    </x:xf>
    <x:xf numFmtId="0" fontId="103" fillId="0" borderId="0" xfId="0" applyNumberFormat="1" applyFont="1" applyFill="1" applyBorder="1" applyAlignment="1">
      <x:alignment vertical="center"/>
    </x:xf>
    <x:xf numFmtId="0" fontId="103" fillId="0" borderId="0" xfId="0" applyNumberFormat="1" applyFont="1" applyFill="1" applyBorder="1" applyAlignment="1">
      <x:alignment vertical="center" wrapText="1"/>
    </x:xf>
    <x:xf numFmtId="0" fontId="103" fillId="39" borderId="0" xfId="0" applyNumberFormat="1" applyFont="1" applyFill="1" applyBorder="1" applyAlignment="1">
      <x:alignment vertical="center" wrapText="1"/>
    </x:xf>
    <x:xf numFmtId="201" fontId="96" fillId="39" borderId="0" xfId="0" applyNumberFormat="1" applyFont="1" applyFill="1" applyBorder="1" applyAlignment="1">
      <x:alignment vertical="center"/>
    </x:xf>
    <x:xf numFmtId="201" fontId="96" fillId="39" borderId="0" xfId="0" applyNumberFormat="1" applyFont="1" applyFill="1" applyBorder="1" applyAlignment="1">
      <x:alignment horizontal="right" vertical="center"/>
    </x:xf>
    <x:xf numFmtId="201" fontId="108" fillId="39" borderId="0" xfId="0" applyNumberFormat="1" applyFont="1" applyFill="1" applyBorder="1" applyAlignment="1">
      <x:alignment horizontal="right" vertical="center"/>
    </x:xf>
    <x:xf numFmtId="0" fontId="109" fillId="0" borderId="0" xfId="0" applyNumberFormat="1" applyFont="1" applyFill="1" applyBorder="1" applyAlignment="1">
      <x:alignment vertical="center"/>
    </x:xf>
    <x:xf numFmtId="0" fontId="109" fillId="0" borderId="0" xfId="0" applyNumberFormat="1" applyFont="1" applyFill="1" applyBorder="1" applyAlignment="1">
      <x:alignment horizontal="left" vertical="center"/>
    </x:xf>
    <x:xf numFmtId="0" fontId="110" fillId="0" borderId="0" xfId="0" applyNumberFormat="1" applyFont="1" applyFill="1" applyBorder="1"/>
    <x:xf numFmtId="0" fontId="110" fillId="0" borderId="0" xfId="0" applyNumberFormat="1" applyFont="1" applyFill="1" applyBorder="1" applyAlignment="1">
      <x:alignment vertical="center"/>
    </x:xf>
    <x:xf numFmtId="0" fontId="110" fillId="40" borderId="0" xfId="0" applyNumberFormat="1" applyFont="1" applyFill="1" applyBorder="1" applyAlignment="1">
      <x:alignment vertical="center"/>
    </x:xf>
    <x:xf numFmtId="0" fontId="111" fillId="40" borderId="0" xfId="0" applyNumberFormat="1" applyFont="1" applyFill="1" applyBorder="1" applyAlignment="1">
      <x:alignment vertical="center"/>
    </x:xf>
    <x:xf numFmtId="0" fontId="111" fillId="40" borderId="0" xfId="0" applyNumberFormat="1" applyFont="1" applyFill="1" applyBorder="1" applyAlignment="1">
      <x:alignment vertical="center" wrapText="1"/>
    </x:xf>
    <x:xf numFmtId="0" fontId="112" fillId="0" borderId="0" xfId="0" applyNumberFormat="1" applyFont="1" applyFill="1" applyBorder="1" applyAlignment="1">
      <x:alignment vertical="center"/>
    </x:xf>
    <x:xf numFmtId="0" fontId="113" fillId="0" borderId="0" xfId="0" applyNumberFormat="1" applyFont="1" applyFill="1" applyBorder="1" applyAlignment="1">
      <x:alignment vertical="center"/>
    </x:xf>
    <x:xf numFmtId="0" fontId="114" fillId="0" borderId="0" xfId="0" applyNumberFormat="1" applyFont="1" applyFill="1" applyBorder="1" applyAlignment="1">
      <x:alignment vertical="center"/>
    </x:xf>
    <x:xf numFmtId="0" fontId="110" fillId="41" borderId="0" xfId="0" applyNumberFormat="1" applyFont="1" applyFill="1" applyBorder="1" applyAlignment="1">
      <x:alignment vertical="center"/>
    </x:xf>
    <x:xf numFmtId="0" fontId="115" fillId="41" borderId="0" xfId="0" applyNumberFormat="1" applyFont="1" applyFill="1" applyBorder="1" applyAlignment="1">
      <x:alignment vertical="center"/>
    </x:xf>
    <x:xf numFmtId="0" fontId="115" fillId="41" borderId="0" xfId="0" applyNumberFormat="1" applyFont="1" applyFill="1" applyBorder="1" applyAlignment="1">
      <x:alignment horizontal="center" vertical="center"/>
    </x:xf>
    <x:xf numFmtId="200" fontId="110" fillId="0" borderId="0" xfId="0" applyNumberFormat="1" applyFont="1" applyFill="1" applyBorder="1" applyAlignment="1">
      <x:alignment vertical="center"/>
    </x:xf>
    <x:xf numFmtId="200" fontId="110" fillId="42" borderId="0" xfId="0" applyNumberFormat="1" applyFont="1" applyFill="1" applyBorder="1" applyAlignment="1">
      <x:alignment vertical="center"/>
    </x:xf>
    <x:xf numFmtId="200" fontId="116" fillId="42" borderId="0" xfId="0" applyNumberFormat="1" applyFont="1" applyFill="1" applyBorder="1" applyAlignment="1">
      <x:alignment vertical="center"/>
    </x:xf>
    <x:xf numFmtId="200" fontId="116" fillId="42" borderId="0" xfId="0" applyNumberFormat="1" applyFont="1" applyFill="1" applyBorder="1" applyAlignment="1">
      <x:alignment horizontal="center" vertical="center"/>
    </x:xf>
    <x:xf numFmtId="0" fontId="116" fillId="0" borderId="0" xfId="0" applyNumberFormat="1" applyFont="1" applyFill="1" applyBorder="1" applyAlignment="1">
      <x:alignment vertical="center"/>
    </x:xf>
    <x:xf numFmtId="0" fontId="116" fillId="0" borderId="0" xfId="0" applyNumberFormat="1" applyFont="1" applyFill="1" applyBorder="1" applyAlignment="1">
      <x:alignment horizontal="center" vertical="center"/>
    </x:xf>
    <x:xf numFmtId="0" fontId="110" fillId="43" borderId="0" xfId="0" applyNumberFormat="1" applyFont="1" applyFill="1" applyBorder="1" applyAlignment="1">
      <x:alignment vertical="center"/>
    </x:xf>
    <x:xf numFmtId="0" fontId="115" fillId="43" borderId="0" xfId="0" applyNumberFormat="1" applyFont="1" applyFill="1" applyBorder="1" applyAlignment="1">
      <x:alignment vertical="center"/>
    </x:xf>
    <x:xf numFmtId="0" fontId="115" fillId="43" borderId="0" xfId="0" applyNumberFormat="1" applyFont="1" applyFill="1" applyBorder="1" applyAlignment="1">
      <x:alignment horizontal="center" vertical="center"/>
    </x:xf>
    <x:xf numFmtId="0" fontId="115" fillId="40" borderId="0" xfId="0" applyNumberFormat="1" applyFont="1" applyFill="1" applyBorder="1" applyAlignment="1">
      <x:alignment vertical="center"/>
    </x:xf>
    <x:xf numFmtId="0" fontId="115" fillId="40" borderId="0" xfId="0" applyNumberFormat="1" applyFont="1" applyFill="1" applyBorder="1" applyAlignment="1">
      <x:alignment vertical="center" wrapText="1"/>
    </x:xf>
    <x:xf numFmtId="0" fontId="112" fillId="0" borderId="0" xfId="0" applyNumberFormat="1" applyFont="1" applyFill="1" applyBorder="1" applyAlignment="1">
      <x:alignment vertical="center" wrapText="1"/>
    </x:xf>
    <x:xf numFmtId="0" fontId="110" fillId="42" borderId="0" xfId="0" applyNumberFormat="1" applyFont="1" applyFill="1" applyBorder="1" applyAlignment="1">
      <x:alignment vertical="center"/>
    </x:xf>
    <x:xf numFmtId="0" fontId="117" fillId="42" borderId="0" xfId="0" applyNumberFormat="1" applyFont="1" applyFill="1" applyBorder="1" applyAlignment="1">
      <x:alignment vertical="center"/>
    </x:xf>
    <x:xf numFmtId="0" fontId="110" fillId="0" borderId="0" xfId="0" applyNumberFormat="1" applyFont="1" applyFill="1" applyBorder="1" applyAlignment="1">
      <x:alignment vertical="center" wrapText="1"/>
    </x:xf>
    <x:xf numFmtId="201" fontId="110" fillId="0" borderId="0" xfId="0" applyNumberFormat="1" applyFont="1" applyFill="1" applyBorder="1" applyAlignment="1">
      <x:alignment vertical="center"/>
    </x:xf>
    <x:xf numFmtId="201" fontId="110" fillId="0" borderId="0" xfId="0" applyNumberFormat="1" applyFont="1" applyFill="1" applyBorder="1" applyAlignment="1">
      <x:alignment horizontal="right" vertical="center"/>
    </x:xf>
    <x:xf numFmtId="0" fontId="118" fillId="0" borderId="0" xfId="0" applyNumberFormat="1" applyFont="1" applyFill="1" applyBorder="1" applyAlignment="1">
      <x:alignment vertical="center"/>
    </x:xf>
    <x:xf numFmtId="0" fontId="118" fillId="0" borderId="0" xfId="0" applyNumberFormat="1" applyFont="1" applyFill="1" applyBorder="1" applyAlignment="1">
      <x:alignment vertical="center" wrapText="1"/>
    </x:xf>
    <x:xf numFmtId="202" fontId="118" fillId="0" borderId="0" xfId="0" applyNumberFormat="1" applyFont="1" applyFill="1" applyBorder="1" applyAlignment="1">
      <x:alignment vertical="center"/>
    </x:xf>
    <x:xf numFmtId="202" fontId="118" fillId="0" borderId="0" xfId="0" applyNumberFormat="1" applyFont="1" applyFill="1" applyBorder="1" applyAlignment="1">
      <x:alignment horizontal="right" vertical="center"/>
    </x:xf>
    <x:xf numFmtId="0" fontId="110" fillId="44" borderId="0" xfId="0" applyNumberFormat="1" applyFont="1" applyFill="1" applyBorder="1" applyAlignment="1">
      <x:alignment vertical="center"/>
    </x:xf>
    <x:xf numFmtId="0" fontId="117" fillId="44" borderId="0" xfId="0" applyNumberFormat="1" applyFont="1" applyFill="1" applyBorder="1" applyAlignment="1">
      <x:alignment vertical="center"/>
    </x:xf>
    <x:xf numFmtId="0" fontId="117" fillId="0" borderId="0" xfId="0" applyNumberFormat="1" applyFont="1" applyFill="1" applyBorder="1" applyAlignment="1">
      <x:alignment vertical="center"/>
    </x:xf>
    <x:xf numFmtId="0" fontId="117" fillId="0" borderId="0" xfId="0" applyNumberFormat="1" applyFont="1" applyFill="1" applyBorder="1" applyAlignment="1">
      <x:alignment vertical="center" wrapText="1"/>
    </x:xf>
    <x:xf numFmtId="201" fontId="117" fillId="0" borderId="0" xfId="0" applyNumberFormat="1" applyFont="1" applyFill="1" applyBorder="1" applyAlignment="1">
      <x:alignment vertical="center"/>
    </x:xf>
    <x:xf numFmtId="201" fontId="117" fillId="0" borderId="0" xfId="0" applyNumberFormat="1" applyFont="1" applyFill="1" applyBorder="1" applyAlignment="1">
      <x:alignment horizontal="right" vertical="center"/>
    </x:xf>
    <x:xf numFmtId="0" fontId="14" fillId="0" borderId="0" xfId="0" applyNumberFormat="1" applyFont="1" applyFill="1" applyBorder="1" applyAlignment="1">
      <x:alignment vertical="center"/>
    </x:xf>
    <x:xf numFmtId="202" fontId="14" fillId="0" borderId="0" xfId="0" applyNumberFormat="1" applyFont="1" applyFill="1" applyBorder="1" applyAlignment="1">
      <x:alignment vertical="center"/>
    </x:xf>
    <x:xf numFmtId="202" fontId="14" fillId="0" borderId="0" xfId="0" applyNumberFormat="1" applyFont="1" applyFill="1" applyBorder="1" applyAlignment="1">
      <x:alignment horizontal="right" vertical="center"/>
    </x:xf>
    <x:xf numFmtId="204" fontId="118" fillId="0" borderId="0" xfId="0" applyNumberFormat="1" applyFont="1" applyFill="1" applyBorder="1" applyAlignment="1">
      <x:alignment vertical="center"/>
    </x:xf>
    <x:xf numFmtId="204" fontId="118" fillId="0" borderId="0" xfId="0" applyNumberFormat="1" applyFont="1" applyFill="1" applyBorder="1" applyAlignment="1">
      <x:alignment horizontal="right" vertical="center"/>
    </x:xf>
    <x:xf numFmtId="204" fontId="14" fillId="0" borderId="0" xfId="0" applyNumberFormat="1" applyFont="1" applyFill="1" applyBorder="1" applyAlignment="1">
      <x:alignment vertical="center"/>
    </x:xf>
    <x:xf numFmtId="204" fontId="14" fillId="0" borderId="0" xfId="0" applyNumberFormat="1" applyFont="1" applyFill="1" applyBorder="1" applyAlignment="1">
      <x:alignment horizontal="right" vertical="center"/>
    </x:xf>
  </x:cellXfs>
  <x:cellStyles count="1">
    <x:cellStyle name="Normal" xfId="0"/>
  </x:cellStyles>
  <x:dxfs count="463">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b/>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
      <x:font>
        <x:color rgb="FFA61B1B"/>
      </x:font>
      <x:fill>
        <x:patternFill>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b6788e9d1164a84" /><Relationship Type="http://schemas.openxmlformats.org/officeDocument/2006/relationships/theme" Target="/xl/theme/theme1.xml" Id="R9d30cdbe71da4a70" /><Relationship Type="http://schemas.openxmlformats.org/officeDocument/2006/relationships/sharedStrings" Target="/xl/sharedStrings.xml" Id="Rf6646f3814494ed8" /><Relationship Type="http://schemas.openxmlformats.org/officeDocument/2006/relationships/worksheet" Target="/xl/worksheets/sheet1.xml" Id="Rf2e84a3c2a2c4120" /><Relationship Type="http://schemas.openxmlformats.org/officeDocument/2006/relationships/worksheet" Target="/xl/worksheets/sheet2.xml" Id="R7b1a8395ef6a471c" /><Relationship Type="http://schemas.openxmlformats.org/officeDocument/2006/relationships/worksheet" Target="/xl/worksheets/sheet3.xml" Id="Rbddbe557c3db4677" /><Relationship Type="http://schemas.openxmlformats.org/officeDocument/2006/relationships/worksheet" Target="/xl/worksheets/sheet4.xml" Id="R0503f7ea4e6d4cd5" /><Relationship Type="http://schemas.openxmlformats.org/officeDocument/2006/relationships/worksheet" Target="/xl/worksheets/sheet5.xml" Id="R5cf61d453b5a4b96" /><Relationship Type="http://schemas.openxmlformats.org/officeDocument/2006/relationships/worksheet" Target="/xl/worksheets/sheet6.xml" Id="R6f07d13f1609420a" /><Relationship Type="http://schemas.openxmlformats.org/officeDocument/2006/relationships/worksheet" Target="/xl/worksheets/sheet7.xml" Id="R4d8bdafc63604dff" /><Relationship Type="http://schemas.openxmlformats.org/officeDocument/2006/relationships/worksheet" Target="/xl/worksheets/sheet8.xml" Id="R5b896bad51ed4346" /><Relationship Type="http://schemas.openxmlformats.org/officeDocument/2006/relationships/worksheet" Target="/xl/worksheets/sheet9.xml" Id="R5c3f9ac014d64be4" /><Relationship Type="http://schemas.openxmlformats.org/officeDocument/2006/relationships/worksheet" Target="/xl/worksheets/sheet10.xml" Id="Rd0e719edf8f24739" /><Relationship Type="http://schemas.openxmlformats.org/officeDocument/2006/relationships/worksheet" Target="/xl/worksheets/sheet11.xml" Id="Rc00a0a7ce560433c" /><Relationship Type="http://schemas.openxmlformats.org/officeDocument/2006/relationships/worksheet" Target="/xl/worksheets/sheet12.xml" Id="R37525ed7f88a403c" /><Relationship Type="http://schemas.openxmlformats.org/officeDocument/2006/relationships/worksheet" Target="/xl/worksheets/sheet13.xml" Id="R26754a7c160f4bc1" /><Relationship Type="http://schemas.openxmlformats.org/officeDocument/2006/relationships/worksheet" Target="/xl/worksheets/sheet14.xml" Id="R8e4da5a901644cd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64748B"/>
  </sheetPr>
  <sheetViews>
    <sheetView showGridLines="0" workbookViewId="0"/>
  </sheetViews>
  <sheetFormatPr defaultRowHeight="15"/>
  <cols>
    <col min="1" max="1" width="5" hidden="0" customWidth="1"/>
    <col min="2" max="2" width="31" hidden="0" customWidth="1"/>
    <col min="3" max="3" width="14" hidden="0" customWidth="1"/>
    <col min="4" max="4" width="14" hidden="0" customWidth="1"/>
    <col min="5" max="5" width="14" hidden="0" customWidth="1"/>
    <col min="6" max="6" width="14" hidden="0" customWidth="1"/>
    <col min="7" max="7" width="14" hidden="0" customWidth="1"/>
    <col min="8" max="8" width="14" hidden="0" customWidth="1"/>
  </cols>
  <sheetData>
    <row r="1" ht="28" customHeight="1">
      <c r="A1" s="7" t="str">
        <v>PepsiCo PEP — Historical Research Workbook</v>
      </c>
      <c r="B1" s="7"/>
      <c r="C1" s="7"/>
      <c r="D1" s="7"/>
      <c r="E1" s="7"/>
      <c r="F1" s="7"/>
      <c r="G1" s="7"/>
      <c r="H1" s="7"/>
    </row>
    <row r="2" ht="22" customHeight="1">
      <c r="A2" s="2"/>
      <c r="B2" s="2"/>
      <c r="C2" s="2"/>
      <c r="D2" s="2"/>
      <c r="E2" s="2"/>
      <c r="F2" s="2"/>
      <c r="G2" s="2"/>
      <c r="H2" s="2"/>
    </row>
    <row r="3" ht="22" customHeight="1">
      <c r="A3" s="2"/>
      <c r="B3" s="85" t="str">
        <v>FY2016–FY2025 | Quarterly: FY2024Q1–FY2026Q3</v>
      </c>
      <c r="C3" s="85"/>
      <c r="D3" s="85"/>
      <c r="E3" s="85"/>
      <c r="F3" s="85"/>
      <c r="G3" s="85"/>
      <c r="H3" s="85"/>
    </row>
    <row r="4" ht="22" customHeight="1">
      <c r="A4" s="2"/>
      <c r="B4" s="8" t="str">
        <v>USD millions unless indicated. Historical actuals through FY2026Q3; research layout updated 2026-10-22.</v>
      </c>
      <c r="C4" s="8"/>
      <c r="D4" s="8"/>
      <c r="E4" s="8"/>
      <c r="F4" s="8"/>
      <c r="G4" s="8"/>
      <c r="H4" s="8"/>
    </row>
    <row r="5" ht="22" customHeight="1">
      <c r="A5" s="2"/>
      <c r="B5" s="2"/>
      <c r="C5" s="2"/>
      <c r="D5" s="2"/>
      <c r="E5" s="2"/>
      <c r="F5" s="2"/>
      <c r="G5" s="2"/>
      <c r="H5" s="2"/>
    </row>
    <row r="6" ht="24" customHeight="1">
      <c r="A6" s="2"/>
      <c r="B6" s="11" t="str">
        <v>Worksheet</v>
      </c>
      <c r="C6" s="11" t="str">
        <v>Contents</v>
      </c>
      <c r="D6" s="11"/>
      <c r="E6" s="11"/>
      <c r="F6" s="11"/>
      <c r="G6" s="11"/>
      <c r="H6" s="11"/>
    </row>
    <row r="7" ht="22" customHeight="1">
      <c r="A7" s="2"/>
      <c r="B7" s="86" t="str">
        <v>Segments</v>
      </c>
      <c r="C7" s="2" t="str">
        <v>Start here: six-segment annual and quarterly operating trends</v>
      </c>
      <c r="D7" s="2"/>
      <c r="E7" s="2"/>
      <c r="F7" s="2"/>
      <c r="G7" s="2"/>
      <c r="H7" s="2"/>
    </row>
    <row r="8" ht="22" customHeight="1">
      <c r="A8" s="2"/>
      <c r="B8" s="86" t="str">
        <v>Operating Metrics</v>
      </c>
      <c r="C8" s="2" t="str">
        <v>Ten-year and quarterly trends; legacy splits and material drivers</v>
      </c>
      <c r="D8" s="2"/>
      <c r="E8" s="2"/>
      <c r="F8" s="2"/>
      <c r="G8" s="2"/>
      <c r="H8" s="2"/>
    </row>
    <row r="9" ht="22" customHeight="1">
      <c r="A9" s="2"/>
      <c r="B9" s="86" t="str">
        <v>Products &amp; Geography</v>
      </c>
      <c r="C9" s="2" t="str">
        <v>Annual country exposure, assets, food / beverage and bottling mix</v>
      </c>
      <c r="D9" s="2"/>
      <c r="E9" s="2"/>
      <c r="F9" s="2"/>
      <c r="G9" s="2"/>
      <c r="H9" s="2"/>
    </row>
    <row r="10" ht="22" customHeight="1">
      <c r="A10" s="2"/>
      <c r="B10" s="86" t="str">
        <v>Income Statement</v>
      </c>
      <c r="C10" s="2" t="str">
        <v>Consolidated results, YoY changes and YTD</v>
      </c>
      <c r="D10" s="2"/>
      <c r="E10" s="2"/>
      <c r="F10" s="2"/>
      <c r="G10" s="2"/>
      <c r="H10" s="2"/>
    </row>
    <row r="11" ht="22" customHeight="1">
      <c r="A11" s="2"/>
      <c r="B11" s="86" t="str">
        <v>Balance Sheet</v>
      </c>
      <c r="C11" s="2" t="str">
        <v>Consolidated assets, liabilities and equity</v>
      </c>
      <c r="D11" s="2"/>
      <c r="E11" s="2"/>
      <c r="F11" s="2"/>
      <c r="G11" s="2"/>
      <c r="H11" s="2"/>
    </row>
    <row r="12" ht="22" customHeight="1">
      <c r="A12" s="2"/>
      <c r="B12" s="86" t="str">
        <v>Cash Flow</v>
      </c>
      <c r="C12" s="2" t="str">
        <v>Annual/YTD cash flows and derived quarters</v>
      </c>
      <c r="D12" s="2"/>
      <c r="E12" s="2"/>
      <c r="F12" s="2"/>
      <c r="G12" s="2"/>
      <c r="H12" s="2"/>
    </row>
    <row r="13" ht="22" customHeight="1">
      <c r="A13" s="2"/>
      <c r="B13" s="86" t="str">
        <v>Derived Metrics</v>
      </c>
      <c r="C13" s="2" t="str">
        <v>Profitability, cash flow, debt, capital and turnover</v>
      </c>
      <c r="D13" s="2"/>
      <c r="E13" s="2"/>
      <c r="F13" s="2"/>
      <c r="G13" s="2"/>
      <c r="H13" s="2"/>
    </row>
    <row r="14" ht="22" customHeight="1">
      <c r="A14" s="2"/>
      <c r="B14" s="86" t="str">
        <v>Note Schedules</v>
      </c>
      <c r="C14" s="2" t="str">
        <v>Working capital, taxes, SBC and comprehensive income</v>
      </c>
      <c r="D14" s="2"/>
      <c r="E14" s="2"/>
      <c r="F14" s="2"/>
      <c r="G14" s="2"/>
      <c r="H14" s="2"/>
    </row>
    <row r="15" ht="22" customHeight="1">
      <c r="A15" s="2"/>
      <c r="B15" s="86" t="str">
        <v>Debt &amp; Leases</v>
      </c>
      <c r="C15" s="2" t="str">
        <v>Debt, leases, issuances and supplier finance</v>
      </c>
      <c r="D15" s="2"/>
      <c r="E15" s="2"/>
      <c r="F15" s="2"/>
      <c r="G15" s="2"/>
      <c r="H15" s="2"/>
    </row>
    <row r="16" ht="22" customHeight="1">
      <c r="A16" s="2"/>
      <c r="B16" s="86" t="str">
        <v>Investments</v>
      </c>
      <c r="C16" s="2" t="str">
        <v>Financial instruments, fair value and investments</v>
      </c>
      <c r="D16" s="2"/>
      <c r="E16" s="2"/>
      <c r="F16" s="2"/>
      <c r="G16" s="2"/>
      <c r="H16" s="2"/>
    </row>
    <row r="17" ht="22" customHeight="1">
      <c r="A17" s="2"/>
      <c r="B17" s="86" t="str">
        <v>Acquisitions &amp; Intangibles</v>
      </c>
      <c r="C17" s="2" t="str">
        <v>Intangibles, goodwill, restructuring and transactions</v>
      </c>
      <c r="D17" s="2"/>
      <c r="E17" s="2"/>
      <c r="F17" s="2"/>
      <c r="G17" s="2"/>
      <c r="H17" s="2"/>
    </row>
    <row r="18" ht="22" customHeight="1">
      <c r="A18" s="2"/>
      <c r="B18" s="86" t="str">
        <v>Pension &amp; Retiree Medical</v>
      </c>
      <c r="C18" s="2" t="str">
        <v>Plan obligations, assets, costs and assumptions</v>
      </c>
      <c r="D18" s="2"/>
      <c r="E18" s="2"/>
      <c r="F18" s="2"/>
      <c r="G18" s="2"/>
      <c r="H18" s="2"/>
    </row>
    <row r="19" ht="22" customHeight="1">
      <c r="A19" s="2"/>
      <c r="B19" s="86" t="str">
        <v>Core Reconciliations</v>
      </c>
      <c r="C19" s="2" t="str">
        <v>Company Core EPS, operating profit, FCF and ROIC</v>
      </c>
      <c r="D19" s="2"/>
      <c r="E19" s="2"/>
      <c r="F19" s="2"/>
      <c r="G19" s="2"/>
      <c r="H19" s="2"/>
    </row>
    <row r="20" ht="22" customHeight="1">
      <c r="A20" s="2"/>
      <c r="B20" s="2"/>
      <c r="C20" s="2"/>
      <c r="D20" s="2"/>
      <c r="E20" s="2"/>
      <c r="F20" s="2"/>
      <c r="G20" s="2"/>
      <c r="H20" s="2"/>
    </row>
    <row r="21" ht="22" customHeight="1">
      <c r="A21" s="2"/>
      <c r="B21" s="2"/>
      <c r="C21" s="2"/>
      <c r="D21" s="2"/>
      <c r="E21" s="2"/>
      <c r="F21" s="2"/>
      <c r="G21" s="2"/>
      <c r="H21" s="2"/>
    </row>
    <row r="22" ht="22" customHeight="1">
      <c r="A22" s="2"/>
      <c r="B22" s="33" t="str">
        <v>Segments presents three time-series tables: revenue / profit, volume / pricing and capital intensity. Operating Metrics retains ten-year group history, earlier segment structures and material explanations. Financial tabs cover cash returns and reinvestment.</v>
      </c>
      <c r="C22" s="33"/>
      <c r="D22" s="33"/>
      <c r="E22" s="33"/>
      <c r="F22" s="33"/>
      <c r="G22" s="33"/>
      <c r="H22" s="33"/>
    </row>
    <row r="23" ht="22" customHeight="1">
      <c r="A23" s="2"/>
      <c r="B23" s="33"/>
      <c r="C23" s="33"/>
      <c r="D23" s="33"/>
      <c r="E23" s="33"/>
      <c r="F23" s="33"/>
      <c r="G23" s="33"/>
      <c r="H23" s="33"/>
    </row>
    <row r="24" ht="22" customHeight="1">
      <c r="A24" s="2"/>
      <c r="B24" s="33"/>
      <c r="C24" s="33"/>
      <c r="D24" s="33"/>
      <c r="E24" s="33"/>
      <c r="F24" s="33"/>
      <c r="G24" s="33"/>
      <c r="H24" s="33"/>
    </row>
    <row r="25" ht="22" customHeight="1">
      <c r="A25" s="2"/>
      <c r="B25" s="2"/>
      <c r="C25" s="2"/>
      <c r="D25" s="2"/>
      <c r="E25" s="2"/>
      <c r="F25" s="2"/>
      <c r="G25" s="2"/>
      <c r="H25" s="2"/>
    </row>
  </sheetData>
  <mergeCells>
    <mergeCell ref="A1:H1"/>
    <mergeCell ref="B3:H3"/>
    <mergeCell ref="B4:H4"/>
    <mergeCell ref="C6:H6"/>
    <mergeCell ref="C7:H7"/>
    <mergeCell ref="C8:H8"/>
    <mergeCell ref="C9:H9"/>
    <mergeCell ref="C10:H10"/>
    <mergeCell ref="C11:H11"/>
    <mergeCell ref="C12:H12"/>
    <mergeCell ref="C13:H13"/>
    <mergeCell ref="C14:H14"/>
    <mergeCell ref="C15:H15"/>
    <mergeCell ref="C16:H16"/>
    <mergeCell ref="C17:H17"/>
    <mergeCell ref="C18:H18"/>
    <mergeCell ref="C19:H19"/>
    <mergeCell ref="B22:H24"/>
  </mergeCells>
  <hyperlinks>
    <hyperlink ref="B7" location="'Segments'!A1" display="Segments"/>
    <hyperlink ref="B8" location="'Operating Metrics'!A1" display="Operating Metrics"/>
    <hyperlink ref="B9" location="'Products &amp; Geography'!A1" display="Products &amp; Geography"/>
    <hyperlink ref="B10" location="'Income Statement'!A1" display="Income Statement"/>
    <hyperlink ref="B11" location="'Balance Sheet'!A1" display="Balance Sheet"/>
    <hyperlink ref="B12" location="'Cash Flow'!A1" display="Cash Flow"/>
    <hyperlink ref="B13" location="'Derived Metrics'!A1" display="Derived Metrics"/>
    <hyperlink ref="B14" location="'Note Schedules'!A1" display="Note Schedules"/>
    <hyperlink ref="B15" location="'Debt &amp; Leases'!A1" display="Debt &amp; Leases"/>
    <hyperlink ref="B16" location="'Investments'!A1" display="Investments"/>
    <hyperlink ref="B17" location="'Acquisitions &amp; Intangibles'!A1" display="Acquisitions &amp; Intangibles"/>
    <hyperlink ref="B18" location="'Pension &amp; Retiree Medical'!A1" display="Pension &amp; Retiree Medical"/>
    <hyperlink ref="B19" location="'Core Reconciliations'!A1" display="Core Reconciliations"/>
  </hyperlinks>
  <pageMargins left="0.7" right="0.7" top="0.75" bottom="0.75" header="0.3" footer="0.3"/>
</worksheet>
</file>

<file path=xl/worksheets/sheet2.xml><?xml version="1.0" encoding="utf-8"?>
<worksheet xmlns="http://schemas.openxmlformats.org/spreadsheetml/2006/main">
  <sheetPr>
    <tabColor rgb="FF20746C"/>
  </sheetPr>
  <sheetViews>
    <sheetView showGridLines="0" workbookViewId="0">
      <pane xSplit="2" ySplit="5" topLeftCell="C6" activePane="bottomRight" state="frozen"/>
    </sheetView>
  </sheetViews>
  <sheetFormatPr defaultRowHeight="15"/>
  <cols>
    <col min="1" max="1" width="44" hidden="0" customWidth="1"/>
    <col min="2" max="2" width="2.200000047683716" hidden="0" customWidth="1"/>
    <col min="3" max="3" width="12.199999809265137" hidden="0" customWidth="1"/>
    <col min="4" max="4" width="12.199999809265137" hidden="0" customWidth="1"/>
    <col min="5" max="5" width="12.199999809265137" hidden="0" customWidth="1"/>
    <col min="6" max="6" width="12.199999809265137" hidden="0" customWidth="1"/>
    <col min="7" max="7" width="3" hidden="0" customWidth="1"/>
    <col min="8" max="8" width="12.199999809265137" hidden="0" customWidth="1"/>
    <col min="9" max="9" width="12.199999809265137" hidden="0" customWidth="1"/>
    <col min="10" max="10" width="12.199999809265137" hidden="0" customWidth="1"/>
    <col min="11" max="11" width="12.199999809265137" hidden="0" customWidth="1"/>
    <col min="12" max="12" width="12.199999809265137" hidden="0" customWidth="1"/>
    <col min="13" max="13" width="12.199999809265137" hidden="0" customWidth="1"/>
    <col min="14" max="14" width="12.199999809265137" hidden="0" customWidth="1"/>
    <col min="15" max="15" width="12.199999809265137" hidden="0" customWidth="1"/>
    <col min="16" max="16" width="12.199999809265137" hidden="0" customWidth="1"/>
    <col min="17" max="17" width="12.199999809265137" hidden="0" customWidth="1"/>
    <col min="18" max="18" width="12.199999809265137" hidden="0" customWidth="1"/>
    <col min="19" max="19" width="12.199999809265137" hidden="0" customWidth="1"/>
    <col min="20" max="20" width="12.199999809265137" hidden="0" customWidth="1"/>
    <col min="21" max="21" width="12.199999809265137" hidden="0" customWidth="1"/>
    <col min="22" max="22" width="12.199999809265137" hidden="0" customWidth="1"/>
    <col min="23" max="23" width="12.199999809265137" hidden="0" customWidth="1"/>
    <col min="24" max="24" width="12.199999809265137" hidden="0" customWidth="1"/>
    <col min="25" max="25" width="3" hidden="0" customWidth="1"/>
    <col min="26" max="26" width="12.199999809265137" hidden="0" customWidth="1"/>
    <col min="27" max="27" width="12.199999809265137" hidden="0" customWidth="1"/>
    <col min="28" max="28" width="12.199999809265137" hidden="0" customWidth="1"/>
  </cols>
  <sheetData>
    <row r="1" ht="28" customHeight="1">
      <c r="A1" s="521" t="str">
        <v>PepsiCo PEP — Segment Operating Trends</v>
      </c>
      <c r="B1" s="521"/>
      <c r="C1" s="521"/>
      <c r="D1" s="521"/>
      <c r="E1" s="521"/>
      <c r="F1" s="521"/>
      <c r="G1" s="521"/>
      <c r="H1" s="521"/>
      <c r="I1" s="521"/>
      <c r="J1" s="521"/>
      <c r="K1" s="521"/>
      <c r="L1" s="521"/>
      <c r="M1" s="521"/>
      <c r="N1" s="521"/>
      <c r="O1" s="521"/>
      <c r="P1" s="521"/>
      <c r="Q1" s="521"/>
      <c r="R1" s="521"/>
      <c r="S1"/>
      <c r="T1"/>
      <c r="U1"/>
      <c r="V1"/>
      <c r="W1"/>
      <c r="X1"/>
      <c r="Y1"/>
      <c r="Z1"/>
    </row>
    <row r="2" ht="18" customHeight="1">
      <c r="A2" s="522" t="str">
        <v>USD millions unless indicated. Current six segments: FY2022-FY2025; discrete quarters FY2024Q1-FY2026Q3, including Q4. As of 2026-10-22.</v>
      </c>
      <c r="B2" s="522"/>
      <c r="C2" s="522"/>
      <c r="D2" s="522"/>
      <c r="E2" s="522"/>
      <c r="F2" s="522"/>
      <c r="G2" s="522"/>
      <c r="H2" s="522"/>
      <c r="I2" s="522"/>
      <c r="J2" s="522"/>
      <c r="K2" s="522"/>
      <c r="L2" s="522"/>
      <c r="M2" s="522"/>
      <c r="N2" s="522"/>
      <c r="O2" s="522"/>
      <c r="P2" s="522"/>
      <c r="Q2" s="522"/>
      <c r="R2" s="522"/>
      <c r="S2"/>
      <c r="T2"/>
      <c r="U2"/>
      <c r="V2"/>
      <c r="W2"/>
      <c r="X2"/>
      <c r="Y2"/>
      <c r="Z2"/>
    </row>
    <row r="3" ht="24" customHeight="1">
      <c r="A3" s="523" t="str">
        <v>Return to Contents</v>
      </c>
      <c r="B3" s="518"/>
      <c r="C3" s="527" t="str">
        <v>FY2022</v>
      </c>
      <c r="D3" s="527" t="str">
        <v>FY2023</v>
      </c>
      <c r="E3" s="527" t="str">
        <v>FY2024</v>
      </c>
      <c r="F3" s="527" t="str">
        <v>FY2025</v>
      </c>
      <c r="G3" s="518"/>
      <c r="H3" s="536" t="str">
        <v>FY2024Q1</v>
      </c>
      <c r="I3" s="536" t="str">
        <v>FY2024Q2</v>
      </c>
      <c r="J3" s="536" t="str">
        <v>FY2024Q3</v>
      </c>
      <c r="K3" s="536" t="str">
        <v>FY2024Q4</v>
      </c>
      <c r="L3" s="536" t="str">
        <v>FY2025Q1</v>
      </c>
      <c r="M3" s="536" t="str">
        <v>FY2025Q2</v>
      </c>
      <c r="N3" s="536" t="str">
        <v>FY2025Q3</v>
      </c>
      <c r="O3" s="536" t="str">
        <v>FY2025Q4</v>
      </c>
      <c r="P3" s="536" t="str">
        <v>FY2026Q1</v>
      </c>
      <c r="Q3" s="536" t="str">
        <v>FY2026Q2</v>
      </c>
      <c r="R3" s="536" t="str">
        <v>FY2026Q3</v>
      </c>
      <c r="S3"/>
      <c r="T3"/>
      <c r="U3"/>
      <c r="V3"/>
      <c r="W3"/>
      <c r="X3"/>
      <c r="Y3"/>
      <c r="Z3"/>
    </row>
    <row r="4" ht="18" customHeight="1">
      <c r="A4" s="524" t="str">
        <v>Metric / reporting scope</v>
      </c>
      <c r="B4" s="518"/>
      <c r="C4" s="531" t="d">
        <v>2022-12-31T00:00:00.000Z</v>
      </c>
      <c r="D4" s="531" t="d">
        <v>2023-12-30T00:00:00.000Z</v>
      </c>
      <c r="E4" s="531" t="d">
        <v>2024-12-28T00:00:00.000Z</v>
      </c>
      <c r="F4" s="531" t="d">
        <v>2025-12-27T00:00:00.000Z</v>
      </c>
      <c r="G4" s="518"/>
      <c r="H4" s="531" t="d">
        <v>2024-03-23T00:00:00.000Z</v>
      </c>
      <c r="I4" s="531" t="d">
        <v>2024-06-15T00:00:00.000Z</v>
      </c>
      <c r="J4" s="531" t="d">
        <v>2024-09-07T00:00:00.000Z</v>
      </c>
      <c r="K4" s="531" t="d">
        <v>2024-12-28T00:00:00.000Z</v>
      </c>
      <c r="L4" s="531" t="d">
        <v>2025-03-22T00:00:00.000Z</v>
      </c>
      <c r="M4" s="531" t="d">
        <v>2025-06-14T00:00:00.000Z</v>
      </c>
      <c r="N4" s="531" t="d">
        <v>2025-09-06T00:00:00.000Z</v>
      </c>
      <c r="O4" s="531" t="d">
        <v>2025-12-27T00:00:00.000Z</v>
      </c>
      <c r="P4" s="531" t="d">
        <v>2026-03-21T00:00:00.000Z</v>
      </c>
      <c r="Q4" s="531" t="d">
        <v>2026-06-13T00:00:00.000Z</v>
      </c>
      <c r="R4" s="531" t="d">
        <v>2026-09-05T00:00:00.000Z</v>
      </c>
      <c r="S4"/>
      <c r="T4"/>
      <c r="U4"/>
      <c r="V4"/>
      <c r="W4"/>
      <c r="X4"/>
      <c r="Y4"/>
      <c r="Z4"/>
    </row>
    <row r="5" ht="18" customHeight="1">
      <c r="A5" s="522" t="str">
        <v>Blank = unavailable; dash = zero.</v>
      </c>
      <c r="B5" s="518"/>
      <c r="C5" s="533" t="str">
        <v>Full year</v>
      </c>
      <c r="D5" s="533" t="str">
        <v>Full year</v>
      </c>
      <c r="E5" s="533" t="str">
        <v>Full year</v>
      </c>
      <c r="F5" s="533" t="str">
        <v>Full year</v>
      </c>
      <c r="G5" s="518"/>
      <c r="H5" s="533" t="str">
        <v>Quarter</v>
      </c>
      <c r="I5" s="533" t="str">
        <v>Quarter</v>
      </c>
      <c r="J5" s="533" t="str">
        <v>Quarter</v>
      </c>
      <c r="K5" s="533" t="str">
        <v>Quarter</v>
      </c>
      <c r="L5" s="533" t="str">
        <v>Quarter</v>
      </c>
      <c r="M5" s="533" t="str">
        <v>Quarter</v>
      </c>
      <c r="N5" s="533" t="str">
        <v>Quarter</v>
      </c>
      <c r="O5" s="533" t="str">
        <v>Quarter</v>
      </c>
      <c r="P5" s="533" t="str">
        <v>Quarter</v>
      </c>
      <c r="Q5" s="533" t="str">
        <v>Quarter</v>
      </c>
      <c r="R5" s="533" t="str">
        <v>Quarter</v>
      </c>
      <c r="S5"/>
      <c r="T5"/>
      <c r="U5"/>
      <c r="V5"/>
      <c r="W5"/>
      <c r="X5"/>
      <c r="Y5"/>
      <c r="Z5"/>
    </row>
    <row r="6" ht="22" customHeight="1">
      <c r="A6" s="522" t="str">
        <v>Ten-year group and legacy-segment history: Operating Metrics. YoY requires a matching prior period; earliest growth comparisons therefore remain blank.</v>
      </c>
      <c r="B6" s="522"/>
      <c r="C6" s="522"/>
      <c r="D6" s="522"/>
      <c r="E6" s="522"/>
      <c r="F6" s="522"/>
      <c r="G6" s="522"/>
      <c r="H6" s="522"/>
      <c r="I6" s="522"/>
      <c r="J6" s="522"/>
      <c r="K6" s="522"/>
      <c r="L6" s="522"/>
      <c r="M6" s="522"/>
      <c r="N6" s="522"/>
      <c r="O6" s="522"/>
      <c r="P6" s="522"/>
      <c r="Q6" s="522"/>
      <c r="R6" s="522"/>
      <c r="S6"/>
      <c r="T6"/>
      <c r="U6"/>
      <c r="V6"/>
      <c r="W6"/>
      <c r="X6"/>
      <c r="Y6"/>
      <c r="Z6"/>
    </row>
    <row r="7" ht="22" customHeight="1">
      <c r="A7" s="538" t="str">
        <v>Six-segment revenue and profit</v>
      </c>
      <c r="B7" s="538"/>
      <c r="C7" s="538"/>
      <c r="D7" s="538"/>
      <c r="E7" s="538"/>
      <c r="F7" s="538"/>
      <c r="G7" s="538"/>
      <c r="H7" s="538"/>
      <c r="I7" s="538"/>
      <c r="J7" s="538"/>
      <c r="K7" s="538"/>
      <c r="L7" s="538"/>
      <c r="M7" s="538"/>
      <c r="N7" s="538"/>
      <c r="O7" s="538"/>
      <c r="P7" s="538"/>
      <c r="Q7" s="538"/>
      <c r="R7" s="538"/>
      <c r="S7"/>
      <c r="T7"/>
      <c r="U7"/>
      <c r="V7"/>
      <c r="W7"/>
      <c r="X7"/>
      <c r="Y7"/>
      <c r="Z7"/>
    </row>
    <row r="8" ht="30" customHeight="1">
      <c r="A8" s="539" t="str">
        <v>Current six-segment amounts are recast to FY2022; segment Core profit starts in FY2023. Core is company-defined non-GAAP. Q3 2026 group Core profit growth includes a 4 pp tariff-refund benefit.</v>
      </c>
      <c r="B8" s="539"/>
      <c r="C8" s="539"/>
      <c r="D8" s="539"/>
      <c r="E8" s="539"/>
      <c r="F8" s="539"/>
      <c r="G8" s="539"/>
      <c r="H8" s="539"/>
      <c r="I8" s="539"/>
      <c r="J8" s="539"/>
      <c r="K8" s="539"/>
      <c r="L8" s="539"/>
      <c r="M8" s="539"/>
      <c r="N8" s="539"/>
      <c r="O8" s="539"/>
      <c r="P8" s="539"/>
      <c r="Q8" s="539"/>
      <c r="R8" s="539"/>
      <c r="S8"/>
      <c r="T8"/>
      <c r="U8"/>
      <c r="V8"/>
      <c r="W8"/>
      <c r="X8"/>
      <c r="Y8"/>
      <c r="Z8"/>
    </row>
    <row r="9" ht="24" customHeight="1">
      <c r="A9" s="541" t="str">
        <v>PFNA</v>
      </c>
      <c r="B9" s="541"/>
      <c r="C9" s="541"/>
      <c r="D9" s="541"/>
      <c r="E9" s="541"/>
      <c r="F9" s="541"/>
      <c r="G9" s="541"/>
      <c r="H9" s="541"/>
      <c r="I9" s="541"/>
      <c r="J9" s="541"/>
      <c r="K9" s="541"/>
      <c r="L9" s="541"/>
      <c r="M9" s="541"/>
      <c r="N9" s="541"/>
      <c r="O9" s="541"/>
      <c r="P9" s="541"/>
      <c r="Q9" s="541"/>
      <c r="R9" s="541"/>
      <c r="S9"/>
      <c r="T9"/>
      <c r="U9"/>
      <c r="V9"/>
      <c r="W9"/>
      <c r="X9"/>
      <c r="Y9"/>
      <c r="Z9"/>
    </row>
    <row r="10" ht="22" customHeight="1">
      <c r="A10" s="542" t="str">
        <v>Net revenue</v>
      </c>
      <c r="B10" s="518"/>
      <c r="C10" s="544" t="n">
        <f>'Operating Metrics'!C44</f>
        <v>26451</v>
      </c>
      <c r="D10" s="544" t="n">
        <f>'Operating Metrics'!D44</f>
        <v>28015</v>
      </c>
      <c r="E10" s="544" t="n">
        <f>'Operating Metrics'!E44</f>
        <v>27431</v>
      </c>
      <c r="F10" s="544" t="n">
        <f>'Operating Metrics'!F44</f>
        <v>27528</v>
      </c>
      <c r="G10" s="518"/>
      <c r="H10" s="544" t="n">
        <f>'Operating Metrics'!H44</f>
        <v>6269</v>
      </c>
      <c r="I10" s="544" t="n">
        <f>'Operating Metrics'!I44</f>
        <v>6435</v>
      </c>
      <c r="J10" s="544" t="n">
        <f>'Operating Metrics'!J44</f>
        <v>6536</v>
      </c>
      <c r="K10" s="544" t="n">
        <f>'Operating Metrics'!K44</f>
        <v>8191</v>
      </c>
      <c r="L10" s="544" t="n">
        <f>'Operating Metrics'!L44</f>
        <v>6213</v>
      </c>
      <c r="M10" s="544" t="n">
        <f>'Operating Metrics'!M44</f>
        <v>6476</v>
      </c>
      <c r="N10" s="544" t="n">
        <f>'Operating Metrics'!N44</f>
        <v>6526</v>
      </c>
      <c r="O10" s="544" t="n">
        <f>'Operating Metrics'!O44</f>
        <v>8313</v>
      </c>
      <c r="P10" s="544" t="n">
        <f>'Operating Metrics'!P44</f>
        <v>6332</v>
      </c>
      <c r="Q10" s="544" t="n">
        <f>'Operating Metrics'!Q44</f>
        <v>6368</v>
      </c>
      <c r="R10" s="544" t="n">
        <f>'Operating Metrics'!R44</f>
        <v>6504</v>
      </c>
      <c r="S10"/>
      <c r="T10"/>
      <c r="U10"/>
      <c r="V10"/>
      <c r="W10"/>
      <c r="X10"/>
      <c r="Y10"/>
      <c r="Z10"/>
    </row>
    <row r="11" ht="22" customHeight="1">
      <c r="A11" s="546" t="str">
        <v>Net revenue YoY</v>
      </c>
      <c r="B11" s="545"/>
      <c r="C11" s="545"/>
      <c r="D11" s="548" t="n">
        <f>'Operating Metrics'!D45</f>
        <v>0.05912819931193525</v>
      </c>
      <c r="E11" s="548" t="n">
        <f>'Operating Metrics'!E45</f>
        <v>-0.020845975370337277</v>
      </c>
      <c r="F11" s="548" t="n">
        <f>'Operating Metrics'!F45</f>
        <v>0.00353614523714052</v>
      </c>
      <c r="G11" s="545"/>
      <c r="H11" s="545"/>
      <c r="I11" s="545"/>
      <c r="J11" s="545"/>
      <c r="K11" s="545"/>
      <c r="L11" s="548" t="n">
        <f>'Operating Metrics'!L45</f>
        <v>-0.00893284415377249</v>
      </c>
      <c r="M11" s="548" t="n">
        <f>'Operating Metrics'!M45</f>
        <v>0.0063714063714064295</v>
      </c>
      <c r="N11" s="548" t="n">
        <f>'Operating Metrics'!N45</f>
        <v>-0.0015299877600979395</v>
      </c>
      <c r="O11" s="548" t="n">
        <f>'Operating Metrics'!O45</f>
        <v>0.014894396288609446</v>
      </c>
      <c r="P11" s="548" t="n">
        <f>'Operating Metrics'!P45</f>
        <v>0.01915338805729916</v>
      </c>
      <c r="Q11" s="548" t="n">
        <f>'Operating Metrics'!Q45</f>
        <v>-0.016676961087090825</v>
      </c>
      <c r="R11" s="548" t="n">
        <f>'Operating Metrics'!R45</f>
        <v>-0.0033711308611706903</v>
      </c>
      <c r="S11"/>
      <c r="T11"/>
      <c r="U11"/>
      <c r="V11"/>
      <c r="W11"/>
      <c r="X11"/>
      <c r="Y11"/>
      <c r="Z11"/>
    </row>
    <row r="12" ht="22" customHeight="1">
      <c r="A12" s="542" t="str">
        <v>Core operating profit</v>
      </c>
      <c r="B12" s="518"/>
      <c r="C12" s="518"/>
      <c r="D12" s="544" t="n">
        <f>'Operating Metrics'!D47</f>
        <v>7425</v>
      </c>
      <c r="E12" s="544" t="n">
        <f>'Operating Metrics'!E47</f>
        <v>6982</v>
      </c>
      <c r="F12" s="544" t="n">
        <f>'Operating Metrics'!F47</f>
        <v>6545</v>
      </c>
      <c r="G12" s="518"/>
      <c r="H12" s="544" t="n">
        <f>'Operating Metrics'!H47</f>
        <v>1698</v>
      </c>
      <c r="I12" s="544" t="n">
        <f>'Operating Metrics'!I47</f>
        <v>1705</v>
      </c>
      <c r="J12" s="544" t="n">
        <f>'Operating Metrics'!J47</f>
        <v>1627</v>
      </c>
      <c r="K12" s="544" t="n">
        <f>'Operating Metrics'!K47</f>
        <v>1952</v>
      </c>
      <c r="L12" s="544" t="n">
        <f>'Operating Metrics'!L47</f>
        <v>1575</v>
      </c>
      <c r="M12" s="544" t="n">
        <f>'Operating Metrics'!M47</f>
        <v>1488</v>
      </c>
      <c r="N12" s="544" t="n">
        <f>'Operating Metrics'!N47</f>
        <v>1570</v>
      </c>
      <c r="O12" s="544" t="n">
        <f>'Operating Metrics'!O47</f>
        <v>1912</v>
      </c>
      <c r="P12" s="544" t="n">
        <f>'Operating Metrics'!P47</f>
        <v>1505</v>
      </c>
      <c r="Q12" s="544" t="n">
        <f>'Operating Metrics'!Q47</f>
        <v>1369</v>
      </c>
      <c r="R12" s="544" t="n">
        <f>'Operating Metrics'!R47</f>
        <v>1382</v>
      </c>
      <c r="S12"/>
      <c r="T12"/>
      <c r="U12"/>
      <c r="V12"/>
      <c r="W12"/>
      <c r="X12"/>
      <c r="Y12"/>
      <c r="Z12"/>
    </row>
    <row r="13" ht="22" customHeight="1">
      <c r="A13" s="546" t="str">
        <v>Core operating profit YoY</v>
      </c>
      <c r="B13" s="545"/>
      <c r="C13" s="545"/>
      <c r="D13" s="545"/>
      <c r="E13" s="548" t="n">
        <f>'Operating Metrics'!E48</f>
        <v>-0.05966329966329964</v>
      </c>
      <c r="F13" s="548" t="n">
        <f>'Operating Metrics'!F48</f>
        <v>-0.06258951589802353</v>
      </c>
      <c r="G13" s="545"/>
      <c r="H13" s="545"/>
      <c r="I13" s="545"/>
      <c r="J13" s="545"/>
      <c r="K13" s="545"/>
      <c r="L13" s="548" t="n">
        <f>'Operating Metrics'!L48</f>
        <v>-0.07243816254416957</v>
      </c>
      <c r="M13" s="548" t="n">
        <f>'Operating Metrics'!M48</f>
        <v>-0.12727272727272732</v>
      </c>
      <c r="N13" s="548" t="n">
        <f>'Operating Metrics'!N48</f>
        <v>-0.03503380454824834</v>
      </c>
      <c r="O13" s="548" t="n">
        <f>'Operating Metrics'!O48</f>
        <v>-0.020491803278688492</v>
      </c>
      <c r="P13" s="548" t="n">
        <f>'Operating Metrics'!P48</f>
        <v>-0.0444444444444444</v>
      </c>
      <c r="Q13" s="548" t="n">
        <f>'Operating Metrics'!Q48</f>
        <v>-0.07997311827956988</v>
      </c>
      <c r="R13" s="548" t="n">
        <f>'Operating Metrics'!R48</f>
        <v>-0.11974522292993628</v>
      </c>
      <c r="S13"/>
      <c r="T13"/>
      <c r="U13"/>
      <c r="V13"/>
      <c r="W13"/>
      <c r="X13"/>
      <c r="Y13"/>
      <c r="Z13"/>
    </row>
    <row r="14" ht="22" customHeight="1">
      <c r="A14" s="546" t="str">
        <v>Core operating margin</v>
      </c>
      <c r="B14" s="545"/>
      <c r="C14" s="545"/>
      <c r="D14" s="548" t="n">
        <f>'Operating Metrics'!D49</f>
        <v>0.265036587542388</v>
      </c>
      <c r="E14" s="548" t="n">
        <f>'Operating Metrics'!E49</f>
        <v>0.2545295468630382</v>
      </c>
      <c r="F14" s="548" t="n">
        <f>'Operating Metrics'!F49</f>
        <v>0.23775791920953213</v>
      </c>
      <c r="G14" s="545"/>
      <c r="H14" s="548" t="n">
        <f>'Operating Metrics'!H49</f>
        <v>0.2708565959483171</v>
      </c>
      <c r="I14" s="548" t="n">
        <f>'Operating Metrics'!I49</f>
        <v>0.26495726495726496</v>
      </c>
      <c r="J14" s="548" t="n">
        <f>'Operating Metrics'!J49</f>
        <v>0.24892900856793146</v>
      </c>
      <c r="K14" s="548" t="n">
        <f>'Operating Metrics'!K49</f>
        <v>0.2383103406177512</v>
      </c>
      <c r="L14" s="548" t="n">
        <f>'Operating Metrics'!L49</f>
        <v>0.2535007242877837</v>
      </c>
      <c r="M14" s="548" t="n">
        <f>'Operating Metrics'!M49</f>
        <v>0.2297714638665843</v>
      </c>
      <c r="N14" s="548" t="n">
        <f>'Operating Metrics'!N49</f>
        <v>0.24057615691081827</v>
      </c>
      <c r="O14" s="548" t="n">
        <f>'Operating Metrics'!O49</f>
        <v>0.2300012029351618</v>
      </c>
      <c r="P14" s="548" t="n">
        <f>'Operating Metrics'!P49</f>
        <v>0.23768161718256475</v>
      </c>
      <c r="Q14" s="548" t="n">
        <f>'Operating Metrics'!Q49</f>
        <v>0.21498115577889448</v>
      </c>
      <c r="R14" s="548" t="n">
        <f>'Operating Metrics'!R49</f>
        <v>0.21248462484624847</v>
      </c>
      <c r="S14"/>
      <c r="T14"/>
      <c r="U14"/>
      <c r="V14"/>
      <c r="W14"/>
      <c r="X14"/>
      <c r="Y14"/>
      <c r="Z14"/>
    </row>
    <row r="15" ht="22" customHeight="1">
      <c r="A15" s="542" t="str">
        <v>Reported operating profit</v>
      </c>
      <c r="B15" s="518"/>
      <c r="C15" s="544" t="n">
        <f>'Operating Metrics'!C46</f>
        <v>6739</v>
      </c>
      <c r="D15" s="544" t="n">
        <f>'Operating Metrics'!D46</f>
        <v>7247</v>
      </c>
      <c r="E15" s="544" t="n">
        <f>'Operating Metrics'!E46</f>
        <v>6619</v>
      </c>
      <c r="F15" s="544" t="n">
        <f>'Operating Metrics'!F46</f>
        <v>6173</v>
      </c>
      <c r="G15" s="518"/>
      <c r="H15" s="544" t="n">
        <f>'Operating Metrics'!H46</f>
        <v>1505</v>
      </c>
      <c r="I15" s="544" t="n">
        <f>'Operating Metrics'!I46</f>
        <v>1677</v>
      </c>
      <c r="J15" s="544" t="n">
        <f>'Operating Metrics'!J46</f>
        <v>1620</v>
      </c>
      <c r="K15" s="544" t="n">
        <f>'Operating Metrics'!K46</f>
        <v>1817</v>
      </c>
      <c r="L15" s="544" t="n">
        <f>'Operating Metrics'!L46</f>
        <v>1536</v>
      </c>
      <c r="M15" s="544" t="n">
        <f>'Operating Metrics'!M46</f>
        <v>1391</v>
      </c>
      <c r="N15" s="544" t="n">
        <f>'Operating Metrics'!N46</f>
        <v>1536</v>
      </c>
      <c r="O15" s="544" t="n">
        <f>'Operating Metrics'!O46</f>
        <v>1710</v>
      </c>
      <c r="P15" s="544" t="n">
        <f>'Operating Metrics'!P46</f>
        <v>1429</v>
      </c>
      <c r="Q15" s="544" t="n">
        <f>'Operating Metrics'!Q46</f>
        <v>1342</v>
      </c>
      <c r="R15" s="544" t="n">
        <f>'Operating Metrics'!R46</f>
        <v>1333</v>
      </c>
      <c r="S15"/>
      <c r="T15"/>
      <c r="U15"/>
      <c r="V15"/>
      <c r="W15"/>
      <c r="X15"/>
      <c r="Y15"/>
      <c r="Z15"/>
    </row>
    <row r="16" ht="24" customHeight="1">
      <c r="A16" s="541" t="str">
        <v>PBNA</v>
      </c>
      <c r="B16" s="541"/>
      <c r="C16" s="541"/>
      <c r="D16" s="541"/>
      <c r="E16" s="541"/>
      <c r="F16" s="541"/>
      <c r="G16" s="541"/>
      <c r="H16" s="541"/>
      <c r="I16" s="541"/>
      <c r="J16" s="541"/>
      <c r="K16" s="541"/>
      <c r="L16" s="541"/>
      <c r="M16" s="541"/>
      <c r="N16" s="541"/>
      <c r="O16" s="541"/>
      <c r="P16" s="541"/>
      <c r="Q16" s="541"/>
      <c r="R16" s="541"/>
      <c r="S16"/>
      <c r="T16"/>
      <c r="U16"/>
      <c r="V16"/>
      <c r="W16"/>
      <c r="X16"/>
      <c r="Y16"/>
      <c r="Z16"/>
    </row>
    <row r="17" ht="22" customHeight="1">
      <c r="A17" s="542" t="str">
        <v>Net revenue</v>
      </c>
      <c r="B17" s="518"/>
      <c r="C17" s="544" t="n">
        <f>'Operating Metrics'!C60</f>
        <v>26213</v>
      </c>
      <c r="D17" s="544" t="n">
        <f>'Operating Metrics'!D60</f>
        <v>27626</v>
      </c>
      <c r="E17" s="544" t="n">
        <f>'Operating Metrics'!E60</f>
        <v>27769</v>
      </c>
      <c r="F17" s="544" t="n">
        <f>'Operating Metrics'!F60</f>
        <v>28197</v>
      </c>
      <c r="G17" s="518"/>
      <c r="H17" s="544" t="n">
        <f>'Operating Metrics'!H60</f>
        <v>5874</v>
      </c>
      <c r="I17" s="544" t="n">
        <f>'Operating Metrics'!I60</f>
        <v>6811</v>
      </c>
      <c r="J17" s="544" t="n">
        <f>'Operating Metrics'!J60</f>
        <v>7175</v>
      </c>
      <c r="K17" s="544" t="n">
        <f>'Operating Metrics'!K60</f>
        <v>7909</v>
      </c>
      <c r="L17" s="544" t="n">
        <f>'Operating Metrics'!L60</f>
        <v>5876</v>
      </c>
      <c r="M17" s="544" t="n">
        <f>'Operating Metrics'!M60</f>
        <v>6796</v>
      </c>
      <c r="N17" s="544" t="n">
        <f>'Operating Metrics'!N60</f>
        <v>7327</v>
      </c>
      <c r="O17" s="544" t="n">
        <f>'Operating Metrics'!O60</f>
        <v>8198</v>
      </c>
      <c r="P17" s="544" t="n">
        <f>'Operating Metrics'!P60</f>
        <v>6391</v>
      </c>
      <c r="Q17" s="544" t="n">
        <f>'Operating Metrics'!Q60</f>
        <v>7243</v>
      </c>
      <c r="R17" s="544" t="n">
        <f>'Operating Metrics'!R60</f>
        <v>7706</v>
      </c>
      <c r="S17"/>
      <c r="T17"/>
      <c r="U17"/>
      <c r="V17"/>
      <c r="W17"/>
      <c r="X17"/>
      <c r="Y17"/>
      <c r="Z17"/>
    </row>
    <row r="18" ht="22" customHeight="1">
      <c r="A18" s="546" t="str">
        <v>Net revenue YoY</v>
      </c>
      <c r="B18" s="545"/>
      <c r="C18" s="545"/>
      <c r="D18" s="548" t="n">
        <f>'Operating Metrics'!D61</f>
        <v>0.053904551176896964</v>
      </c>
      <c r="E18" s="548" t="n">
        <f>'Operating Metrics'!E61</f>
        <v>0.005176283211467458</v>
      </c>
      <c r="F18" s="548" t="n">
        <f>'Operating Metrics'!F61</f>
        <v>0.015412870467067519</v>
      </c>
      <c r="G18" s="545"/>
      <c r="H18" s="545"/>
      <c r="I18" s="545"/>
      <c r="J18" s="545"/>
      <c r="K18" s="545"/>
      <c r="L18" s="548" t="n">
        <f>'Operating Metrics'!L61</f>
        <v>0.0003404834865508022</v>
      </c>
      <c r="M18" s="548" t="n">
        <f>'Operating Metrics'!M61</f>
        <v>-0.002202319776831607</v>
      </c>
      <c r="N18" s="548" t="n">
        <f>'Operating Metrics'!N61</f>
        <v>0.021184668989546962</v>
      </c>
      <c r="O18" s="548" t="n">
        <f>'Operating Metrics'!O61</f>
        <v>0.03654064989252759</v>
      </c>
      <c r="P18" s="548" t="n">
        <f>'Operating Metrics'!P61</f>
        <v>0.08764465622872697</v>
      </c>
      <c r="Q18" s="548" t="n">
        <f>'Operating Metrics'!Q61</f>
        <v>0.06577398469688056</v>
      </c>
      <c r="R18" s="548" t="n">
        <f>'Operating Metrics'!R61</f>
        <v>0.051726491060461344</v>
      </c>
      <c r="S18"/>
      <c r="T18"/>
      <c r="U18"/>
      <c r="V18"/>
      <c r="W18"/>
      <c r="X18"/>
      <c r="Y18"/>
      <c r="Z18"/>
    </row>
    <row r="19" ht="22" customHeight="1">
      <c r="A19" s="542" t="str">
        <v>Core operating profit</v>
      </c>
      <c r="B19" s="518"/>
      <c r="C19" s="518"/>
      <c r="D19" s="544" t="n">
        <f>'Operating Metrics'!D63</f>
        <v>2962</v>
      </c>
      <c r="E19" s="544" t="n">
        <f>'Operating Metrics'!E63</f>
        <v>3104</v>
      </c>
      <c r="F19" s="544" t="n">
        <f>'Operating Metrics'!F63</f>
        <v>3285</v>
      </c>
      <c r="G19" s="518"/>
      <c r="H19" s="544" t="n">
        <f>'Operating Metrics'!H63</f>
        <v>522</v>
      </c>
      <c r="I19" s="544" t="n">
        <f>'Operating Metrics'!I63</f>
        <v>992</v>
      </c>
      <c r="J19" s="544" t="n">
        <f>'Operating Metrics'!J63</f>
        <v>1047</v>
      </c>
      <c r="K19" s="544" t="n">
        <f>'Operating Metrics'!K63</f>
        <v>543</v>
      </c>
      <c r="L19" s="544" t="n">
        <f>'Operating Metrics'!L63</f>
        <v>595</v>
      </c>
      <c r="M19" s="544" t="n">
        <f>'Operating Metrics'!M63</f>
        <v>994</v>
      </c>
      <c r="N19" s="544" t="n">
        <f>'Operating Metrics'!N63</f>
        <v>975</v>
      </c>
      <c r="O19" s="544" t="n">
        <f>'Operating Metrics'!O63</f>
        <v>721</v>
      </c>
      <c r="P19" s="544" t="n">
        <f>'Operating Metrics'!P63</f>
        <v>639</v>
      </c>
      <c r="Q19" s="544" t="n">
        <f>'Operating Metrics'!Q63</f>
        <v>992</v>
      </c>
      <c r="R19" s="544" t="n">
        <f>'Operating Metrics'!R63</f>
        <v>1012</v>
      </c>
      <c r="S19"/>
      <c r="T19"/>
      <c r="U19"/>
      <c r="V19"/>
      <c r="W19"/>
      <c r="X19"/>
      <c r="Y19"/>
      <c r="Z19"/>
    </row>
    <row r="20" ht="22" customHeight="1">
      <c r="A20" s="546" t="str">
        <v>Core operating profit YoY</v>
      </c>
      <c r="B20" s="545"/>
      <c r="C20" s="545"/>
      <c r="D20" s="545"/>
      <c r="E20" s="548" t="n">
        <f>'Operating Metrics'!E64</f>
        <v>0.047940580688723866</v>
      </c>
      <c r="F20" s="548" t="n">
        <f>'Operating Metrics'!F64</f>
        <v>0.058311855670103</v>
      </c>
      <c r="G20" s="545"/>
      <c r="H20" s="545"/>
      <c r="I20" s="545"/>
      <c r="J20" s="545"/>
      <c r="K20" s="545"/>
      <c r="L20" s="548" t="n">
        <f>'Operating Metrics'!L64</f>
        <v>0.13984674329501923</v>
      </c>
      <c r="M20" s="548" t="n">
        <f>'Operating Metrics'!M64</f>
        <v>0.002016129032258007</v>
      </c>
      <c r="N20" s="548" t="n">
        <f>'Operating Metrics'!N64</f>
        <v>-0.06876790830945556</v>
      </c>
      <c r="O20" s="548" t="n">
        <f>'Operating Metrics'!O64</f>
        <v>0.32780847145488035</v>
      </c>
      <c r="P20" s="548" t="n">
        <f>'Operating Metrics'!P64</f>
        <v>0.07394957983193273</v>
      </c>
      <c r="Q20" s="548" t="n">
        <f>'Operating Metrics'!Q64</f>
        <v>-0.002012072434607659</v>
      </c>
      <c r="R20" s="548" t="n">
        <f>'Operating Metrics'!R64</f>
        <v>0.0379487179487179</v>
      </c>
      <c r="S20"/>
      <c r="T20"/>
      <c r="U20"/>
      <c r="V20"/>
      <c r="W20"/>
      <c r="X20"/>
      <c r="Y20"/>
      <c r="Z20"/>
    </row>
    <row r="21" ht="22" customHeight="1">
      <c r="A21" s="546" t="str">
        <v>Core operating margin</v>
      </c>
      <c r="B21" s="545"/>
      <c r="C21" s="545"/>
      <c r="D21" s="548" t="n">
        <f>'Operating Metrics'!D65</f>
        <v>0.10721783826829798</v>
      </c>
      <c r="E21" s="548" t="n">
        <f>'Operating Metrics'!E65</f>
        <v>0.111779322265836</v>
      </c>
      <c r="F21" s="548" t="n">
        <f>'Operating Metrics'!F65</f>
        <v>0.11650175550590489</v>
      </c>
      <c r="G21" s="545"/>
      <c r="H21" s="548" t="n">
        <f>'Operating Metrics'!H65</f>
        <v>0.0888661899897855</v>
      </c>
      <c r="I21" s="548" t="n">
        <f>'Operating Metrics'!I65</f>
        <v>0.14564674790779622</v>
      </c>
      <c r="J21" s="548" t="n">
        <f>'Operating Metrics'!J65</f>
        <v>0.14592334494773518</v>
      </c>
      <c r="K21" s="548" t="n">
        <f>'Operating Metrics'!K65</f>
        <v>0.06865596156277658</v>
      </c>
      <c r="L21" s="548" t="n">
        <f>'Operating Metrics'!L65</f>
        <v>0.10125936010891763</v>
      </c>
      <c r="M21" s="548" t="n">
        <f>'Operating Metrics'!M65</f>
        <v>0.14626250735726898</v>
      </c>
      <c r="N21" s="548" t="n">
        <f>'Operating Metrics'!N65</f>
        <v>0.13306946908693873</v>
      </c>
      <c r="O21" s="548" t="n">
        <f>'Operating Metrics'!O65</f>
        <v>0.08794828006830935</v>
      </c>
      <c r="P21" s="548" t="n">
        <f>'Operating Metrics'!P65</f>
        <v>0.09998435299640118</v>
      </c>
      <c r="Q21" s="548" t="n">
        <f>'Operating Metrics'!Q65</f>
        <v>0.13695982327764739</v>
      </c>
      <c r="R21" s="548" t="n">
        <f>'Operating Metrics'!R65</f>
        <v>0.13132623929405657</v>
      </c>
      <c r="S21"/>
      <c r="T21"/>
      <c r="U21"/>
      <c r="V21"/>
      <c r="W21"/>
      <c r="X21"/>
      <c r="Y21"/>
      <c r="Z21"/>
    </row>
    <row r="22" ht="22" customHeight="1">
      <c r="A22" s="542" t="str">
        <v>Reported operating profit</v>
      </c>
      <c r="B22" s="518"/>
      <c r="C22" s="544" t="n">
        <f>'Operating Metrics'!C62</f>
        <v>5426</v>
      </c>
      <c r="D22" s="544" t="n">
        <f>'Operating Metrics'!D62</f>
        <v>2584</v>
      </c>
      <c r="E22" s="544" t="n">
        <f>'Operating Metrics'!E62</f>
        <v>2302</v>
      </c>
      <c r="F22" s="544" t="n">
        <f>'Operating Metrics'!F62</f>
        <v>1089</v>
      </c>
      <c r="G22" s="518"/>
      <c r="H22" s="544" t="n">
        <f>'Operating Metrics'!H62</f>
        <v>510</v>
      </c>
      <c r="I22" s="544" t="n">
        <f>'Operating Metrics'!I62</f>
        <v>987</v>
      </c>
      <c r="J22" s="544" t="n">
        <f>'Operating Metrics'!J62</f>
        <v>914</v>
      </c>
      <c r="K22" s="544" t="n">
        <f>'Operating Metrics'!K62</f>
        <v>-109</v>
      </c>
      <c r="L22" s="544" t="n">
        <f>'Operating Metrics'!L62</f>
        <v>460</v>
      </c>
      <c r="M22" s="544" t="n">
        <f>'Operating Metrics'!M62</f>
        <v>-639</v>
      </c>
      <c r="N22" s="544" t="n">
        <f>'Operating Metrics'!N62</f>
        <v>729</v>
      </c>
      <c r="O22" s="544" t="n">
        <f>'Operating Metrics'!O62</f>
        <v>539</v>
      </c>
      <c r="P22" s="544" t="n">
        <f>'Operating Metrics'!P62</f>
        <v>736</v>
      </c>
      <c r="Q22" s="544" t="n">
        <f>'Operating Metrics'!Q62</f>
        <v>1053</v>
      </c>
      <c r="R22" s="544" t="n">
        <f>'Operating Metrics'!R62</f>
        <v>1056</v>
      </c>
      <c r="S22"/>
      <c r="T22"/>
      <c r="U22"/>
      <c r="V22"/>
      <c r="W22"/>
      <c r="X22"/>
      <c r="Y22"/>
      <c r="Z22"/>
    </row>
    <row r="23" ht="24" customHeight="1">
      <c r="A23" s="541" t="str">
        <v>IB Franchise</v>
      </c>
      <c r="B23" s="541"/>
      <c r="C23" s="541"/>
      <c r="D23" s="541"/>
      <c r="E23" s="541"/>
      <c r="F23" s="541"/>
      <c r="G23" s="541"/>
      <c r="H23" s="541"/>
      <c r="I23" s="541"/>
      <c r="J23" s="541"/>
      <c r="K23" s="541"/>
      <c r="L23" s="541"/>
      <c r="M23" s="541"/>
      <c r="N23" s="541"/>
      <c r="O23" s="541"/>
      <c r="P23" s="541"/>
      <c r="Q23" s="541"/>
      <c r="R23" s="541"/>
      <c r="S23"/>
      <c r="T23"/>
      <c r="U23"/>
      <c r="V23"/>
      <c r="W23"/>
      <c r="X23"/>
      <c r="Y23"/>
      <c r="Z23"/>
    </row>
    <row r="24" ht="22" customHeight="1">
      <c r="A24" s="542" t="str">
        <v>Net revenue</v>
      </c>
      <c r="B24" s="518"/>
      <c r="C24" s="544" t="n">
        <f>'Operating Metrics'!C76</f>
        <v>4328</v>
      </c>
      <c r="D24" s="544" t="n">
        <f>'Operating Metrics'!D76</f>
        <v>4559</v>
      </c>
      <c r="E24" s="544" t="n">
        <f>'Operating Metrics'!E76</f>
        <v>4879</v>
      </c>
      <c r="F24" s="544" t="n">
        <f>'Operating Metrics'!F76</f>
        <v>4997</v>
      </c>
      <c r="G24" s="518"/>
      <c r="H24" s="544" t="n">
        <f>'Operating Metrics'!H76</f>
        <v>739</v>
      </c>
      <c r="I24" s="544" t="n">
        <f>'Operating Metrics'!I76</f>
        <v>1326</v>
      </c>
      <c r="J24" s="544" t="n">
        <f>'Operating Metrics'!J76</f>
        <v>1290</v>
      </c>
      <c r="K24" s="544" t="n">
        <f>'Operating Metrics'!K76</f>
        <v>1524</v>
      </c>
      <c r="L24" s="544" t="n">
        <f>'Operating Metrics'!L76</f>
        <v>759</v>
      </c>
      <c r="M24" s="544" t="n">
        <f>'Operating Metrics'!M76</f>
        <v>1368</v>
      </c>
      <c r="N24" s="544" t="n">
        <f>'Operating Metrics'!N76</f>
        <v>1291</v>
      </c>
      <c r="O24" s="544" t="n">
        <f>'Operating Metrics'!O76</f>
        <v>1579</v>
      </c>
      <c r="P24" s="544" t="n">
        <f>'Operating Metrics'!P76</f>
        <v>824</v>
      </c>
      <c r="Q24" s="544" t="n">
        <f>'Operating Metrics'!Q76</f>
        <v>1523</v>
      </c>
      <c r="R24" s="544" t="n">
        <f>'Operating Metrics'!R76</f>
        <v>1401</v>
      </c>
      <c r="S24"/>
      <c r="T24"/>
      <c r="U24"/>
      <c r="V24"/>
      <c r="W24"/>
      <c r="X24"/>
      <c r="Y24"/>
      <c r="Z24"/>
    </row>
    <row r="25" ht="22" customHeight="1">
      <c r="A25" s="546" t="str">
        <v>Net revenue YoY</v>
      </c>
      <c r="B25" s="545"/>
      <c r="C25" s="545"/>
      <c r="D25" s="548" t="n">
        <f>'Operating Metrics'!D77</f>
        <v>0.05337338262476887</v>
      </c>
      <c r="E25" s="548" t="n">
        <f>'Operating Metrics'!E77</f>
        <v>0.07019083132265846</v>
      </c>
      <c r="F25" s="548" t="n">
        <f>'Operating Metrics'!F77</f>
        <v>0.02418528386964547</v>
      </c>
      <c r="G25" s="545"/>
      <c r="H25" s="545"/>
      <c r="I25" s="545"/>
      <c r="J25" s="545"/>
      <c r="K25" s="545"/>
      <c r="L25" s="548" t="n">
        <f>'Operating Metrics'!L77</f>
        <v>0.02706359945872805</v>
      </c>
      <c r="M25" s="548" t="n">
        <f>'Operating Metrics'!M77</f>
        <v>0.03167420814479649</v>
      </c>
      <c r="N25" s="548" t="n">
        <f>'Operating Metrics'!N77</f>
        <v>0.0007751937984497026</v>
      </c>
      <c r="O25" s="548" t="n">
        <f>'Operating Metrics'!O77</f>
        <v>0.03608923884514437</v>
      </c>
      <c r="P25" s="548" t="n">
        <f>'Operating Metrics'!P77</f>
        <v>0.08563899868247704</v>
      </c>
      <c r="Q25" s="548" t="n">
        <f>'Operating Metrics'!Q77</f>
        <v>0.11330409356725135</v>
      </c>
      <c r="R25" s="548" t="n">
        <f>'Operating Metrics'!R77</f>
        <v>0.08520526723470168</v>
      </c>
      <c r="S25"/>
      <c r="T25"/>
      <c r="U25"/>
      <c r="V25"/>
      <c r="W25"/>
      <c r="X25"/>
      <c r="Y25"/>
      <c r="Z25"/>
    </row>
    <row r="26" ht="22" customHeight="1">
      <c r="A26" s="542" t="str">
        <v>Core operating profit</v>
      </c>
      <c r="B26" s="518"/>
      <c r="C26" s="518"/>
      <c r="D26" s="544" t="n">
        <f>'Operating Metrics'!D79</f>
        <v>1440</v>
      </c>
      <c r="E26" s="544" t="n">
        <f>'Operating Metrics'!E79</f>
        <v>1708</v>
      </c>
      <c r="F26" s="544" t="n">
        <f>'Operating Metrics'!F79</f>
        <v>1856</v>
      </c>
      <c r="G26" s="518"/>
      <c r="H26" s="544" t="n">
        <f>'Operating Metrics'!H79</f>
        <v>261</v>
      </c>
      <c r="I26" s="544" t="n">
        <f>'Operating Metrics'!I79</f>
        <v>502</v>
      </c>
      <c r="J26" s="544" t="n">
        <f>'Operating Metrics'!J79</f>
        <v>473</v>
      </c>
      <c r="K26" s="544" t="n">
        <f>'Operating Metrics'!K79</f>
        <v>472</v>
      </c>
      <c r="L26" s="544" t="n">
        <f>'Operating Metrics'!L79</f>
        <v>279</v>
      </c>
      <c r="M26" s="544" t="n">
        <f>'Operating Metrics'!M79</f>
        <v>538</v>
      </c>
      <c r="N26" s="544" t="n">
        <f>'Operating Metrics'!N79</f>
        <v>511</v>
      </c>
      <c r="O26" s="544" t="n">
        <f>'Operating Metrics'!O79</f>
        <v>528</v>
      </c>
      <c r="P26" s="544" t="n">
        <f>'Operating Metrics'!P79</f>
        <v>328</v>
      </c>
      <c r="Q26" s="544" t="n">
        <f>'Operating Metrics'!Q79</f>
        <v>638</v>
      </c>
      <c r="R26" s="544" t="n">
        <f>'Operating Metrics'!R79</f>
        <v>564</v>
      </c>
      <c r="S26"/>
      <c r="T26"/>
      <c r="U26"/>
      <c r="V26"/>
      <c r="W26"/>
      <c r="X26"/>
      <c r="Y26"/>
      <c r="Z26"/>
    </row>
    <row r="27" ht="22" customHeight="1">
      <c r="A27" s="546" t="str">
        <v>Core operating profit YoY</v>
      </c>
      <c r="B27" s="545"/>
      <c r="C27" s="545"/>
      <c r="D27" s="545"/>
      <c r="E27" s="548" t="n">
        <f>'Operating Metrics'!E80</f>
        <v>0.18611111111111112</v>
      </c>
      <c r="F27" s="548" t="n">
        <f>'Operating Metrics'!F80</f>
        <v>0.08665105386416871</v>
      </c>
      <c r="G27" s="545"/>
      <c r="H27" s="545"/>
      <c r="I27" s="545"/>
      <c r="J27" s="545"/>
      <c r="K27" s="545"/>
      <c r="L27" s="548" t="n">
        <f>'Operating Metrics'!L80</f>
        <v>0.06896551724137923</v>
      </c>
      <c r="M27" s="548" t="n">
        <f>'Operating Metrics'!M80</f>
        <v>0.0717131474103585</v>
      </c>
      <c r="N27" s="548" t="n">
        <f>'Operating Metrics'!N80</f>
        <v>0.08033826638477803</v>
      </c>
      <c r="O27" s="548" t="n">
        <f>'Operating Metrics'!O80</f>
        <v>0.11864406779661008</v>
      </c>
      <c r="P27" s="548" t="n">
        <f>'Operating Metrics'!P80</f>
        <v>0.17562724014336917</v>
      </c>
      <c r="Q27" s="548" t="n">
        <f>'Operating Metrics'!Q80</f>
        <v>0.18587360594795532</v>
      </c>
      <c r="R27" s="548" t="n">
        <f>'Operating Metrics'!R80</f>
        <v>0.1037181996086105</v>
      </c>
      <c r="S27"/>
      <c r="T27"/>
      <c r="U27"/>
      <c r="V27"/>
      <c r="W27"/>
      <c r="X27"/>
      <c r="Y27"/>
      <c r="Z27"/>
    </row>
    <row r="28" ht="22" customHeight="1">
      <c r="A28" s="546" t="str">
        <v>Core operating margin</v>
      </c>
      <c r="B28" s="545"/>
      <c r="C28" s="545"/>
      <c r="D28" s="548" t="n">
        <f>'Operating Metrics'!D81</f>
        <v>0.31585874095196315</v>
      </c>
      <c r="E28" s="548" t="n">
        <f>'Operating Metrics'!E81</f>
        <v>0.3500717360114778</v>
      </c>
      <c r="F28" s="548" t="n">
        <f>'Operating Metrics'!F81</f>
        <v>0.37142285371222733</v>
      </c>
      <c r="G28" s="545"/>
      <c r="H28" s="548" t="n">
        <f>'Operating Metrics'!H81</f>
        <v>0.3531799729364005</v>
      </c>
      <c r="I28" s="548" t="n">
        <f>'Operating Metrics'!I81</f>
        <v>0.37858220211161386</v>
      </c>
      <c r="J28" s="548" t="n">
        <f>'Operating Metrics'!J81</f>
        <v>0.36666666666666664</v>
      </c>
      <c r="K28" s="548" t="n">
        <f>'Operating Metrics'!K81</f>
        <v>0.30971128608923887</v>
      </c>
      <c r="L28" s="548" t="n">
        <f>'Operating Metrics'!L81</f>
        <v>0.3675889328063241</v>
      </c>
      <c r="M28" s="548" t="n">
        <f>'Operating Metrics'!M81</f>
        <v>0.3932748538011696</v>
      </c>
      <c r="N28" s="548" t="n">
        <f>'Operating Metrics'!N81</f>
        <v>0.3958171959721146</v>
      </c>
      <c r="O28" s="548" t="n">
        <f>'Operating Metrics'!O81</f>
        <v>0.3343888537048765</v>
      </c>
      <c r="P28" s="548" t="n">
        <f>'Operating Metrics'!P81</f>
        <v>0.39805825242718446</v>
      </c>
      <c r="Q28" s="548" t="n">
        <f>'Operating Metrics'!Q81</f>
        <v>0.4189100459619173</v>
      </c>
      <c r="R28" s="548" t="n">
        <f>'Operating Metrics'!R81</f>
        <v>0.4025695931477516</v>
      </c>
      <c r="S28"/>
      <c r="T28"/>
      <c r="U28"/>
      <c r="V28"/>
      <c r="W28"/>
      <c r="X28"/>
      <c r="Y28"/>
      <c r="Z28"/>
    </row>
    <row r="29" ht="22" customHeight="1">
      <c r="A29" s="542" t="str">
        <v>Reported operating profit</v>
      </c>
      <c r="B29" s="518"/>
      <c r="C29" s="544" t="n">
        <f>'Operating Metrics'!C78</f>
        <v>-12</v>
      </c>
      <c r="D29" s="544" t="n">
        <f>'Operating Metrics'!D78</f>
        <v>567</v>
      </c>
      <c r="E29" s="544" t="n">
        <f>'Operating Metrics'!E78</f>
        <v>1462</v>
      </c>
      <c r="F29" s="544" t="n">
        <f>'Operating Metrics'!F78</f>
        <v>1769</v>
      </c>
      <c r="G29" s="518"/>
      <c r="H29" s="544" t="n">
        <f>'Operating Metrics'!H78</f>
        <v>261</v>
      </c>
      <c r="I29" s="544" t="n">
        <f>'Operating Metrics'!I78</f>
        <v>502</v>
      </c>
      <c r="J29" s="544" t="n">
        <f>'Operating Metrics'!J78</f>
        <v>458</v>
      </c>
      <c r="K29" s="544" t="n">
        <f>'Operating Metrics'!K78</f>
        <v>241</v>
      </c>
      <c r="L29" s="544" t="n">
        <f>'Operating Metrics'!L78</f>
        <v>277</v>
      </c>
      <c r="M29" s="544" t="n">
        <f>'Operating Metrics'!M78</f>
        <v>535</v>
      </c>
      <c r="N29" s="544" t="n">
        <f>'Operating Metrics'!N78</f>
        <v>436</v>
      </c>
      <c r="O29" s="544" t="n">
        <f>'Operating Metrics'!O78</f>
        <v>521</v>
      </c>
      <c r="P29" s="544" t="n">
        <f>'Operating Metrics'!P78</f>
        <v>321</v>
      </c>
      <c r="Q29" s="544" t="n">
        <f>'Operating Metrics'!Q78</f>
        <v>637</v>
      </c>
      <c r="R29" s="544" t="n">
        <f>'Operating Metrics'!R78</f>
        <v>562</v>
      </c>
      <c r="S29"/>
      <c r="T29"/>
      <c r="U29"/>
      <c r="V29"/>
      <c r="W29"/>
      <c r="X29"/>
      <c r="Y29"/>
      <c r="Z29"/>
    </row>
    <row r="30" ht="24" customHeight="1">
      <c r="A30" s="541" t="str">
        <v>EMEA</v>
      </c>
      <c r="B30" s="541"/>
      <c r="C30" s="541"/>
      <c r="D30" s="541"/>
      <c r="E30" s="541"/>
      <c r="F30" s="541"/>
      <c r="G30" s="541"/>
      <c r="H30" s="541"/>
      <c r="I30" s="541"/>
      <c r="J30" s="541"/>
      <c r="K30" s="541"/>
      <c r="L30" s="541"/>
      <c r="M30" s="541"/>
      <c r="N30" s="541"/>
      <c r="O30" s="541"/>
      <c r="P30" s="541"/>
      <c r="Q30" s="541"/>
      <c r="R30" s="541"/>
      <c r="S30"/>
      <c r="T30"/>
      <c r="U30"/>
      <c r="V30"/>
      <c r="W30"/>
      <c r="X30"/>
      <c r="Y30"/>
      <c r="Z30"/>
    </row>
    <row r="31" ht="22" customHeight="1">
      <c r="A31" s="542" t="str">
        <v>Net revenue</v>
      </c>
      <c r="B31" s="518"/>
      <c r="C31" s="544" t="n">
        <f>'Operating Metrics'!C92</f>
        <v>16032</v>
      </c>
      <c r="D31" s="544" t="n">
        <f>'Operating Metrics'!D92</f>
        <v>16210</v>
      </c>
      <c r="E31" s="544" t="n">
        <f>'Operating Metrics'!E92</f>
        <v>16658</v>
      </c>
      <c r="F31" s="544" t="n">
        <f>'Operating Metrics'!F92</f>
        <v>18025</v>
      </c>
      <c r="G31" s="518"/>
      <c r="H31" s="544" t="n">
        <f>'Operating Metrics'!H92</f>
        <v>2433</v>
      </c>
      <c r="I31" s="544" t="n">
        <f>'Operating Metrics'!I92</f>
        <v>4183</v>
      </c>
      <c r="J31" s="544" t="n">
        <f>'Operating Metrics'!J92</f>
        <v>4612</v>
      </c>
      <c r="K31" s="544" t="n">
        <f>'Operating Metrics'!K92</f>
        <v>5430</v>
      </c>
      <c r="L31" s="544" t="n">
        <f>'Operating Metrics'!L92</f>
        <v>2388</v>
      </c>
      <c r="M31" s="544" t="n">
        <f>'Operating Metrics'!M92</f>
        <v>4536</v>
      </c>
      <c r="N31" s="544" t="n">
        <f>'Operating Metrics'!N92</f>
        <v>5022</v>
      </c>
      <c r="O31" s="544" t="n">
        <f>'Operating Metrics'!O92</f>
        <v>6079</v>
      </c>
      <c r="P31" s="544" t="n">
        <f>'Operating Metrics'!P92</f>
        <v>2823</v>
      </c>
      <c r="Q31" s="544" t="n">
        <f>'Operating Metrics'!Q92</f>
        <v>4983</v>
      </c>
      <c r="R31" s="544" t="n">
        <f>'Operating Metrics'!R92</f>
        <v>5413</v>
      </c>
      <c r="S31"/>
      <c r="T31"/>
      <c r="U31"/>
      <c r="V31"/>
      <c r="W31"/>
      <c r="X31"/>
      <c r="Y31"/>
      <c r="Z31"/>
    </row>
    <row r="32" ht="22" customHeight="1">
      <c r="A32" s="546" t="str">
        <v>Net revenue YoY</v>
      </c>
      <c r="B32" s="545"/>
      <c r="C32" s="545"/>
      <c r="D32" s="548" t="n">
        <f>'Operating Metrics'!D93</f>
        <v>0.011102794411177674</v>
      </c>
      <c r="E32" s="548" t="n">
        <f>'Operating Metrics'!E93</f>
        <v>0.02763726095003083</v>
      </c>
      <c r="F32" s="548" t="n">
        <f>'Operating Metrics'!F93</f>
        <v>0.08206267258974664</v>
      </c>
      <c r="G32" s="545"/>
      <c r="H32" s="545"/>
      <c r="I32" s="545"/>
      <c r="J32" s="545"/>
      <c r="K32" s="545"/>
      <c r="L32" s="548" t="n">
        <f>'Operating Metrics'!L93</f>
        <v>-0.018495684340320562</v>
      </c>
      <c r="M32" s="548" t="n">
        <f>'Operating Metrics'!M93</f>
        <v>0.08438919435811609</v>
      </c>
      <c r="N32" s="548" t="n">
        <f>'Operating Metrics'!N93</f>
        <v>0.08889852558542932</v>
      </c>
      <c r="O32" s="548" t="n">
        <f>'Operating Metrics'!O93</f>
        <v>0.1195211786372008</v>
      </c>
      <c r="P32" s="548" t="n">
        <f>'Operating Metrics'!P93</f>
        <v>0.1821608040201006</v>
      </c>
      <c r="Q32" s="548" t="n">
        <f>'Operating Metrics'!Q93</f>
        <v>0.09854497354497349</v>
      </c>
      <c r="R32" s="548" t="n">
        <f>'Operating Metrics'!R93</f>
        <v>0.07785742731979295</v>
      </c>
      <c r="S32"/>
      <c r="T32"/>
      <c r="U32"/>
      <c r="V32"/>
      <c r="W32"/>
      <c r="X32"/>
      <c r="Y32"/>
      <c r="Z32"/>
    </row>
    <row r="33" ht="22" customHeight="1">
      <c r="A33" s="542" t="str">
        <v>Core operating profit</v>
      </c>
      <c r="B33" s="518"/>
      <c r="C33" s="518"/>
      <c r="D33" s="544" t="n">
        <f>'Operating Metrics'!D95</f>
        <v>1975</v>
      </c>
      <c r="E33" s="544" t="n">
        <f>'Operating Metrics'!E95</f>
        <v>2232</v>
      </c>
      <c r="F33" s="544" t="n">
        <f>'Operating Metrics'!F95</f>
        <v>2571</v>
      </c>
      <c r="G33" s="518"/>
      <c r="H33" s="544" t="n">
        <f>'Operating Metrics'!H95</f>
        <v>232</v>
      </c>
      <c r="I33" s="544" t="n">
        <f>'Operating Metrics'!I95</f>
        <v>604</v>
      </c>
      <c r="J33" s="544" t="n">
        <f>'Operating Metrics'!J95</f>
        <v>758</v>
      </c>
      <c r="K33" s="544" t="n">
        <f>'Operating Metrics'!K95</f>
        <v>638</v>
      </c>
      <c r="L33" s="544" t="n">
        <f>'Operating Metrics'!L95</f>
        <v>233</v>
      </c>
      <c r="M33" s="544" t="n">
        <f>'Operating Metrics'!M95</f>
        <v>657</v>
      </c>
      <c r="N33" s="544" t="n">
        <f>'Operating Metrics'!N95</f>
        <v>808</v>
      </c>
      <c r="O33" s="544" t="n">
        <f>'Operating Metrics'!O95</f>
        <v>873</v>
      </c>
      <c r="P33" s="544" t="n">
        <f>'Operating Metrics'!P95</f>
        <v>301</v>
      </c>
      <c r="Q33" s="544" t="n">
        <f>'Operating Metrics'!Q95</f>
        <v>767</v>
      </c>
      <c r="R33" s="544" t="n">
        <f>'Operating Metrics'!R95</f>
        <v>940</v>
      </c>
      <c r="S33"/>
      <c r="T33"/>
      <c r="U33"/>
      <c r="V33"/>
      <c r="W33"/>
      <c r="X33"/>
      <c r="Y33"/>
      <c r="Z33"/>
    </row>
    <row r="34" ht="22" customHeight="1">
      <c r="A34" s="546" t="str">
        <v>Core operating profit YoY</v>
      </c>
      <c r="B34" s="545"/>
      <c r="C34" s="545"/>
      <c r="D34" s="545"/>
      <c r="E34" s="548" t="n">
        <f>'Operating Metrics'!E96</f>
        <v>0.13012658227848095</v>
      </c>
      <c r="F34" s="548" t="n">
        <f>'Operating Metrics'!F96</f>
        <v>0.1518817204301075</v>
      </c>
      <c r="G34" s="545"/>
      <c r="H34" s="545"/>
      <c r="I34" s="545"/>
      <c r="J34" s="545"/>
      <c r="K34" s="545"/>
      <c r="L34" s="548" t="n">
        <f>'Operating Metrics'!L96</f>
        <v>0.004310344827586299</v>
      </c>
      <c r="M34" s="548" t="n">
        <f>'Operating Metrics'!M96</f>
        <v>0.08774834437086088</v>
      </c>
      <c r="N34" s="548" t="n">
        <f>'Operating Metrics'!N96</f>
        <v>0.06596306068601576</v>
      </c>
      <c r="O34" s="548" t="n">
        <f>'Operating Metrics'!O96</f>
        <v>0.3683385579937304</v>
      </c>
      <c r="P34" s="548" t="n">
        <f>'Operating Metrics'!P96</f>
        <v>0.29184549356223166</v>
      </c>
      <c r="Q34" s="548" t="n">
        <f>'Operating Metrics'!Q96</f>
        <v>0.16742770167427712</v>
      </c>
      <c r="R34" s="548" t="n">
        <f>'Operating Metrics'!R96</f>
        <v>0.1633663366336633</v>
      </c>
      <c r="S34"/>
      <c r="T34"/>
      <c r="U34"/>
      <c r="V34"/>
      <c r="W34"/>
      <c r="X34"/>
      <c r="Y34"/>
      <c r="Z34"/>
    </row>
    <row r="35" ht="22" customHeight="1">
      <c r="A35" s="546" t="str">
        <v>Core operating margin</v>
      </c>
      <c r="B35" s="545"/>
      <c r="C35" s="545"/>
      <c r="D35" s="548" t="n">
        <f>'Operating Metrics'!D97</f>
        <v>0.12183837137569402</v>
      </c>
      <c r="E35" s="548" t="n">
        <f>'Operating Metrics'!E97</f>
        <v>0.13398967463080802</v>
      </c>
      <c r="F35" s="548" t="n">
        <f>'Operating Metrics'!F97</f>
        <v>0.14263522884882107</v>
      </c>
      <c r="G35" s="545"/>
      <c r="H35" s="548" t="n">
        <f>'Operating Metrics'!H97</f>
        <v>0.09535552815454172</v>
      </c>
      <c r="I35" s="548" t="n">
        <f>'Operating Metrics'!I97</f>
        <v>0.1443939756155869</v>
      </c>
      <c r="J35" s="548" t="n">
        <f>'Operating Metrics'!J97</f>
        <v>0.16435385949696443</v>
      </c>
      <c r="K35" s="548" t="n">
        <f>'Operating Metrics'!K97</f>
        <v>0.11749539594843462</v>
      </c>
      <c r="L35" s="548" t="n">
        <f>'Operating Metrics'!L97</f>
        <v>0.09757118927973199</v>
      </c>
      <c r="M35" s="548" t="n">
        <f>'Operating Metrics'!M97</f>
        <v>0.14484126984126985</v>
      </c>
      <c r="N35" s="548" t="n">
        <f>'Operating Metrics'!N97</f>
        <v>0.1608920748705695</v>
      </c>
      <c r="O35" s="548" t="n">
        <f>'Operating Metrics'!O97</f>
        <v>0.1436091462411581</v>
      </c>
      <c r="P35" s="548" t="n">
        <f>'Operating Metrics'!P97</f>
        <v>0.10662415869642225</v>
      </c>
      <c r="Q35" s="548" t="n">
        <f>'Operating Metrics'!Q97</f>
        <v>0.15392333935380292</v>
      </c>
      <c r="R35" s="548" t="n">
        <f>'Operating Metrics'!R97</f>
        <v>0.17365601330131167</v>
      </c>
      <c r="S35"/>
      <c r="T35"/>
      <c r="U35"/>
      <c r="V35"/>
      <c r="W35"/>
      <c r="X35"/>
      <c r="Y35"/>
      <c r="Z35"/>
    </row>
    <row r="36" ht="22" customHeight="1">
      <c r="A36" s="542" t="str">
        <v>Reported operating profit</v>
      </c>
      <c r="B36" s="518"/>
      <c r="C36" s="544" t="n">
        <f>'Operating Metrics'!C94</f>
        <v>22</v>
      </c>
      <c r="D36" s="544" t="n">
        <f>'Operating Metrics'!D94</f>
        <v>1764</v>
      </c>
      <c r="E36" s="544" t="n">
        <f>'Operating Metrics'!E94</f>
        <v>1971</v>
      </c>
      <c r="F36" s="544" t="n">
        <f>'Operating Metrics'!F94</f>
        <v>2106</v>
      </c>
      <c r="G36" s="518"/>
      <c r="H36" s="544" t="n">
        <f>'Operating Metrics'!H94</f>
        <v>214</v>
      </c>
      <c r="I36" s="544" t="n">
        <f>'Operating Metrics'!I94</f>
        <v>582</v>
      </c>
      <c r="J36" s="544" t="n">
        <f>'Operating Metrics'!J94</f>
        <v>713</v>
      </c>
      <c r="K36" s="544" t="n">
        <f>'Operating Metrics'!K94</f>
        <v>462</v>
      </c>
      <c r="L36" s="544" t="n">
        <f>'Operating Metrics'!L94</f>
        <v>220</v>
      </c>
      <c r="M36" s="544" t="n">
        <f>'Operating Metrics'!M94</f>
        <v>370</v>
      </c>
      <c r="N36" s="544" t="n">
        <f>'Operating Metrics'!N94</f>
        <v>720</v>
      </c>
      <c r="O36" s="544" t="n">
        <f>'Operating Metrics'!O94</f>
        <v>796</v>
      </c>
      <c r="P36" s="544" t="n">
        <f>'Operating Metrics'!P94</f>
        <v>278</v>
      </c>
      <c r="Q36" s="544" t="n">
        <f>'Operating Metrics'!Q94</f>
        <v>751</v>
      </c>
      <c r="R36" s="544" t="n">
        <f>'Operating Metrics'!R94</f>
        <v>897</v>
      </c>
      <c r="S36"/>
      <c r="T36"/>
      <c r="U36"/>
      <c r="V36"/>
      <c r="W36"/>
      <c r="X36"/>
      <c r="Y36"/>
      <c r="Z36"/>
    </row>
    <row r="37" ht="24" customHeight="1">
      <c r="A37" s="541" t="str">
        <v>LatAm Foods</v>
      </c>
      <c r="B37" s="541"/>
      <c r="C37" s="541"/>
      <c r="D37" s="541"/>
      <c r="E37" s="541"/>
      <c r="F37" s="541"/>
      <c r="G37" s="541"/>
      <c r="H37" s="541"/>
      <c r="I37" s="541"/>
      <c r="J37" s="541"/>
      <c r="K37" s="541"/>
      <c r="L37" s="541"/>
      <c r="M37" s="541"/>
      <c r="N37" s="541"/>
      <c r="O37" s="541"/>
      <c r="P37" s="541"/>
      <c r="Q37" s="541"/>
      <c r="R37" s="541"/>
      <c r="S37"/>
      <c r="T37"/>
      <c r="U37"/>
      <c r="V37"/>
      <c r="W37"/>
      <c r="X37"/>
      <c r="Y37"/>
      <c r="Z37"/>
    </row>
    <row r="38" ht="22" customHeight="1">
      <c r="A38" s="542" t="str">
        <v>Net revenue</v>
      </c>
      <c r="B38" s="518"/>
      <c r="C38" s="544" t="n">
        <f>'Operating Metrics'!C109</f>
        <v>8867</v>
      </c>
      <c r="D38" s="544" t="n">
        <f>'Operating Metrics'!D109</f>
        <v>10576</v>
      </c>
      <c r="E38" s="544" t="n">
        <f>'Operating Metrics'!E109</f>
        <v>10568</v>
      </c>
      <c r="F38" s="544" t="n">
        <f>'Operating Metrics'!F109</f>
        <v>10549</v>
      </c>
      <c r="G38" s="518"/>
      <c r="H38" s="544" t="n">
        <f>'Operating Metrics'!H109</f>
        <v>1890</v>
      </c>
      <c r="I38" s="544" t="n">
        <f>'Operating Metrics'!I109</f>
        <v>2749</v>
      </c>
      <c r="J38" s="544" t="n">
        <f>'Operating Metrics'!J109</f>
        <v>2615</v>
      </c>
      <c r="K38" s="544" t="n">
        <f>'Operating Metrics'!K109</f>
        <v>3314</v>
      </c>
      <c r="L38" s="544" t="n">
        <f>'Operating Metrics'!L109</f>
        <v>1661</v>
      </c>
      <c r="M38" s="544" t="n">
        <f>'Operating Metrics'!M109</f>
        <v>2548</v>
      </c>
      <c r="N38" s="544" t="n">
        <f>'Operating Metrics'!N109</f>
        <v>2656</v>
      </c>
      <c r="O38" s="544" t="n">
        <f>'Operating Metrics'!O109</f>
        <v>3684</v>
      </c>
      <c r="P38" s="544" t="n">
        <f>'Operating Metrics'!P109</f>
        <v>1934</v>
      </c>
      <c r="Q38" s="544" t="n">
        <f>'Operating Metrics'!Q109</f>
        <v>2940</v>
      </c>
      <c r="R38" s="544" t="n">
        <f>'Operating Metrics'!R109</f>
        <v>3021</v>
      </c>
      <c r="S38"/>
      <c r="T38"/>
      <c r="U38"/>
      <c r="V38"/>
      <c r="W38"/>
      <c r="X38"/>
      <c r="Y38"/>
      <c r="Z38"/>
    </row>
    <row r="39" ht="22" customHeight="1">
      <c r="A39" s="546" t="str">
        <v>Net revenue YoY</v>
      </c>
      <c r="B39" s="545"/>
      <c r="C39" s="545"/>
      <c r="D39" s="548" t="n">
        <f>'Operating Metrics'!D110</f>
        <v>0.19273711514604708</v>
      </c>
      <c r="E39" s="548" t="n">
        <f>'Operating Metrics'!E110</f>
        <v>-0.0007564296520423675</v>
      </c>
      <c r="F39" s="548" t="n">
        <f>'Operating Metrics'!F110</f>
        <v>-0.0017978803936411492</v>
      </c>
      <c r="G39" s="545"/>
      <c r="H39" s="545"/>
      <c r="I39" s="545"/>
      <c r="J39" s="545"/>
      <c r="K39" s="545"/>
      <c r="L39" s="548" t="n">
        <f>'Operating Metrics'!L110</f>
        <v>-0.12116402116402114</v>
      </c>
      <c r="M39" s="548" t="n">
        <f>'Operating Metrics'!M110</f>
        <v>-0.07311749727173522</v>
      </c>
      <c r="N39" s="548" t="n">
        <f>'Operating Metrics'!N110</f>
        <v>0.01567877629063097</v>
      </c>
      <c r="O39" s="548" t="n">
        <f>'Operating Metrics'!O110</f>
        <v>0.11164755582377794</v>
      </c>
      <c r="P39" s="548" t="n">
        <f>'Operating Metrics'!P110</f>
        <v>0.1643588199879591</v>
      </c>
      <c r="Q39" s="548" t="n">
        <f>'Operating Metrics'!Q110</f>
        <v>0.15384615384615374</v>
      </c>
      <c r="R39" s="548" t="n">
        <f>'Operating Metrics'!R110</f>
        <v>0.13742469879518082</v>
      </c>
      <c r="S39"/>
      <c r="T39"/>
      <c r="U39"/>
      <c r="V39"/>
      <c r="W39"/>
      <c r="X39"/>
      <c r="Y39"/>
      <c r="Z39"/>
    </row>
    <row r="40" ht="22" customHeight="1">
      <c r="A40" s="542" t="str">
        <v>Core operating profit</v>
      </c>
      <c r="B40" s="518"/>
      <c r="C40" s="518"/>
      <c r="D40" s="544" t="n">
        <f>'Operating Metrics'!D112</f>
        <v>1929</v>
      </c>
      <c r="E40" s="544" t="n">
        <f>'Operating Metrics'!E112</f>
        <v>2101</v>
      </c>
      <c r="F40" s="544" t="n">
        <f>'Operating Metrics'!F112</f>
        <v>2144</v>
      </c>
      <c r="G40" s="518"/>
      <c r="H40" s="544" t="n">
        <f>'Operating Metrics'!H112</f>
        <v>427</v>
      </c>
      <c r="I40" s="544" t="n">
        <f>'Operating Metrics'!I112</f>
        <v>550</v>
      </c>
      <c r="J40" s="544" t="n">
        <f>'Operating Metrics'!J112</f>
        <v>491</v>
      </c>
      <c r="K40" s="544" t="n">
        <f>'Operating Metrics'!K112</f>
        <v>633</v>
      </c>
      <c r="L40" s="544" t="n">
        <f>'Operating Metrics'!L112</f>
        <v>351</v>
      </c>
      <c r="M40" s="544" t="n">
        <f>'Operating Metrics'!M112</f>
        <v>545</v>
      </c>
      <c r="N40" s="544" t="n">
        <f>'Operating Metrics'!N112</f>
        <v>523</v>
      </c>
      <c r="O40" s="544" t="n">
        <f>'Operating Metrics'!O112</f>
        <v>725</v>
      </c>
      <c r="P40" s="544" t="n">
        <f>'Operating Metrics'!P112</f>
        <v>431</v>
      </c>
      <c r="Q40" s="544" t="n">
        <f>'Operating Metrics'!Q112</f>
        <v>620</v>
      </c>
      <c r="R40" s="544" t="n">
        <f>'Operating Metrics'!R112</f>
        <v>626</v>
      </c>
      <c r="S40"/>
      <c r="T40"/>
      <c r="U40"/>
      <c r="V40"/>
      <c r="W40"/>
      <c r="X40"/>
      <c r="Y40"/>
      <c r="Z40"/>
    </row>
    <row r="41" ht="22" customHeight="1">
      <c r="A41" s="546" t="str">
        <v>Core operating profit YoY</v>
      </c>
      <c r="B41" s="545"/>
      <c r="C41" s="545"/>
      <c r="D41" s="545"/>
      <c r="E41" s="548" t="n">
        <f>'Operating Metrics'!E113</f>
        <v>0.08916537065837216</v>
      </c>
      <c r="F41" s="548" t="n">
        <f>'Operating Metrics'!F113</f>
        <v>0.02046644455021429</v>
      </c>
      <c r="G41" s="545"/>
      <c r="H41" s="545"/>
      <c r="I41" s="545"/>
      <c r="J41" s="545"/>
      <c r="K41" s="545"/>
      <c r="L41" s="548" t="n">
        <f>'Operating Metrics'!L113</f>
        <v>-0.17798594847775173</v>
      </c>
      <c r="M41" s="548" t="n">
        <f>'Operating Metrics'!M113</f>
        <v>-0.009090909090909038</v>
      </c>
      <c r="N41" s="548" t="n">
        <f>'Operating Metrics'!N113</f>
        <v>0.06517311608961296</v>
      </c>
      <c r="O41" s="548" t="n">
        <f>'Operating Metrics'!O113</f>
        <v>0.1453396524486572</v>
      </c>
      <c r="P41" s="548" t="n">
        <f>'Operating Metrics'!P113</f>
        <v>0.22792022792022792</v>
      </c>
      <c r="Q41" s="548" t="n">
        <f>'Operating Metrics'!Q113</f>
        <v>0.13761467889908263</v>
      </c>
      <c r="R41" s="548" t="n">
        <f>'Operating Metrics'!R113</f>
        <v>0.19694072657743789</v>
      </c>
      <c r="S41"/>
      <c r="T41"/>
      <c r="U41"/>
      <c r="V41"/>
      <c r="W41"/>
      <c r="X41"/>
      <c r="Y41"/>
      <c r="Z41"/>
    </row>
    <row r="42" ht="22" customHeight="1">
      <c r="A42" s="546" t="str">
        <v>Core operating margin</v>
      </c>
      <c r="B42" s="545"/>
      <c r="C42" s="545"/>
      <c r="D42" s="548" t="n">
        <f>'Operating Metrics'!D114</f>
        <v>0.18239409984871408</v>
      </c>
      <c r="E42" s="548" t="n">
        <f>'Operating Metrics'!E114</f>
        <v>0.19880772142316427</v>
      </c>
      <c r="F42" s="548" t="n">
        <f>'Operating Metrics'!F114</f>
        <v>0.20324201346099155</v>
      </c>
      <c r="G42" s="545"/>
      <c r="H42" s="548" t="n">
        <f>'Operating Metrics'!H114</f>
        <v>0.22592592592592592</v>
      </c>
      <c r="I42" s="548" t="n">
        <f>'Operating Metrics'!I114</f>
        <v>0.2000727537286286</v>
      </c>
      <c r="J42" s="548" t="n">
        <f>'Operating Metrics'!J114</f>
        <v>0.18776290630975143</v>
      </c>
      <c r="K42" s="548" t="n">
        <f>'Operating Metrics'!K114</f>
        <v>0.19100784550392275</v>
      </c>
      <c r="L42" s="548" t="n">
        <f>'Operating Metrics'!L114</f>
        <v>0.21131848284166166</v>
      </c>
      <c r="M42" s="548" t="n">
        <f>'Operating Metrics'!M114</f>
        <v>0.21389324960753534</v>
      </c>
      <c r="N42" s="548" t="n">
        <f>'Operating Metrics'!N114</f>
        <v>0.19691265060240964</v>
      </c>
      <c r="O42" s="548" t="n">
        <f>'Operating Metrics'!O114</f>
        <v>0.1967969598262758</v>
      </c>
      <c r="P42" s="548" t="n">
        <f>'Operating Metrics'!P114</f>
        <v>0.22285418821096173</v>
      </c>
      <c r="Q42" s="548" t="n">
        <f>'Operating Metrics'!Q114</f>
        <v>0.2108843537414966</v>
      </c>
      <c r="R42" s="548" t="n">
        <f>'Operating Metrics'!R114</f>
        <v>0.20721615359152598</v>
      </c>
      <c r="S42"/>
      <c r="T42"/>
      <c r="U42"/>
      <c r="V42"/>
      <c r="W42"/>
      <c r="X42"/>
      <c r="Y42"/>
      <c r="Z42"/>
    </row>
    <row r="43" ht="22" customHeight="1">
      <c r="A43" s="542" t="str">
        <v>Reported operating profit</v>
      </c>
      <c r="B43" s="518"/>
      <c r="C43" s="544" t="n">
        <f>'Operating Metrics'!C111</f>
        <v>1353</v>
      </c>
      <c r="D43" s="544" t="n">
        <f>'Operating Metrics'!D111</f>
        <v>1898</v>
      </c>
      <c r="E43" s="544" t="n">
        <f>'Operating Metrics'!E111</f>
        <v>2052</v>
      </c>
      <c r="F43" s="544" t="n">
        <f>'Operating Metrics'!F111</f>
        <v>2010</v>
      </c>
      <c r="G43" s="518"/>
      <c r="H43" s="544" t="n">
        <f>'Operating Metrics'!H111</f>
        <v>422</v>
      </c>
      <c r="I43" s="544" t="n">
        <f>'Operating Metrics'!I111</f>
        <v>534</v>
      </c>
      <c r="J43" s="544" t="n">
        <f>'Operating Metrics'!J111</f>
        <v>480</v>
      </c>
      <c r="K43" s="544" t="n">
        <f>'Operating Metrics'!K111</f>
        <v>616</v>
      </c>
      <c r="L43" s="544" t="n">
        <f>'Operating Metrics'!L111</f>
        <v>344</v>
      </c>
      <c r="M43" s="544" t="n">
        <f>'Operating Metrics'!M111</f>
        <v>533</v>
      </c>
      <c r="N43" s="544" t="n">
        <f>'Operating Metrics'!N111</f>
        <v>424</v>
      </c>
      <c r="O43" s="544" t="n">
        <f>'Operating Metrics'!O111</f>
        <v>709</v>
      </c>
      <c r="P43" s="544" t="n">
        <f>'Operating Metrics'!P111</f>
        <v>428</v>
      </c>
      <c r="Q43" s="544" t="n">
        <f>'Operating Metrics'!Q111</f>
        <v>616</v>
      </c>
      <c r="R43" s="544" t="n">
        <f>'Operating Metrics'!R111</f>
        <v>624</v>
      </c>
      <c r="S43"/>
      <c r="T43"/>
      <c r="U43"/>
      <c r="V43"/>
      <c r="W43"/>
      <c r="X43"/>
      <c r="Y43"/>
      <c r="Z43"/>
    </row>
    <row r="44" ht="24" customHeight="1">
      <c r="A44" s="541" t="str">
        <v>Asia Pacific Foods</v>
      </c>
      <c r="B44" s="541"/>
      <c r="C44" s="541"/>
      <c r="D44" s="541"/>
      <c r="E44" s="541"/>
      <c r="F44" s="541"/>
      <c r="G44" s="541"/>
      <c r="H44" s="541"/>
      <c r="I44" s="541"/>
      <c r="J44" s="541"/>
      <c r="K44" s="541"/>
      <c r="L44" s="541"/>
      <c r="M44" s="541"/>
      <c r="N44" s="541"/>
      <c r="O44" s="541"/>
      <c r="P44" s="541"/>
      <c r="Q44" s="541"/>
      <c r="R44" s="541"/>
      <c r="S44"/>
      <c r="T44"/>
      <c r="U44"/>
      <c r="V44"/>
      <c r="W44"/>
      <c r="X44"/>
      <c r="Y44"/>
      <c r="Z44"/>
    </row>
    <row r="45" ht="22" customHeight="1">
      <c r="A45" s="542" t="str">
        <v>Net revenue</v>
      </c>
      <c r="B45" s="518"/>
      <c r="C45" s="544" t="n">
        <f>'Operating Metrics'!C125</f>
        <v>4501</v>
      </c>
      <c r="D45" s="544" t="n">
        <f>'Operating Metrics'!D125</f>
        <v>4485</v>
      </c>
      <c r="E45" s="544" t="n">
        <f>'Operating Metrics'!E125</f>
        <v>4549</v>
      </c>
      <c r="F45" s="544" t="n">
        <f>'Operating Metrics'!F125</f>
        <v>4629</v>
      </c>
      <c r="G45" s="518"/>
      <c r="H45" s="544" t="n">
        <f>'Operating Metrics'!H125</f>
        <v>1045</v>
      </c>
      <c r="I45" s="544" t="n">
        <f>'Operating Metrics'!I125</f>
        <v>997</v>
      </c>
      <c r="J45" s="544" t="n">
        <f>'Operating Metrics'!J125</f>
        <v>1091</v>
      </c>
      <c r="K45" s="544" t="n">
        <f>'Operating Metrics'!K125</f>
        <v>1416</v>
      </c>
      <c r="L45" s="544" t="n">
        <f>'Operating Metrics'!L125</f>
        <v>1022</v>
      </c>
      <c r="M45" s="544" t="n">
        <f>'Operating Metrics'!M125</f>
        <v>1002</v>
      </c>
      <c r="N45" s="544" t="n">
        <f>'Operating Metrics'!N125</f>
        <v>1115</v>
      </c>
      <c r="O45" s="544" t="n">
        <f>'Operating Metrics'!O125</f>
        <v>1490</v>
      </c>
      <c r="P45" s="544" t="n">
        <f>'Operating Metrics'!P125</f>
        <v>1139</v>
      </c>
      <c r="Q45" s="544" t="n">
        <f>'Operating Metrics'!Q125</f>
        <v>1124</v>
      </c>
      <c r="R45" s="544" t="n">
        <f>'Operating Metrics'!R125</f>
        <v>1229</v>
      </c>
      <c r="S45"/>
      <c r="T45"/>
      <c r="U45"/>
      <c r="V45"/>
      <c r="W45"/>
      <c r="X45"/>
      <c r="Y45"/>
      <c r="Z45"/>
    </row>
    <row r="46" ht="22" customHeight="1">
      <c r="A46" s="546" t="str">
        <v>Net revenue YoY</v>
      </c>
      <c r="B46" s="545"/>
      <c r="C46" s="545"/>
      <c r="D46" s="548" t="n">
        <f>'Operating Metrics'!D126</f>
        <v>-0.0035547656076427847</v>
      </c>
      <c r="E46" s="548" t="n">
        <f>'Operating Metrics'!E126</f>
        <v>0.014269788182831755</v>
      </c>
      <c r="F46" s="548" t="n">
        <f>'Operating Metrics'!F126</f>
        <v>0.01758628269949436</v>
      </c>
      <c r="G46" s="545"/>
      <c r="H46" s="545"/>
      <c r="I46" s="545"/>
      <c r="J46" s="545"/>
      <c r="K46" s="545"/>
      <c r="L46" s="548" t="n">
        <f>'Operating Metrics'!L126</f>
        <v>-0.02200956937799048</v>
      </c>
      <c r="M46" s="548" t="n">
        <f>'Operating Metrics'!M126</f>
        <v>0.005015045135406293</v>
      </c>
      <c r="N46" s="548" t="n">
        <f>'Operating Metrics'!N126</f>
        <v>0.021998166819431786</v>
      </c>
      <c r="O46" s="548" t="n">
        <f>'Operating Metrics'!O126</f>
        <v>0.05225988700564965</v>
      </c>
      <c r="P46" s="548" t="n">
        <f>'Operating Metrics'!P126</f>
        <v>0.11448140900195702</v>
      </c>
      <c r="Q46" s="548" t="n">
        <f>'Operating Metrics'!Q126</f>
        <v>0.12175648702594821</v>
      </c>
      <c r="R46" s="548" t="n">
        <f>'Operating Metrics'!R126</f>
        <v>0.1022421524663677</v>
      </c>
      <c r="S46"/>
      <c r="T46"/>
      <c r="U46"/>
      <c r="V46"/>
      <c r="W46"/>
      <c r="X46"/>
      <c r="Y46"/>
      <c r="Z46"/>
    </row>
    <row r="47" ht="22" customHeight="1">
      <c r="A47" s="542" t="str">
        <v>Core operating profit</v>
      </c>
      <c r="B47" s="518"/>
      <c r="C47" s="518"/>
      <c r="D47" s="544" t="n">
        <f>'Operating Metrics'!D128</f>
        <v>370</v>
      </c>
      <c r="E47" s="544" t="n">
        <f>'Operating Metrics'!E128</f>
        <v>391</v>
      </c>
      <c r="F47" s="544" t="n">
        <f>'Operating Metrics'!F128</f>
        <v>464</v>
      </c>
      <c r="G47" s="518"/>
      <c r="H47" s="544" t="n">
        <f>'Operating Metrics'!H128</f>
        <v>175</v>
      </c>
      <c r="I47" s="544" t="n">
        <f>'Operating Metrics'!I128</f>
        <v>107</v>
      </c>
      <c r="J47" s="544" t="n">
        <f>'Operating Metrics'!J128</f>
        <v>131</v>
      </c>
      <c r="K47" s="544" t="n">
        <f>'Operating Metrics'!K128</f>
        <v>-22</v>
      </c>
      <c r="L47" s="544" t="n">
        <f>'Operating Metrics'!L128</f>
        <v>161</v>
      </c>
      <c r="M47" s="544" t="n">
        <f>'Operating Metrics'!M128</f>
        <v>93</v>
      </c>
      <c r="N47" s="544" t="n">
        <f>'Operating Metrics'!N128</f>
        <v>156</v>
      </c>
      <c r="O47" s="544" t="n">
        <f>'Operating Metrics'!O128</f>
        <v>54</v>
      </c>
      <c r="P47" s="544" t="n">
        <f>'Operating Metrics'!P128</f>
        <v>218</v>
      </c>
      <c r="Q47" s="544" t="n">
        <f>'Operating Metrics'!Q128</f>
        <v>134</v>
      </c>
      <c r="R47" s="544" t="n">
        <f>'Operating Metrics'!R128</f>
        <v>179</v>
      </c>
    </row>
    <row r="48" ht="22" customHeight="1">
      <c r="A48" s="546" t="str">
        <v>Core operating profit YoY</v>
      </c>
      <c r="B48" s="545"/>
      <c r="C48" s="545"/>
      <c r="D48" s="545"/>
      <c r="E48" s="548" t="n">
        <f>'Operating Metrics'!E129</f>
        <v>0.05675675675675684</v>
      </c>
      <c r="F48" s="548" t="n">
        <f>'Operating Metrics'!F129</f>
        <v>0.1867007672634271</v>
      </c>
      <c r="G48" s="545"/>
      <c r="H48" s="545"/>
      <c r="I48" s="545"/>
      <c r="J48" s="545"/>
      <c r="K48" s="545"/>
      <c r="L48" s="548" t="n">
        <f>'Operating Metrics'!L129</f>
        <v>-0.07999999999999996</v>
      </c>
      <c r="M48" s="548" t="n">
        <f>'Operating Metrics'!M129</f>
        <v>-0.13084112149532712</v>
      </c>
      <c r="N48" s="548" t="n">
        <f>'Operating Metrics'!N129</f>
        <v>0.19083969465648853</v>
      </c>
      <c r="O48" s="548" t="str">
        <f>'Operating Metrics'!O129</f>
      </c>
      <c r="P48" s="548" t="n">
        <f>'Operating Metrics'!P129</f>
        <v>0.35403726708074523</v>
      </c>
      <c r="Q48" s="548" t="n">
        <f>'Operating Metrics'!Q129</f>
        <v>0.4408602150537635</v>
      </c>
      <c r="R48" s="548" t="n">
        <f>'Operating Metrics'!R129</f>
        <v>0.14743589743589736</v>
      </c>
    </row>
    <row r="49" ht="22" customHeight="1">
      <c r="A49" s="546" t="str">
        <v>Core operating margin</v>
      </c>
      <c r="B49" s="545"/>
      <c r="C49" s="545"/>
      <c r="D49" s="548" t="n">
        <f>'Operating Metrics'!D130</f>
        <v>0.08249721293199554</v>
      </c>
      <c r="E49" s="548" t="n">
        <f>'Operating Metrics'!E130</f>
        <v>0.08595295669377885</v>
      </c>
      <c r="F49" s="548" t="n">
        <f>'Operating Metrics'!F130</f>
        <v>0.10023763231799525</v>
      </c>
      <c r="G49" s="545"/>
      <c r="H49" s="548" t="n">
        <f>'Operating Metrics'!H130</f>
        <v>0.1674641148325359</v>
      </c>
      <c r="I49" s="548" t="n">
        <f>'Operating Metrics'!I130</f>
        <v>0.10732196589769308</v>
      </c>
      <c r="J49" s="548" t="n">
        <f>'Operating Metrics'!J130</f>
        <v>0.12007332722273144</v>
      </c>
      <c r="K49" s="548" t="n">
        <f>'Operating Metrics'!K130</f>
        <v>-0.015536723163841809</v>
      </c>
      <c r="L49" s="548" t="n">
        <f>'Operating Metrics'!L130</f>
        <v>0.15753424657534246</v>
      </c>
      <c r="M49" s="548" t="n">
        <f>'Operating Metrics'!M130</f>
        <v>0.09281437125748503</v>
      </c>
      <c r="N49" s="548" t="n">
        <f>'Operating Metrics'!N130</f>
        <v>0.13991031390134528</v>
      </c>
      <c r="O49" s="548" t="n">
        <f>'Operating Metrics'!O130</f>
        <v>0.036241610738255034</v>
      </c>
      <c r="P49" s="548" t="n">
        <f>'Operating Metrics'!P130</f>
        <v>0.19139596136962247</v>
      </c>
      <c r="Q49" s="548" t="n">
        <f>'Operating Metrics'!Q130</f>
        <v>0.11921708185053381</v>
      </c>
      <c r="R49" s="548" t="n">
        <f>'Operating Metrics'!R130</f>
        <v>0.14564686737184704</v>
      </c>
    </row>
    <row r="50" ht="22" customHeight="1">
      <c r="A50" s="542" t="str">
        <v>Reported operating profit</v>
      </c>
      <c r="B50" s="518"/>
      <c r="C50" s="544" t="n">
        <f>'Operating Metrics'!C127</f>
        <v>78</v>
      </c>
      <c r="D50" s="544" t="n">
        <f>'Operating Metrics'!D127</f>
        <v>301</v>
      </c>
      <c r="E50" s="544" t="n">
        <f>'Operating Metrics'!E127</f>
        <v>377</v>
      </c>
      <c r="F50" s="544" t="n">
        <f>'Operating Metrics'!F127</f>
        <v>369</v>
      </c>
      <c r="G50" s="518"/>
      <c r="H50" s="544" t="n">
        <f>'Operating Metrics'!H127</f>
        <v>175</v>
      </c>
      <c r="I50" s="544" t="n">
        <f>'Operating Metrics'!I127</f>
        <v>103</v>
      </c>
      <c r="J50" s="544" t="n">
        <f>'Operating Metrics'!J127</f>
        <v>129</v>
      </c>
      <c r="K50" s="544" t="n">
        <f>'Operating Metrics'!K127</f>
        <v>-30</v>
      </c>
      <c r="L50" s="544" t="n">
        <f>'Operating Metrics'!L127</f>
        <v>160</v>
      </c>
      <c r="M50" s="544" t="n">
        <f>'Operating Metrics'!M127</f>
        <v>10</v>
      </c>
      <c r="N50" s="544" t="n">
        <f>'Operating Metrics'!N127</f>
        <v>151</v>
      </c>
      <c r="O50" s="544" t="n">
        <f>'Operating Metrics'!O127</f>
        <v>48</v>
      </c>
      <c r="P50" s="544" t="n">
        <f>'Operating Metrics'!P127</f>
        <v>217</v>
      </c>
      <c r="Q50" s="544" t="n">
        <f>'Operating Metrics'!Q127</f>
        <v>127</v>
      </c>
      <c r="R50" s="544" t="n">
        <f>'Operating Metrics'!R127</f>
        <v>174</v>
      </c>
    </row>
    <row r="51" ht="24" customHeight="1">
      <c r="A51" s="541" t="str">
        <v>Corporate</v>
      </c>
      <c r="B51" s="541"/>
      <c r="C51" s="541"/>
      <c r="D51" s="541"/>
      <c r="E51" s="541"/>
      <c r="F51" s="541"/>
      <c r="G51" s="541"/>
      <c r="H51" s="541"/>
      <c r="I51" s="541"/>
      <c r="J51" s="541"/>
      <c r="K51" s="541"/>
      <c r="L51" s="541"/>
      <c r="M51" s="541"/>
      <c r="N51" s="541"/>
      <c r="O51" s="541"/>
      <c r="P51" s="541"/>
      <c r="Q51" s="541"/>
      <c r="R51" s="541"/>
    </row>
    <row r="52" ht="22" customHeight="1">
      <c r="A52" s="542" t="str">
        <v>Core corporate expenses (signed)</v>
      </c>
      <c r="B52" s="518"/>
      <c r="C52" s="518"/>
      <c r="D52" s="544" t="n">
        <f>'Operating Metrics'!D142</f>
        <v>-2226</v>
      </c>
      <c r="E52" s="544" t="n">
        <f>'Operating Metrics'!E142</f>
        <v>-1820</v>
      </c>
      <c r="F52" s="544" t="n">
        <f>'Operating Metrics'!F142</f>
        <v>-1953</v>
      </c>
      <c r="G52" s="518"/>
      <c r="H52" s="544" t="n">
        <f>'Operating Metrics'!H142</f>
        <v>-376</v>
      </c>
      <c r="I52" s="544" t="n">
        <f>'Operating Metrics'!I142</f>
        <v>-339</v>
      </c>
      <c r="J52" s="544" t="n">
        <f>'Operating Metrics'!J142</f>
        <v>-351</v>
      </c>
      <c r="K52" s="544" t="n">
        <f>'Operating Metrics'!K142</f>
        <v>-754</v>
      </c>
      <c r="L52" s="544" t="n">
        <f>'Operating Metrics'!L142</f>
        <v>-405</v>
      </c>
      <c r="M52" s="544" t="n">
        <f>'Operating Metrics'!M142</f>
        <v>-404</v>
      </c>
      <c r="N52" s="544" t="n">
        <f>'Operating Metrics'!N142</f>
        <v>-406</v>
      </c>
      <c r="O52" s="544" t="n">
        <f>'Operating Metrics'!O142</f>
        <v>-738</v>
      </c>
      <c r="P52" s="544" t="n">
        <f>'Operating Metrics'!P142</f>
        <v>-372</v>
      </c>
      <c r="Q52" s="544" t="n">
        <f>'Operating Metrics'!Q142</f>
        <v>-453</v>
      </c>
      <c r="R52" s="544" t="n">
        <f>'Operating Metrics'!R142</f>
        <v>-426</v>
      </c>
    </row>
    <row r="53" ht="22" customHeight="1">
      <c r="A53" s="542" t="str">
        <v>Reported corporate expenses (signed)</v>
      </c>
      <c r="B53" s="518"/>
      <c r="C53" s="544" t="n">
        <f>'Operating Metrics'!C141</f>
        <v>-2094</v>
      </c>
      <c r="D53" s="544" t="n">
        <f>'Operating Metrics'!D141</f>
        <v>-2375</v>
      </c>
      <c r="E53" s="544" t="n">
        <f>'Operating Metrics'!E141</f>
        <v>-1896</v>
      </c>
      <c r="F53" s="544" t="n">
        <f>'Operating Metrics'!F141</f>
        <v>-2018</v>
      </c>
      <c r="G53" s="518"/>
      <c r="H53" s="544" t="n">
        <f>'Operating Metrics'!H141</f>
        <v>-370</v>
      </c>
      <c r="I53" s="544" t="n">
        <f>'Operating Metrics'!I141</f>
        <v>-337</v>
      </c>
      <c r="J53" s="544" t="n">
        <f>'Operating Metrics'!J141</f>
        <v>-442</v>
      </c>
      <c r="K53" s="544" t="n">
        <f>'Operating Metrics'!K141</f>
        <v>-747</v>
      </c>
      <c r="L53" s="544" t="n">
        <f>'Operating Metrics'!L141</f>
        <v>-414</v>
      </c>
      <c r="M53" s="544" t="n">
        <f>'Operating Metrics'!M141</f>
        <v>-411</v>
      </c>
      <c r="N53" s="544" t="n">
        <f>'Operating Metrics'!N141</f>
        <v>-427</v>
      </c>
      <c r="O53" s="544" t="n">
        <f>'Operating Metrics'!O141</f>
        <v>-766</v>
      </c>
      <c r="P53" s="544" t="n">
        <f>'Operating Metrics'!P141</f>
        <v>-196</v>
      </c>
      <c r="Q53" s="544" t="n">
        <f>'Operating Metrics'!Q141</f>
        <v>-503</v>
      </c>
      <c r="R53" s="544" t="n">
        <f>'Operating Metrics'!R141</f>
        <v>-386</v>
      </c>
    </row>
    <row r="54" ht="24" customHeight="1">
      <c r="A54" s="550" t="str">
        <v>PepsiCo</v>
      </c>
      <c r="B54" s="550"/>
      <c r="C54" s="550"/>
      <c r="D54" s="550"/>
      <c r="E54" s="550"/>
      <c r="F54" s="550"/>
      <c r="G54" s="550"/>
      <c r="H54" s="550"/>
      <c r="I54" s="550"/>
      <c r="J54" s="550"/>
      <c r="K54" s="550"/>
      <c r="L54" s="550"/>
      <c r="M54" s="550"/>
      <c r="N54" s="550"/>
      <c r="O54" s="550"/>
      <c r="P54" s="550"/>
      <c r="Q54" s="550"/>
      <c r="R54" s="550"/>
    </row>
    <row r="55" ht="22" customHeight="1">
      <c r="A55" s="552" t="str">
        <v>Net revenue</v>
      </c>
      <c r="B55" s="551"/>
      <c r="C55" s="554" t="n">
        <f>'Operating Metrics'!I19</f>
        <v>86392</v>
      </c>
      <c r="D55" s="554" t="n">
        <f>'Operating Metrics'!J19</f>
        <v>91471</v>
      </c>
      <c r="E55" s="554" t="n">
        <f>'Operating Metrics'!K19</f>
        <v>91854</v>
      </c>
      <c r="F55" s="554" t="n">
        <f>'Operating Metrics'!L19</f>
        <v>93925</v>
      </c>
      <c r="G55" s="551"/>
      <c r="H55" s="554" t="n">
        <f>'Operating Metrics'!N19</f>
        <v>18250</v>
      </c>
      <c r="I55" s="554" t="n">
        <f>'Operating Metrics'!O19</f>
        <v>22501</v>
      </c>
      <c r="J55" s="554" t="n">
        <f>'Operating Metrics'!P19</f>
        <v>23319</v>
      </c>
      <c r="K55" s="554" t="n">
        <f>'Operating Metrics'!Q19</f>
        <v>27784</v>
      </c>
      <c r="L55" s="554" t="n">
        <f>'Operating Metrics'!R19</f>
        <v>17919</v>
      </c>
      <c r="M55" s="554" t="n">
        <f>'Operating Metrics'!S19</f>
        <v>22726</v>
      </c>
      <c r="N55" s="554" t="n">
        <f>'Operating Metrics'!T19</f>
        <v>23937</v>
      </c>
      <c r="O55" s="554" t="n">
        <f>'Operating Metrics'!U19</f>
        <v>29343</v>
      </c>
      <c r="P55" s="554" t="n">
        <f>'Operating Metrics'!V19</f>
        <v>19443</v>
      </c>
      <c r="Q55" s="554" t="n">
        <f>'Operating Metrics'!W19</f>
        <v>24181</v>
      </c>
      <c r="R55" s="554" t="n">
        <f>'Operating Metrics'!X19</f>
        <v>25274</v>
      </c>
    </row>
    <row r="56" ht="22" customHeight="1">
      <c r="A56" s="64" t="str">
        <v>Net revenue YoY</v>
      </c>
      <c r="B56" s="555"/>
      <c r="C56" s="557" t="n">
        <f>'Operating Metrics'!I20</f>
        <v>0.08704733623575</v>
      </c>
      <c r="D56" s="557" t="n">
        <f>'Operating Metrics'!J20</f>
        <v>0.05879016575608853</v>
      </c>
      <c r="E56" s="557" t="n">
        <f>'Operating Metrics'!K20</f>
        <v>0.0041871194148965785</v>
      </c>
      <c r="F56" s="557" t="n">
        <f>'Operating Metrics'!L20</f>
        <v>0.022546650118666633</v>
      </c>
      <c r="G56" s="555"/>
      <c r="H56" s="555"/>
      <c r="I56" s="555"/>
      <c r="J56" s="555"/>
      <c r="K56" s="555"/>
      <c r="L56" s="557" t="n">
        <f>'Operating Metrics'!R20</f>
        <v>-0.01813698630136984</v>
      </c>
      <c r="M56" s="557" t="n">
        <f>'Operating Metrics'!S20</f>
        <v>0.00999955557530785</v>
      </c>
      <c r="N56" s="557" t="n">
        <f>'Operating Metrics'!T20</f>
        <v>0.026501994082078983</v>
      </c>
      <c r="O56" s="557" t="n">
        <f>'Operating Metrics'!U20</f>
        <v>0.05611143103944727</v>
      </c>
      <c r="P56" s="557" t="n">
        <f>'Operating Metrics'!V20</f>
        <v>0.08504938891679226</v>
      </c>
      <c r="Q56" s="557" t="n">
        <f>'Operating Metrics'!W20</f>
        <v>0.06402358532077801</v>
      </c>
      <c r="R56" s="557" t="n">
        <f>'Operating Metrics'!X20</f>
        <v>0.05585495258386608</v>
      </c>
    </row>
    <row r="57" ht="22" customHeight="1">
      <c r="A57" s="552" t="str">
        <v>Core operating profit</v>
      </c>
      <c r="B57" s="551"/>
      <c r="C57" s="554" t="n">
        <f>'Operating Metrics'!I24</f>
        <v>12325</v>
      </c>
      <c r="D57" s="554" t="n">
        <f>'Operating Metrics'!J24</f>
        <v>13875</v>
      </c>
      <c r="E57" s="554" t="n">
        <f>'Operating Metrics'!K24</f>
        <v>14698</v>
      </c>
      <c r="F57" s="554" t="n">
        <f>'Operating Metrics'!L24</f>
        <v>14912</v>
      </c>
      <c r="G57" s="551"/>
      <c r="H57" s="554" t="n">
        <f>'Operating Metrics'!N24</f>
        <v>2939</v>
      </c>
      <c r="I57" s="554" t="n">
        <f>'Operating Metrics'!O24</f>
        <v>4121</v>
      </c>
      <c r="J57" s="554" t="n">
        <f>'Operating Metrics'!P24</f>
        <v>4176</v>
      </c>
      <c r="K57" s="554" t="n">
        <f>'Operating Metrics'!Q24</f>
        <v>3462</v>
      </c>
      <c r="L57" s="554" t="n">
        <f>'Operating Metrics'!R24</f>
        <v>2789</v>
      </c>
      <c r="M57" s="554" t="n">
        <f>'Operating Metrics'!S24</f>
        <v>3911</v>
      </c>
      <c r="N57" s="554" t="n">
        <f>'Operating Metrics'!T24</f>
        <v>4137</v>
      </c>
      <c r="O57" s="554" t="n">
        <f>'Operating Metrics'!U24</f>
        <v>4075</v>
      </c>
      <c r="P57" s="554" t="n">
        <f>'Operating Metrics'!V24</f>
        <v>3050</v>
      </c>
      <c r="Q57" s="554" t="n">
        <f>'Operating Metrics'!W24</f>
        <v>4067</v>
      </c>
      <c r="R57" s="554" t="n">
        <f>'Operating Metrics'!X24</f>
        <v>4277</v>
      </c>
    </row>
    <row r="58" ht="22" customHeight="1">
      <c r="A58" s="64" t="str">
        <v>Core operating profit YoY</v>
      </c>
      <c r="B58" s="555"/>
      <c r="C58" s="557" t="n">
        <f>'Operating Metrics'!I25</f>
        <v>0.07981426318556162</v>
      </c>
      <c r="D58" s="557" t="n">
        <f>'Operating Metrics'!J25</f>
        <v>0.12576064908722118</v>
      </c>
      <c r="E58" s="557" t="n">
        <f>'Operating Metrics'!K25</f>
        <v>0.05931531531531542</v>
      </c>
      <c r="F58" s="557" t="n">
        <f>'Operating Metrics'!L25</f>
        <v>0.01455980405497348</v>
      </c>
      <c r="G58" s="555"/>
      <c r="H58" s="555"/>
      <c r="I58" s="555"/>
      <c r="J58" s="555"/>
      <c r="K58" s="555"/>
      <c r="L58" s="557" t="n">
        <f>'Operating Metrics'!R25</f>
        <v>-0.05103776794828174</v>
      </c>
      <c r="M58" s="557" t="n">
        <f>'Operating Metrics'!S25</f>
        <v>-0.05095850521718026</v>
      </c>
      <c r="N58" s="557" t="n">
        <f>'Operating Metrics'!T25</f>
        <v>-0.009339080459770166</v>
      </c>
      <c r="O58" s="557" t="n">
        <f>'Operating Metrics'!U25</f>
        <v>0.17706528018486423</v>
      </c>
      <c r="P58" s="557" t="n">
        <f>'Operating Metrics'!V25</f>
        <v>0.0935819290068125</v>
      </c>
      <c r="Q58" s="557" t="n">
        <f>'Operating Metrics'!W25</f>
        <v>0.03988749680388648</v>
      </c>
      <c r="R58" s="557" t="n">
        <f>'Operating Metrics'!X25</f>
        <v>0.03384094754653133</v>
      </c>
    </row>
    <row r="59" ht="22" customHeight="1">
      <c r="A59" s="64" t="str">
        <v>Core operating margin</v>
      </c>
      <c r="B59" s="555"/>
      <c r="C59" s="557" t="n">
        <f>'Operating Metrics'!I26</f>
        <v>0.14266367256227427</v>
      </c>
      <c r="D59" s="557" t="n">
        <f>'Operating Metrics'!J26</f>
        <v>0.15168742005662997</v>
      </c>
      <c r="E59" s="557" t="n">
        <f>'Operating Metrics'!K26</f>
        <v>0.16001480610534108</v>
      </c>
      <c r="F59" s="557" t="n">
        <f>'Operating Metrics'!L26</f>
        <v>0.15876497205216927</v>
      </c>
      <c r="G59" s="555"/>
      <c r="H59" s="557" t="n">
        <f>'Operating Metrics'!N26</f>
        <v>0.16104109589041096</v>
      </c>
      <c r="I59" s="557" t="n">
        <f>'Operating Metrics'!O26</f>
        <v>0.18314741567041465</v>
      </c>
      <c r="J59" s="557" t="n">
        <f>'Operating Metrics'!P26</f>
        <v>0.17908143573909688</v>
      </c>
      <c r="K59" s="557" t="n">
        <f>'Operating Metrics'!Q26</f>
        <v>0.12460408868413475</v>
      </c>
      <c r="L59" s="557" t="n">
        <f>'Operating Metrics'!R26</f>
        <v>0.15564484625258107</v>
      </c>
      <c r="M59" s="557" t="n">
        <f>'Operating Metrics'!S26</f>
        <v>0.17209363724368565</v>
      </c>
      <c r="N59" s="557" t="n">
        <f>'Operating Metrics'!T26</f>
        <v>0.17282867527259055</v>
      </c>
      <c r="O59" s="557" t="n">
        <f>'Operating Metrics'!U26</f>
        <v>0.13887468902293562</v>
      </c>
      <c r="P59" s="557" t="n">
        <f>'Operating Metrics'!V26</f>
        <v>0.15686879596770045</v>
      </c>
      <c r="Q59" s="557" t="n">
        <f>'Operating Metrics'!W26</f>
        <v>0.1681899011620694</v>
      </c>
      <c r="R59" s="557" t="n">
        <f>'Operating Metrics'!X26</f>
        <v>0.16922529081269289</v>
      </c>
    </row>
    <row r="60" ht="22" customHeight="1">
      <c r="A60" s="552" t="str">
        <v>Reported operating profit</v>
      </c>
      <c r="B60" s="551"/>
      <c r="C60" s="554" t="n">
        <f>'Operating Metrics'!I21</f>
        <v>11512</v>
      </c>
      <c r="D60" s="554" t="n">
        <f>'Operating Metrics'!J21</f>
        <v>11986</v>
      </c>
      <c r="E60" s="554" t="n">
        <f>'Operating Metrics'!K21</f>
        <v>12887</v>
      </c>
      <c r="F60" s="554" t="n">
        <f>'Operating Metrics'!L21</f>
        <v>11498</v>
      </c>
      <c r="G60" s="551"/>
      <c r="H60" s="554" t="n">
        <f>'Operating Metrics'!N21</f>
        <v>2717</v>
      </c>
      <c r="I60" s="554" t="n">
        <f>'Operating Metrics'!O21</f>
        <v>4048</v>
      </c>
      <c r="J60" s="554" t="n">
        <f>'Operating Metrics'!P21</f>
        <v>3872</v>
      </c>
      <c r="K60" s="554" t="n">
        <f>'Operating Metrics'!Q21</f>
        <v>2250</v>
      </c>
      <c r="L60" s="554" t="n">
        <f>'Operating Metrics'!R21</f>
        <v>2583</v>
      </c>
      <c r="M60" s="554" t="n">
        <f>'Operating Metrics'!S21</f>
        <v>1789</v>
      </c>
      <c r="N60" s="554" t="n">
        <f>'Operating Metrics'!T21</f>
        <v>3569</v>
      </c>
      <c r="O60" s="554" t="n">
        <f>'Operating Metrics'!U21</f>
        <v>3557</v>
      </c>
      <c r="P60" s="554" t="n">
        <f>'Operating Metrics'!V21</f>
        <v>3213</v>
      </c>
      <c r="Q60" s="554" t="n">
        <f>'Operating Metrics'!W21</f>
        <v>4023</v>
      </c>
      <c r="R60" s="554" t="n">
        <f>'Operating Metrics'!X21</f>
        <v>4260</v>
      </c>
    </row>
    <row r="61" ht="22" customHeight="1">
      <c r="A61" s="518"/>
      <c r="B61" s="518"/>
      <c r="C61" s="518"/>
      <c r="D61" s="518"/>
      <c r="E61" s="518"/>
      <c r="F61" s="518"/>
      <c r="G61" s="518"/>
      <c r="H61" s="518"/>
      <c r="I61" s="518"/>
      <c r="J61" s="518"/>
      <c r="K61" s="518"/>
      <c r="L61" s="518"/>
      <c r="M61" s="518"/>
      <c r="N61" s="518"/>
      <c r="O61" s="518"/>
      <c r="P61" s="518"/>
      <c r="Q61" s="518"/>
      <c r="R61" s="518"/>
    </row>
    <row r="62" ht="22" customHeight="1">
      <c r="A62" s="518"/>
      <c r="B62" s="518"/>
      <c r="C62" s="518"/>
      <c r="D62" s="518"/>
      <c r="E62" s="518"/>
      <c r="F62" s="518"/>
      <c r="G62" s="518"/>
      <c r="H62" s="518"/>
      <c r="I62" s="518"/>
      <c r="J62" s="518"/>
      <c r="K62" s="518"/>
      <c r="L62" s="518"/>
      <c r="M62" s="518"/>
      <c r="N62" s="518"/>
      <c r="O62" s="518"/>
      <c r="P62" s="518"/>
      <c r="Q62" s="518"/>
      <c r="R62" s="518"/>
    </row>
    <row r="63" ht="22" customHeight="1">
      <c r="A63" s="538" t="str">
        <v>Volume and pricing</v>
      </c>
      <c r="B63" s="538"/>
      <c r="C63" s="538"/>
      <c r="D63" s="538"/>
      <c r="E63" s="538"/>
      <c r="F63" s="538"/>
      <c r="G63" s="538"/>
      <c r="H63" s="538"/>
      <c r="I63" s="538"/>
      <c r="J63" s="538"/>
      <c r="K63" s="538"/>
      <c r="L63" s="538"/>
      <c r="M63" s="538"/>
      <c r="N63" s="538"/>
      <c r="O63" s="538"/>
      <c r="P63" s="538"/>
      <c r="Q63" s="538"/>
      <c r="R63" s="538"/>
    </row>
    <row r="64" ht="30" customHeight="1">
      <c r="A64" s="539" t="str">
        <v>Current-segment demand drivers start in FY2023. Volume is organic physical volume; beverages use BCS. Net pricing includes promotions and mix. Volume plus pricing does not mechanically equal organic revenue growth.</v>
      </c>
      <c r="B64" s="539"/>
      <c r="C64" s="539"/>
      <c r="D64" s="539"/>
      <c r="E64" s="539"/>
      <c r="F64" s="539"/>
      <c r="G64" s="539"/>
      <c r="H64" s="539"/>
      <c r="I64" s="539"/>
      <c r="J64" s="539"/>
      <c r="K64" s="539"/>
      <c r="L64" s="539"/>
      <c r="M64" s="539"/>
      <c r="N64" s="539"/>
      <c r="O64" s="539"/>
      <c r="P64" s="539"/>
      <c r="Q64" s="539"/>
      <c r="R64" s="539"/>
    </row>
    <row r="65" ht="24" customHeight="1">
      <c r="A65" s="541" t="str">
        <v>PFNA</v>
      </c>
      <c r="B65" s="541"/>
      <c r="C65" s="541"/>
      <c r="D65" s="541"/>
      <c r="E65" s="541"/>
      <c r="F65" s="541"/>
      <c r="G65" s="541"/>
      <c r="H65" s="541"/>
      <c r="I65" s="541"/>
      <c r="J65" s="541"/>
      <c r="K65" s="541"/>
      <c r="L65" s="541"/>
      <c r="M65" s="541"/>
      <c r="N65" s="541"/>
      <c r="O65" s="541"/>
      <c r="P65" s="541"/>
      <c r="Q65" s="541"/>
      <c r="R65" s="541"/>
    </row>
    <row r="66" ht="22" customHeight="1">
      <c r="A66" s="546" t="str">
        <v>Organic revenue growth</v>
      </c>
      <c r="B66" s="545"/>
      <c r="C66" s="545"/>
      <c r="D66" s="548" t="n">
        <f>'Operating Metrics'!D50</f>
        <v>0.08</v>
      </c>
      <c r="E66" s="548" t="n">
        <f>'Operating Metrics'!E50</f>
        <v>-0.02</v>
      </c>
      <c r="F66" s="548" t="n">
        <f>'Operating Metrics'!F50</f>
        <v>-0.02</v>
      </c>
      <c r="G66" s="545"/>
      <c r="H66" s="548" t="n">
        <f>'Operating Metrics'!H50</f>
        <v>-0.015</v>
      </c>
      <c r="I66" s="548" t="n">
        <f>'Operating Metrics'!I50</f>
        <v>-0.02</v>
      </c>
      <c r="J66" s="548" t="n">
        <f>'Operating Metrics'!J50</f>
        <v>-0.02</v>
      </c>
      <c r="K66" s="548" t="n">
        <f>'Operating Metrics'!K50</f>
        <v>-0.02</v>
      </c>
      <c r="L66" s="548" t="n">
        <f>'Operating Metrics'!L50</f>
        <v>-0.02</v>
      </c>
      <c r="M66" s="548" t="n">
        <f>'Operating Metrics'!M50</f>
        <v>-0.02</v>
      </c>
      <c r="N66" s="548" t="n">
        <f>'Operating Metrics'!N50</f>
        <v>-0.03</v>
      </c>
      <c r="O66" s="548" t="n">
        <f>'Operating Metrics'!O50</f>
        <v>-0.01</v>
      </c>
      <c r="P66" s="548" t="n">
        <f>'Operating Metrics'!P50</f>
        <v>0.01</v>
      </c>
      <c r="Q66" s="548" t="n">
        <f>'Operating Metrics'!Q50</f>
        <v>-0.02</v>
      </c>
      <c r="R66" s="548" t="n">
        <f>'Operating Metrics'!R50</f>
        <v>0</v>
      </c>
    </row>
    <row r="67" ht="22" customHeight="1">
      <c r="A67" s="546" t="str">
        <v>Organic physical volume - foods</v>
      </c>
      <c r="B67" s="545"/>
      <c r="C67" s="545"/>
      <c r="D67" s="548" t="n">
        <f>'Operating Metrics'!D51</f>
        <v>-0.02</v>
      </c>
      <c r="E67" s="548" t="n">
        <f>'Operating Metrics'!E51</f>
        <v>-0.05</v>
      </c>
      <c r="F67" s="548" t="n">
        <f>'Operating Metrics'!F51</f>
        <v>-0.02</v>
      </c>
      <c r="G67" s="545"/>
      <c r="H67" s="548" t="n">
        <f>'Operating Metrics'!H51</f>
        <v>-0.07</v>
      </c>
      <c r="I67" s="548" t="n">
        <f>'Operating Metrics'!I51</f>
        <v>-0.07</v>
      </c>
      <c r="J67" s="548" t="n">
        <f>'Operating Metrics'!J51</f>
        <v>-0.04</v>
      </c>
      <c r="K67" s="548" t="n">
        <f>'Operating Metrics'!K51</f>
        <v>-0.04</v>
      </c>
      <c r="L67" s="548" t="n">
        <f>'Operating Metrics'!L51</f>
        <v>-0.01</v>
      </c>
      <c r="M67" s="548" t="n">
        <f>'Operating Metrics'!M51</f>
        <v>-0.01</v>
      </c>
      <c r="N67" s="548" t="n">
        <f>'Operating Metrics'!N51</f>
        <v>-0.04</v>
      </c>
      <c r="O67" s="548" t="n">
        <f>'Operating Metrics'!O51</f>
        <v>-0.01</v>
      </c>
      <c r="P67" s="548" t="n">
        <f>'Operating Metrics'!P51</f>
        <v>0.02</v>
      </c>
      <c r="Q67" s="548" t="n">
        <f>'Operating Metrics'!Q51</f>
        <v>0</v>
      </c>
      <c r="R67" s="548" t="n">
        <f>'Operating Metrics'!R51</f>
        <v>0</v>
      </c>
    </row>
    <row r="68" ht="22" customHeight="1">
      <c r="A68" s="546" t="str">
        <v>Effective net pricing</v>
      </c>
      <c r="B68" s="545"/>
      <c r="C68" s="545"/>
      <c r="D68" s="548" t="n">
        <f>'Operating Metrics'!D52</f>
        <v>0.09</v>
      </c>
      <c r="E68" s="548" t="n">
        <f>'Operating Metrics'!E52</f>
        <v>0.02</v>
      </c>
      <c r="F68" s="548" t="n">
        <f>'Operating Metrics'!F52</f>
        <v>0.01</v>
      </c>
      <c r="G68" s="545"/>
      <c r="H68" s="548" t="n">
        <f>'Operating Metrics'!H52</f>
        <v>0.03</v>
      </c>
      <c r="I68" s="548" t="n">
        <f>'Operating Metrics'!I52</f>
        <v>0.03</v>
      </c>
      <c r="J68" s="548" t="n">
        <f>'Operating Metrics'!J52</f>
        <v>0.005</v>
      </c>
      <c r="K68" s="548" t="n">
        <f>'Operating Metrics'!K52</f>
        <v>0.015</v>
      </c>
      <c r="L68" s="548" t="n">
        <f>'Operating Metrics'!L52</f>
        <v>0.01</v>
      </c>
      <c r="M68" s="548" t="n">
        <f>'Operating Metrics'!M52</f>
        <v>0</v>
      </c>
      <c r="N68" s="548" t="n">
        <f>'Operating Metrics'!N52</f>
        <v>0.02</v>
      </c>
      <c r="O68" s="548" t="n">
        <f>'Operating Metrics'!O52</f>
        <v>0.01</v>
      </c>
      <c r="P68" s="548" t="n">
        <f>'Operating Metrics'!P52</f>
        <v>-0.01</v>
      </c>
      <c r="Q68" s="548" t="n">
        <f>'Operating Metrics'!Q52</f>
        <v>-0.02</v>
      </c>
      <c r="R68" s="548" t="n">
        <f>'Operating Metrics'!R52</f>
        <v>-0.01</v>
      </c>
    </row>
    <row r="69" ht="24" customHeight="1">
      <c r="A69" s="541" t="str">
        <v>PBNA</v>
      </c>
      <c r="B69" s="541"/>
      <c r="C69" s="541"/>
      <c r="D69" s="541"/>
      <c r="E69" s="541"/>
      <c r="F69" s="541"/>
      <c r="G69" s="541"/>
      <c r="H69" s="541"/>
      <c r="I69" s="541"/>
      <c r="J69" s="541"/>
      <c r="K69" s="541"/>
      <c r="L69" s="541"/>
      <c r="M69" s="541"/>
      <c r="N69" s="541"/>
      <c r="O69" s="541"/>
      <c r="P69" s="541"/>
      <c r="Q69" s="541"/>
      <c r="R69" s="541"/>
    </row>
    <row r="70" ht="22" customHeight="1">
      <c r="A70" s="546" t="str">
        <v>Organic revenue growth</v>
      </c>
      <c r="B70" s="545"/>
      <c r="C70" s="545"/>
      <c r="D70" s="548" t="n">
        <f>'Operating Metrics'!D66</f>
        <v>0.07</v>
      </c>
      <c r="E70" s="548" t="n">
        <f>'Operating Metrics'!E66</f>
        <v>0.01</v>
      </c>
      <c r="F70" s="548" t="n">
        <f>'Operating Metrics'!F66</f>
        <v>0.01</v>
      </c>
      <c r="G70" s="545"/>
      <c r="H70" s="548" t="n">
        <f>'Operating Metrics'!H66</f>
        <v>0.01</v>
      </c>
      <c r="I70" s="548" t="n">
        <f>'Operating Metrics'!I66</f>
        <v>0.01</v>
      </c>
      <c r="J70" s="548" t="n">
        <f>'Operating Metrics'!J66</f>
        <v>0.01</v>
      </c>
      <c r="K70" s="548" t="n">
        <f>'Operating Metrics'!K66</f>
        <v>0</v>
      </c>
      <c r="L70" s="548" t="n">
        <f>'Operating Metrics'!L66</f>
        <v>0.01</v>
      </c>
      <c r="M70" s="548" t="n">
        <f>'Operating Metrics'!M66</f>
        <v>0.01</v>
      </c>
      <c r="N70" s="548" t="n">
        <f>'Operating Metrics'!N66</f>
        <v>0.02</v>
      </c>
      <c r="O70" s="548" t="n">
        <f>'Operating Metrics'!O66</f>
        <v>0.02</v>
      </c>
      <c r="P70" s="548" t="n">
        <f>'Operating Metrics'!P66</f>
        <v>0.02</v>
      </c>
      <c r="Q70" s="548" t="n">
        <f>'Operating Metrics'!Q66</f>
        <v>0.01</v>
      </c>
      <c r="R70" s="548" t="n">
        <f>'Operating Metrics'!R66</f>
        <v>0</v>
      </c>
    </row>
    <row r="71" ht="22" customHeight="1">
      <c r="A71" s="546" t="str">
        <v>Organic physical volume - beverages</v>
      </c>
      <c r="B71" s="545"/>
      <c r="C71" s="545"/>
      <c r="D71" s="548" t="n">
        <f>'Operating Metrics'!D67</f>
        <v>-0.05</v>
      </c>
      <c r="E71" s="548" t="n">
        <f>'Operating Metrics'!E67</f>
        <v>-0.03</v>
      </c>
      <c r="F71" s="548" t="n">
        <f>'Operating Metrics'!F67</f>
        <v>-0.03</v>
      </c>
      <c r="G71" s="545"/>
      <c r="H71" s="548" t="n">
        <f>'Operating Metrics'!H67</f>
        <v>-0.05</v>
      </c>
      <c r="I71" s="548" t="n">
        <f>'Operating Metrics'!I67</f>
        <v>-0.03</v>
      </c>
      <c r="J71" s="548" t="n">
        <f>'Operating Metrics'!J67</f>
        <v>-0.03</v>
      </c>
      <c r="K71" s="548" t="n">
        <f>'Operating Metrics'!K67</f>
        <v>-0.03</v>
      </c>
      <c r="L71" s="548" t="n">
        <f>'Operating Metrics'!L67</f>
        <v>-0.03</v>
      </c>
      <c r="M71" s="548" t="n">
        <f>'Operating Metrics'!M67</f>
        <v>-0.02</v>
      </c>
      <c r="N71" s="548" t="n">
        <f>'Operating Metrics'!N67</f>
        <v>-0.03</v>
      </c>
      <c r="O71" s="548" t="n">
        <f>'Operating Metrics'!O67</f>
        <v>-0.04</v>
      </c>
      <c r="P71" s="548" t="n">
        <f>'Operating Metrics'!P67</f>
        <v>-0.025</v>
      </c>
      <c r="Q71" s="548" t="n">
        <f>'Operating Metrics'!Q67</f>
        <v>-0.04</v>
      </c>
      <c r="R71" s="548" t="n">
        <f>'Operating Metrics'!R67</f>
        <v>-0.02</v>
      </c>
    </row>
    <row r="72" ht="22" customHeight="1">
      <c r="A72" s="546" t="str">
        <v>Effective net pricing</v>
      </c>
      <c r="B72" s="545"/>
      <c r="C72" s="545"/>
      <c r="D72" s="548" t="n">
        <f>'Operating Metrics'!D68</f>
        <v>0.12</v>
      </c>
      <c r="E72" s="548" t="n">
        <f>'Operating Metrics'!E68</f>
        <v>0.04</v>
      </c>
      <c r="F72" s="548" t="n">
        <f>'Operating Metrics'!F68</f>
        <v>0.05</v>
      </c>
      <c r="G72" s="545"/>
      <c r="H72" s="548" t="n">
        <f>'Operating Metrics'!H68</f>
        <v>0.06</v>
      </c>
      <c r="I72" s="548" t="n">
        <f>'Operating Metrics'!I68</f>
        <v>0.05</v>
      </c>
      <c r="J72" s="548" t="n">
        <f>'Operating Metrics'!J68</f>
        <v>0.03</v>
      </c>
      <c r="K72" s="548" t="n">
        <f>'Operating Metrics'!K68</f>
        <v>0.03</v>
      </c>
      <c r="L72" s="548" t="n">
        <f>'Operating Metrics'!L68</f>
        <v>0.02</v>
      </c>
      <c r="M72" s="548" t="n">
        <f>'Operating Metrics'!M68</f>
        <v>0.045</v>
      </c>
      <c r="N72" s="548" t="n">
        <f>'Operating Metrics'!N68</f>
        <v>0.06</v>
      </c>
      <c r="O72" s="548" t="n">
        <f>'Operating Metrics'!O68</f>
        <v>0.07</v>
      </c>
      <c r="P72" s="548" t="n">
        <f>'Operating Metrics'!P68</f>
        <v>0.06</v>
      </c>
      <c r="Q72" s="548" t="n">
        <f>'Operating Metrics'!Q68</f>
        <v>0.03</v>
      </c>
      <c r="R72" s="548" t="n">
        <f>'Operating Metrics'!R68</f>
        <v>0.03</v>
      </c>
    </row>
    <row r="73" ht="24" customHeight="1">
      <c r="A73" s="541" t="str">
        <v>IB Franchise</v>
      </c>
      <c r="B73" s="541"/>
      <c r="C73" s="541"/>
      <c r="D73" s="541"/>
      <c r="E73" s="541"/>
      <c r="F73" s="541"/>
      <c r="G73" s="541"/>
      <c r="H73" s="541"/>
      <c r="I73" s="541"/>
      <c r="J73" s="541"/>
      <c r="K73" s="541"/>
      <c r="L73" s="541"/>
      <c r="M73" s="541"/>
      <c r="N73" s="541"/>
      <c r="O73" s="541"/>
      <c r="P73" s="541"/>
      <c r="Q73" s="541"/>
      <c r="R73" s="541"/>
    </row>
    <row r="74" ht="22" customHeight="1">
      <c r="A74" s="546" t="str">
        <v>Organic revenue growth</v>
      </c>
      <c r="B74" s="545"/>
      <c r="C74" s="545"/>
      <c r="D74" s="548" t="n">
        <f>'Operating Metrics'!D82</f>
        <v>0.06</v>
      </c>
      <c r="E74" s="548" t="n">
        <f>'Operating Metrics'!E82</f>
        <v>0.08</v>
      </c>
      <c r="F74" s="548" t="n">
        <f>'Operating Metrics'!F82</f>
        <v>0.03</v>
      </c>
      <c r="G74" s="545"/>
      <c r="H74" s="548" t="n">
        <f>'Operating Metrics'!H82</f>
        <v>0.07</v>
      </c>
      <c r="I74" s="548" t="n">
        <f>'Operating Metrics'!I82</f>
        <v>0.08</v>
      </c>
      <c r="J74" s="548" t="n">
        <f>'Operating Metrics'!J82</f>
        <v>0.06</v>
      </c>
      <c r="K74" s="548" t="n">
        <f>'Operating Metrics'!K82</f>
        <v>0.11</v>
      </c>
      <c r="L74" s="548" t="n">
        <f>'Operating Metrics'!L82</f>
        <v>0.07</v>
      </c>
      <c r="M74" s="548" t="n">
        <f>'Operating Metrics'!M82</f>
        <v>0.05</v>
      </c>
      <c r="N74" s="548" t="n">
        <f>'Operating Metrics'!N82</f>
        <v>-0.01</v>
      </c>
      <c r="O74" s="548" t="n">
        <f>'Operating Metrics'!O82</f>
        <v>0.02</v>
      </c>
      <c r="P74" s="548" t="n">
        <f>'Operating Metrics'!P82</f>
        <v>0.05</v>
      </c>
      <c r="Q74" s="548" t="n">
        <f>'Operating Metrics'!Q82</f>
        <v>0.09</v>
      </c>
      <c r="R74" s="548" t="n">
        <f>'Operating Metrics'!R82</f>
        <v>0.07</v>
      </c>
    </row>
    <row r="75" ht="22" customHeight="1">
      <c r="A75" s="546" t="str">
        <v>Organic physical volume - beverages</v>
      </c>
      <c r="B75" s="545"/>
      <c r="C75" s="545"/>
      <c r="D75" s="548" t="n">
        <f>'Operating Metrics'!D83</f>
        <v>0.02</v>
      </c>
      <c r="E75" s="548" t="n">
        <f>'Operating Metrics'!E83</f>
        <v>0.01</v>
      </c>
      <c r="F75" s="548" t="n">
        <f>'Operating Metrics'!F83</f>
        <v>0.015</v>
      </c>
      <c r="G75" s="545"/>
      <c r="H75" s="548" t="n">
        <f>'Operating Metrics'!H83</f>
        <v>0.02</v>
      </c>
      <c r="I75" s="548" t="n">
        <f>'Operating Metrics'!I83</f>
        <v>0.02</v>
      </c>
      <c r="J75" s="548" t="n">
        <f>'Operating Metrics'!J83</f>
        <v>-0.01</v>
      </c>
      <c r="K75" s="548" t="n">
        <f>'Operating Metrics'!K83</f>
        <v>0.03</v>
      </c>
      <c r="L75" s="548" t="n">
        <f>'Operating Metrics'!L83</f>
        <v>0.03</v>
      </c>
      <c r="M75" s="548" t="n">
        <f>'Operating Metrics'!M83</f>
        <v>0.01</v>
      </c>
      <c r="N75" s="548" t="n">
        <f>'Operating Metrics'!N83</f>
        <v>-0.01</v>
      </c>
      <c r="O75" s="548" t="n">
        <f>'Operating Metrics'!O83</f>
        <v>0.03</v>
      </c>
      <c r="P75" s="548" t="n">
        <f>'Operating Metrics'!P83</f>
        <v>0.005</v>
      </c>
      <c r="Q75" s="548" t="n">
        <f>'Operating Metrics'!Q83</f>
        <v>0.05</v>
      </c>
      <c r="R75" s="548" t="n">
        <f>'Operating Metrics'!R83</f>
        <v>0.05</v>
      </c>
    </row>
    <row r="76" ht="22" customHeight="1">
      <c r="A76" s="546" t="str">
        <v>Effective net pricing</v>
      </c>
      <c r="B76" s="545"/>
      <c r="C76" s="545"/>
      <c r="D76" s="548" t="n">
        <f>'Operating Metrics'!D84</f>
        <v>0.07</v>
      </c>
      <c r="E76" s="548" t="n">
        <f>'Operating Metrics'!E84</f>
        <v>0.05</v>
      </c>
      <c r="F76" s="548" t="n">
        <f>'Operating Metrics'!F84</f>
        <v>0.02</v>
      </c>
      <c r="G76" s="545"/>
      <c r="H76" s="548" t="n">
        <f>'Operating Metrics'!H84</f>
        <v>0.03</v>
      </c>
      <c r="I76" s="548" t="n">
        <f>'Operating Metrics'!I84</f>
        <v>0.07</v>
      </c>
      <c r="J76" s="548" t="n">
        <f>'Operating Metrics'!J84</f>
        <v>0.05</v>
      </c>
      <c r="K76" s="548" t="n">
        <f>'Operating Metrics'!K84</f>
        <v>0.055</v>
      </c>
      <c r="L76" s="548" t="n">
        <f>'Operating Metrics'!L84</f>
        <v>0.02</v>
      </c>
      <c r="M76" s="548" t="n">
        <f>'Operating Metrics'!M84</f>
        <v>0.04</v>
      </c>
      <c r="N76" s="548" t="n">
        <f>'Operating Metrics'!N84</f>
        <v>0.04</v>
      </c>
      <c r="O76" s="548" t="n">
        <f>'Operating Metrics'!O84</f>
        <v>0</v>
      </c>
      <c r="P76" s="548" t="n">
        <f>'Operating Metrics'!P84</f>
        <v>0.08</v>
      </c>
      <c r="Q76" s="548" t="n">
        <f>'Operating Metrics'!Q84</f>
        <v>0.03</v>
      </c>
      <c r="R76" s="548" t="n">
        <f>'Operating Metrics'!R84</f>
        <v>0.02</v>
      </c>
    </row>
    <row r="77" ht="24" customHeight="1">
      <c r="A77" s="541" t="str">
        <v>EMEA</v>
      </c>
      <c r="B77" s="541"/>
      <c r="C77" s="541"/>
      <c r="D77" s="541"/>
      <c r="E77" s="541"/>
      <c r="F77" s="541"/>
      <c r="G77" s="541"/>
      <c r="H77" s="541"/>
      <c r="I77" s="541"/>
      <c r="J77" s="541"/>
      <c r="K77" s="541"/>
      <c r="L77" s="541"/>
      <c r="M77" s="541"/>
      <c r="N77" s="541"/>
      <c r="O77" s="541"/>
      <c r="P77" s="541"/>
      <c r="Q77" s="541"/>
      <c r="R77" s="541"/>
    </row>
    <row r="78" ht="22" customHeight="1">
      <c r="A78" s="546" t="str">
        <v>Organic revenue growth</v>
      </c>
      <c r="B78" s="545"/>
      <c r="C78" s="545"/>
      <c r="D78" s="548" t="n">
        <f>'Operating Metrics'!D98</f>
        <v>0.17</v>
      </c>
      <c r="E78" s="548" t="n">
        <f>'Operating Metrics'!E98</f>
        <v>0.08</v>
      </c>
      <c r="F78" s="548" t="n">
        <f>'Operating Metrics'!F98</f>
        <v>0.06</v>
      </c>
      <c r="G78" s="545"/>
      <c r="H78" s="548" t="n">
        <f>'Operating Metrics'!H98</f>
        <v>0.09</v>
      </c>
      <c r="I78" s="548" t="n">
        <f>'Operating Metrics'!I98</f>
        <v>0.09</v>
      </c>
      <c r="J78" s="548" t="n">
        <f>'Operating Metrics'!J98</f>
        <v>0.06</v>
      </c>
      <c r="K78" s="548" t="n">
        <f>'Operating Metrics'!K98</f>
        <v>0.09</v>
      </c>
      <c r="L78" s="548" t="n">
        <f>'Operating Metrics'!L98</f>
        <v>0.08</v>
      </c>
      <c r="M78" s="548" t="n">
        <f>'Operating Metrics'!M98</f>
        <v>0.07</v>
      </c>
      <c r="N78" s="548" t="n">
        <f>'Operating Metrics'!N98</f>
        <v>0.055</v>
      </c>
      <c r="O78" s="548" t="n">
        <f>'Operating Metrics'!O98</f>
        <v>0.05</v>
      </c>
      <c r="P78" s="548" t="n">
        <f>'Operating Metrics'!P98</f>
        <v>0.07</v>
      </c>
      <c r="Q78" s="548" t="n">
        <f>'Operating Metrics'!Q98</f>
        <v>0.06</v>
      </c>
      <c r="R78" s="548" t="n">
        <f>'Operating Metrics'!R98</f>
        <v>0.09</v>
      </c>
    </row>
    <row r="79" ht="22" customHeight="1">
      <c r="A79" s="546" t="str">
        <v>Organic physical volume - foods</v>
      </c>
      <c r="B79" s="545"/>
      <c r="C79" s="545"/>
      <c r="D79" s="548" t="n">
        <f>'Operating Metrics'!D99</f>
        <v>-0.025</v>
      </c>
      <c r="E79" s="548" t="n">
        <f>'Operating Metrics'!E99</f>
        <v>0.01</v>
      </c>
      <c r="F79" s="548" t="n">
        <f>'Operating Metrics'!F99</f>
        <v>-0.05</v>
      </c>
      <c r="G79" s="545"/>
      <c r="H79" s="548" t="n">
        <f>'Operating Metrics'!H99</f>
        <v>0.03</v>
      </c>
      <c r="I79" s="548" t="n">
        <f>'Operating Metrics'!I99</f>
        <v>0.015</v>
      </c>
      <c r="J79" s="548" t="n">
        <f>'Operating Metrics'!J99</f>
        <v>-0.025</v>
      </c>
      <c r="K79" s="548" t="n">
        <f>'Operating Metrics'!K99</f>
        <v>0.03</v>
      </c>
      <c r="L79" s="548" t="n">
        <f>'Operating Metrics'!L99</f>
        <v>-0.09</v>
      </c>
      <c r="M79" s="548" t="n">
        <f>'Operating Metrics'!M99</f>
        <v>-0.06</v>
      </c>
      <c r="N79" s="548" t="n">
        <f>'Operating Metrics'!N99</f>
        <v>-0.01</v>
      </c>
      <c r="O79" s="548" t="n">
        <f>'Operating Metrics'!O99</f>
        <v>-0.05</v>
      </c>
      <c r="P79" s="548" t="n">
        <f>'Operating Metrics'!P99</f>
        <v>0.09</v>
      </c>
      <c r="Q79" s="548" t="n">
        <f>'Operating Metrics'!Q99</f>
        <v>0.04</v>
      </c>
      <c r="R79" s="548" t="n">
        <f>'Operating Metrics'!R99</f>
        <v>-0.01</v>
      </c>
    </row>
    <row r="80" ht="22" customHeight="1">
      <c r="A80" s="546" t="str">
        <v>Organic physical volume - beverages</v>
      </c>
      <c r="B80" s="545"/>
      <c r="C80" s="545"/>
      <c r="D80" s="548" t="n">
        <f>'Operating Metrics'!D100</f>
        <v>-0.04</v>
      </c>
      <c r="E80" s="548" t="n">
        <f>'Operating Metrics'!E100</f>
        <v>-0.01</v>
      </c>
      <c r="F80" s="548" t="n">
        <f>'Operating Metrics'!F100</f>
        <v>0</v>
      </c>
      <c r="G80" s="545"/>
      <c r="H80" s="548" t="n">
        <f>'Operating Metrics'!H100</f>
        <v>0.04</v>
      </c>
      <c r="I80" s="548" t="n">
        <f>'Operating Metrics'!I100</f>
        <v>0</v>
      </c>
      <c r="J80" s="548" t="n">
        <f>'Operating Metrics'!J100</f>
        <v>-0.035</v>
      </c>
      <c r="K80" s="548" t="n">
        <f>'Operating Metrics'!K100</f>
        <v>-0.01</v>
      </c>
      <c r="L80" s="548" t="n">
        <f>'Operating Metrics'!L100</f>
        <v>-0.04</v>
      </c>
      <c r="M80" s="548" t="n">
        <f>'Operating Metrics'!M100</f>
        <v>0.01</v>
      </c>
      <c r="N80" s="548" t="n">
        <f>'Operating Metrics'!N100</f>
        <v>0.015</v>
      </c>
      <c r="O80" s="548" t="n">
        <f>'Operating Metrics'!O100</f>
        <v>0.01</v>
      </c>
      <c r="P80" s="548" t="n">
        <f>'Operating Metrics'!P100</f>
        <v>0.02</v>
      </c>
      <c r="Q80" s="548" t="n">
        <f>'Operating Metrics'!Q100</f>
        <v>0.01</v>
      </c>
      <c r="R80" s="548" t="n">
        <f>'Operating Metrics'!R100</f>
        <v>0.04</v>
      </c>
    </row>
    <row r="81" ht="22" customHeight="1">
      <c r="A81" s="546" t="str">
        <v>Effective net pricing</v>
      </c>
      <c r="B81" s="545"/>
      <c r="C81" s="545"/>
      <c r="D81" s="548" t="n">
        <f>'Operating Metrics'!D101</f>
        <v>0.2</v>
      </c>
      <c r="E81" s="548" t="n">
        <f>'Operating Metrics'!E101</f>
        <v>0.08</v>
      </c>
      <c r="F81" s="548" t="n">
        <f>'Operating Metrics'!F101</f>
        <v>0.09</v>
      </c>
      <c r="G81" s="545"/>
      <c r="H81" s="548" t="n">
        <f>'Operating Metrics'!H101</f>
        <v>0.05</v>
      </c>
      <c r="I81" s="548" t="n">
        <f>'Operating Metrics'!I101</f>
        <v>0.08</v>
      </c>
      <c r="J81" s="548" t="n">
        <f>'Operating Metrics'!J101</f>
        <v>0.09</v>
      </c>
      <c r="K81" s="548" t="n">
        <f>'Operating Metrics'!K101</f>
        <v>0.08</v>
      </c>
      <c r="L81" s="548" t="n">
        <f>'Operating Metrics'!L101</f>
        <v>0.16</v>
      </c>
      <c r="M81" s="548" t="n">
        <f>'Operating Metrics'!M101</f>
        <v>0.11</v>
      </c>
      <c r="N81" s="548" t="n">
        <f>'Operating Metrics'!N101</f>
        <v>0.06</v>
      </c>
      <c r="O81" s="548" t="n">
        <f>'Operating Metrics'!O101</f>
        <v>0.08</v>
      </c>
      <c r="P81" s="548" t="n">
        <f>'Operating Metrics'!P101</f>
        <v>0</v>
      </c>
      <c r="Q81" s="548" t="n">
        <f>'Operating Metrics'!Q101</f>
        <v>0.03</v>
      </c>
      <c r="R81" s="548" t="n">
        <f>'Operating Metrics'!R101</f>
        <v>0.07</v>
      </c>
    </row>
    <row r="82" ht="24" customHeight="1">
      <c r="A82" s="541" t="str">
        <v>LatAm Foods</v>
      </c>
      <c r="B82" s="541"/>
      <c r="C82" s="541"/>
      <c r="D82" s="541"/>
      <c r="E82" s="541"/>
      <c r="F82" s="541"/>
      <c r="G82" s="541"/>
      <c r="H82" s="541"/>
      <c r="I82" s="541"/>
      <c r="J82" s="541"/>
      <c r="K82" s="541"/>
      <c r="L82" s="541"/>
      <c r="M82" s="541"/>
      <c r="N82" s="541"/>
      <c r="O82" s="541"/>
      <c r="P82" s="541"/>
      <c r="Q82" s="541"/>
      <c r="R82" s="541"/>
    </row>
    <row r="83" ht="22" customHeight="1">
      <c r="A83" s="546" t="str">
        <v>Organic revenue growth</v>
      </c>
      <c r="B83" s="545"/>
      <c r="C83" s="545"/>
      <c r="D83" s="548" t="n">
        <f>'Operating Metrics'!D115</f>
        <v>0.11</v>
      </c>
      <c r="E83" s="548" t="n">
        <f>'Operating Metrics'!E115</f>
        <v>0.03</v>
      </c>
      <c r="F83" s="548" t="n">
        <f>'Operating Metrics'!F115</f>
        <v>0.045</v>
      </c>
      <c r="G83" s="545"/>
      <c r="H83" s="548" t="n">
        <f>'Operating Metrics'!H115</f>
        <v>0.09</v>
      </c>
      <c r="I83" s="548" t="n">
        <f>'Operating Metrics'!I115</f>
        <v>0.01</v>
      </c>
      <c r="J83" s="548" t="n">
        <f>'Operating Metrics'!J115</f>
        <v>0.02</v>
      </c>
      <c r="K83" s="548" t="n">
        <f>'Operating Metrics'!K115</f>
        <v>0.03</v>
      </c>
      <c r="L83" s="548" t="n">
        <f>'Operating Metrics'!L115</f>
        <v>0.03</v>
      </c>
      <c r="M83" s="548" t="n">
        <f>'Operating Metrics'!M115</f>
        <v>0.06</v>
      </c>
      <c r="N83" s="548" t="n">
        <f>'Operating Metrics'!N115</f>
        <v>0.04</v>
      </c>
      <c r="O83" s="548" t="n">
        <f>'Operating Metrics'!O115</f>
        <v>0.05</v>
      </c>
      <c r="P83" s="548" t="n">
        <f>'Operating Metrics'!P115</f>
        <v>0.03</v>
      </c>
      <c r="Q83" s="548" t="n">
        <f>'Operating Metrics'!Q115</f>
        <v>0.04</v>
      </c>
      <c r="R83" s="548" t="n">
        <f>'Operating Metrics'!R115</f>
        <v>0.06</v>
      </c>
    </row>
    <row r="84" ht="22" customHeight="1">
      <c r="A84" s="546" t="str">
        <v>Organic physical volume - foods</v>
      </c>
      <c r="B84" s="545"/>
      <c r="C84" s="545"/>
      <c r="D84" s="548" t="n">
        <f>'Operating Metrics'!D116</f>
        <v>-0.04</v>
      </c>
      <c r="E84" s="548" t="n">
        <f>'Operating Metrics'!E116</f>
        <v>-0.02</v>
      </c>
      <c r="F84" s="548" t="n">
        <f>'Operating Metrics'!F116</f>
        <v>0.01</v>
      </c>
      <c r="G84" s="545"/>
      <c r="H84" s="548" t="n">
        <f>'Operating Metrics'!H116</f>
        <v>-0.005</v>
      </c>
      <c r="I84" s="548" t="n">
        <f>'Operating Metrics'!I116</f>
        <v>-0.06</v>
      </c>
      <c r="J84" s="548" t="n">
        <f>'Operating Metrics'!J116</f>
        <v>-0.02</v>
      </c>
      <c r="K84" s="548" t="n">
        <f>'Operating Metrics'!K116</f>
        <v>0</v>
      </c>
      <c r="L84" s="548" t="n">
        <f>'Operating Metrics'!L116</f>
        <v>-0.005</v>
      </c>
      <c r="M84" s="548" t="n">
        <f>'Operating Metrics'!M116</f>
        <v>0.04</v>
      </c>
      <c r="N84" s="548" t="n">
        <f>'Operating Metrics'!N116</f>
        <v>0</v>
      </c>
      <c r="O84" s="548" t="n">
        <f>'Operating Metrics'!O116</f>
        <v>-0.01</v>
      </c>
      <c r="P84" s="548" t="n">
        <f>'Operating Metrics'!P116</f>
        <v>-0.02</v>
      </c>
      <c r="Q84" s="548" t="n">
        <f>'Operating Metrics'!Q116</f>
        <v>0</v>
      </c>
      <c r="R84" s="548" t="n">
        <f>'Operating Metrics'!R116</f>
        <v>0.03</v>
      </c>
    </row>
    <row r="85" ht="22" customHeight="1">
      <c r="A85" s="546" t="str">
        <v>Effective net pricing</v>
      </c>
      <c r="B85" s="545"/>
      <c r="C85" s="545"/>
      <c r="D85" s="548" t="n">
        <f>'Operating Metrics'!D117</f>
        <v>0.14</v>
      </c>
      <c r="E85" s="548" t="n">
        <f>'Operating Metrics'!E117</f>
        <v>0.05</v>
      </c>
      <c r="F85" s="548" t="n">
        <f>'Operating Metrics'!F117</f>
        <v>0.04</v>
      </c>
      <c r="G85" s="545"/>
      <c r="H85" s="548" t="n">
        <f>'Operating Metrics'!H117</f>
        <v>0.09</v>
      </c>
      <c r="I85" s="548" t="n">
        <f>'Operating Metrics'!I117</f>
        <v>0.07</v>
      </c>
      <c r="J85" s="548" t="n">
        <f>'Operating Metrics'!J117</f>
        <v>0.04</v>
      </c>
      <c r="K85" s="548" t="n">
        <f>'Operating Metrics'!K117</f>
        <v>0.03</v>
      </c>
      <c r="L85" s="548" t="n">
        <f>'Operating Metrics'!L117</f>
        <v>0.03</v>
      </c>
      <c r="M85" s="548" t="n">
        <f>'Operating Metrics'!M117</f>
        <v>0.02</v>
      </c>
      <c r="N85" s="548" t="n">
        <f>'Operating Metrics'!N117</f>
        <v>0.04</v>
      </c>
      <c r="O85" s="548" t="n">
        <f>'Operating Metrics'!O117</f>
        <v>0.06</v>
      </c>
      <c r="P85" s="548" t="n">
        <f>'Operating Metrics'!P117</f>
        <v>0.055</v>
      </c>
      <c r="Q85" s="548" t="n">
        <f>'Operating Metrics'!Q117</f>
        <v>0.04</v>
      </c>
      <c r="R85" s="548" t="n">
        <f>'Operating Metrics'!R117</f>
        <v>0.03</v>
      </c>
    </row>
    <row r="86" ht="24" customHeight="1">
      <c r="A86" s="541" t="str">
        <v>Asia Pacific Foods</v>
      </c>
      <c r="B86" s="541"/>
      <c r="C86" s="541"/>
      <c r="D86" s="541"/>
      <c r="E86" s="541"/>
      <c r="F86" s="541"/>
      <c r="G86" s="541"/>
      <c r="H86" s="541"/>
      <c r="I86" s="541"/>
      <c r="J86" s="541"/>
      <c r="K86" s="541"/>
      <c r="L86" s="541"/>
      <c r="M86" s="541"/>
      <c r="N86" s="541"/>
      <c r="O86" s="541"/>
      <c r="P86" s="541"/>
      <c r="Q86" s="541"/>
      <c r="R86" s="541"/>
    </row>
    <row r="87" ht="22" customHeight="1">
      <c r="A87" s="546" t="str">
        <v>Organic revenue growth</v>
      </c>
      <c r="B87" s="545"/>
      <c r="C87" s="545"/>
      <c r="D87" s="548" t="n">
        <f>'Operating Metrics'!D131</f>
        <v>0.04</v>
      </c>
      <c r="E87" s="548" t="n">
        <f>'Operating Metrics'!E131</f>
        <v>0.03</v>
      </c>
      <c r="F87" s="548" t="n">
        <f>'Operating Metrics'!F131</f>
        <v>0.015</v>
      </c>
      <c r="G87" s="545"/>
      <c r="H87" s="548" t="n">
        <f>'Operating Metrics'!H131</f>
        <v>0.1</v>
      </c>
      <c r="I87" s="548" t="n">
        <f>'Operating Metrics'!I131</f>
        <v>0.01</v>
      </c>
      <c r="J87" s="548" t="n">
        <f>'Operating Metrics'!J131</f>
        <v>0.015</v>
      </c>
      <c r="K87" s="548" t="n">
        <f>'Operating Metrics'!K131</f>
        <v>0.02</v>
      </c>
      <c r="L87" s="548" t="n">
        <f>'Operating Metrics'!L131</f>
        <v>-0.01</v>
      </c>
      <c r="M87" s="548" t="n">
        <f>'Operating Metrics'!M131</f>
        <v>0</v>
      </c>
      <c r="N87" s="548" t="n">
        <f>'Operating Metrics'!N131</f>
        <v>0.01</v>
      </c>
      <c r="O87" s="548" t="n">
        <f>'Operating Metrics'!O131</f>
        <v>0.04</v>
      </c>
      <c r="P87" s="548" t="n">
        <f>'Operating Metrics'!P131</f>
        <v>0.07</v>
      </c>
      <c r="Q87" s="548" t="n">
        <f>'Operating Metrics'!Q131</f>
        <v>0.09</v>
      </c>
      <c r="R87" s="548" t="n">
        <f>'Operating Metrics'!R131</f>
        <v>0.09</v>
      </c>
    </row>
    <row r="88" ht="22" customHeight="1">
      <c r="A88" s="546" t="str">
        <v>Organic physical volume - foods</v>
      </c>
      <c r="B88" s="545"/>
      <c r="C88" s="545"/>
      <c r="D88" s="548" t="n">
        <f>'Operating Metrics'!D132</f>
        <v>-0.02</v>
      </c>
      <c r="E88" s="548" t="n">
        <f>'Operating Metrics'!E132</f>
        <v>0.06</v>
      </c>
      <c r="F88" s="548" t="n">
        <f>'Operating Metrics'!F132</f>
        <v>0.04</v>
      </c>
      <c r="G88" s="545"/>
      <c r="H88" s="548" t="n">
        <f>'Operating Metrics'!H132</f>
        <v>0.12</v>
      </c>
      <c r="I88" s="548" t="n">
        <f>'Operating Metrics'!I132</f>
        <v>0.03</v>
      </c>
      <c r="J88" s="548" t="n">
        <f>'Operating Metrics'!J132</f>
        <v>0.035</v>
      </c>
      <c r="K88" s="548" t="n">
        <f>'Operating Metrics'!K132</f>
        <v>0.06</v>
      </c>
      <c r="L88" s="548" t="n">
        <f>'Operating Metrics'!L132</f>
        <v>0.03</v>
      </c>
      <c r="M88" s="548" t="n">
        <f>'Operating Metrics'!M132</f>
        <v>0.05</v>
      </c>
      <c r="N88" s="548" t="n">
        <f>'Operating Metrics'!N132</f>
        <v>0.03</v>
      </c>
      <c r="O88" s="548" t="n">
        <f>'Operating Metrics'!O132</f>
        <v>0.04</v>
      </c>
      <c r="P88" s="548" t="n">
        <f>'Operating Metrics'!P132</f>
        <v>0.09</v>
      </c>
      <c r="Q88" s="548" t="n">
        <f>'Operating Metrics'!Q132</f>
        <v>0.1</v>
      </c>
      <c r="R88" s="548" t="n">
        <f>'Operating Metrics'!R132</f>
        <v>0.11</v>
      </c>
    </row>
    <row r="89" ht="22" customHeight="1">
      <c r="A89" s="546" t="str">
        <v>Effective net pricing</v>
      </c>
      <c r="B89" s="545"/>
      <c r="C89" s="545"/>
      <c r="D89" s="548" t="n">
        <f>'Operating Metrics'!D133</f>
        <v>0.06</v>
      </c>
      <c r="E89" s="548" t="n">
        <f>'Operating Metrics'!E133</f>
        <v>-0.03</v>
      </c>
      <c r="F89" s="548" t="n">
        <f>'Operating Metrics'!F133</f>
        <v>-0.03</v>
      </c>
      <c r="G89" s="545"/>
      <c r="H89" s="548" t="n">
        <f>'Operating Metrics'!H133</f>
        <v>-0.02</v>
      </c>
      <c r="I89" s="548" t="n">
        <f>'Operating Metrics'!I133</f>
        <v>-0.03</v>
      </c>
      <c r="J89" s="548" t="n">
        <f>'Operating Metrics'!J133</f>
        <v>-0.02</v>
      </c>
      <c r="K89" s="548" t="n">
        <f>'Operating Metrics'!K133</f>
        <v>-0.05</v>
      </c>
      <c r="L89" s="548" t="n">
        <f>'Operating Metrics'!L133</f>
        <v>-0.04</v>
      </c>
      <c r="M89" s="548" t="n">
        <f>'Operating Metrics'!M133</f>
        <v>-0.06</v>
      </c>
      <c r="N89" s="548" t="n">
        <f>'Operating Metrics'!N133</f>
        <v>-0.03</v>
      </c>
      <c r="O89" s="548" t="n">
        <f>'Operating Metrics'!O133</f>
        <v>0</v>
      </c>
      <c r="P89" s="548" t="n">
        <f>'Operating Metrics'!P133</f>
        <v>-0.02</v>
      </c>
      <c r="Q89" s="548" t="n">
        <f>'Operating Metrics'!Q133</f>
        <v>-0.01</v>
      </c>
      <c r="R89" s="548" t="n">
        <f>'Operating Metrics'!R133</f>
        <v>-0.02</v>
      </c>
    </row>
    <row r="90" ht="24" customHeight="1">
      <c r="A90" s="550" t="str">
        <v>PepsiCo</v>
      </c>
      <c r="B90" s="550"/>
      <c r="C90" s="550"/>
      <c r="D90" s="550"/>
      <c r="E90" s="550"/>
      <c r="F90" s="550"/>
      <c r="G90" s="550"/>
      <c r="H90" s="550"/>
      <c r="I90" s="550"/>
      <c r="J90" s="550"/>
      <c r="K90" s="550"/>
      <c r="L90" s="550"/>
      <c r="M90" s="550"/>
      <c r="N90" s="550"/>
      <c r="O90" s="550"/>
      <c r="P90" s="550"/>
      <c r="Q90" s="550"/>
      <c r="R90" s="550"/>
    </row>
    <row r="91" ht="22" customHeight="1">
      <c r="A91" s="64" t="str">
        <v>Organic revenue growth</v>
      </c>
      <c r="B91" s="555"/>
      <c r="C91" s="557" t="n">
        <f>'Operating Metrics'!I27</f>
        <v>0.14400000000000002</v>
      </c>
      <c r="D91" s="557" t="n">
        <f>'Operating Metrics'!J27</f>
        <v>0.095</v>
      </c>
      <c r="E91" s="557" t="n">
        <f>'Operating Metrics'!K27</f>
        <v>0.02</v>
      </c>
      <c r="F91" s="557" t="n">
        <f>'Operating Metrics'!L27</f>
        <v>0.017</v>
      </c>
      <c r="G91" s="555"/>
      <c r="H91" s="557" t="n">
        <f>'Operating Metrics'!N27</f>
        <v>0.027000000000000003</v>
      </c>
      <c r="I91" s="557" t="n">
        <f>'Operating Metrics'!O27</f>
        <v>0.019</v>
      </c>
      <c r="J91" s="557" t="n">
        <f>'Operating Metrics'!P27</f>
        <v>0.013000000000000001</v>
      </c>
      <c r="K91" s="557" t="n">
        <f>'Operating Metrics'!Q27</f>
        <v>0.021</v>
      </c>
      <c r="L91" s="557" t="n">
        <f>'Operating Metrics'!R27</f>
        <v>0.012</v>
      </c>
      <c r="M91" s="557" t="n">
        <f>'Operating Metrics'!S27</f>
        <v>0.021</v>
      </c>
      <c r="N91" s="557" t="n">
        <f>'Operating Metrics'!T27</f>
        <v>0.013000000000000001</v>
      </c>
      <c r="O91" s="557" t="n">
        <f>'Operating Metrics'!U27</f>
        <v>0.021</v>
      </c>
      <c r="P91" s="557" t="n">
        <f>'Operating Metrics'!V27</f>
        <v>0.026000000000000002</v>
      </c>
      <c r="Q91" s="557" t="n">
        <f>'Operating Metrics'!W27</f>
        <v>0.024</v>
      </c>
      <c r="R91" s="557" t="n">
        <f>'Operating Metrics'!X27</f>
        <v>0.031000000000000003</v>
      </c>
    </row>
    <row r="92" ht="22" customHeight="1">
      <c r="A92" s="64" t="str">
        <v>Organic physical volume - foods</v>
      </c>
      <c r="B92" s="555"/>
      <c r="C92" s="557" t="n">
        <f>'Operating Metrics'!I28</f>
        <v>0</v>
      </c>
      <c r="D92" s="557" t="n">
        <f>'Operating Metrics'!J28</f>
        <v>-0.02</v>
      </c>
      <c r="E92" s="557" t="n">
        <f>'Operating Metrics'!K28</f>
        <v>-0.01</v>
      </c>
      <c r="F92" s="557" t="n">
        <f>'Operating Metrics'!L28</f>
        <v>-0.02</v>
      </c>
      <c r="G92" s="555"/>
      <c r="H92" s="557" t="n">
        <f>'Operating Metrics'!N28</f>
        <v>-0.005</v>
      </c>
      <c r="I92" s="557" t="n">
        <f>'Operating Metrics'!O28</f>
        <v>-0.02</v>
      </c>
      <c r="J92" s="557" t="n">
        <f>'Operating Metrics'!P28</f>
        <v>-0.02</v>
      </c>
      <c r="K92" s="557" t="n">
        <f>'Operating Metrics'!Q28</f>
        <v>0.01</v>
      </c>
      <c r="L92" s="557" t="n">
        <f>'Operating Metrics'!R28</f>
        <v>-0.03</v>
      </c>
      <c r="M92" s="557" t="n">
        <f>'Operating Metrics'!S28</f>
        <v>-0.015</v>
      </c>
      <c r="N92" s="557" t="n">
        <f>'Operating Metrics'!T28</f>
        <v>-0.01</v>
      </c>
      <c r="O92" s="557" t="n">
        <f>'Operating Metrics'!U28</f>
        <v>-0.02</v>
      </c>
      <c r="P92" s="557" t="n">
        <f>'Operating Metrics'!V28</f>
        <v>0.04</v>
      </c>
      <c r="Q92" s="557" t="n">
        <f>'Operating Metrics'!W28</f>
        <v>0.03</v>
      </c>
      <c r="R92" s="557" t="n">
        <f>'Operating Metrics'!X28</f>
        <v>0.01</v>
      </c>
    </row>
    <row r="93" ht="22" customHeight="1">
      <c r="A93" s="64" t="str">
        <v>Organic physical volume - beverages</v>
      </c>
      <c r="B93" s="555"/>
      <c r="C93" s="557" t="n">
        <f>'Operating Metrics'!I29</f>
        <v>0.035</v>
      </c>
      <c r="D93" s="557" t="n">
        <f>'Operating Metrics'!J29</f>
        <v>-0.01</v>
      </c>
      <c r="E93" s="557" t="n">
        <f>'Operating Metrics'!K29</f>
        <v>0</v>
      </c>
      <c r="F93" s="557" t="n">
        <f>'Operating Metrics'!L29</f>
        <v>0</v>
      </c>
      <c r="G93" s="555"/>
      <c r="H93" s="557" t="n">
        <f>'Operating Metrics'!N29</f>
        <v>0</v>
      </c>
      <c r="I93" s="557" t="n">
        <f>'Operating Metrics'!O29</f>
        <v>0</v>
      </c>
      <c r="J93" s="557" t="n">
        <f>'Operating Metrics'!P29</f>
        <v>-0.02</v>
      </c>
      <c r="K93" s="557" t="n">
        <f>'Operating Metrics'!Q29</f>
        <v>0.01</v>
      </c>
      <c r="L93" s="557" t="n">
        <f>'Operating Metrics'!R29</f>
        <v>0</v>
      </c>
      <c r="M93" s="557" t="n">
        <f>'Operating Metrics'!S29</f>
        <v>0</v>
      </c>
      <c r="N93" s="557" t="n">
        <f>'Operating Metrics'!T29</f>
        <v>-0.01</v>
      </c>
      <c r="O93" s="557" t="n">
        <f>'Operating Metrics'!U29</f>
        <v>0.01</v>
      </c>
      <c r="P93" s="557" t="n">
        <f>'Operating Metrics'!V29</f>
        <v>0</v>
      </c>
      <c r="Q93" s="557" t="n">
        <f>'Operating Metrics'!W29</f>
        <v>0.02</v>
      </c>
      <c r="R93" s="557" t="n">
        <f>'Operating Metrics'!X29</f>
        <v>0.03</v>
      </c>
    </row>
    <row r="94" ht="22" customHeight="1">
      <c r="A94" s="64" t="str">
        <v>Effective net pricing</v>
      </c>
      <c r="B94" s="555"/>
      <c r="C94" s="557" t="n">
        <f>'Operating Metrics'!I30</f>
        <v>0.14</v>
      </c>
      <c r="D94" s="557" t="n">
        <f>'Operating Metrics'!J30</f>
        <v>0.13</v>
      </c>
      <c r="E94" s="557" t="n">
        <f>'Operating Metrics'!K30</f>
        <v>0.04</v>
      </c>
      <c r="F94" s="557" t="n">
        <f>'Operating Metrics'!L30</f>
        <v>0.04</v>
      </c>
      <c r="G94" s="555"/>
      <c r="H94" s="557" t="n">
        <f>'Operating Metrics'!N30</f>
        <v>0.05</v>
      </c>
      <c r="I94" s="557" t="n">
        <f>'Operating Metrics'!O30</f>
        <v>0.05</v>
      </c>
      <c r="J94" s="557" t="n">
        <f>'Operating Metrics'!P30</f>
        <v>0.03</v>
      </c>
      <c r="K94" s="557" t="n">
        <f>'Operating Metrics'!Q30</f>
        <v>0.03</v>
      </c>
      <c r="L94" s="557" t="n">
        <f>'Operating Metrics'!R30</f>
        <v>0.03</v>
      </c>
      <c r="M94" s="557" t="n">
        <f>'Operating Metrics'!S30</f>
        <v>0.04</v>
      </c>
      <c r="N94" s="557" t="n">
        <f>'Operating Metrics'!T30</f>
        <v>0.04</v>
      </c>
      <c r="O94" s="557" t="n">
        <f>'Operating Metrics'!U30</f>
        <v>0.045</v>
      </c>
      <c r="P94" s="557" t="n">
        <f>'Operating Metrics'!V30</f>
        <v>0.02</v>
      </c>
      <c r="Q94" s="557" t="n">
        <f>'Operating Metrics'!W30</f>
        <v>0.02</v>
      </c>
      <c r="R94" s="557" t="n">
        <f>'Operating Metrics'!X30</f>
        <v>0.03</v>
      </c>
    </row>
    <row r="95" ht="22" customHeight="1">
      <c r="A95" s="518"/>
      <c r="B95" s="518"/>
      <c r="C95" s="518"/>
      <c r="D95" s="518"/>
      <c r="E95" s="518"/>
      <c r="F95" s="518"/>
      <c r="G95" s="518"/>
      <c r="H95" s="518"/>
      <c r="I95" s="518"/>
      <c r="J95" s="518"/>
      <c r="K95" s="518"/>
      <c r="L95" s="518"/>
      <c r="M95" s="518"/>
      <c r="N95" s="518"/>
      <c r="O95" s="518"/>
      <c r="P95" s="518"/>
      <c r="Q95" s="518"/>
      <c r="R95" s="518"/>
    </row>
    <row r="96" ht="22" customHeight="1">
      <c r="A96" s="518"/>
      <c r="B96" s="518"/>
      <c r="C96" s="518"/>
      <c r="D96" s="518"/>
      <c r="E96" s="518"/>
      <c r="F96" s="518"/>
      <c r="G96" s="518"/>
      <c r="H96" s="518"/>
      <c r="I96" s="518"/>
      <c r="J96" s="518"/>
      <c r="K96" s="518"/>
      <c r="L96" s="518"/>
      <c r="M96" s="518"/>
      <c r="N96" s="518"/>
      <c r="O96" s="518"/>
      <c r="P96" s="518"/>
      <c r="Q96" s="518"/>
      <c r="R96" s="518"/>
    </row>
    <row r="97" ht="22" customHeight="1">
      <c r="A97" s="538" t="str">
        <v>Capital investment intensity</v>
      </c>
      <c r="B97" s="538"/>
      <c r="C97" s="538"/>
      <c r="D97" s="538"/>
      <c r="E97" s="538"/>
      <c r="F97" s="538"/>
      <c r="G97" s="538"/>
      <c r="H97" s="538"/>
      <c r="I97" s="538"/>
      <c r="J97" s="538"/>
      <c r="K97" s="538"/>
      <c r="L97" s="538"/>
      <c r="M97" s="538"/>
      <c r="N97" s="538"/>
      <c r="O97" s="538"/>
      <c r="P97" s="538"/>
      <c r="Q97" s="538"/>
      <c r="R97" s="538"/>
    </row>
    <row r="98" ht="30" customHeight="1">
      <c r="A98" s="539" t="str">
        <v>Compare like quarters: capital spending is seasonal. Capex / D&amp;A indicates investment intensity; it does not estimate maintenance capex or ROIC. D&amp;A amounts and components remain in Operating Metrics.</v>
      </c>
      <c r="B98" s="539"/>
      <c r="C98" s="539"/>
      <c r="D98" s="539"/>
      <c r="E98" s="539"/>
      <c r="F98" s="539"/>
      <c r="G98" s="539"/>
      <c r="H98" s="539"/>
      <c r="I98" s="539"/>
      <c r="J98" s="539"/>
      <c r="K98" s="539"/>
      <c r="L98" s="539"/>
      <c r="M98" s="539"/>
      <c r="N98" s="539"/>
      <c r="O98" s="539"/>
      <c r="P98" s="539"/>
      <c r="Q98" s="539"/>
      <c r="R98" s="539"/>
    </row>
    <row r="99" ht="24" customHeight="1">
      <c r="A99" s="541" t="str">
        <v>PFNA</v>
      </c>
      <c r="B99" s="541"/>
      <c r="C99" s="541"/>
      <c r="D99" s="541"/>
      <c r="E99" s="541"/>
      <c r="F99" s="541"/>
      <c r="G99" s="541"/>
      <c r="H99" s="541"/>
      <c r="I99" s="541"/>
      <c r="J99" s="541"/>
      <c r="K99" s="541"/>
      <c r="L99" s="541"/>
      <c r="M99" s="541"/>
      <c r="N99" s="541"/>
      <c r="O99" s="541"/>
      <c r="P99" s="541"/>
      <c r="Q99" s="541"/>
      <c r="R99" s="541"/>
    </row>
    <row r="100" ht="22" customHeight="1">
      <c r="A100" s="542" t="str">
        <v>Capital spending</v>
      </c>
      <c r="B100" s="518"/>
      <c r="C100" s="544" t="n">
        <f>'Operating Metrics'!C53</f>
        <v>1557</v>
      </c>
      <c r="D100" s="544" t="n">
        <f>'Operating Metrics'!D53</f>
        <v>1444</v>
      </c>
      <c r="E100" s="544" t="n">
        <f>'Operating Metrics'!E53</f>
        <v>1306</v>
      </c>
      <c r="F100" s="544" t="n">
        <f>'Operating Metrics'!F53</f>
        <v>1051</v>
      </c>
      <c r="G100" s="518"/>
      <c r="H100" s="544" t="n">
        <f>'Operating Metrics'!H53</f>
        <v>237</v>
      </c>
      <c r="I100" s="544" t="n">
        <f>'Operating Metrics'!I53</f>
        <v>298</v>
      </c>
      <c r="J100" s="544" t="n">
        <f>'Operating Metrics'!J53</f>
        <v>253</v>
      </c>
      <c r="K100" s="544" t="n">
        <f>'Operating Metrics'!K53</f>
        <v>518</v>
      </c>
      <c r="L100" s="544" t="n">
        <f>'Operating Metrics'!L53</f>
        <v>195</v>
      </c>
      <c r="M100" s="544" t="n">
        <f>'Operating Metrics'!M53</f>
        <v>230</v>
      </c>
      <c r="N100" s="544" t="n">
        <f>'Operating Metrics'!N53</f>
        <v>220</v>
      </c>
      <c r="O100" s="544" t="n">
        <f>'Operating Metrics'!O53</f>
        <v>406</v>
      </c>
      <c r="P100" s="544" t="n">
        <f>'Operating Metrics'!P53</f>
        <v>110</v>
      </c>
      <c r="Q100" s="544" t="n">
        <f>'Operating Metrics'!Q53</f>
        <v>211</v>
      </c>
      <c r="R100" s="544" t="n">
        <f>'Operating Metrics'!R53</f>
        <v>214</v>
      </c>
    </row>
    <row r="101" ht="22" customHeight="1">
      <c r="A101" s="546" t="str">
        <v>Capital spending / net revenue</v>
      </c>
      <c r="B101" s="545"/>
      <c r="C101" s="548" t="n">
        <f>'Operating Metrics'!C54</f>
        <v>0.058863559033684926</v>
      </c>
      <c r="D101" s="548" t="n">
        <f>'Operating Metrics'!D54</f>
        <v>0.05154381581295735</v>
      </c>
      <c r="E101" s="548" t="n">
        <f>'Operating Metrics'!E54</f>
        <v>0.047610367832014874</v>
      </c>
      <c r="F101" s="548" t="n">
        <f>'Operating Metrics'!F54</f>
        <v>0.03817930834059866</v>
      </c>
      <c r="G101" s="545"/>
      <c r="H101" s="548" t="n">
        <f>'Operating Metrics'!H54</f>
        <v>0.03780507257935875</v>
      </c>
      <c r="I101" s="548" t="n">
        <f>'Operating Metrics'!I54</f>
        <v>0.04630924630924631</v>
      </c>
      <c r="J101" s="548" t="n">
        <f>'Operating Metrics'!J54</f>
        <v>0.03870869033047736</v>
      </c>
      <c r="K101" s="548" t="n">
        <f>'Operating Metrics'!K54</f>
        <v>0.06324014161884996</v>
      </c>
      <c r="L101" s="548" t="n">
        <f>'Operating Metrics'!L54</f>
        <v>0.031385803959439885</v>
      </c>
      <c r="M101" s="548" t="n">
        <f>'Operating Metrics'!M54</f>
        <v>0.03551575046324892</v>
      </c>
      <c r="N101" s="548" t="n">
        <f>'Operating Metrics'!N54</f>
        <v>0.03371130861170702</v>
      </c>
      <c r="O101" s="548" t="n">
        <f>'Operating Metrics'!O54</f>
        <v>0.04883916756886804</v>
      </c>
      <c r="P101" s="548" t="n">
        <f>'Operating Metrics'!P54</f>
        <v>0.01737207833228048</v>
      </c>
      <c r="Q101" s="548" t="n">
        <f>'Operating Metrics'!Q54</f>
        <v>0.033134422110552765</v>
      </c>
      <c r="R101" s="548" t="n">
        <f>'Operating Metrics'!R54</f>
        <v>0.03290282902829028</v>
      </c>
    </row>
    <row r="102" ht="22" customHeight="1">
      <c r="A102" s="546" t="str">
        <v>Capital spending / D&amp;A</v>
      </c>
      <c r="B102" s="545"/>
      <c r="C102" s="559" t="n">
        <f>'Operating Metrics'!C58</f>
        <v>2.189873417721519</v>
      </c>
      <c r="D102" s="559" t="n">
        <f>'Operating Metrics'!D58</f>
        <v>1.8095238095238095</v>
      </c>
      <c r="E102" s="559" t="n">
        <f>'Operating Metrics'!E58</f>
        <v>1.5150812064965198</v>
      </c>
      <c r="F102" s="559" t="n">
        <f>'Operating Metrics'!F58</f>
        <v>1.084623323013416</v>
      </c>
      <c r="G102" s="545"/>
      <c r="H102" s="559" t="n">
        <f>'Operating Metrics'!H58</f>
        <v>1.234375</v>
      </c>
      <c r="I102" s="559" t="n">
        <f>'Operating Metrics'!I58</f>
        <v>1.5851063829787233</v>
      </c>
      <c r="J102" s="559" t="n">
        <f>'Operating Metrics'!J58</f>
        <v>1.3177083333333333</v>
      </c>
      <c r="K102" s="559" t="n">
        <f>'Operating Metrics'!K58</f>
        <v>1.7862068965517242</v>
      </c>
      <c r="L102" s="559" t="n">
        <f>'Operating Metrics'!L58</f>
        <v>0.9285714285714286</v>
      </c>
      <c r="M102" s="559" t="n">
        <f>'Operating Metrics'!M58</f>
        <v>1</v>
      </c>
      <c r="N102" s="559" t="n">
        <f>'Operating Metrics'!N58</f>
        <v>0.9282700421940928</v>
      </c>
      <c r="O102" s="559" t="n">
        <f>'Operating Metrics'!O58</f>
        <v>1.3904109589041096</v>
      </c>
      <c r="P102" s="559" t="n">
        <f>'Operating Metrics'!P58</f>
        <v>0.4845814977973568</v>
      </c>
      <c r="Q102" s="559" t="n">
        <f>'Operating Metrics'!Q58</f>
        <v>0.9213973799126638</v>
      </c>
      <c r="R102" s="559" t="n">
        <f>'Operating Metrics'!R58</f>
        <v>0.9553571428571429</v>
      </c>
    </row>
    <row r="103" ht="24" customHeight="1">
      <c r="A103" s="541" t="str">
        <v>PBNA</v>
      </c>
      <c r="B103" s="541"/>
      <c r="C103" s="541"/>
      <c r="D103" s="541"/>
      <c r="E103" s="541"/>
      <c r="F103" s="541"/>
      <c r="G103" s="541"/>
      <c r="H103" s="541"/>
      <c r="I103" s="541"/>
      <c r="J103" s="541"/>
      <c r="K103" s="541"/>
      <c r="L103" s="541"/>
      <c r="M103" s="541"/>
      <c r="N103" s="541"/>
      <c r="O103" s="541"/>
      <c r="P103" s="541"/>
      <c r="Q103" s="541"/>
      <c r="R103" s="541"/>
    </row>
    <row r="104" ht="22" customHeight="1">
      <c r="A104" s="542" t="str">
        <v>Capital spending</v>
      </c>
      <c r="B104" s="518"/>
      <c r="C104" s="544" t="n">
        <f>'Operating Metrics'!C69</f>
        <v>1714</v>
      </c>
      <c r="D104" s="544" t="n">
        <f>'Operating Metrics'!D69</f>
        <v>1723</v>
      </c>
      <c r="E104" s="544" t="n">
        <f>'Operating Metrics'!E69</f>
        <v>1541</v>
      </c>
      <c r="F104" s="544" t="n">
        <f>'Operating Metrics'!F69</f>
        <v>1344</v>
      </c>
      <c r="G104" s="518"/>
      <c r="H104" s="544" t="n">
        <f>'Operating Metrics'!H69</f>
        <v>180</v>
      </c>
      <c r="I104" s="544" t="n">
        <f>'Operating Metrics'!I69</f>
        <v>298</v>
      </c>
      <c r="J104" s="544" t="n">
        <f>'Operating Metrics'!J69</f>
        <v>313</v>
      </c>
      <c r="K104" s="544" t="n">
        <f>'Operating Metrics'!K69</f>
        <v>750</v>
      </c>
      <c r="L104" s="544" t="n">
        <f>'Operating Metrics'!L69</f>
        <v>248</v>
      </c>
      <c r="M104" s="544" t="n">
        <f>'Operating Metrics'!M69</f>
        <v>283</v>
      </c>
      <c r="N104" s="544" t="n">
        <f>'Operating Metrics'!N69</f>
        <v>278</v>
      </c>
      <c r="O104" s="544" t="n">
        <f>'Operating Metrics'!O69</f>
        <v>535</v>
      </c>
      <c r="P104" s="544" t="n">
        <f>'Operating Metrics'!P69</f>
        <v>183</v>
      </c>
      <c r="Q104" s="544" t="n">
        <f>'Operating Metrics'!Q69</f>
        <v>261</v>
      </c>
      <c r="R104" s="544" t="n">
        <f>'Operating Metrics'!R69</f>
        <v>321</v>
      </c>
    </row>
    <row r="105" ht="22" customHeight="1">
      <c r="A105" s="546" t="str">
        <v>Capital spending / net revenue</v>
      </c>
      <c r="B105" s="545"/>
      <c r="C105" s="548" t="n">
        <f>'Operating Metrics'!C70</f>
        <v>0.06538740319688705</v>
      </c>
      <c r="D105" s="548" t="n">
        <f>'Operating Metrics'!D70</f>
        <v>0.06236878303047853</v>
      </c>
      <c r="E105" s="548" t="n">
        <f>'Operating Metrics'!E70</f>
        <v>0.055493535957362526</v>
      </c>
      <c r="F105" s="548" t="n">
        <f>'Operating Metrics'!F70</f>
        <v>0.047664645175018616</v>
      </c>
      <c r="G105" s="545"/>
      <c r="H105" s="548" t="n">
        <f>'Operating Metrics'!H70</f>
        <v>0.030643513789581207</v>
      </c>
      <c r="I105" s="548" t="n">
        <f>'Operating Metrics'!I70</f>
        <v>0.04375275289972104</v>
      </c>
      <c r="J105" s="548" t="n">
        <f>'Operating Metrics'!J70</f>
        <v>0.04362369337979094</v>
      </c>
      <c r="K105" s="548" t="n">
        <f>'Operating Metrics'!K70</f>
        <v>0.09482867619168037</v>
      </c>
      <c r="L105" s="548" t="n">
        <f>'Operating Metrics'!L70</f>
        <v>0.04220558202859088</v>
      </c>
      <c r="M105" s="548" t="n">
        <f>'Operating Metrics'!M70</f>
        <v>0.04164214243672749</v>
      </c>
      <c r="N105" s="548" t="n">
        <f>'Operating Metrics'!N70</f>
        <v>0.037941858878122015</v>
      </c>
      <c r="O105" s="548" t="n">
        <f>'Operating Metrics'!O70</f>
        <v>0.06525981946816296</v>
      </c>
      <c r="P105" s="548" t="n">
        <f>'Operating Metrics'!P70</f>
        <v>0.028634016585823815</v>
      </c>
      <c r="Q105" s="548" t="n">
        <f>'Operating Metrics'!Q70</f>
        <v>0.03603479221317134</v>
      </c>
      <c r="R105" s="548" t="n">
        <f>'Operating Metrics'!R70</f>
        <v>0.04165585258240332</v>
      </c>
    </row>
    <row r="106" ht="22" customHeight="1">
      <c r="A106" s="546" t="str">
        <v>Capital spending / D&amp;A</v>
      </c>
      <c r="B106" s="545"/>
      <c r="C106" s="559" t="n">
        <f>'Operating Metrics'!C74</f>
        <v>1.800420168067227</v>
      </c>
      <c r="D106" s="559" t="n">
        <f>'Operating Metrics'!D74</f>
        <v>1.6809756097560975</v>
      </c>
      <c r="E106" s="559" t="n">
        <f>'Operating Metrics'!E74</f>
        <v>1.441534144059869</v>
      </c>
      <c r="F106" s="559" t="n">
        <f>'Operating Metrics'!F74</f>
        <v>1.2296431838975297</v>
      </c>
      <c r="G106" s="545"/>
      <c r="H106" s="559" t="n">
        <f>'Operating Metrics'!H74</f>
        <v>0.7468879668049793</v>
      </c>
      <c r="I106" s="559" t="n">
        <f>'Operating Metrics'!I74</f>
        <v>1.2016129032258065</v>
      </c>
      <c r="J106" s="559" t="n">
        <f>'Operating Metrics'!J74</f>
        <v>1.3096234309623431</v>
      </c>
      <c r="K106" s="559" t="n">
        <f>'Operating Metrics'!K74</f>
        <v>2.19941348973607</v>
      </c>
      <c r="L106" s="559" t="n">
        <f>'Operating Metrics'!L74</f>
        <v>0.9802371541501976</v>
      </c>
      <c r="M106" s="559" t="n">
        <f>'Operating Metrics'!M74</f>
        <v>1.1742738589211619</v>
      </c>
      <c r="N106" s="559" t="n">
        <f>'Operating Metrics'!N74</f>
        <v>1.1779661016949152</v>
      </c>
      <c r="O106" s="559" t="n">
        <f>'Operating Metrics'!O74</f>
        <v>1.4738292011019283</v>
      </c>
      <c r="P106" s="559" t="n">
        <f>'Operating Metrics'!P74</f>
        <v>0.7261904761904762</v>
      </c>
      <c r="Q106" s="559" t="n">
        <f>'Operating Metrics'!Q74</f>
        <v>0.9490909090909091</v>
      </c>
      <c r="R106" s="559" t="n">
        <f>'Operating Metrics'!R74</f>
        <v>1.1588447653429603</v>
      </c>
    </row>
    <row r="107" ht="24" customHeight="1">
      <c r="A107" s="541" t="str">
        <v>IB Franchise</v>
      </c>
      <c r="B107" s="541"/>
      <c r="C107" s="541"/>
      <c r="D107" s="541"/>
      <c r="E107" s="541"/>
      <c r="F107" s="541"/>
      <c r="G107" s="541"/>
      <c r="H107" s="541"/>
      <c r="I107" s="541"/>
      <c r="J107" s="541"/>
      <c r="K107" s="541"/>
      <c r="L107" s="541"/>
      <c r="M107" s="541"/>
      <c r="N107" s="541"/>
      <c r="O107" s="541"/>
      <c r="P107" s="541"/>
      <c r="Q107" s="541"/>
      <c r="R107" s="541"/>
    </row>
    <row r="108" ht="22" customHeight="1">
      <c r="A108" s="542" t="str">
        <v>Capital spending</v>
      </c>
      <c r="B108" s="518"/>
      <c r="C108" s="544" t="n">
        <f>'Operating Metrics'!C85</f>
        <v>128</v>
      </c>
      <c r="D108" s="544" t="n">
        <f>'Operating Metrics'!D85</f>
        <v>110</v>
      </c>
      <c r="E108" s="544" t="n">
        <f>'Operating Metrics'!E85</f>
        <v>148</v>
      </c>
      <c r="F108" s="544" t="n">
        <f>'Operating Metrics'!F85</f>
        <v>124</v>
      </c>
      <c r="G108" s="518"/>
      <c r="H108" s="544" t="n">
        <f>'Operating Metrics'!H85</f>
        <v>11</v>
      </c>
      <c r="I108" s="544" t="n">
        <f>'Operating Metrics'!I85</f>
        <v>33</v>
      </c>
      <c r="J108" s="544" t="n">
        <f>'Operating Metrics'!J85</f>
        <v>33</v>
      </c>
      <c r="K108" s="544" t="n">
        <f>'Operating Metrics'!K85</f>
        <v>71</v>
      </c>
      <c r="L108" s="544" t="n">
        <f>'Operating Metrics'!L85</f>
        <v>16</v>
      </c>
      <c r="M108" s="544" t="n">
        <f>'Operating Metrics'!M85</f>
        <v>30</v>
      </c>
      <c r="N108" s="544" t="n">
        <f>'Operating Metrics'!N85</f>
        <v>31</v>
      </c>
      <c r="O108" s="544" t="n">
        <f>'Operating Metrics'!O85</f>
        <v>47</v>
      </c>
      <c r="P108" s="544" t="n">
        <f>'Operating Metrics'!P85</f>
        <v>9</v>
      </c>
      <c r="Q108" s="544" t="n">
        <f>'Operating Metrics'!Q85</f>
        <v>20</v>
      </c>
      <c r="R108" s="544" t="n">
        <f>'Operating Metrics'!R85</f>
        <v>22</v>
      </c>
    </row>
    <row r="109" ht="22" customHeight="1">
      <c r="A109" s="546" t="str">
        <v>Capital spending / net revenue</v>
      </c>
      <c r="B109" s="545"/>
      <c r="C109" s="548" t="n">
        <f>'Operating Metrics'!C86</f>
        <v>0.029574861367837338</v>
      </c>
      <c r="D109" s="548" t="n">
        <f>'Operating Metrics'!D86</f>
        <v>0.02412809826716385</v>
      </c>
      <c r="E109" s="548" t="n">
        <f>'Operating Metrics'!E86</f>
        <v>0.030334084853453576</v>
      </c>
      <c r="F109" s="548" t="n">
        <f>'Operating Metrics'!F86</f>
        <v>0.024814888933360015</v>
      </c>
      <c r="G109" s="545"/>
      <c r="H109" s="548" t="n">
        <f>'Operating Metrics'!H86</f>
        <v>0.014884979702300407</v>
      </c>
      <c r="I109" s="548" t="n">
        <f>'Operating Metrics'!I86</f>
        <v>0.024886877828054297</v>
      </c>
      <c r="J109" s="548" t="n">
        <f>'Operating Metrics'!J86</f>
        <v>0.02558139534883721</v>
      </c>
      <c r="K109" s="548" t="n">
        <f>'Operating Metrics'!K86</f>
        <v>0.046587926509186355</v>
      </c>
      <c r="L109" s="548" t="n">
        <f>'Operating Metrics'!L86</f>
        <v>0.021080368906455864</v>
      </c>
      <c r="M109" s="548" t="n">
        <f>'Operating Metrics'!M86</f>
        <v>0.021929824561403508</v>
      </c>
      <c r="N109" s="548" t="n">
        <f>'Operating Metrics'!N86</f>
        <v>0.024012393493415957</v>
      </c>
      <c r="O109" s="548" t="n">
        <f>'Operating Metrics'!O86</f>
        <v>0.029765674477517417</v>
      </c>
      <c r="P109" s="548" t="n">
        <f>'Operating Metrics'!P86</f>
        <v>0.010922330097087379</v>
      </c>
      <c r="Q109" s="548" t="n">
        <f>'Operating Metrics'!Q86</f>
        <v>0.013131976362442548</v>
      </c>
      <c r="R109" s="548" t="n">
        <f>'Operating Metrics'!R86</f>
        <v>0.015703069236259814</v>
      </c>
    </row>
    <row r="110" ht="22" customHeight="1">
      <c r="A110" s="546" t="str">
        <v>Capital spending / D&amp;A</v>
      </c>
      <c r="B110" s="545"/>
      <c r="C110" s="559" t="n">
        <f>'Operating Metrics'!C90</f>
        <v>1.3195876288659794</v>
      </c>
      <c r="D110" s="559" t="n">
        <f>'Operating Metrics'!D90</f>
        <v>1.1111111111111112</v>
      </c>
      <c r="E110" s="559" t="n">
        <f>'Operating Metrics'!E90</f>
        <v>1.3577981651376148</v>
      </c>
      <c r="F110" s="559" t="n">
        <f>'Operating Metrics'!F90</f>
        <v>1.1376146788990826</v>
      </c>
      <c r="G110" s="545"/>
      <c r="H110" s="559" t="n">
        <f>'Operating Metrics'!H90</f>
        <v>0.6111111111111112</v>
      </c>
      <c r="I110" s="559" t="n">
        <f>'Operating Metrics'!I90</f>
        <v>1.2692307692307692</v>
      </c>
      <c r="J110" s="559" t="n">
        <f>'Operating Metrics'!J90</f>
        <v>1.1785714285714286</v>
      </c>
      <c r="K110" s="559" t="n">
        <f>'Operating Metrics'!K90</f>
        <v>1.9189189189189189</v>
      </c>
      <c r="L110" s="559" t="n">
        <f>'Operating Metrics'!L90</f>
        <v>0.8421052631578947</v>
      </c>
      <c r="M110" s="559" t="n">
        <f>'Operating Metrics'!M90</f>
        <v>1.1111111111111112</v>
      </c>
      <c r="N110" s="559" t="n">
        <f>'Operating Metrics'!N90</f>
        <v>1.0689655172413792</v>
      </c>
      <c r="O110" s="559" t="n">
        <f>'Operating Metrics'!O90</f>
        <v>1.3823529411764706</v>
      </c>
      <c r="P110" s="559" t="n">
        <f>'Operating Metrics'!P90</f>
        <v>0.5</v>
      </c>
      <c r="Q110" s="559" t="n">
        <f>'Operating Metrics'!Q90</f>
        <v>0.7142857142857143</v>
      </c>
      <c r="R110" s="559" t="n">
        <f>'Operating Metrics'!R90</f>
        <v>0.88</v>
      </c>
    </row>
    <row r="111" ht="24" customHeight="1">
      <c r="A111" s="541" t="str">
        <v>EMEA</v>
      </c>
      <c r="B111" s="541"/>
      <c r="C111" s="541"/>
      <c r="D111" s="541"/>
      <c r="E111" s="541"/>
      <c r="F111" s="541"/>
      <c r="G111" s="541"/>
      <c r="H111" s="541"/>
      <c r="I111" s="541"/>
      <c r="J111" s="541"/>
      <c r="K111" s="541"/>
      <c r="L111" s="541"/>
      <c r="M111" s="541"/>
      <c r="N111" s="541"/>
      <c r="O111" s="541"/>
      <c r="P111" s="541"/>
      <c r="Q111" s="541"/>
      <c r="R111" s="541"/>
    </row>
    <row r="112" ht="22" customHeight="1">
      <c r="A112" s="542" t="str">
        <v>Capital spending</v>
      </c>
      <c r="B112" s="518"/>
      <c r="C112" s="544" t="n">
        <f>'Operating Metrics'!C102</f>
        <v>857</v>
      </c>
      <c r="D112" s="544" t="n">
        <f>'Operating Metrics'!D102</f>
        <v>831</v>
      </c>
      <c r="E112" s="544" t="n">
        <f>'Operating Metrics'!E102</f>
        <v>880</v>
      </c>
      <c r="F112" s="544" t="n">
        <f>'Operating Metrics'!F102</f>
        <v>744</v>
      </c>
      <c r="G112" s="518"/>
      <c r="H112" s="544" t="n">
        <f>'Operating Metrics'!H102</f>
        <v>70</v>
      </c>
      <c r="I112" s="544" t="n">
        <f>'Operating Metrics'!I102</f>
        <v>177</v>
      </c>
      <c r="J112" s="544" t="n">
        <f>'Operating Metrics'!J102</f>
        <v>189</v>
      </c>
      <c r="K112" s="544" t="n">
        <f>'Operating Metrics'!K102</f>
        <v>444</v>
      </c>
      <c r="L112" s="544" t="n">
        <f>'Operating Metrics'!L102</f>
        <v>50</v>
      </c>
      <c r="M112" s="544" t="n">
        <f>'Operating Metrics'!M102</f>
        <v>137</v>
      </c>
      <c r="N112" s="544" t="n">
        <f>'Operating Metrics'!N102</f>
        <v>167</v>
      </c>
      <c r="O112" s="544" t="n">
        <f>'Operating Metrics'!O102</f>
        <v>390</v>
      </c>
      <c r="P112" s="544" t="n">
        <f>'Operating Metrics'!P102</f>
        <v>66</v>
      </c>
      <c r="Q112" s="544" t="n">
        <f>'Operating Metrics'!Q102</f>
        <v>151</v>
      </c>
      <c r="R112" s="544" t="n">
        <f>'Operating Metrics'!R102</f>
        <v>159</v>
      </c>
    </row>
    <row r="113" ht="22" customHeight="1">
      <c r="A113" s="546" t="str">
        <v>Capital spending / net revenue</v>
      </c>
      <c r="B113" s="545"/>
      <c r="C113" s="548" t="n">
        <f>'Operating Metrics'!C103</f>
        <v>0.053455588822355286</v>
      </c>
      <c r="D113" s="548" t="n">
        <f>'Operating Metrics'!D103</f>
        <v>0.05126465144972239</v>
      </c>
      <c r="E113" s="548" t="n">
        <f>'Operating Metrics'!E103</f>
        <v>0.05282747028454796</v>
      </c>
      <c r="F113" s="548" t="n">
        <f>'Operating Metrics'!F103</f>
        <v>0.04127600554785021</v>
      </c>
      <c r="G113" s="545"/>
      <c r="H113" s="548" t="n">
        <f>'Operating Metrics'!H103</f>
        <v>0.02877106452938759</v>
      </c>
      <c r="I113" s="548" t="n">
        <f>'Operating Metrics'!I103</f>
        <v>0.04231412861582596</v>
      </c>
      <c r="J113" s="548" t="n">
        <f>'Operating Metrics'!J103</f>
        <v>0.04098005203816132</v>
      </c>
      <c r="K113" s="548" t="n">
        <f>'Operating Metrics'!K103</f>
        <v>0.08176795580110498</v>
      </c>
      <c r="L113" s="548" t="n">
        <f>'Operating Metrics'!L103</f>
        <v>0.020938023450586266</v>
      </c>
      <c r="M113" s="548" t="n">
        <f>'Operating Metrics'!M103</f>
        <v>0.030202821869488534</v>
      </c>
      <c r="N113" s="548" t="n">
        <f>'Operating Metrics'!N103</f>
        <v>0.0332536837913182</v>
      </c>
      <c r="O113" s="548" t="n">
        <f>'Operating Metrics'!O103</f>
        <v>0.06415528869879915</v>
      </c>
      <c r="P113" s="548" t="n">
        <f>'Operating Metrics'!P103</f>
        <v>0.023379383634431455</v>
      </c>
      <c r="Q113" s="548" t="n">
        <f>'Operating Metrics'!Q103</f>
        <v>0.030303030303030304</v>
      </c>
      <c r="R113" s="548" t="n">
        <f>'Operating Metrics'!R103</f>
        <v>0.029373729909477186</v>
      </c>
    </row>
    <row r="114" ht="22" customHeight="1">
      <c r="A114" s="546" t="str">
        <v>Capital spending / D&amp;A</v>
      </c>
      <c r="B114" s="545"/>
      <c r="C114" s="559" t="n">
        <f>'Operating Metrics'!C107</f>
        <v>1.7966457023060796</v>
      </c>
      <c r="D114" s="559" t="n">
        <f>'Operating Metrics'!D107</f>
        <v>1.8549107142857142</v>
      </c>
      <c r="E114" s="559" t="n">
        <f>'Operating Metrics'!E107</f>
        <v>1.8448637316561844</v>
      </c>
      <c r="F114" s="559" t="n">
        <f>'Operating Metrics'!F107</f>
        <v>1.355191256830601</v>
      </c>
      <c r="G114" s="545"/>
      <c r="H114" s="559" t="n">
        <f>'Operating Metrics'!H107</f>
        <v>0.8860759493670886</v>
      </c>
      <c r="I114" s="559" t="n">
        <f>'Operating Metrics'!I107</f>
        <v>1.5526315789473684</v>
      </c>
      <c r="J114" s="559" t="n">
        <f>'Operating Metrics'!J107</f>
        <v>1.56198347107438</v>
      </c>
      <c r="K114" s="559" t="n">
        <f>'Operating Metrics'!K107</f>
        <v>2.723926380368098</v>
      </c>
      <c r="L114" s="559" t="n">
        <f>'Operating Metrics'!L107</f>
        <v>0.6172839506172839</v>
      </c>
      <c r="M114" s="559" t="n">
        <f>'Operating Metrics'!M107</f>
        <v>1.0148148148148148</v>
      </c>
      <c r="N114" s="559" t="n">
        <f>'Operating Metrics'!N107</f>
        <v>1.176056338028169</v>
      </c>
      <c r="O114" s="559" t="n">
        <f>'Operating Metrics'!O107</f>
        <v>2.0418848167539267</v>
      </c>
      <c r="P114" s="559" t="n">
        <f>'Operating Metrics'!P107</f>
        <v>0.6534653465346535</v>
      </c>
      <c r="Q114" s="559" t="n">
        <f>'Operating Metrics'!Q107</f>
        <v>0.94375</v>
      </c>
      <c r="R114" s="559" t="n">
        <f>'Operating Metrics'!R107</f>
        <v>1.0529801324503312</v>
      </c>
    </row>
    <row r="115" ht="24" customHeight="1">
      <c r="A115" s="541" t="str">
        <v>LatAm Foods</v>
      </c>
      <c r="B115" s="541"/>
      <c r="C115" s="541"/>
      <c r="D115" s="541"/>
      <c r="E115" s="541"/>
      <c r="F115" s="541"/>
      <c r="G115" s="541"/>
      <c r="H115" s="541"/>
      <c r="I115" s="541"/>
      <c r="J115" s="541"/>
      <c r="K115" s="541"/>
      <c r="L115" s="541"/>
      <c r="M115" s="541"/>
      <c r="N115" s="541"/>
      <c r="O115" s="541"/>
      <c r="P115" s="541"/>
      <c r="Q115" s="541"/>
      <c r="R115" s="541"/>
    </row>
    <row r="116" ht="22" customHeight="1">
      <c r="A116" s="542" t="str">
        <v>Capital spending</v>
      </c>
      <c r="B116" s="518"/>
      <c r="C116" s="544" t="n">
        <f>'Operating Metrics'!C118</f>
        <v>551</v>
      </c>
      <c r="D116" s="544" t="n">
        <f>'Operating Metrics'!D118</f>
        <v>814</v>
      </c>
      <c r="E116" s="544" t="n">
        <f>'Operating Metrics'!E118</f>
        <v>809</v>
      </c>
      <c r="F116" s="544" t="n">
        <f>'Operating Metrics'!F118</f>
        <v>672</v>
      </c>
      <c r="G116" s="518"/>
      <c r="H116" s="544" t="n">
        <f>'Operating Metrics'!H118</f>
        <v>61</v>
      </c>
      <c r="I116" s="544" t="n">
        <f>'Operating Metrics'!I118</f>
        <v>145</v>
      </c>
      <c r="J116" s="544" t="n">
        <f>'Operating Metrics'!J118</f>
        <v>207</v>
      </c>
      <c r="K116" s="544" t="n">
        <f>'Operating Metrics'!K118</f>
        <v>396</v>
      </c>
      <c r="L116" s="544" t="n">
        <f>'Operating Metrics'!L118</f>
        <v>46</v>
      </c>
      <c r="M116" s="544" t="n">
        <f>'Operating Metrics'!M118</f>
        <v>115</v>
      </c>
      <c r="N116" s="544" t="n">
        <f>'Operating Metrics'!N118</f>
        <v>178</v>
      </c>
      <c r="O116" s="544" t="n">
        <f>'Operating Metrics'!O118</f>
        <v>333</v>
      </c>
      <c r="P116" s="544" t="n">
        <f>'Operating Metrics'!P118</f>
        <v>41</v>
      </c>
      <c r="Q116" s="544" t="n">
        <f>'Operating Metrics'!Q118</f>
        <v>107</v>
      </c>
      <c r="R116" s="544" t="n">
        <f>'Operating Metrics'!R118</f>
        <v>110</v>
      </c>
    </row>
    <row r="117" ht="22" customHeight="1">
      <c r="A117" s="546" t="str">
        <v>Capital spending / net revenue</v>
      </c>
      <c r="B117" s="545"/>
      <c r="C117" s="548" t="n">
        <f>'Operating Metrics'!C119</f>
        <v>0.06214052103304387</v>
      </c>
      <c r="D117" s="548" t="n">
        <f>'Operating Metrics'!D119</f>
        <v>0.07696671709531014</v>
      </c>
      <c r="E117" s="548" t="n">
        <f>'Operating Metrics'!E119</f>
        <v>0.07655185465556397</v>
      </c>
      <c r="F117" s="548" t="n">
        <f>'Operating Metrics'!F119</f>
        <v>0.06370272063702721</v>
      </c>
      <c r="G117" s="545"/>
      <c r="H117" s="548" t="n">
        <f>'Operating Metrics'!H119</f>
        <v>0.032275132275132276</v>
      </c>
      <c r="I117" s="548" t="n">
        <f>'Operating Metrics'!I119</f>
        <v>0.05274645325572935</v>
      </c>
      <c r="J117" s="548" t="n">
        <f>'Operating Metrics'!J119</f>
        <v>0.0791586998087954</v>
      </c>
      <c r="K117" s="548" t="n">
        <f>'Operating Metrics'!K119</f>
        <v>0.11949305974652988</v>
      </c>
      <c r="L117" s="548" t="n">
        <f>'Operating Metrics'!L119</f>
        <v>0.027694160144491272</v>
      </c>
      <c r="M117" s="548" t="n">
        <f>'Operating Metrics'!M119</f>
        <v>0.045133437990580845</v>
      </c>
      <c r="N117" s="548" t="n">
        <f>'Operating Metrics'!N119</f>
        <v>0.06701807228915663</v>
      </c>
      <c r="O117" s="548" t="n">
        <f>'Operating Metrics'!O119</f>
        <v>0.09039087947882736</v>
      </c>
      <c r="P117" s="548" t="n">
        <f>'Operating Metrics'!P119</f>
        <v>0.021199586349534644</v>
      </c>
      <c r="Q117" s="548" t="n">
        <f>'Operating Metrics'!Q119</f>
        <v>0.03639455782312925</v>
      </c>
      <c r="R117" s="548" t="n">
        <f>'Operating Metrics'!R119</f>
        <v>0.036411784177424696</v>
      </c>
    </row>
    <row r="118" ht="22" customHeight="1">
      <c r="A118" s="546" t="str">
        <v>Capital spending / D&amp;A</v>
      </c>
      <c r="B118" s="545"/>
      <c r="C118" s="559" t="n">
        <f>'Operating Metrics'!C123</f>
        <v>1.8552188552188553</v>
      </c>
      <c r="D118" s="559" t="n">
        <f>'Operating Metrics'!D123</f>
        <v>2.248618784530387</v>
      </c>
      <c r="E118" s="559" t="n">
        <f>'Operating Metrics'!E123</f>
        <v>2.1178010471204187</v>
      </c>
      <c r="F118" s="559" t="n">
        <f>'Operating Metrics'!F123</f>
        <v>1.6115107913669064</v>
      </c>
      <c r="G118" s="545"/>
      <c r="H118" s="559" t="n">
        <f>'Operating Metrics'!H123</f>
        <v>0.953125</v>
      </c>
      <c r="I118" s="559" t="n">
        <f>'Operating Metrics'!I123</f>
        <v>1.4077669902912622</v>
      </c>
      <c r="J118" s="559" t="n">
        <f>'Operating Metrics'!J123</f>
        <v>2.15625</v>
      </c>
      <c r="K118" s="559" t="n">
        <f>'Operating Metrics'!K123</f>
        <v>3.327731092436975</v>
      </c>
      <c r="L118" s="559" t="n">
        <f>'Operating Metrics'!L123</f>
        <v>0.7419354838709677</v>
      </c>
      <c r="M118" s="559" t="n">
        <f>'Operating Metrics'!M123</f>
        <v>1.15</v>
      </c>
      <c r="N118" s="559" t="n">
        <f>'Operating Metrics'!N123</f>
        <v>1.6952380952380952</v>
      </c>
      <c r="O118" s="559" t="n">
        <f>'Operating Metrics'!O123</f>
        <v>2.22</v>
      </c>
      <c r="P118" s="559" t="n">
        <f>'Operating Metrics'!P123</f>
        <v>0.5125</v>
      </c>
      <c r="Q118" s="559" t="n">
        <f>'Operating Metrics'!Q123</f>
        <v>0.8699186991869918</v>
      </c>
      <c r="R118" s="559" t="n">
        <f>'Operating Metrics'!R123</f>
        <v>0.8661417322834646</v>
      </c>
    </row>
    <row r="119" ht="24" customHeight="1">
      <c r="A119" s="541" t="str">
        <v>Asia Pacific Foods</v>
      </c>
      <c r="B119" s="541"/>
      <c r="C119" s="541"/>
      <c r="D119" s="541"/>
      <c r="E119" s="541"/>
      <c r="F119" s="541"/>
      <c r="G119" s="541"/>
      <c r="H119" s="541"/>
      <c r="I119" s="541"/>
      <c r="J119" s="541"/>
      <c r="K119" s="541"/>
      <c r="L119" s="541"/>
      <c r="M119" s="541"/>
      <c r="N119" s="541"/>
      <c r="O119" s="541"/>
      <c r="P119" s="541"/>
      <c r="Q119" s="541"/>
      <c r="R119" s="541"/>
    </row>
    <row r="120" ht="22" customHeight="1">
      <c r="A120" s="542" t="str">
        <v>Capital spending</v>
      </c>
      <c r="B120" s="518"/>
      <c r="C120" s="544" t="n">
        <f>'Operating Metrics'!C134</f>
        <v>261</v>
      </c>
      <c r="D120" s="544" t="n">
        <f>'Operating Metrics'!D134</f>
        <v>312</v>
      </c>
      <c r="E120" s="544" t="n">
        <f>'Operating Metrics'!E134</f>
        <v>312</v>
      </c>
      <c r="F120" s="544" t="n">
        <f>'Operating Metrics'!F134</f>
        <v>257</v>
      </c>
      <c r="G120" s="518"/>
      <c r="H120" s="544" t="n">
        <f>'Operating Metrics'!H134</f>
        <v>19</v>
      </c>
      <c r="I120" s="544" t="n">
        <f>'Operating Metrics'!I134</f>
        <v>52</v>
      </c>
      <c r="J120" s="544" t="n">
        <f>'Operating Metrics'!J134</f>
        <v>96</v>
      </c>
      <c r="K120" s="544" t="n">
        <f>'Operating Metrics'!K134</f>
        <v>145</v>
      </c>
      <c r="L120" s="544" t="n">
        <f>'Operating Metrics'!L134</f>
        <v>24</v>
      </c>
      <c r="M120" s="544" t="n">
        <f>'Operating Metrics'!M134</f>
        <v>68</v>
      </c>
      <c r="N120" s="544" t="n">
        <f>'Operating Metrics'!N134</f>
        <v>60</v>
      </c>
      <c r="O120" s="544" t="n">
        <f>'Operating Metrics'!O134</f>
        <v>105</v>
      </c>
      <c r="P120" s="544" t="n">
        <f>'Operating Metrics'!P134</f>
        <v>16</v>
      </c>
      <c r="Q120" s="544" t="n">
        <f>'Operating Metrics'!Q134</f>
        <v>35</v>
      </c>
      <c r="R120" s="544" t="n">
        <f>'Operating Metrics'!R134</f>
        <v>43</v>
      </c>
    </row>
    <row r="121" ht="22" customHeight="1">
      <c r="A121" s="546" t="str">
        <v>Capital spending / net revenue</v>
      </c>
      <c r="B121" s="545"/>
      <c r="C121" s="548" t="n">
        <f>'Operating Metrics'!C135</f>
        <v>0.057987113974672294</v>
      </c>
      <c r="D121" s="548" t="n">
        <f>'Operating Metrics'!D135</f>
        <v>0.06956521739130435</v>
      </c>
      <c r="E121" s="548" t="n">
        <f>'Operating Metrics'!E135</f>
        <v>0.06858650252802814</v>
      </c>
      <c r="F121" s="548" t="n">
        <f>'Operating Metrics'!F135</f>
        <v>0.05551955065888961</v>
      </c>
      <c r="G121" s="545"/>
      <c r="H121" s="548" t="n">
        <f>'Operating Metrics'!H135</f>
        <v>0.01818181818181818</v>
      </c>
      <c r="I121" s="548" t="n">
        <f>'Operating Metrics'!I135</f>
        <v>0.05215646940822467</v>
      </c>
      <c r="J121" s="548" t="n">
        <f>'Operating Metrics'!J135</f>
        <v>0.08799266727772685</v>
      </c>
      <c r="K121" s="548" t="n">
        <f>'Operating Metrics'!K135</f>
        <v>0.10240112994350282</v>
      </c>
      <c r="L121" s="548" t="n">
        <f>'Operating Metrics'!L135</f>
        <v>0.023483365949119372</v>
      </c>
      <c r="M121" s="548" t="n">
        <f>'Operating Metrics'!M135</f>
        <v>0.06786427145708583</v>
      </c>
      <c r="N121" s="548" t="n">
        <f>'Operating Metrics'!N135</f>
        <v>0.053811659192825115</v>
      </c>
      <c r="O121" s="548" t="n">
        <f>'Operating Metrics'!O135</f>
        <v>0.07046979865771812</v>
      </c>
      <c r="P121" s="548" t="n">
        <f>'Operating Metrics'!P135</f>
        <v>0.014047410008779631</v>
      </c>
      <c r="Q121" s="548" t="n">
        <f>'Operating Metrics'!Q135</f>
        <v>0.03113879003558719</v>
      </c>
      <c r="R121" s="548" t="n">
        <f>'Operating Metrics'!R135</f>
        <v>0.03498779495524817</v>
      </c>
    </row>
    <row r="122" ht="22" customHeight="1">
      <c r="A122" s="546" t="str">
        <v>Capital spending / D&amp;A</v>
      </c>
      <c r="B122" s="545"/>
      <c r="C122" s="559" t="n">
        <f>'Operating Metrics'!C139</f>
        <v>2.4166666666666665</v>
      </c>
      <c r="D122" s="559" t="n">
        <f>'Operating Metrics'!D139</f>
        <v>2.6440677966101696</v>
      </c>
      <c r="E122" s="559" t="n">
        <f>'Operating Metrics'!E139</f>
        <v>2.345864661654135</v>
      </c>
      <c r="F122" s="559" t="n">
        <f>'Operating Metrics'!F139</f>
        <v>1.6797385620915033</v>
      </c>
      <c r="G122" s="545"/>
      <c r="H122" s="559" t="n">
        <f>'Operating Metrics'!H139</f>
        <v>0.9047619047619048</v>
      </c>
      <c r="I122" s="559" t="n">
        <f>'Operating Metrics'!I139</f>
        <v>1.6774193548387097</v>
      </c>
      <c r="J122" s="559" t="n">
        <f>'Operating Metrics'!J139</f>
        <v>2.823529411764706</v>
      </c>
      <c r="K122" s="559" t="n">
        <f>'Operating Metrics'!K139</f>
        <v>3.0851063829787235</v>
      </c>
      <c r="L122" s="559" t="n">
        <f>'Operating Metrics'!L139</f>
        <v>1.0434782608695652</v>
      </c>
      <c r="M122" s="559" t="n">
        <f>'Operating Metrics'!M139</f>
        <v>1.7894736842105263</v>
      </c>
      <c r="N122" s="559" t="n">
        <f>'Operating Metrics'!N139</f>
        <v>1.5789473684210527</v>
      </c>
      <c r="O122" s="559" t="n">
        <f>'Operating Metrics'!O139</f>
        <v>1.9444444444444444</v>
      </c>
      <c r="P122" s="559" t="n">
        <f>'Operating Metrics'!P139</f>
        <v>0.5714285714285714</v>
      </c>
      <c r="Q122" s="559" t="n">
        <f>'Operating Metrics'!Q139</f>
        <v>0.8333333333333334</v>
      </c>
      <c r="R122" s="559" t="n">
        <f>'Operating Metrics'!R139</f>
        <v>0.9772727272727273</v>
      </c>
    </row>
    <row r="123" ht="24" customHeight="1">
      <c r="A123" s="541" t="str">
        <v>Corporate</v>
      </c>
      <c r="B123" s="541"/>
      <c r="C123" s="541"/>
      <c r="D123" s="541"/>
      <c r="E123" s="541"/>
      <c r="F123" s="541"/>
      <c r="G123" s="541"/>
      <c r="H123" s="541"/>
      <c r="I123" s="541"/>
      <c r="J123" s="541"/>
      <c r="K123" s="541"/>
      <c r="L123" s="541"/>
      <c r="M123" s="541"/>
      <c r="N123" s="541"/>
      <c r="O123" s="541"/>
      <c r="P123" s="541"/>
      <c r="Q123" s="541"/>
      <c r="R123" s="541"/>
    </row>
    <row r="124" ht="22" customHeight="1">
      <c r="A124" s="542" t="str">
        <v>Corporate capital spending</v>
      </c>
      <c r="B124" s="518"/>
      <c r="C124" s="544" t="n">
        <f>'Operating Metrics'!C143</f>
        <v>139</v>
      </c>
      <c r="D124" s="544" t="n">
        <f>'Operating Metrics'!D143</f>
        <v>284</v>
      </c>
      <c r="E124" s="544" t="n">
        <f>'Operating Metrics'!E143</f>
        <v>322</v>
      </c>
      <c r="F124" s="544" t="n">
        <f>'Operating Metrics'!F143</f>
        <v>223</v>
      </c>
      <c r="G124" s="518"/>
      <c r="H124" s="544" t="n">
        <f>'Operating Metrics'!H143</f>
        <v>36</v>
      </c>
      <c r="I124" s="544" t="n">
        <f>'Operating Metrics'!I143</f>
        <v>84</v>
      </c>
      <c r="J124" s="544" t="n">
        <f>'Operating Metrics'!J143</f>
        <v>58</v>
      </c>
      <c r="K124" s="544" t="n">
        <f>'Operating Metrics'!K143</f>
        <v>144</v>
      </c>
      <c r="L124" s="544" t="n">
        <f>'Operating Metrics'!L143</f>
        <v>24</v>
      </c>
      <c r="M124" s="544" t="n">
        <f>'Operating Metrics'!M143</f>
        <v>41</v>
      </c>
      <c r="N124" s="544" t="n">
        <f>'Operating Metrics'!N143</f>
        <v>58</v>
      </c>
      <c r="O124" s="544" t="n">
        <f>'Operating Metrics'!O143</f>
        <v>100</v>
      </c>
      <c r="P124" s="544" t="n">
        <f>'Operating Metrics'!P143</f>
        <v>22</v>
      </c>
      <c r="Q124" s="544" t="n">
        <f>'Operating Metrics'!Q143</f>
        <v>34</v>
      </c>
      <c r="R124" s="544" t="n">
        <f>'Operating Metrics'!R143</f>
        <v>47</v>
      </c>
    </row>
    <row r="125" ht="22" customHeight="1">
      <c r="A125" s="546" t="str">
        <v>Capital spending / D&amp;A</v>
      </c>
      <c r="B125" s="545"/>
      <c r="C125" s="559" t="n">
        <f>'Operating Metrics'!C147</f>
        <v>1.1487603305785123</v>
      </c>
      <c r="D125" s="559" t="n">
        <f>'Operating Metrics'!D147</f>
        <v>2.8979591836734695</v>
      </c>
      <c r="E125" s="559" t="n">
        <f>'Operating Metrics'!E147</f>
        <v>2.515625</v>
      </c>
      <c r="F125" s="559" t="n">
        <f>'Operating Metrics'!F147</f>
        <v>1.3850931677018634</v>
      </c>
      <c r="G125" s="545"/>
      <c r="H125" s="559" t="n">
        <f>'Operating Metrics'!H147</f>
        <v>1.3846153846153846</v>
      </c>
      <c r="I125" s="559" t="n">
        <f>'Operating Metrics'!I147</f>
        <v>3</v>
      </c>
      <c r="J125" s="559" t="n">
        <f>'Operating Metrics'!J147</f>
        <v>2</v>
      </c>
      <c r="K125" s="559" t="n">
        <f>'Operating Metrics'!K147</f>
        <v>3.2</v>
      </c>
      <c r="L125" s="559" t="n">
        <f>'Operating Metrics'!L147</f>
        <v>0.6666666666666666</v>
      </c>
      <c r="M125" s="559" t="n">
        <f>'Operating Metrics'!M147</f>
        <v>1.1388888888888888</v>
      </c>
      <c r="N125" s="559" t="n">
        <f>'Operating Metrics'!N147</f>
        <v>1.5675675675675675</v>
      </c>
      <c r="O125" s="559" t="n">
        <f>'Operating Metrics'!O147</f>
        <v>1.9230769230769231</v>
      </c>
      <c r="P125" s="559" t="n">
        <f>'Operating Metrics'!P147</f>
        <v>0.6111111111111112</v>
      </c>
      <c r="Q125" s="559" t="n">
        <f>'Operating Metrics'!Q147</f>
        <v>0.85</v>
      </c>
      <c r="R125" s="559" t="n">
        <f>'Operating Metrics'!R147</f>
        <v>1.0681818181818181</v>
      </c>
    </row>
    <row r="126" ht="24" customHeight="1">
      <c r="A126" s="550" t="str">
        <v>PepsiCo</v>
      </c>
      <c r="B126" s="550"/>
      <c r="C126" s="550"/>
      <c r="D126" s="550"/>
      <c r="E126" s="550"/>
      <c r="F126" s="550"/>
      <c r="G126" s="550"/>
      <c r="H126" s="550"/>
      <c r="I126" s="550"/>
      <c r="J126" s="550"/>
      <c r="K126" s="550"/>
      <c r="L126" s="550"/>
      <c r="M126" s="550"/>
      <c r="N126" s="550"/>
      <c r="O126" s="550"/>
      <c r="P126" s="550"/>
      <c r="Q126" s="550"/>
      <c r="R126" s="550"/>
    </row>
    <row r="127" ht="22" customHeight="1">
      <c r="A127" s="552" t="str">
        <v>Capital spending</v>
      </c>
      <c r="B127" s="551"/>
      <c r="C127" s="554" t="n">
        <f>'Operating Metrics'!I33</f>
        <v>5207</v>
      </c>
      <c r="D127" s="554" t="n">
        <f>'Operating Metrics'!J33</f>
        <v>5518</v>
      </c>
      <c r="E127" s="554" t="n">
        <f>'Operating Metrics'!K33</f>
        <v>5318</v>
      </c>
      <c r="F127" s="554" t="n">
        <f>'Operating Metrics'!L33</f>
        <v>4415</v>
      </c>
      <c r="G127" s="551"/>
      <c r="H127" s="554" t="n">
        <f>'Operating Metrics'!N33</f>
        <v>614</v>
      </c>
      <c r="I127" s="554" t="n">
        <f>'Operating Metrics'!O33</f>
        <v>1087</v>
      </c>
      <c r="J127" s="554" t="n">
        <f>'Operating Metrics'!P33</f>
        <v>1149</v>
      </c>
      <c r="K127" s="554" t="n">
        <f>'Operating Metrics'!Q33</f>
        <v>2468</v>
      </c>
      <c r="L127" s="554" t="n">
        <f>'Operating Metrics'!R33</f>
        <v>603</v>
      </c>
      <c r="M127" s="554" t="n">
        <f>'Operating Metrics'!S33</f>
        <v>904</v>
      </c>
      <c r="N127" s="554" t="n">
        <f>'Operating Metrics'!T33</f>
        <v>992</v>
      </c>
      <c r="O127" s="554" t="n">
        <f>'Operating Metrics'!U33</f>
        <v>1916</v>
      </c>
      <c r="P127" s="554" t="n">
        <f>'Operating Metrics'!V33</f>
        <v>447</v>
      </c>
      <c r="Q127" s="554" t="n">
        <f>'Operating Metrics'!W33</f>
        <v>819</v>
      </c>
      <c r="R127" s="554" t="n">
        <f>'Operating Metrics'!X33</f>
        <v>916</v>
      </c>
    </row>
    <row r="128" ht="22" customHeight="1">
      <c r="A128" s="64" t="str">
        <v>Capital spending / net revenue</v>
      </c>
      <c r="B128" s="555"/>
      <c r="C128" s="557" t="n">
        <f>'Operating Metrics'!I35</f>
        <v>0.06027178442448375</v>
      </c>
      <c r="D128" s="557" t="n">
        <f>'Operating Metrics'!J35</f>
        <v>0.060325130369188046</v>
      </c>
      <c r="E128" s="557" t="n">
        <f>'Operating Metrics'!K35</f>
        <v>0.057896226620506454</v>
      </c>
      <c r="F128" s="557" t="n">
        <f>'Operating Metrics'!L35</f>
        <v>0.0470055895661432</v>
      </c>
      <c r="G128" s="555"/>
      <c r="H128" s="557" t="n">
        <f>'Operating Metrics'!N35</f>
        <v>0.033643835616438356</v>
      </c>
      <c r="I128" s="557" t="n">
        <f>'Operating Metrics'!O35</f>
        <v>0.048308964046042395</v>
      </c>
      <c r="J128" s="557" t="n">
        <f>'Operating Metrics'!P35</f>
        <v>0.049273124919593465</v>
      </c>
      <c r="K128" s="557" t="n">
        <f>'Operating Metrics'!Q35</f>
        <v>0.08882810250503888</v>
      </c>
      <c r="L128" s="557" t="n">
        <f>'Operating Metrics'!R35</f>
        <v>0.03365143144148669</v>
      </c>
      <c r="M128" s="557" t="n">
        <f>'Operating Metrics'!S35</f>
        <v>0.03977822758074452</v>
      </c>
      <c r="N128" s="557" t="n">
        <f>'Operating Metrics'!T35</f>
        <v>0.041442118895433845</v>
      </c>
      <c r="O128" s="557" t="n">
        <f>'Operating Metrics'!U35</f>
        <v>0.06529666359949562</v>
      </c>
      <c r="P128" s="557" t="n">
        <f>'Operating Metrics'!V35</f>
        <v>0.022990279277889214</v>
      </c>
      <c r="Q128" s="557" t="n">
        <f>'Operating Metrics'!W35</f>
        <v>0.03386956701542533</v>
      </c>
      <c r="R128" s="557" t="n">
        <f>'Operating Metrics'!X35</f>
        <v>0.03624277914061882</v>
      </c>
    </row>
    <row r="129" ht="22" customHeight="1">
      <c r="A129" s="64" t="str">
        <v>Capital spending / D&amp;A</v>
      </c>
      <c r="B129" s="555"/>
      <c r="C129" s="561" t="n">
        <f>'Operating Metrics'!I36</f>
        <v>1.8845457835685848</v>
      </c>
      <c r="D129" s="561" t="n">
        <f>'Operating Metrics'!J36</f>
        <v>1.8717774762550883</v>
      </c>
      <c r="E129" s="561" t="n">
        <f>'Operating Metrics'!K36</f>
        <v>1.6829113924050634</v>
      </c>
      <c r="F129" s="561" t="n">
        <f>'Operating Metrics'!L36</f>
        <v>1.2793393219356708</v>
      </c>
      <c r="G129" s="555"/>
      <c r="H129" s="561" t="n">
        <f>'Operating Metrics'!N36</f>
        <v>0.9578783151326054</v>
      </c>
      <c r="I129" s="561" t="n">
        <f>'Operating Metrics'!O36</f>
        <v>1.47289972899729</v>
      </c>
      <c r="J129" s="561" t="n">
        <f>'Operating Metrics'!P36</f>
        <v>1.5548037889039241</v>
      </c>
      <c r="K129" s="561" t="n">
        <f>'Operating Metrics'!Q36</f>
        <v>2.3685220729366603</v>
      </c>
      <c r="L129" s="561" t="n">
        <f>'Operating Metrics'!R36</f>
        <v>0.881578947368421</v>
      </c>
      <c r="M129" s="561" t="n">
        <f>'Operating Metrics'!S36</f>
        <v>1.1201982651796778</v>
      </c>
      <c r="N129" s="561" t="n">
        <f>'Operating Metrics'!T36</f>
        <v>1.203883495145631</v>
      </c>
      <c r="O129" s="561" t="n">
        <f>'Operating Metrics'!U36</f>
        <v>1.6866197183098592</v>
      </c>
      <c r="P129" s="561" t="n">
        <f>'Operating Metrics'!V36</f>
        <v>0.6024258760107817</v>
      </c>
      <c r="Q129" s="561" t="n">
        <f>'Operating Metrics'!W36</f>
        <v>0.9130434782608695</v>
      </c>
      <c r="R129" s="561" t="n">
        <f>'Operating Metrics'!X36</f>
        <v>1.0269058295964126</v>
      </c>
    </row>
    <row r="130" ht="22" customHeight="1">
      <c r="A130" s="518"/>
      <c r="B130" s="518"/>
      <c r="C130" s="518"/>
      <c r="D130" s="518"/>
      <c r="E130" s="518"/>
      <c r="F130" s="518"/>
      <c r="G130" s="518"/>
      <c r="H130" s="518"/>
      <c r="I130" s="518"/>
      <c r="J130" s="518"/>
      <c r="K130" s="518"/>
      <c r="L130" s="518"/>
      <c r="M130" s="518"/>
      <c r="N130" s="518"/>
      <c r="O130" s="518"/>
      <c r="P130" s="518"/>
      <c r="Q130" s="518"/>
      <c r="R130" s="518"/>
    </row>
    <row r="131" ht="22" customHeight="1">
      <c r="A131" s="518"/>
      <c r="B131" s="518"/>
      <c r="C131" s="518"/>
      <c r="D131" s="518"/>
      <c r="E131" s="518"/>
      <c r="F131" s="518"/>
      <c r="G131" s="518"/>
      <c r="H131" s="518"/>
      <c r="I131" s="518"/>
      <c r="J131" s="518"/>
      <c r="K131" s="518"/>
      <c r="L131" s="518"/>
      <c r="M131" s="518"/>
      <c r="N131" s="518"/>
      <c r="O131" s="518"/>
      <c r="P131" s="518"/>
      <c r="Q131" s="518"/>
      <c r="R131" s="518"/>
    </row>
    <row r="132" ht="22" customHeight="1">
      <c r="A132" s="518"/>
      <c r="B132" s="518"/>
      <c r="C132" s="518"/>
      <c r="D132" s="518"/>
      <c r="E132" s="518"/>
      <c r="F132" s="518"/>
      <c r="G132" s="518"/>
      <c r="H132" s="518"/>
      <c r="I132" s="518"/>
      <c r="J132" s="518"/>
      <c r="K132" s="518"/>
      <c r="L132" s="518"/>
      <c r="M132" s="518"/>
      <c r="N132" s="518"/>
      <c r="O132" s="518"/>
      <c r="P132" s="518"/>
      <c r="Q132" s="518"/>
      <c r="R132" s="518"/>
    </row>
  </sheetData>
  <mergeCells>
    <mergeCell ref="A1:R1"/>
    <mergeCell ref="A2:R2"/>
    <mergeCell ref="A6:R6"/>
    <mergeCell ref="A7:R7"/>
    <mergeCell ref="A8:R8"/>
    <mergeCell ref="A9:R9"/>
    <mergeCell ref="A16:R16"/>
    <mergeCell ref="A23:R23"/>
    <mergeCell ref="A30:R30"/>
    <mergeCell ref="A37:R37"/>
    <mergeCell ref="A44:R44"/>
    <mergeCell ref="A51:R51"/>
    <mergeCell ref="A54:R54"/>
    <mergeCell ref="A63:R63"/>
    <mergeCell ref="A64:R64"/>
    <mergeCell ref="A65:R65"/>
    <mergeCell ref="A69:R69"/>
    <mergeCell ref="A73:R73"/>
    <mergeCell ref="A77:R77"/>
    <mergeCell ref="A82:R82"/>
    <mergeCell ref="A86:R86"/>
    <mergeCell ref="A90:R90"/>
    <mergeCell ref="A97:R97"/>
    <mergeCell ref="A98:R98"/>
    <mergeCell ref="A99:R99"/>
    <mergeCell ref="A103:R103"/>
    <mergeCell ref="A107:R107"/>
    <mergeCell ref="A111:R111"/>
    <mergeCell ref="A115:R115"/>
    <mergeCell ref="A119:R119"/>
    <mergeCell ref="A123:R123"/>
    <mergeCell ref="A126:R126"/>
  </mergeCells>
  <hyperlinks>
    <hyperlink ref="A3" location="'Contents'!A1" display="Metric (Return to Contents)"/>
  </hyperlinks>
  <pageMargins left="0.7" right="0.7" top="0.75" bottom="0.75" header="0.3" footer="0.3"/>
</worksheet>
</file>

<file path=xl/worksheets/sheet3.xml><?xml version="1.0" encoding="utf-8"?>
<worksheet xmlns="http://schemas.openxmlformats.org/spreadsheetml/2006/main">
  <sheetPr>
    <tabColor rgb="FF20746C"/>
  </sheetPr>
  <sheetViews>
    <sheetView showGridLines="0" workbookViewId="0">
      <pane xSplit="2" ySplit="5" topLeftCell="C6" activePane="bottomRight" state="frozen"/>
    </sheetView>
  </sheetViews>
  <sheetFormatPr defaultRowHeight="15"/>
  <cols>
    <col min="1" max="1" width="60" hidden="0" customWidth="1"/>
    <col min="2" max="2" width="2.200000047683716" hidden="0" customWidth="1"/>
    <col min="3" max="3" width="12.199999809265137" hidden="0" customWidth="1"/>
    <col min="4" max="4" width="12.199999809265137" hidden="0" customWidth="1"/>
    <col min="5" max="5" width="12.199999809265137" hidden="0" customWidth="1"/>
    <col min="6" max="6" width="12.199999809265137" hidden="0" customWidth="1"/>
    <col min="7" max="7" width="12.199999809265137" hidden="0" customWidth="1"/>
    <col min="8" max="8" width="12.199999809265137" hidden="0" customWidth="1"/>
    <col min="9" max="9" width="12.199999809265137" hidden="0" customWidth="1"/>
    <col min="10" max="10" width="12.199999809265137" hidden="0" customWidth="1"/>
    <col min="11" max="11" width="12.199999809265137" hidden="0" customWidth="1"/>
    <col min="12" max="12" width="12.199999809265137" hidden="0" customWidth="1"/>
    <col min="13" max="13" width="12.199999809265137" hidden="0" customWidth="1"/>
    <col min="14" max="14" width="12.199999809265137" hidden="0" customWidth="1"/>
    <col min="15" max="15" width="12.199999809265137" hidden="0" customWidth="1"/>
    <col min="16" max="16" width="12.199999809265137" hidden="0" customWidth="1"/>
    <col min="17" max="17" width="12.199999809265137" hidden="0" customWidth="1"/>
    <col min="18" max="18" width="12.199999809265137" hidden="0" customWidth="1"/>
    <col min="19" max="19" width="12.199999809265137" hidden="0" customWidth="1"/>
    <col min="20" max="20" width="12.199999809265137" hidden="0" customWidth="1"/>
    <col min="21" max="21" width="12.199999809265137" hidden="0" customWidth="1"/>
    <col min="22" max="22" width="12.199999809265137" hidden="0" customWidth="1"/>
    <col min="23" max="23" width="12.199999809265137" hidden="0" customWidth="1"/>
    <col min="24" max="24" width="12.199999809265137" hidden="0" customWidth="1"/>
    <col min="25" max="25" width="3" hidden="0" customWidth="1"/>
    <col min="26" max="26" width="12.199999809265137" hidden="0" customWidth="1"/>
    <col min="27" max="27" width="12.199999809265137" hidden="0" customWidth="1"/>
    <col min="28" max="28" width="12.199999809265137" hidden="0" customWidth="1"/>
  </cols>
  <sheetData>
    <row r="1" ht="28" customHeight="1">
      <c r="A1" s="455" t="str">
        <v>PepsiCo PEP — Operating History and Key Drivers</v>
      </c>
      <c r="B1" s="455"/>
      <c r="C1" s="455"/>
      <c r="D1" s="455"/>
      <c r="E1" s="455"/>
      <c r="F1" s="455"/>
      <c r="G1" s="455"/>
      <c r="H1" s="455"/>
      <c r="I1" s="455"/>
      <c r="J1" s="455"/>
      <c r="K1" s="455"/>
      <c r="L1" s="455"/>
      <c r="M1" s="455"/>
      <c r="N1" s="455"/>
      <c r="O1" s="455"/>
      <c r="P1" s="455"/>
      <c r="Q1" s="455"/>
      <c r="R1" s="455"/>
      <c r="S1" s="455"/>
      <c r="T1" s="455"/>
      <c r="U1" s="455"/>
      <c r="V1" s="455"/>
      <c r="W1" s="455"/>
      <c r="X1" s="455"/>
      <c r="Y1"/>
      <c r="Z1"/>
    </row>
    <row r="2" ht="18" customHeight="1">
      <c r="A2" s="456" t="str">
        <v>USD millions unless indicated. Historical actuals through FY2026Q3. Research layout as of 2026-10-22.</v>
      </c>
      <c r="B2" s="456"/>
      <c r="C2" s="456"/>
      <c r="D2" s="456"/>
      <c r="E2" s="456"/>
      <c r="F2" s="456"/>
      <c r="G2" s="456"/>
      <c r="H2" s="456"/>
      <c r="I2" s="456"/>
      <c r="J2" s="456"/>
      <c r="K2" s="456"/>
      <c r="L2" s="456"/>
      <c r="M2" s="456"/>
      <c r="N2" s="456"/>
      <c r="O2" s="456"/>
      <c r="P2" s="456"/>
      <c r="Q2" s="456"/>
      <c r="R2" s="456"/>
      <c r="S2" s="456"/>
      <c r="T2" s="456"/>
      <c r="U2" s="456"/>
      <c r="V2" s="456"/>
      <c r="W2" s="456"/>
      <c r="X2" s="456"/>
      <c r="Y2"/>
      <c r="Z2"/>
    </row>
    <row r="3" ht="22" customHeight="1">
      <c r="A3" s="457" t="str">
        <v>Return to Contents</v>
      </c>
      <c r="B3" s="452"/>
      <c r="C3" s="452"/>
      <c r="D3" s="452"/>
      <c r="E3" s="452"/>
      <c r="F3" s="452"/>
      <c r="G3" s="452"/>
      <c r="H3" s="452"/>
      <c r="I3" s="452"/>
      <c r="J3" s="452"/>
      <c r="K3" s="452"/>
      <c r="L3" s="452"/>
      <c r="M3" s="452"/>
      <c r="N3" s="452"/>
      <c r="O3" s="452"/>
      <c r="P3" s="452"/>
      <c r="Q3" s="452"/>
      <c r="R3" s="452"/>
      <c r="S3" s="452"/>
      <c r="T3" s="452"/>
      <c r="U3" s="452"/>
      <c r="V3" s="452"/>
      <c r="W3" s="452"/>
      <c r="X3" s="452"/>
      <c r="Y3"/>
      <c r="Z3"/>
    </row>
    <row r="4" ht="22" customHeight="1">
      <c r="A4" s="452"/>
      <c r="B4" s="452"/>
      <c r="C4" s="452"/>
      <c r="D4" s="452"/>
      <c r="E4" s="452"/>
      <c r="F4" s="452"/>
      <c r="G4" s="452"/>
      <c r="H4" s="452"/>
      <c r="I4" s="452"/>
      <c r="J4" s="452"/>
      <c r="K4" s="452"/>
      <c r="L4" s="452"/>
      <c r="M4" s="452"/>
      <c r="N4" s="452"/>
      <c r="O4" s="452"/>
      <c r="P4" s="452"/>
      <c r="Q4" s="452"/>
      <c r="R4" s="452"/>
      <c r="S4" s="452"/>
      <c r="T4" s="452"/>
      <c r="U4" s="452"/>
      <c r="V4" s="452"/>
      <c r="W4" s="452"/>
      <c r="X4" s="452"/>
      <c r="Y4"/>
      <c r="Z4"/>
    </row>
    <row r="5" ht="22" customHeight="1">
      <c r="A5" s="452"/>
      <c r="B5" s="452"/>
      <c r="C5" s="452"/>
      <c r="D5" s="452"/>
      <c r="E5" s="452"/>
      <c r="F5" s="452"/>
      <c r="G5" s="452"/>
      <c r="H5" s="452"/>
      <c r="I5" s="452"/>
      <c r="J5" s="452"/>
      <c r="K5" s="452"/>
      <c r="L5" s="452"/>
      <c r="M5" s="452"/>
      <c r="N5" s="452"/>
      <c r="O5" s="452"/>
      <c r="P5" s="452"/>
      <c r="Q5" s="452"/>
      <c r="R5" s="452"/>
      <c r="S5" s="452"/>
      <c r="T5" s="452"/>
      <c r="U5" s="452"/>
      <c r="V5" s="452"/>
      <c r="W5" s="452"/>
      <c r="X5" s="452"/>
      <c r="Y5"/>
      <c r="Z5"/>
    </row>
    <row r="6" ht="22" customHeight="1">
      <c r="A6" s="452"/>
      <c r="B6" s="452"/>
      <c r="C6" s="452"/>
      <c r="D6" s="452"/>
      <c r="E6" s="452"/>
      <c r="F6" s="452"/>
      <c r="G6" s="452"/>
      <c r="H6" s="452"/>
      <c r="I6" s="452"/>
      <c r="J6" s="452"/>
      <c r="K6" s="452"/>
      <c r="L6" s="452"/>
      <c r="M6" s="452"/>
      <c r="N6" s="452"/>
      <c r="O6" s="452"/>
      <c r="P6" s="452"/>
      <c r="Q6" s="452"/>
      <c r="R6" s="452"/>
      <c r="S6" s="452"/>
      <c r="T6" s="452"/>
      <c r="U6" s="452"/>
      <c r="V6" s="452"/>
      <c r="W6" s="452"/>
      <c r="X6" s="452"/>
      <c r="Y6"/>
      <c r="Z6"/>
    </row>
    <row r="7" ht="22" customHeight="1">
      <c r="A7" s="452"/>
      <c r="B7" s="452"/>
      <c r="C7" s="497" t="str">
        <v>PepsiCo - ten-year operating history</v>
      </c>
      <c r="D7" s="497"/>
      <c r="E7" s="497"/>
      <c r="F7" s="497"/>
      <c r="G7" s="497"/>
      <c r="H7" s="497"/>
      <c r="I7" s="497"/>
      <c r="J7" s="497"/>
      <c r="K7" s="497"/>
      <c r="L7" s="497"/>
      <c r="M7" s="452"/>
      <c r="N7" s="497" t="str">
        <v>Current six segments - annual and quarterly trends</v>
      </c>
      <c r="O7" s="497"/>
      <c r="P7" s="497"/>
      <c r="Q7" s="497"/>
      <c r="R7" s="497"/>
      <c r="S7" s="497"/>
      <c r="T7" s="497"/>
      <c r="U7" s="497"/>
      <c r="V7" s="497"/>
      <c r="W7" s="497"/>
      <c r="X7" s="497"/>
      <c r="Y7"/>
      <c r="Z7"/>
    </row>
    <row r="8" ht="22" customHeight="1">
      <c r="A8" s="452"/>
      <c r="B8" s="452"/>
      <c r="C8" s="497" t="str">
        <v>Frito-Lay and Quaker - historical operating split</v>
      </c>
      <c r="D8" s="497"/>
      <c r="E8" s="497"/>
      <c r="F8" s="497"/>
      <c r="G8" s="497"/>
      <c r="H8" s="497"/>
      <c r="I8" s="497"/>
      <c r="J8" s="497"/>
      <c r="K8" s="497"/>
      <c r="L8" s="497"/>
      <c r="M8" s="452"/>
      <c r="N8" s="497" t="str">
        <v>Earlier reporting structure - FY2016-FY2018</v>
      </c>
      <c r="O8" s="497"/>
      <c r="P8" s="497"/>
      <c r="Q8" s="497"/>
      <c r="R8" s="497"/>
      <c r="S8" s="497"/>
      <c r="T8" s="497"/>
      <c r="U8" s="497"/>
      <c r="V8" s="497"/>
      <c r="W8" s="497"/>
      <c r="X8" s="497"/>
      <c r="Y8"/>
      <c r="Z8"/>
    </row>
    <row r="9" ht="22" customHeight="1">
      <c r="A9" s="452"/>
      <c r="B9" s="452"/>
      <c r="C9" s="497" t="str">
        <v>PBNA - FY2019-FY2021</v>
      </c>
      <c r="D9" s="497"/>
      <c r="E9" s="497"/>
      <c r="F9" s="497"/>
      <c r="G9" s="497"/>
      <c r="H9" s="497"/>
      <c r="I9" s="497"/>
      <c r="J9" s="497"/>
      <c r="K9" s="497"/>
      <c r="L9" s="497"/>
      <c r="M9" s="452"/>
      <c r="N9" s="497" t="str">
        <v>Historical international structure - FY2019-FY2024</v>
      </c>
      <c r="O9" s="497"/>
      <c r="P9" s="497"/>
      <c r="Q9" s="497"/>
      <c r="R9" s="497"/>
      <c r="S9" s="497"/>
      <c r="T9" s="497"/>
      <c r="U9" s="497"/>
      <c r="V9" s="497"/>
      <c r="W9" s="497"/>
      <c r="X9" s="497"/>
      <c r="Y9"/>
      <c r="Z9"/>
    </row>
    <row r="10" ht="22" customHeight="1">
      <c r="A10" s="452"/>
      <c r="B10" s="452"/>
      <c r="C10" s="497" t="str">
        <v>Selected category and historical unit-volume disclosures</v>
      </c>
      <c r="D10" s="497"/>
      <c r="E10" s="497"/>
      <c r="F10" s="497"/>
      <c r="G10" s="497"/>
      <c r="H10" s="497"/>
      <c r="I10" s="497"/>
      <c r="J10" s="497"/>
      <c r="K10" s="497"/>
      <c r="L10" s="497"/>
      <c r="M10" s="452"/>
      <c r="N10" s="497" t="str">
        <v>Selected charges relevant to earnings quality and capital allocation</v>
      </c>
      <c r="O10" s="497"/>
      <c r="P10" s="497"/>
      <c r="Q10" s="497"/>
      <c r="R10" s="497"/>
      <c r="S10" s="497"/>
      <c r="T10" s="497"/>
      <c r="U10" s="497"/>
      <c r="V10" s="497"/>
      <c r="W10" s="497"/>
      <c r="X10" s="497"/>
      <c r="Y10"/>
      <c r="Z10"/>
    </row>
    <row r="11" ht="22" customHeight="1">
      <c r="A11" s="452"/>
      <c r="B11" s="452"/>
      <c r="C11" s="497" t="str">
        <v>FY2022 transaction and impairment effects</v>
      </c>
      <c r="D11" s="497"/>
      <c r="E11" s="497"/>
      <c r="F11" s="497"/>
      <c r="G11" s="497"/>
      <c r="H11" s="497"/>
      <c r="I11" s="497"/>
      <c r="J11" s="497"/>
      <c r="K11" s="497"/>
      <c r="L11" s="497"/>
      <c r="M11" s="452"/>
      <c r="N11" s="452"/>
      <c r="O11" s="452"/>
      <c r="P11" s="452"/>
      <c r="Q11" s="452"/>
      <c r="R11" s="452"/>
      <c r="S11" s="452"/>
      <c r="T11" s="452"/>
      <c r="U11" s="452"/>
      <c r="V11" s="452"/>
      <c r="W11" s="452"/>
      <c r="X11" s="452"/>
      <c r="Y11"/>
      <c r="Z11"/>
    </row>
    <row r="12" ht="22" customHeight="1">
      <c r="A12" s="452"/>
      <c r="B12" s="452"/>
      <c r="C12" s="452"/>
      <c r="D12" s="452"/>
      <c r="E12" s="452"/>
      <c r="F12" s="452"/>
      <c r="G12" s="452"/>
      <c r="H12" s="452"/>
      <c r="I12" s="452"/>
      <c r="J12" s="452"/>
      <c r="K12" s="452"/>
      <c r="L12" s="452"/>
      <c r="M12" s="452"/>
      <c r="N12" s="452"/>
      <c r="O12" s="452"/>
      <c r="P12" s="452"/>
      <c r="Q12" s="452"/>
      <c r="R12" s="452"/>
      <c r="S12" s="452"/>
      <c r="T12" s="452"/>
      <c r="U12" s="452"/>
      <c r="V12" s="452"/>
      <c r="W12" s="452"/>
      <c r="X12" s="452"/>
      <c r="Y12"/>
      <c r="Z12"/>
    </row>
    <row r="13" ht="22" customHeight="1">
      <c r="A13" s="452"/>
      <c r="B13" s="452"/>
      <c r="C13" s="452"/>
      <c r="D13" s="452"/>
      <c r="E13" s="452"/>
      <c r="F13" s="452"/>
      <c r="G13" s="452"/>
      <c r="H13" s="452"/>
      <c r="I13" s="452"/>
      <c r="J13" s="452"/>
      <c r="K13" s="452"/>
      <c r="L13" s="452"/>
      <c r="M13" s="452"/>
      <c r="N13" s="452"/>
      <c r="O13" s="452"/>
      <c r="P13" s="452"/>
      <c r="Q13" s="452"/>
      <c r="R13" s="452"/>
      <c r="S13" s="452"/>
      <c r="T13" s="452"/>
      <c r="U13" s="452"/>
      <c r="V13" s="452"/>
      <c r="W13" s="452"/>
      <c r="X13" s="452"/>
      <c r="Y13"/>
      <c r="Z13"/>
    </row>
    <row r="14" ht="22" customHeight="1">
      <c r="A14" s="452"/>
      <c r="B14" s="452"/>
      <c r="C14" s="452"/>
      <c r="D14" s="452"/>
      <c r="E14" s="452"/>
      <c r="F14" s="452"/>
      <c r="G14" s="452"/>
      <c r="H14" s="452"/>
      <c r="I14" s="452"/>
      <c r="J14" s="452"/>
      <c r="K14" s="452"/>
      <c r="L14" s="452"/>
      <c r="M14" s="452"/>
      <c r="N14" s="452"/>
      <c r="O14" s="452"/>
      <c r="P14" s="452"/>
      <c r="Q14" s="452"/>
      <c r="R14" s="452"/>
      <c r="S14" s="452"/>
      <c r="T14" s="452"/>
      <c r="U14" s="452"/>
      <c r="V14" s="452"/>
      <c r="W14" s="452"/>
      <c r="X14" s="452"/>
      <c r="Y14"/>
      <c r="Z14"/>
    </row>
    <row r="15" ht="22" customHeight="1">
      <c r="A15" s="460" t="str">
        <v>PepsiCo - ten-year operating history</v>
      </c>
      <c r="B15" s="460"/>
      <c r="C15" s="460"/>
      <c r="D15" s="460"/>
      <c r="E15" s="460"/>
      <c r="F15" s="460"/>
      <c r="G15" s="460"/>
      <c r="H15" s="460"/>
      <c r="I15" s="460"/>
      <c r="J15" s="460"/>
      <c r="K15" s="460"/>
      <c r="L15" s="460"/>
      <c r="M15" s="460"/>
      <c r="N15" s="460"/>
      <c r="O15" s="460"/>
      <c r="P15" s="460"/>
      <c r="Q15" s="460"/>
      <c r="R15" s="460"/>
      <c r="S15" s="460"/>
      <c r="T15" s="460"/>
      <c r="U15" s="460"/>
      <c r="V15" s="460"/>
      <c r="W15" s="460"/>
      <c r="X15" s="460"/>
      <c r="Y15"/>
      <c r="Z15"/>
    </row>
    <row r="16" ht="24" customHeight="1">
      <c r="A16" s="490" t="str">
        <v>Annual FY2016-FY2025; discrete quarters FY2024Q1-FY2026Q3. Profits use the later pension presentation. Organic growth is company-reported; physical volume and net pricing are distinct measures. FX / M&amp;A use the company's adjustment signs.</v>
      </c>
      <c r="B16" s="490"/>
      <c r="C16" s="490"/>
      <c r="D16" s="490"/>
      <c r="E16" s="490"/>
      <c r="F16" s="490"/>
      <c r="G16" s="490"/>
      <c r="H16" s="490"/>
      <c r="I16" s="490"/>
      <c r="J16" s="490"/>
      <c r="K16" s="490"/>
      <c r="L16" s="490"/>
      <c r="M16" s="490"/>
      <c r="N16" s="490"/>
      <c r="O16" s="490"/>
      <c r="P16" s="490"/>
      <c r="Q16" s="490"/>
      <c r="R16" s="490"/>
      <c r="S16" s="490"/>
      <c r="T16" s="490"/>
      <c r="U16" s="490"/>
      <c r="V16" s="490"/>
      <c r="W16" s="490"/>
      <c r="X16" s="490"/>
      <c r="Y16"/>
      <c r="Z16"/>
    </row>
    <row r="17" ht="24" customHeight="1">
      <c r="A17" s="462" t="str">
        <v>Metric / reporting scope</v>
      </c>
      <c r="B17" s="452"/>
      <c r="C17" s="463" t="str">
        <v>FY2016</v>
      </c>
      <c r="D17" s="463" t="str">
        <v>FY2017</v>
      </c>
      <c r="E17" s="463" t="str">
        <v>FY2018</v>
      </c>
      <c r="F17" s="463" t="str">
        <v>FY2019</v>
      </c>
      <c r="G17" s="463" t="str">
        <v>FY2020</v>
      </c>
      <c r="H17" s="463" t="str">
        <v>FY2021</v>
      </c>
      <c r="I17" s="463" t="str">
        <v>FY2022</v>
      </c>
      <c r="J17" s="463" t="str">
        <v>FY2023</v>
      </c>
      <c r="K17" s="463" t="str">
        <v>FY2024</v>
      </c>
      <c r="L17" s="463" t="str">
        <v>FY2025</v>
      </c>
      <c r="M17" s="452"/>
      <c r="N17" s="470" t="str">
        <v>FY2024Q1</v>
      </c>
      <c r="O17" s="470" t="str">
        <v>FY2024Q2</v>
      </c>
      <c r="P17" s="470" t="str">
        <v>FY2024Q3</v>
      </c>
      <c r="Q17" s="470" t="str">
        <v>FY2024Q4</v>
      </c>
      <c r="R17" s="470" t="str">
        <v>FY2025Q1</v>
      </c>
      <c r="S17" s="470" t="str">
        <v>FY2025Q2</v>
      </c>
      <c r="T17" s="470" t="str">
        <v>FY2025Q3</v>
      </c>
      <c r="U17" s="470" t="str">
        <v>FY2025Q4</v>
      </c>
      <c r="V17" s="470" t="str">
        <v>FY2026Q1</v>
      </c>
      <c r="W17" s="470" t="str">
        <v>FY2026Q2</v>
      </c>
      <c r="X17" s="470" t="str">
        <v>FY2026Q3</v>
      </c>
      <c r="Y17"/>
      <c r="Z17"/>
    </row>
    <row r="18" ht="18" customHeight="1">
      <c r="A18" s="452"/>
      <c r="B18" s="452"/>
      <c r="C18" s="501" t="d">
        <v>2016-12-31T00:00:00.000Z</v>
      </c>
      <c r="D18" s="501" t="d">
        <v>2017-12-30T00:00:00.000Z</v>
      </c>
      <c r="E18" s="501" t="d">
        <v>2018-12-29T00:00:00.000Z</v>
      </c>
      <c r="F18" s="501" t="d">
        <v>2019-12-28T00:00:00.000Z</v>
      </c>
      <c r="G18" s="501" t="d">
        <v>2020-12-26T00:00:00.000Z</v>
      </c>
      <c r="H18" s="501" t="d">
        <v>2021-12-25T00:00:00.000Z</v>
      </c>
      <c r="I18" s="501" t="d">
        <v>2022-12-31T00:00:00.000Z</v>
      </c>
      <c r="J18" s="501" t="d">
        <v>2023-12-30T00:00:00.000Z</v>
      </c>
      <c r="K18" s="501" t="d">
        <v>2024-12-28T00:00:00.000Z</v>
      </c>
      <c r="L18" s="501" t="d">
        <v>2025-12-27T00:00:00.000Z</v>
      </c>
      <c r="M18" s="452"/>
      <c r="N18" s="501" t="d">
        <v>2024-03-23T00:00:00.000Z</v>
      </c>
      <c r="O18" s="501" t="d">
        <v>2024-06-15T00:00:00.000Z</v>
      </c>
      <c r="P18" s="501" t="d">
        <v>2024-09-07T00:00:00.000Z</v>
      </c>
      <c r="Q18" s="501" t="d">
        <v>2024-12-28T00:00:00.000Z</v>
      </c>
      <c r="R18" s="501" t="d">
        <v>2025-03-22T00:00:00.000Z</v>
      </c>
      <c r="S18" s="501" t="d">
        <v>2025-06-14T00:00:00.000Z</v>
      </c>
      <c r="T18" s="501" t="d">
        <v>2025-09-06T00:00:00.000Z</v>
      </c>
      <c r="U18" s="501" t="d">
        <v>2025-12-27T00:00:00.000Z</v>
      </c>
      <c r="V18" s="501" t="d">
        <v>2026-03-21T00:00:00.000Z</v>
      </c>
      <c r="W18" s="501" t="d">
        <v>2026-06-13T00:00:00.000Z</v>
      </c>
      <c r="X18" s="501" t="d">
        <v>2026-09-05T00:00:00.000Z</v>
      </c>
      <c r="Y18"/>
      <c r="Z18"/>
    </row>
    <row r="19" ht="22" customHeight="1">
      <c r="A19" s="502" t="str">
        <v>Net revenue</v>
      </c>
      <c r="B19" s="452"/>
      <c r="C19" s="503" t="n">
        <f>'Income Statement'!C13</f>
        <v>62799</v>
      </c>
      <c r="D19" s="503" t="n">
        <f>'Income Statement'!D13</f>
        <v>63525</v>
      </c>
      <c r="E19" s="503" t="n">
        <f>'Income Statement'!E13</f>
        <v>64661</v>
      </c>
      <c r="F19" s="503" t="n">
        <f>'Income Statement'!F13</f>
        <v>67161</v>
      </c>
      <c r="G19" s="503" t="n">
        <f>'Income Statement'!G13</f>
        <v>70372</v>
      </c>
      <c r="H19" s="503" t="n">
        <f>'Income Statement'!H13</f>
        <v>79474</v>
      </c>
      <c r="I19" s="503" t="n">
        <f>'Income Statement'!I13</f>
        <v>86392</v>
      </c>
      <c r="J19" s="503" t="n">
        <f>'Income Statement'!J13</f>
        <v>91471</v>
      </c>
      <c r="K19" s="503" t="n">
        <f>'Income Statement'!K13</f>
        <v>91854</v>
      </c>
      <c r="L19" s="503" t="n">
        <f>'Income Statement'!L13</f>
        <v>93925</v>
      </c>
      <c r="M19" s="473"/>
      <c r="N19" s="503" t="n">
        <f>'Income Statement'!N13</f>
        <v>18250</v>
      </c>
      <c r="O19" s="503" t="n">
        <f>'Income Statement'!O13</f>
        <v>22501</v>
      </c>
      <c r="P19" s="503" t="n">
        <f>'Income Statement'!P13</f>
        <v>23319</v>
      </c>
      <c r="Q19" s="503" t="n">
        <f>'Income Statement'!Q13</f>
        <v>27784</v>
      </c>
      <c r="R19" s="503" t="n">
        <f>'Income Statement'!R13</f>
        <v>17919</v>
      </c>
      <c r="S19" s="503" t="n">
        <f>'Income Statement'!S13</f>
        <v>22726</v>
      </c>
      <c r="T19" s="503" t="n">
        <f>'Income Statement'!T13</f>
        <v>23937</v>
      </c>
      <c r="U19" s="503" t="n">
        <f>'Income Statement'!U13</f>
        <v>29343</v>
      </c>
      <c r="V19" s="503" t="n">
        <f>'Income Statement'!V13</f>
        <v>19443</v>
      </c>
      <c r="W19" s="503" t="n">
        <f>'Income Statement'!W13</f>
        <v>24181</v>
      </c>
      <c r="X19" s="503" t="n">
        <f>'Income Statement'!X13</f>
        <v>25274</v>
      </c>
      <c r="Y19"/>
      <c r="Z19"/>
    </row>
    <row r="20" ht="20" customHeight="1">
      <c r="A20" s="505" t="str">
        <v>Net revenue YoY</v>
      </c>
      <c r="B20" s="452"/>
      <c r="C20" s="506"/>
      <c r="D20" s="476" t="n">
        <f>IF(OR('Operating Metrics'!C19&lt;=0,'Operating Metrics'!D19&lt;0),"",'Operating Metrics'!D19/'Operating Metrics'!C19-1)</f>
        <v>0.011560693641618602</v>
      </c>
      <c r="E20" s="476" t="n">
        <f>IF(OR('Operating Metrics'!D19&lt;=0,'Operating Metrics'!E19&lt;0),"",'Operating Metrics'!E19/'Operating Metrics'!D19-1)</f>
        <v>0.017882723337268702</v>
      </c>
      <c r="F20" s="476" t="n">
        <f>IF(OR('Operating Metrics'!E19&lt;=0,'Operating Metrics'!F19&lt;0),"",'Operating Metrics'!F19/'Operating Metrics'!E19-1)</f>
        <v>0.038663181825211446</v>
      </c>
      <c r="G20" s="476" t="n">
        <f>IF(OR('Operating Metrics'!F19&lt;=0,'Operating Metrics'!G19&lt;0),"",'Operating Metrics'!G19/'Operating Metrics'!F19-1)</f>
        <v>0.04781048525185749</v>
      </c>
      <c r="H20" s="476" t="n">
        <f>IF(OR('Operating Metrics'!G19&lt;=0,'Operating Metrics'!H19&lt;0),"",'Operating Metrics'!H19/'Operating Metrics'!G19-1)</f>
        <v>0.1293412152560678</v>
      </c>
      <c r="I20" s="476" t="n">
        <f>IF(OR('Operating Metrics'!H19&lt;=0,'Operating Metrics'!I19&lt;0),"",'Operating Metrics'!I19/'Operating Metrics'!H19-1)</f>
        <v>0.08704733623575</v>
      </c>
      <c r="J20" s="476" t="n">
        <f>IF(OR('Operating Metrics'!I19&lt;=0,'Operating Metrics'!J19&lt;0),"",'Operating Metrics'!J19/'Operating Metrics'!I19-1)</f>
        <v>0.05879016575608853</v>
      </c>
      <c r="K20" s="476" t="n">
        <f>IF(OR('Operating Metrics'!J19&lt;=0,'Operating Metrics'!K19&lt;0),"",'Operating Metrics'!K19/'Operating Metrics'!J19-1)</f>
        <v>0.0041871194148965785</v>
      </c>
      <c r="L20" s="476" t="n">
        <f>IF(OR('Operating Metrics'!K19&lt;=0,'Operating Metrics'!L19&lt;0),"",'Operating Metrics'!L19/'Operating Metrics'!K19-1)</f>
        <v>0.022546650118666633</v>
      </c>
      <c r="M20" s="506"/>
      <c r="N20" s="506"/>
      <c r="O20" s="506"/>
      <c r="P20" s="506"/>
      <c r="Q20" s="506"/>
      <c r="R20" s="476" t="n">
        <f>IF(OR('Operating Metrics'!N19&lt;=0,'Operating Metrics'!R19&lt;0),"",'Operating Metrics'!R19/'Operating Metrics'!N19-1)</f>
        <v>-0.01813698630136984</v>
      </c>
      <c r="S20" s="476" t="n">
        <f>IF(OR('Operating Metrics'!O19&lt;=0,'Operating Metrics'!S19&lt;0),"",'Operating Metrics'!S19/'Operating Metrics'!O19-1)</f>
        <v>0.00999955557530785</v>
      </c>
      <c r="T20" s="476" t="n">
        <f>IF(OR('Operating Metrics'!P19&lt;=0,'Operating Metrics'!T19&lt;0),"",'Operating Metrics'!T19/'Operating Metrics'!P19-1)</f>
        <v>0.026501994082078983</v>
      </c>
      <c r="U20" s="476" t="n">
        <f>IF(OR('Operating Metrics'!Q19&lt;=0,'Operating Metrics'!U19&lt;0),"",'Operating Metrics'!U19/'Operating Metrics'!Q19-1)</f>
        <v>0.05611143103944727</v>
      </c>
      <c r="V20" s="476" t="n">
        <f>IF(OR('Operating Metrics'!R19&lt;=0,'Operating Metrics'!V19&lt;0),"",'Operating Metrics'!V19/'Operating Metrics'!R19-1)</f>
        <v>0.08504938891679226</v>
      </c>
      <c r="W20" s="476" t="n">
        <f>IF(OR('Operating Metrics'!S19&lt;=0,'Operating Metrics'!W19&lt;0),"",'Operating Metrics'!W19/'Operating Metrics'!S19-1)</f>
        <v>0.06402358532077801</v>
      </c>
      <c r="X20" s="476" t="n">
        <f>IF(OR('Operating Metrics'!T19&lt;=0,'Operating Metrics'!X19&lt;0),"",'Operating Metrics'!X19/'Operating Metrics'!T19-1)</f>
        <v>0.05585495258386608</v>
      </c>
      <c r="Y20"/>
      <c r="Z20"/>
      <c r="AA20"/>
      <c r="AB20"/>
    </row>
    <row r="21" ht="22" customHeight="1">
      <c r="A21" s="502" t="str">
        <v>Reported operating profit</v>
      </c>
      <c r="B21" s="452"/>
      <c r="C21" s="503" t="n">
        <f>'Income Statement'!C21</f>
        <v>9804</v>
      </c>
      <c r="D21" s="503" t="n">
        <f>'Income Statement'!D21</f>
        <v>10276</v>
      </c>
      <c r="E21" s="503" t="n">
        <f>'Income Statement'!E21</f>
        <v>10110</v>
      </c>
      <c r="F21" s="503" t="n">
        <f>'Income Statement'!F21</f>
        <v>10291</v>
      </c>
      <c r="G21" s="503" t="n">
        <f>'Income Statement'!G21</f>
        <v>10080</v>
      </c>
      <c r="H21" s="503" t="n">
        <f>'Income Statement'!H21</f>
        <v>11162</v>
      </c>
      <c r="I21" s="503" t="n">
        <f>'Income Statement'!I21</f>
        <v>11512</v>
      </c>
      <c r="J21" s="503" t="n">
        <f>'Income Statement'!J21</f>
        <v>11986</v>
      </c>
      <c r="K21" s="503" t="n">
        <f>'Income Statement'!K21</f>
        <v>12887</v>
      </c>
      <c r="L21" s="503" t="n">
        <f>'Income Statement'!L21</f>
        <v>11498</v>
      </c>
      <c r="M21" s="473"/>
      <c r="N21" s="503" t="n">
        <f>'Income Statement'!N21</f>
        <v>2717</v>
      </c>
      <c r="O21" s="503" t="n">
        <f>'Income Statement'!O21</f>
        <v>4048</v>
      </c>
      <c r="P21" s="503" t="n">
        <f>'Income Statement'!P21</f>
        <v>3872</v>
      </c>
      <c r="Q21" s="503" t="n">
        <f>'Income Statement'!Q21</f>
        <v>2250</v>
      </c>
      <c r="R21" s="503" t="n">
        <f>'Income Statement'!R21</f>
        <v>2583</v>
      </c>
      <c r="S21" s="503" t="n">
        <f>'Income Statement'!S21</f>
        <v>1789</v>
      </c>
      <c r="T21" s="503" t="n">
        <f>'Income Statement'!T21</f>
        <v>3569</v>
      </c>
      <c r="U21" s="503" t="n">
        <f>'Income Statement'!U21</f>
        <v>3557</v>
      </c>
      <c r="V21" s="503" t="n">
        <f>'Income Statement'!V21</f>
        <v>3213</v>
      </c>
      <c r="W21" s="503" t="n">
        <f>'Income Statement'!W21</f>
        <v>4023</v>
      </c>
      <c r="X21" s="503" t="n">
        <f>'Income Statement'!X21</f>
        <v>4260</v>
      </c>
      <c r="Y21"/>
      <c r="Z21"/>
    </row>
    <row r="22" ht="20" customHeight="1">
      <c r="A22" s="505" t="str">
        <v>Reported operating profit YoY</v>
      </c>
      <c r="B22" s="452"/>
      <c r="C22" s="506"/>
      <c r="D22" s="476" t="n">
        <f>IF(OR('Operating Metrics'!C21&lt;=0,'Operating Metrics'!D21&lt;0),"",'Operating Metrics'!D21/'Operating Metrics'!C21-1)</f>
        <v>0.04814361485108121</v>
      </c>
      <c r="E22" s="476" t="n">
        <f>IF(OR('Operating Metrics'!D21&lt;=0,'Operating Metrics'!E21&lt;0),"",'Operating Metrics'!E21/'Operating Metrics'!D21-1)</f>
        <v>-0.016154145581938506</v>
      </c>
      <c r="F22" s="476" t="n">
        <f>IF(OR('Operating Metrics'!E21&lt;=0,'Operating Metrics'!F21&lt;0),"",'Operating Metrics'!F21/'Operating Metrics'!E21-1)</f>
        <v>0.017903066271018897</v>
      </c>
      <c r="G22" s="476" t="n">
        <f>IF(OR('Operating Metrics'!F21&lt;=0,'Operating Metrics'!G21&lt;0),"",'Operating Metrics'!G21/'Operating Metrics'!F21-1)</f>
        <v>-0.020503352443883016</v>
      </c>
      <c r="H22" s="476" t="n">
        <f>IF(OR('Operating Metrics'!G21&lt;=0,'Operating Metrics'!H21&lt;0),"",'Operating Metrics'!H21/'Operating Metrics'!G21-1)</f>
        <v>0.1073412698412699</v>
      </c>
      <c r="I22" s="476" t="n">
        <f>IF(OR('Operating Metrics'!H21&lt;=0,'Operating Metrics'!I21&lt;0),"",'Operating Metrics'!I21/'Operating Metrics'!H21-1)</f>
        <v>0.03135638774413185</v>
      </c>
      <c r="J22" s="476" t="n">
        <f>IF(OR('Operating Metrics'!I21&lt;=0,'Operating Metrics'!J21&lt;0),"",'Operating Metrics'!J21/'Operating Metrics'!I21-1)</f>
        <v>0.04117442668519811</v>
      </c>
      <c r="K22" s="476" t="n">
        <f>IF(OR('Operating Metrics'!J21&lt;=0,'Operating Metrics'!K21&lt;0),"",'Operating Metrics'!K21/'Operating Metrics'!J21-1)</f>
        <v>0.0751710328716837</v>
      </c>
      <c r="L22" s="476" t="n">
        <f>IF(OR('Operating Metrics'!K21&lt;=0,'Operating Metrics'!L21&lt;0),"",'Operating Metrics'!L21/'Operating Metrics'!K21-1)</f>
        <v>-0.10778303716924031</v>
      </c>
      <c r="M22" s="506"/>
      <c r="N22" s="506"/>
      <c r="O22" s="506"/>
      <c r="P22" s="506"/>
      <c r="Q22" s="506"/>
      <c r="R22" s="476" t="n">
        <f>IF(OR('Operating Metrics'!N21&lt;=0,'Operating Metrics'!R21&lt;0),"",'Operating Metrics'!R21/'Operating Metrics'!N21-1)</f>
        <v>-0.0493191019506809</v>
      </c>
      <c r="S22" s="476" t="n">
        <f>IF(OR('Operating Metrics'!O21&lt;=0,'Operating Metrics'!S21&lt;0),"",'Operating Metrics'!S21/'Operating Metrics'!O21-1)</f>
        <v>-0.5580533596837944</v>
      </c>
      <c r="T22" s="476" t="n">
        <f>IF(OR('Operating Metrics'!P21&lt;=0,'Operating Metrics'!T21&lt;0),"",'Operating Metrics'!T21/'Operating Metrics'!P21-1)</f>
        <v>-0.07825413223140498</v>
      </c>
      <c r="U22" s="476" t="n">
        <f>IF(OR('Operating Metrics'!Q21&lt;=0,'Operating Metrics'!U21&lt;0),"",'Operating Metrics'!U21/'Operating Metrics'!Q21-1)</f>
        <v>0.5808888888888888</v>
      </c>
      <c r="V22" s="476" t="n">
        <f>IF(OR('Operating Metrics'!R21&lt;=0,'Operating Metrics'!V21&lt;0),"",'Operating Metrics'!V21/'Operating Metrics'!R21-1)</f>
        <v>0.24390243902439024</v>
      </c>
      <c r="W22" s="476" t="n">
        <f>IF(OR('Operating Metrics'!S21&lt;=0,'Operating Metrics'!W21&lt;0),"",'Operating Metrics'!W21/'Operating Metrics'!S21-1)</f>
        <v>1.2487423141419787</v>
      </c>
      <c r="X22" s="476" t="n">
        <f>IF(OR('Operating Metrics'!T21&lt;=0,'Operating Metrics'!X21&lt;0),"",'Operating Metrics'!X21/'Operating Metrics'!T21-1)</f>
        <v>0.1936116559260297</v>
      </c>
      <c r="Y22"/>
      <c r="Z22"/>
    </row>
    <row r="23" ht="20" customHeight="1">
      <c r="A23" s="505" t="str">
        <v>Reported operating margin</v>
      </c>
      <c r="B23" s="452"/>
      <c r="C23" s="476" t="n">
        <f>IF('Operating Metrics'!C19=0,"",'Operating Metrics'!C21/'Operating Metrics'!C19)</f>
        <v>0.15611713562317872</v>
      </c>
      <c r="D23" s="476" t="n">
        <f>IF('Operating Metrics'!D19=0,"",'Operating Metrics'!D21/'Operating Metrics'!D19)</f>
        <v>0.16176308539944903</v>
      </c>
      <c r="E23" s="476" t="n">
        <f>IF('Operating Metrics'!E19=0,"",'Operating Metrics'!E21/'Operating Metrics'!E19)</f>
        <v>0.15635390730115525</v>
      </c>
      <c r="F23" s="476" t="n">
        <f>IF('Operating Metrics'!F19=0,"",'Operating Metrics'!F21/'Operating Metrics'!F19)</f>
        <v>0.15322880838581915</v>
      </c>
      <c r="G23" s="476" t="n">
        <f>IF('Operating Metrics'!G19=0,"",'Operating Metrics'!G21/'Operating Metrics'!G19)</f>
        <v>0.14323878815437957</v>
      </c>
      <c r="H23" s="476" t="n">
        <f>IF('Operating Metrics'!H19=0,"",'Operating Metrics'!H21/'Operating Metrics'!H19)</f>
        <v>0.14044844854921107</v>
      </c>
      <c r="I23" s="476" t="n">
        <f>IF('Operating Metrics'!I19=0,"",'Operating Metrics'!I21/'Operating Metrics'!I19)</f>
        <v>0.13325307898879526</v>
      </c>
      <c r="J23" s="476" t="n">
        <f>IF('Operating Metrics'!J19=0,"",'Operating Metrics'!J21/'Operating Metrics'!J19)</f>
        <v>0.1310360660755868</v>
      </c>
      <c r="K23" s="476" t="n">
        <f>IF('Operating Metrics'!K19=0,"",'Operating Metrics'!K21/'Operating Metrics'!K19)</f>
        <v>0.1402987349489407</v>
      </c>
      <c r="L23" s="476" t="n">
        <f>IF('Operating Metrics'!L19=0,"",'Operating Metrics'!L21/'Operating Metrics'!L19)</f>
        <v>0.12241682193239287</v>
      </c>
      <c r="M23" s="506"/>
      <c r="N23" s="476" t="n">
        <f>IF('Operating Metrics'!N19=0,"",'Operating Metrics'!N21/'Operating Metrics'!N19)</f>
        <v>0.14887671232876712</v>
      </c>
      <c r="O23" s="476" t="n">
        <f>IF('Operating Metrics'!O19=0,"",'Operating Metrics'!O21/'Operating Metrics'!O19)</f>
        <v>0.17990311541709259</v>
      </c>
      <c r="P23" s="476" t="n">
        <f>IF('Operating Metrics'!P19=0,"",'Operating Metrics'!P21/'Operating Metrics'!P19)</f>
        <v>0.16604485612590592</v>
      </c>
      <c r="Q23" s="476" t="n">
        <f>IF('Operating Metrics'!Q19=0,"",'Operating Metrics'!Q21/'Operating Metrics'!Q19)</f>
        <v>0.08098186006334582</v>
      </c>
      <c r="R23" s="476" t="n">
        <f>IF('Operating Metrics'!R19=0,"",'Operating Metrics'!R21/'Operating Metrics'!R19)</f>
        <v>0.14414866901054746</v>
      </c>
      <c r="S23" s="476" t="n">
        <f>IF('Operating Metrics'!S19=0,"",'Operating Metrics'!S21/'Operating Metrics'!S19)</f>
        <v>0.0787204083428672</v>
      </c>
      <c r="T23" s="476" t="n">
        <f>IF('Operating Metrics'!T19=0,"",'Operating Metrics'!T21/'Operating Metrics'!T19)</f>
        <v>0.14909972009859213</v>
      </c>
      <c r="U23" s="476" t="n">
        <f>IF('Operating Metrics'!U19=0,"",'Operating Metrics'!U21/'Operating Metrics'!U19)</f>
        <v>0.12122141566983607</v>
      </c>
      <c r="V23" s="476" t="n">
        <f>IF('Operating Metrics'!V19=0,"",'Operating Metrics'!V21/'Operating Metrics'!V19)</f>
        <v>0.16525227588335134</v>
      </c>
      <c r="W23" s="476" t="n">
        <f>IF('Operating Metrics'!W19=0,"",'Operating Metrics'!W21/'Operating Metrics'!W19)</f>
        <v>0.16637029072412224</v>
      </c>
      <c r="X23" s="476" t="n">
        <f>IF('Operating Metrics'!X19=0,"",'Operating Metrics'!X21/'Operating Metrics'!X19)</f>
        <v>0.16855266281554165</v>
      </c>
      <c r="Y23"/>
      <c r="Z23"/>
    </row>
    <row r="24" ht="22" customHeight="1">
      <c r="A24" s="502" t="str">
        <v>Core operating profit</v>
      </c>
      <c r="B24" s="452"/>
      <c r="C24" s="503" t="n">
        <f>'Core Reconciliations'!C88</f>
        <v>10165</v>
      </c>
      <c r="D24" s="503" t="n">
        <f>'Core Reconciliations'!D88</f>
        <v>10490</v>
      </c>
      <c r="E24" s="507" t="n">
        <v>10620</v>
      </c>
      <c r="F24" s="507" t="n">
        <v>10602</v>
      </c>
      <c r="G24" s="507" t="n">
        <v>10531</v>
      </c>
      <c r="H24" s="507" t="n">
        <v>11414</v>
      </c>
      <c r="I24" s="507" t="n">
        <v>12325</v>
      </c>
      <c r="J24" s="507" t="n">
        <v>13875</v>
      </c>
      <c r="K24" s="507" t="n">
        <v>14698</v>
      </c>
      <c r="L24" s="507" t="n">
        <v>14912</v>
      </c>
      <c r="M24" s="473"/>
      <c r="N24" s="507" t="n">
        <v>2939</v>
      </c>
      <c r="O24" s="507" t="n">
        <v>4121</v>
      </c>
      <c r="P24" s="507" t="n">
        <v>4176</v>
      </c>
      <c r="Q24" s="507" t="n">
        <v>3462</v>
      </c>
      <c r="R24" s="507" t="n">
        <v>2789</v>
      </c>
      <c r="S24" s="507" t="n">
        <v>3911</v>
      </c>
      <c r="T24" s="507" t="n">
        <v>4137</v>
      </c>
      <c r="U24" s="507" t="n">
        <v>4075</v>
      </c>
      <c r="V24" s="507" t="n">
        <v>3050</v>
      </c>
      <c r="W24" s="507" t="n">
        <v>4067</v>
      </c>
      <c r="X24" s="507" t="n">
        <v>4277</v>
      </c>
      <c r="Y24"/>
      <c r="Z24"/>
    </row>
    <row r="25" ht="20" customHeight="1">
      <c r="A25" s="505" t="str">
        <v>Core operating profit YoY</v>
      </c>
      <c r="B25" s="452"/>
      <c r="C25" s="506"/>
      <c r="D25" s="476" t="n">
        <f>IF(OR('Operating Metrics'!C24&lt;=0,'Operating Metrics'!D24&lt;0),"",'Operating Metrics'!D24/'Operating Metrics'!C24-1)</f>
        <v>0.031972454500737824</v>
      </c>
      <c r="E25" s="476" t="n">
        <f>IF(OR('Operating Metrics'!D24&lt;=0,'Operating Metrics'!E24&lt;0),"",'Operating Metrics'!E24/'Operating Metrics'!D24-1)</f>
        <v>0.012392755004766443</v>
      </c>
      <c r="F25" s="476" t="n">
        <f>IF(OR('Operating Metrics'!E24&lt;=0,'Operating Metrics'!F24&lt;0),"",'Operating Metrics'!F24/'Operating Metrics'!E24-1)</f>
        <v>-0.0016949152542372614</v>
      </c>
      <c r="G25" s="476" t="n">
        <f>IF(OR('Operating Metrics'!F24&lt;=0,'Operating Metrics'!G24&lt;0),"",'Operating Metrics'!G24/'Operating Metrics'!F24-1)</f>
        <v>-0.006696849651009251</v>
      </c>
      <c r="H25" s="476" t="n">
        <f>IF(OR('Operating Metrics'!G24&lt;=0,'Operating Metrics'!H24&lt;0),"",'Operating Metrics'!H24/'Operating Metrics'!G24-1)</f>
        <v>0.08384768777893847</v>
      </c>
      <c r="I25" s="476" t="n">
        <f>IF(OR('Operating Metrics'!H24&lt;=0,'Operating Metrics'!I24&lt;0),"",'Operating Metrics'!I24/'Operating Metrics'!H24-1)</f>
        <v>0.07981426318556162</v>
      </c>
      <c r="J25" s="476" t="n">
        <f>IF(OR('Operating Metrics'!I24&lt;=0,'Operating Metrics'!J24&lt;0),"",'Operating Metrics'!J24/'Operating Metrics'!I24-1)</f>
        <v>0.12576064908722118</v>
      </c>
      <c r="K25" s="476" t="n">
        <f>IF(OR('Operating Metrics'!J24&lt;=0,'Operating Metrics'!K24&lt;0),"",'Operating Metrics'!K24/'Operating Metrics'!J24-1)</f>
        <v>0.05931531531531542</v>
      </c>
      <c r="L25" s="476" t="n">
        <f>IF(OR('Operating Metrics'!K24&lt;=0,'Operating Metrics'!L24&lt;0),"",'Operating Metrics'!L24/'Operating Metrics'!K24-1)</f>
        <v>0.01455980405497348</v>
      </c>
      <c r="M25" s="506"/>
      <c r="N25" s="506"/>
      <c r="O25" s="506"/>
      <c r="P25" s="506"/>
      <c r="Q25" s="506"/>
      <c r="R25" s="476" t="n">
        <f>IF(OR('Operating Metrics'!N24&lt;=0,'Operating Metrics'!R24&lt;0),"",'Operating Metrics'!R24/'Operating Metrics'!N24-1)</f>
        <v>-0.05103776794828174</v>
      </c>
      <c r="S25" s="476" t="n">
        <f>IF(OR('Operating Metrics'!O24&lt;=0,'Operating Metrics'!S24&lt;0),"",'Operating Metrics'!S24/'Operating Metrics'!O24-1)</f>
        <v>-0.05095850521718026</v>
      </c>
      <c r="T25" s="476" t="n">
        <f>IF(OR('Operating Metrics'!P24&lt;=0,'Operating Metrics'!T24&lt;0),"",'Operating Metrics'!T24/'Operating Metrics'!P24-1)</f>
        <v>-0.009339080459770166</v>
      </c>
      <c r="U25" s="476" t="n">
        <f>IF(OR('Operating Metrics'!Q24&lt;=0,'Operating Metrics'!U24&lt;0),"",'Operating Metrics'!U24/'Operating Metrics'!Q24-1)</f>
        <v>0.17706528018486423</v>
      </c>
      <c r="V25" s="476" t="n">
        <f>IF(OR('Operating Metrics'!R24&lt;=0,'Operating Metrics'!V24&lt;0),"",'Operating Metrics'!V24/'Operating Metrics'!R24-1)</f>
        <v>0.0935819290068125</v>
      </c>
      <c r="W25" s="476" t="n">
        <f>IF(OR('Operating Metrics'!S24&lt;=0,'Operating Metrics'!W24&lt;0),"",'Operating Metrics'!W24/'Operating Metrics'!S24-1)</f>
        <v>0.03988749680388648</v>
      </c>
      <c r="X25" s="476" t="n">
        <f>IF(OR('Operating Metrics'!T24&lt;=0,'Operating Metrics'!X24&lt;0),"",'Operating Metrics'!X24/'Operating Metrics'!T24-1)</f>
        <v>0.03384094754653133</v>
      </c>
      <c r="Y25"/>
      <c r="Z25"/>
      <c r="AA25"/>
      <c r="AB25"/>
    </row>
    <row r="26" ht="20" customHeight="1">
      <c r="A26" s="505" t="str">
        <v>Core operating margin</v>
      </c>
      <c r="B26" s="452"/>
      <c r="C26" s="476" t="n">
        <f>IF('Operating Metrics'!C19=0,"",'Operating Metrics'!C24/'Operating Metrics'!C19)</f>
        <v>0.16186563480310195</v>
      </c>
      <c r="D26" s="476" t="n">
        <f>IF('Operating Metrics'!D19=0,"",'Operating Metrics'!D24/'Operating Metrics'!D19)</f>
        <v>0.1651318378591106</v>
      </c>
      <c r="E26" s="476" t="n">
        <f>IF('Operating Metrics'!E19=0,"",'Operating Metrics'!E24/'Operating Metrics'!E19)</f>
        <v>0.1642411963934984</v>
      </c>
      <c r="F26" s="476" t="n">
        <f>IF('Operating Metrics'!F19=0,"",'Operating Metrics'!F24/'Operating Metrics'!F19)</f>
        <v>0.15785947201500872</v>
      </c>
      <c r="G26" s="476" t="n">
        <f>IF('Operating Metrics'!G19=0,"",'Operating Metrics'!G24/'Operating Metrics'!G19)</f>
        <v>0.14964758710850906</v>
      </c>
      <c r="H26" s="476" t="n">
        <f>IF('Operating Metrics'!H19=0,"",'Operating Metrics'!H24/'Operating Metrics'!H19)</f>
        <v>0.14361929687696606</v>
      </c>
      <c r="I26" s="476" t="n">
        <f>IF('Operating Metrics'!I19=0,"",'Operating Metrics'!I24/'Operating Metrics'!I19)</f>
        <v>0.14266367256227427</v>
      </c>
      <c r="J26" s="476" t="n">
        <f>IF('Operating Metrics'!J19=0,"",'Operating Metrics'!J24/'Operating Metrics'!J19)</f>
        <v>0.15168742005662997</v>
      </c>
      <c r="K26" s="476" t="n">
        <f>IF('Operating Metrics'!K19=0,"",'Operating Metrics'!K24/'Operating Metrics'!K19)</f>
        <v>0.16001480610534108</v>
      </c>
      <c r="L26" s="476" t="n">
        <f>IF('Operating Metrics'!L19=0,"",'Operating Metrics'!L24/'Operating Metrics'!L19)</f>
        <v>0.15876497205216927</v>
      </c>
      <c r="M26" s="506"/>
      <c r="N26" s="476" t="n">
        <f>IF('Operating Metrics'!N19=0,"",'Operating Metrics'!N24/'Operating Metrics'!N19)</f>
        <v>0.16104109589041096</v>
      </c>
      <c r="O26" s="476" t="n">
        <f>IF('Operating Metrics'!O19=0,"",'Operating Metrics'!O24/'Operating Metrics'!O19)</f>
        <v>0.18314741567041465</v>
      </c>
      <c r="P26" s="476" t="n">
        <f>IF('Operating Metrics'!P19=0,"",'Operating Metrics'!P24/'Operating Metrics'!P19)</f>
        <v>0.17908143573909688</v>
      </c>
      <c r="Q26" s="476" t="n">
        <f>IF('Operating Metrics'!Q19=0,"",'Operating Metrics'!Q24/'Operating Metrics'!Q19)</f>
        <v>0.12460408868413475</v>
      </c>
      <c r="R26" s="476" t="n">
        <f>IF('Operating Metrics'!R19=0,"",'Operating Metrics'!R24/'Operating Metrics'!R19)</f>
        <v>0.15564484625258107</v>
      </c>
      <c r="S26" s="476" t="n">
        <f>IF('Operating Metrics'!S19=0,"",'Operating Metrics'!S24/'Operating Metrics'!S19)</f>
        <v>0.17209363724368565</v>
      </c>
      <c r="T26" s="476" t="n">
        <f>IF('Operating Metrics'!T19=0,"",'Operating Metrics'!T24/'Operating Metrics'!T19)</f>
        <v>0.17282867527259055</v>
      </c>
      <c r="U26" s="476" t="n">
        <f>IF('Operating Metrics'!U19=0,"",'Operating Metrics'!U24/'Operating Metrics'!U19)</f>
        <v>0.13887468902293562</v>
      </c>
      <c r="V26" s="476" t="n">
        <f>IF('Operating Metrics'!V19=0,"",'Operating Metrics'!V24/'Operating Metrics'!V19)</f>
        <v>0.15686879596770045</v>
      </c>
      <c r="W26" s="476" t="n">
        <f>IF('Operating Metrics'!W19=0,"",'Operating Metrics'!W24/'Operating Metrics'!W19)</f>
        <v>0.1681899011620694</v>
      </c>
      <c r="X26" s="476" t="n">
        <f>IF('Operating Metrics'!X19=0,"",'Operating Metrics'!X24/'Operating Metrics'!X19)</f>
        <v>0.16922529081269289</v>
      </c>
      <c r="Y26"/>
      <c r="Z26"/>
      <c r="AA26"/>
      <c r="AB26"/>
    </row>
    <row r="27" ht="20" customHeight="1">
      <c r="A27" s="505" t="str">
        <v>Organic revenue growth</v>
      </c>
      <c r="B27" s="452"/>
      <c r="C27" s="508" t="n">
        <v>0.037000000000000005</v>
      </c>
      <c r="D27" s="508" t="n">
        <v>0.023</v>
      </c>
      <c r="E27" s="508" t="n">
        <v>0.037000000000000005</v>
      </c>
      <c r="F27" s="508" t="n">
        <v>0.045</v>
      </c>
      <c r="G27" s="508" t="n">
        <v>0.043</v>
      </c>
      <c r="H27" s="508" t="n">
        <v>0.095</v>
      </c>
      <c r="I27" s="508" t="n">
        <v>0.14400000000000002</v>
      </c>
      <c r="J27" s="508" t="n">
        <v>0.095</v>
      </c>
      <c r="K27" s="508" t="n">
        <v>0.02</v>
      </c>
      <c r="L27" s="508" t="n">
        <v>0.017</v>
      </c>
      <c r="M27" s="506"/>
      <c r="N27" s="508" t="n">
        <v>0.027000000000000003</v>
      </c>
      <c r="O27" s="508" t="n">
        <v>0.019</v>
      </c>
      <c r="P27" s="508" t="n">
        <v>0.013000000000000001</v>
      </c>
      <c r="Q27" s="508" t="n">
        <v>0.021</v>
      </c>
      <c r="R27" s="508" t="n">
        <v>0.012</v>
      </c>
      <c r="S27" s="508" t="n">
        <v>0.021</v>
      </c>
      <c r="T27" s="508" t="n">
        <v>0.013000000000000001</v>
      </c>
      <c r="U27" s="508" t="n">
        <v>0.021</v>
      </c>
      <c r="V27" s="508" t="n">
        <v>0.026000000000000002</v>
      </c>
      <c r="W27" s="508" t="n">
        <v>0.024</v>
      </c>
      <c r="X27" s="508" t="n">
        <v>0.031000000000000003</v>
      </c>
      <c r="Y27"/>
      <c r="Z27"/>
    </row>
    <row r="28" ht="20" customHeight="1">
      <c r="A28" s="505" t="str">
        <v>Organic physical volume - foods</v>
      </c>
      <c r="B28" s="452"/>
      <c r="C28" s="508" t="n">
        <v>0.03</v>
      </c>
      <c r="D28" s="508" t="n">
        <v>0.02</v>
      </c>
      <c r="E28" s="508" t="n">
        <v>0.02</v>
      </c>
      <c r="F28" s="508" t="n">
        <v>0.02</v>
      </c>
      <c r="G28" s="508" t="n">
        <v>0.04</v>
      </c>
      <c r="H28" s="508" t="n">
        <v>0.025</v>
      </c>
      <c r="I28" s="508" t="n">
        <v>0</v>
      </c>
      <c r="J28" s="508" t="n">
        <v>-0.02</v>
      </c>
      <c r="K28" s="508" t="n">
        <v>-0.01</v>
      </c>
      <c r="L28" s="508" t="n">
        <v>-0.02</v>
      </c>
      <c r="M28" s="506"/>
      <c r="N28" s="508" t="n">
        <v>-0.005</v>
      </c>
      <c r="O28" s="508" t="n">
        <v>-0.02</v>
      </c>
      <c r="P28" s="508" t="n">
        <v>-0.02</v>
      </c>
      <c r="Q28" s="508" t="n">
        <v>0.01</v>
      </c>
      <c r="R28" s="508" t="n">
        <v>-0.03</v>
      </c>
      <c r="S28" s="508" t="n">
        <v>-0.015</v>
      </c>
      <c r="T28" s="508" t="n">
        <v>-0.01</v>
      </c>
      <c r="U28" s="508" t="n">
        <v>-0.02</v>
      </c>
      <c r="V28" s="508" t="n">
        <v>0.04</v>
      </c>
      <c r="W28" s="508" t="n">
        <v>0.03</v>
      </c>
      <c r="X28" s="508" t="n">
        <v>0.01</v>
      </c>
      <c r="Y28"/>
      <c r="Z28"/>
    </row>
    <row r="29" ht="20" customHeight="1">
      <c r="A29" s="505" t="str">
        <v>Organic physical volume - beverages</v>
      </c>
      <c r="B29" s="452"/>
      <c r="C29" s="508" t="n">
        <v>0.02</v>
      </c>
      <c r="D29" s="508" t="n">
        <v>-0.01</v>
      </c>
      <c r="E29" s="508" t="n">
        <v>0.01</v>
      </c>
      <c r="F29" s="508" t="n">
        <v>0.02</v>
      </c>
      <c r="G29" s="508" t="n">
        <v>0</v>
      </c>
      <c r="H29" s="508" t="n">
        <v>0.1</v>
      </c>
      <c r="I29" s="508" t="n">
        <v>0.035</v>
      </c>
      <c r="J29" s="508" t="n">
        <v>-0.01</v>
      </c>
      <c r="K29" s="508" t="n">
        <v>0</v>
      </c>
      <c r="L29" s="508" t="n">
        <v>0</v>
      </c>
      <c r="M29" s="506"/>
      <c r="N29" s="508" t="n">
        <v>0</v>
      </c>
      <c r="O29" s="508" t="n">
        <v>0</v>
      </c>
      <c r="P29" s="508" t="n">
        <v>-0.02</v>
      </c>
      <c r="Q29" s="508" t="n">
        <v>0.01</v>
      </c>
      <c r="R29" s="508" t="n">
        <v>0</v>
      </c>
      <c r="S29" s="508" t="n">
        <v>0</v>
      </c>
      <c r="T29" s="508" t="n">
        <v>-0.01</v>
      </c>
      <c r="U29" s="508" t="n">
        <v>0.01</v>
      </c>
      <c r="V29" s="508" t="n">
        <v>0</v>
      </c>
      <c r="W29" s="508" t="n">
        <v>0.02</v>
      </c>
      <c r="X29" s="508" t="n">
        <v>0.03</v>
      </c>
      <c r="Y29"/>
      <c r="Z29"/>
    </row>
    <row r="30" ht="20" customHeight="1">
      <c r="A30" s="505" t="str">
        <v>Effective net pricing</v>
      </c>
      <c r="B30" s="452"/>
      <c r="C30" s="508" t="n">
        <v>0.02</v>
      </c>
      <c r="D30" s="508" t="n">
        <v>0.03</v>
      </c>
      <c r="E30" s="508" t="n">
        <v>0.03</v>
      </c>
      <c r="F30" s="508" t="n">
        <v>0.04</v>
      </c>
      <c r="G30" s="508" t="n">
        <v>0.02</v>
      </c>
      <c r="H30" s="508" t="n">
        <v>0.05</v>
      </c>
      <c r="I30" s="508" t="n">
        <v>0.14</v>
      </c>
      <c r="J30" s="508" t="n">
        <v>0.13</v>
      </c>
      <c r="K30" s="508" t="n">
        <v>0.04</v>
      </c>
      <c r="L30" s="508" t="n">
        <v>0.04</v>
      </c>
      <c r="M30" s="506"/>
      <c r="N30" s="508" t="n">
        <v>0.05</v>
      </c>
      <c r="O30" s="508" t="n">
        <v>0.05</v>
      </c>
      <c r="P30" s="508" t="n">
        <v>0.03</v>
      </c>
      <c r="Q30" s="508" t="n">
        <v>0.03</v>
      </c>
      <c r="R30" s="508" t="n">
        <v>0.03</v>
      </c>
      <c r="S30" s="508" t="n">
        <v>0.04</v>
      </c>
      <c r="T30" s="508" t="n">
        <v>0.04</v>
      </c>
      <c r="U30" s="508" t="n">
        <v>0.045</v>
      </c>
      <c r="V30" s="508" t="n">
        <v>0.02</v>
      </c>
      <c r="W30" s="508" t="n">
        <v>0.02</v>
      </c>
      <c r="X30" s="508" t="n">
        <v>0.03</v>
      </c>
      <c r="Y30"/>
      <c r="Z30"/>
    </row>
    <row r="31" ht="20" customHeight="1">
      <c r="A31" s="505" t="str">
        <v>FX adjustment to organic revenue growth</v>
      </c>
      <c r="B31" s="452"/>
      <c r="C31" s="508" t="n">
        <v>0.03</v>
      </c>
      <c r="D31" s="508" t="n">
        <v>0</v>
      </c>
      <c r="E31" s="508" t="n">
        <v>0.01</v>
      </c>
      <c r="F31" s="508" t="n">
        <v>0.02</v>
      </c>
      <c r="G31" s="508" t="n">
        <v>0.02</v>
      </c>
      <c r="H31" s="508" t="n">
        <v>-0.01</v>
      </c>
      <c r="I31" s="508" t="n">
        <v>0.03</v>
      </c>
      <c r="J31" s="508" t="n">
        <v>0.02</v>
      </c>
      <c r="K31" s="508" t="n">
        <v>0.015</v>
      </c>
      <c r="L31" s="508" t="n">
        <v>0</v>
      </c>
      <c r="M31" s="506"/>
      <c r="N31" s="508" t="n">
        <v>0.005</v>
      </c>
      <c r="O31" s="508" t="n">
        <v>0.01</v>
      </c>
      <c r="P31" s="508" t="n">
        <v>0.02</v>
      </c>
      <c r="Q31" s="508" t="n">
        <v>0.02</v>
      </c>
      <c r="R31" s="508" t="n">
        <v>0.03</v>
      </c>
      <c r="S31" s="508" t="n">
        <v>0.015</v>
      </c>
      <c r="T31" s="508" t="n">
        <v>-0.005</v>
      </c>
      <c r="U31" s="508" t="n">
        <v>-0.02</v>
      </c>
      <c r="V31" s="508" t="n">
        <v>-0.03</v>
      </c>
      <c r="W31" s="508" t="n">
        <v>-0.02</v>
      </c>
      <c r="X31" s="508" t="n">
        <v>-0.01</v>
      </c>
      <c r="Y31"/>
      <c r="Z31"/>
      <c r="AA31"/>
      <c r="AB31"/>
    </row>
    <row r="32" ht="20" customHeight="1">
      <c r="A32" s="505" t="str">
        <v>Acquisition / divestiture adjustment</v>
      </c>
      <c r="B32" s="452"/>
      <c r="C32" s="508" t="n">
        <v>0</v>
      </c>
      <c r="D32" s="508" t="n">
        <v>0</v>
      </c>
      <c r="E32" s="508" t="n">
        <v>0.01</v>
      </c>
      <c r="F32" s="508" t="n">
        <v>-0.01</v>
      </c>
      <c r="G32" s="508" t="n">
        <v>-0.03</v>
      </c>
      <c r="H32" s="508" t="n">
        <v>-0.02</v>
      </c>
      <c r="I32" s="508" t="n">
        <v>0.04</v>
      </c>
      <c r="J32" s="508" t="n">
        <v>0</v>
      </c>
      <c r="K32" s="508" t="n">
        <v>0</v>
      </c>
      <c r="L32" s="508" t="n">
        <v>-0.01</v>
      </c>
      <c r="M32" s="506"/>
      <c r="N32" s="508" t="n">
        <v>0</v>
      </c>
      <c r="O32" s="508" t="n">
        <v>0</v>
      </c>
      <c r="P32" s="508" t="n">
        <v>0</v>
      </c>
      <c r="Q32" s="508" t="n">
        <v>0</v>
      </c>
      <c r="R32" s="508" t="n">
        <v>0</v>
      </c>
      <c r="S32" s="508" t="n">
        <v>0</v>
      </c>
      <c r="T32" s="508" t="n">
        <v>-0.01</v>
      </c>
      <c r="U32" s="508" t="n">
        <v>-0.01</v>
      </c>
      <c r="V32" s="508" t="n">
        <v>-0.025</v>
      </c>
      <c r="W32" s="508" t="n">
        <v>-0.02</v>
      </c>
      <c r="X32" s="508" t="n">
        <v>-0.02</v>
      </c>
      <c r="Y32"/>
      <c r="Z32"/>
      <c r="AA32"/>
      <c r="AB32"/>
    </row>
    <row r="33" ht="22" customHeight="1">
      <c r="A33" s="502" t="str">
        <v>Capital spending</v>
      </c>
      <c r="B33" s="452"/>
      <c r="C33" s="503" t="n">
        <f>(-1)*'Cash Flow'!C48</f>
        <v>3040</v>
      </c>
      <c r="D33" s="503" t="n">
        <f>(-1)*'Cash Flow'!D48</f>
        <v>2969</v>
      </c>
      <c r="E33" s="503" t="n">
        <f>(-1)*'Cash Flow'!E48</f>
        <v>3282</v>
      </c>
      <c r="F33" s="503" t="n">
        <f>(-1)*'Cash Flow'!F48</f>
        <v>4232</v>
      </c>
      <c r="G33" s="503" t="n">
        <f>(-1)*'Cash Flow'!G48</f>
        <v>4240</v>
      </c>
      <c r="H33" s="503" t="n">
        <f>(-1)*'Cash Flow'!H48</f>
        <v>4625</v>
      </c>
      <c r="I33" s="503" t="n">
        <f>(-1)*'Cash Flow'!I48</f>
        <v>5207</v>
      </c>
      <c r="J33" s="503" t="n">
        <f>(-1)*'Cash Flow'!J48</f>
        <v>5518</v>
      </c>
      <c r="K33" s="503" t="n">
        <f>(-1)*'Cash Flow'!K48</f>
        <v>5318</v>
      </c>
      <c r="L33" s="503" t="n">
        <f>(-1)*'Cash Flow'!L48</f>
        <v>4415</v>
      </c>
      <c r="M33" s="473"/>
      <c r="N33" s="503" t="n">
        <f>(-1)*'Cash Flow'!N114</f>
        <v>614</v>
      </c>
      <c r="O33" s="503" t="n">
        <f>(-1)*'Cash Flow'!O114</f>
        <v>1087</v>
      </c>
      <c r="P33" s="503" t="n">
        <f>(-1)*'Cash Flow'!P114</f>
        <v>1149</v>
      </c>
      <c r="Q33" s="503" t="n">
        <f>(-1)*'Cash Flow'!Q114</f>
        <v>2468</v>
      </c>
      <c r="R33" s="503" t="n">
        <f>(-1)*'Cash Flow'!R114</f>
        <v>603</v>
      </c>
      <c r="S33" s="503" t="n">
        <f>(-1)*'Cash Flow'!S114</f>
        <v>904</v>
      </c>
      <c r="T33" s="503" t="n">
        <f>(-1)*'Cash Flow'!T114</f>
        <v>992</v>
      </c>
      <c r="U33" s="503" t="n">
        <f>(-1)*'Cash Flow'!U114</f>
        <v>1916</v>
      </c>
      <c r="V33" s="503" t="n">
        <f>(-1)*'Cash Flow'!V114</f>
        <v>447</v>
      </c>
      <c r="W33" s="503" t="n">
        <f>(-1)*'Cash Flow'!W114</f>
        <v>819</v>
      </c>
      <c r="X33" s="503" t="n">
        <f>(-1)*'Cash Flow'!X114</f>
        <v>916</v>
      </c>
      <c r="Y33"/>
      <c r="Z33"/>
      <c r="AA33"/>
      <c r="AB33"/>
    </row>
    <row r="34" ht="22" customHeight="1">
      <c r="A34" s="502" t="str">
        <v>Depreciation and amortization</v>
      </c>
      <c r="B34" s="452"/>
      <c r="C34" s="503" t="n">
        <f>'Cash Flow'!C15</f>
        <v>2368</v>
      </c>
      <c r="D34" s="503" t="n">
        <f>'Cash Flow'!D15</f>
        <v>2369</v>
      </c>
      <c r="E34" s="503" t="n">
        <f>'Cash Flow'!E15</f>
        <v>2399</v>
      </c>
      <c r="F34" s="503" t="n">
        <f>'Cash Flow'!F15</f>
        <v>2432</v>
      </c>
      <c r="G34" s="503" t="n">
        <f>'Cash Flow'!G15</f>
        <v>2548</v>
      </c>
      <c r="H34" s="503" t="n">
        <f>'Cash Flow'!H15</f>
        <v>2710</v>
      </c>
      <c r="I34" s="503" t="n">
        <f>'Cash Flow'!I15</f>
        <v>2763</v>
      </c>
      <c r="J34" s="503" t="n">
        <f>'Cash Flow'!J15</f>
        <v>2948</v>
      </c>
      <c r="K34" s="503" t="n">
        <f>'Cash Flow'!K15</f>
        <v>3160</v>
      </c>
      <c r="L34" s="503" t="n">
        <f>'Cash Flow'!L15</f>
        <v>3451</v>
      </c>
      <c r="M34" s="473"/>
      <c r="N34" s="503" t="n">
        <f>'Cash Flow'!N99</f>
        <v>641</v>
      </c>
      <c r="O34" s="503" t="n">
        <f>'Cash Flow'!O99</f>
        <v>738</v>
      </c>
      <c r="P34" s="503" t="n">
        <f>'Cash Flow'!P99</f>
        <v>739</v>
      </c>
      <c r="Q34" s="503" t="n">
        <f>'Cash Flow'!Q99</f>
        <v>1042</v>
      </c>
      <c r="R34" s="503" t="n">
        <f>'Cash Flow'!R99</f>
        <v>684</v>
      </c>
      <c r="S34" s="503" t="n">
        <f>'Cash Flow'!S99</f>
        <v>807</v>
      </c>
      <c r="T34" s="503" t="n">
        <f>'Cash Flow'!T99</f>
        <v>824</v>
      </c>
      <c r="U34" s="503" t="n">
        <f>'Cash Flow'!U99</f>
        <v>1136</v>
      </c>
      <c r="V34" s="503" t="n">
        <f>'Cash Flow'!V99</f>
        <v>742</v>
      </c>
      <c r="W34" s="503" t="n">
        <f>'Cash Flow'!W99</f>
        <v>897</v>
      </c>
      <c r="X34" s="503" t="n">
        <f>'Cash Flow'!X99</f>
        <v>892</v>
      </c>
      <c r="Y34"/>
      <c r="Z34"/>
    </row>
    <row r="35" ht="20" customHeight="1">
      <c r="A35" s="505" t="str">
        <v>Capital spending / net revenue</v>
      </c>
      <c r="B35" s="452"/>
      <c r="C35" s="476" t="n">
        <f>IF('Operating Metrics'!C19=0,"",'Operating Metrics'!C33/'Operating Metrics'!C19)</f>
        <v>0.04840841414672208</v>
      </c>
      <c r="D35" s="476" t="n">
        <f>IF('Operating Metrics'!D19=0,"",'Operating Metrics'!D33/'Operating Metrics'!D19)</f>
        <v>0.0467375049193231</v>
      </c>
      <c r="E35" s="476" t="n">
        <f>IF('Operating Metrics'!E19=0,"",'Operating Metrics'!E33/'Operating Metrics'!E19)</f>
        <v>0.05075702510013764</v>
      </c>
      <c r="F35" s="476" t="n">
        <f>IF('Operating Metrics'!F19=0,"",'Operating Metrics'!F33/'Operating Metrics'!F19)</f>
        <v>0.06301276038176919</v>
      </c>
      <c r="G35" s="476" t="n">
        <f>IF('Operating Metrics'!G19=0,"",'Operating Metrics'!G33/'Operating Metrics'!G19)</f>
        <v>0.060251236287159664</v>
      </c>
      <c r="H35" s="476" t="n">
        <f>IF('Operating Metrics'!H19=0,"",'Operating Metrics'!H33/'Operating Metrics'!H19)</f>
        <v>0.05819513299947152</v>
      </c>
      <c r="I35" s="476" t="n">
        <f>IF('Operating Metrics'!I19=0,"",'Operating Metrics'!I33/'Operating Metrics'!I19)</f>
        <v>0.06027178442448375</v>
      </c>
      <c r="J35" s="476" t="n">
        <f>IF('Operating Metrics'!J19=0,"",'Operating Metrics'!J33/'Operating Metrics'!J19)</f>
        <v>0.060325130369188046</v>
      </c>
      <c r="K35" s="476" t="n">
        <f>IF('Operating Metrics'!K19=0,"",'Operating Metrics'!K33/'Operating Metrics'!K19)</f>
        <v>0.057896226620506454</v>
      </c>
      <c r="L35" s="476" t="n">
        <f>IF('Operating Metrics'!L19=0,"",'Operating Metrics'!L33/'Operating Metrics'!L19)</f>
        <v>0.0470055895661432</v>
      </c>
      <c r="M35" s="506"/>
      <c r="N35" s="476" t="n">
        <f>IF('Operating Metrics'!N19=0,"",'Operating Metrics'!N33/'Operating Metrics'!N19)</f>
        <v>0.033643835616438356</v>
      </c>
      <c r="O35" s="476" t="n">
        <f>IF('Operating Metrics'!O19=0,"",'Operating Metrics'!O33/'Operating Metrics'!O19)</f>
        <v>0.048308964046042395</v>
      </c>
      <c r="P35" s="476" t="n">
        <f>IF('Operating Metrics'!P19=0,"",'Operating Metrics'!P33/'Operating Metrics'!P19)</f>
        <v>0.049273124919593465</v>
      </c>
      <c r="Q35" s="476" t="n">
        <f>IF('Operating Metrics'!Q19=0,"",'Operating Metrics'!Q33/'Operating Metrics'!Q19)</f>
        <v>0.08882810250503888</v>
      </c>
      <c r="R35" s="476" t="n">
        <f>IF('Operating Metrics'!R19=0,"",'Operating Metrics'!R33/'Operating Metrics'!R19)</f>
        <v>0.03365143144148669</v>
      </c>
      <c r="S35" s="476" t="n">
        <f>IF('Operating Metrics'!S19=0,"",'Operating Metrics'!S33/'Operating Metrics'!S19)</f>
        <v>0.03977822758074452</v>
      </c>
      <c r="T35" s="476" t="n">
        <f>IF('Operating Metrics'!T19=0,"",'Operating Metrics'!T33/'Operating Metrics'!T19)</f>
        <v>0.041442118895433845</v>
      </c>
      <c r="U35" s="476" t="n">
        <f>IF('Operating Metrics'!U19=0,"",'Operating Metrics'!U33/'Operating Metrics'!U19)</f>
        <v>0.06529666359949562</v>
      </c>
      <c r="V35" s="476" t="n">
        <f>IF('Operating Metrics'!V19=0,"",'Operating Metrics'!V33/'Operating Metrics'!V19)</f>
        <v>0.022990279277889214</v>
      </c>
      <c r="W35" s="476" t="n">
        <f>IF('Operating Metrics'!W19=0,"",'Operating Metrics'!W33/'Operating Metrics'!W19)</f>
        <v>0.03386956701542533</v>
      </c>
      <c r="X35" s="476" t="n">
        <f>IF('Operating Metrics'!X19=0,"",'Operating Metrics'!X33/'Operating Metrics'!X19)</f>
        <v>0.03624277914061882</v>
      </c>
      <c r="Y35"/>
      <c r="Z35"/>
    </row>
    <row r="36" ht="22" customHeight="1">
      <c r="A36" s="502" t="str">
        <v>Capital spending / D&amp;A</v>
      </c>
      <c r="B36" s="452"/>
      <c r="C36" s="492" t="n">
        <f>IF('Operating Metrics'!C34=0,"",'Operating Metrics'!C33/'Operating Metrics'!C34)</f>
        <v>1.2837837837837838</v>
      </c>
      <c r="D36" s="492" t="n">
        <f>IF('Operating Metrics'!D34=0,"",'Operating Metrics'!D33/'Operating Metrics'!D34)</f>
        <v>1.2532714225411565</v>
      </c>
      <c r="E36" s="492" t="n">
        <f>IF('Operating Metrics'!E34=0,"",'Operating Metrics'!E33/'Operating Metrics'!E34)</f>
        <v>1.3680700291788246</v>
      </c>
      <c r="F36" s="492" t="n">
        <f>IF('Operating Metrics'!F34=0,"",'Operating Metrics'!F33/'Operating Metrics'!F34)</f>
        <v>1.7401315789473684</v>
      </c>
      <c r="G36" s="492" t="n">
        <f>IF('Operating Metrics'!G34=0,"",'Operating Metrics'!G33/'Operating Metrics'!G34)</f>
        <v>1.664050235478807</v>
      </c>
      <c r="H36" s="492" t="n">
        <f>IF('Operating Metrics'!H34=0,"",'Operating Metrics'!H33/'Operating Metrics'!H34)</f>
        <v>1.7066420664206643</v>
      </c>
      <c r="I36" s="492" t="n">
        <f>IF('Operating Metrics'!I34=0,"",'Operating Metrics'!I33/'Operating Metrics'!I34)</f>
        <v>1.8845457835685848</v>
      </c>
      <c r="J36" s="492" t="n">
        <f>IF('Operating Metrics'!J34=0,"",'Operating Metrics'!J33/'Operating Metrics'!J34)</f>
        <v>1.8717774762550883</v>
      </c>
      <c r="K36" s="492" t="n">
        <f>IF('Operating Metrics'!K34=0,"",'Operating Metrics'!K33/'Operating Metrics'!K34)</f>
        <v>1.6829113924050634</v>
      </c>
      <c r="L36" s="492" t="n">
        <f>IF('Operating Metrics'!L34=0,"",'Operating Metrics'!L33/'Operating Metrics'!L34)</f>
        <v>1.2793393219356708</v>
      </c>
      <c r="M36" s="492"/>
      <c r="N36" s="492" t="n">
        <f>IF('Operating Metrics'!N34=0,"",'Operating Metrics'!N33/'Operating Metrics'!N34)</f>
        <v>0.9578783151326054</v>
      </c>
      <c r="O36" s="492" t="n">
        <f>IF('Operating Metrics'!O34=0,"",'Operating Metrics'!O33/'Operating Metrics'!O34)</f>
        <v>1.47289972899729</v>
      </c>
      <c r="P36" s="492" t="n">
        <f>IF('Operating Metrics'!P34=0,"",'Operating Metrics'!P33/'Operating Metrics'!P34)</f>
        <v>1.5548037889039241</v>
      </c>
      <c r="Q36" s="492" t="n">
        <f>IF('Operating Metrics'!Q34=0,"",'Operating Metrics'!Q33/'Operating Metrics'!Q34)</f>
        <v>2.3685220729366603</v>
      </c>
      <c r="R36" s="492" t="n">
        <f>IF('Operating Metrics'!R34=0,"",'Operating Metrics'!R33/'Operating Metrics'!R34)</f>
        <v>0.881578947368421</v>
      </c>
      <c r="S36" s="492" t="n">
        <f>IF('Operating Metrics'!S34=0,"",'Operating Metrics'!S33/'Operating Metrics'!S34)</f>
        <v>1.1201982651796778</v>
      </c>
      <c r="T36" s="492" t="n">
        <f>IF('Operating Metrics'!T34=0,"",'Operating Metrics'!T33/'Operating Metrics'!T34)</f>
        <v>1.203883495145631</v>
      </c>
      <c r="U36" s="492" t="n">
        <f>IF('Operating Metrics'!U34=0,"",'Operating Metrics'!U33/'Operating Metrics'!U34)</f>
        <v>1.6866197183098592</v>
      </c>
      <c r="V36" s="492" t="n">
        <f>IF('Operating Metrics'!V34=0,"",'Operating Metrics'!V33/'Operating Metrics'!V34)</f>
        <v>0.6024258760107817</v>
      </c>
      <c r="W36" s="492" t="n">
        <f>IF('Operating Metrics'!W34=0,"",'Operating Metrics'!W33/'Operating Metrics'!W34)</f>
        <v>0.9130434782608695</v>
      </c>
      <c r="X36" s="492" t="n">
        <f>IF('Operating Metrics'!X34=0,"",'Operating Metrics'!X33/'Operating Metrics'!X34)</f>
        <v>1.0269058295964126</v>
      </c>
      <c r="Y36"/>
      <c r="Z36"/>
    </row>
    <row r="37" ht="22" customHeight="1">
      <c r="A37" s="452"/>
      <c r="B37" s="452"/>
      <c r="C37" s="452"/>
      <c r="D37" s="452"/>
      <c r="E37" s="452"/>
      <c r="F37" s="452"/>
      <c r="G37" s="452"/>
      <c r="H37" s="452"/>
      <c r="I37" s="452"/>
      <c r="J37" s="452"/>
      <c r="K37" s="452"/>
      <c r="L37" s="452"/>
      <c r="M37" s="452"/>
      <c r="N37" s="452"/>
      <c r="O37" s="452"/>
      <c r="P37" s="452"/>
      <c r="Q37" s="452"/>
      <c r="R37" s="452"/>
      <c r="S37" s="452"/>
      <c r="T37" s="452"/>
      <c r="U37" s="452"/>
      <c r="V37" s="452"/>
      <c r="W37" s="452"/>
      <c r="X37" s="452"/>
      <c r="Y37"/>
      <c r="Z37"/>
    </row>
    <row r="38" ht="22" customHeight="1">
      <c r="A38" s="452"/>
      <c r="B38" s="452"/>
      <c r="C38" s="452"/>
      <c r="D38" s="452"/>
      <c r="E38" s="452"/>
      <c r="F38" s="452"/>
      <c r="G38" s="452"/>
      <c r="H38" s="452"/>
      <c r="I38" s="452"/>
      <c r="J38" s="452"/>
      <c r="K38" s="452"/>
      <c r="L38" s="452"/>
      <c r="M38" s="452"/>
      <c r="N38" s="452"/>
      <c r="O38" s="452"/>
      <c r="P38" s="452"/>
      <c r="Q38" s="452"/>
      <c r="R38" s="452"/>
      <c r="S38" s="452"/>
      <c r="T38" s="452"/>
      <c r="U38" s="452"/>
      <c r="V38" s="452"/>
      <c r="W38" s="452"/>
      <c r="X38" s="452"/>
      <c r="Y38"/>
      <c r="Z38"/>
    </row>
    <row r="39" ht="22" customHeight="1">
      <c r="A39" s="460" t="str">
        <v>Current six segments - annual and quarterly trends</v>
      </c>
      <c r="B39" s="460"/>
      <c r="C39" s="460"/>
      <c r="D39" s="460"/>
      <c r="E39" s="460"/>
      <c r="F39" s="460"/>
      <c r="G39" s="460"/>
      <c r="H39" s="460"/>
      <c r="I39" s="460"/>
      <c r="J39" s="460"/>
      <c r="K39" s="460"/>
      <c r="L39" s="460"/>
      <c r="M39" s="460"/>
      <c r="N39" s="460"/>
      <c r="O39" s="460"/>
      <c r="P39" s="460"/>
      <c r="Q39" s="460"/>
      <c r="R39" s="460"/>
      <c r="S39" s="460"/>
      <c r="T39" s="460"/>
      <c r="U39" s="460"/>
      <c r="V39" s="460"/>
      <c r="W39" s="460"/>
      <c r="X39" s="460"/>
      <c r="Y39"/>
      <c r="Z39"/>
    </row>
    <row r="40" ht="36" customHeight="1">
      <c r="A40" s="490" t="str">
        <v>Current reporting structure; annual amounts recast to FY2022. Segment Core profit is available from FY2023. Q4 additive amounts use matching annual less Q1-Q3; missing component splits stay blank. Core excludes company-defined adjustments. See selected charges below for capital-allocation context.</v>
      </c>
      <c r="B40" s="490"/>
      <c r="C40" s="490"/>
      <c r="D40" s="490"/>
      <c r="E40" s="490"/>
      <c r="F40" s="490"/>
      <c r="G40" s="490"/>
      <c r="H40" s="490"/>
      <c r="I40" s="490"/>
      <c r="J40" s="490"/>
      <c r="K40" s="490"/>
      <c r="L40" s="490"/>
      <c r="M40" s="490"/>
      <c r="N40" s="490"/>
      <c r="O40" s="490"/>
      <c r="P40" s="490"/>
      <c r="Q40" s="490"/>
      <c r="R40" s="490"/>
      <c r="S40" s="490"/>
      <c r="T40" s="490"/>
      <c r="U40" s="490"/>
      <c r="V40" s="490"/>
      <c r="W40" s="490"/>
      <c r="X40" s="490"/>
      <c r="Y40"/>
      <c r="Z40"/>
    </row>
    <row r="41" ht="24" customHeight="1">
      <c r="A41" s="462" t="str">
        <v>Metric / reporting scope</v>
      </c>
      <c r="B41" s="452"/>
      <c r="C41" s="463" t="str">
        <v>FY2022</v>
      </c>
      <c r="D41" s="463" t="str">
        <v>FY2023</v>
      </c>
      <c r="E41" s="463" t="str">
        <v>FY2024</v>
      </c>
      <c r="F41" s="463" t="str">
        <v>FY2025</v>
      </c>
      <c r="G41" s="452"/>
      <c r="H41" s="470" t="str">
        <v>FY2024Q1</v>
      </c>
      <c r="I41" s="470" t="str">
        <v>FY2024Q2</v>
      </c>
      <c r="J41" s="470" t="str">
        <v>FY2024Q3</v>
      </c>
      <c r="K41" s="470" t="str">
        <v>FY2024Q4</v>
      </c>
      <c r="L41" s="470" t="str">
        <v>FY2025Q1</v>
      </c>
      <c r="M41" s="470" t="str">
        <v>FY2025Q2</v>
      </c>
      <c r="N41" s="470" t="str">
        <v>FY2025Q3</v>
      </c>
      <c r="O41" s="470" t="str">
        <v>FY2025Q4</v>
      </c>
      <c r="P41" s="470" t="str">
        <v>FY2026Q1</v>
      </c>
      <c r="Q41" s="470" t="str">
        <v>FY2026Q2</v>
      </c>
      <c r="R41" s="470" t="str">
        <v>FY2026Q3</v>
      </c>
      <c r="S41" s="452"/>
      <c r="T41" s="452"/>
      <c r="U41" s="452"/>
      <c r="V41" s="452"/>
      <c r="W41" s="452"/>
      <c r="X41" s="452"/>
      <c r="Y41"/>
      <c r="Z41"/>
    </row>
    <row r="42" ht="18" customHeight="1">
      <c r="A42" s="452"/>
      <c r="B42" s="452"/>
      <c r="C42" s="501" t="d">
        <v>2022-12-31T00:00:00.000Z</v>
      </c>
      <c r="D42" s="501" t="d">
        <v>2023-12-30T00:00:00.000Z</v>
      </c>
      <c r="E42" s="501" t="d">
        <v>2024-12-28T00:00:00.000Z</v>
      </c>
      <c r="F42" s="501" t="d">
        <v>2025-12-27T00:00:00.000Z</v>
      </c>
      <c r="G42" s="452"/>
      <c r="H42" s="501" t="d">
        <v>2024-03-23T00:00:00.000Z</v>
      </c>
      <c r="I42" s="501" t="d">
        <v>2024-06-15T00:00:00.000Z</v>
      </c>
      <c r="J42" s="501" t="d">
        <v>2024-09-07T00:00:00.000Z</v>
      </c>
      <c r="K42" s="501" t="d">
        <v>2024-12-28T00:00:00.000Z</v>
      </c>
      <c r="L42" s="501" t="d">
        <v>2025-03-22T00:00:00.000Z</v>
      </c>
      <c r="M42" s="501" t="d">
        <v>2025-06-14T00:00:00.000Z</v>
      </c>
      <c r="N42" s="501" t="d">
        <v>2025-09-06T00:00:00.000Z</v>
      </c>
      <c r="O42" s="501" t="d">
        <v>2025-12-27T00:00:00.000Z</v>
      </c>
      <c r="P42" s="501" t="d">
        <v>2026-03-21T00:00:00.000Z</v>
      </c>
      <c r="Q42" s="501" t="d">
        <v>2026-06-13T00:00:00.000Z</v>
      </c>
      <c r="R42" s="501" t="d">
        <v>2026-09-05T00:00:00.000Z</v>
      </c>
      <c r="S42" s="452"/>
      <c r="T42" s="452"/>
      <c r="U42" s="452"/>
      <c r="V42" s="452"/>
      <c r="W42" s="452"/>
      <c r="X42" s="452"/>
      <c r="Y42"/>
      <c r="Z42"/>
    </row>
    <row r="43" ht="24" customHeight="1">
      <c r="A43" s="477" t="str">
        <v>PFNA</v>
      </c>
      <c r="B43" s="477"/>
      <c r="C43" s="477"/>
      <c r="D43" s="477"/>
      <c r="E43" s="477"/>
      <c r="F43" s="477"/>
      <c r="G43" s="477"/>
      <c r="H43" s="477"/>
      <c r="I43" s="477"/>
      <c r="J43" s="477"/>
      <c r="K43" s="477"/>
      <c r="L43" s="477"/>
      <c r="M43" s="477"/>
      <c r="N43" s="477"/>
      <c r="O43" s="477"/>
      <c r="P43" s="477"/>
      <c r="Q43" s="477"/>
      <c r="R43" s="477"/>
      <c r="S43" s="477"/>
      <c r="T43" s="477"/>
      <c r="U43" s="477"/>
      <c r="V43" s="477"/>
      <c r="W43" s="477"/>
      <c r="X43" s="477"/>
      <c r="Y43"/>
      <c r="Z43"/>
    </row>
    <row r="44" ht="22" customHeight="1">
      <c r="A44" s="502" t="str">
        <v>Net revenue</v>
      </c>
      <c r="B44" s="452"/>
      <c r="C44" s="507" t="n">
        <v>26451</v>
      </c>
      <c r="D44" s="507" t="n">
        <v>28015</v>
      </c>
      <c r="E44" s="507" t="n">
        <v>27431</v>
      </c>
      <c r="F44" s="507" t="n">
        <v>27528</v>
      </c>
      <c r="G44" s="473"/>
      <c r="H44" s="507" t="n">
        <v>6269</v>
      </c>
      <c r="I44" s="507" t="n">
        <v>6435</v>
      </c>
      <c r="J44" s="507" t="n">
        <v>6536</v>
      </c>
      <c r="K44" s="507" t="n">
        <v>8191</v>
      </c>
      <c r="L44" s="507" t="n">
        <v>6213</v>
      </c>
      <c r="M44" s="507" t="n">
        <v>6476</v>
      </c>
      <c r="N44" s="507" t="n">
        <v>6526</v>
      </c>
      <c r="O44" s="507" t="n">
        <v>8313</v>
      </c>
      <c r="P44" s="507" t="n">
        <v>6332</v>
      </c>
      <c r="Q44" s="507" t="n">
        <v>6368</v>
      </c>
      <c r="R44" s="507" t="n">
        <v>6504</v>
      </c>
      <c r="S44" s="473"/>
      <c r="T44" s="473"/>
      <c r="U44" s="473"/>
      <c r="V44" s="473"/>
      <c r="W44" s="473"/>
      <c r="X44" s="473"/>
      <c r="Y44"/>
      <c r="Z44"/>
    </row>
    <row r="45" ht="20" customHeight="1">
      <c r="A45" s="505" t="str">
        <v>Net revenue YoY</v>
      </c>
      <c r="B45" s="452"/>
      <c r="C45" s="506"/>
      <c r="D45" s="476" t="n">
        <f>IF(OR('Operating Metrics'!C44&lt;=0,'Operating Metrics'!D44&lt;0),"",'Operating Metrics'!D44/'Operating Metrics'!C44-1)</f>
        <v>0.05912819931193525</v>
      </c>
      <c r="E45" s="476" t="n">
        <f>IF(OR('Operating Metrics'!D44&lt;=0,'Operating Metrics'!E44&lt;0),"",'Operating Metrics'!E44/'Operating Metrics'!D44-1)</f>
        <v>-0.020845975370337277</v>
      </c>
      <c r="F45" s="476" t="n">
        <f>IF(OR('Operating Metrics'!E44&lt;=0,'Operating Metrics'!F44&lt;0),"",'Operating Metrics'!F44/'Operating Metrics'!E44-1)</f>
        <v>0.00353614523714052</v>
      </c>
      <c r="G45" s="506"/>
      <c r="H45" s="506"/>
      <c r="I45" s="506"/>
      <c r="J45" s="506"/>
      <c r="K45" s="506"/>
      <c r="L45" s="476" t="n">
        <f>IF(OR('Operating Metrics'!H44&lt;=0,'Operating Metrics'!L44&lt;0),"",'Operating Metrics'!L44/'Operating Metrics'!H44-1)</f>
        <v>-0.00893284415377249</v>
      </c>
      <c r="M45" s="476" t="n">
        <f>IF(OR('Operating Metrics'!I44&lt;=0,'Operating Metrics'!M44&lt;0),"",'Operating Metrics'!M44/'Operating Metrics'!I44-1)</f>
        <v>0.0063714063714064295</v>
      </c>
      <c r="N45" s="476" t="n">
        <f>IF(OR('Operating Metrics'!J44&lt;=0,'Operating Metrics'!N44&lt;0),"",'Operating Metrics'!N44/'Operating Metrics'!J44-1)</f>
        <v>-0.0015299877600979395</v>
      </c>
      <c r="O45" s="476" t="n">
        <f>IF(OR('Operating Metrics'!K44&lt;=0,'Operating Metrics'!O44&lt;0),"",'Operating Metrics'!O44/'Operating Metrics'!K44-1)</f>
        <v>0.014894396288609446</v>
      </c>
      <c r="P45" s="476" t="n">
        <f>IF(OR('Operating Metrics'!L44&lt;=0,'Operating Metrics'!P44&lt;0),"",'Operating Metrics'!P44/'Operating Metrics'!L44-1)</f>
        <v>0.01915338805729916</v>
      </c>
      <c r="Q45" s="476" t="n">
        <f>IF(OR('Operating Metrics'!M44&lt;=0,'Operating Metrics'!Q44&lt;0),"",'Operating Metrics'!Q44/'Operating Metrics'!M44-1)</f>
        <v>-0.016676961087090825</v>
      </c>
      <c r="R45" s="476" t="n">
        <f>IF(OR('Operating Metrics'!N44&lt;=0,'Operating Metrics'!R44&lt;0),"",'Operating Metrics'!R44/'Operating Metrics'!N44-1)</f>
        <v>-0.0033711308611706903</v>
      </c>
      <c r="S45" s="506"/>
      <c r="T45" s="506"/>
      <c r="U45" s="506"/>
      <c r="V45" s="506"/>
      <c r="W45" s="506"/>
      <c r="X45" s="506"/>
      <c r="Y45"/>
      <c r="Z45"/>
    </row>
    <row r="46" ht="22" customHeight="1">
      <c r="A46" s="502" t="str">
        <v>Reported operating profit</v>
      </c>
      <c r="B46" s="452"/>
      <c r="C46" s="507" t="n">
        <v>6739</v>
      </c>
      <c r="D46" s="507" t="n">
        <v>7247</v>
      </c>
      <c r="E46" s="507" t="n">
        <v>6619</v>
      </c>
      <c r="F46" s="507" t="n">
        <v>6173</v>
      </c>
      <c r="G46" s="473"/>
      <c r="H46" s="507" t="n">
        <v>1505</v>
      </c>
      <c r="I46" s="507" t="n">
        <v>1677</v>
      </c>
      <c r="J46" s="507" t="n">
        <v>1620</v>
      </c>
      <c r="K46" s="507" t="n">
        <v>1817</v>
      </c>
      <c r="L46" s="507" t="n">
        <v>1536</v>
      </c>
      <c r="M46" s="507" t="n">
        <v>1391</v>
      </c>
      <c r="N46" s="507" t="n">
        <v>1536</v>
      </c>
      <c r="O46" s="507" t="n">
        <v>1710</v>
      </c>
      <c r="P46" s="507" t="n">
        <v>1429</v>
      </c>
      <c r="Q46" s="507" t="n">
        <v>1342</v>
      </c>
      <c r="R46" s="507" t="n">
        <v>1333</v>
      </c>
      <c r="S46" s="473"/>
      <c r="T46" s="473"/>
      <c r="U46" s="473"/>
      <c r="V46" s="473"/>
      <c r="W46" s="473"/>
      <c r="X46" s="473"/>
      <c r="Y46"/>
      <c r="Z46"/>
    </row>
    <row r="47" ht="22" customHeight="1">
      <c r="A47" s="502" t="str">
        <v>Core operating profit</v>
      </c>
      <c r="B47" s="452"/>
      <c r="C47" s="473"/>
      <c r="D47" s="507" t="n">
        <v>7425</v>
      </c>
      <c r="E47" s="507" t="n">
        <v>6982</v>
      </c>
      <c r="F47" s="507" t="n">
        <v>6545</v>
      </c>
      <c r="G47" s="473"/>
      <c r="H47" s="507" t="n">
        <v>1698</v>
      </c>
      <c r="I47" s="507" t="n">
        <v>1705</v>
      </c>
      <c r="J47" s="507" t="n">
        <v>1627</v>
      </c>
      <c r="K47" s="507" t="n">
        <v>1952</v>
      </c>
      <c r="L47" s="507" t="n">
        <v>1575</v>
      </c>
      <c r="M47" s="507" t="n">
        <v>1488</v>
      </c>
      <c r="N47" s="507" t="n">
        <v>1570</v>
      </c>
      <c r="O47" s="507" t="n">
        <v>1912</v>
      </c>
      <c r="P47" s="507" t="n">
        <v>1505</v>
      </c>
      <c r="Q47" s="507" t="n">
        <v>1369</v>
      </c>
      <c r="R47" s="507" t="n">
        <v>1382</v>
      </c>
      <c r="S47" s="473"/>
      <c r="T47" s="473"/>
      <c r="U47" s="473"/>
      <c r="V47" s="473"/>
      <c r="W47" s="473"/>
      <c r="X47" s="473"/>
      <c r="Y47"/>
      <c r="Z47"/>
    </row>
    <row r="48" ht="20" customHeight="1">
      <c r="A48" s="505" t="str">
        <v>Core operating profit YoY</v>
      </c>
      <c r="B48" s="452"/>
      <c r="C48" s="506"/>
      <c r="D48" s="506"/>
      <c r="E48" s="476" t="n">
        <f>IF(OR('Operating Metrics'!D47&lt;=0,'Operating Metrics'!E47&lt;0),"",'Operating Metrics'!E47/'Operating Metrics'!D47-1)</f>
        <v>-0.05966329966329964</v>
      </c>
      <c r="F48" s="476" t="n">
        <f>IF(OR('Operating Metrics'!E47&lt;=0,'Operating Metrics'!F47&lt;0),"",'Operating Metrics'!F47/'Operating Metrics'!E47-1)</f>
        <v>-0.06258951589802353</v>
      </c>
      <c r="G48" s="506"/>
      <c r="H48" s="506"/>
      <c r="I48" s="506"/>
      <c r="J48" s="506"/>
      <c r="K48" s="506"/>
      <c r="L48" s="476" t="n">
        <f>IF(OR('Operating Metrics'!H47&lt;=0,'Operating Metrics'!L47&lt;0),"",'Operating Metrics'!L47/'Operating Metrics'!H47-1)</f>
        <v>-0.07243816254416957</v>
      </c>
      <c r="M48" s="476" t="n">
        <f>IF(OR('Operating Metrics'!I47&lt;=0,'Operating Metrics'!M47&lt;0),"",'Operating Metrics'!M47/'Operating Metrics'!I47-1)</f>
        <v>-0.12727272727272732</v>
      </c>
      <c r="N48" s="476" t="n">
        <f>IF(OR('Operating Metrics'!J47&lt;=0,'Operating Metrics'!N47&lt;0),"",'Operating Metrics'!N47/'Operating Metrics'!J47-1)</f>
        <v>-0.03503380454824834</v>
      </c>
      <c r="O48" s="476" t="n">
        <f>IF(OR('Operating Metrics'!K47&lt;=0,'Operating Metrics'!O47&lt;0),"",'Operating Metrics'!O47/'Operating Metrics'!K47-1)</f>
        <v>-0.020491803278688492</v>
      </c>
      <c r="P48" s="476" t="n">
        <f>IF(OR('Operating Metrics'!L47&lt;=0,'Operating Metrics'!P47&lt;0),"",'Operating Metrics'!P47/'Operating Metrics'!L47-1)</f>
        <v>-0.0444444444444444</v>
      </c>
      <c r="Q48" s="476" t="n">
        <f>IF(OR('Operating Metrics'!M47&lt;=0,'Operating Metrics'!Q47&lt;0),"",'Operating Metrics'!Q47/'Operating Metrics'!M47-1)</f>
        <v>-0.07997311827956988</v>
      </c>
      <c r="R48" s="476" t="n">
        <f>IF(OR('Operating Metrics'!N47&lt;=0,'Operating Metrics'!R47&lt;0),"",'Operating Metrics'!R47/'Operating Metrics'!N47-1)</f>
        <v>-0.11974522292993628</v>
      </c>
      <c r="S48" s="506"/>
      <c r="T48" s="506"/>
      <c r="U48" s="506"/>
      <c r="V48" s="506"/>
      <c r="W48" s="506"/>
      <c r="X48" s="506"/>
      <c r="Y48"/>
      <c r="Z48"/>
    </row>
    <row r="49" ht="20" customHeight="1">
      <c r="A49" s="505" t="str">
        <v>Core operating margin</v>
      </c>
      <c r="B49" s="452"/>
      <c r="C49" s="506"/>
      <c r="D49" s="476" t="n">
        <f>IF('Operating Metrics'!D44=0,"",'Operating Metrics'!D47/'Operating Metrics'!D44)</f>
        <v>0.265036587542388</v>
      </c>
      <c r="E49" s="476" t="n">
        <f>IF('Operating Metrics'!E44=0,"",'Operating Metrics'!E47/'Operating Metrics'!E44)</f>
        <v>0.2545295468630382</v>
      </c>
      <c r="F49" s="476" t="n">
        <f>IF('Operating Metrics'!F44=0,"",'Operating Metrics'!F47/'Operating Metrics'!F44)</f>
        <v>0.23775791920953213</v>
      </c>
      <c r="G49" s="506"/>
      <c r="H49" s="476" t="n">
        <f>IF('Operating Metrics'!H44=0,"",'Operating Metrics'!H47/'Operating Metrics'!H44)</f>
        <v>0.2708565959483171</v>
      </c>
      <c r="I49" s="476" t="n">
        <f>IF('Operating Metrics'!I44=0,"",'Operating Metrics'!I47/'Operating Metrics'!I44)</f>
        <v>0.26495726495726496</v>
      </c>
      <c r="J49" s="476" t="n">
        <f>IF('Operating Metrics'!J44=0,"",'Operating Metrics'!J47/'Operating Metrics'!J44)</f>
        <v>0.24892900856793146</v>
      </c>
      <c r="K49" s="476" t="n">
        <f>IF('Operating Metrics'!K44=0,"",'Operating Metrics'!K47/'Operating Metrics'!K44)</f>
        <v>0.2383103406177512</v>
      </c>
      <c r="L49" s="476" t="n">
        <f>IF('Operating Metrics'!L44=0,"",'Operating Metrics'!L47/'Operating Metrics'!L44)</f>
        <v>0.2535007242877837</v>
      </c>
      <c r="M49" s="476" t="n">
        <f>IF('Operating Metrics'!M44=0,"",'Operating Metrics'!M47/'Operating Metrics'!M44)</f>
        <v>0.2297714638665843</v>
      </c>
      <c r="N49" s="476" t="n">
        <f>IF('Operating Metrics'!N44=0,"",'Operating Metrics'!N47/'Operating Metrics'!N44)</f>
        <v>0.24057615691081827</v>
      </c>
      <c r="O49" s="476" t="n">
        <f>IF('Operating Metrics'!O44=0,"",'Operating Metrics'!O47/'Operating Metrics'!O44)</f>
        <v>0.2300012029351618</v>
      </c>
      <c r="P49" s="476" t="n">
        <f>IF('Operating Metrics'!P44=0,"",'Operating Metrics'!P47/'Operating Metrics'!P44)</f>
        <v>0.23768161718256475</v>
      </c>
      <c r="Q49" s="476" t="n">
        <f>IF('Operating Metrics'!Q44=0,"",'Operating Metrics'!Q47/'Operating Metrics'!Q44)</f>
        <v>0.21498115577889448</v>
      </c>
      <c r="R49" s="476" t="n">
        <f>IF('Operating Metrics'!R44=0,"",'Operating Metrics'!R47/'Operating Metrics'!R44)</f>
        <v>0.21248462484624847</v>
      </c>
      <c r="S49" s="506"/>
      <c r="T49" s="506"/>
      <c r="U49" s="506"/>
      <c r="V49" s="506"/>
      <c r="W49" s="506"/>
      <c r="X49" s="506"/>
      <c r="Y49"/>
      <c r="Z49"/>
    </row>
    <row r="50" ht="20" customHeight="1">
      <c r="A50" s="505" t="str">
        <v>Organic revenue growth</v>
      </c>
      <c r="B50" s="452"/>
      <c r="C50" s="506"/>
      <c r="D50" s="508" t="n">
        <v>0.08</v>
      </c>
      <c r="E50" s="508" t="n">
        <v>-0.02</v>
      </c>
      <c r="F50" s="508" t="n">
        <v>-0.02</v>
      </c>
      <c r="G50" s="506"/>
      <c r="H50" s="508" t="n">
        <v>-0.015</v>
      </c>
      <c r="I50" s="508" t="n">
        <v>-0.02</v>
      </c>
      <c r="J50" s="508" t="n">
        <v>-0.02</v>
      </c>
      <c r="K50" s="508" t="n">
        <v>-0.02</v>
      </c>
      <c r="L50" s="508" t="n">
        <v>-0.02</v>
      </c>
      <c r="M50" s="508" t="n">
        <v>-0.02</v>
      </c>
      <c r="N50" s="508" t="n">
        <v>-0.03</v>
      </c>
      <c r="O50" s="508" t="n">
        <v>-0.01</v>
      </c>
      <c r="P50" s="508" t="n">
        <v>0.01</v>
      </c>
      <c r="Q50" s="508" t="n">
        <v>-0.02</v>
      </c>
      <c r="R50" s="508" t="n">
        <v>0</v>
      </c>
      <c r="S50" s="506"/>
      <c r="T50" s="506"/>
      <c r="U50" s="506"/>
      <c r="V50" s="506"/>
      <c r="W50" s="506"/>
      <c r="X50" s="506"/>
      <c r="Y50"/>
      <c r="Z50"/>
    </row>
    <row r="51" ht="20" customHeight="1">
      <c r="A51" s="505" t="str">
        <v>Organic physical volume - foods</v>
      </c>
      <c r="B51" s="452"/>
      <c r="C51" s="506"/>
      <c r="D51" s="508" t="n">
        <v>-0.02</v>
      </c>
      <c r="E51" s="508" t="n">
        <v>-0.05</v>
      </c>
      <c r="F51" s="508" t="n">
        <v>-0.02</v>
      </c>
      <c r="G51" s="506"/>
      <c r="H51" s="508" t="n">
        <v>-0.07</v>
      </c>
      <c r="I51" s="508" t="n">
        <v>-0.07</v>
      </c>
      <c r="J51" s="508" t="n">
        <v>-0.04</v>
      </c>
      <c r="K51" s="508" t="n">
        <v>-0.04</v>
      </c>
      <c r="L51" s="508" t="n">
        <v>-0.01</v>
      </c>
      <c r="M51" s="508" t="n">
        <v>-0.01</v>
      </c>
      <c r="N51" s="508" t="n">
        <v>-0.04</v>
      </c>
      <c r="O51" s="508" t="n">
        <v>-0.01</v>
      </c>
      <c r="P51" s="508" t="n">
        <v>0.02</v>
      </c>
      <c r="Q51" s="508" t="n">
        <v>0</v>
      </c>
      <c r="R51" s="508" t="n">
        <v>0</v>
      </c>
      <c r="S51" s="506"/>
      <c r="T51" s="506"/>
      <c r="U51" s="506"/>
      <c r="V51" s="506"/>
      <c r="W51" s="506"/>
      <c r="X51" s="506"/>
      <c r="Y51"/>
      <c r="Z51"/>
    </row>
    <row r="52" ht="20" customHeight="1">
      <c r="A52" s="505" t="str">
        <v>Effective net pricing</v>
      </c>
      <c r="B52" s="452"/>
      <c r="C52" s="506"/>
      <c r="D52" s="508" t="n">
        <v>0.09</v>
      </c>
      <c r="E52" s="508" t="n">
        <v>0.02</v>
      </c>
      <c r="F52" s="508" t="n">
        <v>0.01</v>
      </c>
      <c r="G52" s="506"/>
      <c r="H52" s="508" t="n">
        <v>0.03</v>
      </c>
      <c r="I52" s="508" t="n">
        <v>0.03</v>
      </c>
      <c r="J52" s="508" t="n">
        <v>0.005</v>
      </c>
      <c r="K52" s="508" t="n">
        <v>0.015</v>
      </c>
      <c r="L52" s="508" t="n">
        <v>0.01</v>
      </c>
      <c r="M52" s="508" t="n">
        <v>0</v>
      </c>
      <c r="N52" s="508" t="n">
        <v>0.02</v>
      </c>
      <c r="O52" s="508" t="n">
        <v>0.01</v>
      </c>
      <c r="P52" s="508" t="n">
        <v>-0.01</v>
      </c>
      <c r="Q52" s="508" t="n">
        <v>-0.02</v>
      </c>
      <c r="R52" s="508" t="n">
        <v>-0.01</v>
      </c>
      <c r="S52" s="506"/>
      <c r="T52" s="506"/>
      <c r="U52" s="506"/>
      <c r="V52" s="506"/>
      <c r="W52" s="506"/>
      <c r="X52" s="506"/>
      <c r="Y52"/>
      <c r="Z52"/>
    </row>
    <row r="53" ht="22" customHeight="1">
      <c r="A53" s="502" t="str">
        <v>Capital spending</v>
      </c>
      <c r="B53" s="452"/>
      <c r="C53" s="507" t="n">
        <v>1557</v>
      </c>
      <c r="D53" s="507" t="n">
        <v>1444</v>
      </c>
      <c r="E53" s="507" t="n">
        <v>1306</v>
      </c>
      <c r="F53" s="507" t="n">
        <v>1051</v>
      </c>
      <c r="G53" s="473"/>
      <c r="H53" s="507" t="n">
        <v>237</v>
      </c>
      <c r="I53" s="507" t="n">
        <v>298</v>
      </c>
      <c r="J53" s="507" t="n">
        <v>253</v>
      </c>
      <c r="K53" s="473" t="n">
        <f>'Operating Metrics'!E53-SUM('Operating Metrics'!H53,'Operating Metrics'!I53,'Operating Metrics'!J53)</f>
        <v>518</v>
      </c>
      <c r="L53" s="507" t="n">
        <v>195</v>
      </c>
      <c r="M53" s="507" t="n">
        <v>230</v>
      </c>
      <c r="N53" s="507" t="n">
        <v>220</v>
      </c>
      <c r="O53" s="473" t="n">
        <f>'Operating Metrics'!F53-SUM('Operating Metrics'!L53,'Operating Metrics'!M53,'Operating Metrics'!N53)</f>
        <v>406</v>
      </c>
      <c r="P53" s="507" t="n">
        <v>110</v>
      </c>
      <c r="Q53" s="507" t="n">
        <v>211</v>
      </c>
      <c r="R53" s="507" t="n">
        <v>214</v>
      </c>
      <c r="S53" s="473"/>
      <c r="T53" s="473"/>
      <c r="U53" s="473"/>
      <c r="V53" s="473"/>
      <c r="W53" s="473"/>
      <c r="X53" s="473"/>
      <c r="Y53"/>
      <c r="Z53"/>
    </row>
    <row r="54" ht="20" customHeight="1">
      <c r="A54" s="505" t="str">
        <v>Capital spending / net revenue</v>
      </c>
      <c r="B54" s="452"/>
      <c r="C54" s="476" t="n">
        <f>IF('Operating Metrics'!C44=0,"",'Operating Metrics'!C53/'Operating Metrics'!C44)</f>
        <v>0.058863559033684926</v>
      </c>
      <c r="D54" s="476" t="n">
        <f>IF('Operating Metrics'!D44=0,"",'Operating Metrics'!D53/'Operating Metrics'!D44)</f>
        <v>0.05154381581295735</v>
      </c>
      <c r="E54" s="476" t="n">
        <f>IF('Operating Metrics'!E44=0,"",'Operating Metrics'!E53/'Operating Metrics'!E44)</f>
        <v>0.047610367832014874</v>
      </c>
      <c r="F54" s="476" t="n">
        <f>IF('Operating Metrics'!F44=0,"",'Operating Metrics'!F53/'Operating Metrics'!F44)</f>
        <v>0.03817930834059866</v>
      </c>
      <c r="G54" s="506"/>
      <c r="H54" s="476" t="n">
        <f>IF('Operating Metrics'!H44=0,"",'Operating Metrics'!H53/'Operating Metrics'!H44)</f>
        <v>0.03780507257935875</v>
      </c>
      <c r="I54" s="476" t="n">
        <f>IF('Operating Metrics'!I44=0,"",'Operating Metrics'!I53/'Operating Metrics'!I44)</f>
        <v>0.04630924630924631</v>
      </c>
      <c r="J54" s="476" t="n">
        <f>IF('Operating Metrics'!J44=0,"",'Operating Metrics'!J53/'Operating Metrics'!J44)</f>
        <v>0.03870869033047736</v>
      </c>
      <c r="K54" s="476" t="n">
        <f>IF('Operating Metrics'!K44=0,"",'Operating Metrics'!K53/'Operating Metrics'!K44)</f>
        <v>0.06324014161884996</v>
      </c>
      <c r="L54" s="476" t="n">
        <f>IF('Operating Metrics'!L44=0,"",'Operating Metrics'!L53/'Operating Metrics'!L44)</f>
        <v>0.031385803959439885</v>
      </c>
      <c r="M54" s="476" t="n">
        <f>IF('Operating Metrics'!M44=0,"",'Operating Metrics'!M53/'Operating Metrics'!M44)</f>
        <v>0.03551575046324892</v>
      </c>
      <c r="N54" s="476" t="n">
        <f>IF('Operating Metrics'!N44=0,"",'Operating Metrics'!N53/'Operating Metrics'!N44)</f>
        <v>0.03371130861170702</v>
      </c>
      <c r="O54" s="476" t="n">
        <f>IF('Operating Metrics'!O44=0,"",'Operating Metrics'!O53/'Operating Metrics'!O44)</f>
        <v>0.04883916756886804</v>
      </c>
      <c r="P54" s="476" t="n">
        <f>IF('Operating Metrics'!P44=0,"",'Operating Metrics'!P53/'Operating Metrics'!P44)</f>
        <v>0.01737207833228048</v>
      </c>
      <c r="Q54" s="476" t="n">
        <f>IF('Operating Metrics'!Q44=0,"",'Operating Metrics'!Q53/'Operating Metrics'!Q44)</f>
        <v>0.033134422110552765</v>
      </c>
      <c r="R54" s="476" t="n">
        <f>IF('Operating Metrics'!R44=0,"",'Operating Metrics'!R53/'Operating Metrics'!R44)</f>
        <v>0.03290282902829028</v>
      </c>
      <c r="S54" s="506"/>
      <c r="T54" s="506"/>
      <c r="U54" s="506"/>
      <c r="V54" s="506"/>
      <c r="W54" s="506"/>
      <c r="X54" s="506"/>
      <c r="Y54"/>
      <c r="Z54"/>
    </row>
    <row r="55" ht="22" customHeight="1">
      <c r="A55" s="502" t="str">
        <v>Depreciation and other amortization</v>
      </c>
      <c r="B55" s="452"/>
      <c r="C55" s="507" t="n">
        <v>700</v>
      </c>
      <c r="D55" s="507" t="n">
        <v>787</v>
      </c>
      <c r="E55" s="507" t="n">
        <v>852</v>
      </c>
      <c r="F55" s="473"/>
      <c r="G55" s="473"/>
      <c r="H55" s="507" t="n">
        <v>189</v>
      </c>
      <c r="I55" s="507" t="n">
        <v>185</v>
      </c>
      <c r="J55" s="507" t="n">
        <v>190</v>
      </c>
      <c r="K55" s="473" t="n">
        <f>'Operating Metrics'!E55-SUM('Operating Metrics'!H55,'Operating Metrics'!I55,'Operating Metrics'!J55)</f>
        <v>288</v>
      </c>
      <c r="L55" s="507" t="n">
        <v>206</v>
      </c>
      <c r="M55" s="507" t="n">
        <v>226</v>
      </c>
      <c r="N55" s="507" t="n">
        <v>233</v>
      </c>
      <c r="O55" s="473"/>
      <c r="P55" s="473"/>
      <c r="Q55" s="473"/>
      <c r="R55" s="473"/>
      <c r="S55" s="473"/>
      <c r="T55" s="473"/>
      <c r="U55" s="473"/>
      <c r="V55" s="473"/>
      <c r="W55" s="473"/>
      <c r="X55" s="473"/>
      <c r="Y55"/>
      <c r="Z55"/>
    </row>
    <row r="56" ht="22" customHeight="1">
      <c r="A56" s="502" t="str">
        <v>Amortization of intangible assets</v>
      </c>
      <c r="B56" s="452"/>
      <c r="C56" s="507" t="n">
        <v>11</v>
      </c>
      <c r="D56" s="507" t="n">
        <v>11</v>
      </c>
      <c r="E56" s="507" t="n">
        <v>10</v>
      </c>
      <c r="F56" s="473"/>
      <c r="G56" s="473"/>
      <c r="H56" s="507" t="n">
        <v>3</v>
      </c>
      <c r="I56" s="507" t="n">
        <v>3</v>
      </c>
      <c r="J56" s="507" t="n">
        <v>2</v>
      </c>
      <c r="K56" s="473" t="n">
        <f>'Operating Metrics'!E56-SUM('Operating Metrics'!H56,'Operating Metrics'!I56,'Operating Metrics'!J56)</f>
        <v>2</v>
      </c>
      <c r="L56" s="507" t="n">
        <v>4</v>
      </c>
      <c r="M56" s="507" t="n">
        <v>4</v>
      </c>
      <c r="N56" s="507" t="n">
        <v>4</v>
      </c>
      <c r="O56" s="473"/>
      <c r="P56" s="473"/>
      <c r="Q56" s="473"/>
      <c r="R56" s="473"/>
      <c r="S56" s="473"/>
      <c r="T56" s="473"/>
      <c r="U56" s="473"/>
      <c r="V56" s="473"/>
      <c r="W56" s="473"/>
      <c r="X56" s="473"/>
      <c r="Y56"/>
      <c r="Z56"/>
    </row>
    <row r="57" ht="22" customHeight="1">
      <c r="A57" s="502" t="str">
        <v>Depreciation and amortization</v>
      </c>
      <c r="B57" s="452"/>
      <c r="C57" s="473" t="n">
        <f>'Operating Metrics'!C55+'Operating Metrics'!C56</f>
        <v>711</v>
      </c>
      <c r="D57" s="507" t="n">
        <v>798</v>
      </c>
      <c r="E57" s="507" t="n">
        <v>862</v>
      </c>
      <c r="F57" s="507" t="n">
        <v>969</v>
      </c>
      <c r="G57" s="473"/>
      <c r="H57" s="473" t="n">
        <f>'Operating Metrics'!H55+'Operating Metrics'!H56</f>
        <v>192</v>
      </c>
      <c r="I57" s="473" t="n">
        <f>'Operating Metrics'!I55+'Operating Metrics'!I56</f>
        <v>188</v>
      </c>
      <c r="J57" s="473" t="n">
        <f>'Operating Metrics'!J55+'Operating Metrics'!J56</f>
        <v>192</v>
      </c>
      <c r="K57" s="473" t="n">
        <f>'Operating Metrics'!E57-SUM('Operating Metrics'!H57,'Operating Metrics'!I57,'Operating Metrics'!J57)</f>
        <v>290</v>
      </c>
      <c r="L57" s="507" t="n">
        <v>210</v>
      </c>
      <c r="M57" s="507" t="n">
        <v>230</v>
      </c>
      <c r="N57" s="507" t="n">
        <v>237</v>
      </c>
      <c r="O57" s="473" t="n">
        <f>'Operating Metrics'!F57-SUM('Operating Metrics'!L57,'Operating Metrics'!M57,'Operating Metrics'!N57)</f>
        <v>292</v>
      </c>
      <c r="P57" s="507" t="n">
        <v>227</v>
      </c>
      <c r="Q57" s="507" t="n">
        <v>229</v>
      </c>
      <c r="R57" s="507" t="n">
        <v>224</v>
      </c>
      <c r="S57" s="473"/>
      <c r="T57" s="473"/>
      <c r="U57" s="473"/>
      <c r="V57" s="473"/>
      <c r="W57" s="473"/>
      <c r="X57" s="473"/>
      <c r="Y57"/>
      <c r="Z57"/>
    </row>
    <row r="58" ht="22" customHeight="1">
      <c r="A58" s="502" t="str">
        <v>Capital spending / D&amp;A</v>
      </c>
      <c r="B58" s="452"/>
      <c r="C58" s="492" t="n">
        <f>IF('Operating Metrics'!C57=0,"",'Operating Metrics'!C53/'Operating Metrics'!C57)</f>
        <v>2.189873417721519</v>
      </c>
      <c r="D58" s="492" t="n">
        <f>IF('Operating Metrics'!D57=0,"",'Operating Metrics'!D53/'Operating Metrics'!D57)</f>
        <v>1.8095238095238095</v>
      </c>
      <c r="E58" s="492" t="n">
        <f>IF('Operating Metrics'!E57=0,"",'Operating Metrics'!E53/'Operating Metrics'!E57)</f>
        <v>1.5150812064965198</v>
      </c>
      <c r="F58" s="492" t="n">
        <f>IF('Operating Metrics'!F57=0,"",'Operating Metrics'!F53/'Operating Metrics'!F57)</f>
        <v>1.084623323013416</v>
      </c>
      <c r="G58" s="492"/>
      <c r="H58" s="492" t="n">
        <f>IF('Operating Metrics'!H57=0,"",'Operating Metrics'!H53/'Operating Metrics'!H57)</f>
        <v>1.234375</v>
      </c>
      <c r="I58" s="492" t="n">
        <f>IF('Operating Metrics'!I57=0,"",'Operating Metrics'!I53/'Operating Metrics'!I57)</f>
        <v>1.5851063829787233</v>
      </c>
      <c r="J58" s="492" t="n">
        <f>IF('Operating Metrics'!J57=0,"",'Operating Metrics'!J53/'Operating Metrics'!J57)</f>
        <v>1.3177083333333333</v>
      </c>
      <c r="K58" s="492" t="n">
        <f>IF('Operating Metrics'!K57=0,"",'Operating Metrics'!K53/'Operating Metrics'!K57)</f>
        <v>1.7862068965517242</v>
      </c>
      <c r="L58" s="492" t="n">
        <f>IF('Operating Metrics'!L57=0,"",'Operating Metrics'!L53/'Operating Metrics'!L57)</f>
        <v>0.9285714285714286</v>
      </c>
      <c r="M58" s="492" t="n">
        <f>IF('Operating Metrics'!M57=0,"",'Operating Metrics'!M53/'Operating Metrics'!M57)</f>
        <v>1</v>
      </c>
      <c r="N58" s="492" t="n">
        <f>IF('Operating Metrics'!N57=0,"",'Operating Metrics'!N53/'Operating Metrics'!N57)</f>
        <v>0.9282700421940928</v>
      </c>
      <c r="O58" s="492" t="n">
        <f>IF('Operating Metrics'!O57=0,"",'Operating Metrics'!O53/'Operating Metrics'!O57)</f>
        <v>1.3904109589041096</v>
      </c>
      <c r="P58" s="492" t="n">
        <f>IF('Operating Metrics'!P57=0,"",'Operating Metrics'!P53/'Operating Metrics'!P57)</f>
        <v>0.4845814977973568</v>
      </c>
      <c r="Q58" s="492" t="n">
        <f>IF('Operating Metrics'!Q57=0,"",'Operating Metrics'!Q53/'Operating Metrics'!Q57)</f>
        <v>0.9213973799126638</v>
      </c>
      <c r="R58" s="492" t="n">
        <f>IF('Operating Metrics'!R57=0,"",'Operating Metrics'!R53/'Operating Metrics'!R57)</f>
        <v>0.9553571428571429</v>
      </c>
      <c r="S58" s="492"/>
      <c r="T58" s="492"/>
      <c r="U58" s="492"/>
      <c r="V58" s="492"/>
      <c r="W58" s="492"/>
      <c r="X58" s="492"/>
      <c r="Y58"/>
      <c r="Z58"/>
    </row>
    <row r="59" ht="24" customHeight="1">
      <c r="A59" s="477" t="str">
        <v>PBNA</v>
      </c>
      <c r="B59" s="477"/>
      <c r="C59" s="477"/>
      <c r="D59" s="477"/>
      <c r="E59" s="477"/>
      <c r="F59" s="477"/>
      <c r="G59" s="477"/>
      <c r="H59" s="477"/>
      <c r="I59" s="477"/>
      <c r="J59" s="477"/>
      <c r="K59" s="477"/>
      <c r="L59" s="477"/>
      <c r="M59" s="477"/>
      <c r="N59" s="477"/>
      <c r="O59" s="477"/>
      <c r="P59" s="477"/>
      <c r="Q59" s="477"/>
      <c r="R59" s="477"/>
      <c r="S59" s="477"/>
      <c r="T59" s="477"/>
      <c r="U59" s="477"/>
      <c r="V59" s="477"/>
      <c r="W59" s="477"/>
      <c r="X59" s="477"/>
      <c r="Y59"/>
      <c r="Z59"/>
    </row>
    <row r="60" ht="22" customHeight="1">
      <c r="A60" s="502" t="str">
        <v>Net revenue</v>
      </c>
      <c r="B60" s="452"/>
      <c r="C60" s="507" t="n">
        <v>26213</v>
      </c>
      <c r="D60" s="507" t="n">
        <v>27626</v>
      </c>
      <c r="E60" s="507" t="n">
        <v>27769</v>
      </c>
      <c r="F60" s="507" t="n">
        <v>28197</v>
      </c>
      <c r="G60" s="473"/>
      <c r="H60" s="507" t="n">
        <v>5874</v>
      </c>
      <c r="I60" s="507" t="n">
        <v>6811</v>
      </c>
      <c r="J60" s="507" t="n">
        <v>7175</v>
      </c>
      <c r="K60" s="507" t="n">
        <v>7909</v>
      </c>
      <c r="L60" s="507" t="n">
        <v>5876</v>
      </c>
      <c r="M60" s="507" t="n">
        <v>6796</v>
      </c>
      <c r="N60" s="507" t="n">
        <v>7327</v>
      </c>
      <c r="O60" s="507" t="n">
        <v>8198</v>
      </c>
      <c r="P60" s="507" t="n">
        <v>6391</v>
      </c>
      <c r="Q60" s="507" t="n">
        <v>7243</v>
      </c>
      <c r="R60" s="507" t="n">
        <v>7706</v>
      </c>
      <c r="S60" s="473"/>
      <c r="T60" s="473"/>
      <c r="U60" s="473"/>
      <c r="V60" s="473"/>
      <c r="W60" s="473"/>
      <c r="X60" s="473"/>
      <c r="Y60"/>
      <c r="Z60"/>
    </row>
    <row r="61" ht="20" customHeight="1">
      <c r="A61" s="505" t="str">
        <v>Net revenue YoY</v>
      </c>
      <c r="B61" s="452"/>
      <c r="C61" s="506"/>
      <c r="D61" s="476" t="n">
        <f>IF(OR('Operating Metrics'!C60&lt;=0,'Operating Metrics'!D60&lt;0),"",'Operating Metrics'!D60/'Operating Metrics'!C60-1)</f>
        <v>0.053904551176896964</v>
      </c>
      <c r="E61" s="476" t="n">
        <f>IF(OR('Operating Metrics'!D60&lt;=0,'Operating Metrics'!E60&lt;0),"",'Operating Metrics'!E60/'Operating Metrics'!D60-1)</f>
        <v>0.005176283211467458</v>
      </c>
      <c r="F61" s="476" t="n">
        <f>IF(OR('Operating Metrics'!E60&lt;=0,'Operating Metrics'!F60&lt;0),"",'Operating Metrics'!F60/'Operating Metrics'!E60-1)</f>
        <v>0.015412870467067519</v>
      </c>
      <c r="G61" s="506"/>
      <c r="H61" s="506"/>
      <c r="I61" s="506"/>
      <c r="J61" s="506"/>
      <c r="K61" s="506"/>
      <c r="L61" s="476" t="n">
        <f>IF(OR('Operating Metrics'!H60&lt;=0,'Operating Metrics'!L60&lt;0),"",'Operating Metrics'!L60/'Operating Metrics'!H60-1)</f>
        <v>0.0003404834865508022</v>
      </c>
      <c r="M61" s="476" t="n">
        <f>IF(OR('Operating Metrics'!I60&lt;=0,'Operating Metrics'!M60&lt;0),"",'Operating Metrics'!M60/'Operating Metrics'!I60-1)</f>
        <v>-0.002202319776831607</v>
      </c>
      <c r="N61" s="476" t="n">
        <f>IF(OR('Operating Metrics'!J60&lt;=0,'Operating Metrics'!N60&lt;0),"",'Operating Metrics'!N60/'Operating Metrics'!J60-1)</f>
        <v>0.021184668989546962</v>
      </c>
      <c r="O61" s="476" t="n">
        <f>IF(OR('Operating Metrics'!K60&lt;=0,'Operating Metrics'!O60&lt;0),"",'Operating Metrics'!O60/'Operating Metrics'!K60-1)</f>
        <v>0.03654064989252759</v>
      </c>
      <c r="P61" s="476" t="n">
        <f>IF(OR('Operating Metrics'!L60&lt;=0,'Operating Metrics'!P60&lt;0),"",'Operating Metrics'!P60/'Operating Metrics'!L60-1)</f>
        <v>0.08764465622872697</v>
      </c>
      <c r="Q61" s="476" t="n">
        <f>IF(OR('Operating Metrics'!M60&lt;=0,'Operating Metrics'!Q60&lt;0),"",'Operating Metrics'!Q60/'Operating Metrics'!M60-1)</f>
        <v>0.06577398469688056</v>
      </c>
      <c r="R61" s="476" t="n">
        <f>IF(OR('Operating Metrics'!N60&lt;=0,'Operating Metrics'!R60&lt;0),"",'Operating Metrics'!R60/'Operating Metrics'!N60-1)</f>
        <v>0.051726491060461344</v>
      </c>
      <c r="S61" s="506"/>
      <c r="T61" s="506"/>
      <c r="U61" s="506"/>
      <c r="V61" s="506"/>
      <c r="W61" s="506"/>
      <c r="X61" s="506"/>
      <c r="Y61"/>
      <c r="Z61"/>
    </row>
    <row r="62" ht="22" customHeight="1">
      <c r="A62" s="502" t="str">
        <v>Reported operating profit</v>
      </c>
      <c r="B62" s="452"/>
      <c r="C62" s="507" t="n">
        <v>5426</v>
      </c>
      <c r="D62" s="507" t="n">
        <v>2584</v>
      </c>
      <c r="E62" s="507" t="n">
        <v>2302</v>
      </c>
      <c r="F62" s="507" t="n">
        <v>1089</v>
      </c>
      <c r="G62" s="473"/>
      <c r="H62" s="507" t="n">
        <v>510</v>
      </c>
      <c r="I62" s="507" t="n">
        <v>987</v>
      </c>
      <c r="J62" s="507" t="n">
        <v>914</v>
      </c>
      <c r="K62" s="507" t="n">
        <v>-109</v>
      </c>
      <c r="L62" s="507" t="n">
        <v>460</v>
      </c>
      <c r="M62" s="507" t="n">
        <v>-639</v>
      </c>
      <c r="N62" s="507" t="n">
        <v>729</v>
      </c>
      <c r="O62" s="507" t="n">
        <v>539</v>
      </c>
      <c r="P62" s="507" t="n">
        <v>736</v>
      </c>
      <c r="Q62" s="507" t="n">
        <v>1053</v>
      </c>
      <c r="R62" s="507" t="n">
        <v>1056</v>
      </c>
      <c r="S62" s="473"/>
      <c r="T62" s="473"/>
      <c r="U62" s="473"/>
      <c r="V62" s="473"/>
      <c r="W62" s="473"/>
      <c r="X62" s="473"/>
      <c r="Y62"/>
      <c r="Z62"/>
    </row>
    <row r="63" ht="22" customHeight="1">
      <c r="A63" s="502" t="str">
        <v>Core operating profit</v>
      </c>
      <c r="B63" s="452"/>
      <c r="C63" s="473"/>
      <c r="D63" s="507" t="n">
        <v>2962</v>
      </c>
      <c r="E63" s="507" t="n">
        <v>3104</v>
      </c>
      <c r="F63" s="507" t="n">
        <v>3285</v>
      </c>
      <c r="G63" s="473"/>
      <c r="H63" s="507" t="n">
        <v>522</v>
      </c>
      <c r="I63" s="507" t="n">
        <v>992</v>
      </c>
      <c r="J63" s="507" t="n">
        <v>1047</v>
      </c>
      <c r="K63" s="507" t="n">
        <v>543</v>
      </c>
      <c r="L63" s="507" t="n">
        <v>595</v>
      </c>
      <c r="M63" s="507" t="n">
        <v>994</v>
      </c>
      <c r="N63" s="507" t="n">
        <v>975</v>
      </c>
      <c r="O63" s="507" t="n">
        <v>721</v>
      </c>
      <c r="P63" s="507" t="n">
        <v>639</v>
      </c>
      <c r="Q63" s="507" t="n">
        <v>992</v>
      </c>
      <c r="R63" s="507" t="n">
        <v>1012</v>
      </c>
      <c r="S63" s="473"/>
      <c r="T63" s="473"/>
      <c r="U63" s="473"/>
      <c r="V63" s="473"/>
      <c r="W63" s="473"/>
      <c r="X63" s="473"/>
      <c r="Y63"/>
      <c r="Z63"/>
    </row>
    <row r="64" ht="20" customHeight="1">
      <c r="A64" s="505" t="str">
        <v>Core operating profit YoY</v>
      </c>
      <c r="B64" s="452"/>
      <c r="C64" s="506"/>
      <c r="D64" s="506"/>
      <c r="E64" s="476" t="n">
        <f>IF(OR('Operating Metrics'!D63&lt;=0,'Operating Metrics'!E63&lt;0),"",'Operating Metrics'!E63/'Operating Metrics'!D63-1)</f>
        <v>0.047940580688723866</v>
      </c>
      <c r="F64" s="476" t="n">
        <f>IF(OR('Operating Metrics'!E63&lt;=0,'Operating Metrics'!F63&lt;0),"",'Operating Metrics'!F63/'Operating Metrics'!E63-1)</f>
        <v>0.058311855670103</v>
      </c>
      <c r="G64" s="506"/>
      <c r="H64" s="506"/>
      <c r="I64" s="506"/>
      <c r="J64" s="506"/>
      <c r="K64" s="506"/>
      <c r="L64" s="476" t="n">
        <f>IF(OR('Operating Metrics'!H63&lt;=0,'Operating Metrics'!L63&lt;0),"",'Operating Metrics'!L63/'Operating Metrics'!H63-1)</f>
        <v>0.13984674329501923</v>
      </c>
      <c r="M64" s="476" t="n">
        <f>IF(OR('Operating Metrics'!I63&lt;=0,'Operating Metrics'!M63&lt;0),"",'Operating Metrics'!M63/'Operating Metrics'!I63-1)</f>
        <v>0.002016129032258007</v>
      </c>
      <c r="N64" s="476" t="n">
        <f>IF(OR('Operating Metrics'!J63&lt;=0,'Operating Metrics'!N63&lt;0),"",'Operating Metrics'!N63/'Operating Metrics'!J63-1)</f>
        <v>-0.06876790830945556</v>
      </c>
      <c r="O64" s="476" t="n">
        <f>IF(OR('Operating Metrics'!K63&lt;=0,'Operating Metrics'!O63&lt;0),"",'Operating Metrics'!O63/'Operating Metrics'!K63-1)</f>
        <v>0.32780847145488035</v>
      </c>
      <c r="P64" s="476" t="n">
        <f>IF(OR('Operating Metrics'!L63&lt;=0,'Operating Metrics'!P63&lt;0),"",'Operating Metrics'!P63/'Operating Metrics'!L63-1)</f>
        <v>0.07394957983193273</v>
      </c>
      <c r="Q64" s="476" t="n">
        <f>IF(OR('Operating Metrics'!M63&lt;=0,'Operating Metrics'!Q63&lt;0),"",'Operating Metrics'!Q63/'Operating Metrics'!M63-1)</f>
        <v>-0.002012072434607659</v>
      </c>
      <c r="R64" s="476" t="n">
        <f>IF(OR('Operating Metrics'!N63&lt;=0,'Operating Metrics'!R63&lt;0),"",'Operating Metrics'!R63/'Operating Metrics'!N63-1)</f>
        <v>0.0379487179487179</v>
      </c>
      <c r="S64" s="506"/>
      <c r="T64" s="506"/>
      <c r="U64" s="506"/>
      <c r="V64" s="506"/>
      <c r="W64" s="506"/>
      <c r="X64" s="506"/>
      <c r="Y64"/>
      <c r="Z64"/>
    </row>
    <row r="65" ht="20" customHeight="1">
      <c r="A65" s="505" t="str">
        <v>Core operating margin</v>
      </c>
      <c r="B65" s="452"/>
      <c r="C65" s="506"/>
      <c r="D65" s="476" t="n">
        <f>IF('Operating Metrics'!D60=0,"",'Operating Metrics'!D63/'Operating Metrics'!D60)</f>
        <v>0.10721783826829798</v>
      </c>
      <c r="E65" s="476" t="n">
        <f>IF('Operating Metrics'!E60=0,"",'Operating Metrics'!E63/'Operating Metrics'!E60)</f>
        <v>0.111779322265836</v>
      </c>
      <c r="F65" s="476" t="n">
        <f>IF('Operating Metrics'!F60=0,"",'Operating Metrics'!F63/'Operating Metrics'!F60)</f>
        <v>0.11650175550590489</v>
      </c>
      <c r="G65" s="506"/>
      <c r="H65" s="476" t="n">
        <f>IF('Operating Metrics'!H60=0,"",'Operating Metrics'!H63/'Operating Metrics'!H60)</f>
        <v>0.0888661899897855</v>
      </c>
      <c r="I65" s="476" t="n">
        <f>IF('Operating Metrics'!I60=0,"",'Operating Metrics'!I63/'Operating Metrics'!I60)</f>
        <v>0.14564674790779622</v>
      </c>
      <c r="J65" s="476" t="n">
        <f>IF('Operating Metrics'!J60=0,"",'Operating Metrics'!J63/'Operating Metrics'!J60)</f>
        <v>0.14592334494773518</v>
      </c>
      <c r="K65" s="476" t="n">
        <f>IF('Operating Metrics'!K60=0,"",'Operating Metrics'!K63/'Operating Metrics'!K60)</f>
        <v>0.06865596156277658</v>
      </c>
      <c r="L65" s="476" t="n">
        <f>IF('Operating Metrics'!L60=0,"",'Operating Metrics'!L63/'Operating Metrics'!L60)</f>
        <v>0.10125936010891763</v>
      </c>
      <c r="M65" s="476" t="n">
        <f>IF('Operating Metrics'!M60=0,"",'Operating Metrics'!M63/'Operating Metrics'!M60)</f>
        <v>0.14626250735726898</v>
      </c>
      <c r="N65" s="476" t="n">
        <f>IF('Operating Metrics'!N60=0,"",'Operating Metrics'!N63/'Operating Metrics'!N60)</f>
        <v>0.13306946908693873</v>
      </c>
      <c r="O65" s="476" t="n">
        <f>IF('Operating Metrics'!O60=0,"",'Operating Metrics'!O63/'Operating Metrics'!O60)</f>
        <v>0.08794828006830935</v>
      </c>
      <c r="P65" s="476" t="n">
        <f>IF('Operating Metrics'!P60=0,"",'Operating Metrics'!P63/'Operating Metrics'!P60)</f>
        <v>0.09998435299640118</v>
      </c>
      <c r="Q65" s="476" t="n">
        <f>IF('Operating Metrics'!Q60=0,"",'Operating Metrics'!Q63/'Operating Metrics'!Q60)</f>
        <v>0.13695982327764739</v>
      </c>
      <c r="R65" s="476" t="n">
        <f>IF('Operating Metrics'!R60=0,"",'Operating Metrics'!R63/'Operating Metrics'!R60)</f>
        <v>0.13132623929405657</v>
      </c>
      <c r="S65" s="506"/>
      <c r="T65" s="506"/>
      <c r="U65" s="506"/>
      <c r="V65" s="506"/>
      <c r="W65" s="506"/>
      <c r="X65" s="506"/>
      <c r="Y65"/>
      <c r="Z65"/>
    </row>
    <row r="66" ht="20" customHeight="1">
      <c r="A66" s="505" t="str">
        <v>Organic revenue growth</v>
      </c>
      <c r="B66" s="452"/>
      <c r="C66" s="506"/>
      <c r="D66" s="508" t="n">
        <v>0.07</v>
      </c>
      <c r="E66" s="508" t="n">
        <v>0.01</v>
      </c>
      <c r="F66" s="508" t="n">
        <v>0.01</v>
      </c>
      <c r="G66" s="506"/>
      <c r="H66" s="508" t="n">
        <v>0.01</v>
      </c>
      <c r="I66" s="508" t="n">
        <v>0.01</v>
      </c>
      <c r="J66" s="508" t="n">
        <v>0.01</v>
      </c>
      <c r="K66" s="508" t="n">
        <v>0</v>
      </c>
      <c r="L66" s="508" t="n">
        <v>0.01</v>
      </c>
      <c r="M66" s="508" t="n">
        <v>0.01</v>
      </c>
      <c r="N66" s="508" t="n">
        <v>0.02</v>
      </c>
      <c r="O66" s="508" t="n">
        <v>0.02</v>
      </c>
      <c r="P66" s="508" t="n">
        <v>0.02</v>
      </c>
      <c r="Q66" s="508" t="n">
        <v>0.01</v>
      </c>
      <c r="R66" s="508" t="n">
        <v>0</v>
      </c>
      <c r="S66" s="506"/>
      <c r="T66" s="506"/>
      <c r="U66" s="506"/>
      <c r="V66" s="506"/>
      <c r="W66" s="506"/>
      <c r="X66" s="506"/>
      <c r="Y66"/>
      <c r="Z66"/>
    </row>
    <row r="67" ht="20" customHeight="1">
      <c r="A67" s="505" t="str">
        <v>Organic physical volume - beverages</v>
      </c>
      <c r="B67" s="452"/>
      <c r="C67" s="506"/>
      <c r="D67" s="508" t="n">
        <v>-0.05</v>
      </c>
      <c r="E67" s="508" t="n">
        <v>-0.03</v>
      </c>
      <c r="F67" s="508" t="n">
        <v>-0.03</v>
      </c>
      <c r="G67" s="506"/>
      <c r="H67" s="508" t="n">
        <v>-0.05</v>
      </c>
      <c r="I67" s="508" t="n">
        <v>-0.03</v>
      </c>
      <c r="J67" s="508" t="n">
        <v>-0.03</v>
      </c>
      <c r="K67" s="508" t="n">
        <v>-0.03</v>
      </c>
      <c r="L67" s="508" t="n">
        <v>-0.03</v>
      </c>
      <c r="M67" s="508" t="n">
        <v>-0.02</v>
      </c>
      <c r="N67" s="508" t="n">
        <v>-0.03</v>
      </c>
      <c r="O67" s="508" t="n">
        <v>-0.04</v>
      </c>
      <c r="P67" s="508" t="n">
        <v>-0.025</v>
      </c>
      <c r="Q67" s="508" t="n">
        <v>-0.04</v>
      </c>
      <c r="R67" s="508" t="n">
        <v>-0.02</v>
      </c>
      <c r="S67" s="506"/>
      <c r="T67" s="506"/>
      <c r="U67" s="506"/>
      <c r="V67" s="506"/>
      <c r="W67" s="506"/>
      <c r="X67" s="506"/>
      <c r="Y67"/>
      <c r="Z67"/>
    </row>
    <row r="68" ht="20" customHeight="1">
      <c r="A68" s="505" t="str">
        <v>Effective net pricing</v>
      </c>
      <c r="B68" s="452"/>
      <c r="C68" s="506"/>
      <c r="D68" s="508" t="n">
        <v>0.12</v>
      </c>
      <c r="E68" s="508" t="n">
        <v>0.04</v>
      </c>
      <c r="F68" s="508" t="n">
        <v>0.05</v>
      </c>
      <c r="G68" s="506"/>
      <c r="H68" s="508" t="n">
        <v>0.06</v>
      </c>
      <c r="I68" s="508" t="n">
        <v>0.05</v>
      </c>
      <c r="J68" s="508" t="n">
        <v>0.03</v>
      </c>
      <c r="K68" s="508" t="n">
        <v>0.03</v>
      </c>
      <c r="L68" s="508" t="n">
        <v>0.02</v>
      </c>
      <c r="M68" s="508" t="n">
        <v>0.045</v>
      </c>
      <c r="N68" s="508" t="n">
        <v>0.06</v>
      </c>
      <c r="O68" s="508" t="n">
        <v>0.07</v>
      </c>
      <c r="P68" s="508" t="n">
        <v>0.06</v>
      </c>
      <c r="Q68" s="508" t="n">
        <v>0.03</v>
      </c>
      <c r="R68" s="508" t="n">
        <v>0.03</v>
      </c>
      <c r="S68" s="506"/>
      <c r="T68" s="506"/>
      <c r="U68" s="506"/>
      <c r="V68" s="506"/>
      <c r="W68" s="506"/>
      <c r="X68" s="506"/>
      <c r="Y68"/>
      <c r="Z68"/>
    </row>
    <row r="69" ht="22" customHeight="1">
      <c r="A69" s="502" t="str">
        <v>Capital spending</v>
      </c>
      <c r="B69" s="452"/>
      <c r="C69" s="507" t="n">
        <v>1714</v>
      </c>
      <c r="D69" s="507" t="n">
        <v>1723</v>
      </c>
      <c r="E69" s="507" t="n">
        <v>1541</v>
      </c>
      <c r="F69" s="507" t="n">
        <v>1344</v>
      </c>
      <c r="G69" s="473"/>
      <c r="H69" s="507" t="n">
        <v>180</v>
      </c>
      <c r="I69" s="507" t="n">
        <v>298</v>
      </c>
      <c r="J69" s="507" t="n">
        <v>313</v>
      </c>
      <c r="K69" s="473" t="n">
        <f>'Operating Metrics'!E69-SUM('Operating Metrics'!H69,'Operating Metrics'!I69,'Operating Metrics'!J69)</f>
        <v>750</v>
      </c>
      <c r="L69" s="507" t="n">
        <v>248</v>
      </c>
      <c r="M69" s="507" t="n">
        <v>283</v>
      </c>
      <c r="N69" s="507" t="n">
        <v>278</v>
      </c>
      <c r="O69" s="473" t="n">
        <f>'Operating Metrics'!F69-SUM('Operating Metrics'!L69,'Operating Metrics'!M69,'Operating Metrics'!N69)</f>
        <v>535</v>
      </c>
      <c r="P69" s="507" t="n">
        <v>183</v>
      </c>
      <c r="Q69" s="507" t="n">
        <v>261</v>
      </c>
      <c r="R69" s="507" t="n">
        <v>321</v>
      </c>
      <c r="S69" s="473"/>
      <c r="T69" s="473"/>
      <c r="U69" s="473"/>
      <c r="V69" s="473"/>
      <c r="W69" s="473"/>
      <c r="X69" s="473"/>
      <c r="Y69"/>
      <c r="Z69"/>
    </row>
    <row r="70" ht="20" customHeight="1">
      <c r="A70" s="505" t="str">
        <v>Capital spending / net revenue</v>
      </c>
      <c r="B70" s="452"/>
      <c r="C70" s="476" t="n">
        <f>IF('Operating Metrics'!C60=0,"",'Operating Metrics'!C69/'Operating Metrics'!C60)</f>
        <v>0.06538740319688705</v>
      </c>
      <c r="D70" s="476" t="n">
        <f>IF('Operating Metrics'!D60=0,"",'Operating Metrics'!D69/'Operating Metrics'!D60)</f>
        <v>0.06236878303047853</v>
      </c>
      <c r="E70" s="476" t="n">
        <f>IF('Operating Metrics'!E60=0,"",'Operating Metrics'!E69/'Operating Metrics'!E60)</f>
        <v>0.055493535957362526</v>
      </c>
      <c r="F70" s="476" t="n">
        <f>IF('Operating Metrics'!F60=0,"",'Operating Metrics'!F69/'Operating Metrics'!F60)</f>
        <v>0.047664645175018616</v>
      </c>
      <c r="G70" s="506"/>
      <c r="H70" s="476" t="n">
        <f>IF('Operating Metrics'!H60=0,"",'Operating Metrics'!H69/'Operating Metrics'!H60)</f>
        <v>0.030643513789581207</v>
      </c>
      <c r="I70" s="476" t="n">
        <f>IF('Operating Metrics'!I60=0,"",'Operating Metrics'!I69/'Operating Metrics'!I60)</f>
        <v>0.04375275289972104</v>
      </c>
      <c r="J70" s="476" t="n">
        <f>IF('Operating Metrics'!J60=0,"",'Operating Metrics'!J69/'Operating Metrics'!J60)</f>
        <v>0.04362369337979094</v>
      </c>
      <c r="K70" s="476" t="n">
        <f>IF('Operating Metrics'!K60=0,"",'Operating Metrics'!K69/'Operating Metrics'!K60)</f>
        <v>0.09482867619168037</v>
      </c>
      <c r="L70" s="476" t="n">
        <f>IF('Operating Metrics'!L60=0,"",'Operating Metrics'!L69/'Operating Metrics'!L60)</f>
        <v>0.04220558202859088</v>
      </c>
      <c r="M70" s="476" t="n">
        <f>IF('Operating Metrics'!M60=0,"",'Operating Metrics'!M69/'Operating Metrics'!M60)</f>
        <v>0.04164214243672749</v>
      </c>
      <c r="N70" s="476" t="n">
        <f>IF('Operating Metrics'!N60=0,"",'Operating Metrics'!N69/'Operating Metrics'!N60)</f>
        <v>0.037941858878122015</v>
      </c>
      <c r="O70" s="476" t="n">
        <f>IF('Operating Metrics'!O60=0,"",'Operating Metrics'!O69/'Operating Metrics'!O60)</f>
        <v>0.06525981946816296</v>
      </c>
      <c r="P70" s="476" t="n">
        <f>IF('Operating Metrics'!P60=0,"",'Operating Metrics'!P69/'Operating Metrics'!P60)</f>
        <v>0.028634016585823815</v>
      </c>
      <c r="Q70" s="476" t="n">
        <f>IF('Operating Metrics'!Q60=0,"",'Operating Metrics'!Q69/'Operating Metrics'!Q60)</f>
        <v>0.03603479221317134</v>
      </c>
      <c r="R70" s="476" t="n">
        <f>IF('Operating Metrics'!R60=0,"",'Operating Metrics'!R69/'Operating Metrics'!R60)</f>
        <v>0.04165585258240332</v>
      </c>
      <c r="S70" s="506"/>
      <c r="T70" s="506"/>
      <c r="U70" s="506"/>
      <c r="V70" s="506"/>
      <c r="W70" s="506"/>
      <c r="X70" s="506"/>
      <c r="Y70"/>
      <c r="Z70"/>
    </row>
    <row r="71" ht="22" customHeight="1">
      <c r="A71" s="502" t="str">
        <v>Depreciation and other amortization</v>
      </c>
      <c r="B71" s="452"/>
      <c r="C71" s="507" t="n">
        <v>930</v>
      </c>
      <c r="D71" s="507" t="n">
        <v>1003</v>
      </c>
      <c r="E71" s="507" t="n">
        <v>1047</v>
      </c>
      <c r="F71" s="473"/>
      <c r="G71" s="473"/>
      <c r="H71" s="507" t="n">
        <v>236</v>
      </c>
      <c r="I71" s="507" t="n">
        <v>243</v>
      </c>
      <c r="J71" s="507" t="n">
        <v>234</v>
      </c>
      <c r="K71" s="473" t="n">
        <f>'Operating Metrics'!E71-SUM('Operating Metrics'!H71,'Operating Metrics'!I71,'Operating Metrics'!J71)</f>
        <v>334</v>
      </c>
      <c r="L71" s="507" t="n">
        <v>248</v>
      </c>
      <c r="M71" s="507" t="n">
        <v>236</v>
      </c>
      <c r="N71" s="507" t="n">
        <v>229</v>
      </c>
      <c r="O71" s="473"/>
      <c r="P71" s="473"/>
      <c r="Q71" s="473"/>
      <c r="R71" s="473"/>
      <c r="S71" s="473"/>
      <c r="T71" s="473"/>
      <c r="U71" s="473"/>
      <c r="V71" s="473"/>
      <c r="W71" s="473"/>
      <c r="X71" s="473"/>
      <c r="Y71"/>
      <c r="Z71"/>
    </row>
    <row r="72" ht="22" customHeight="1">
      <c r="A72" s="502" t="str">
        <v>Amortization of intangible assets</v>
      </c>
      <c r="B72" s="452"/>
      <c r="C72" s="507" t="n">
        <v>22</v>
      </c>
      <c r="D72" s="507" t="n">
        <v>22</v>
      </c>
      <c r="E72" s="507" t="n">
        <v>22</v>
      </c>
      <c r="F72" s="473"/>
      <c r="G72" s="473"/>
      <c r="H72" s="507" t="n">
        <v>5</v>
      </c>
      <c r="I72" s="507" t="n">
        <v>5</v>
      </c>
      <c r="J72" s="507" t="n">
        <v>5</v>
      </c>
      <c r="K72" s="473" t="n">
        <f>'Operating Metrics'!E72-SUM('Operating Metrics'!H72,'Operating Metrics'!I72,'Operating Metrics'!J72)</f>
        <v>7</v>
      </c>
      <c r="L72" s="507" t="n">
        <v>5</v>
      </c>
      <c r="M72" s="507" t="n">
        <v>5</v>
      </c>
      <c r="N72" s="507" t="n">
        <v>7</v>
      </c>
      <c r="O72" s="473"/>
      <c r="P72" s="473"/>
      <c r="Q72" s="473"/>
      <c r="R72" s="473"/>
      <c r="S72" s="473"/>
      <c r="T72" s="473"/>
      <c r="U72" s="473"/>
      <c r="V72" s="473"/>
      <c r="W72" s="473"/>
      <c r="X72" s="473"/>
      <c r="Y72"/>
      <c r="Z72"/>
    </row>
    <row r="73" ht="22" customHeight="1">
      <c r="A73" s="502" t="str">
        <v>Depreciation and amortization</v>
      </c>
      <c r="B73" s="452"/>
      <c r="C73" s="473" t="n">
        <f>'Operating Metrics'!C71+'Operating Metrics'!C72</f>
        <v>952</v>
      </c>
      <c r="D73" s="507" t="n">
        <v>1025</v>
      </c>
      <c r="E73" s="507" t="n">
        <v>1069</v>
      </c>
      <c r="F73" s="507" t="n">
        <v>1093</v>
      </c>
      <c r="G73" s="473"/>
      <c r="H73" s="473" t="n">
        <f>'Operating Metrics'!H71+'Operating Metrics'!H72</f>
        <v>241</v>
      </c>
      <c r="I73" s="473" t="n">
        <f>'Operating Metrics'!I71+'Operating Metrics'!I72</f>
        <v>248</v>
      </c>
      <c r="J73" s="473" t="n">
        <f>'Operating Metrics'!J71+'Operating Metrics'!J72</f>
        <v>239</v>
      </c>
      <c r="K73" s="473" t="n">
        <f>'Operating Metrics'!E73-SUM('Operating Metrics'!H73,'Operating Metrics'!I73,'Operating Metrics'!J73)</f>
        <v>341</v>
      </c>
      <c r="L73" s="507" t="n">
        <v>253</v>
      </c>
      <c r="M73" s="507" t="n">
        <v>241</v>
      </c>
      <c r="N73" s="507" t="n">
        <v>236</v>
      </c>
      <c r="O73" s="473" t="n">
        <f>'Operating Metrics'!F73-SUM('Operating Metrics'!L73,'Operating Metrics'!M73,'Operating Metrics'!N73)</f>
        <v>363</v>
      </c>
      <c r="P73" s="507" t="n">
        <v>252</v>
      </c>
      <c r="Q73" s="507" t="n">
        <v>275</v>
      </c>
      <c r="R73" s="507" t="n">
        <v>277</v>
      </c>
      <c r="S73" s="473"/>
      <c r="T73" s="473"/>
      <c r="U73" s="473"/>
      <c r="V73" s="473"/>
      <c r="W73" s="473"/>
      <c r="X73" s="473"/>
      <c r="Y73"/>
      <c r="Z73"/>
    </row>
    <row r="74" ht="22" customHeight="1">
      <c r="A74" s="502" t="str">
        <v>Capital spending / D&amp;A</v>
      </c>
      <c r="B74" s="452"/>
      <c r="C74" s="492" t="n">
        <f>IF('Operating Metrics'!C73=0,"",'Operating Metrics'!C69/'Operating Metrics'!C73)</f>
        <v>1.800420168067227</v>
      </c>
      <c r="D74" s="492" t="n">
        <f>IF('Operating Metrics'!D73=0,"",'Operating Metrics'!D69/'Operating Metrics'!D73)</f>
        <v>1.6809756097560975</v>
      </c>
      <c r="E74" s="492" t="n">
        <f>IF('Operating Metrics'!E73=0,"",'Operating Metrics'!E69/'Operating Metrics'!E73)</f>
        <v>1.441534144059869</v>
      </c>
      <c r="F74" s="492" t="n">
        <f>IF('Operating Metrics'!F73=0,"",'Operating Metrics'!F69/'Operating Metrics'!F73)</f>
        <v>1.2296431838975297</v>
      </c>
      <c r="G74" s="492"/>
      <c r="H74" s="492" t="n">
        <f>IF('Operating Metrics'!H73=0,"",'Operating Metrics'!H69/'Operating Metrics'!H73)</f>
        <v>0.7468879668049793</v>
      </c>
      <c r="I74" s="492" t="n">
        <f>IF('Operating Metrics'!I73=0,"",'Operating Metrics'!I69/'Operating Metrics'!I73)</f>
        <v>1.2016129032258065</v>
      </c>
      <c r="J74" s="492" t="n">
        <f>IF('Operating Metrics'!J73=0,"",'Operating Metrics'!J69/'Operating Metrics'!J73)</f>
        <v>1.3096234309623431</v>
      </c>
      <c r="K74" s="492" t="n">
        <f>IF('Operating Metrics'!K73=0,"",'Operating Metrics'!K69/'Operating Metrics'!K73)</f>
        <v>2.19941348973607</v>
      </c>
      <c r="L74" s="492" t="n">
        <f>IF('Operating Metrics'!L73=0,"",'Operating Metrics'!L69/'Operating Metrics'!L73)</f>
        <v>0.9802371541501976</v>
      </c>
      <c r="M74" s="492" t="n">
        <f>IF('Operating Metrics'!M73=0,"",'Operating Metrics'!M69/'Operating Metrics'!M73)</f>
        <v>1.1742738589211619</v>
      </c>
      <c r="N74" s="492" t="n">
        <f>IF('Operating Metrics'!N73=0,"",'Operating Metrics'!N69/'Operating Metrics'!N73)</f>
        <v>1.1779661016949152</v>
      </c>
      <c r="O74" s="492" t="n">
        <f>IF('Operating Metrics'!O73=0,"",'Operating Metrics'!O69/'Operating Metrics'!O73)</f>
        <v>1.4738292011019283</v>
      </c>
      <c r="P74" s="492" t="n">
        <f>IF('Operating Metrics'!P73=0,"",'Operating Metrics'!P69/'Operating Metrics'!P73)</f>
        <v>0.7261904761904762</v>
      </c>
      <c r="Q74" s="492" t="n">
        <f>IF('Operating Metrics'!Q73=0,"",'Operating Metrics'!Q69/'Operating Metrics'!Q73)</f>
        <v>0.9490909090909091</v>
      </c>
      <c r="R74" s="492" t="n">
        <f>IF('Operating Metrics'!R73=0,"",'Operating Metrics'!R69/'Operating Metrics'!R73)</f>
        <v>1.1588447653429603</v>
      </c>
      <c r="S74" s="492"/>
      <c r="T74" s="492"/>
      <c r="U74" s="492"/>
      <c r="V74" s="492"/>
      <c r="W74" s="492"/>
      <c r="X74" s="492"/>
      <c r="Y74"/>
      <c r="Z74"/>
    </row>
    <row r="75" ht="24" customHeight="1">
      <c r="A75" s="477" t="str">
        <v>IB Franchise</v>
      </c>
      <c r="B75" s="477"/>
      <c r="C75" s="477"/>
      <c r="D75" s="477"/>
      <c r="E75" s="477"/>
      <c r="F75" s="477"/>
      <c r="G75" s="477"/>
      <c r="H75" s="477"/>
      <c r="I75" s="477"/>
      <c r="J75" s="477"/>
      <c r="K75" s="477"/>
      <c r="L75" s="477"/>
      <c r="M75" s="477"/>
      <c r="N75" s="477"/>
      <c r="O75" s="477"/>
      <c r="P75" s="477"/>
      <c r="Q75" s="477"/>
      <c r="R75" s="477"/>
      <c r="S75" s="477"/>
      <c r="T75" s="477"/>
      <c r="U75" s="477"/>
      <c r="V75" s="477"/>
      <c r="W75" s="477"/>
      <c r="X75" s="477"/>
      <c r="Y75"/>
      <c r="Z75"/>
    </row>
    <row r="76" ht="22" customHeight="1">
      <c r="A76" s="502" t="str">
        <v>Net revenue</v>
      </c>
      <c r="B76" s="452"/>
      <c r="C76" s="507" t="n">
        <v>4328</v>
      </c>
      <c r="D76" s="507" t="n">
        <v>4559</v>
      </c>
      <c r="E76" s="507" t="n">
        <v>4879</v>
      </c>
      <c r="F76" s="507" t="n">
        <v>4997</v>
      </c>
      <c r="G76" s="473"/>
      <c r="H76" s="507" t="n">
        <v>739</v>
      </c>
      <c r="I76" s="507" t="n">
        <v>1326</v>
      </c>
      <c r="J76" s="507" t="n">
        <v>1290</v>
      </c>
      <c r="K76" s="507" t="n">
        <v>1524</v>
      </c>
      <c r="L76" s="507" t="n">
        <v>759</v>
      </c>
      <c r="M76" s="507" t="n">
        <v>1368</v>
      </c>
      <c r="N76" s="507" t="n">
        <v>1291</v>
      </c>
      <c r="O76" s="507" t="n">
        <v>1579</v>
      </c>
      <c r="P76" s="507" t="n">
        <v>824</v>
      </c>
      <c r="Q76" s="507" t="n">
        <v>1523</v>
      </c>
      <c r="R76" s="507" t="n">
        <v>1401</v>
      </c>
      <c r="S76" s="473"/>
      <c r="T76" s="473"/>
      <c r="U76" s="473"/>
      <c r="V76" s="473"/>
      <c r="W76" s="473"/>
      <c r="X76" s="473"/>
      <c r="Y76"/>
      <c r="Z76"/>
    </row>
    <row r="77" ht="20" customHeight="1">
      <c r="A77" s="505" t="str">
        <v>Net revenue YoY</v>
      </c>
      <c r="B77" s="452"/>
      <c r="C77" s="506"/>
      <c r="D77" s="476" t="n">
        <f>IF(OR('Operating Metrics'!C76&lt;=0,'Operating Metrics'!D76&lt;0),"",'Operating Metrics'!D76/'Operating Metrics'!C76-1)</f>
        <v>0.05337338262476887</v>
      </c>
      <c r="E77" s="476" t="n">
        <f>IF(OR('Operating Metrics'!D76&lt;=0,'Operating Metrics'!E76&lt;0),"",'Operating Metrics'!E76/'Operating Metrics'!D76-1)</f>
        <v>0.07019083132265846</v>
      </c>
      <c r="F77" s="476" t="n">
        <f>IF(OR('Operating Metrics'!E76&lt;=0,'Operating Metrics'!F76&lt;0),"",'Operating Metrics'!F76/'Operating Metrics'!E76-1)</f>
        <v>0.02418528386964547</v>
      </c>
      <c r="G77" s="506"/>
      <c r="H77" s="506"/>
      <c r="I77" s="506"/>
      <c r="J77" s="506"/>
      <c r="K77" s="506"/>
      <c r="L77" s="476" t="n">
        <f>IF(OR('Operating Metrics'!H76&lt;=0,'Operating Metrics'!L76&lt;0),"",'Operating Metrics'!L76/'Operating Metrics'!H76-1)</f>
        <v>0.02706359945872805</v>
      </c>
      <c r="M77" s="476" t="n">
        <f>IF(OR('Operating Metrics'!I76&lt;=0,'Operating Metrics'!M76&lt;0),"",'Operating Metrics'!M76/'Operating Metrics'!I76-1)</f>
        <v>0.03167420814479649</v>
      </c>
      <c r="N77" s="476" t="n">
        <f>IF(OR('Operating Metrics'!J76&lt;=0,'Operating Metrics'!N76&lt;0),"",'Operating Metrics'!N76/'Operating Metrics'!J76-1)</f>
        <v>0.0007751937984497026</v>
      </c>
      <c r="O77" s="476" t="n">
        <f>IF(OR('Operating Metrics'!K76&lt;=0,'Operating Metrics'!O76&lt;0),"",'Operating Metrics'!O76/'Operating Metrics'!K76-1)</f>
        <v>0.03608923884514437</v>
      </c>
      <c r="P77" s="476" t="n">
        <f>IF(OR('Operating Metrics'!L76&lt;=0,'Operating Metrics'!P76&lt;0),"",'Operating Metrics'!P76/'Operating Metrics'!L76-1)</f>
        <v>0.08563899868247704</v>
      </c>
      <c r="Q77" s="476" t="n">
        <f>IF(OR('Operating Metrics'!M76&lt;=0,'Operating Metrics'!Q76&lt;0),"",'Operating Metrics'!Q76/'Operating Metrics'!M76-1)</f>
        <v>0.11330409356725135</v>
      </c>
      <c r="R77" s="476" t="n">
        <f>IF(OR('Operating Metrics'!N76&lt;=0,'Operating Metrics'!R76&lt;0),"",'Operating Metrics'!R76/'Operating Metrics'!N76-1)</f>
        <v>0.08520526723470168</v>
      </c>
      <c r="S77" s="506"/>
      <c r="T77" s="506"/>
      <c r="U77" s="506"/>
      <c r="V77" s="506"/>
      <c r="W77" s="506"/>
      <c r="X77" s="506"/>
      <c r="Y77"/>
      <c r="Z77"/>
    </row>
    <row r="78" ht="22" customHeight="1">
      <c r="A78" s="502" t="str">
        <v>Reported operating profit</v>
      </c>
      <c r="B78" s="452"/>
      <c r="C78" s="507" t="n">
        <v>-12</v>
      </c>
      <c r="D78" s="507" t="n">
        <v>567</v>
      </c>
      <c r="E78" s="507" t="n">
        <v>1462</v>
      </c>
      <c r="F78" s="507" t="n">
        <v>1769</v>
      </c>
      <c r="G78" s="473"/>
      <c r="H78" s="507" t="n">
        <v>261</v>
      </c>
      <c r="I78" s="507" t="n">
        <v>502</v>
      </c>
      <c r="J78" s="507" t="n">
        <v>458</v>
      </c>
      <c r="K78" s="507" t="n">
        <v>241</v>
      </c>
      <c r="L78" s="507" t="n">
        <v>277</v>
      </c>
      <c r="M78" s="507" t="n">
        <v>535</v>
      </c>
      <c r="N78" s="507" t="n">
        <v>436</v>
      </c>
      <c r="O78" s="507" t="n">
        <v>521</v>
      </c>
      <c r="P78" s="507" t="n">
        <v>321</v>
      </c>
      <c r="Q78" s="507" t="n">
        <v>637</v>
      </c>
      <c r="R78" s="507" t="n">
        <v>562</v>
      </c>
      <c r="S78" s="473"/>
      <c r="T78" s="473"/>
      <c r="U78" s="473"/>
      <c r="V78" s="473"/>
      <c r="W78" s="473"/>
      <c r="X78" s="473"/>
      <c r="Y78"/>
      <c r="Z78"/>
    </row>
    <row r="79" ht="22" customHeight="1">
      <c r="A79" s="502" t="str">
        <v>Core operating profit</v>
      </c>
      <c r="B79" s="452"/>
      <c r="C79" s="473"/>
      <c r="D79" s="507" t="n">
        <v>1440</v>
      </c>
      <c r="E79" s="507" t="n">
        <v>1708</v>
      </c>
      <c r="F79" s="507" t="n">
        <v>1856</v>
      </c>
      <c r="G79" s="473"/>
      <c r="H79" s="507" t="n">
        <v>261</v>
      </c>
      <c r="I79" s="507" t="n">
        <v>502</v>
      </c>
      <c r="J79" s="507" t="n">
        <v>473</v>
      </c>
      <c r="K79" s="507" t="n">
        <v>472</v>
      </c>
      <c r="L79" s="507" t="n">
        <v>279</v>
      </c>
      <c r="M79" s="507" t="n">
        <v>538</v>
      </c>
      <c r="N79" s="507" t="n">
        <v>511</v>
      </c>
      <c r="O79" s="507" t="n">
        <v>528</v>
      </c>
      <c r="P79" s="507" t="n">
        <v>328</v>
      </c>
      <c r="Q79" s="507" t="n">
        <v>638</v>
      </c>
      <c r="R79" s="507" t="n">
        <v>564</v>
      </c>
      <c r="S79" s="473"/>
      <c r="T79" s="473"/>
      <c r="U79" s="473"/>
      <c r="V79" s="473"/>
      <c r="W79" s="473"/>
      <c r="X79" s="473"/>
      <c r="Y79"/>
      <c r="Z79"/>
    </row>
    <row r="80" ht="20" customHeight="1">
      <c r="A80" s="505" t="str">
        <v>Core operating profit YoY</v>
      </c>
      <c r="B80" s="452"/>
      <c r="C80" s="506"/>
      <c r="D80" s="506"/>
      <c r="E80" s="476" t="n">
        <f>IF(OR('Operating Metrics'!D79&lt;=0,'Operating Metrics'!E79&lt;0),"",'Operating Metrics'!E79/'Operating Metrics'!D79-1)</f>
        <v>0.18611111111111112</v>
      </c>
      <c r="F80" s="476" t="n">
        <f>IF(OR('Operating Metrics'!E79&lt;=0,'Operating Metrics'!F79&lt;0),"",'Operating Metrics'!F79/'Operating Metrics'!E79-1)</f>
        <v>0.08665105386416871</v>
      </c>
      <c r="G80" s="506"/>
      <c r="H80" s="506"/>
      <c r="I80" s="506"/>
      <c r="J80" s="506"/>
      <c r="K80" s="506"/>
      <c r="L80" s="476" t="n">
        <f>IF(OR('Operating Metrics'!H79&lt;=0,'Operating Metrics'!L79&lt;0),"",'Operating Metrics'!L79/'Operating Metrics'!H79-1)</f>
        <v>0.06896551724137923</v>
      </c>
      <c r="M80" s="476" t="n">
        <f>IF(OR('Operating Metrics'!I79&lt;=0,'Operating Metrics'!M79&lt;0),"",'Operating Metrics'!M79/'Operating Metrics'!I79-1)</f>
        <v>0.0717131474103585</v>
      </c>
      <c r="N80" s="476" t="n">
        <f>IF(OR('Operating Metrics'!J79&lt;=0,'Operating Metrics'!N79&lt;0),"",'Operating Metrics'!N79/'Operating Metrics'!J79-1)</f>
        <v>0.08033826638477803</v>
      </c>
      <c r="O80" s="476" t="n">
        <f>IF(OR('Operating Metrics'!K79&lt;=0,'Operating Metrics'!O79&lt;0),"",'Operating Metrics'!O79/'Operating Metrics'!K79-1)</f>
        <v>0.11864406779661008</v>
      </c>
      <c r="P80" s="476" t="n">
        <f>IF(OR('Operating Metrics'!L79&lt;=0,'Operating Metrics'!P79&lt;0),"",'Operating Metrics'!P79/'Operating Metrics'!L79-1)</f>
        <v>0.17562724014336917</v>
      </c>
      <c r="Q80" s="476" t="n">
        <f>IF(OR('Operating Metrics'!M79&lt;=0,'Operating Metrics'!Q79&lt;0),"",'Operating Metrics'!Q79/'Operating Metrics'!M79-1)</f>
        <v>0.18587360594795532</v>
      </c>
      <c r="R80" s="476" t="n">
        <f>IF(OR('Operating Metrics'!N79&lt;=0,'Operating Metrics'!R79&lt;0),"",'Operating Metrics'!R79/'Operating Metrics'!N79-1)</f>
        <v>0.1037181996086105</v>
      </c>
      <c r="S80" s="506"/>
      <c r="T80" s="506"/>
      <c r="U80" s="506"/>
      <c r="V80" s="506"/>
      <c r="W80" s="506"/>
      <c r="X80" s="506"/>
      <c r="Y80"/>
      <c r="Z80"/>
    </row>
    <row r="81" ht="20" customHeight="1">
      <c r="A81" s="505" t="str">
        <v>Core operating margin</v>
      </c>
      <c r="B81" s="452"/>
      <c r="C81" s="506"/>
      <c r="D81" s="476" t="n">
        <f>IF('Operating Metrics'!D76=0,"",'Operating Metrics'!D79/'Operating Metrics'!D76)</f>
        <v>0.31585874095196315</v>
      </c>
      <c r="E81" s="476" t="n">
        <f>IF('Operating Metrics'!E76=0,"",'Operating Metrics'!E79/'Operating Metrics'!E76)</f>
        <v>0.3500717360114778</v>
      </c>
      <c r="F81" s="476" t="n">
        <f>IF('Operating Metrics'!F76=0,"",'Operating Metrics'!F79/'Operating Metrics'!F76)</f>
        <v>0.37142285371222733</v>
      </c>
      <c r="G81" s="506"/>
      <c r="H81" s="476" t="n">
        <f>IF('Operating Metrics'!H76=0,"",'Operating Metrics'!H79/'Operating Metrics'!H76)</f>
        <v>0.3531799729364005</v>
      </c>
      <c r="I81" s="476" t="n">
        <f>IF('Operating Metrics'!I76=0,"",'Operating Metrics'!I79/'Operating Metrics'!I76)</f>
        <v>0.37858220211161386</v>
      </c>
      <c r="J81" s="476" t="n">
        <f>IF('Operating Metrics'!J76=0,"",'Operating Metrics'!J79/'Operating Metrics'!J76)</f>
        <v>0.36666666666666664</v>
      </c>
      <c r="K81" s="476" t="n">
        <f>IF('Operating Metrics'!K76=0,"",'Operating Metrics'!K79/'Operating Metrics'!K76)</f>
        <v>0.30971128608923887</v>
      </c>
      <c r="L81" s="476" t="n">
        <f>IF('Operating Metrics'!L76=0,"",'Operating Metrics'!L79/'Operating Metrics'!L76)</f>
        <v>0.3675889328063241</v>
      </c>
      <c r="M81" s="476" t="n">
        <f>IF('Operating Metrics'!M76=0,"",'Operating Metrics'!M79/'Operating Metrics'!M76)</f>
        <v>0.3932748538011696</v>
      </c>
      <c r="N81" s="476" t="n">
        <f>IF('Operating Metrics'!N76=0,"",'Operating Metrics'!N79/'Operating Metrics'!N76)</f>
        <v>0.3958171959721146</v>
      </c>
      <c r="O81" s="476" t="n">
        <f>IF('Operating Metrics'!O76=0,"",'Operating Metrics'!O79/'Operating Metrics'!O76)</f>
        <v>0.3343888537048765</v>
      </c>
      <c r="P81" s="476" t="n">
        <f>IF('Operating Metrics'!P76=0,"",'Operating Metrics'!P79/'Operating Metrics'!P76)</f>
        <v>0.39805825242718446</v>
      </c>
      <c r="Q81" s="476" t="n">
        <f>IF('Operating Metrics'!Q76=0,"",'Operating Metrics'!Q79/'Operating Metrics'!Q76)</f>
        <v>0.4189100459619173</v>
      </c>
      <c r="R81" s="476" t="n">
        <f>IF('Operating Metrics'!R76=0,"",'Operating Metrics'!R79/'Operating Metrics'!R76)</f>
        <v>0.4025695931477516</v>
      </c>
      <c r="S81" s="506"/>
      <c r="T81" s="506"/>
      <c r="U81" s="506"/>
      <c r="V81" s="506"/>
      <c r="W81" s="506"/>
      <c r="X81" s="506"/>
      <c r="Y81"/>
      <c r="Z81"/>
    </row>
    <row r="82" ht="20" customHeight="1">
      <c r="A82" s="505" t="str">
        <v>Organic revenue growth</v>
      </c>
      <c r="B82" s="452"/>
      <c r="C82" s="506"/>
      <c r="D82" s="508" t="n">
        <v>0.06</v>
      </c>
      <c r="E82" s="508" t="n">
        <v>0.08</v>
      </c>
      <c r="F82" s="508" t="n">
        <v>0.03</v>
      </c>
      <c r="G82" s="506"/>
      <c r="H82" s="508" t="n">
        <v>0.07</v>
      </c>
      <c r="I82" s="508" t="n">
        <v>0.08</v>
      </c>
      <c r="J82" s="508" t="n">
        <v>0.06</v>
      </c>
      <c r="K82" s="508" t="n">
        <v>0.11</v>
      </c>
      <c r="L82" s="508" t="n">
        <v>0.07</v>
      </c>
      <c r="M82" s="508" t="n">
        <v>0.05</v>
      </c>
      <c r="N82" s="508" t="n">
        <v>-0.01</v>
      </c>
      <c r="O82" s="508" t="n">
        <v>0.02</v>
      </c>
      <c r="P82" s="508" t="n">
        <v>0.05</v>
      </c>
      <c r="Q82" s="508" t="n">
        <v>0.09</v>
      </c>
      <c r="R82" s="508" t="n">
        <v>0.07</v>
      </c>
      <c r="S82" s="506"/>
      <c r="T82" s="506"/>
      <c r="U82" s="506"/>
      <c r="V82" s="506"/>
      <c r="W82" s="506"/>
      <c r="X82" s="506"/>
      <c r="Y82"/>
      <c r="Z82"/>
    </row>
    <row r="83" ht="20" customHeight="1">
      <c r="A83" s="505" t="str">
        <v>Organic physical volume - beverages</v>
      </c>
      <c r="B83" s="452"/>
      <c r="C83" s="506"/>
      <c r="D83" s="508" t="n">
        <v>0.02</v>
      </c>
      <c r="E83" s="508" t="n">
        <v>0.01</v>
      </c>
      <c r="F83" s="508" t="n">
        <v>0.015</v>
      </c>
      <c r="G83" s="506"/>
      <c r="H83" s="508" t="n">
        <v>0.02</v>
      </c>
      <c r="I83" s="508" t="n">
        <v>0.02</v>
      </c>
      <c r="J83" s="508" t="n">
        <v>-0.01</v>
      </c>
      <c r="K83" s="508" t="n">
        <v>0.03</v>
      </c>
      <c r="L83" s="508" t="n">
        <v>0.03</v>
      </c>
      <c r="M83" s="508" t="n">
        <v>0.01</v>
      </c>
      <c r="N83" s="508" t="n">
        <v>-0.01</v>
      </c>
      <c r="O83" s="508" t="n">
        <v>0.03</v>
      </c>
      <c r="P83" s="508" t="n">
        <v>0.005</v>
      </c>
      <c r="Q83" s="508" t="n">
        <v>0.05</v>
      </c>
      <c r="R83" s="508" t="n">
        <v>0.05</v>
      </c>
      <c r="S83" s="506"/>
      <c r="T83" s="506"/>
      <c r="U83" s="506"/>
      <c r="V83" s="506"/>
      <c r="W83" s="506"/>
      <c r="X83" s="506"/>
      <c r="Y83"/>
      <c r="Z83"/>
    </row>
    <row r="84" ht="20" customHeight="1">
      <c r="A84" s="505" t="str">
        <v>Effective net pricing</v>
      </c>
      <c r="B84" s="452"/>
      <c r="C84" s="506"/>
      <c r="D84" s="508" t="n">
        <v>0.07</v>
      </c>
      <c r="E84" s="508" t="n">
        <v>0.05</v>
      </c>
      <c r="F84" s="508" t="n">
        <v>0.02</v>
      </c>
      <c r="G84" s="506"/>
      <c r="H84" s="508" t="n">
        <v>0.03</v>
      </c>
      <c r="I84" s="508" t="n">
        <v>0.07</v>
      </c>
      <c r="J84" s="508" t="n">
        <v>0.05</v>
      </c>
      <c r="K84" s="508" t="n">
        <v>0.055</v>
      </c>
      <c r="L84" s="508" t="n">
        <v>0.02</v>
      </c>
      <c r="M84" s="508" t="n">
        <v>0.04</v>
      </c>
      <c r="N84" s="508" t="n">
        <v>0.04</v>
      </c>
      <c r="O84" s="508" t="n">
        <v>0</v>
      </c>
      <c r="P84" s="508" t="n">
        <v>0.08</v>
      </c>
      <c r="Q84" s="508" t="n">
        <v>0.03</v>
      </c>
      <c r="R84" s="508" t="n">
        <v>0.02</v>
      </c>
      <c r="S84" s="506"/>
      <c r="T84" s="506"/>
      <c r="U84" s="506"/>
      <c r="V84" s="506"/>
      <c r="W84" s="506"/>
      <c r="X84" s="506"/>
      <c r="Y84"/>
      <c r="Z84"/>
    </row>
    <row r="85" ht="22" customHeight="1">
      <c r="A85" s="502" t="str">
        <v>Capital spending</v>
      </c>
      <c r="B85" s="452"/>
      <c r="C85" s="507" t="n">
        <v>128</v>
      </c>
      <c r="D85" s="507" t="n">
        <v>110</v>
      </c>
      <c r="E85" s="507" t="n">
        <v>148</v>
      </c>
      <c r="F85" s="507" t="n">
        <v>124</v>
      </c>
      <c r="G85" s="473"/>
      <c r="H85" s="507" t="n">
        <v>11</v>
      </c>
      <c r="I85" s="507" t="n">
        <v>33</v>
      </c>
      <c r="J85" s="507" t="n">
        <v>33</v>
      </c>
      <c r="K85" s="473" t="n">
        <f>'Operating Metrics'!E85-SUM('Operating Metrics'!H85,'Operating Metrics'!I85,'Operating Metrics'!J85)</f>
        <v>71</v>
      </c>
      <c r="L85" s="507" t="n">
        <v>16</v>
      </c>
      <c r="M85" s="507" t="n">
        <v>30</v>
      </c>
      <c r="N85" s="507" t="n">
        <v>31</v>
      </c>
      <c r="O85" s="473" t="n">
        <f>'Operating Metrics'!F85-SUM('Operating Metrics'!L85,'Operating Metrics'!M85,'Operating Metrics'!N85)</f>
        <v>47</v>
      </c>
      <c r="P85" s="507" t="n">
        <v>9</v>
      </c>
      <c r="Q85" s="507" t="n">
        <v>20</v>
      </c>
      <c r="R85" s="507" t="n">
        <v>22</v>
      </c>
      <c r="S85" s="473"/>
      <c r="T85" s="473"/>
      <c r="U85" s="473"/>
      <c r="V85" s="473"/>
      <c r="W85" s="473"/>
      <c r="X85" s="473"/>
      <c r="Y85"/>
      <c r="Z85"/>
    </row>
    <row r="86" ht="20" customHeight="1">
      <c r="A86" s="505" t="str">
        <v>Capital spending / net revenue</v>
      </c>
      <c r="B86" s="452"/>
      <c r="C86" s="476" t="n">
        <f>IF('Operating Metrics'!C76=0,"",'Operating Metrics'!C85/'Operating Metrics'!C76)</f>
        <v>0.029574861367837338</v>
      </c>
      <c r="D86" s="476" t="n">
        <f>IF('Operating Metrics'!D76=0,"",'Operating Metrics'!D85/'Operating Metrics'!D76)</f>
        <v>0.02412809826716385</v>
      </c>
      <c r="E86" s="476" t="n">
        <f>IF('Operating Metrics'!E76=0,"",'Operating Metrics'!E85/'Operating Metrics'!E76)</f>
        <v>0.030334084853453576</v>
      </c>
      <c r="F86" s="476" t="n">
        <f>IF('Operating Metrics'!F76=0,"",'Operating Metrics'!F85/'Operating Metrics'!F76)</f>
        <v>0.024814888933360015</v>
      </c>
      <c r="G86" s="506"/>
      <c r="H86" s="476" t="n">
        <f>IF('Operating Metrics'!H76=0,"",'Operating Metrics'!H85/'Operating Metrics'!H76)</f>
        <v>0.014884979702300407</v>
      </c>
      <c r="I86" s="476" t="n">
        <f>IF('Operating Metrics'!I76=0,"",'Operating Metrics'!I85/'Operating Metrics'!I76)</f>
        <v>0.024886877828054297</v>
      </c>
      <c r="J86" s="476" t="n">
        <f>IF('Operating Metrics'!J76=0,"",'Operating Metrics'!J85/'Operating Metrics'!J76)</f>
        <v>0.02558139534883721</v>
      </c>
      <c r="K86" s="476" t="n">
        <f>IF('Operating Metrics'!K76=0,"",'Operating Metrics'!K85/'Operating Metrics'!K76)</f>
        <v>0.046587926509186355</v>
      </c>
      <c r="L86" s="476" t="n">
        <f>IF('Operating Metrics'!L76=0,"",'Operating Metrics'!L85/'Operating Metrics'!L76)</f>
        <v>0.021080368906455864</v>
      </c>
      <c r="M86" s="476" t="n">
        <f>IF('Operating Metrics'!M76=0,"",'Operating Metrics'!M85/'Operating Metrics'!M76)</f>
        <v>0.021929824561403508</v>
      </c>
      <c r="N86" s="476" t="n">
        <f>IF('Operating Metrics'!N76=0,"",'Operating Metrics'!N85/'Operating Metrics'!N76)</f>
        <v>0.024012393493415957</v>
      </c>
      <c r="O86" s="476" t="n">
        <f>IF('Operating Metrics'!O76=0,"",'Operating Metrics'!O85/'Operating Metrics'!O76)</f>
        <v>0.029765674477517417</v>
      </c>
      <c r="P86" s="476" t="n">
        <f>IF('Operating Metrics'!P76=0,"",'Operating Metrics'!P85/'Operating Metrics'!P76)</f>
        <v>0.010922330097087379</v>
      </c>
      <c r="Q86" s="476" t="n">
        <f>IF('Operating Metrics'!Q76=0,"",'Operating Metrics'!Q85/'Operating Metrics'!Q76)</f>
        <v>0.013131976362442548</v>
      </c>
      <c r="R86" s="476" t="n">
        <f>IF('Operating Metrics'!R76=0,"",'Operating Metrics'!R85/'Operating Metrics'!R76)</f>
        <v>0.015703069236259814</v>
      </c>
      <c r="S86" s="506"/>
      <c r="T86" s="506"/>
      <c r="U86" s="506"/>
      <c r="V86" s="506"/>
      <c r="W86" s="506"/>
      <c r="X86" s="506"/>
      <c r="Y86"/>
      <c r="Z86"/>
    </row>
    <row r="87" ht="22" customHeight="1">
      <c r="A87" s="502" t="str">
        <v>Depreciation and other amortization</v>
      </c>
      <c r="B87" s="452"/>
      <c r="C87" s="507" t="n">
        <v>80</v>
      </c>
      <c r="D87" s="507" t="n">
        <v>82</v>
      </c>
      <c r="E87" s="507" t="n">
        <v>92</v>
      </c>
      <c r="F87" s="473"/>
      <c r="G87" s="473"/>
      <c r="H87" s="507" t="n">
        <v>15</v>
      </c>
      <c r="I87" s="507" t="n">
        <v>22</v>
      </c>
      <c r="J87" s="507" t="n">
        <v>24</v>
      </c>
      <c r="K87" s="473" t="n">
        <f>'Operating Metrics'!E87-SUM('Operating Metrics'!H87,'Operating Metrics'!I87,'Operating Metrics'!J87)</f>
        <v>31</v>
      </c>
      <c r="L87" s="507" t="n">
        <v>16</v>
      </c>
      <c r="M87" s="507" t="n">
        <v>23</v>
      </c>
      <c r="N87" s="507" t="n">
        <v>25</v>
      </c>
      <c r="O87" s="473"/>
      <c r="P87" s="473"/>
      <c r="Q87" s="473"/>
      <c r="R87" s="473"/>
      <c r="S87" s="473"/>
      <c r="T87" s="473"/>
      <c r="U87" s="473"/>
      <c r="V87" s="473"/>
      <c r="W87" s="473"/>
      <c r="X87" s="473"/>
      <c r="Y87"/>
      <c r="Z87"/>
    </row>
    <row r="88" ht="22" customHeight="1">
      <c r="A88" s="502" t="str">
        <v>Amortization of intangible assets</v>
      </c>
      <c r="B88" s="452"/>
      <c r="C88" s="507" t="n">
        <v>17</v>
      </c>
      <c r="D88" s="507" t="n">
        <v>17</v>
      </c>
      <c r="E88" s="507" t="n">
        <v>17</v>
      </c>
      <c r="F88" s="473"/>
      <c r="G88" s="473"/>
      <c r="H88" s="507" t="n">
        <v>3</v>
      </c>
      <c r="I88" s="507" t="n">
        <v>4</v>
      </c>
      <c r="J88" s="507" t="n">
        <v>4</v>
      </c>
      <c r="K88" s="473" t="n">
        <f>'Operating Metrics'!E88-SUM('Operating Metrics'!H88,'Operating Metrics'!I88,'Operating Metrics'!J88)</f>
        <v>6</v>
      </c>
      <c r="L88" s="507" t="n">
        <v>3</v>
      </c>
      <c r="M88" s="507" t="n">
        <v>4</v>
      </c>
      <c r="N88" s="507" t="n">
        <v>4</v>
      </c>
      <c r="O88" s="473"/>
      <c r="P88" s="473"/>
      <c r="Q88" s="473"/>
      <c r="R88" s="473"/>
      <c r="S88" s="473"/>
      <c r="T88" s="473"/>
      <c r="U88" s="473"/>
      <c r="V88" s="473"/>
      <c r="W88" s="473"/>
      <c r="X88" s="473"/>
      <c r="Y88"/>
      <c r="Z88"/>
    </row>
    <row r="89" ht="22" customHeight="1">
      <c r="A89" s="502" t="str">
        <v>Depreciation and amortization</v>
      </c>
      <c r="B89" s="452"/>
      <c r="C89" s="473" t="n">
        <f>'Operating Metrics'!C87+'Operating Metrics'!C88</f>
        <v>97</v>
      </c>
      <c r="D89" s="507" t="n">
        <v>99</v>
      </c>
      <c r="E89" s="507" t="n">
        <v>109</v>
      </c>
      <c r="F89" s="507" t="n">
        <v>109</v>
      </c>
      <c r="G89" s="473"/>
      <c r="H89" s="473" t="n">
        <f>'Operating Metrics'!H87+'Operating Metrics'!H88</f>
        <v>18</v>
      </c>
      <c r="I89" s="473" t="n">
        <f>'Operating Metrics'!I87+'Operating Metrics'!I88</f>
        <v>26</v>
      </c>
      <c r="J89" s="473" t="n">
        <f>'Operating Metrics'!J87+'Operating Metrics'!J88</f>
        <v>28</v>
      </c>
      <c r="K89" s="473" t="n">
        <f>'Operating Metrics'!E89-SUM('Operating Metrics'!H89,'Operating Metrics'!I89,'Operating Metrics'!J89)</f>
        <v>37</v>
      </c>
      <c r="L89" s="507" t="n">
        <v>19</v>
      </c>
      <c r="M89" s="507" t="n">
        <v>27</v>
      </c>
      <c r="N89" s="507" t="n">
        <v>29</v>
      </c>
      <c r="O89" s="473" t="n">
        <f>'Operating Metrics'!F89-SUM('Operating Metrics'!L89,'Operating Metrics'!M89,'Operating Metrics'!N89)</f>
        <v>34</v>
      </c>
      <c r="P89" s="507" t="n">
        <v>18</v>
      </c>
      <c r="Q89" s="507" t="n">
        <v>28</v>
      </c>
      <c r="R89" s="507" t="n">
        <v>25</v>
      </c>
      <c r="S89" s="473"/>
      <c r="T89" s="473"/>
      <c r="U89" s="473"/>
      <c r="V89" s="473"/>
      <c r="W89" s="473"/>
      <c r="X89" s="473"/>
      <c r="Y89"/>
      <c r="Z89"/>
    </row>
    <row r="90" ht="22" customHeight="1">
      <c r="A90" s="502" t="str">
        <v>Capital spending / D&amp;A</v>
      </c>
      <c r="B90" s="452"/>
      <c r="C90" s="492" t="n">
        <f>IF('Operating Metrics'!C89=0,"",'Operating Metrics'!C85/'Operating Metrics'!C89)</f>
        <v>1.3195876288659794</v>
      </c>
      <c r="D90" s="492" t="n">
        <f>IF('Operating Metrics'!D89=0,"",'Operating Metrics'!D85/'Operating Metrics'!D89)</f>
        <v>1.1111111111111112</v>
      </c>
      <c r="E90" s="492" t="n">
        <f>IF('Operating Metrics'!E89=0,"",'Operating Metrics'!E85/'Operating Metrics'!E89)</f>
        <v>1.3577981651376148</v>
      </c>
      <c r="F90" s="492" t="n">
        <f>IF('Operating Metrics'!F89=0,"",'Operating Metrics'!F85/'Operating Metrics'!F89)</f>
        <v>1.1376146788990826</v>
      </c>
      <c r="G90" s="492"/>
      <c r="H90" s="492" t="n">
        <f>IF('Operating Metrics'!H89=0,"",'Operating Metrics'!H85/'Operating Metrics'!H89)</f>
        <v>0.6111111111111112</v>
      </c>
      <c r="I90" s="492" t="n">
        <f>IF('Operating Metrics'!I89=0,"",'Operating Metrics'!I85/'Operating Metrics'!I89)</f>
        <v>1.2692307692307692</v>
      </c>
      <c r="J90" s="492" t="n">
        <f>IF('Operating Metrics'!J89=0,"",'Operating Metrics'!J85/'Operating Metrics'!J89)</f>
        <v>1.1785714285714286</v>
      </c>
      <c r="K90" s="492" t="n">
        <f>IF('Operating Metrics'!K89=0,"",'Operating Metrics'!K85/'Operating Metrics'!K89)</f>
        <v>1.9189189189189189</v>
      </c>
      <c r="L90" s="492" t="n">
        <f>IF('Operating Metrics'!L89=0,"",'Operating Metrics'!L85/'Operating Metrics'!L89)</f>
        <v>0.8421052631578947</v>
      </c>
      <c r="M90" s="492" t="n">
        <f>IF('Operating Metrics'!M89=0,"",'Operating Metrics'!M85/'Operating Metrics'!M89)</f>
        <v>1.1111111111111112</v>
      </c>
      <c r="N90" s="492" t="n">
        <f>IF('Operating Metrics'!N89=0,"",'Operating Metrics'!N85/'Operating Metrics'!N89)</f>
        <v>1.0689655172413792</v>
      </c>
      <c r="O90" s="492" t="n">
        <f>IF('Operating Metrics'!O89=0,"",'Operating Metrics'!O85/'Operating Metrics'!O89)</f>
        <v>1.3823529411764706</v>
      </c>
      <c r="P90" s="492" t="n">
        <f>IF('Operating Metrics'!P89=0,"",'Operating Metrics'!P85/'Operating Metrics'!P89)</f>
        <v>0.5</v>
      </c>
      <c r="Q90" s="492" t="n">
        <f>IF('Operating Metrics'!Q89=0,"",'Operating Metrics'!Q85/'Operating Metrics'!Q89)</f>
        <v>0.7142857142857143</v>
      </c>
      <c r="R90" s="492" t="n">
        <f>IF('Operating Metrics'!R89=0,"",'Operating Metrics'!R85/'Operating Metrics'!R89)</f>
        <v>0.88</v>
      </c>
      <c r="S90" s="492"/>
      <c r="T90" s="492"/>
      <c r="U90" s="492"/>
      <c r="V90" s="492"/>
      <c r="W90" s="492"/>
      <c r="X90" s="492"/>
      <c r="Y90"/>
      <c r="Z90"/>
    </row>
    <row r="91" ht="24" customHeight="1">
      <c r="A91" s="477" t="str">
        <v>EMEA</v>
      </c>
      <c r="B91" s="477"/>
      <c r="C91" s="477"/>
      <c r="D91" s="477"/>
      <c r="E91" s="477"/>
      <c r="F91" s="477"/>
      <c r="G91" s="477"/>
      <c r="H91" s="477"/>
      <c r="I91" s="477"/>
      <c r="J91" s="477"/>
      <c r="K91" s="477"/>
      <c r="L91" s="477"/>
      <c r="M91" s="477"/>
      <c r="N91" s="477"/>
      <c r="O91" s="477"/>
      <c r="P91" s="477"/>
      <c r="Q91" s="477"/>
      <c r="R91" s="477"/>
      <c r="S91" s="477"/>
      <c r="T91" s="477"/>
      <c r="U91" s="477"/>
      <c r="V91" s="477"/>
      <c r="W91" s="477"/>
      <c r="X91" s="477"/>
      <c r="Y91"/>
      <c r="Z91"/>
    </row>
    <row r="92" ht="22" customHeight="1">
      <c r="A92" s="502" t="str">
        <v>Net revenue</v>
      </c>
      <c r="B92" s="452"/>
      <c r="C92" s="507" t="n">
        <v>16032</v>
      </c>
      <c r="D92" s="507" t="n">
        <v>16210</v>
      </c>
      <c r="E92" s="507" t="n">
        <v>16658</v>
      </c>
      <c r="F92" s="507" t="n">
        <v>18025</v>
      </c>
      <c r="G92" s="473"/>
      <c r="H92" s="507" t="n">
        <v>2433</v>
      </c>
      <c r="I92" s="507" t="n">
        <v>4183</v>
      </c>
      <c r="J92" s="507" t="n">
        <v>4612</v>
      </c>
      <c r="K92" s="507" t="n">
        <v>5430</v>
      </c>
      <c r="L92" s="507" t="n">
        <v>2388</v>
      </c>
      <c r="M92" s="507" t="n">
        <v>4536</v>
      </c>
      <c r="N92" s="507" t="n">
        <v>5022</v>
      </c>
      <c r="O92" s="507" t="n">
        <v>6079</v>
      </c>
      <c r="P92" s="507" t="n">
        <v>2823</v>
      </c>
      <c r="Q92" s="507" t="n">
        <v>4983</v>
      </c>
      <c r="R92" s="507" t="n">
        <v>5413</v>
      </c>
      <c r="S92" s="473"/>
      <c r="T92" s="473"/>
      <c r="U92" s="473"/>
      <c r="V92" s="473"/>
      <c r="W92" s="473"/>
      <c r="X92" s="473"/>
      <c r="Y92"/>
      <c r="Z92"/>
    </row>
    <row r="93" ht="20" customHeight="1">
      <c r="A93" s="505" t="str">
        <v>Net revenue YoY</v>
      </c>
      <c r="B93" s="452"/>
      <c r="C93" s="506"/>
      <c r="D93" s="476" t="n">
        <f>IF(OR('Operating Metrics'!C92&lt;=0,'Operating Metrics'!D92&lt;0),"",'Operating Metrics'!D92/'Operating Metrics'!C92-1)</f>
        <v>0.011102794411177674</v>
      </c>
      <c r="E93" s="476" t="n">
        <f>IF(OR('Operating Metrics'!D92&lt;=0,'Operating Metrics'!E92&lt;0),"",'Operating Metrics'!E92/'Operating Metrics'!D92-1)</f>
        <v>0.02763726095003083</v>
      </c>
      <c r="F93" s="476" t="n">
        <f>IF(OR('Operating Metrics'!E92&lt;=0,'Operating Metrics'!F92&lt;0),"",'Operating Metrics'!F92/'Operating Metrics'!E92-1)</f>
        <v>0.08206267258974664</v>
      </c>
      <c r="G93" s="506"/>
      <c r="H93" s="506"/>
      <c r="I93" s="506"/>
      <c r="J93" s="506"/>
      <c r="K93" s="506"/>
      <c r="L93" s="476" t="n">
        <f>IF(OR('Operating Metrics'!H92&lt;=0,'Operating Metrics'!L92&lt;0),"",'Operating Metrics'!L92/'Operating Metrics'!H92-1)</f>
        <v>-0.018495684340320562</v>
      </c>
      <c r="M93" s="476" t="n">
        <f>IF(OR('Operating Metrics'!I92&lt;=0,'Operating Metrics'!M92&lt;0),"",'Operating Metrics'!M92/'Operating Metrics'!I92-1)</f>
        <v>0.08438919435811609</v>
      </c>
      <c r="N93" s="476" t="n">
        <f>IF(OR('Operating Metrics'!J92&lt;=0,'Operating Metrics'!N92&lt;0),"",'Operating Metrics'!N92/'Operating Metrics'!J92-1)</f>
        <v>0.08889852558542932</v>
      </c>
      <c r="O93" s="476" t="n">
        <f>IF(OR('Operating Metrics'!K92&lt;=0,'Operating Metrics'!O92&lt;0),"",'Operating Metrics'!O92/'Operating Metrics'!K92-1)</f>
        <v>0.1195211786372008</v>
      </c>
      <c r="P93" s="476" t="n">
        <f>IF(OR('Operating Metrics'!L92&lt;=0,'Operating Metrics'!P92&lt;0),"",'Operating Metrics'!P92/'Operating Metrics'!L92-1)</f>
        <v>0.1821608040201006</v>
      </c>
      <c r="Q93" s="476" t="n">
        <f>IF(OR('Operating Metrics'!M92&lt;=0,'Operating Metrics'!Q92&lt;0),"",'Operating Metrics'!Q92/'Operating Metrics'!M92-1)</f>
        <v>0.09854497354497349</v>
      </c>
      <c r="R93" s="476" t="n">
        <f>IF(OR('Operating Metrics'!N92&lt;=0,'Operating Metrics'!R92&lt;0),"",'Operating Metrics'!R92/'Operating Metrics'!N92-1)</f>
        <v>0.07785742731979295</v>
      </c>
      <c r="S93" s="506"/>
      <c r="T93" s="506"/>
      <c r="U93" s="506"/>
      <c r="V93" s="506"/>
      <c r="W93" s="506"/>
      <c r="X93" s="506"/>
      <c r="Y93"/>
      <c r="Z93"/>
    </row>
    <row r="94" ht="22" customHeight="1">
      <c r="A94" s="502" t="str">
        <v>Reported operating profit</v>
      </c>
      <c r="B94" s="452"/>
      <c r="C94" s="507" t="n">
        <v>22</v>
      </c>
      <c r="D94" s="507" t="n">
        <v>1764</v>
      </c>
      <c r="E94" s="507" t="n">
        <v>1971</v>
      </c>
      <c r="F94" s="507" t="n">
        <v>2106</v>
      </c>
      <c r="G94" s="473"/>
      <c r="H94" s="507" t="n">
        <v>214</v>
      </c>
      <c r="I94" s="507" t="n">
        <v>582</v>
      </c>
      <c r="J94" s="507" t="n">
        <v>713</v>
      </c>
      <c r="K94" s="507" t="n">
        <v>462</v>
      </c>
      <c r="L94" s="507" t="n">
        <v>220</v>
      </c>
      <c r="M94" s="507" t="n">
        <v>370</v>
      </c>
      <c r="N94" s="507" t="n">
        <v>720</v>
      </c>
      <c r="O94" s="507" t="n">
        <v>796</v>
      </c>
      <c r="P94" s="507" t="n">
        <v>278</v>
      </c>
      <c r="Q94" s="507" t="n">
        <v>751</v>
      </c>
      <c r="R94" s="507" t="n">
        <v>897</v>
      </c>
      <c r="S94" s="473"/>
      <c r="T94" s="473"/>
      <c r="U94" s="473"/>
      <c r="V94" s="473"/>
      <c r="W94" s="473"/>
      <c r="X94" s="473"/>
      <c r="Y94"/>
      <c r="Z94"/>
    </row>
    <row r="95" ht="22" customHeight="1">
      <c r="A95" s="502" t="str">
        <v>Core operating profit</v>
      </c>
      <c r="B95" s="452"/>
      <c r="C95" s="473"/>
      <c r="D95" s="507" t="n">
        <v>1975</v>
      </c>
      <c r="E95" s="507" t="n">
        <v>2232</v>
      </c>
      <c r="F95" s="507" t="n">
        <v>2571</v>
      </c>
      <c r="G95" s="473"/>
      <c r="H95" s="507" t="n">
        <v>232</v>
      </c>
      <c r="I95" s="507" t="n">
        <v>604</v>
      </c>
      <c r="J95" s="507" t="n">
        <v>758</v>
      </c>
      <c r="K95" s="507" t="n">
        <v>638</v>
      </c>
      <c r="L95" s="507" t="n">
        <v>233</v>
      </c>
      <c r="M95" s="507" t="n">
        <v>657</v>
      </c>
      <c r="N95" s="507" t="n">
        <v>808</v>
      </c>
      <c r="O95" s="507" t="n">
        <v>873</v>
      </c>
      <c r="P95" s="507" t="n">
        <v>301</v>
      </c>
      <c r="Q95" s="507" t="n">
        <v>767</v>
      </c>
      <c r="R95" s="507" t="n">
        <v>940</v>
      </c>
      <c r="S95" s="473"/>
      <c r="T95" s="473"/>
      <c r="U95" s="473"/>
      <c r="V95" s="473"/>
      <c r="W95" s="473"/>
      <c r="X95" s="473"/>
      <c r="Y95"/>
      <c r="Z95"/>
    </row>
    <row r="96" ht="20" customHeight="1">
      <c r="A96" s="505" t="str">
        <v>Core operating profit YoY</v>
      </c>
      <c r="B96" s="452"/>
      <c r="C96" s="506"/>
      <c r="D96" s="506"/>
      <c r="E96" s="476" t="n">
        <f>IF(OR('Operating Metrics'!D95&lt;=0,'Operating Metrics'!E95&lt;0),"",'Operating Metrics'!E95/'Operating Metrics'!D95-1)</f>
        <v>0.13012658227848095</v>
      </c>
      <c r="F96" s="476" t="n">
        <f>IF(OR('Operating Metrics'!E95&lt;=0,'Operating Metrics'!F95&lt;0),"",'Operating Metrics'!F95/'Operating Metrics'!E95-1)</f>
        <v>0.1518817204301075</v>
      </c>
      <c r="G96" s="506"/>
      <c r="H96" s="506"/>
      <c r="I96" s="506"/>
      <c r="J96" s="506"/>
      <c r="K96" s="506"/>
      <c r="L96" s="476" t="n">
        <f>IF(OR('Operating Metrics'!H95&lt;=0,'Operating Metrics'!L95&lt;0),"",'Operating Metrics'!L95/'Operating Metrics'!H95-1)</f>
        <v>0.004310344827586299</v>
      </c>
      <c r="M96" s="476" t="n">
        <f>IF(OR('Operating Metrics'!I95&lt;=0,'Operating Metrics'!M95&lt;0),"",'Operating Metrics'!M95/'Operating Metrics'!I95-1)</f>
        <v>0.08774834437086088</v>
      </c>
      <c r="N96" s="476" t="n">
        <f>IF(OR('Operating Metrics'!J95&lt;=0,'Operating Metrics'!N95&lt;0),"",'Operating Metrics'!N95/'Operating Metrics'!J95-1)</f>
        <v>0.06596306068601576</v>
      </c>
      <c r="O96" s="476" t="n">
        <f>IF(OR('Operating Metrics'!K95&lt;=0,'Operating Metrics'!O95&lt;0),"",'Operating Metrics'!O95/'Operating Metrics'!K95-1)</f>
        <v>0.3683385579937304</v>
      </c>
      <c r="P96" s="476" t="n">
        <f>IF(OR('Operating Metrics'!L95&lt;=0,'Operating Metrics'!P95&lt;0),"",'Operating Metrics'!P95/'Operating Metrics'!L95-1)</f>
        <v>0.29184549356223166</v>
      </c>
      <c r="Q96" s="476" t="n">
        <f>IF(OR('Operating Metrics'!M95&lt;=0,'Operating Metrics'!Q95&lt;0),"",'Operating Metrics'!Q95/'Operating Metrics'!M95-1)</f>
        <v>0.16742770167427712</v>
      </c>
      <c r="R96" s="476" t="n">
        <f>IF(OR('Operating Metrics'!N95&lt;=0,'Operating Metrics'!R95&lt;0),"",'Operating Metrics'!R95/'Operating Metrics'!N95-1)</f>
        <v>0.1633663366336633</v>
      </c>
      <c r="S96" s="506"/>
      <c r="T96" s="506"/>
      <c r="U96" s="506"/>
      <c r="V96" s="506"/>
      <c r="W96" s="506"/>
      <c r="X96" s="506"/>
      <c r="Y96"/>
      <c r="Z96"/>
    </row>
    <row r="97" ht="20" customHeight="1">
      <c r="A97" s="505" t="str">
        <v>Core operating margin</v>
      </c>
      <c r="B97" s="452"/>
      <c r="C97" s="506"/>
      <c r="D97" s="476" t="n">
        <f>IF('Operating Metrics'!D92=0,"",'Operating Metrics'!D95/'Operating Metrics'!D92)</f>
        <v>0.12183837137569402</v>
      </c>
      <c r="E97" s="476" t="n">
        <f>IF('Operating Metrics'!E92=0,"",'Operating Metrics'!E95/'Operating Metrics'!E92)</f>
        <v>0.13398967463080802</v>
      </c>
      <c r="F97" s="476" t="n">
        <f>IF('Operating Metrics'!F92=0,"",'Operating Metrics'!F95/'Operating Metrics'!F92)</f>
        <v>0.14263522884882107</v>
      </c>
      <c r="G97" s="506"/>
      <c r="H97" s="476" t="n">
        <f>IF('Operating Metrics'!H92=0,"",'Operating Metrics'!H95/'Operating Metrics'!H92)</f>
        <v>0.09535552815454172</v>
      </c>
      <c r="I97" s="476" t="n">
        <f>IF('Operating Metrics'!I92=0,"",'Operating Metrics'!I95/'Operating Metrics'!I92)</f>
        <v>0.1443939756155869</v>
      </c>
      <c r="J97" s="476" t="n">
        <f>IF('Operating Metrics'!J92=0,"",'Operating Metrics'!J95/'Operating Metrics'!J92)</f>
        <v>0.16435385949696443</v>
      </c>
      <c r="K97" s="476" t="n">
        <f>IF('Operating Metrics'!K92=0,"",'Operating Metrics'!K95/'Operating Metrics'!K92)</f>
        <v>0.11749539594843462</v>
      </c>
      <c r="L97" s="476" t="n">
        <f>IF('Operating Metrics'!L92=0,"",'Operating Metrics'!L95/'Operating Metrics'!L92)</f>
        <v>0.09757118927973199</v>
      </c>
      <c r="M97" s="476" t="n">
        <f>IF('Operating Metrics'!M92=0,"",'Operating Metrics'!M95/'Operating Metrics'!M92)</f>
        <v>0.14484126984126985</v>
      </c>
      <c r="N97" s="476" t="n">
        <f>IF('Operating Metrics'!N92=0,"",'Operating Metrics'!N95/'Operating Metrics'!N92)</f>
        <v>0.1608920748705695</v>
      </c>
      <c r="O97" s="476" t="n">
        <f>IF('Operating Metrics'!O92=0,"",'Operating Metrics'!O95/'Operating Metrics'!O92)</f>
        <v>0.1436091462411581</v>
      </c>
      <c r="P97" s="476" t="n">
        <f>IF('Operating Metrics'!P92=0,"",'Operating Metrics'!P95/'Operating Metrics'!P92)</f>
        <v>0.10662415869642225</v>
      </c>
      <c r="Q97" s="476" t="n">
        <f>IF('Operating Metrics'!Q92=0,"",'Operating Metrics'!Q95/'Operating Metrics'!Q92)</f>
        <v>0.15392333935380292</v>
      </c>
      <c r="R97" s="476" t="n">
        <f>IF('Operating Metrics'!R92=0,"",'Operating Metrics'!R95/'Operating Metrics'!R92)</f>
        <v>0.17365601330131167</v>
      </c>
      <c r="S97" s="506"/>
      <c r="T97" s="506"/>
      <c r="U97" s="506"/>
      <c r="V97" s="506"/>
      <c r="W97" s="506"/>
      <c r="X97" s="506"/>
      <c r="Y97"/>
      <c r="Z97"/>
    </row>
    <row r="98" ht="20" customHeight="1">
      <c r="A98" s="505" t="str">
        <v>Organic revenue growth</v>
      </c>
      <c r="B98" s="452"/>
      <c r="C98" s="506"/>
      <c r="D98" s="508" t="n">
        <v>0.17</v>
      </c>
      <c r="E98" s="508" t="n">
        <v>0.08</v>
      </c>
      <c r="F98" s="508" t="n">
        <v>0.06</v>
      </c>
      <c r="G98" s="506"/>
      <c r="H98" s="508" t="n">
        <v>0.09</v>
      </c>
      <c r="I98" s="508" t="n">
        <v>0.09</v>
      </c>
      <c r="J98" s="508" t="n">
        <v>0.06</v>
      </c>
      <c r="K98" s="508" t="n">
        <v>0.09</v>
      </c>
      <c r="L98" s="508" t="n">
        <v>0.08</v>
      </c>
      <c r="M98" s="508" t="n">
        <v>0.07</v>
      </c>
      <c r="N98" s="508" t="n">
        <v>0.055</v>
      </c>
      <c r="O98" s="508" t="n">
        <v>0.05</v>
      </c>
      <c r="P98" s="508" t="n">
        <v>0.07</v>
      </c>
      <c r="Q98" s="508" t="n">
        <v>0.06</v>
      </c>
      <c r="R98" s="508" t="n">
        <v>0.09</v>
      </c>
      <c r="S98" s="506"/>
      <c r="T98" s="506"/>
      <c r="U98" s="506"/>
      <c r="V98" s="506"/>
      <c r="W98" s="506"/>
      <c r="X98" s="506"/>
      <c r="Y98"/>
      <c r="Z98"/>
    </row>
    <row r="99" ht="20" customHeight="1">
      <c r="A99" s="505" t="str">
        <v>Organic physical volume - foods</v>
      </c>
      <c r="B99" s="452"/>
      <c r="C99" s="506"/>
      <c r="D99" s="508" t="n">
        <v>-0.025</v>
      </c>
      <c r="E99" s="508" t="n">
        <v>0.01</v>
      </c>
      <c r="F99" s="508" t="n">
        <v>-0.05</v>
      </c>
      <c r="G99" s="506"/>
      <c r="H99" s="508" t="n">
        <v>0.03</v>
      </c>
      <c r="I99" s="508" t="n">
        <v>0.015</v>
      </c>
      <c r="J99" s="508" t="n">
        <v>-0.025</v>
      </c>
      <c r="K99" s="508" t="n">
        <v>0.03</v>
      </c>
      <c r="L99" s="508" t="n">
        <v>-0.09</v>
      </c>
      <c r="M99" s="508" t="n">
        <v>-0.06</v>
      </c>
      <c r="N99" s="508" t="n">
        <v>-0.01</v>
      </c>
      <c r="O99" s="508" t="n">
        <v>-0.05</v>
      </c>
      <c r="P99" s="508" t="n">
        <v>0.09</v>
      </c>
      <c r="Q99" s="508" t="n">
        <v>0.04</v>
      </c>
      <c r="R99" s="508" t="n">
        <v>-0.01</v>
      </c>
      <c r="S99" s="506"/>
      <c r="T99" s="506"/>
      <c r="U99" s="506"/>
      <c r="V99" s="506"/>
      <c r="W99" s="506"/>
      <c r="X99" s="506"/>
      <c r="Y99"/>
      <c r="Z99"/>
    </row>
    <row r="100" ht="20" customHeight="1">
      <c r="A100" s="505" t="str">
        <v>Organic physical volume - beverages</v>
      </c>
      <c r="B100" s="452"/>
      <c r="C100" s="506"/>
      <c r="D100" s="508" t="n">
        <v>-0.04</v>
      </c>
      <c r="E100" s="508" t="n">
        <v>-0.01</v>
      </c>
      <c r="F100" s="508" t="n">
        <v>0</v>
      </c>
      <c r="G100" s="506"/>
      <c r="H100" s="508" t="n">
        <v>0.04</v>
      </c>
      <c r="I100" s="508" t="n">
        <v>0</v>
      </c>
      <c r="J100" s="508" t="n">
        <v>-0.035</v>
      </c>
      <c r="K100" s="508" t="n">
        <v>-0.01</v>
      </c>
      <c r="L100" s="508" t="n">
        <v>-0.04</v>
      </c>
      <c r="M100" s="508" t="n">
        <v>0.01</v>
      </c>
      <c r="N100" s="508" t="n">
        <v>0.015</v>
      </c>
      <c r="O100" s="508" t="n">
        <v>0.01</v>
      </c>
      <c r="P100" s="508" t="n">
        <v>0.02</v>
      </c>
      <c r="Q100" s="508" t="n">
        <v>0.01</v>
      </c>
      <c r="R100" s="508" t="n">
        <v>0.04</v>
      </c>
      <c r="S100" s="506"/>
      <c r="T100" s="506"/>
      <c r="U100" s="506"/>
      <c r="V100" s="506"/>
      <c r="W100" s="506"/>
      <c r="X100" s="506"/>
      <c r="Y100"/>
      <c r="Z100"/>
    </row>
    <row r="101" ht="20" customHeight="1">
      <c r="A101" s="505" t="str">
        <v>Effective net pricing</v>
      </c>
      <c r="B101" s="452"/>
      <c r="C101" s="506"/>
      <c r="D101" s="508" t="n">
        <v>0.2</v>
      </c>
      <c r="E101" s="508" t="n">
        <v>0.08</v>
      </c>
      <c r="F101" s="508" t="n">
        <v>0.09</v>
      </c>
      <c r="G101" s="506"/>
      <c r="H101" s="508" t="n">
        <v>0.05</v>
      </c>
      <c r="I101" s="508" t="n">
        <v>0.08</v>
      </c>
      <c r="J101" s="508" t="n">
        <v>0.09</v>
      </c>
      <c r="K101" s="508" t="n">
        <v>0.08</v>
      </c>
      <c r="L101" s="508" t="n">
        <v>0.16</v>
      </c>
      <c r="M101" s="508" t="n">
        <v>0.11</v>
      </c>
      <c r="N101" s="508" t="n">
        <v>0.06</v>
      </c>
      <c r="O101" s="508" t="n">
        <v>0.08</v>
      </c>
      <c r="P101" s="508" t="n">
        <v>0</v>
      </c>
      <c r="Q101" s="508" t="n">
        <v>0.03</v>
      </c>
      <c r="R101" s="508" t="n">
        <v>0.07</v>
      </c>
      <c r="S101" s="506"/>
      <c r="T101" s="506"/>
      <c r="U101" s="506"/>
      <c r="V101" s="506"/>
      <c r="W101" s="506"/>
      <c r="X101" s="506"/>
      <c r="Y101"/>
      <c r="Z101"/>
    </row>
    <row r="102" ht="22" customHeight="1">
      <c r="A102" s="502" t="str">
        <v>Capital spending</v>
      </c>
      <c r="B102" s="452"/>
      <c r="C102" s="507" t="n">
        <v>857</v>
      </c>
      <c r="D102" s="507" t="n">
        <v>831</v>
      </c>
      <c r="E102" s="507" t="n">
        <v>880</v>
      </c>
      <c r="F102" s="507" t="n">
        <v>744</v>
      </c>
      <c r="G102" s="473"/>
      <c r="H102" s="507" t="n">
        <v>70</v>
      </c>
      <c r="I102" s="507" t="n">
        <v>177</v>
      </c>
      <c r="J102" s="507" t="n">
        <v>189</v>
      </c>
      <c r="K102" s="473" t="n">
        <f>'Operating Metrics'!E102-SUM('Operating Metrics'!H102,'Operating Metrics'!I102,'Operating Metrics'!J102)</f>
        <v>444</v>
      </c>
      <c r="L102" s="507" t="n">
        <v>50</v>
      </c>
      <c r="M102" s="507" t="n">
        <v>137</v>
      </c>
      <c r="N102" s="507" t="n">
        <v>167</v>
      </c>
      <c r="O102" s="473" t="n">
        <f>'Operating Metrics'!F102-SUM('Operating Metrics'!L102,'Operating Metrics'!M102,'Operating Metrics'!N102)</f>
        <v>390</v>
      </c>
      <c r="P102" s="507" t="n">
        <v>66</v>
      </c>
      <c r="Q102" s="507" t="n">
        <v>151</v>
      </c>
      <c r="R102" s="507" t="n">
        <v>159</v>
      </c>
      <c r="S102" s="473"/>
      <c r="T102" s="473"/>
      <c r="U102" s="473"/>
      <c r="V102" s="473"/>
      <c r="W102" s="473"/>
      <c r="X102" s="473"/>
      <c r="Y102"/>
      <c r="Z102"/>
    </row>
    <row r="103" ht="20" customHeight="1">
      <c r="A103" s="505" t="str">
        <v>Capital spending / net revenue</v>
      </c>
      <c r="B103" s="452"/>
      <c r="C103" s="476" t="n">
        <f>IF('Operating Metrics'!C92=0,"",'Operating Metrics'!C102/'Operating Metrics'!C92)</f>
        <v>0.053455588822355286</v>
      </c>
      <c r="D103" s="476" t="n">
        <f>IF('Operating Metrics'!D92=0,"",'Operating Metrics'!D102/'Operating Metrics'!D92)</f>
        <v>0.05126465144972239</v>
      </c>
      <c r="E103" s="476" t="n">
        <f>IF('Operating Metrics'!E92=0,"",'Operating Metrics'!E102/'Operating Metrics'!E92)</f>
        <v>0.05282747028454796</v>
      </c>
      <c r="F103" s="476" t="n">
        <f>IF('Operating Metrics'!F92=0,"",'Operating Metrics'!F102/'Operating Metrics'!F92)</f>
        <v>0.04127600554785021</v>
      </c>
      <c r="G103" s="506"/>
      <c r="H103" s="476" t="n">
        <f>IF('Operating Metrics'!H92=0,"",'Operating Metrics'!H102/'Operating Metrics'!H92)</f>
        <v>0.02877106452938759</v>
      </c>
      <c r="I103" s="476" t="n">
        <f>IF('Operating Metrics'!I92=0,"",'Operating Metrics'!I102/'Operating Metrics'!I92)</f>
        <v>0.04231412861582596</v>
      </c>
      <c r="J103" s="476" t="n">
        <f>IF('Operating Metrics'!J92=0,"",'Operating Metrics'!J102/'Operating Metrics'!J92)</f>
        <v>0.04098005203816132</v>
      </c>
      <c r="K103" s="476" t="n">
        <f>IF('Operating Metrics'!K92=0,"",'Operating Metrics'!K102/'Operating Metrics'!K92)</f>
        <v>0.08176795580110498</v>
      </c>
      <c r="L103" s="476" t="n">
        <f>IF('Operating Metrics'!L92=0,"",'Operating Metrics'!L102/'Operating Metrics'!L92)</f>
        <v>0.020938023450586266</v>
      </c>
      <c r="M103" s="476" t="n">
        <f>IF('Operating Metrics'!M92=0,"",'Operating Metrics'!M102/'Operating Metrics'!M92)</f>
        <v>0.030202821869488534</v>
      </c>
      <c r="N103" s="476" t="n">
        <f>IF('Operating Metrics'!N92=0,"",'Operating Metrics'!N102/'Operating Metrics'!N92)</f>
        <v>0.0332536837913182</v>
      </c>
      <c r="O103" s="476" t="n">
        <f>IF('Operating Metrics'!O92=0,"",'Operating Metrics'!O102/'Operating Metrics'!O92)</f>
        <v>0.06415528869879915</v>
      </c>
      <c r="P103" s="476" t="n">
        <f>IF('Operating Metrics'!P92=0,"",'Operating Metrics'!P102/'Operating Metrics'!P92)</f>
        <v>0.023379383634431455</v>
      </c>
      <c r="Q103" s="476" t="n">
        <f>IF('Operating Metrics'!Q92=0,"",'Operating Metrics'!Q102/'Operating Metrics'!Q92)</f>
        <v>0.030303030303030304</v>
      </c>
      <c r="R103" s="476" t="n">
        <f>IF('Operating Metrics'!R92=0,"",'Operating Metrics'!R102/'Operating Metrics'!R92)</f>
        <v>0.029373729909477186</v>
      </c>
      <c r="S103" s="506"/>
      <c r="T103" s="506"/>
      <c r="U103" s="506"/>
      <c r="V103" s="506"/>
      <c r="W103" s="506"/>
      <c r="X103" s="506"/>
      <c r="Y103"/>
      <c r="Z103"/>
    </row>
    <row r="104" ht="22" customHeight="1">
      <c r="A104" s="502" t="str">
        <v>Depreciation and other amortization</v>
      </c>
      <c r="B104" s="452"/>
      <c r="C104" s="507" t="n">
        <v>459</v>
      </c>
      <c r="D104" s="507" t="n">
        <v>432</v>
      </c>
      <c r="E104" s="507" t="n">
        <v>461</v>
      </c>
      <c r="F104" s="473"/>
      <c r="G104" s="473"/>
      <c r="H104" s="507" t="n">
        <v>76</v>
      </c>
      <c r="I104" s="507" t="n">
        <v>110</v>
      </c>
      <c r="J104" s="507" t="n">
        <v>117</v>
      </c>
      <c r="K104" s="473" t="n">
        <f>'Operating Metrics'!E104-SUM('Operating Metrics'!H104,'Operating Metrics'!I104,'Operating Metrics'!J104)</f>
        <v>158</v>
      </c>
      <c r="L104" s="507" t="n">
        <v>79</v>
      </c>
      <c r="M104" s="507" t="n">
        <v>131</v>
      </c>
      <c r="N104" s="507" t="n">
        <v>138</v>
      </c>
      <c r="O104" s="473"/>
      <c r="P104" s="473"/>
      <c r="Q104" s="473"/>
      <c r="R104" s="473"/>
      <c r="S104" s="473"/>
      <c r="T104" s="473"/>
      <c r="U104" s="473"/>
      <c r="V104" s="473"/>
      <c r="W104" s="473"/>
      <c r="X104" s="473"/>
      <c r="Y104"/>
      <c r="Z104"/>
    </row>
    <row r="105" ht="22" customHeight="1">
      <c r="A105" s="502" t="str">
        <v>Amortization of intangible assets</v>
      </c>
      <c r="B105" s="452"/>
      <c r="C105" s="507" t="n">
        <v>18</v>
      </c>
      <c r="D105" s="507" t="n">
        <v>16</v>
      </c>
      <c r="E105" s="507" t="n">
        <v>16</v>
      </c>
      <c r="F105" s="473"/>
      <c r="G105" s="473"/>
      <c r="H105" s="507" t="n">
        <v>3</v>
      </c>
      <c r="I105" s="507" t="n">
        <v>4</v>
      </c>
      <c r="J105" s="507" t="n">
        <v>4</v>
      </c>
      <c r="K105" s="473" t="n">
        <f>'Operating Metrics'!E105-SUM('Operating Metrics'!H105,'Operating Metrics'!I105,'Operating Metrics'!J105)</f>
        <v>5</v>
      </c>
      <c r="L105" s="507" t="n">
        <v>2</v>
      </c>
      <c r="M105" s="507" t="n">
        <v>4</v>
      </c>
      <c r="N105" s="507" t="n">
        <v>4</v>
      </c>
      <c r="O105" s="473"/>
      <c r="P105" s="473"/>
      <c r="Q105" s="473"/>
      <c r="R105" s="473"/>
      <c r="S105" s="473"/>
      <c r="T105" s="473"/>
      <c r="U105" s="473"/>
      <c r="V105" s="473"/>
      <c r="W105" s="473"/>
      <c r="X105" s="473"/>
      <c r="Y105"/>
      <c r="Z105"/>
    </row>
    <row r="106" ht="22" customHeight="1">
      <c r="A106" s="502" t="str">
        <v>Depreciation and amortization</v>
      </c>
      <c r="B106" s="452"/>
      <c r="C106" s="473" t="n">
        <f>'Operating Metrics'!C104+'Operating Metrics'!C105</f>
        <v>477</v>
      </c>
      <c r="D106" s="507" t="n">
        <v>448</v>
      </c>
      <c r="E106" s="507" t="n">
        <v>477</v>
      </c>
      <c r="F106" s="507" t="n">
        <v>549</v>
      </c>
      <c r="G106" s="473"/>
      <c r="H106" s="473" t="n">
        <f>'Operating Metrics'!H104+'Operating Metrics'!H105</f>
        <v>79</v>
      </c>
      <c r="I106" s="473" t="n">
        <f>'Operating Metrics'!I104+'Operating Metrics'!I105</f>
        <v>114</v>
      </c>
      <c r="J106" s="473" t="n">
        <f>'Operating Metrics'!J104+'Operating Metrics'!J105</f>
        <v>121</v>
      </c>
      <c r="K106" s="473" t="n">
        <f>'Operating Metrics'!E106-SUM('Operating Metrics'!H106,'Operating Metrics'!I106,'Operating Metrics'!J106)</f>
        <v>163</v>
      </c>
      <c r="L106" s="507" t="n">
        <v>81</v>
      </c>
      <c r="M106" s="507" t="n">
        <v>135</v>
      </c>
      <c r="N106" s="507" t="n">
        <v>142</v>
      </c>
      <c r="O106" s="473" t="n">
        <f>'Operating Metrics'!F106-SUM('Operating Metrics'!L106,'Operating Metrics'!M106,'Operating Metrics'!N106)</f>
        <v>191</v>
      </c>
      <c r="P106" s="507" t="n">
        <v>101</v>
      </c>
      <c r="Q106" s="507" t="n">
        <v>160</v>
      </c>
      <c r="R106" s="507" t="n">
        <v>151</v>
      </c>
      <c r="S106" s="473"/>
      <c r="T106" s="473"/>
      <c r="U106" s="473"/>
      <c r="V106" s="473"/>
      <c r="W106" s="473"/>
      <c r="X106" s="473"/>
      <c r="Y106"/>
      <c r="Z106"/>
    </row>
    <row r="107" ht="22" customHeight="1">
      <c r="A107" s="502" t="str">
        <v>Capital spending / D&amp;A</v>
      </c>
      <c r="B107" s="452"/>
      <c r="C107" s="492" t="n">
        <f>IF('Operating Metrics'!C106=0,"",'Operating Metrics'!C102/'Operating Metrics'!C106)</f>
        <v>1.7966457023060796</v>
      </c>
      <c r="D107" s="492" t="n">
        <f>IF('Operating Metrics'!D106=0,"",'Operating Metrics'!D102/'Operating Metrics'!D106)</f>
        <v>1.8549107142857142</v>
      </c>
      <c r="E107" s="492" t="n">
        <f>IF('Operating Metrics'!E106=0,"",'Operating Metrics'!E102/'Operating Metrics'!E106)</f>
        <v>1.8448637316561844</v>
      </c>
      <c r="F107" s="492" t="n">
        <f>IF('Operating Metrics'!F106=0,"",'Operating Metrics'!F102/'Operating Metrics'!F106)</f>
        <v>1.355191256830601</v>
      </c>
      <c r="G107" s="492"/>
      <c r="H107" s="492" t="n">
        <f>IF('Operating Metrics'!H106=0,"",'Operating Metrics'!H102/'Operating Metrics'!H106)</f>
        <v>0.8860759493670886</v>
      </c>
      <c r="I107" s="492" t="n">
        <f>IF('Operating Metrics'!I106=0,"",'Operating Metrics'!I102/'Operating Metrics'!I106)</f>
        <v>1.5526315789473684</v>
      </c>
      <c r="J107" s="492" t="n">
        <f>IF('Operating Metrics'!J106=0,"",'Operating Metrics'!J102/'Operating Metrics'!J106)</f>
        <v>1.56198347107438</v>
      </c>
      <c r="K107" s="492" t="n">
        <f>IF('Operating Metrics'!K106=0,"",'Operating Metrics'!K102/'Operating Metrics'!K106)</f>
        <v>2.723926380368098</v>
      </c>
      <c r="L107" s="492" t="n">
        <f>IF('Operating Metrics'!L106=0,"",'Operating Metrics'!L102/'Operating Metrics'!L106)</f>
        <v>0.6172839506172839</v>
      </c>
      <c r="M107" s="492" t="n">
        <f>IF('Operating Metrics'!M106=0,"",'Operating Metrics'!M102/'Operating Metrics'!M106)</f>
        <v>1.0148148148148148</v>
      </c>
      <c r="N107" s="492" t="n">
        <f>IF('Operating Metrics'!N106=0,"",'Operating Metrics'!N102/'Operating Metrics'!N106)</f>
        <v>1.176056338028169</v>
      </c>
      <c r="O107" s="492" t="n">
        <f>IF('Operating Metrics'!O106=0,"",'Operating Metrics'!O102/'Operating Metrics'!O106)</f>
        <v>2.0418848167539267</v>
      </c>
      <c r="P107" s="492" t="n">
        <f>IF('Operating Metrics'!P106=0,"",'Operating Metrics'!P102/'Operating Metrics'!P106)</f>
        <v>0.6534653465346535</v>
      </c>
      <c r="Q107" s="492" t="n">
        <f>IF('Operating Metrics'!Q106=0,"",'Operating Metrics'!Q102/'Operating Metrics'!Q106)</f>
        <v>0.94375</v>
      </c>
      <c r="R107" s="492" t="n">
        <f>IF('Operating Metrics'!R106=0,"",'Operating Metrics'!R102/'Operating Metrics'!R106)</f>
        <v>1.0529801324503312</v>
      </c>
      <c r="S107" s="492"/>
      <c r="T107" s="492"/>
      <c r="U107" s="492"/>
      <c r="V107" s="492"/>
      <c r="W107" s="492"/>
      <c r="X107" s="492"/>
      <c r="Y107"/>
      <c r="Z107"/>
    </row>
    <row r="108" ht="24" customHeight="1">
      <c r="A108" s="477" t="str">
        <v>LatAm Foods</v>
      </c>
      <c r="B108" s="477"/>
      <c r="C108" s="477"/>
      <c r="D108" s="477"/>
      <c r="E108" s="477"/>
      <c r="F108" s="477"/>
      <c r="G108" s="477"/>
      <c r="H108" s="477"/>
      <c r="I108" s="477"/>
      <c r="J108" s="477"/>
      <c r="K108" s="477"/>
      <c r="L108" s="477"/>
      <c r="M108" s="477"/>
      <c r="N108" s="477"/>
      <c r="O108" s="477"/>
      <c r="P108" s="477"/>
      <c r="Q108" s="477"/>
      <c r="R108" s="477"/>
      <c r="S108" s="477"/>
      <c r="T108" s="477"/>
      <c r="U108" s="477"/>
      <c r="V108" s="477"/>
      <c r="W108" s="477"/>
      <c r="X108" s="477"/>
      <c r="Y108"/>
      <c r="Z108"/>
    </row>
    <row r="109" ht="22" customHeight="1">
      <c r="A109" s="502" t="str">
        <v>Net revenue</v>
      </c>
      <c r="B109" s="452"/>
      <c r="C109" s="507" t="n">
        <v>8867</v>
      </c>
      <c r="D109" s="507" t="n">
        <v>10576</v>
      </c>
      <c r="E109" s="507" t="n">
        <v>10568</v>
      </c>
      <c r="F109" s="507" t="n">
        <v>10549</v>
      </c>
      <c r="G109" s="473"/>
      <c r="H109" s="507" t="n">
        <v>1890</v>
      </c>
      <c r="I109" s="507" t="n">
        <v>2749</v>
      </c>
      <c r="J109" s="507" t="n">
        <v>2615</v>
      </c>
      <c r="K109" s="507" t="n">
        <v>3314</v>
      </c>
      <c r="L109" s="507" t="n">
        <v>1661</v>
      </c>
      <c r="M109" s="507" t="n">
        <v>2548</v>
      </c>
      <c r="N109" s="507" t="n">
        <v>2656</v>
      </c>
      <c r="O109" s="507" t="n">
        <v>3684</v>
      </c>
      <c r="P109" s="507" t="n">
        <v>1934</v>
      </c>
      <c r="Q109" s="507" t="n">
        <v>2940</v>
      </c>
      <c r="R109" s="507" t="n">
        <v>3021</v>
      </c>
      <c r="S109" s="473"/>
      <c r="T109" s="473"/>
      <c r="U109" s="473"/>
      <c r="V109" s="473"/>
      <c r="W109" s="473"/>
      <c r="X109" s="473"/>
      <c r="Y109"/>
      <c r="Z109"/>
    </row>
    <row r="110" ht="20" customHeight="1">
      <c r="A110" s="505" t="str">
        <v>Net revenue YoY</v>
      </c>
      <c r="B110" s="452"/>
      <c r="C110" s="506"/>
      <c r="D110" s="476" t="n">
        <f>IF(OR('Operating Metrics'!C109&lt;=0,'Operating Metrics'!D109&lt;0),"",'Operating Metrics'!D109/'Operating Metrics'!C109-1)</f>
        <v>0.19273711514604708</v>
      </c>
      <c r="E110" s="476" t="n">
        <f>IF(OR('Operating Metrics'!D109&lt;=0,'Operating Metrics'!E109&lt;0),"",'Operating Metrics'!E109/'Operating Metrics'!D109-1)</f>
        <v>-0.0007564296520423675</v>
      </c>
      <c r="F110" s="476" t="n">
        <f>IF(OR('Operating Metrics'!E109&lt;=0,'Operating Metrics'!F109&lt;0),"",'Operating Metrics'!F109/'Operating Metrics'!E109-1)</f>
        <v>-0.0017978803936411492</v>
      </c>
      <c r="G110" s="506"/>
      <c r="H110" s="506"/>
      <c r="I110" s="506"/>
      <c r="J110" s="506"/>
      <c r="K110" s="506"/>
      <c r="L110" s="476" t="n">
        <f>IF(OR('Operating Metrics'!H109&lt;=0,'Operating Metrics'!L109&lt;0),"",'Operating Metrics'!L109/'Operating Metrics'!H109-1)</f>
        <v>-0.12116402116402114</v>
      </c>
      <c r="M110" s="476" t="n">
        <f>IF(OR('Operating Metrics'!I109&lt;=0,'Operating Metrics'!M109&lt;0),"",'Operating Metrics'!M109/'Operating Metrics'!I109-1)</f>
        <v>-0.07311749727173522</v>
      </c>
      <c r="N110" s="476" t="n">
        <f>IF(OR('Operating Metrics'!J109&lt;=0,'Operating Metrics'!N109&lt;0),"",'Operating Metrics'!N109/'Operating Metrics'!J109-1)</f>
        <v>0.01567877629063097</v>
      </c>
      <c r="O110" s="476" t="n">
        <f>IF(OR('Operating Metrics'!K109&lt;=0,'Operating Metrics'!O109&lt;0),"",'Operating Metrics'!O109/'Operating Metrics'!K109-1)</f>
        <v>0.11164755582377794</v>
      </c>
      <c r="P110" s="476" t="n">
        <f>IF(OR('Operating Metrics'!L109&lt;=0,'Operating Metrics'!P109&lt;0),"",'Operating Metrics'!P109/'Operating Metrics'!L109-1)</f>
        <v>0.1643588199879591</v>
      </c>
      <c r="Q110" s="476" t="n">
        <f>IF(OR('Operating Metrics'!M109&lt;=0,'Operating Metrics'!Q109&lt;0),"",'Operating Metrics'!Q109/'Operating Metrics'!M109-1)</f>
        <v>0.15384615384615374</v>
      </c>
      <c r="R110" s="476" t="n">
        <f>IF(OR('Operating Metrics'!N109&lt;=0,'Operating Metrics'!R109&lt;0),"",'Operating Metrics'!R109/'Operating Metrics'!N109-1)</f>
        <v>0.13742469879518082</v>
      </c>
      <c r="S110" s="506"/>
      <c r="T110" s="506"/>
      <c r="U110" s="506"/>
      <c r="V110" s="506"/>
      <c r="W110" s="506"/>
      <c r="X110" s="506"/>
      <c r="Y110"/>
      <c r="Z110"/>
    </row>
    <row r="111" ht="22" customHeight="1">
      <c r="A111" s="502" t="str">
        <v>Reported operating profit</v>
      </c>
      <c r="B111" s="452"/>
      <c r="C111" s="507" t="n">
        <v>1353</v>
      </c>
      <c r="D111" s="507" t="n">
        <v>1898</v>
      </c>
      <c r="E111" s="507" t="n">
        <v>2052</v>
      </c>
      <c r="F111" s="507" t="n">
        <v>2010</v>
      </c>
      <c r="G111" s="473"/>
      <c r="H111" s="507" t="n">
        <v>422</v>
      </c>
      <c r="I111" s="507" t="n">
        <v>534</v>
      </c>
      <c r="J111" s="507" t="n">
        <v>480</v>
      </c>
      <c r="K111" s="507" t="n">
        <v>616</v>
      </c>
      <c r="L111" s="507" t="n">
        <v>344</v>
      </c>
      <c r="M111" s="507" t="n">
        <v>533</v>
      </c>
      <c r="N111" s="507" t="n">
        <v>424</v>
      </c>
      <c r="O111" s="507" t="n">
        <v>709</v>
      </c>
      <c r="P111" s="507" t="n">
        <v>428</v>
      </c>
      <c r="Q111" s="507" t="n">
        <v>616</v>
      </c>
      <c r="R111" s="507" t="n">
        <v>624</v>
      </c>
      <c r="S111" s="473"/>
      <c r="T111" s="473"/>
      <c r="U111" s="473"/>
      <c r="V111" s="473"/>
      <c r="W111" s="473"/>
      <c r="X111" s="473"/>
      <c r="Y111"/>
      <c r="Z111"/>
    </row>
    <row r="112" ht="22" customHeight="1">
      <c r="A112" s="502" t="str">
        <v>Core operating profit</v>
      </c>
      <c r="B112" s="452"/>
      <c r="C112" s="473"/>
      <c r="D112" s="507" t="n">
        <v>1929</v>
      </c>
      <c r="E112" s="507" t="n">
        <v>2101</v>
      </c>
      <c r="F112" s="507" t="n">
        <v>2144</v>
      </c>
      <c r="G112" s="473"/>
      <c r="H112" s="507" t="n">
        <v>427</v>
      </c>
      <c r="I112" s="507" t="n">
        <v>550</v>
      </c>
      <c r="J112" s="507" t="n">
        <v>491</v>
      </c>
      <c r="K112" s="507" t="n">
        <v>633</v>
      </c>
      <c r="L112" s="507" t="n">
        <v>351</v>
      </c>
      <c r="M112" s="507" t="n">
        <v>545</v>
      </c>
      <c r="N112" s="507" t="n">
        <v>523</v>
      </c>
      <c r="O112" s="507" t="n">
        <v>725</v>
      </c>
      <c r="P112" s="507" t="n">
        <v>431</v>
      </c>
      <c r="Q112" s="507" t="n">
        <v>620</v>
      </c>
      <c r="R112" s="507" t="n">
        <v>626</v>
      </c>
      <c r="S112" s="473"/>
      <c r="T112" s="473"/>
      <c r="U112" s="473"/>
      <c r="V112" s="473"/>
      <c r="W112" s="473"/>
      <c r="X112" s="473"/>
      <c r="Y112"/>
      <c r="Z112"/>
    </row>
    <row r="113" ht="20" customHeight="1">
      <c r="A113" s="505" t="str">
        <v>Core operating profit YoY</v>
      </c>
      <c r="B113" s="452"/>
      <c r="C113" s="506"/>
      <c r="D113" s="506"/>
      <c r="E113" s="476" t="n">
        <f>IF(OR('Operating Metrics'!D112&lt;=0,'Operating Metrics'!E112&lt;0),"",'Operating Metrics'!E112/'Operating Metrics'!D112-1)</f>
        <v>0.08916537065837216</v>
      </c>
      <c r="F113" s="476" t="n">
        <f>IF(OR('Operating Metrics'!E112&lt;=0,'Operating Metrics'!F112&lt;0),"",'Operating Metrics'!F112/'Operating Metrics'!E112-1)</f>
        <v>0.02046644455021429</v>
      </c>
      <c r="G113" s="506"/>
      <c r="H113" s="506"/>
      <c r="I113" s="506"/>
      <c r="J113" s="506"/>
      <c r="K113" s="506"/>
      <c r="L113" s="476" t="n">
        <f>IF(OR('Operating Metrics'!H112&lt;=0,'Operating Metrics'!L112&lt;0),"",'Operating Metrics'!L112/'Operating Metrics'!H112-1)</f>
        <v>-0.17798594847775173</v>
      </c>
      <c r="M113" s="476" t="n">
        <f>IF(OR('Operating Metrics'!I112&lt;=0,'Operating Metrics'!M112&lt;0),"",'Operating Metrics'!M112/'Operating Metrics'!I112-1)</f>
        <v>-0.009090909090909038</v>
      </c>
      <c r="N113" s="476" t="n">
        <f>IF(OR('Operating Metrics'!J112&lt;=0,'Operating Metrics'!N112&lt;0),"",'Operating Metrics'!N112/'Operating Metrics'!J112-1)</f>
        <v>0.06517311608961296</v>
      </c>
      <c r="O113" s="476" t="n">
        <f>IF(OR('Operating Metrics'!K112&lt;=0,'Operating Metrics'!O112&lt;0),"",'Operating Metrics'!O112/'Operating Metrics'!K112-1)</f>
        <v>0.1453396524486572</v>
      </c>
      <c r="P113" s="476" t="n">
        <f>IF(OR('Operating Metrics'!L112&lt;=0,'Operating Metrics'!P112&lt;0),"",'Operating Metrics'!P112/'Operating Metrics'!L112-1)</f>
        <v>0.22792022792022792</v>
      </c>
      <c r="Q113" s="476" t="n">
        <f>IF(OR('Operating Metrics'!M112&lt;=0,'Operating Metrics'!Q112&lt;0),"",'Operating Metrics'!Q112/'Operating Metrics'!M112-1)</f>
        <v>0.13761467889908263</v>
      </c>
      <c r="R113" s="476" t="n">
        <f>IF(OR('Operating Metrics'!N112&lt;=0,'Operating Metrics'!R112&lt;0),"",'Operating Metrics'!R112/'Operating Metrics'!N112-1)</f>
        <v>0.19694072657743789</v>
      </c>
      <c r="S113" s="506"/>
      <c r="T113" s="506"/>
      <c r="U113" s="506"/>
      <c r="V113" s="506"/>
      <c r="W113" s="506"/>
      <c r="X113" s="506"/>
      <c r="Y113"/>
      <c r="Z113"/>
    </row>
    <row r="114" ht="20" customHeight="1">
      <c r="A114" s="505" t="str">
        <v>Core operating margin</v>
      </c>
      <c r="B114" s="452"/>
      <c r="C114" s="506"/>
      <c r="D114" s="476" t="n">
        <f>IF('Operating Metrics'!D109=0,"",'Operating Metrics'!D112/'Operating Metrics'!D109)</f>
        <v>0.18239409984871408</v>
      </c>
      <c r="E114" s="476" t="n">
        <f>IF('Operating Metrics'!E109=0,"",'Operating Metrics'!E112/'Operating Metrics'!E109)</f>
        <v>0.19880772142316427</v>
      </c>
      <c r="F114" s="476" t="n">
        <f>IF('Operating Metrics'!F109=0,"",'Operating Metrics'!F112/'Operating Metrics'!F109)</f>
        <v>0.20324201346099155</v>
      </c>
      <c r="G114" s="506"/>
      <c r="H114" s="476" t="n">
        <f>IF('Operating Metrics'!H109=0,"",'Operating Metrics'!H112/'Operating Metrics'!H109)</f>
        <v>0.22592592592592592</v>
      </c>
      <c r="I114" s="476" t="n">
        <f>IF('Operating Metrics'!I109=0,"",'Operating Metrics'!I112/'Operating Metrics'!I109)</f>
        <v>0.2000727537286286</v>
      </c>
      <c r="J114" s="476" t="n">
        <f>IF('Operating Metrics'!J109=0,"",'Operating Metrics'!J112/'Operating Metrics'!J109)</f>
        <v>0.18776290630975143</v>
      </c>
      <c r="K114" s="476" t="n">
        <f>IF('Operating Metrics'!K109=0,"",'Operating Metrics'!K112/'Operating Metrics'!K109)</f>
        <v>0.19100784550392275</v>
      </c>
      <c r="L114" s="476" t="n">
        <f>IF('Operating Metrics'!L109=0,"",'Operating Metrics'!L112/'Operating Metrics'!L109)</f>
        <v>0.21131848284166166</v>
      </c>
      <c r="M114" s="476" t="n">
        <f>IF('Operating Metrics'!M109=0,"",'Operating Metrics'!M112/'Operating Metrics'!M109)</f>
        <v>0.21389324960753534</v>
      </c>
      <c r="N114" s="476" t="n">
        <f>IF('Operating Metrics'!N109=0,"",'Operating Metrics'!N112/'Operating Metrics'!N109)</f>
        <v>0.19691265060240964</v>
      </c>
      <c r="O114" s="476" t="n">
        <f>IF('Operating Metrics'!O109=0,"",'Operating Metrics'!O112/'Operating Metrics'!O109)</f>
        <v>0.1967969598262758</v>
      </c>
      <c r="P114" s="476" t="n">
        <f>IF('Operating Metrics'!P109=0,"",'Operating Metrics'!P112/'Operating Metrics'!P109)</f>
        <v>0.22285418821096173</v>
      </c>
      <c r="Q114" s="476" t="n">
        <f>IF('Operating Metrics'!Q109=0,"",'Operating Metrics'!Q112/'Operating Metrics'!Q109)</f>
        <v>0.2108843537414966</v>
      </c>
      <c r="R114" s="476" t="n">
        <f>IF('Operating Metrics'!R109=0,"",'Operating Metrics'!R112/'Operating Metrics'!R109)</f>
        <v>0.20721615359152598</v>
      </c>
      <c r="S114" s="506"/>
      <c r="T114" s="506"/>
      <c r="U114" s="506"/>
      <c r="V114" s="506"/>
      <c r="W114" s="506"/>
      <c r="X114" s="506"/>
      <c r="Y114"/>
      <c r="Z114"/>
    </row>
    <row r="115" ht="20" customHeight="1">
      <c r="A115" s="505" t="str">
        <v>Organic revenue growth</v>
      </c>
      <c r="B115" s="452"/>
      <c r="C115" s="506"/>
      <c r="D115" s="508" t="n">
        <v>0.11</v>
      </c>
      <c r="E115" s="508" t="n">
        <v>0.03</v>
      </c>
      <c r="F115" s="508" t="n">
        <v>0.045</v>
      </c>
      <c r="G115" s="506"/>
      <c r="H115" s="508" t="n">
        <v>0.09</v>
      </c>
      <c r="I115" s="508" t="n">
        <v>0.01</v>
      </c>
      <c r="J115" s="508" t="n">
        <v>0.02</v>
      </c>
      <c r="K115" s="508" t="n">
        <v>0.03</v>
      </c>
      <c r="L115" s="508" t="n">
        <v>0.03</v>
      </c>
      <c r="M115" s="508" t="n">
        <v>0.06</v>
      </c>
      <c r="N115" s="508" t="n">
        <v>0.04</v>
      </c>
      <c r="O115" s="508" t="n">
        <v>0.05</v>
      </c>
      <c r="P115" s="508" t="n">
        <v>0.03</v>
      </c>
      <c r="Q115" s="508" t="n">
        <v>0.04</v>
      </c>
      <c r="R115" s="508" t="n">
        <v>0.06</v>
      </c>
      <c r="S115" s="506"/>
      <c r="T115" s="506"/>
      <c r="U115" s="506"/>
      <c r="V115" s="506"/>
      <c r="W115" s="506"/>
      <c r="X115" s="506"/>
      <c r="Y115"/>
      <c r="Z115"/>
    </row>
    <row r="116" ht="20" customHeight="1">
      <c r="A116" s="505" t="str">
        <v>Organic physical volume - foods</v>
      </c>
      <c r="B116" s="452"/>
      <c r="C116" s="506"/>
      <c r="D116" s="508" t="n">
        <v>-0.04</v>
      </c>
      <c r="E116" s="508" t="n">
        <v>-0.02</v>
      </c>
      <c r="F116" s="508" t="n">
        <v>0.01</v>
      </c>
      <c r="G116" s="506"/>
      <c r="H116" s="508" t="n">
        <v>-0.005</v>
      </c>
      <c r="I116" s="508" t="n">
        <v>-0.06</v>
      </c>
      <c r="J116" s="508" t="n">
        <v>-0.02</v>
      </c>
      <c r="K116" s="508" t="n">
        <v>0</v>
      </c>
      <c r="L116" s="508" t="n">
        <v>-0.005</v>
      </c>
      <c r="M116" s="508" t="n">
        <v>0.04</v>
      </c>
      <c r="N116" s="508" t="n">
        <v>0</v>
      </c>
      <c r="O116" s="508" t="n">
        <v>-0.01</v>
      </c>
      <c r="P116" s="508" t="n">
        <v>-0.02</v>
      </c>
      <c r="Q116" s="508" t="n">
        <v>0</v>
      </c>
      <c r="R116" s="508" t="n">
        <v>0.03</v>
      </c>
      <c r="S116" s="506"/>
      <c r="T116" s="506"/>
      <c r="U116" s="506"/>
      <c r="V116" s="506"/>
      <c r="W116" s="506"/>
      <c r="X116" s="506"/>
      <c r="Y116"/>
      <c r="Z116"/>
    </row>
    <row r="117" ht="20" customHeight="1">
      <c r="A117" s="505" t="str">
        <v>Effective net pricing</v>
      </c>
      <c r="B117" s="452"/>
      <c r="C117" s="506"/>
      <c r="D117" s="508" t="n">
        <v>0.14</v>
      </c>
      <c r="E117" s="508" t="n">
        <v>0.05</v>
      </c>
      <c r="F117" s="508" t="n">
        <v>0.04</v>
      </c>
      <c r="G117" s="506"/>
      <c r="H117" s="508" t="n">
        <v>0.09</v>
      </c>
      <c r="I117" s="508" t="n">
        <v>0.07</v>
      </c>
      <c r="J117" s="508" t="n">
        <v>0.04</v>
      </c>
      <c r="K117" s="508" t="n">
        <v>0.03</v>
      </c>
      <c r="L117" s="508" t="n">
        <v>0.03</v>
      </c>
      <c r="M117" s="508" t="n">
        <v>0.02</v>
      </c>
      <c r="N117" s="508" t="n">
        <v>0.04</v>
      </c>
      <c r="O117" s="508" t="n">
        <v>0.06</v>
      </c>
      <c r="P117" s="508" t="n">
        <v>0.055</v>
      </c>
      <c r="Q117" s="508" t="n">
        <v>0.04</v>
      </c>
      <c r="R117" s="508" t="n">
        <v>0.03</v>
      </c>
      <c r="S117" s="506"/>
      <c r="T117" s="506"/>
      <c r="U117" s="506"/>
      <c r="V117" s="506"/>
      <c r="W117" s="506"/>
      <c r="X117" s="506"/>
      <c r="Y117"/>
      <c r="Z117"/>
    </row>
    <row r="118" ht="22" customHeight="1">
      <c r="A118" s="502" t="str">
        <v>Capital spending</v>
      </c>
      <c r="B118" s="452"/>
      <c r="C118" s="507" t="n">
        <v>551</v>
      </c>
      <c r="D118" s="507" t="n">
        <v>814</v>
      </c>
      <c r="E118" s="507" t="n">
        <v>809</v>
      </c>
      <c r="F118" s="507" t="n">
        <v>672</v>
      </c>
      <c r="G118" s="473"/>
      <c r="H118" s="507" t="n">
        <v>61</v>
      </c>
      <c r="I118" s="507" t="n">
        <v>145</v>
      </c>
      <c r="J118" s="507" t="n">
        <v>207</v>
      </c>
      <c r="K118" s="473" t="n">
        <f>'Operating Metrics'!E118-SUM('Operating Metrics'!H118,'Operating Metrics'!I118,'Operating Metrics'!J118)</f>
        <v>396</v>
      </c>
      <c r="L118" s="507" t="n">
        <v>46</v>
      </c>
      <c r="M118" s="507" t="n">
        <v>115</v>
      </c>
      <c r="N118" s="507" t="n">
        <v>178</v>
      </c>
      <c r="O118" s="473" t="n">
        <f>'Operating Metrics'!F118-SUM('Operating Metrics'!L118,'Operating Metrics'!M118,'Operating Metrics'!N118)</f>
        <v>333</v>
      </c>
      <c r="P118" s="507" t="n">
        <v>41</v>
      </c>
      <c r="Q118" s="507" t="n">
        <v>107</v>
      </c>
      <c r="R118" s="507" t="n">
        <v>110</v>
      </c>
      <c r="S118" s="473"/>
      <c r="T118" s="473"/>
      <c r="U118" s="473"/>
      <c r="V118" s="473"/>
      <c r="W118" s="473"/>
      <c r="X118" s="473"/>
      <c r="Y118"/>
      <c r="Z118"/>
    </row>
    <row r="119" ht="20" customHeight="1">
      <c r="A119" s="505" t="str">
        <v>Capital spending / net revenue</v>
      </c>
      <c r="B119" s="452"/>
      <c r="C119" s="476" t="n">
        <f>IF('Operating Metrics'!C109=0,"",'Operating Metrics'!C118/'Operating Metrics'!C109)</f>
        <v>0.06214052103304387</v>
      </c>
      <c r="D119" s="476" t="n">
        <f>IF('Operating Metrics'!D109=0,"",'Operating Metrics'!D118/'Operating Metrics'!D109)</f>
        <v>0.07696671709531014</v>
      </c>
      <c r="E119" s="476" t="n">
        <f>IF('Operating Metrics'!E109=0,"",'Operating Metrics'!E118/'Operating Metrics'!E109)</f>
        <v>0.07655185465556397</v>
      </c>
      <c r="F119" s="476" t="n">
        <f>IF('Operating Metrics'!F109=0,"",'Operating Metrics'!F118/'Operating Metrics'!F109)</f>
        <v>0.06370272063702721</v>
      </c>
      <c r="G119" s="506"/>
      <c r="H119" s="476" t="n">
        <f>IF('Operating Metrics'!H109=0,"",'Operating Metrics'!H118/'Operating Metrics'!H109)</f>
        <v>0.032275132275132276</v>
      </c>
      <c r="I119" s="476" t="n">
        <f>IF('Operating Metrics'!I109=0,"",'Operating Metrics'!I118/'Operating Metrics'!I109)</f>
        <v>0.05274645325572935</v>
      </c>
      <c r="J119" s="476" t="n">
        <f>IF('Operating Metrics'!J109=0,"",'Operating Metrics'!J118/'Operating Metrics'!J109)</f>
        <v>0.0791586998087954</v>
      </c>
      <c r="K119" s="476" t="n">
        <f>IF('Operating Metrics'!K109=0,"",'Operating Metrics'!K118/'Operating Metrics'!K109)</f>
        <v>0.11949305974652988</v>
      </c>
      <c r="L119" s="476" t="n">
        <f>IF('Operating Metrics'!L109=0,"",'Operating Metrics'!L118/'Operating Metrics'!L109)</f>
        <v>0.027694160144491272</v>
      </c>
      <c r="M119" s="476" t="n">
        <f>IF('Operating Metrics'!M109=0,"",'Operating Metrics'!M118/'Operating Metrics'!M109)</f>
        <v>0.045133437990580845</v>
      </c>
      <c r="N119" s="476" t="n">
        <f>IF('Operating Metrics'!N109=0,"",'Operating Metrics'!N118/'Operating Metrics'!N109)</f>
        <v>0.06701807228915663</v>
      </c>
      <c r="O119" s="476" t="n">
        <f>IF('Operating Metrics'!O109=0,"",'Operating Metrics'!O118/'Operating Metrics'!O109)</f>
        <v>0.09039087947882736</v>
      </c>
      <c r="P119" s="476" t="n">
        <f>IF('Operating Metrics'!P109=0,"",'Operating Metrics'!P118/'Operating Metrics'!P109)</f>
        <v>0.021199586349534644</v>
      </c>
      <c r="Q119" s="476" t="n">
        <f>IF('Operating Metrics'!Q109=0,"",'Operating Metrics'!Q118/'Operating Metrics'!Q109)</f>
        <v>0.03639455782312925</v>
      </c>
      <c r="R119" s="476" t="n">
        <f>IF('Operating Metrics'!R109=0,"",'Operating Metrics'!R118/'Operating Metrics'!R109)</f>
        <v>0.036411784177424696</v>
      </c>
      <c r="S119" s="506"/>
      <c r="T119" s="506"/>
      <c r="U119" s="506"/>
      <c r="V119" s="506"/>
      <c r="W119" s="506"/>
      <c r="X119" s="506"/>
      <c r="Y119"/>
      <c r="Z119"/>
    </row>
    <row r="120" ht="22" customHeight="1">
      <c r="A120" s="502" t="str">
        <v>Depreciation and other amortization</v>
      </c>
      <c r="B120" s="452"/>
      <c r="C120" s="507" t="n">
        <v>295</v>
      </c>
      <c r="D120" s="507" t="n">
        <v>361</v>
      </c>
      <c r="E120" s="507" t="n">
        <v>381</v>
      </c>
      <c r="F120" s="473"/>
      <c r="G120" s="473"/>
      <c r="H120" s="507" t="n">
        <v>64</v>
      </c>
      <c r="I120" s="507" t="n">
        <v>102</v>
      </c>
      <c r="J120" s="507" t="n">
        <v>96</v>
      </c>
      <c r="K120" s="473" t="n">
        <f>'Operating Metrics'!E120-SUM('Operating Metrics'!H120,'Operating Metrics'!I120,'Operating Metrics'!J120)</f>
        <v>119</v>
      </c>
      <c r="L120" s="507" t="n">
        <v>62</v>
      </c>
      <c r="M120" s="507" t="n">
        <v>99</v>
      </c>
      <c r="N120" s="507" t="n">
        <v>105</v>
      </c>
      <c r="O120" s="473"/>
      <c r="P120" s="473"/>
      <c r="Q120" s="473"/>
      <c r="R120" s="473"/>
      <c r="S120" s="473"/>
      <c r="T120" s="473"/>
      <c r="U120" s="473"/>
      <c r="V120" s="473"/>
      <c r="W120" s="473"/>
      <c r="X120" s="473"/>
      <c r="Y120"/>
      <c r="Z120"/>
    </row>
    <row r="121" ht="22" customHeight="1">
      <c r="A121" s="502" t="str">
        <v>Amortization of intangible assets</v>
      </c>
      <c r="B121" s="452"/>
      <c r="C121" s="507" t="n">
        <v>2</v>
      </c>
      <c r="D121" s="507" t="n">
        <v>1</v>
      </c>
      <c r="E121" s="507" t="n">
        <v>1</v>
      </c>
      <c r="F121" s="473"/>
      <c r="G121" s="473"/>
      <c r="H121" s="507" t="n">
        <v>0</v>
      </c>
      <c r="I121" s="507" t="n">
        <v>1</v>
      </c>
      <c r="J121" s="507" t="n">
        <v>0</v>
      </c>
      <c r="K121" s="473" t="n">
        <f>'Operating Metrics'!E121-SUM('Operating Metrics'!H121,'Operating Metrics'!I121,'Operating Metrics'!J121)</f>
        <v>0</v>
      </c>
      <c r="L121" s="507" t="n">
        <v>0</v>
      </c>
      <c r="M121" s="507" t="n">
        <v>1</v>
      </c>
      <c r="N121" s="507" t="n">
        <v>0</v>
      </c>
      <c r="O121" s="473"/>
      <c r="P121" s="473"/>
      <c r="Q121" s="473"/>
      <c r="R121" s="473"/>
      <c r="S121" s="473"/>
      <c r="T121" s="473"/>
      <c r="U121" s="473"/>
      <c r="V121" s="473"/>
      <c r="W121" s="473"/>
      <c r="X121" s="473"/>
      <c r="Y121"/>
      <c r="Z121"/>
    </row>
    <row r="122" ht="22" customHeight="1">
      <c r="A122" s="502" t="str">
        <v>Depreciation and amortization</v>
      </c>
      <c r="B122" s="452"/>
      <c r="C122" s="473" t="n">
        <f>'Operating Metrics'!C120+'Operating Metrics'!C121</f>
        <v>297</v>
      </c>
      <c r="D122" s="507" t="n">
        <v>362</v>
      </c>
      <c r="E122" s="507" t="n">
        <v>382</v>
      </c>
      <c r="F122" s="507" t="n">
        <v>417</v>
      </c>
      <c r="G122" s="473"/>
      <c r="H122" s="473" t="n">
        <f>'Operating Metrics'!H120+'Operating Metrics'!H121</f>
        <v>64</v>
      </c>
      <c r="I122" s="473" t="n">
        <f>'Operating Metrics'!I120+'Operating Metrics'!I121</f>
        <v>103</v>
      </c>
      <c r="J122" s="473" t="n">
        <f>'Operating Metrics'!J120+'Operating Metrics'!J121</f>
        <v>96</v>
      </c>
      <c r="K122" s="473" t="n">
        <f>'Operating Metrics'!E122-SUM('Operating Metrics'!H122,'Operating Metrics'!I122,'Operating Metrics'!J122)</f>
        <v>119</v>
      </c>
      <c r="L122" s="507" t="n">
        <v>62</v>
      </c>
      <c r="M122" s="507" t="n">
        <v>100</v>
      </c>
      <c r="N122" s="507" t="n">
        <v>105</v>
      </c>
      <c r="O122" s="473" t="n">
        <f>'Operating Metrics'!F122-SUM('Operating Metrics'!L122,'Operating Metrics'!M122,'Operating Metrics'!N122)</f>
        <v>150</v>
      </c>
      <c r="P122" s="507" t="n">
        <v>80</v>
      </c>
      <c r="Q122" s="507" t="n">
        <v>123</v>
      </c>
      <c r="R122" s="507" t="n">
        <v>127</v>
      </c>
      <c r="S122" s="473"/>
      <c r="T122" s="473"/>
      <c r="U122" s="473"/>
      <c r="V122" s="473"/>
      <c r="W122" s="473"/>
      <c r="X122" s="473"/>
      <c r="Y122"/>
      <c r="Z122"/>
    </row>
    <row r="123" ht="22" customHeight="1">
      <c r="A123" s="502" t="str">
        <v>Capital spending / D&amp;A</v>
      </c>
      <c r="B123" s="452"/>
      <c r="C123" s="492" t="n">
        <f>IF('Operating Metrics'!C122=0,"",'Operating Metrics'!C118/'Operating Metrics'!C122)</f>
        <v>1.8552188552188553</v>
      </c>
      <c r="D123" s="492" t="n">
        <f>IF('Operating Metrics'!D122=0,"",'Operating Metrics'!D118/'Operating Metrics'!D122)</f>
        <v>2.248618784530387</v>
      </c>
      <c r="E123" s="492" t="n">
        <f>IF('Operating Metrics'!E122=0,"",'Operating Metrics'!E118/'Operating Metrics'!E122)</f>
        <v>2.1178010471204187</v>
      </c>
      <c r="F123" s="492" t="n">
        <f>IF('Operating Metrics'!F122=0,"",'Operating Metrics'!F118/'Operating Metrics'!F122)</f>
        <v>1.6115107913669064</v>
      </c>
      <c r="G123" s="492"/>
      <c r="H123" s="492" t="n">
        <f>IF('Operating Metrics'!H122=0,"",'Operating Metrics'!H118/'Operating Metrics'!H122)</f>
        <v>0.953125</v>
      </c>
      <c r="I123" s="492" t="n">
        <f>IF('Operating Metrics'!I122=0,"",'Operating Metrics'!I118/'Operating Metrics'!I122)</f>
        <v>1.4077669902912622</v>
      </c>
      <c r="J123" s="492" t="n">
        <f>IF('Operating Metrics'!J122=0,"",'Operating Metrics'!J118/'Operating Metrics'!J122)</f>
        <v>2.15625</v>
      </c>
      <c r="K123" s="492" t="n">
        <f>IF('Operating Metrics'!K122=0,"",'Operating Metrics'!K118/'Operating Metrics'!K122)</f>
        <v>3.327731092436975</v>
      </c>
      <c r="L123" s="492" t="n">
        <f>IF('Operating Metrics'!L122=0,"",'Operating Metrics'!L118/'Operating Metrics'!L122)</f>
        <v>0.7419354838709677</v>
      </c>
      <c r="M123" s="492" t="n">
        <f>IF('Operating Metrics'!M122=0,"",'Operating Metrics'!M118/'Operating Metrics'!M122)</f>
        <v>1.15</v>
      </c>
      <c r="N123" s="492" t="n">
        <f>IF('Operating Metrics'!N122=0,"",'Operating Metrics'!N118/'Operating Metrics'!N122)</f>
        <v>1.6952380952380952</v>
      </c>
      <c r="O123" s="492" t="n">
        <f>IF('Operating Metrics'!O122=0,"",'Operating Metrics'!O118/'Operating Metrics'!O122)</f>
        <v>2.22</v>
      </c>
      <c r="P123" s="492" t="n">
        <f>IF('Operating Metrics'!P122=0,"",'Operating Metrics'!P118/'Operating Metrics'!P122)</f>
        <v>0.5125</v>
      </c>
      <c r="Q123" s="492" t="n">
        <f>IF('Operating Metrics'!Q122=0,"",'Operating Metrics'!Q118/'Operating Metrics'!Q122)</f>
        <v>0.8699186991869918</v>
      </c>
      <c r="R123" s="492" t="n">
        <f>IF('Operating Metrics'!R122=0,"",'Operating Metrics'!R118/'Operating Metrics'!R122)</f>
        <v>0.8661417322834646</v>
      </c>
      <c r="S123" s="492"/>
      <c r="T123" s="492"/>
      <c r="U123" s="492"/>
      <c r="V123" s="492"/>
      <c r="W123" s="492"/>
      <c r="X123" s="492"/>
      <c r="Y123"/>
      <c r="Z123"/>
    </row>
    <row r="124" ht="24" customHeight="1">
      <c r="A124" s="477" t="str">
        <v>Asia Pacific Foods</v>
      </c>
      <c r="B124" s="477"/>
      <c r="C124" s="477"/>
      <c r="D124" s="477"/>
      <c r="E124" s="477"/>
      <c r="F124" s="477"/>
      <c r="G124" s="477"/>
      <c r="H124" s="477"/>
      <c r="I124" s="477"/>
      <c r="J124" s="477"/>
      <c r="K124" s="477"/>
      <c r="L124" s="477"/>
      <c r="M124" s="477"/>
      <c r="N124" s="477"/>
      <c r="O124" s="477"/>
      <c r="P124" s="477"/>
      <c r="Q124" s="477"/>
      <c r="R124" s="477"/>
      <c r="S124" s="477"/>
      <c r="T124" s="477"/>
      <c r="U124" s="477"/>
      <c r="V124" s="477"/>
      <c r="W124" s="477"/>
      <c r="X124" s="477"/>
      <c r="Y124"/>
      <c r="Z124"/>
    </row>
    <row r="125" ht="22" customHeight="1">
      <c r="A125" s="502" t="str">
        <v>Net revenue</v>
      </c>
      <c r="B125" s="452"/>
      <c r="C125" s="507" t="n">
        <v>4501</v>
      </c>
      <c r="D125" s="507" t="n">
        <v>4485</v>
      </c>
      <c r="E125" s="507" t="n">
        <v>4549</v>
      </c>
      <c r="F125" s="507" t="n">
        <v>4629</v>
      </c>
      <c r="G125" s="473"/>
      <c r="H125" s="507" t="n">
        <v>1045</v>
      </c>
      <c r="I125" s="507" t="n">
        <v>997</v>
      </c>
      <c r="J125" s="507" t="n">
        <v>1091</v>
      </c>
      <c r="K125" s="507" t="n">
        <v>1416</v>
      </c>
      <c r="L125" s="507" t="n">
        <v>1022</v>
      </c>
      <c r="M125" s="507" t="n">
        <v>1002</v>
      </c>
      <c r="N125" s="507" t="n">
        <v>1115</v>
      </c>
      <c r="O125" s="507" t="n">
        <v>1490</v>
      </c>
      <c r="P125" s="507" t="n">
        <v>1139</v>
      </c>
      <c r="Q125" s="507" t="n">
        <v>1124</v>
      </c>
      <c r="R125" s="507" t="n">
        <v>1229</v>
      </c>
      <c r="S125" s="473"/>
      <c r="T125" s="473"/>
      <c r="U125" s="473"/>
      <c r="V125" s="473"/>
      <c r="W125" s="473"/>
      <c r="X125" s="473"/>
      <c r="Y125"/>
      <c r="Z125"/>
    </row>
    <row r="126" ht="20" customHeight="1">
      <c r="A126" s="505" t="str">
        <v>Net revenue YoY</v>
      </c>
      <c r="B126" s="452"/>
      <c r="C126" s="506"/>
      <c r="D126" s="476" t="n">
        <f>IF(OR('Operating Metrics'!C125&lt;=0,'Operating Metrics'!D125&lt;0),"",'Operating Metrics'!D125/'Operating Metrics'!C125-1)</f>
        <v>-0.0035547656076427847</v>
      </c>
      <c r="E126" s="476" t="n">
        <f>IF(OR('Operating Metrics'!D125&lt;=0,'Operating Metrics'!E125&lt;0),"",'Operating Metrics'!E125/'Operating Metrics'!D125-1)</f>
        <v>0.014269788182831755</v>
      </c>
      <c r="F126" s="476" t="n">
        <f>IF(OR('Operating Metrics'!E125&lt;=0,'Operating Metrics'!F125&lt;0),"",'Operating Metrics'!F125/'Operating Metrics'!E125-1)</f>
        <v>0.01758628269949436</v>
      </c>
      <c r="G126" s="506"/>
      <c r="H126" s="506"/>
      <c r="I126" s="506"/>
      <c r="J126" s="506"/>
      <c r="K126" s="506"/>
      <c r="L126" s="476" t="n">
        <f>IF(OR('Operating Metrics'!H125&lt;=0,'Operating Metrics'!L125&lt;0),"",'Operating Metrics'!L125/'Operating Metrics'!H125-1)</f>
        <v>-0.02200956937799048</v>
      </c>
      <c r="M126" s="476" t="n">
        <f>IF(OR('Operating Metrics'!I125&lt;=0,'Operating Metrics'!M125&lt;0),"",'Operating Metrics'!M125/'Operating Metrics'!I125-1)</f>
        <v>0.005015045135406293</v>
      </c>
      <c r="N126" s="476" t="n">
        <f>IF(OR('Operating Metrics'!J125&lt;=0,'Operating Metrics'!N125&lt;0),"",'Operating Metrics'!N125/'Operating Metrics'!J125-1)</f>
        <v>0.021998166819431786</v>
      </c>
      <c r="O126" s="476" t="n">
        <f>IF(OR('Operating Metrics'!K125&lt;=0,'Operating Metrics'!O125&lt;0),"",'Operating Metrics'!O125/'Operating Metrics'!K125-1)</f>
        <v>0.05225988700564965</v>
      </c>
      <c r="P126" s="476" t="n">
        <f>IF(OR('Operating Metrics'!L125&lt;=0,'Operating Metrics'!P125&lt;0),"",'Operating Metrics'!P125/'Operating Metrics'!L125-1)</f>
        <v>0.11448140900195702</v>
      </c>
      <c r="Q126" s="476" t="n">
        <f>IF(OR('Operating Metrics'!M125&lt;=0,'Operating Metrics'!Q125&lt;0),"",'Operating Metrics'!Q125/'Operating Metrics'!M125-1)</f>
        <v>0.12175648702594821</v>
      </c>
      <c r="R126" s="476" t="n">
        <f>IF(OR('Operating Metrics'!N125&lt;=0,'Operating Metrics'!R125&lt;0),"",'Operating Metrics'!R125/'Operating Metrics'!N125-1)</f>
        <v>0.1022421524663677</v>
      </c>
      <c r="S126" s="506"/>
      <c r="T126" s="506"/>
      <c r="U126" s="506"/>
      <c r="V126" s="506"/>
      <c r="W126" s="506"/>
      <c r="X126" s="506"/>
      <c r="Y126"/>
      <c r="Z126"/>
    </row>
    <row r="127" ht="22" customHeight="1">
      <c r="A127" s="502" t="str">
        <v>Reported operating profit</v>
      </c>
      <c r="B127" s="452"/>
      <c r="C127" s="507" t="n">
        <v>78</v>
      </c>
      <c r="D127" s="507" t="n">
        <v>301</v>
      </c>
      <c r="E127" s="507" t="n">
        <v>377</v>
      </c>
      <c r="F127" s="507" t="n">
        <v>369</v>
      </c>
      <c r="G127" s="473"/>
      <c r="H127" s="507" t="n">
        <v>175</v>
      </c>
      <c r="I127" s="507" t="n">
        <v>103</v>
      </c>
      <c r="J127" s="507" t="n">
        <v>129</v>
      </c>
      <c r="K127" s="507" t="n">
        <v>-30</v>
      </c>
      <c r="L127" s="507" t="n">
        <v>160</v>
      </c>
      <c r="M127" s="507" t="n">
        <v>10</v>
      </c>
      <c r="N127" s="507" t="n">
        <v>151</v>
      </c>
      <c r="O127" s="507" t="n">
        <v>48</v>
      </c>
      <c r="P127" s="507" t="n">
        <v>217</v>
      </c>
      <c r="Q127" s="507" t="n">
        <v>127</v>
      </c>
      <c r="R127" s="507" t="n">
        <v>174</v>
      </c>
      <c r="S127" s="473"/>
      <c r="T127" s="473"/>
      <c r="U127" s="473"/>
      <c r="V127" s="473"/>
      <c r="W127" s="473"/>
      <c r="X127" s="473"/>
      <c r="Y127"/>
      <c r="Z127"/>
    </row>
    <row r="128" ht="22" customHeight="1">
      <c r="A128" s="502" t="str">
        <v>Core operating profit</v>
      </c>
      <c r="B128" s="452"/>
      <c r="C128" s="473"/>
      <c r="D128" s="507" t="n">
        <v>370</v>
      </c>
      <c r="E128" s="507" t="n">
        <v>391</v>
      </c>
      <c r="F128" s="507" t="n">
        <v>464</v>
      </c>
      <c r="G128" s="473"/>
      <c r="H128" s="507" t="n">
        <v>175</v>
      </c>
      <c r="I128" s="507" t="n">
        <v>107</v>
      </c>
      <c r="J128" s="507" t="n">
        <v>131</v>
      </c>
      <c r="K128" s="507" t="n">
        <v>-22</v>
      </c>
      <c r="L128" s="507" t="n">
        <v>161</v>
      </c>
      <c r="M128" s="507" t="n">
        <v>93</v>
      </c>
      <c r="N128" s="507" t="n">
        <v>156</v>
      </c>
      <c r="O128" s="507" t="n">
        <v>54</v>
      </c>
      <c r="P128" s="507" t="n">
        <v>218</v>
      </c>
      <c r="Q128" s="507" t="n">
        <v>134</v>
      </c>
      <c r="R128" s="507" t="n">
        <v>179</v>
      </c>
      <c r="S128" s="473"/>
      <c r="T128" s="473"/>
      <c r="U128" s="473"/>
      <c r="V128" s="473"/>
      <c r="W128" s="473"/>
      <c r="X128" s="473"/>
      <c r="Y128"/>
      <c r="Z128"/>
    </row>
    <row r="129" ht="20" customHeight="1">
      <c r="A129" s="505" t="str">
        <v>Core operating profit YoY</v>
      </c>
      <c r="B129" s="452"/>
      <c r="C129" s="506"/>
      <c r="D129" s="506"/>
      <c r="E129" s="476" t="n">
        <f>IF(OR('Operating Metrics'!D128&lt;=0,'Operating Metrics'!E128&lt;0),"",'Operating Metrics'!E128/'Operating Metrics'!D128-1)</f>
        <v>0.05675675675675684</v>
      </c>
      <c r="F129" s="476" t="n">
        <f>IF(OR('Operating Metrics'!E128&lt;=0,'Operating Metrics'!F128&lt;0),"",'Operating Metrics'!F128/'Operating Metrics'!E128-1)</f>
        <v>0.1867007672634271</v>
      </c>
      <c r="G129" s="506"/>
      <c r="H129" s="506"/>
      <c r="I129" s="506"/>
      <c r="J129" s="506"/>
      <c r="K129" s="506"/>
      <c r="L129" s="476" t="n">
        <f>IF(OR('Operating Metrics'!H128&lt;=0,'Operating Metrics'!L128&lt;0),"",'Operating Metrics'!L128/'Operating Metrics'!H128-1)</f>
        <v>-0.07999999999999996</v>
      </c>
      <c r="M129" s="476" t="n">
        <f>IF(OR('Operating Metrics'!I128&lt;=0,'Operating Metrics'!M128&lt;0),"",'Operating Metrics'!M128/'Operating Metrics'!I128-1)</f>
        <v>-0.13084112149532712</v>
      </c>
      <c r="N129" s="476" t="n">
        <f>IF(OR('Operating Metrics'!J128&lt;=0,'Operating Metrics'!N128&lt;0),"",'Operating Metrics'!N128/'Operating Metrics'!J128-1)</f>
        <v>0.19083969465648853</v>
      </c>
      <c r="O129" s="476" t="str">
        <f>IF(OR('Operating Metrics'!K128&lt;=0,'Operating Metrics'!O128&lt;0),"",'Operating Metrics'!O128/'Operating Metrics'!K128-1)</f>
      </c>
      <c r="P129" s="476" t="n">
        <f>IF(OR('Operating Metrics'!L128&lt;=0,'Operating Metrics'!P128&lt;0),"",'Operating Metrics'!P128/'Operating Metrics'!L128-1)</f>
        <v>0.35403726708074523</v>
      </c>
      <c r="Q129" s="476" t="n">
        <f>IF(OR('Operating Metrics'!M128&lt;=0,'Operating Metrics'!Q128&lt;0),"",'Operating Metrics'!Q128/'Operating Metrics'!M128-1)</f>
        <v>0.4408602150537635</v>
      </c>
      <c r="R129" s="476" t="n">
        <f>IF(OR('Operating Metrics'!N128&lt;=0,'Operating Metrics'!R128&lt;0),"",'Operating Metrics'!R128/'Operating Metrics'!N128-1)</f>
        <v>0.14743589743589736</v>
      </c>
      <c r="S129" s="506"/>
      <c r="T129" s="506"/>
      <c r="U129" s="506"/>
      <c r="V129" s="506"/>
      <c r="W129" s="506"/>
      <c r="X129" s="506"/>
      <c r="Y129"/>
      <c r="Z129"/>
    </row>
    <row r="130" ht="20" customHeight="1">
      <c r="A130" s="505" t="str">
        <v>Core operating margin</v>
      </c>
      <c r="B130" s="452"/>
      <c r="C130" s="506"/>
      <c r="D130" s="476" t="n">
        <f>IF('Operating Metrics'!D125=0,"",'Operating Metrics'!D128/'Operating Metrics'!D125)</f>
        <v>0.08249721293199554</v>
      </c>
      <c r="E130" s="476" t="n">
        <f>IF('Operating Metrics'!E125=0,"",'Operating Metrics'!E128/'Operating Metrics'!E125)</f>
        <v>0.08595295669377885</v>
      </c>
      <c r="F130" s="476" t="n">
        <f>IF('Operating Metrics'!F125=0,"",'Operating Metrics'!F128/'Operating Metrics'!F125)</f>
        <v>0.10023763231799525</v>
      </c>
      <c r="G130" s="506"/>
      <c r="H130" s="476" t="n">
        <f>IF('Operating Metrics'!H125=0,"",'Operating Metrics'!H128/'Operating Metrics'!H125)</f>
        <v>0.1674641148325359</v>
      </c>
      <c r="I130" s="476" t="n">
        <f>IF('Operating Metrics'!I125=0,"",'Operating Metrics'!I128/'Operating Metrics'!I125)</f>
        <v>0.10732196589769308</v>
      </c>
      <c r="J130" s="476" t="n">
        <f>IF('Operating Metrics'!J125=0,"",'Operating Metrics'!J128/'Operating Metrics'!J125)</f>
        <v>0.12007332722273144</v>
      </c>
      <c r="K130" s="476" t="n">
        <f>IF('Operating Metrics'!K125=0,"",'Operating Metrics'!K128/'Operating Metrics'!K125)</f>
        <v>-0.015536723163841809</v>
      </c>
      <c r="L130" s="476" t="n">
        <f>IF('Operating Metrics'!L125=0,"",'Operating Metrics'!L128/'Operating Metrics'!L125)</f>
        <v>0.15753424657534246</v>
      </c>
      <c r="M130" s="476" t="n">
        <f>IF('Operating Metrics'!M125=0,"",'Operating Metrics'!M128/'Operating Metrics'!M125)</f>
        <v>0.09281437125748503</v>
      </c>
      <c r="N130" s="476" t="n">
        <f>IF('Operating Metrics'!N125=0,"",'Operating Metrics'!N128/'Operating Metrics'!N125)</f>
        <v>0.13991031390134528</v>
      </c>
      <c r="O130" s="476" t="n">
        <f>IF('Operating Metrics'!O125=0,"",'Operating Metrics'!O128/'Operating Metrics'!O125)</f>
        <v>0.036241610738255034</v>
      </c>
      <c r="P130" s="476" t="n">
        <f>IF('Operating Metrics'!P125=0,"",'Operating Metrics'!P128/'Operating Metrics'!P125)</f>
        <v>0.19139596136962247</v>
      </c>
      <c r="Q130" s="476" t="n">
        <f>IF('Operating Metrics'!Q125=0,"",'Operating Metrics'!Q128/'Operating Metrics'!Q125)</f>
        <v>0.11921708185053381</v>
      </c>
      <c r="R130" s="476" t="n">
        <f>IF('Operating Metrics'!R125=0,"",'Operating Metrics'!R128/'Operating Metrics'!R125)</f>
        <v>0.14564686737184704</v>
      </c>
      <c r="S130" s="506"/>
      <c r="T130" s="506"/>
      <c r="U130" s="506"/>
      <c r="V130" s="506"/>
      <c r="W130" s="506"/>
      <c r="X130" s="506"/>
      <c r="Y130"/>
      <c r="Z130"/>
    </row>
    <row r="131" ht="20" customHeight="1">
      <c r="A131" s="505" t="str">
        <v>Organic revenue growth</v>
      </c>
      <c r="B131" s="452"/>
      <c r="C131" s="506"/>
      <c r="D131" s="508" t="n">
        <v>0.04</v>
      </c>
      <c r="E131" s="508" t="n">
        <v>0.03</v>
      </c>
      <c r="F131" s="508" t="n">
        <v>0.015</v>
      </c>
      <c r="G131" s="506"/>
      <c r="H131" s="508" t="n">
        <v>0.1</v>
      </c>
      <c r="I131" s="508" t="n">
        <v>0.01</v>
      </c>
      <c r="J131" s="508" t="n">
        <v>0.015</v>
      </c>
      <c r="K131" s="508" t="n">
        <v>0.02</v>
      </c>
      <c r="L131" s="508" t="n">
        <v>-0.01</v>
      </c>
      <c r="M131" s="508" t="n">
        <v>0</v>
      </c>
      <c r="N131" s="508" t="n">
        <v>0.01</v>
      </c>
      <c r="O131" s="508" t="n">
        <v>0.04</v>
      </c>
      <c r="P131" s="508" t="n">
        <v>0.07</v>
      </c>
      <c r="Q131" s="508" t="n">
        <v>0.09</v>
      </c>
      <c r="R131" s="508" t="n">
        <v>0.09</v>
      </c>
      <c r="S131" s="506"/>
      <c r="T131" s="506"/>
      <c r="U131" s="506"/>
      <c r="V131" s="506"/>
      <c r="W131" s="506"/>
      <c r="X131" s="506"/>
      <c r="Y131"/>
      <c r="Z131"/>
    </row>
    <row r="132" ht="20" customHeight="1">
      <c r="A132" s="505" t="str">
        <v>Organic physical volume - foods</v>
      </c>
      <c r="B132" s="452"/>
      <c r="C132" s="506"/>
      <c r="D132" s="508" t="n">
        <v>-0.02</v>
      </c>
      <c r="E132" s="508" t="n">
        <v>0.06</v>
      </c>
      <c r="F132" s="508" t="n">
        <v>0.04</v>
      </c>
      <c r="G132" s="506"/>
      <c r="H132" s="508" t="n">
        <v>0.12</v>
      </c>
      <c r="I132" s="508" t="n">
        <v>0.03</v>
      </c>
      <c r="J132" s="508" t="n">
        <v>0.035</v>
      </c>
      <c r="K132" s="508" t="n">
        <v>0.06</v>
      </c>
      <c r="L132" s="508" t="n">
        <v>0.03</v>
      </c>
      <c r="M132" s="508" t="n">
        <v>0.05</v>
      </c>
      <c r="N132" s="508" t="n">
        <v>0.03</v>
      </c>
      <c r="O132" s="508" t="n">
        <v>0.04</v>
      </c>
      <c r="P132" s="508" t="n">
        <v>0.09</v>
      </c>
      <c r="Q132" s="508" t="n">
        <v>0.1</v>
      </c>
      <c r="R132" s="508" t="n">
        <v>0.11</v>
      </c>
      <c r="S132" s="506"/>
      <c r="T132" s="506"/>
      <c r="U132" s="506"/>
      <c r="V132" s="506"/>
      <c r="W132" s="506"/>
      <c r="X132" s="506"/>
      <c r="Y132"/>
      <c r="Z132"/>
    </row>
    <row r="133" ht="20" customHeight="1">
      <c r="A133" s="505" t="str">
        <v>Effective net pricing</v>
      </c>
      <c r="B133" s="452"/>
      <c r="C133" s="506"/>
      <c r="D133" s="508" t="n">
        <v>0.06</v>
      </c>
      <c r="E133" s="508" t="n">
        <v>-0.03</v>
      </c>
      <c r="F133" s="508" t="n">
        <v>-0.03</v>
      </c>
      <c r="G133" s="506"/>
      <c r="H133" s="508" t="n">
        <v>-0.02</v>
      </c>
      <c r="I133" s="508" t="n">
        <v>-0.03</v>
      </c>
      <c r="J133" s="508" t="n">
        <v>-0.02</v>
      </c>
      <c r="K133" s="508" t="n">
        <v>-0.05</v>
      </c>
      <c r="L133" s="508" t="n">
        <v>-0.04</v>
      </c>
      <c r="M133" s="508" t="n">
        <v>-0.06</v>
      </c>
      <c r="N133" s="508" t="n">
        <v>-0.03</v>
      </c>
      <c r="O133" s="508" t="n">
        <v>0</v>
      </c>
      <c r="P133" s="508" t="n">
        <v>-0.02</v>
      </c>
      <c r="Q133" s="508" t="n">
        <v>-0.01</v>
      </c>
      <c r="R133" s="508" t="n">
        <v>-0.02</v>
      </c>
      <c r="S133" s="506"/>
      <c r="T133" s="506"/>
      <c r="U133" s="506"/>
      <c r="V133" s="506"/>
      <c r="W133" s="506"/>
      <c r="X133" s="506"/>
      <c r="Y133"/>
      <c r="Z133"/>
    </row>
    <row r="134" ht="22" customHeight="1">
      <c r="A134" s="502" t="str">
        <v>Capital spending</v>
      </c>
      <c r="B134" s="452"/>
      <c r="C134" s="507" t="n">
        <v>261</v>
      </c>
      <c r="D134" s="507" t="n">
        <v>312</v>
      </c>
      <c r="E134" s="507" t="n">
        <v>312</v>
      </c>
      <c r="F134" s="507" t="n">
        <v>257</v>
      </c>
      <c r="G134" s="473"/>
      <c r="H134" s="507" t="n">
        <v>19</v>
      </c>
      <c r="I134" s="507" t="n">
        <v>52</v>
      </c>
      <c r="J134" s="507" t="n">
        <v>96</v>
      </c>
      <c r="K134" s="473" t="n">
        <f>'Operating Metrics'!E134-SUM('Operating Metrics'!H134,'Operating Metrics'!I134,'Operating Metrics'!J134)</f>
        <v>145</v>
      </c>
      <c r="L134" s="507" t="n">
        <v>24</v>
      </c>
      <c r="M134" s="507" t="n">
        <v>68</v>
      </c>
      <c r="N134" s="507" t="n">
        <v>60</v>
      </c>
      <c r="O134" s="473" t="n">
        <f>'Operating Metrics'!F134-SUM('Operating Metrics'!L134,'Operating Metrics'!M134,'Operating Metrics'!N134)</f>
        <v>105</v>
      </c>
      <c r="P134" s="507" t="n">
        <v>16</v>
      </c>
      <c r="Q134" s="507" t="n">
        <v>35</v>
      </c>
      <c r="R134" s="507" t="n">
        <v>43</v>
      </c>
      <c r="S134" s="473"/>
      <c r="T134" s="473"/>
      <c r="U134" s="473"/>
      <c r="V134" s="473"/>
      <c r="W134" s="473"/>
      <c r="X134" s="473"/>
      <c r="Y134"/>
      <c r="Z134"/>
    </row>
    <row r="135" ht="20" customHeight="1">
      <c r="A135" s="505" t="str">
        <v>Capital spending / net revenue</v>
      </c>
      <c r="B135" s="452"/>
      <c r="C135" s="476" t="n">
        <f>IF('Operating Metrics'!C125=0,"",'Operating Metrics'!C134/'Operating Metrics'!C125)</f>
        <v>0.057987113974672294</v>
      </c>
      <c r="D135" s="476" t="n">
        <f>IF('Operating Metrics'!D125=0,"",'Operating Metrics'!D134/'Operating Metrics'!D125)</f>
        <v>0.06956521739130435</v>
      </c>
      <c r="E135" s="476" t="n">
        <f>IF('Operating Metrics'!E125=0,"",'Operating Metrics'!E134/'Operating Metrics'!E125)</f>
        <v>0.06858650252802814</v>
      </c>
      <c r="F135" s="476" t="n">
        <f>IF('Operating Metrics'!F125=0,"",'Operating Metrics'!F134/'Operating Metrics'!F125)</f>
        <v>0.05551955065888961</v>
      </c>
      <c r="G135" s="506"/>
      <c r="H135" s="476" t="n">
        <f>IF('Operating Metrics'!H125=0,"",'Operating Metrics'!H134/'Operating Metrics'!H125)</f>
        <v>0.01818181818181818</v>
      </c>
      <c r="I135" s="476" t="n">
        <f>IF('Operating Metrics'!I125=0,"",'Operating Metrics'!I134/'Operating Metrics'!I125)</f>
        <v>0.05215646940822467</v>
      </c>
      <c r="J135" s="476" t="n">
        <f>IF('Operating Metrics'!J125=0,"",'Operating Metrics'!J134/'Operating Metrics'!J125)</f>
        <v>0.08799266727772685</v>
      </c>
      <c r="K135" s="476" t="n">
        <f>IF('Operating Metrics'!K125=0,"",'Operating Metrics'!K134/'Operating Metrics'!K125)</f>
        <v>0.10240112994350282</v>
      </c>
      <c r="L135" s="476" t="n">
        <f>IF('Operating Metrics'!L125=0,"",'Operating Metrics'!L134/'Operating Metrics'!L125)</f>
        <v>0.023483365949119372</v>
      </c>
      <c r="M135" s="476" t="n">
        <f>IF('Operating Metrics'!M125=0,"",'Operating Metrics'!M134/'Operating Metrics'!M125)</f>
        <v>0.06786427145708583</v>
      </c>
      <c r="N135" s="476" t="n">
        <f>IF('Operating Metrics'!N125=0,"",'Operating Metrics'!N134/'Operating Metrics'!N125)</f>
        <v>0.053811659192825115</v>
      </c>
      <c r="O135" s="476" t="n">
        <f>IF('Operating Metrics'!O125=0,"",'Operating Metrics'!O134/'Operating Metrics'!O125)</f>
        <v>0.07046979865771812</v>
      </c>
      <c r="P135" s="476" t="n">
        <f>IF('Operating Metrics'!P125=0,"",'Operating Metrics'!P134/'Operating Metrics'!P125)</f>
        <v>0.014047410008779631</v>
      </c>
      <c r="Q135" s="476" t="n">
        <f>IF('Operating Metrics'!Q125=0,"",'Operating Metrics'!Q134/'Operating Metrics'!Q125)</f>
        <v>0.03113879003558719</v>
      </c>
      <c r="R135" s="476" t="n">
        <f>IF('Operating Metrics'!R125=0,"",'Operating Metrics'!R134/'Operating Metrics'!R125)</f>
        <v>0.03498779495524817</v>
      </c>
      <c r="S135" s="506"/>
      <c r="T135" s="506"/>
      <c r="U135" s="506"/>
      <c r="V135" s="506"/>
      <c r="W135" s="506"/>
      <c r="X135" s="506"/>
      <c r="Y135"/>
      <c r="Z135"/>
    </row>
    <row r="136" ht="22" customHeight="1">
      <c r="A136" s="502" t="str">
        <v>Depreciation and other amortization</v>
      </c>
      <c r="B136" s="452"/>
      <c r="C136" s="507" t="n">
        <v>100</v>
      </c>
      <c r="D136" s="507" t="n">
        <v>110</v>
      </c>
      <c r="E136" s="507" t="n">
        <v>125</v>
      </c>
      <c r="F136" s="473"/>
      <c r="G136" s="473"/>
      <c r="H136" s="507" t="n">
        <v>20</v>
      </c>
      <c r="I136" s="507" t="n">
        <v>29</v>
      </c>
      <c r="J136" s="507" t="n">
        <v>32</v>
      </c>
      <c r="K136" s="473" t="n">
        <f>'Operating Metrics'!E136-SUM('Operating Metrics'!H136,'Operating Metrics'!I136,'Operating Metrics'!J136)</f>
        <v>44</v>
      </c>
      <c r="L136" s="507" t="n">
        <v>22</v>
      </c>
      <c r="M136" s="507" t="n">
        <v>36</v>
      </c>
      <c r="N136" s="507" t="n">
        <v>36</v>
      </c>
      <c r="O136" s="473"/>
      <c r="P136" s="473"/>
      <c r="Q136" s="473"/>
      <c r="R136" s="473"/>
      <c r="S136" s="473"/>
      <c r="T136" s="473"/>
      <c r="U136" s="473"/>
      <c r="V136" s="473"/>
      <c r="W136" s="473"/>
      <c r="X136" s="473"/>
      <c r="Y136"/>
      <c r="Z136"/>
    </row>
    <row r="137" ht="22" customHeight="1">
      <c r="A137" s="502" t="str">
        <v>Amortization of intangible assets</v>
      </c>
      <c r="B137" s="452"/>
      <c r="C137" s="507" t="n">
        <v>8</v>
      </c>
      <c r="D137" s="507" t="n">
        <v>8</v>
      </c>
      <c r="E137" s="507" t="n">
        <v>8</v>
      </c>
      <c r="F137" s="473"/>
      <c r="G137" s="473"/>
      <c r="H137" s="507" t="n">
        <v>1</v>
      </c>
      <c r="I137" s="507" t="n">
        <v>2</v>
      </c>
      <c r="J137" s="507" t="n">
        <v>2</v>
      </c>
      <c r="K137" s="473" t="n">
        <f>'Operating Metrics'!E137-SUM('Operating Metrics'!H137,'Operating Metrics'!I137,'Operating Metrics'!J137)</f>
        <v>3</v>
      </c>
      <c r="L137" s="507" t="n">
        <v>1</v>
      </c>
      <c r="M137" s="507" t="n">
        <v>2</v>
      </c>
      <c r="N137" s="507" t="n">
        <v>2</v>
      </c>
      <c r="O137" s="473"/>
      <c r="P137" s="473"/>
      <c r="Q137" s="473"/>
      <c r="R137" s="473"/>
      <c r="S137" s="473"/>
      <c r="T137" s="473"/>
      <c r="U137" s="473"/>
      <c r="V137" s="473"/>
      <c r="W137" s="473"/>
      <c r="X137" s="473"/>
      <c r="Y137"/>
      <c r="Z137"/>
    </row>
    <row r="138" ht="22" customHeight="1">
      <c r="A138" s="502" t="str">
        <v>Depreciation and amortization</v>
      </c>
      <c r="B138" s="452"/>
      <c r="C138" s="473" t="n">
        <f>'Operating Metrics'!C136+'Operating Metrics'!C137</f>
        <v>108</v>
      </c>
      <c r="D138" s="507" t="n">
        <v>118</v>
      </c>
      <c r="E138" s="507" t="n">
        <v>133</v>
      </c>
      <c r="F138" s="507" t="n">
        <v>153</v>
      </c>
      <c r="G138" s="473"/>
      <c r="H138" s="473" t="n">
        <f>'Operating Metrics'!H136+'Operating Metrics'!H137</f>
        <v>21</v>
      </c>
      <c r="I138" s="473" t="n">
        <f>'Operating Metrics'!I136+'Operating Metrics'!I137</f>
        <v>31</v>
      </c>
      <c r="J138" s="473" t="n">
        <f>'Operating Metrics'!J136+'Operating Metrics'!J137</f>
        <v>34</v>
      </c>
      <c r="K138" s="473" t="n">
        <f>'Operating Metrics'!E138-SUM('Operating Metrics'!H138,'Operating Metrics'!I138,'Operating Metrics'!J138)</f>
        <v>47</v>
      </c>
      <c r="L138" s="507" t="n">
        <v>23</v>
      </c>
      <c r="M138" s="507" t="n">
        <v>38</v>
      </c>
      <c r="N138" s="507" t="n">
        <v>38</v>
      </c>
      <c r="O138" s="473" t="n">
        <f>'Operating Metrics'!F138-SUM('Operating Metrics'!L138,'Operating Metrics'!M138,'Operating Metrics'!N138)</f>
        <v>54</v>
      </c>
      <c r="P138" s="507" t="n">
        <v>28</v>
      </c>
      <c r="Q138" s="507" t="n">
        <v>42</v>
      </c>
      <c r="R138" s="507" t="n">
        <v>44</v>
      </c>
      <c r="S138" s="473"/>
      <c r="T138" s="473"/>
      <c r="U138" s="473"/>
      <c r="V138" s="473"/>
      <c r="W138" s="473"/>
      <c r="X138" s="473"/>
      <c r="Y138"/>
      <c r="Z138"/>
    </row>
    <row r="139" ht="22" customHeight="1">
      <c r="A139" s="502" t="str">
        <v>Capital spending / D&amp;A</v>
      </c>
      <c r="B139" s="452"/>
      <c r="C139" s="492" t="n">
        <f>IF('Operating Metrics'!C138=0,"",'Operating Metrics'!C134/'Operating Metrics'!C138)</f>
        <v>2.4166666666666665</v>
      </c>
      <c r="D139" s="492" t="n">
        <f>IF('Operating Metrics'!D138=0,"",'Operating Metrics'!D134/'Operating Metrics'!D138)</f>
        <v>2.6440677966101696</v>
      </c>
      <c r="E139" s="492" t="n">
        <f>IF('Operating Metrics'!E138=0,"",'Operating Metrics'!E134/'Operating Metrics'!E138)</f>
        <v>2.345864661654135</v>
      </c>
      <c r="F139" s="492" t="n">
        <f>IF('Operating Metrics'!F138=0,"",'Operating Metrics'!F134/'Operating Metrics'!F138)</f>
        <v>1.6797385620915033</v>
      </c>
      <c r="G139" s="492"/>
      <c r="H139" s="492" t="n">
        <f>IF('Operating Metrics'!H138=0,"",'Operating Metrics'!H134/'Operating Metrics'!H138)</f>
        <v>0.9047619047619048</v>
      </c>
      <c r="I139" s="492" t="n">
        <f>IF('Operating Metrics'!I138=0,"",'Operating Metrics'!I134/'Operating Metrics'!I138)</f>
        <v>1.6774193548387097</v>
      </c>
      <c r="J139" s="492" t="n">
        <f>IF('Operating Metrics'!J138=0,"",'Operating Metrics'!J134/'Operating Metrics'!J138)</f>
        <v>2.823529411764706</v>
      </c>
      <c r="K139" s="492" t="n">
        <f>IF('Operating Metrics'!K138=0,"",'Operating Metrics'!K134/'Operating Metrics'!K138)</f>
        <v>3.0851063829787235</v>
      </c>
      <c r="L139" s="492" t="n">
        <f>IF('Operating Metrics'!L138=0,"",'Operating Metrics'!L134/'Operating Metrics'!L138)</f>
        <v>1.0434782608695652</v>
      </c>
      <c r="M139" s="492" t="n">
        <f>IF('Operating Metrics'!M138=0,"",'Operating Metrics'!M134/'Operating Metrics'!M138)</f>
        <v>1.7894736842105263</v>
      </c>
      <c r="N139" s="492" t="n">
        <f>IF('Operating Metrics'!N138=0,"",'Operating Metrics'!N134/'Operating Metrics'!N138)</f>
        <v>1.5789473684210527</v>
      </c>
      <c r="O139" s="492" t="n">
        <f>IF('Operating Metrics'!O138=0,"",'Operating Metrics'!O134/'Operating Metrics'!O138)</f>
        <v>1.9444444444444444</v>
      </c>
      <c r="P139" s="492" t="n">
        <f>IF('Operating Metrics'!P138=0,"",'Operating Metrics'!P134/'Operating Metrics'!P138)</f>
        <v>0.5714285714285714</v>
      </c>
      <c r="Q139" s="492" t="n">
        <f>IF('Operating Metrics'!Q138=0,"",'Operating Metrics'!Q134/'Operating Metrics'!Q138)</f>
        <v>0.8333333333333334</v>
      </c>
      <c r="R139" s="492" t="n">
        <f>IF('Operating Metrics'!R138=0,"",'Operating Metrics'!R134/'Operating Metrics'!R138)</f>
        <v>0.9772727272727273</v>
      </c>
      <c r="S139" s="492"/>
      <c r="T139" s="492"/>
      <c r="U139" s="492"/>
      <c r="V139" s="492"/>
      <c r="W139" s="492"/>
      <c r="X139" s="492"/>
      <c r="Y139"/>
      <c r="Z139"/>
    </row>
    <row r="140" ht="24" customHeight="1">
      <c r="A140" s="477" t="str">
        <v>Corporate unallocated expenses</v>
      </c>
      <c r="B140" s="477"/>
      <c r="C140" s="477"/>
      <c r="D140" s="477"/>
      <c r="E140" s="477"/>
      <c r="F140" s="477"/>
      <c r="G140" s="477"/>
      <c r="H140" s="477"/>
      <c r="I140" s="477"/>
      <c r="J140" s="477"/>
      <c r="K140" s="477"/>
      <c r="L140" s="477"/>
      <c r="M140" s="477"/>
      <c r="N140" s="477"/>
      <c r="O140" s="477"/>
      <c r="P140" s="477"/>
      <c r="Q140" s="477"/>
      <c r="R140" s="477"/>
      <c r="S140" s="477"/>
      <c r="T140" s="477"/>
      <c r="U140" s="477"/>
      <c r="V140" s="477"/>
      <c r="W140" s="477"/>
      <c r="X140" s="477"/>
      <c r="Y140"/>
      <c r="Z140"/>
    </row>
    <row r="141" ht="22" customHeight="1">
      <c r="A141" s="502" t="str">
        <v>Reported corporate expenses (signed)</v>
      </c>
      <c r="B141" s="452"/>
      <c r="C141" s="507" t="n">
        <v>-2094</v>
      </c>
      <c r="D141" s="507" t="n">
        <v>-2375</v>
      </c>
      <c r="E141" s="507" t="n">
        <v>-1896</v>
      </c>
      <c r="F141" s="507" t="n">
        <v>-2018</v>
      </c>
      <c r="G141" s="473"/>
      <c r="H141" s="507" t="n">
        <v>-370</v>
      </c>
      <c r="I141" s="507" t="n">
        <v>-337</v>
      </c>
      <c r="J141" s="507" t="n">
        <v>-442</v>
      </c>
      <c r="K141" s="507" t="n">
        <v>-747</v>
      </c>
      <c r="L141" s="507" t="n">
        <v>-414</v>
      </c>
      <c r="M141" s="507" t="n">
        <v>-411</v>
      </c>
      <c r="N141" s="507" t="n">
        <v>-427</v>
      </c>
      <c r="O141" s="507" t="n">
        <v>-766</v>
      </c>
      <c r="P141" s="507" t="n">
        <v>-196</v>
      </c>
      <c r="Q141" s="507" t="n">
        <v>-503</v>
      </c>
      <c r="R141" s="507" t="n">
        <v>-386</v>
      </c>
      <c r="S141" s="473"/>
      <c r="T141" s="473"/>
      <c r="U141" s="473"/>
      <c r="V141" s="473"/>
      <c r="W141" s="473"/>
      <c r="X141" s="473"/>
      <c r="Y141"/>
      <c r="Z141"/>
    </row>
    <row r="142" ht="22" customHeight="1">
      <c r="A142" s="502" t="str">
        <v>Core corporate expenses (signed)</v>
      </c>
      <c r="B142" s="452"/>
      <c r="C142" s="473"/>
      <c r="D142" s="507" t="n">
        <v>-2226</v>
      </c>
      <c r="E142" s="507" t="n">
        <v>-1820</v>
      </c>
      <c r="F142" s="507" t="n">
        <v>-1953</v>
      </c>
      <c r="G142" s="473"/>
      <c r="H142" s="507" t="n">
        <v>-376</v>
      </c>
      <c r="I142" s="507" t="n">
        <v>-339</v>
      </c>
      <c r="J142" s="507" t="n">
        <v>-351</v>
      </c>
      <c r="K142" s="507" t="n">
        <v>-754</v>
      </c>
      <c r="L142" s="507" t="n">
        <v>-405</v>
      </c>
      <c r="M142" s="507" t="n">
        <v>-404</v>
      </c>
      <c r="N142" s="507" t="n">
        <v>-406</v>
      </c>
      <c r="O142" s="507" t="n">
        <v>-738</v>
      </c>
      <c r="P142" s="507" t="n">
        <v>-372</v>
      </c>
      <c r="Q142" s="507" t="n">
        <v>-453</v>
      </c>
      <c r="R142" s="507" t="n">
        <v>-426</v>
      </c>
      <c r="S142" s="473"/>
      <c r="T142" s="473"/>
      <c r="U142" s="473"/>
      <c r="V142" s="473"/>
      <c r="W142" s="473"/>
      <c r="X142" s="473"/>
      <c r="Y142"/>
      <c r="Z142"/>
    </row>
    <row r="143" ht="22" customHeight="1">
      <c r="A143" s="502" t="str">
        <v>Corporate capital spending</v>
      </c>
      <c r="B143" s="452"/>
      <c r="C143" s="507" t="n">
        <v>139</v>
      </c>
      <c r="D143" s="507" t="n">
        <v>284</v>
      </c>
      <c r="E143" s="507" t="n">
        <v>322</v>
      </c>
      <c r="F143" s="507" t="n">
        <v>223</v>
      </c>
      <c r="G143" s="473"/>
      <c r="H143" s="507" t="n">
        <v>36</v>
      </c>
      <c r="I143" s="507" t="n">
        <v>84</v>
      </c>
      <c r="J143" s="507" t="n">
        <v>58</v>
      </c>
      <c r="K143" s="473" t="n">
        <f>'Operating Metrics'!E143-SUM('Operating Metrics'!H143,'Operating Metrics'!I143,'Operating Metrics'!J143)</f>
        <v>144</v>
      </c>
      <c r="L143" s="507" t="n">
        <v>24</v>
      </c>
      <c r="M143" s="507" t="n">
        <v>41</v>
      </c>
      <c r="N143" s="507" t="n">
        <v>58</v>
      </c>
      <c r="O143" s="473" t="n">
        <f>'Operating Metrics'!F143-SUM('Operating Metrics'!L143,'Operating Metrics'!M143,'Operating Metrics'!N143)</f>
        <v>100</v>
      </c>
      <c r="P143" s="507" t="n">
        <v>22</v>
      </c>
      <c r="Q143" s="507" t="n">
        <v>34</v>
      </c>
      <c r="R143" s="507" t="n">
        <v>47</v>
      </c>
      <c r="S143" s="473"/>
      <c r="T143" s="473"/>
      <c r="U143" s="473"/>
      <c r="V143" s="473"/>
      <c r="W143" s="473"/>
      <c r="X143" s="473"/>
      <c r="Y143"/>
      <c r="Z143"/>
    </row>
    <row r="144" ht="22" customHeight="1">
      <c r="A144" s="502" t="str">
        <v>Depreciation and other amortization</v>
      </c>
      <c r="B144" s="452"/>
      <c r="C144" s="507" t="n">
        <v>121</v>
      </c>
      <c r="D144" s="507" t="n">
        <v>98</v>
      </c>
      <c r="E144" s="507" t="n">
        <v>128</v>
      </c>
      <c r="F144" s="473"/>
      <c r="G144" s="473"/>
      <c r="H144" s="507" t="n">
        <v>26</v>
      </c>
      <c r="I144" s="507" t="n">
        <v>28</v>
      </c>
      <c r="J144" s="507" t="n">
        <v>29</v>
      </c>
      <c r="K144" s="473" t="n">
        <f>'Operating Metrics'!E144-SUM('Operating Metrics'!H144,'Operating Metrics'!I144,'Operating Metrics'!J144)</f>
        <v>45</v>
      </c>
      <c r="L144" s="507" t="n">
        <v>36</v>
      </c>
      <c r="M144" s="507" t="n">
        <v>36</v>
      </c>
      <c r="N144" s="507" t="n">
        <v>37</v>
      </c>
      <c r="O144" s="473"/>
      <c r="P144" s="473"/>
      <c r="Q144" s="473"/>
      <c r="R144" s="473"/>
      <c r="S144" s="473"/>
      <c r="T144" s="473"/>
      <c r="U144" s="473"/>
      <c r="V144" s="473"/>
      <c r="W144" s="473"/>
      <c r="X144" s="473"/>
      <c r="Y144"/>
      <c r="Z144"/>
    </row>
    <row r="145" ht="22" customHeight="1">
      <c r="A145" s="502" t="str">
        <v>Amortization of intangible assets</v>
      </c>
      <c r="B145" s="452"/>
      <c r="C145" s="507" t="n">
        <v>0</v>
      </c>
      <c r="D145" s="507" t="n">
        <v>0</v>
      </c>
      <c r="E145" s="507" t="n">
        <v>0</v>
      </c>
      <c r="F145" s="473"/>
      <c r="G145" s="473"/>
      <c r="H145" s="507" t="n">
        <v>0</v>
      </c>
      <c r="I145" s="507" t="n">
        <v>0</v>
      </c>
      <c r="J145" s="507" t="n">
        <v>0</v>
      </c>
      <c r="K145" s="473" t="n">
        <f>'Operating Metrics'!E145-SUM('Operating Metrics'!H145,'Operating Metrics'!I145,'Operating Metrics'!J145)</f>
        <v>0</v>
      </c>
      <c r="L145" s="507" t="n">
        <v>0</v>
      </c>
      <c r="M145" s="507" t="n">
        <v>0</v>
      </c>
      <c r="N145" s="507" t="n">
        <v>0</v>
      </c>
      <c r="O145" s="473"/>
      <c r="P145" s="473"/>
      <c r="Q145" s="473"/>
      <c r="R145" s="473"/>
      <c r="S145" s="473"/>
      <c r="T145" s="473"/>
      <c r="U145" s="473"/>
      <c r="V145" s="473"/>
      <c r="W145" s="473"/>
      <c r="X145" s="473"/>
      <c r="Y145"/>
      <c r="Z145"/>
    </row>
    <row r="146" ht="22" customHeight="1">
      <c r="A146" s="502" t="str">
        <v>Depreciation and amortization</v>
      </c>
      <c r="B146" s="452"/>
      <c r="C146" s="473" t="n">
        <f>'Operating Metrics'!C144+'Operating Metrics'!C145</f>
        <v>121</v>
      </c>
      <c r="D146" s="507" t="n">
        <v>98</v>
      </c>
      <c r="E146" s="507" t="n">
        <v>128</v>
      </c>
      <c r="F146" s="507" t="n">
        <v>161</v>
      </c>
      <c r="G146" s="473"/>
      <c r="H146" s="473" t="n">
        <f>'Operating Metrics'!H144+'Operating Metrics'!H145</f>
        <v>26</v>
      </c>
      <c r="I146" s="473" t="n">
        <f>'Operating Metrics'!I144+'Operating Metrics'!I145</f>
        <v>28</v>
      </c>
      <c r="J146" s="473" t="n">
        <f>'Operating Metrics'!J144+'Operating Metrics'!J145</f>
        <v>29</v>
      </c>
      <c r="K146" s="473" t="n">
        <f>'Operating Metrics'!E146-SUM('Operating Metrics'!H146,'Operating Metrics'!I146,'Operating Metrics'!J146)</f>
        <v>45</v>
      </c>
      <c r="L146" s="507" t="n">
        <v>36</v>
      </c>
      <c r="M146" s="507" t="n">
        <v>36</v>
      </c>
      <c r="N146" s="507" t="n">
        <v>37</v>
      </c>
      <c r="O146" s="473" t="n">
        <f>'Operating Metrics'!F146-SUM('Operating Metrics'!L146,'Operating Metrics'!M146,'Operating Metrics'!N146)</f>
        <v>52</v>
      </c>
      <c r="P146" s="507" t="n">
        <v>36</v>
      </c>
      <c r="Q146" s="507" t="n">
        <v>40</v>
      </c>
      <c r="R146" s="507" t="n">
        <v>44</v>
      </c>
      <c r="S146" s="473"/>
      <c r="T146" s="473"/>
      <c r="U146" s="473"/>
      <c r="V146" s="473"/>
      <c r="W146" s="473"/>
      <c r="X146" s="473"/>
      <c r="Y146"/>
      <c r="Z146"/>
    </row>
    <row r="147" ht="22" customHeight="1">
      <c r="A147" s="502" t="str">
        <v>Capital spending / D&amp;A</v>
      </c>
      <c r="B147" s="452"/>
      <c r="C147" s="492" t="n">
        <f>IF('Operating Metrics'!C146=0,"",'Operating Metrics'!C143/'Operating Metrics'!C146)</f>
        <v>1.1487603305785123</v>
      </c>
      <c r="D147" s="492" t="n">
        <f>IF('Operating Metrics'!D146=0,"",'Operating Metrics'!D143/'Operating Metrics'!D146)</f>
        <v>2.8979591836734695</v>
      </c>
      <c r="E147" s="492" t="n">
        <f>IF('Operating Metrics'!E146=0,"",'Operating Metrics'!E143/'Operating Metrics'!E146)</f>
        <v>2.515625</v>
      </c>
      <c r="F147" s="492" t="n">
        <f>IF('Operating Metrics'!F146=0,"",'Operating Metrics'!F143/'Operating Metrics'!F146)</f>
        <v>1.3850931677018634</v>
      </c>
      <c r="G147" s="492"/>
      <c r="H147" s="492" t="n">
        <f>IF('Operating Metrics'!H146=0,"",'Operating Metrics'!H143/'Operating Metrics'!H146)</f>
        <v>1.3846153846153846</v>
      </c>
      <c r="I147" s="492" t="n">
        <f>IF('Operating Metrics'!I146=0,"",'Operating Metrics'!I143/'Operating Metrics'!I146)</f>
        <v>3</v>
      </c>
      <c r="J147" s="492" t="n">
        <f>IF('Operating Metrics'!J146=0,"",'Operating Metrics'!J143/'Operating Metrics'!J146)</f>
        <v>2</v>
      </c>
      <c r="K147" s="492" t="n">
        <f>IF('Operating Metrics'!K146=0,"",'Operating Metrics'!K143/'Operating Metrics'!K146)</f>
        <v>3.2</v>
      </c>
      <c r="L147" s="492" t="n">
        <f>IF('Operating Metrics'!L146=0,"",'Operating Metrics'!L143/'Operating Metrics'!L146)</f>
        <v>0.6666666666666666</v>
      </c>
      <c r="M147" s="492" t="n">
        <f>IF('Operating Metrics'!M146=0,"",'Operating Metrics'!M143/'Operating Metrics'!M146)</f>
        <v>1.1388888888888888</v>
      </c>
      <c r="N147" s="492" t="n">
        <f>IF('Operating Metrics'!N146=0,"",'Operating Metrics'!N143/'Operating Metrics'!N146)</f>
        <v>1.5675675675675675</v>
      </c>
      <c r="O147" s="492" t="n">
        <f>IF('Operating Metrics'!O146=0,"",'Operating Metrics'!O143/'Operating Metrics'!O146)</f>
        <v>1.9230769230769231</v>
      </c>
      <c r="P147" s="492" t="n">
        <f>IF('Operating Metrics'!P146=0,"",'Operating Metrics'!P143/'Operating Metrics'!P146)</f>
        <v>0.6111111111111112</v>
      </c>
      <c r="Q147" s="492" t="n">
        <f>IF('Operating Metrics'!Q146=0,"",'Operating Metrics'!Q143/'Operating Metrics'!Q146)</f>
        <v>0.85</v>
      </c>
      <c r="R147" s="492" t="n">
        <f>IF('Operating Metrics'!R146=0,"",'Operating Metrics'!R143/'Operating Metrics'!R146)</f>
        <v>1.0681818181818181</v>
      </c>
      <c r="S147" s="492"/>
      <c r="T147" s="492"/>
      <c r="U147" s="492"/>
      <c r="V147" s="492"/>
      <c r="W147" s="492"/>
      <c r="X147" s="492"/>
      <c r="Y147"/>
      <c r="Z147"/>
    </row>
    <row r="148" ht="22" customHeight="1">
      <c r="A148" s="452"/>
      <c r="B148" s="452"/>
      <c r="C148" s="452"/>
      <c r="D148" s="452"/>
      <c r="E148" s="452"/>
      <c r="F148" s="452"/>
      <c r="G148" s="452"/>
      <c r="H148" s="452"/>
      <c r="I148" s="452"/>
      <c r="J148" s="452"/>
      <c r="K148" s="452"/>
      <c r="L148" s="452"/>
      <c r="M148" s="452"/>
      <c r="N148" s="452"/>
      <c r="O148" s="452"/>
      <c r="P148" s="452"/>
      <c r="Q148" s="452"/>
      <c r="R148" s="452"/>
      <c r="S148" s="452"/>
      <c r="T148" s="452"/>
      <c r="U148" s="452"/>
      <c r="V148" s="452"/>
      <c r="W148" s="452"/>
      <c r="X148" s="452"/>
      <c r="Y148"/>
      <c r="Z148"/>
    </row>
    <row r="149" ht="22" customHeight="1">
      <c r="A149" s="452"/>
      <c r="B149" s="452"/>
      <c r="C149" s="452"/>
      <c r="D149" s="452"/>
      <c r="E149" s="452"/>
      <c r="F149" s="452"/>
      <c r="G149" s="452"/>
      <c r="H149" s="452"/>
      <c r="I149" s="452"/>
      <c r="J149" s="452"/>
      <c r="K149" s="452"/>
      <c r="L149" s="452"/>
      <c r="M149" s="452"/>
      <c r="N149" s="452"/>
      <c r="O149" s="452"/>
      <c r="P149" s="452"/>
      <c r="Q149" s="452"/>
      <c r="R149" s="452"/>
      <c r="S149" s="452"/>
      <c r="T149" s="452"/>
      <c r="U149" s="452"/>
      <c r="V149" s="452"/>
      <c r="W149" s="452"/>
      <c r="X149" s="452"/>
      <c r="Y149"/>
      <c r="Z149"/>
    </row>
    <row r="150" ht="22" customHeight="1">
      <c r="A150" s="460" t="str">
        <v>Frito-Lay and Quaker - historical operating split</v>
      </c>
      <c r="B150" s="460"/>
      <c r="C150" s="460"/>
      <c r="D150" s="460"/>
      <c r="E150" s="460"/>
      <c r="F150" s="460"/>
      <c r="G150" s="460"/>
      <c r="H150" s="460"/>
      <c r="I150" s="460"/>
      <c r="J150" s="460"/>
      <c r="K150" s="460"/>
      <c r="L150" s="460"/>
      <c r="M150" s="460"/>
      <c r="N150" s="460"/>
      <c r="O150" s="460"/>
      <c r="P150" s="460"/>
      <c r="Q150" s="460"/>
      <c r="R150" s="460"/>
      <c r="S150" s="460"/>
      <c r="T150" s="460"/>
      <c r="U150" s="460"/>
      <c r="V150" s="460"/>
      <c r="W150" s="460"/>
      <c r="X150" s="460"/>
      <c r="Y150"/>
      <c r="Z150"/>
    </row>
    <row r="151" ht="36" customHeight="1">
      <c r="A151" s="490" t="str">
        <v>FLNA and QFNA remain separate through FY2024; no split is estimated after their combination into PFNA. Profits use the later pension presentation. Physical organic volume differs from old narrative unit volume including structural / reporting-week effects.</v>
      </c>
      <c r="B151" s="490"/>
      <c r="C151" s="490"/>
      <c r="D151" s="490"/>
      <c r="E151" s="490"/>
      <c r="F151" s="490"/>
      <c r="G151" s="490"/>
      <c r="H151" s="490"/>
      <c r="I151" s="490"/>
      <c r="J151" s="490"/>
      <c r="K151" s="490"/>
      <c r="L151" s="490"/>
      <c r="M151" s="490"/>
      <c r="N151" s="490"/>
      <c r="O151" s="490"/>
      <c r="P151" s="490"/>
      <c r="Q151" s="490"/>
      <c r="R151" s="490"/>
      <c r="S151" s="490"/>
      <c r="T151" s="490"/>
      <c r="U151" s="490"/>
      <c r="V151" s="490"/>
      <c r="W151" s="490"/>
      <c r="X151" s="490"/>
      <c r="Y151"/>
      <c r="Z151"/>
    </row>
    <row r="152" ht="24" customHeight="1">
      <c r="A152" s="462" t="str">
        <v>Metric / reporting scope</v>
      </c>
      <c r="B152" s="452"/>
      <c r="C152" s="463" t="str">
        <v>FY2016</v>
      </c>
      <c r="D152" s="463" t="str">
        <v>FY2017</v>
      </c>
      <c r="E152" s="463" t="str">
        <v>FY2018</v>
      </c>
      <c r="F152" s="463" t="str">
        <v>FY2019</v>
      </c>
      <c r="G152" s="463" t="str">
        <v>FY2020</v>
      </c>
      <c r="H152" s="463" t="str">
        <v>FY2021</v>
      </c>
      <c r="I152" s="463" t="str">
        <v>FY2022</v>
      </c>
      <c r="J152" s="463" t="str">
        <v>FY2023</v>
      </c>
      <c r="K152" s="463" t="str">
        <v>FY2024</v>
      </c>
      <c r="L152" s="452"/>
      <c r="M152" s="470" t="str">
        <v>FY2024Q1</v>
      </c>
      <c r="N152" s="470" t="str">
        <v>FY2024Q2</v>
      </c>
      <c r="O152" s="470" t="str">
        <v>FY2024Q3</v>
      </c>
      <c r="P152" s="470" t="str">
        <v>FY2024Q4</v>
      </c>
      <c r="Q152" s="452"/>
      <c r="R152" s="452"/>
      <c r="S152" s="452"/>
      <c r="T152" s="452"/>
      <c r="U152" s="452"/>
      <c r="V152" s="452"/>
      <c r="W152" s="452"/>
      <c r="X152" s="452"/>
      <c r="Y152"/>
      <c r="Z152"/>
    </row>
    <row r="153" ht="18" customHeight="1">
      <c r="A153" s="452"/>
      <c r="B153" s="452"/>
      <c r="C153" s="501" t="d">
        <v>2016-12-31T00:00:00.000Z</v>
      </c>
      <c r="D153" s="501" t="d">
        <v>2017-12-30T00:00:00.000Z</v>
      </c>
      <c r="E153" s="501" t="d">
        <v>2018-12-29T00:00:00.000Z</v>
      </c>
      <c r="F153" s="501" t="d">
        <v>2019-12-28T00:00:00.000Z</v>
      </c>
      <c r="G153" s="501" t="d">
        <v>2020-12-26T00:00:00.000Z</v>
      </c>
      <c r="H153" s="501" t="d">
        <v>2021-12-25T00:00:00.000Z</v>
      </c>
      <c r="I153" s="501" t="d">
        <v>2022-12-31T00:00:00.000Z</v>
      </c>
      <c r="J153" s="501" t="d">
        <v>2023-12-30T00:00:00.000Z</v>
      </c>
      <c r="K153" s="501" t="d">
        <v>2024-12-28T00:00:00.000Z</v>
      </c>
      <c r="L153" s="452"/>
      <c r="M153" s="501" t="d">
        <v>2024-03-23T00:00:00.000Z</v>
      </c>
      <c r="N153" s="501" t="d">
        <v>2024-06-15T00:00:00.000Z</v>
      </c>
      <c r="O153" s="501" t="d">
        <v>2024-09-07T00:00:00.000Z</v>
      </c>
      <c r="P153" s="501" t="d">
        <v>2024-12-28T00:00:00.000Z</v>
      </c>
      <c r="Q153" s="452"/>
      <c r="R153" s="452"/>
      <c r="S153" s="452"/>
      <c r="T153" s="452"/>
      <c r="U153" s="452"/>
      <c r="V153" s="452"/>
      <c r="W153" s="452"/>
      <c r="X153" s="452"/>
      <c r="Y153"/>
      <c r="Z153"/>
    </row>
    <row r="154" ht="24" customHeight="1">
      <c r="A154" s="477" t="str">
        <v>FLNA</v>
      </c>
      <c r="B154" s="477"/>
      <c r="C154" s="477"/>
      <c r="D154" s="477"/>
      <c r="E154" s="477"/>
      <c r="F154" s="477"/>
      <c r="G154" s="477"/>
      <c r="H154" s="477"/>
      <c r="I154" s="477"/>
      <c r="J154" s="477"/>
      <c r="K154" s="477"/>
      <c r="L154" s="477"/>
      <c r="M154" s="477"/>
      <c r="N154" s="477"/>
      <c r="O154" s="477"/>
      <c r="P154" s="477"/>
      <c r="Q154" s="477"/>
      <c r="R154" s="477"/>
      <c r="S154" s="477"/>
      <c r="T154" s="477"/>
      <c r="U154" s="477"/>
      <c r="V154" s="477"/>
      <c r="W154" s="477"/>
      <c r="X154" s="477"/>
      <c r="Y154"/>
      <c r="Z154"/>
    </row>
    <row r="155" ht="22" customHeight="1">
      <c r="A155" s="502" t="str">
        <v>Net revenue</v>
      </c>
      <c r="B155" s="452"/>
      <c r="C155" s="507" t="n">
        <v>15549</v>
      </c>
      <c r="D155" s="507" t="n">
        <v>15798</v>
      </c>
      <c r="E155" s="507" t="n">
        <v>16346</v>
      </c>
      <c r="F155" s="507" t="n">
        <v>17078</v>
      </c>
      <c r="G155" s="507" t="n">
        <v>18189</v>
      </c>
      <c r="H155" s="507" t="n">
        <v>19608</v>
      </c>
      <c r="I155" s="507" t="n">
        <v>23291</v>
      </c>
      <c r="J155" s="507" t="n">
        <v>24914</v>
      </c>
      <c r="K155" s="507" t="n">
        <v>24755</v>
      </c>
      <c r="L155" s="473"/>
      <c r="M155" s="507" t="n">
        <v>5676</v>
      </c>
      <c r="N155" s="507" t="n">
        <v>5874</v>
      </c>
      <c r="O155" s="507" t="n">
        <v>5888</v>
      </c>
      <c r="P155" s="473" t="n">
        <f>'Operating Metrics'!K155-SUM('Operating Metrics'!M155,'Operating Metrics'!N155,'Operating Metrics'!O155)</f>
        <v>7317</v>
      </c>
      <c r="Q155" s="473"/>
      <c r="R155" s="473"/>
      <c r="S155" s="473"/>
      <c r="T155" s="473"/>
      <c r="U155" s="473"/>
      <c r="V155" s="473"/>
      <c r="W155" s="473"/>
      <c r="X155" s="473"/>
      <c r="Y155"/>
      <c r="Z155"/>
    </row>
    <row r="156" ht="20" customHeight="1">
      <c r="A156" s="505" t="str">
        <v>Net revenue YoY</v>
      </c>
      <c r="B156" s="452"/>
      <c r="C156" s="506"/>
      <c r="D156" s="476" t="n">
        <f>IF(OR('Operating Metrics'!C155&lt;=0,'Operating Metrics'!D155&lt;0),"",'Operating Metrics'!D155/'Operating Metrics'!C155-1)</f>
        <v>0.016013891568589678</v>
      </c>
      <c r="E156" s="476" t="n">
        <f>IF(OR('Operating Metrics'!D155&lt;=0,'Operating Metrics'!E155&lt;0),"",'Operating Metrics'!E155/'Operating Metrics'!D155-1)</f>
        <v>0.03468793518166846</v>
      </c>
      <c r="F156" s="476" t="n">
        <f>IF(OR('Operating Metrics'!E155&lt;=0,'Operating Metrics'!F155&lt;0),"",'Operating Metrics'!F155/'Operating Metrics'!E155-1)</f>
        <v>0.044781597944451246</v>
      </c>
      <c r="G156" s="476" t="n">
        <f>IF(OR('Operating Metrics'!F155&lt;=0,'Operating Metrics'!G155&lt;0),"",'Operating Metrics'!G155/'Operating Metrics'!F155-1)</f>
        <v>0.06505445602529569</v>
      </c>
      <c r="H156" s="476" t="n">
        <f>IF(OR('Operating Metrics'!G155&lt;=0,'Operating Metrics'!H155&lt;0),"",'Operating Metrics'!H155/'Operating Metrics'!G155-1)</f>
        <v>0.07801418439716312</v>
      </c>
      <c r="I156" s="476" t="n">
        <f>IF(OR('Operating Metrics'!H155&lt;=0,'Operating Metrics'!I155&lt;0),"",'Operating Metrics'!I155/'Operating Metrics'!H155-1)</f>
        <v>0.1878314973480213</v>
      </c>
      <c r="J156" s="476" t="n">
        <f>IF(OR('Operating Metrics'!I155&lt;=0,'Operating Metrics'!J155&lt;0),"",'Operating Metrics'!J155/'Operating Metrics'!I155-1)</f>
        <v>0.06968356876046533</v>
      </c>
      <c r="K156" s="476" t="n">
        <f>IF(OR('Operating Metrics'!J155&lt;=0,'Operating Metrics'!K155&lt;0),"",'Operating Metrics'!K155/'Operating Metrics'!J155-1)</f>
        <v>-0.00638195392148988</v>
      </c>
      <c r="L156" s="506"/>
      <c r="M156" s="506"/>
      <c r="N156" s="506"/>
      <c r="O156" s="506"/>
      <c r="P156" s="506"/>
      <c r="Q156" s="506"/>
      <c r="R156" s="506"/>
      <c r="S156" s="506"/>
      <c r="T156" s="506"/>
      <c r="U156" s="506"/>
      <c r="V156" s="506"/>
      <c r="W156" s="506"/>
      <c r="X156" s="506"/>
      <c r="Y156"/>
      <c r="Z156"/>
    </row>
    <row r="157" ht="22" customHeight="1">
      <c r="A157" s="502" t="str">
        <v>Reported operating profit</v>
      </c>
      <c r="B157" s="452"/>
      <c r="C157" s="507" t="n">
        <v>4612</v>
      </c>
      <c r="D157" s="507" t="n">
        <v>4793</v>
      </c>
      <c r="E157" s="507" t="n">
        <v>5008</v>
      </c>
      <c r="F157" s="507" t="n">
        <v>5258</v>
      </c>
      <c r="G157" s="507" t="n">
        <v>5340</v>
      </c>
      <c r="H157" s="507" t="n">
        <v>5633</v>
      </c>
      <c r="I157" s="507" t="n">
        <v>6135</v>
      </c>
      <c r="J157" s="507" t="n">
        <v>6755</v>
      </c>
      <c r="K157" s="507" t="n">
        <v>6316</v>
      </c>
      <c r="L157" s="473"/>
      <c r="M157" s="507" t="n">
        <v>1554</v>
      </c>
      <c r="N157" s="507" t="n">
        <v>1592</v>
      </c>
      <c r="O157" s="507" t="n">
        <v>1523</v>
      </c>
      <c r="P157" s="507" t="n">
        <v>1647</v>
      </c>
      <c r="Q157" s="473"/>
      <c r="R157" s="473"/>
      <c r="S157" s="473"/>
      <c r="T157" s="473"/>
      <c r="U157" s="473"/>
      <c r="V157" s="473"/>
      <c r="W157" s="473"/>
      <c r="X157" s="473"/>
      <c r="Y157"/>
      <c r="Z157"/>
    </row>
    <row r="158" ht="22" customHeight="1">
      <c r="A158" s="502" t="str">
        <v>Core operating profit</v>
      </c>
      <c r="B158" s="452"/>
      <c r="C158" s="473"/>
      <c r="D158" s="507" t="n">
        <v>4847</v>
      </c>
      <c r="E158" s="507" t="n">
        <v>5044</v>
      </c>
      <c r="F158" s="507" t="n">
        <v>5280</v>
      </c>
      <c r="G158" s="507" t="n">
        <v>5452</v>
      </c>
      <c r="H158" s="507" t="n">
        <v>5663</v>
      </c>
      <c r="I158" s="507" t="n">
        <v>6269</v>
      </c>
      <c r="J158" s="507" t="n">
        <v>6797</v>
      </c>
      <c r="K158" s="507" t="n">
        <v>6475</v>
      </c>
      <c r="L158" s="473"/>
      <c r="M158" s="507" t="n">
        <v>1576</v>
      </c>
      <c r="N158" s="507" t="n">
        <v>1605</v>
      </c>
      <c r="O158" s="507" t="n">
        <v>1531</v>
      </c>
      <c r="P158" s="507" t="n">
        <v>1763</v>
      </c>
      <c r="Q158" s="473"/>
      <c r="R158" s="473"/>
      <c r="S158" s="473"/>
      <c r="T158" s="473"/>
      <c r="U158" s="473"/>
      <c r="V158" s="473"/>
      <c r="W158" s="473"/>
      <c r="X158" s="473"/>
      <c r="Y158"/>
      <c r="Z158"/>
    </row>
    <row r="159" ht="20" customHeight="1">
      <c r="A159" s="505" t="str">
        <v>Core operating profit YoY</v>
      </c>
      <c r="B159" s="452"/>
      <c r="C159" s="506"/>
      <c r="D159" s="506"/>
      <c r="E159" s="476" t="n">
        <f>IF(OR('Operating Metrics'!D158&lt;=0,'Operating Metrics'!E158&lt;0),"",'Operating Metrics'!E158/'Operating Metrics'!D158-1)</f>
        <v>0.0406436971322468</v>
      </c>
      <c r="F159" s="476" t="n">
        <f>IF(OR('Operating Metrics'!E158&lt;=0,'Operating Metrics'!F158&lt;0),"",'Operating Metrics'!F158/'Operating Metrics'!E158-1)</f>
        <v>0.0467882632831087</v>
      </c>
      <c r="G159" s="476" t="n">
        <f>IF(OR('Operating Metrics'!F158&lt;=0,'Operating Metrics'!G158&lt;0),"",'Operating Metrics'!G158/'Operating Metrics'!F158-1)</f>
        <v>0.03257575757575748</v>
      </c>
      <c r="H159" s="476" t="n">
        <f>IF(OR('Operating Metrics'!G158&lt;=0,'Operating Metrics'!H158&lt;0),"",'Operating Metrics'!H158/'Operating Metrics'!G158-1)</f>
        <v>0.03870139398385919</v>
      </c>
      <c r="I159" s="476" t="n">
        <f>IF(OR('Operating Metrics'!H158&lt;=0,'Operating Metrics'!I158&lt;0),"",'Operating Metrics'!I158/'Operating Metrics'!H158-1)</f>
        <v>0.10701041850609228</v>
      </c>
      <c r="J159" s="476" t="n">
        <f>IF(OR('Operating Metrics'!I158&lt;=0,'Operating Metrics'!J158&lt;0),"",'Operating Metrics'!J158/'Operating Metrics'!I158-1)</f>
        <v>0.08422395916414094</v>
      </c>
      <c r="K159" s="476" t="n">
        <f>IF(OR('Operating Metrics'!J158&lt;=0,'Operating Metrics'!K158&lt;0),"",'Operating Metrics'!K158/'Operating Metrics'!J158-1)</f>
        <v>-0.047373841400617955</v>
      </c>
      <c r="L159" s="506"/>
      <c r="M159" s="506"/>
      <c r="N159" s="506"/>
      <c r="O159" s="506"/>
      <c r="P159" s="506"/>
      <c r="Q159" s="506"/>
      <c r="R159" s="506"/>
      <c r="S159" s="506"/>
      <c r="T159" s="506"/>
      <c r="U159" s="506"/>
      <c r="V159" s="506"/>
      <c r="W159" s="506"/>
      <c r="X159" s="506"/>
      <c r="Y159"/>
      <c r="Z159"/>
    </row>
    <row r="160" ht="20" customHeight="1">
      <c r="A160" s="505" t="str">
        <v>Core operating margin</v>
      </c>
      <c r="B160" s="452"/>
      <c r="C160" s="506"/>
      <c r="D160" s="476" t="n">
        <f>IF('Operating Metrics'!D155=0,"",'Operating Metrics'!D158/'Operating Metrics'!D155)</f>
        <v>0.306810988732751</v>
      </c>
      <c r="E160" s="476" t="n">
        <f>IF('Operating Metrics'!E155=0,"",'Operating Metrics'!E158/'Operating Metrics'!E155)</f>
        <v>0.3085770219013826</v>
      </c>
      <c r="F160" s="476" t="n">
        <f>IF('Operating Metrics'!F155=0,"",'Operating Metrics'!F158/'Operating Metrics'!F155)</f>
        <v>0.3091696920014053</v>
      </c>
      <c r="G160" s="476" t="n">
        <f>IF('Operating Metrics'!G155=0,"",'Operating Metrics'!G158/'Operating Metrics'!G155)</f>
        <v>0.2997416020671835</v>
      </c>
      <c r="H160" s="476" t="n">
        <f>IF('Operating Metrics'!H155=0,"",'Operating Metrics'!H158/'Operating Metrics'!H155)</f>
        <v>0.2888106895144839</v>
      </c>
      <c r="I160" s="476" t="n">
        <f>IF('Operating Metrics'!I155=0,"",'Operating Metrics'!I158/'Operating Metrics'!I155)</f>
        <v>0.2691597612811816</v>
      </c>
      <c r="J160" s="476" t="n">
        <f>IF('Operating Metrics'!J155=0,"",'Operating Metrics'!J158/'Operating Metrics'!J155)</f>
        <v>0.2728184956249498</v>
      </c>
      <c r="K160" s="476" t="n">
        <f>IF('Operating Metrics'!K155=0,"",'Operating Metrics'!K158/'Operating Metrics'!K155)</f>
        <v>0.26156332054130477</v>
      </c>
      <c r="L160" s="506"/>
      <c r="M160" s="476" t="n">
        <f>IF('Operating Metrics'!M155=0,"",'Operating Metrics'!M158/'Operating Metrics'!M155)</f>
        <v>0.2776603241719521</v>
      </c>
      <c r="N160" s="476" t="n">
        <f>IF('Operating Metrics'!N155=0,"",'Operating Metrics'!N158/'Operating Metrics'!N155)</f>
        <v>0.2732379979570991</v>
      </c>
      <c r="O160" s="476" t="n">
        <f>IF('Operating Metrics'!O155=0,"",'Operating Metrics'!O158/'Operating Metrics'!O155)</f>
        <v>0.2600203804347826</v>
      </c>
      <c r="P160" s="476" t="n">
        <f>IF('Operating Metrics'!P155=0,"",'Operating Metrics'!P158/'Operating Metrics'!P155)</f>
        <v>0.24094574279076125</v>
      </c>
      <c r="Q160" s="506"/>
      <c r="R160" s="506"/>
      <c r="S160" s="506"/>
      <c r="T160" s="506"/>
      <c r="U160" s="506"/>
      <c r="V160" s="506"/>
      <c r="W160" s="506"/>
      <c r="X160" s="506"/>
      <c r="Y160"/>
      <c r="Z160"/>
    </row>
    <row r="161" ht="20" customHeight="1">
      <c r="A161" s="505" t="str">
        <v>Organic revenue growth</v>
      </c>
      <c r="B161" s="452"/>
      <c r="C161" s="508" t="n">
        <v>0.035</v>
      </c>
      <c r="D161" s="508" t="n">
        <v>0.03</v>
      </c>
      <c r="E161" s="508" t="n">
        <v>0.03</v>
      </c>
      <c r="F161" s="508" t="n">
        <v>0.045</v>
      </c>
      <c r="G161" s="508" t="n">
        <v>0.06</v>
      </c>
      <c r="H161" s="508" t="n">
        <v>0.07</v>
      </c>
      <c r="I161" s="508" t="n">
        <v>0.17</v>
      </c>
      <c r="J161" s="508" t="n">
        <v>0.09</v>
      </c>
      <c r="K161" s="508" t="n">
        <v>-0.005</v>
      </c>
      <c r="L161" s="506"/>
      <c r="M161" s="508" t="n">
        <v>0.02</v>
      </c>
      <c r="N161" s="508" t="n">
        <v>0</v>
      </c>
      <c r="O161" s="508" t="n">
        <v>-0.01</v>
      </c>
      <c r="P161" s="508" t="n">
        <v>-0.02</v>
      </c>
      <c r="Q161" s="506"/>
      <c r="R161" s="506"/>
      <c r="S161" s="506"/>
      <c r="T161" s="506"/>
      <c r="U161" s="506"/>
      <c r="V161" s="506"/>
      <c r="W161" s="506"/>
      <c r="X161" s="506"/>
      <c r="Y161"/>
      <c r="Z161"/>
    </row>
    <row r="162" ht="20" customHeight="1">
      <c r="A162" s="505" t="str">
        <v>Organic physical volume - foods</v>
      </c>
      <c r="B162" s="452"/>
      <c r="C162" s="508" t="n">
        <v>0.015</v>
      </c>
      <c r="D162" s="508" t="n">
        <v>0.01</v>
      </c>
      <c r="E162" s="508" t="n">
        <v>0.01</v>
      </c>
      <c r="F162" s="508" t="n">
        <v>0.01</v>
      </c>
      <c r="G162" s="508" t="n">
        <v>0.03</v>
      </c>
      <c r="H162" s="508" t="n">
        <v>0.02</v>
      </c>
      <c r="I162" s="508" t="n">
        <v>-0.01</v>
      </c>
      <c r="J162" s="508" t="n">
        <v>-0.01</v>
      </c>
      <c r="K162" s="508" t="n">
        <v>-0.025</v>
      </c>
      <c r="L162" s="506"/>
      <c r="M162" s="508" t="n">
        <v>-0.02</v>
      </c>
      <c r="N162" s="508" t="n">
        <v>-0.04</v>
      </c>
      <c r="O162" s="508" t="n">
        <v>-0.015</v>
      </c>
      <c r="P162" s="508" t="n">
        <v>-0.03</v>
      </c>
      <c r="Q162" s="506"/>
      <c r="R162" s="506"/>
      <c r="S162" s="506"/>
      <c r="T162" s="506"/>
      <c r="U162" s="506"/>
      <c r="V162" s="506"/>
      <c r="W162" s="506"/>
      <c r="X162" s="506"/>
      <c r="Y162"/>
      <c r="Z162"/>
    </row>
    <row r="163" ht="20" customHeight="1">
      <c r="A163" s="505" t="str">
        <v>Effective net pricing</v>
      </c>
      <c r="B163" s="452"/>
      <c r="C163" s="508" t="n">
        <v>0.02</v>
      </c>
      <c r="D163" s="508" t="n">
        <v>0.025</v>
      </c>
      <c r="E163" s="508" t="n">
        <v>0.02</v>
      </c>
      <c r="F163" s="508" t="n">
        <v>0.03</v>
      </c>
      <c r="G163" s="508" t="n">
        <v>0.03</v>
      </c>
      <c r="H163" s="508" t="n">
        <v>0.05</v>
      </c>
      <c r="I163" s="508" t="n">
        <v>0.17</v>
      </c>
      <c r="J163" s="508" t="n">
        <v>0.1</v>
      </c>
      <c r="K163" s="508" t="n">
        <v>0.02</v>
      </c>
      <c r="L163" s="506"/>
      <c r="M163" s="508" t="n">
        <v>0.03</v>
      </c>
      <c r="N163" s="508" t="n">
        <v>0.03</v>
      </c>
      <c r="O163" s="508" t="n">
        <v>0.005</v>
      </c>
      <c r="P163" s="506"/>
      <c r="Q163" s="506"/>
      <c r="R163" s="506"/>
      <c r="S163" s="506"/>
      <c r="T163" s="506"/>
      <c r="U163" s="506"/>
      <c r="V163" s="506"/>
      <c r="W163" s="506"/>
      <c r="X163" s="506"/>
      <c r="Y163"/>
      <c r="Z163"/>
    </row>
    <row r="164" ht="22" customHeight="1">
      <c r="A164" s="502" t="str">
        <v>Capital spending</v>
      </c>
      <c r="B164" s="452"/>
      <c r="C164" s="507" t="n">
        <v>801</v>
      </c>
      <c r="D164" s="507" t="n">
        <v>665</v>
      </c>
      <c r="E164" s="507" t="n">
        <v>840</v>
      </c>
      <c r="F164" s="507" t="n">
        <v>1227</v>
      </c>
      <c r="G164" s="507" t="n">
        <v>1189</v>
      </c>
      <c r="H164" s="507" t="n">
        <v>1411</v>
      </c>
      <c r="I164" s="507" t="n">
        <v>1464</v>
      </c>
      <c r="J164" s="507" t="n">
        <v>1341</v>
      </c>
      <c r="K164" s="507" t="n">
        <v>1182</v>
      </c>
      <c r="L164" s="473"/>
      <c r="M164" s="473"/>
      <c r="N164" s="473"/>
      <c r="O164" s="473"/>
      <c r="P164" s="473"/>
      <c r="Q164" s="473"/>
      <c r="R164" s="473"/>
      <c r="S164" s="473"/>
      <c r="T164" s="473"/>
      <c r="U164" s="473"/>
      <c r="V164" s="473"/>
      <c r="W164" s="473"/>
      <c r="X164" s="473"/>
      <c r="Y164"/>
      <c r="Z164"/>
    </row>
    <row r="165" ht="20" customHeight="1">
      <c r="A165" s="505" t="str">
        <v>Capital spending / net revenue</v>
      </c>
      <c r="B165" s="452"/>
      <c r="C165" s="476" t="n">
        <f>IF('Operating Metrics'!C155=0,"",'Operating Metrics'!C164/'Operating Metrics'!C155)</f>
        <v>0.051514566853173835</v>
      </c>
      <c r="D165" s="476" t="n">
        <f>IF('Operating Metrics'!D155=0,"",'Operating Metrics'!D164/'Operating Metrics'!D155)</f>
        <v>0.04209393594125839</v>
      </c>
      <c r="E165" s="476" t="n">
        <f>IF('Operating Metrics'!E155=0,"",'Operating Metrics'!E164/'Operating Metrics'!E155)</f>
        <v>0.05138871895264897</v>
      </c>
      <c r="F165" s="476" t="n">
        <f>IF('Operating Metrics'!F155=0,"",'Operating Metrics'!F164/'Operating Metrics'!F155)</f>
        <v>0.07184682047078113</v>
      </c>
      <c r="G165" s="476" t="n">
        <f>IF('Operating Metrics'!G155=0,"",'Operating Metrics'!G164/'Operating Metrics'!G155)</f>
        <v>0.06536917917422617</v>
      </c>
      <c r="H165" s="476" t="n">
        <f>IF('Operating Metrics'!H155=0,"",'Operating Metrics'!H164/'Operating Metrics'!H155)</f>
        <v>0.07196042431660547</v>
      </c>
      <c r="I165" s="476" t="n">
        <f>IF('Operating Metrics'!I155=0,"",'Operating Metrics'!I164/'Operating Metrics'!I155)</f>
        <v>0.06285689751406122</v>
      </c>
      <c r="J165" s="476" t="n">
        <f>IF('Operating Metrics'!J155=0,"",'Operating Metrics'!J164/'Operating Metrics'!J155)</f>
        <v>0.053825158545396164</v>
      </c>
      <c r="K165" s="476" t="n">
        <f>IF('Operating Metrics'!K155=0,"",'Operating Metrics'!K164/'Operating Metrics'!K155)</f>
        <v>0.04774792971116946</v>
      </c>
      <c r="L165" s="506"/>
      <c r="M165" s="506"/>
      <c r="N165" s="506"/>
      <c r="O165" s="506"/>
      <c r="P165" s="506"/>
      <c r="Q165" s="506"/>
      <c r="R165" s="506"/>
      <c r="S165" s="506"/>
      <c r="T165" s="506"/>
      <c r="U165" s="506"/>
      <c r="V165" s="506"/>
      <c r="W165" s="506"/>
      <c r="X165" s="506"/>
      <c r="Y165"/>
      <c r="Z165"/>
    </row>
    <row r="166" ht="22" customHeight="1">
      <c r="A166" s="502" t="str">
        <v>Depreciation and other amortization</v>
      </c>
      <c r="B166" s="452"/>
      <c r="C166" s="507" t="n">
        <v>435</v>
      </c>
      <c r="D166" s="507" t="n">
        <v>449</v>
      </c>
      <c r="E166" s="507" t="n">
        <v>457</v>
      </c>
      <c r="F166" s="507" t="n">
        <v>492</v>
      </c>
      <c r="G166" s="507" t="n">
        <v>550</v>
      </c>
      <c r="H166" s="507" t="n">
        <v>594</v>
      </c>
      <c r="I166" s="507" t="n">
        <v>653</v>
      </c>
      <c r="J166" s="507" t="n">
        <v>736</v>
      </c>
      <c r="K166" s="507" t="n">
        <v>806</v>
      </c>
      <c r="L166" s="473"/>
      <c r="M166" s="473"/>
      <c r="N166" s="473"/>
      <c r="O166" s="473"/>
      <c r="P166" s="473"/>
      <c r="Q166" s="473"/>
      <c r="R166" s="473"/>
      <c r="S166" s="473"/>
      <c r="T166" s="473"/>
      <c r="U166" s="473"/>
      <c r="V166" s="473"/>
      <c r="W166" s="473"/>
      <c r="X166" s="473"/>
      <c r="Y166"/>
      <c r="Z166"/>
    </row>
    <row r="167" ht="22" customHeight="1">
      <c r="A167" s="502" t="str">
        <v>Amortization of intangible assets</v>
      </c>
      <c r="B167" s="452"/>
      <c r="C167" s="507" t="n">
        <v>7</v>
      </c>
      <c r="D167" s="507" t="n">
        <v>7</v>
      </c>
      <c r="E167" s="507" t="n">
        <v>7</v>
      </c>
      <c r="F167" s="507" t="n">
        <v>7</v>
      </c>
      <c r="G167" s="507" t="n">
        <v>10</v>
      </c>
      <c r="H167" s="507" t="n">
        <v>11</v>
      </c>
      <c r="I167" s="507" t="n">
        <v>11</v>
      </c>
      <c r="J167" s="507" t="n">
        <v>11</v>
      </c>
      <c r="K167" s="507" t="n">
        <v>10</v>
      </c>
      <c r="L167" s="473"/>
      <c r="M167" s="473"/>
      <c r="N167" s="473"/>
      <c r="O167" s="473"/>
      <c r="P167" s="473"/>
      <c r="Q167" s="473"/>
      <c r="R167" s="473"/>
      <c r="S167" s="473"/>
      <c r="T167" s="473"/>
      <c r="U167" s="473"/>
      <c r="V167" s="473"/>
      <c r="W167" s="473"/>
      <c r="X167" s="473"/>
      <c r="Y167"/>
      <c r="Z167"/>
    </row>
    <row r="168" ht="22" customHeight="1">
      <c r="A168" s="502" t="str">
        <v>Depreciation and amortization</v>
      </c>
      <c r="B168" s="452"/>
      <c r="C168" s="473" t="n">
        <f>'Operating Metrics'!C166+'Operating Metrics'!C167</f>
        <v>442</v>
      </c>
      <c r="D168" s="473" t="n">
        <f>'Operating Metrics'!D166+'Operating Metrics'!D167</f>
        <v>456</v>
      </c>
      <c r="E168" s="473" t="n">
        <f>'Operating Metrics'!E166+'Operating Metrics'!E167</f>
        <v>464</v>
      </c>
      <c r="F168" s="473" t="n">
        <f>'Operating Metrics'!F166+'Operating Metrics'!F167</f>
        <v>499</v>
      </c>
      <c r="G168" s="473" t="n">
        <f>'Operating Metrics'!G166+'Operating Metrics'!G167</f>
        <v>560</v>
      </c>
      <c r="H168" s="473" t="n">
        <f>'Operating Metrics'!H166+'Operating Metrics'!H167</f>
        <v>605</v>
      </c>
      <c r="I168" s="473" t="n">
        <f>'Operating Metrics'!I166+'Operating Metrics'!I167</f>
        <v>664</v>
      </c>
      <c r="J168" s="473" t="n">
        <f>'Operating Metrics'!J166+'Operating Metrics'!J167</f>
        <v>747</v>
      </c>
      <c r="K168" s="473" t="n">
        <f>'Operating Metrics'!K166+'Operating Metrics'!K167</f>
        <v>816</v>
      </c>
      <c r="L168" s="473"/>
      <c r="M168" s="473"/>
      <c r="N168" s="473"/>
      <c r="O168" s="473"/>
      <c r="P168" s="473"/>
      <c r="Q168" s="473"/>
      <c r="R168" s="473"/>
      <c r="S168" s="473"/>
      <c r="T168" s="473"/>
      <c r="U168" s="473"/>
      <c r="V168" s="473"/>
      <c r="W168" s="473"/>
      <c r="X168" s="473"/>
      <c r="Y168"/>
      <c r="Z168"/>
    </row>
    <row r="169" ht="22" customHeight="1">
      <c r="A169" s="502" t="str">
        <v>Capital spending / D&amp;A</v>
      </c>
      <c r="B169" s="452"/>
      <c r="C169" s="492" t="n">
        <f>IF('Operating Metrics'!C168=0,"",'Operating Metrics'!C164/'Operating Metrics'!C168)</f>
        <v>1.8122171945701357</v>
      </c>
      <c r="D169" s="492" t="n">
        <f>IF('Operating Metrics'!D168=0,"",'Operating Metrics'!D164/'Operating Metrics'!D168)</f>
        <v>1.4583333333333333</v>
      </c>
      <c r="E169" s="492" t="n">
        <f>IF('Operating Metrics'!E168=0,"",'Operating Metrics'!E164/'Operating Metrics'!E168)</f>
        <v>1.8103448275862069</v>
      </c>
      <c r="F169" s="492" t="n">
        <f>IF('Operating Metrics'!F168=0,"",'Operating Metrics'!F164/'Operating Metrics'!F168)</f>
        <v>2.458917835671343</v>
      </c>
      <c r="G169" s="492" t="n">
        <f>IF('Operating Metrics'!G168=0,"",'Operating Metrics'!G164/'Operating Metrics'!G168)</f>
        <v>2.1232142857142855</v>
      </c>
      <c r="H169" s="492" t="n">
        <f>IF('Operating Metrics'!H168=0,"",'Operating Metrics'!H164/'Operating Metrics'!H168)</f>
        <v>2.332231404958678</v>
      </c>
      <c r="I169" s="492" t="n">
        <f>IF('Operating Metrics'!I168=0,"",'Operating Metrics'!I164/'Operating Metrics'!I168)</f>
        <v>2.2048192771084336</v>
      </c>
      <c r="J169" s="492" t="n">
        <f>IF('Operating Metrics'!J168=0,"",'Operating Metrics'!J164/'Operating Metrics'!J168)</f>
        <v>1.7951807228915662</v>
      </c>
      <c r="K169" s="492" t="n">
        <f>IF('Operating Metrics'!K168=0,"",'Operating Metrics'!K164/'Operating Metrics'!K168)</f>
        <v>1.4485294117647058</v>
      </c>
      <c r="L169" s="492"/>
      <c r="M169" s="492"/>
      <c r="N169" s="492"/>
      <c r="O169" s="492"/>
      <c r="P169" s="492"/>
      <c r="Q169" s="492"/>
      <c r="R169" s="492"/>
      <c r="S169" s="492"/>
      <c r="T169" s="492"/>
      <c r="U169" s="492"/>
      <c r="V169" s="492"/>
      <c r="W169" s="492"/>
      <c r="X169" s="492"/>
      <c r="Y169"/>
      <c r="Z169"/>
    </row>
    <row r="170" ht="24" customHeight="1">
      <c r="A170" s="477" t="str">
        <v>QFNA</v>
      </c>
      <c r="B170" s="477"/>
      <c r="C170" s="477"/>
      <c r="D170" s="477"/>
      <c r="E170" s="477"/>
      <c r="F170" s="477"/>
      <c r="G170" s="477"/>
      <c r="H170" s="477"/>
      <c r="I170" s="477"/>
      <c r="J170" s="477"/>
      <c r="K170" s="477"/>
      <c r="L170" s="477"/>
      <c r="M170" s="477"/>
      <c r="N170" s="477"/>
      <c r="O170" s="477"/>
      <c r="P170" s="477"/>
      <c r="Q170" s="477"/>
      <c r="R170" s="477"/>
      <c r="S170" s="477"/>
      <c r="T170" s="477"/>
      <c r="U170" s="477"/>
      <c r="V170" s="477"/>
      <c r="W170" s="477"/>
      <c r="X170" s="477"/>
      <c r="Y170"/>
      <c r="Z170"/>
    </row>
    <row r="171" ht="22" customHeight="1">
      <c r="A171" s="502" t="str">
        <v>Net revenue</v>
      </c>
      <c r="B171" s="452"/>
      <c r="C171" s="507" t="n">
        <v>2564</v>
      </c>
      <c r="D171" s="507" t="n">
        <v>2503</v>
      </c>
      <c r="E171" s="507" t="n">
        <v>2465</v>
      </c>
      <c r="F171" s="507" t="n">
        <v>2482</v>
      </c>
      <c r="G171" s="507" t="n">
        <v>2742</v>
      </c>
      <c r="H171" s="507" t="n">
        <v>2751</v>
      </c>
      <c r="I171" s="507" t="n">
        <v>3160</v>
      </c>
      <c r="J171" s="507" t="n">
        <v>3101</v>
      </c>
      <c r="K171" s="507" t="n">
        <v>2676</v>
      </c>
      <c r="L171" s="473"/>
      <c r="M171" s="507" t="n">
        <v>593</v>
      </c>
      <c r="N171" s="507" t="n">
        <v>561</v>
      </c>
      <c r="O171" s="507" t="n">
        <v>648</v>
      </c>
      <c r="P171" s="473" t="n">
        <f>'Operating Metrics'!K171-SUM('Operating Metrics'!M171,'Operating Metrics'!N171,'Operating Metrics'!O171)</f>
        <v>874</v>
      </c>
      <c r="Q171" s="473"/>
      <c r="R171" s="473"/>
      <c r="S171" s="473"/>
      <c r="T171" s="473"/>
      <c r="U171" s="473"/>
      <c r="V171" s="473"/>
      <c r="W171" s="473"/>
      <c r="X171" s="473"/>
      <c r="Y171"/>
      <c r="Z171"/>
    </row>
    <row r="172" ht="20" customHeight="1">
      <c r="A172" s="505" t="str">
        <v>Net revenue YoY</v>
      </c>
      <c r="B172" s="452"/>
      <c r="C172" s="506"/>
      <c r="D172" s="476" t="n">
        <f>IF(OR('Operating Metrics'!C171&lt;=0,'Operating Metrics'!D171&lt;0),"",'Operating Metrics'!D171/'Operating Metrics'!C171-1)</f>
        <v>-0.02379095163806555</v>
      </c>
      <c r="E172" s="476" t="n">
        <f>IF(OR('Operating Metrics'!D171&lt;=0,'Operating Metrics'!E171&lt;0),"",'Operating Metrics'!E171/'Operating Metrics'!D171-1)</f>
        <v>-0.015181781861765886</v>
      </c>
      <c r="F172" s="476" t="n">
        <f>IF(OR('Operating Metrics'!E171&lt;=0,'Operating Metrics'!F171&lt;0),"",'Operating Metrics'!F171/'Operating Metrics'!E171-1)</f>
        <v>0.006896551724137945</v>
      </c>
      <c r="G172" s="476" t="n">
        <f>IF(OR('Operating Metrics'!F171&lt;=0,'Operating Metrics'!G171&lt;0),"",'Operating Metrics'!G171/'Operating Metrics'!F171-1)</f>
        <v>0.10475423045930699</v>
      </c>
      <c r="H172" s="476" t="n">
        <f>IF(OR('Operating Metrics'!G171&lt;=0,'Operating Metrics'!H171&lt;0),"",'Operating Metrics'!H171/'Operating Metrics'!G171-1)</f>
        <v>0.003282275711159688</v>
      </c>
      <c r="I172" s="476" t="n">
        <f>IF(OR('Operating Metrics'!H171&lt;=0,'Operating Metrics'!I171&lt;0),"",'Operating Metrics'!I171/'Operating Metrics'!H171-1)</f>
        <v>0.14867320974191212</v>
      </c>
      <c r="J172" s="476" t="n">
        <f>IF(OR('Operating Metrics'!I171&lt;=0,'Operating Metrics'!J171&lt;0),"",'Operating Metrics'!J171/'Operating Metrics'!I171-1)</f>
        <v>-0.018670886075949356</v>
      </c>
      <c r="K172" s="476" t="n">
        <f>IF(OR('Operating Metrics'!J171&lt;=0,'Operating Metrics'!K171&lt;0),"",'Operating Metrics'!K171/'Operating Metrics'!J171-1)</f>
        <v>-0.13705256368913254</v>
      </c>
      <c r="L172" s="506"/>
      <c r="M172" s="506"/>
      <c r="N172" s="506"/>
      <c r="O172" s="506"/>
      <c r="P172" s="506"/>
      <c r="Q172" s="506"/>
      <c r="R172" s="506"/>
      <c r="S172" s="506"/>
      <c r="T172" s="506"/>
      <c r="U172" s="506"/>
      <c r="V172" s="506"/>
      <c r="W172" s="506"/>
      <c r="X172" s="506"/>
      <c r="Y172"/>
      <c r="Z172"/>
    </row>
    <row r="173" ht="22" customHeight="1">
      <c r="A173" s="502" t="str">
        <v>Reported operating profit</v>
      </c>
      <c r="B173" s="452"/>
      <c r="C173" s="507" t="n">
        <v>649</v>
      </c>
      <c r="D173" s="507" t="n">
        <v>640</v>
      </c>
      <c r="E173" s="507" t="n">
        <v>637</v>
      </c>
      <c r="F173" s="507" t="n">
        <v>544</v>
      </c>
      <c r="G173" s="507" t="n">
        <v>669</v>
      </c>
      <c r="H173" s="507" t="n">
        <v>578</v>
      </c>
      <c r="I173" s="507" t="n">
        <v>604</v>
      </c>
      <c r="J173" s="507" t="n">
        <v>492</v>
      </c>
      <c r="K173" s="507" t="n">
        <v>303</v>
      </c>
      <c r="L173" s="473"/>
      <c r="M173" s="507" t="n">
        <v>-49</v>
      </c>
      <c r="N173" s="507" t="n">
        <v>85</v>
      </c>
      <c r="O173" s="507" t="n">
        <v>97</v>
      </c>
      <c r="P173" s="507" t="n">
        <v>170</v>
      </c>
      <c r="Q173" s="473"/>
      <c r="R173" s="473"/>
      <c r="S173" s="473"/>
      <c r="T173" s="473"/>
      <c r="U173" s="473"/>
      <c r="V173" s="473"/>
      <c r="W173" s="473"/>
      <c r="X173" s="473"/>
      <c r="Y173"/>
      <c r="Z173"/>
    </row>
    <row r="174" ht="22" customHeight="1">
      <c r="A174" s="502" t="str">
        <v>Core operating profit</v>
      </c>
      <c r="B174" s="452"/>
      <c r="C174" s="473"/>
      <c r="D174" s="507" t="n">
        <v>649</v>
      </c>
      <c r="E174" s="507" t="n">
        <v>644</v>
      </c>
      <c r="F174" s="507" t="n">
        <v>546</v>
      </c>
      <c r="G174" s="507" t="n">
        <v>674</v>
      </c>
      <c r="H174" s="507" t="n">
        <v>578</v>
      </c>
      <c r="I174" s="507" t="n">
        <v>611</v>
      </c>
      <c r="J174" s="507" t="n">
        <v>628</v>
      </c>
      <c r="K174" s="507" t="n">
        <v>507</v>
      </c>
      <c r="L174" s="473"/>
      <c r="M174" s="507" t="n">
        <v>122</v>
      </c>
      <c r="N174" s="507" t="n">
        <v>100</v>
      </c>
      <c r="O174" s="507" t="n">
        <v>96</v>
      </c>
      <c r="P174" s="507" t="n">
        <v>189</v>
      </c>
      <c r="Q174" s="473"/>
      <c r="R174" s="473"/>
      <c r="S174" s="473"/>
      <c r="T174" s="473"/>
      <c r="U174" s="473"/>
      <c r="V174" s="473"/>
      <c r="W174" s="473"/>
      <c r="X174" s="473"/>
      <c r="Y174"/>
      <c r="Z174"/>
    </row>
    <row r="175" ht="20" customHeight="1">
      <c r="A175" s="505" t="str">
        <v>Core operating profit YoY</v>
      </c>
      <c r="B175" s="452"/>
      <c r="C175" s="506"/>
      <c r="D175" s="506"/>
      <c r="E175" s="476" t="n">
        <f>IF(OR('Operating Metrics'!D174&lt;=0,'Operating Metrics'!E174&lt;0),"",'Operating Metrics'!E174/'Operating Metrics'!D174-1)</f>
        <v>-0.007704160246533087</v>
      </c>
      <c r="F175" s="476" t="n">
        <f>IF(OR('Operating Metrics'!E174&lt;=0,'Operating Metrics'!F174&lt;0),"",'Operating Metrics'!F174/'Operating Metrics'!E174-1)</f>
        <v>-0.15217391304347827</v>
      </c>
      <c r="G175" s="476" t="n">
        <f>IF(OR('Operating Metrics'!F174&lt;=0,'Operating Metrics'!G174&lt;0),"",'Operating Metrics'!G174/'Operating Metrics'!F174-1)</f>
        <v>0.2344322344322345</v>
      </c>
      <c r="H175" s="476" t="n">
        <f>IF(OR('Operating Metrics'!G174&lt;=0,'Operating Metrics'!H174&lt;0),"",'Operating Metrics'!H174/'Operating Metrics'!G174-1)</f>
        <v>-0.14243323442136502</v>
      </c>
      <c r="I175" s="476" t="n">
        <f>IF(OR('Operating Metrics'!H174&lt;=0,'Operating Metrics'!I174&lt;0),"",'Operating Metrics'!I174/'Operating Metrics'!H174-1)</f>
        <v>0.05709342560553643</v>
      </c>
      <c r="J175" s="476" t="n">
        <f>IF(OR('Operating Metrics'!I174&lt;=0,'Operating Metrics'!J174&lt;0),"",'Operating Metrics'!J174/'Operating Metrics'!I174-1)</f>
        <v>0.02782324058919805</v>
      </c>
      <c r="K175" s="476" t="n">
        <f>IF(OR('Operating Metrics'!J174&lt;=0,'Operating Metrics'!K174&lt;0),"",'Operating Metrics'!K174/'Operating Metrics'!J174-1)</f>
        <v>-0.1926751592356688</v>
      </c>
      <c r="L175" s="506"/>
      <c r="M175" s="506"/>
      <c r="N175" s="506"/>
      <c r="O175" s="506"/>
      <c r="P175" s="506"/>
      <c r="Q175" s="506"/>
      <c r="R175" s="506"/>
      <c r="S175" s="506"/>
      <c r="T175" s="506"/>
      <c r="U175" s="506"/>
      <c r="V175" s="506"/>
      <c r="W175" s="506"/>
      <c r="X175" s="506"/>
      <c r="Y175"/>
      <c r="Z175"/>
    </row>
    <row r="176" ht="20" customHeight="1">
      <c r="A176" s="505" t="str">
        <v>Core operating margin</v>
      </c>
      <c r="B176" s="452"/>
      <c r="C176" s="506"/>
      <c r="D176" s="476" t="n">
        <f>IF('Operating Metrics'!D171=0,"",'Operating Metrics'!D174/'Operating Metrics'!D171)</f>
        <v>0.25928885337594887</v>
      </c>
      <c r="E176" s="476" t="n">
        <f>IF('Operating Metrics'!E171=0,"",'Operating Metrics'!E174/'Operating Metrics'!E171)</f>
        <v>0.2612576064908722</v>
      </c>
      <c r="F176" s="476" t="n">
        <f>IF('Operating Metrics'!F171=0,"",'Operating Metrics'!F174/'Operating Metrics'!F171)</f>
        <v>0.2199838839645447</v>
      </c>
      <c r="G176" s="476" t="n">
        <f>IF('Operating Metrics'!G171=0,"",'Operating Metrics'!G174/'Operating Metrics'!G171)</f>
        <v>0.24580598103574033</v>
      </c>
      <c r="H176" s="476" t="n">
        <f>IF('Operating Metrics'!H171=0,"",'Operating Metrics'!H174/'Operating Metrics'!H171)</f>
        <v>0.21010541621228643</v>
      </c>
      <c r="I176" s="476" t="n">
        <f>IF('Operating Metrics'!I171=0,"",'Operating Metrics'!I174/'Operating Metrics'!I171)</f>
        <v>0.19335443037974684</v>
      </c>
      <c r="J176" s="476" t="n">
        <f>IF('Operating Metrics'!J171=0,"",'Operating Metrics'!J174/'Operating Metrics'!J171)</f>
        <v>0.20251531763947114</v>
      </c>
      <c r="K176" s="476" t="n">
        <f>IF('Operating Metrics'!K171=0,"",'Operating Metrics'!K174/'Operating Metrics'!K171)</f>
        <v>0.18946188340807174</v>
      </c>
      <c r="L176" s="506"/>
      <c r="M176" s="476" t="n">
        <f>IF('Operating Metrics'!M171=0,"",'Operating Metrics'!M174/'Operating Metrics'!M171)</f>
        <v>0.2057335581787521</v>
      </c>
      <c r="N176" s="476" t="n">
        <f>IF('Operating Metrics'!N171=0,"",'Operating Metrics'!N174/'Operating Metrics'!N171)</f>
        <v>0.17825311942959002</v>
      </c>
      <c r="O176" s="476" t="n">
        <f>IF('Operating Metrics'!O171=0,"",'Operating Metrics'!O174/'Operating Metrics'!O171)</f>
        <v>0.14814814814814814</v>
      </c>
      <c r="P176" s="476" t="n">
        <f>IF('Operating Metrics'!P171=0,"",'Operating Metrics'!P174/'Operating Metrics'!P171)</f>
        <v>0.21624713958810068</v>
      </c>
      <c r="Q176" s="506"/>
      <c r="R176" s="506"/>
      <c r="S176" s="506"/>
      <c r="T176" s="506"/>
      <c r="U176" s="506"/>
      <c r="V176" s="506"/>
      <c r="W176" s="506"/>
      <c r="X176" s="506"/>
      <c r="Y176"/>
      <c r="Z176"/>
    </row>
    <row r="177" ht="20" customHeight="1">
      <c r="A177" s="505" t="str">
        <v>Organic revenue growth</v>
      </c>
      <c r="B177" s="452"/>
      <c r="C177" s="508" t="n">
        <v>0</v>
      </c>
      <c r="D177" s="508" t="n">
        <v>-0.01</v>
      </c>
      <c r="E177" s="508" t="n">
        <v>-0.02</v>
      </c>
      <c r="F177" s="508" t="n">
        <v>0.01</v>
      </c>
      <c r="G177" s="508" t="n">
        <v>0.11</v>
      </c>
      <c r="H177" s="508" t="n">
        <v>0</v>
      </c>
      <c r="I177" s="508" t="n">
        <v>0.13</v>
      </c>
      <c r="J177" s="508" t="n">
        <v>0.01</v>
      </c>
      <c r="K177" s="508" t="n">
        <v>-0.14</v>
      </c>
      <c r="L177" s="506"/>
      <c r="M177" s="508" t="n">
        <v>-0.24</v>
      </c>
      <c r="N177" s="508" t="n">
        <v>-0.18</v>
      </c>
      <c r="O177" s="508" t="n">
        <v>-0.13</v>
      </c>
      <c r="P177" s="508" t="n">
        <v>-0.02</v>
      </c>
      <c r="Q177" s="506"/>
      <c r="R177" s="506"/>
      <c r="S177" s="506"/>
      <c r="T177" s="506"/>
      <c r="U177" s="506"/>
      <c r="V177" s="506"/>
      <c r="W177" s="506"/>
      <c r="X177" s="506"/>
      <c r="Y177"/>
      <c r="Z177"/>
    </row>
    <row r="178" ht="20" customHeight="1">
      <c r="A178" s="505" t="str">
        <v>Organic physical volume - foods</v>
      </c>
      <c r="B178" s="452"/>
      <c r="C178" s="508" t="n">
        <v>0</v>
      </c>
      <c r="D178" s="508" t="n">
        <v>0</v>
      </c>
      <c r="E178" s="508" t="n">
        <v>-0.005</v>
      </c>
      <c r="F178" s="508" t="n">
        <v>0</v>
      </c>
      <c r="G178" s="508" t="n">
        <v>0.1</v>
      </c>
      <c r="H178" s="508" t="n">
        <v>-0.07</v>
      </c>
      <c r="I178" s="508" t="n">
        <v>-0.03</v>
      </c>
      <c r="J178" s="508" t="n">
        <v>-0.05</v>
      </c>
      <c r="K178" s="508" t="n">
        <v>-0.14</v>
      </c>
      <c r="L178" s="506"/>
      <c r="M178" s="508" t="n">
        <v>-0.22</v>
      </c>
      <c r="N178" s="508" t="n">
        <v>-0.17</v>
      </c>
      <c r="O178" s="508" t="n">
        <v>-0.13</v>
      </c>
      <c r="P178" s="508" t="n">
        <v>-0.06</v>
      </c>
      <c r="Q178" s="506"/>
      <c r="R178" s="506"/>
      <c r="S178" s="506"/>
      <c r="T178" s="506"/>
      <c r="U178" s="506"/>
      <c r="V178" s="506"/>
      <c r="W178" s="506"/>
      <c r="X178" s="506"/>
      <c r="Y178"/>
      <c r="Z178"/>
    </row>
    <row r="179" ht="20" customHeight="1">
      <c r="A179" s="505" t="str">
        <v>Effective net pricing</v>
      </c>
      <c r="B179" s="452"/>
      <c r="C179" s="508" t="n">
        <v>-0.01</v>
      </c>
      <c r="D179" s="508" t="n">
        <v>-0.01</v>
      </c>
      <c r="E179" s="508" t="n">
        <v>-0.01</v>
      </c>
      <c r="F179" s="508" t="n">
        <v>0.01</v>
      </c>
      <c r="G179" s="508" t="n">
        <v>0</v>
      </c>
      <c r="H179" s="508" t="n">
        <v>0.07</v>
      </c>
      <c r="I179" s="508" t="n">
        <v>0.16</v>
      </c>
      <c r="J179" s="508" t="n">
        <v>0.05</v>
      </c>
      <c r="K179" s="508" t="n">
        <v>0.005</v>
      </c>
      <c r="L179" s="506"/>
      <c r="M179" s="508" t="n">
        <v>-0.02</v>
      </c>
      <c r="N179" s="508" t="n">
        <v>-0.01</v>
      </c>
      <c r="O179" s="508" t="n">
        <v>0</v>
      </c>
      <c r="P179" s="506"/>
      <c r="Q179" s="506"/>
      <c r="R179" s="506"/>
      <c r="S179" s="506"/>
      <c r="T179" s="506"/>
      <c r="U179" s="506"/>
      <c r="V179" s="506"/>
      <c r="W179" s="506"/>
      <c r="X179" s="506"/>
      <c r="Y179"/>
      <c r="Z179"/>
    </row>
    <row r="180" ht="22" customHeight="1">
      <c r="A180" s="502" t="str">
        <v>Capital spending</v>
      </c>
      <c r="B180" s="452"/>
      <c r="C180" s="507" t="n">
        <v>41</v>
      </c>
      <c r="D180" s="507" t="n">
        <v>44</v>
      </c>
      <c r="E180" s="507" t="n">
        <v>53</v>
      </c>
      <c r="F180" s="507" t="n">
        <v>104</v>
      </c>
      <c r="G180" s="507" t="n">
        <v>85</v>
      </c>
      <c r="H180" s="507" t="n">
        <v>92</v>
      </c>
      <c r="I180" s="507" t="n">
        <v>93</v>
      </c>
      <c r="J180" s="507" t="n">
        <v>103</v>
      </c>
      <c r="K180" s="507" t="n">
        <v>124</v>
      </c>
      <c r="L180" s="473"/>
      <c r="M180" s="473"/>
      <c r="N180" s="473"/>
      <c r="O180" s="473"/>
      <c r="P180" s="473"/>
      <c r="Q180" s="473"/>
      <c r="R180" s="473"/>
      <c r="S180" s="473"/>
      <c r="T180" s="473"/>
      <c r="U180" s="473"/>
      <c r="V180" s="473"/>
      <c r="W180" s="473"/>
      <c r="X180" s="473"/>
      <c r="Y180"/>
      <c r="Z180"/>
    </row>
    <row r="181" ht="20" customHeight="1">
      <c r="A181" s="505" t="str">
        <v>Capital spending / net revenue</v>
      </c>
      <c r="B181" s="452"/>
      <c r="C181" s="476" t="n">
        <f>IF('Operating Metrics'!C171=0,"",'Operating Metrics'!C180/'Operating Metrics'!C171)</f>
        <v>0.015990639625585022</v>
      </c>
      <c r="D181" s="476" t="n">
        <f>IF('Operating Metrics'!D171=0,"",'Operating Metrics'!D180/'Operating Metrics'!D171)</f>
        <v>0.01757890531362365</v>
      </c>
      <c r="E181" s="476" t="n">
        <f>IF('Operating Metrics'!E171=0,"",'Operating Metrics'!E180/'Operating Metrics'!E171)</f>
        <v>0.02150101419878296</v>
      </c>
      <c r="F181" s="476" t="n">
        <f>IF('Operating Metrics'!F171=0,"",'Operating Metrics'!F180/'Operating Metrics'!F171)</f>
        <v>0.041901692183722805</v>
      </c>
      <c r="G181" s="476" t="n">
        <f>IF('Operating Metrics'!G171=0,"",'Operating Metrics'!G180/'Operating Metrics'!G171)</f>
        <v>0.03099927060539752</v>
      </c>
      <c r="H181" s="476" t="n">
        <f>IF('Operating Metrics'!H171=0,"",'Operating Metrics'!H180/'Operating Metrics'!H171)</f>
        <v>0.033442384587422755</v>
      </c>
      <c r="I181" s="476" t="n">
        <f>IF('Operating Metrics'!I171=0,"",'Operating Metrics'!I180/'Operating Metrics'!I171)</f>
        <v>0.029430379746835444</v>
      </c>
      <c r="J181" s="476" t="n">
        <f>IF('Operating Metrics'!J171=0,"",'Operating Metrics'!J180/'Operating Metrics'!J171)</f>
        <v>0.033215091905836824</v>
      </c>
      <c r="K181" s="476" t="n">
        <f>IF('Operating Metrics'!K171=0,"",'Operating Metrics'!K180/'Operating Metrics'!K171)</f>
        <v>0.04633781763826607</v>
      </c>
      <c r="L181" s="506"/>
      <c r="M181" s="506"/>
      <c r="N181" s="506"/>
      <c r="O181" s="506"/>
      <c r="P181" s="506"/>
      <c r="Q181" s="506"/>
      <c r="R181" s="506"/>
      <c r="S181" s="506"/>
      <c r="T181" s="506"/>
      <c r="U181" s="506"/>
      <c r="V181" s="506"/>
      <c r="W181" s="506"/>
      <c r="X181" s="506"/>
      <c r="Y181"/>
      <c r="Z181"/>
    </row>
    <row r="182" ht="22" customHeight="1">
      <c r="A182" s="502" t="str">
        <v>Depreciation and other amortization</v>
      </c>
      <c r="B182" s="452"/>
      <c r="C182" s="507" t="n">
        <v>50</v>
      </c>
      <c r="D182" s="507" t="n">
        <v>47</v>
      </c>
      <c r="E182" s="507" t="n">
        <v>45</v>
      </c>
      <c r="F182" s="507" t="n">
        <v>44</v>
      </c>
      <c r="G182" s="507" t="n">
        <v>41</v>
      </c>
      <c r="H182" s="507" t="n">
        <v>46</v>
      </c>
      <c r="I182" s="507" t="n">
        <v>47</v>
      </c>
      <c r="J182" s="507" t="n">
        <v>51</v>
      </c>
      <c r="K182" s="507" t="n">
        <v>46</v>
      </c>
      <c r="L182" s="473"/>
      <c r="M182" s="473"/>
      <c r="N182" s="473"/>
      <c r="O182" s="473"/>
      <c r="P182" s="473"/>
      <c r="Q182" s="473"/>
      <c r="R182" s="473"/>
      <c r="S182" s="473"/>
      <c r="T182" s="473"/>
      <c r="U182" s="473"/>
      <c r="V182" s="473"/>
      <c r="W182" s="473"/>
      <c r="X182" s="473"/>
      <c r="Y182"/>
      <c r="Z182"/>
    </row>
    <row r="183" ht="22" customHeight="1">
      <c r="A183" s="502" t="str">
        <v>Amortization of intangible assets</v>
      </c>
      <c r="B183" s="452"/>
      <c r="C183" s="507" t="n">
        <v>0</v>
      </c>
      <c r="D183" s="507" t="n">
        <v>0</v>
      </c>
      <c r="E183" s="507" t="n">
        <v>0</v>
      </c>
      <c r="F183" s="507" t="n">
        <v>0</v>
      </c>
      <c r="G183" s="507" t="n">
        <v>0</v>
      </c>
      <c r="H183" s="507" t="n">
        <v>0</v>
      </c>
      <c r="I183" s="507" t="n">
        <v>0</v>
      </c>
      <c r="J183" s="507" t="n">
        <v>0</v>
      </c>
      <c r="K183" s="507" t="n">
        <v>0</v>
      </c>
      <c r="L183" s="473"/>
      <c r="M183" s="473"/>
      <c r="N183" s="473"/>
      <c r="O183" s="473"/>
      <c r="P183" s="473"/>
      <c r="Q183" s="473"/>
      <c r="R183" s="473"/>
      <c r="S183" s="473"/>
      <c r="T183" s="473"/>
      <c r="U183" s="473"/>
      <c r="V183" s="473"/>
      <c r="W183" s="473"/>
      <c r="X183" s="473"/>
      <c r="Y183"/>
      <c r="Z183"/>
    </row>
    <row r="184" ht="22" customHeight="1">
      <c r="A184" s="502" t="str">
        <v>Depreciation and amortization</v>
      </c>
      <c r="B184" s="452"/>
      <c r="C184" s="473" t="n">
        <f>'Operating Metrics'!C182+'Operating Metrics'!C183</f>
        <v>50</v>
      </c>
      <c r="D184" s="473" t="n">
        <f>'Operating Metrics'!D182+'Operating Metrics'!D183</f>
        <v>47</v>
      </c>
      <c r="E184" s="473" t="n">
        <f>'Operating Metrics'!E182+'Operating Metrics'!E183</f>
        <v>45</v>
      </c>
      <c r="F184" s="473" t="n">
        <f>'Operating Metrics'!F182+'Operating Metrics'!F183</f>
        <v>44</v>
      </c>
      <c r="G184" s="473" t="n">
        <f>'Operating Metrics'!G182+'Operating Metrics'!G183</f>
        <v>41</v>
      </c>
      <c r="H184" s="473" t="n">
        <f>'Operating Metrics'!H182+'Operating Metrics'!H183</f>
        <v>46</v>
      </c>
      <c r="I184" s="473" t="n">
        <f>'Operating Metrics'!I182+'Operating Metrics'!I183</f>
        <v>47</v>
      </c>
      <c r="J184" s="473" t="n">
        <f>'Operating Metrics'!J182+'Operating Metrics'!J183</f>
        <v>51</v>
      </c>
      <c r="K184" s="473" t="n">
        <f>'Operating Metrics'!K182+'Operating Metrics'!K183</f>
        <v>46</v>
      </c>
      <c r="L184" s="473"/>
      <c r="M184" s="473"/>
      <c r="N184" s="473"/>
      <c r="O184" s="473"/>
      <c r="P184" s="473"/>
      <c r="Q184" s="473"/>
      <c r="R184" s="473"/>
      <c r="S184" s="473"/>
      <c r="T184" s="473"/>
      <c r="U184" s="473"/>
      <c r="V184" s="473"/>
      <c r="W184" s="473"/>
      <c r="X184" s="473"/>
      <c r="Y184"/>
      <c r="Z184"/>
    </row>
    <row r="185" ht="22" customHeight="1">
      <c r="A185" s="502" t="str">
        <v>Capital spending / D&amp;A</v>
      </c>
      <c r="B185" s="452"/>
      <c r="C185" s="492" t="n">
        <f>IF('Operating Metrics'!C184=0,"",'Operating Metrics'!C180/'Operating Metrics'!C184)</f>
        <v>0.82</v>
      </c>
      <c r="D185" s="492" t="n">
        <f>IF('Operating Metrics'!D184=0,"",'Operating Metrics'!D180/'Operating Metrics'!D184)</f>
        <v>0.9361702127659575</v>
      </c>
      <c r="E185" s="492" t="n">
        <f>IF('Operating Metrics'!E184=0,"",'Operating Metrics'!E180/'Operating Metrics'!E184)</f>
        <v>1.1777777777777778</v>
      </c>
      <c r="F185" s="492" t="n">
        <f>IF('Operating Metrics'!F184=0,"",'Operating Metrics'!F180/'Operating Metrics'!F184)</f>
        <v>2.3636363636363638</v>
      </c>
      <c r="G185" s="492" t="n">
        <f>IF('Operating Metrics'!G184=0,"",'Operating Metrics'!G180/'Operating Metrics'!G184)</f>
        <v>2.073170731707317</v>
      </c>
      <c r="H185" s="492" t="n">
        <f>IF('Operating Metrics'!H184=0,"",'Operating Metrics'!H180/'Operating Metrics'!H184)</f>
        <v>2</v>
      </c>
      <c r="I185" s="492" t="n">
        <f>IF('Operating Metrics'!I184=0,"",'Operating Metrics'!I180/'Operating Metrics'!I184)</f>
        <v>1.9787234042553192</v>
      </c>
      <c r="J185" s="492" t="n">
        <f>IF('Operating Metrics'!J184=0,"",'Operating Metrics'!J180/'Operating Metrics'!J184)</f>
        <v>2.019607843137255</v>
      </c>
      <c r="K185" s="492" t="n">
        <f>IF('Operating Metrics'!K184=0,"",'Operating Metrics'!K180/'Operating Metrics'!K184)</f>
        <v>2.6956521739130435</v>
      </c>
      <c r="L185" s="492"/>
      <c r="M185" s="492"/>
      <c r="N185" s="492"/>
      <c r="O185" s="492"/>
      <c r="P185" s="492"/>
      <c r="Q185" s="492"/>
      <c r="R185" s="492"/>
      <c r="S185" s="492"/>
      <c r="T185" s="492"/>
      <c r="U185" s="492"/>
      <c r="V185" s="492"/>
      <c r="W185" s="492"/>
      <c r="X185" s="492"/>
      <c r="Y185"/>
      <c r="Z185"/>
    </row>
    <row r="186" ht="22" customHeight="1">
      <c r="A186" s="452"/>
      <c r="B186" s="452"/>
      <c r="C186" s="452"/>
      <c r="D186" s="452"/>
      <c r="E186" s="452"/>
      <c r="F186" s="452"/>
      <c r="G186" s="452"/>
      <c r="H186" s="452"/>
      <c r="I186" s="452"/>
      <c r="J186" s="452"/>
      <c r="K186" s="452"/>
      <c r="L186" s="452"/>
      <c r="M186" s="452"/>
      <c r="N186" s="452"/>
      <c r="O186" s="452"/>
      <c r="P186" s="452"/>
      <c r="Q186" s="452"/>
      <c r="R186" s="452"/>
      <c r="S186" s="452"/>
      <c r="T186" s="452"/>
      <c r="U186" s="452"/>
      <c r="V186" s="452"/>
      <c r="W186" s="452"/>
      <c r="X186" s="452"/>
      <c r="Y186"/>
      <c r="Z186"/>
    </row>
    <row r="187" ht="22" customHeight="1">
      <c r="A187" s="452"/>
      <c r="B187" s="452"/>
      <c r="C187" s="452"/>
      <c r="D187" s="452"/>
      <c r="E187" s="452"/>
      <c r="F187" s="452"/>
      <c r="G187" s="452"/>
      <c r="H187" s="452"/>
      <c r="I187" s="452"/>
      <c r="J187" s="452"/>
      <c r="K187" s="452"/>
      <c r="L187" s="452"/>
      <c r="M187" s="452"/>
      <c r="N187" s="452"/>
      <c r="O187" s="452"/>
      <c r="P187" s="452"/>
      <c r="Q187" s="452"/>
      <c r="R187" s="452"/>
      <c r="S187" s="452"/>
      <c r="T187" s="452"/>
      <c r="U187" s="452"/>
      <c r="V187" s="452"/>
      <c r="W187" s="452"/>
      <c r="X187" s="452"/>
      <c r="Y187"/>
      <c r="Z187"/>
    </row>
    <row r="188" ht="22" customHeight="1">
      <c r="A188" s="460" t="str">
        <v>Earlier reporting structure - FY2016-FY2018</v>
      </c>
      <c r="B188" s="460"/>
      <c r="C188" s="460"/>
      <c r="D188" s="460"/>
      <c r="E188" s="460"/>
      <c r="F188" s="460"/>
      <c r="G188" s="460"/>
      <c r="H188" s="460"/>
      <c r="I188" s="460"/>
      <c r="J188" s="460"/>
      <c r="K188" s="460"/>
      <c r="L188" s="460"/>
      <c r="M188" s="460"/>
      <c r="N188" s="460"/>
      <c r="O188" s="460"/>
      <c r="P188" s="460"/>
      <c r="Q188" s="460"/>
      <c r="R188" s="460"/>
      <c r="S188" s="460"/>
      <c r="T188" s="460"/>
      <c r="U188" s="460"/>
      <c r="V188" s="460"/>
      <c r="W188" s="460"/>
      <c r="X188" s="460"/>
      <c r="Y188"/>
      <c r="Z188"/>
    </row>
    <row r="189" ht="24" customHeight="1">
      <c r="A189" s="490" t="str">
        <v>Original earlier-six boundaries; profit uses the 2018 pension presentation. Do not splice ESSA / AMENA into later regions.</v>
      </c>
      <c r="B189" s="490"/>
      <c r="C189" s="490"/>
      <c r="D189" s="490"/>
      <c r="E189" s="490"/>
      <c r="F189" s="490"/>
      <c r="G189" s="490"/>
      <c r="H189" s="490"/>
      <c r="I189" s="490"/>
      <c r="J189" s="490"/>
      <c r="K189" s="490"/>
      <c r="L189" s="490"/>
      <c r="M189" s="490"/>
      <c r="N189" s="490"/>
      <c r="O189" s="490"/>
      <c r="P189" s="490"/>
      <c r="Q189" s="490"/>
      <c r="R189" s="490"/>
      <c r="S189" s="490"/>
      <c r="T189" s="490"/>
      <c r="U189" s="490"/>
      <c r="V189" s="490"/>
      <c r="W189" s="490"/>
      <c r="X189" s="490"/>
      <c r="Y189"/>
      <c r="Z189"/>
    </row>
    <row r="190" ht="24" customHeight="1">
      <c r="A190" s="462" t="str">
        <v>Metric / reporting scope</v>
      </c>
      <c r="B190" s="452"/>
      <c r="C190" s="463" t="str">
        <v>FY2016</v>
      </c>
      <c r="D190" s="463" t="str">
        <v>FY2017</v>
      </c>
      <c r="E190" s="463" t="str">
        <v>FY2018</v>
      </c>
      <c r="F190" s="452"/>
      <c r="G190" s="452"/>
      <c r="H190" s="452"/>
      <c r="I190" s="452"/>
      <c r="J190" s="452"/>
      <c r="K190" s="452"/>
      <c r="L190" s="452"/>
      <c r="M190" s="452"/>
      <c r="N190" s="452"/>
      <c r="O190" s="452"/>
      <c r="P190" s="452"/>
      <c r="Q190" s="452"/>
      <c r="R190" s="452"/>
      <c r="S190" s="452"/>
      <c r="T190" s="452"/>
      <c r="U190" s="452"/>
      <c r="V190" s="452"/>
      <c r="W190" s="452"/>
      <c r="X190" s="452"/>
      <c r="Y190"/>
      <c r="Z190"/>
    </row>
    <row r="191" ht="18" customHeight="1">
      <c r="A191" s="452"/>
      <c r="B191" s="452"/>
      <c r="C191" s="501" t="d">
        <v>2016-12-31T00:00:00.000Z</v>
      </c>
      <c r="D191" s="501" t="d">
        <v>2017-12-30T00:00:00.000Z</v>
      </c>
      <c r="E191" s="501" t="d">
        <v>2018-12-29T00:00:00.000Z</v>
      </c>
      <c r="F191" s="452"/>
      <c r="G191" s="452"/>
      <c r="H191" s="452"/>
      <c r="I191" s="452"/>
      <c r="J191" s="452"/>
      <c r="K191" s="452"/>
      <c r="L191" s="452"/>
      <c r="M191" s="452"/>
      <c r="N191" s="452"/>
      <c r="O191" s="452"/>
      <c r="P191" s="452"/>
      <c r="Q191" s="452"/>
      <c r="R191" s="452"/>
      <c r="S191" s="452"/>
      <c r="T191" s="452"/>
      <c r="U191" s="452"/>
      <c r="V191" s="452"/>
      <c r="W191" s="452"/>
      <c r="X191" s="452"/>
      <c r="Y191"/>
      <c r="Z191"/>
    </row>
    <row r="192" ht="24" customHeight="1">
      <c r="A192" s="477" t="str">
        <v>NAB</v>
      </c>
      <c r="B192" s="477"/>
      <c r="C192" s="477"/>
      <c r="D192" s="477"/>
      <c r="E192" s="477"/>
      <c r="F192" s="477"/>
      <c r="G192" s="477"/>
      <c r="H192" s="477"/>
      <c r="I192" s="477"/>
      <c r="J192" s="477"/>
      <c r="K192" s="477"/>
      <c r="L192" s="477"/>
      <c r="M192" s="477"/>
      <c r="N192" s="477"/>
      <c r="O192" s="477"/>
      <c r="P192" s="477"/>
      <c r="Q192" s="477"/>
      <c r="R192" s="477"/>
      <c r="S192" s="477"/>
      <c r="T192" s="477"/>
      <c r="U192" s="477"/>
      <c r="V192" s="477"/>
      <c r="W192" s="477"/>
      <c r="X192" s="477"/>
      <c r="Y192"/>
      <c r="Z192"/>
    </row>
    <row r="193" ht="22" customHeight="1">
      <c r="A193" s="502" t="str">
        <v>Net revenue</v>
      </c>
      <c r="B193" s="452"/>
      <c r="C193" s="507" t="n">
        <v>21312</v>
      </c>
      <c r="D193" s="507" t="n">
        <v>20936</v>
      </c>
      <c r="E193" s="507" t="n">
        <v>21072</v>
      </c>
      <c r="F193" s="473"/>
      <c r="G193" s="473"/>
      <c r="H193" s="473"/>
      <c r="I193" s="473"/>
      <c r="J193" s="473"/>
      <c r="K193" s="473"/>
      <c r="L193" s="473"/>
      <c r="M193" s="473"/>
      <c r="N193" s="473"/>
      <c r="O193" s="473"/>
      <c r="P193" s="473"/>
      <c r="Q193" s="473"/>
      <c r="R193" s="473"/>
      <c r="S193" s="473"/>
      <c r="T193" s="473"/>
      <c r="U193" s="473"/>
      <c r="V193" s="473"/>
      <c r="W193" s="473"/>
      <c r="X193" s="473"/>
      <c r="Y193"/>
      <c r="Z193"/>
    </row>
    <row r="194" ht="20" customHeight="1">
      <c r="A194" s="505" t="str">
        <v>Net revenue YoY</v>
      </c>
      <c r="B194" s="452"/>
      <c r="C194" s="506"/>
      <c r="D194" s="476" t="n">
        <f>IF(OR('Operating Metrics'!C193&lt;=0,'Operating Metrics'!D193&lt;0),"",'Operating Metrics'!D193/'Operating Metrics'!C193-1)</f>
        <v>-0.017642642642642592</v>
      </c>
      <c r="E194" s="476" t="n">
        <f>IF(OR('Operating Metrics'!D193&lt;=0,'Operating Metrics'!E193&lt;0),"",'Operating Metrics'!E193/'Operating Metrics'!D193-1)</f>
        <v>0.006495987772258349</v>
      </c>
      <c r="F194" s="506"/>
      <c r="G194" s="506"/>
      <c r="H194" s="506"/>
      <c r="I194" s="506"/>
      <c r="J194" s="506"/>
      <c r="K194" s="506"/>
      <c r="L194" s="506"/>
      <c r="M194" s="506"/>
      <c r="N194" s="506"/>
      <c r="O194" s="506"/>
      <c r="P194" s="506"/>
      <c r="Q194" s="506"/>
      <c r="R194" s="506"/>
      <c r="S194" s="506"/>
      <c r="T194" s="506"/>
      <c r="U194" s="506"/>
      <c r="V194" s="506"/>
      <c r="W194" s="506"/>
      <c r="X194" s="506"/>
      <c r="Y194"/>
      <c r="Z194"/>
    </row>
    <row r="195" ht="22" customHeight="1">
      <c r="A195" s="502" t="str">
        <v>Reported operating profit</v>
      </c>
      <c r="B195" s="452"/>
      <c r="C195" s="507" t="n">
        <v>2947</v>
      </c>
      <c r="D195" s="507" t="n">
        <v>2700</v>
      </c>
      <c r="E195" s="507" t="n">
        <v>2276</v>
      </c>
      <c r="F195" s="473"/>
      <c r="G195" s="473"/>
      <c r="H195" s="473"/>
      <c r="I195" s="473"/>
      <c r="J195" s="473"/>
      <c r="K195" s="473"/>
      <c r="L195" s="473"/>
      <c r="M195" s="473"/>
      <c r="N195" s="473"/>
      <c r="O195" s="473"/>
      <c r="P195" s="473"/>
      <c r="Q195" s="473"/>
      <c r="R195" s="473"/>
      <c r="S195" s="473"/>
      <c r="T195" s="473"/>
      <c r="U195" s="473"/>
      <c r="V195" s="473"/>
      <c r="W195" s="473"/>
      <c r="X195" s="473"/>
      <c r="Y195"/>
      <c r="Z195"/>
    </row>
    <row r="196" ht="20" customHeight="1">
      <c r="A196" s="505" t="str">
        <v>Reported operating margin</v>
      </c>
      <c r="B196" s="452"/>
      <c r="C196" s="476" t="n">
        <f>IF('Operating Metrics'!C193=0,"",'Operating Metrics'!C195/'Operating Metrics'!C193)</f>
        <v>0.1382789039039039</v>
      </c>
      <c r="D196" s="476" t="n">
        <f>IF('Operating Metrics'!D193=0,"",'Operating Metrics'!D195/'Operating Metrics'!D193)</f>
        <v>0.12896446312571647</v>
      </c>
      <c r="E196" s="476" t="n">
        <f>IF('Operating Metrics'!E193=0,"",'Operating Metrics'!E195/'Operating Metrics'!E193)</f>
        <v>0.10801063022019741</v>
      </c>
      <c r="F196" s="506"/>
      <c r="G196" s="506"/>
      <c r="H196" s="506"/>
      <c r="I196" s="506"/>
      <c r="J196" s="506"/>
      <c r="K196" s="506"/>
      <c r="L196" s="506"/>
      <c r="M196" s="506"/>
      <c r="N196" s="506"/>
      <c r="O196" s="506"/>
      <c r="P196" s="506"/>
      <c r="Q196" s="506"/>
      <c r="R196" s="506"/>
      <c r="S196" s="506"/>
      <c r="T196" s="506"/>
      <c r="U196" s="506"/>
      <c r="V196" s="506"/>
      <c r="W196" s="506"/>
      <c r="X196" s="506"/>
      <c r="Y196"/>
      <c r="Z196"/>
    </row>
    <row r="197" ht="20" customHeight="1">
      <c r="A197" s="505" t="str">
        <v>Organic revenue growth</v>
      </c>
      <c r="B197" s="452"/>
      <c r="C197" s="508" t="n">
        <v>0.02</v>
      </c>
      <c r="D197" s="508" t="n">
        <v>-0.02</v>
      </c>
      <c r="E197" s="508" t="n">
        <v>0.005</v>
      </c>
      <c r="F197" s="506"/>
      <c r="G197" s="506"/>
      <c r="H197" s="506"/>
      <c r="I197" s="506"/>
      <c r="J197" s="506"/>
      <c r="K197" s="506"/>
      <c r="L197" s="506"/>
      <c r="M197" s="506"/>
      <c r="N197" s="506"/>
      <c r="O197" s="506"/>
      <c r="P197" s="506"/>
      <c r="Q197" s="506"/>
      <c r="R197" s="506"/>
      <c r="S197" s="506"/>
      <c r="T197" s="506"/>
      <c r="U197" s="506"/>
      <c r="V197" s="506"/>
      <c r="W197" s="506"/>
      <c r="X197" s="506"/>
      <c r="Y197"/>
      <c r="Z197"/>
    </row>
    <row r="198" ht="20" customHeight="1">
      <c r="A198" s="505" t="str">
        <v>Organic physical volume - beverages</v>
      </c>
      <c r="B198" s="452"/>
      <c r="C198" s="508" t="n">
        <v>0.01</v>
      </c>
      <c r="D198" s="508" t="n">
        <v>-0.02</v>
      </c>
      <c r="E198" s="508" t="n">
        <v>-0.01</v>
      </c>
      <c r="F198" s="506"/>
      <c r="G198" s="506"/>
      <c r="H198" s="506"/>
      <c r="I198" s="506"/>
      <c r="J198" s="506"/>
      <c r="K198" s="506"/>
      <c r="L198" s="506"/>
      <c r="M198" s="506"/>
      <c r="N198" s="506"/>
      <c r="O198" s="506"/>
      <c r="P198" s="506"/>
      <c r="Q198" s="506"/>
      <c r="R198" s="506"/>
      <c r="S198" s="506"/>
      <c r="T198" s="506"/>
      <c r="U198" s="506"/>
      <c r="V198" s="506"/>
      <c r="W198" s="506"/>
      <c r="X198" s="506"/>
      <c r="Y198"/>
      <c r="Z198"/>
    </row>
    <row r="199" ht="20" customHeight="1">
      <c r="A199" s="505" t="str">
        <v>Effective net pricing</v>
      </c>
      <c r="B199" s="452"/>
      <c r="C199" s="508" t="n">
        <v>0.01</v>
      </c>
      <c r="D199" s="508" t="n">
        <v>0.01</v>
      </c>
      <c r="E199" s="508" t="n">
        <v>0.02</v>
      </c>
      <c r="F199" s="506"/>
      <c r="G199" s="506"/>
      <c r="H199" s="506"/>
      <c r="I199" s="506"/>
      <c r="J199" s="506"/>
      <c r="K199" s="506"/>
      <c r="L199" s="506"/>
      <c r="M199" s="506"/>
      <c r="N199" s="506"/>
      <c r="O199" s="506"/>
      <c r="P199" s="506"/>
      <c r="Q199" s="506"/>
      <c r="R199" s="506"/>
      <c r="S199" s="506"/>
      <c r="T199" s="506"/>
      <c r="U199" s="506"/>
      <c r="V199" s="506"/>
      <c r="W199" s="506"/>
      <c r="X199" s="506"/>
      <c r="Y199"/>
      <c r="Z199"/>
    </row>
    <row r="200" ht="22" customHeight="1">
      <c r="A200" s="502" t="str">
        <v>Capital spending</v>
      </c>
      <c r="B200" s="452"/>
      <c r="C200" s="507" t="n">
        <v>769</v>
      </c>
      <c r="D200" s="507" t="n">
        <v>904</v>
      </c>
      <c r="E200" s="507" t="n">
        <v>945</v>
      </c>
      <c r="F200" s="473"/>
      <c r="G200" s="473"/>
      <c r="H200" s="473"/>
      <c r="I200" s="473"/>
      <c r="J200" s="473"/>
      <c r="K200" s="473"/>
      <c r="L200" s="473"/>
      <c r="M200" s="473"/>
      <c r="N200" s="473"/>
      <c r="O200" s="473"/>
      <c r="P200" s="473"/>
      <c r="Q200" s="473"/>
      <c r="R200" s="473"/>
      <c r="S200" s="473"/>
      <c r="T200" s="473"/>
      <c r="U200" s="473"/>
      <c r="V200" s="473"/>
      <c r="W200" s="473"/>
      <c r="X200" s="473"/>
      <c r="Y200"/>
      <c r="Z200"/>
    </row>
    <row r="201" ht="20" customHeight="1">
      <c r="A201" s="505" t="str">
        <v>Capital spending / net revenue</v>
      </c>
      <c r="B201" s="452"/>
      <c r="C201" s="476" t="n">
        <f>IF('Operating Metrics'!C193=0,"",'Operating Metrics'!C200/'Operating Metrics'!C193)</f>
        <v>0.036082957957957955</v>
      </c>
      <c r="D201" s="476" t="n">
        <f>IF('Operating Metrics'!D193=0,"",'Operating Metrics'!D200/'Operating Metrics'!D193)</f>
        <v>0.043179212839128775</v>
      </c>
      <c r="E201" s="476" t="n">
        <f>IF('Operating Metrics'!E193=0,"",'Operating Metrics'!E200/'Operating Metrics'!E193)</f>
        <v>0.04484624145785877</v>
      </c>
      <c r="F201" s="506"/>
      <c r="G201" s="506"/>
      <c r="H201" s="506"/>
      <c r="I201" s="506"/>
      <c r="J201" s="506"/>
      <c r="K201" s="506"/>
      <c r="L201" s="506"/>
      <c r="M201" s="506"/>
      <c r="N201" s="506"/>
      <c r="O201" s="506"/>
      <c r="P201" s="506"/>
      <c r="Q201" s="506"/>
      <c r="R201" s="506"/>
      <c r="S201" s="506"/>
      <c r="T201" s="506"/>
      <c r="U201" s="506"/>
      <c r="V201" s="506"/>
      <c r="W201" s="506"/>
      <c r="X201" s="506"/>
      <c r="Y201"/>
      <c r="Z201"/>
    </row>
    <row r="202" ht="22" customHeight="1">
      <c r="A202" s="502" t="str">
        <v>Depreciation and other amortization</v>
      </c>
      <c r="B202" s="452"/>
      <c r="C202" s="507" t="n">
        <v>809</v>
      </c>
      <c r="D202" s="507" t="n">
        <v>780</v>
      </c>
      <c r="E202" s="507" t="n">
        <v>821</v>
      </c>
      <c r="F202" s="473"/>
      <c r="G202" s="473"/>
      <c r="H202" s="473"/>
      <c r="I202" s="473"/>
      <c r="J202" s="473"/>
      <c r="K202" s="473"/>
      <c r="L202" s="473"/>
      <c r="M202" s="473"/>
      <c r="N202" s="473"/>
      <c r="O202" s="473"/>
      <c r="P202" s="473"/>
      <c r="Q202" s="473"/>
      <c r="R202" s="473"/>
      <c r="S202" s="473"/>
      <c r="T202" s="473"/>
      <c r="U202" s="473"/>
      <c r="V202" s="473"/>
      <c r="W202" s="473"/>
      <c r="X202" s="473"/>
      <c r="Y202"/>
      <c r="Z202"/>
    </row>
    <row r="203" ht="22" customHeight="1">
      <c r="A203" s="502" t="str">
        <v>Amortization of intangible assets</v>
      </c>
      <c r="B203" s="452"/>
      <c r="C203" s="507" t="n">
        <v>37</v>
      </c>
      <c r="D203" s="507" t="n">
        <v>31</v>
      </c>
      <c r="E203" s="507" t="n">
        <v>31</v>
      </c>
      <c r="F203" s="473"/>
      <c r="G203" s="473"/>
      <c r="H203" s="473"/>
      <c r="I203" s="473"/>
      <c r="J203" s="473"/>
      <c r="K203" s="473"/>
      <c r="L203" s="473"/>
      <c r="M203" s="473"/>
      <c r="N203" s="473"/>
      <c r="O203" s="473"/>
      <c r="P203" s="473"/>
      <c r="Q203" s="473"/>
      <c r="R203" s="473"/>
      <c r="S203" s="473"/>
      <c r="T203" s="473"/>
      <c r="U203" s="473"/>
      <c r="V203" s="473"/>
      <c r="W203" s="473"/>
      <c r="X203" s="473"/>
      <c r="Y203"/>
      <c r="Z203"/>
    </row>
    <row r="204" ht="22" customHeight="1">
      <c r="A204" s="502" t="str">
        <v>Depreciation and amortization</v>
      </c>
      <c r="B204" s="452"/>
      <c r="C204" s="473" t="n">
        <f>'Operating Metrics'!C202+'Operating Metrics'!C203</f>
        <v>846</v>
      </c>
      <c r="D204" s="473" t="n">
        <f>'Operating Metrics'!D202+'Operating Metrics'!D203</f>
        <v>811</v>
      </c>
      <c r="E204" s="473" t="n">
        <f>'Operating Metrics'!E202+'Operating Metrics'!E203</f>
        <v>852</v>
      </c>
      <c r="F204" s="473"/>
      <c r="G204" s="473"/>
      <c r="H204" s="473"/>
      <c r="I204" s="473"/>
      <c r="J204" s="473"/>
      <c r="K204" s="473"/>
      <c r="L204" s="473"/>
      <c r="M204" s="473"/>
      <c r="N204" s="473"/>
      <c r="O204" s="473"/>
      <c r="P204" s="473"/>
      <c r="Q204" s="473"/>
      <c r="R204" s="473"/>
      <c r="S204" s="473"/>
      <c r="T204" s="473"/>
      <c r="U204" s="473"/>
      <c r="V204" s="473"/>
      <c r="W204" s="473"/>
      <c r="X204" s="473"/>
      <c r="Y204"/>
      <c r="Z204"/>
    </row>
    <row r="205" ht="22" customHeight="1">
      <c r="A205" s="502" t="str">
        <v>Capital spending / D&amp;A</v>
      </c>
      <c r="B205" s="452"/>
      <c r="C205" s="492" t="n">
        <f>IF('Operating Metrics'!C204=0,"",'Operating Metrics'!C200/'Operating Metrics'!C204)</f>
        <v>0.9089834515366431</v>
      </c>
      <c r="D205" s="492" t="n">
        <f>IF('Operating Metrics'!D204=0,"",'Operating Metrics'!D200/'Operating Metrics'!D204)</f>
        <v>1.1146732429099877</v>
      </c>
      <c r="E205" s="492" t="n">
        <f>IF('Operating Metrics'!E204=0,"",'Operating Metrics'!E200/'Operating Metrics'!E204)</f>
        <v>1.1091549295774648</v>
      </c>
      <c r="F205" s="492"/>
      <c r="G205" s="492"/>
      <c r="H205" s="492"/>
      <c r="I205" s="492"/>
      <c r="J205" s="492"/>
      <c r="K205" s="492"/>
      <c r="L205" s="492"/>
      <c r="M205" s="492"/>
      <c r="N205" s="492"/>
      <c r="O205" s="492"/>
      <c r="P205" s="492"/>
      <c r="Q205" s="492"/>
      <c r="R205" s="492"/>
      <c r="S205" s="492"/>
      <c r="T205" s="492"/>
      <c r="U205" s="492"/>
      <c r="V205" s="492"/>
      <c r="W205" s="492"/>
      <c r="X205" s="492"/>
      <c r="Y205"/>
      <c r="Z205"/>
    </row>
    <row r="206" ht="24" customHeight="1">
      <c r="A206" s="477" t="str">
        <v>Latin America</v>
      </c>
      <c r="B206" s="477"/>
      <c r="C206" s="477"/>
      <c r="D206" s="477"/>
      <c r="E206" s="477"/>
      <c r="F206" s="477"/>
      <c r="G206" s="477"/>
      <c r="H206" s="477"/>
      <c r="I206" s="477"/>
      <c r="J206" s="477"/>
      <c r="K206" s="477"/>
      <c r="L206" s="477"/>
      <c r="M206" s="477"/>
      <c r="N206" s="477"/>
      <c r="O206" s="477"/>
      <c r="P206" s="477"/>
      <c r="Q206" s="477"/>
      <c r="R206" s="477"/>
      <c r="S206" s="477"/>
      <c r="T206" s="477"/>
      <c r="U206" s="477"/>
      <c r="V206" s="477"/>
      <c r="W206" s="477"/>
      <c r="X206" s="477"/>
      <c r="Y206"/>
      <c r="Z206"/>
    </row>
    <row r="207" ht="22" customHeight="1">
      <c r="A207" s="502" t="str">
        <v>Net revenue</v>
      </c>
      <c r="B207" s="452"/>
      <c r="C207" s="507" t="n">
        <v>6820</v>
      </c>
      <c r="D207" s="507" t="n">
        <v>7208</v>
      </c>
      <c r="E207" s="507" t="n">
        <v>7354</v>
      </c>
      <c r="F207" s="473"/>
      <c r="G207" s="473"/>
      <c r="H207" s="473"/>
      <c r="I207" s="473"/>
      <c r="J207" s="473"/>
      <c r="K207" s="473"/>
      <c r="L207" s="473"/>
      <c r="M207" s="473"/>
      <c r="N207" s="473"/>
      <c r="O207" s="473"/>
      <c r="P207" s="473"/>
      <c r="Q207" s="473"/>
      <c r="R207" s="473"/>
      <c r="S207" s="473"/>
      <c r="T207" s="473"/>
      <c r="U207" s="473"/>
      <c r="V207" s="473"/>
      <c r="W207" s="473"/>
      <c r="X207" s="473"/>
      <c r="Y207"/>
      <c r="Z207"/>
    </row>
    <row r="208" ht="20" customHeight="1">
      <c r="A208" s="505" t="str">
        <v>Net revenue YoY</v>
      </c>
      <c r="B208" s="452"/>
      <c r="C208" s="506"/>
      <c r="D208" s="476" t="n">
        <f>IF(OR('Operating Metrics'!C207&lt;=0,'Operating Metrics'!D207&lt;0),"",'Operating Metrics'!D207/'Operating Metrics'!C207-1)</f>
        <v>0.056891495601173014</v>
      </c>
      <c r="E208" s="476" t="n">
        <f>IF(OR('Operating Metrics'!D207&lt;=0,'Operating Metrics'!E207&lt;0),"",'Operating Metrics'!E207/'Operating Metrics'!D207-1)</f>
        <v>0.020255271920088802</v>
      </c>
      <c r="F208" s="506"/>
      <c r="G208" s="506"/>
      <c r="H208" s="506"/>
      <c r="I208" s="506"/>
      <c r="J208" s="506"/>
      <c r="K208" s="506"/>
      <c r="L208" s="506"/>
      <c r="M208" s="506"/>
      <c r="N208" s="506"/>
      <c r="O208" s="506"/>
      <c r="P208" s="506"/>
      <c r="Q208" s="506"/>
      <c r="R208" s="506"/>
      <c r="S208" s="506"/>
      <c r="T208" s="506"/>
      <c r="U208" s="506"/>
      <c r="V208" s="506"/>
      <c r="W208" s="506"/>
      <c r="X208" s="506"/>
      <c r="Y208"/>
      <c r="Z208"/>
    </row>
    <row r="209" ht="22" customHeight="1">
      <c r="A209" s="502" t="str">
        <v>Reported operating profit</v>
      </c>
      <c r="B209" s="452"/>
      <c r="C209" s="507" t="n">
        <v>904</v>
      </c>
      <c r="D209" s="507" t="n">
        <v>924</v>
      </c>
      <c r="E209" s="507" t="n">
        <v>1049</v>
      </c>
      <c r="F209" s="473"/>
      <c r="G209" s="473"/>
      <c r="H209" s="473"/>
      <c r="I209" s="473"/>
      <c r="J209" s="473"/>
      <c r="K209" s="473"/>
      <c r="L209" s="473"/>
      <c r="M209" s="473"/>
      <c r="N209" s="473"/>
      <c r="O209" s="473"/>
      <c r="P209" s="473"/>
      <c r="Q209" s="473"/>
      <c r="R209" s="473"/>
      <c r="S209" s="473"/>
      <c r="T209" s="473"/>
      <c r="U209" s="473"/>
      <c r="V209" s="473"/>
      <c r="W209" s="473"/>
      <c r="X209" s="473"/>
      <c r="Y209"/>
      <c r="Z209"/>
    </row>
    <row r="210" ht="20" customHeight="1">
      <c r="A210" s="505" t="str">
        <v>Reported operating margin</v>
      </c>
      <c r="B210" s="452"/>
      <c r="C210" s="476" t="n">
        <f>IF('Operating Metrics'!C207=0,"",'Operating Metrics'!C209/'Operating Metrics'!C207)</f>
        <v>0.13255131964809383</v>
      </c>
      <c r="D210" s="476" t="n">
        <f>IF('Operating Metrics'!D207=0,"",'Operating Metrics'!D209/'Operating Metrics'!D207)</f>
        <v>0.1281908990011099</v>
      </c>
      <c r="E210" s="476" t="n">
        <f>IF('Operating Metrics'!E207=0,"",'Operating Metrics'!E209/'Operating Metrics'!E207)</f>
        <v>0.14264345934185477</v>
      </c>
      <c r="F210" s="506"/>
      <c r="G210" s="506"/>
      <c r="H210" s="506"/>
      <c r="I210" s="506"/>
      <c r="J210" s="506"/>
      <c r="K210" s="506"/>
      <c r="L210" s="506"/>
      <c r="M210" s="506"/>
      <c r="N210" s="506"/>
      <c r="O210" s="506"/>
      <c r="P210" s="506"/>
      <c r="Q210" s="506"/>
      <c r="R210" s="506"/>
      <c r="S210" s="506"/>
      <c r="T210" s="506"/>
      <c r="U210" s="506"/>
      <c r="V210" s="506"/>
      <c r="W210" s="506"/>
      <c r="X210" s="506"/>
      <c r="Y210"/>
      <c r="Z210"/>
    </row>
    <row r="211" ht="20" customHeight="1">
      <c r="A211" s="505" t="str">
        <v>Organic revenue growth</v>
      </c>
      <c r="B211" s="452"/>
      <c r="C211" s="508" t="n">
        <v>0.09</v>
      </c>
      <c r="D211" s="508" t="n">
        <v>0.05</v>
      </c>
      <c r="E211" s="508" t="n">
        <v>0.08</v>
      </c>
      <c r="F211" s="506"/>
      <c r="G211" s="506"/>
      <c r="H211" s="506"/>
      <c r="I211" s="506"/>
      <c r="J211" s="506"/>
      <c r="K211" s="506"/>
      <c r="L211" s="506"/>
      <c r="M211" s="506"/>
      <c r="N211" s="506"/>
      <c r="O211" s="506"/>
      <c r="P211" s="506"/>
      <c r="Q211" s="506"/>
      <c r="R211" s="506"/>
      <c r="S211" s="506"/>
      <c r="T211" s="506"/>
      <c r="U211" s="506"/>
      <c r="V211" s="506"/>
      <c r="W211" s="506"/>
      <c r="X211" s="506"/>
      <c r="Y211"/>
      <c r="Z211"/>
    </row>
    <row r="212" ht="20" customHeight="1">
      <c r="A212" s="505" t="str">
        <v>Organic physical volume - foods</v>
      </c>
      <c r="B212" s="452"/>
      <c r="C212" s="508" t="n">
        <v>0.03</v>
      </c>
      <c r="D212" s="508" t="n">
        <v>-0.015</v>
      </c>
      <c r="E212" s="508" t="n">
        <v>0.01</v>
      </c>
      <c r="F212" s="506"/>
      <c r="G212" s="506"/>
      <c r="H212" s="506"/>
      <c r="I212" s="506"/>
      <c r="J212" s="506"/>
      <c r="K212" s="506"/>
      <c r="L212" s="506"/>
      <c r="M212" s="506"/>
      <c r="N212" s="506"/>
      <c r="O212" s="506"/>
      <c r="P212" s="506"/>
      <c r="Q212" s="506"/>
      <c r="R212" s="506"/>
      <c r="S212" s="506"/>
      <c r="T212" s="506"/>
      <c r="U212" s="506"/>
      <c r="V212" s="506"/>
      <c r="W212" s="506"/>
      <c r="X212" s="506"/>
      <c r="Y212"/>
      <c r="Z212"/>
    </row>
    <row r="213" ht="20" customHeight="1">
      <c r="A213" s="505" t="str">
        <v>Organic physical volume - beverages</v>
      </c>
      <c r="B213" s="452"/>
      <c r="C213" s="508" t="n">
        <v>-0.02</v>
      </c>
      <c r="D213" s="508" t="n">
        <v>-0.02</v>
      </c>
      <c r="E213" s="508" t="n">
        <v>-0.01</v>
      </c>
      <c r="F213" s="506"/>
      <c r="G213" s="506"/>
      <c r="H213" s="506"/>
      <c r="I213" s="506"/>
      <c r="J213" s="506"/>
      <c r="K213" s="506"/>
      <c r="L213" s="506"/>
      <c r="M213" s="506"/>
      <c r="N213" s="506"/>
      <c r="O213" s="506"/>
      <c r="P213" s="506"/>
      <c r="Q213" s="506"/>
      <c r="R213" s="506"/>
      <c r="S213" s="506"/>
      <c r="T213" s="506"/>
      <c r="U213" s="506"/>
      <c r="V213" s="506"/>
      <c r="W213" s="506"/>
      <c r="X213" s="506"/>
      <c r="Y213"/>
      <c r="Z213"/>
    </row>
    <row r="214" ht="20" customHeight="1">
      <c r="A214" s="505" t="str">
        <v>Effective net pricing</v>
      </c>
      <c r="B214" s="452"/>
      <c r="C214" s="508" t="n">
        <v>0.07</v>
      </c>
      <c r="D214" s="508" t="n">
        <v>0.07</v>
      </c>
      <c r="E214" s="508" t="n">
        <v>0.07</v>
      </c>
      <c r="F214" s="506"/>
      <c r="G214" s="506"/>
      <c r="H214" s="506"/>
      <c r="I214" s="506"/>
      <c r="J214" s="506"/>
      <c r="K214" s="506"/>
      <c r="L214" s="506"/>
      <c r="M214" s="506"/>
      <c r="N214" s="506"/>
      <c r="O214" s="506"/>
      <c r="P214" s="506"/>
      <c r="Q214" s="506"/>
      <c r="R214" s="506"/>
      <c r="S214" s="506"/>
      <c r="T214" s="506"/>
      <c r="U214" s="506"/>
      <c r="V214" s="506"/>
      <c r="W214" s="506"/>
      <c r="X214" s="506"/>
      <c r="Y214"/>
      <c r="Z214"/>
    </row>
    <row r="215" ht="22" customHeight="1">
      <c r="A215" s="502" t="str">
        <v>Capital spending</v>
      </c>
      <c r="B215" s="452"/>
      <c r="C215" s="507" t="n">
        <v>507</v>
      </c>
      <c r="D215" s="507" t="n">
        <v>481</v>
      </c>
      <c r="E215" s="507" t="n">
        <v>492</v>
      </c>
      <c r="F215" s="473"/>
      <c r="G215" s="473"/>
      <c r="H215" s="473"/>
      <c r="I215" s="473"/>
      <c r="J215" s="473"/>
      <c r="K215" s="473"/>
      <c r="L215" s="473"/>
      <c r="M215" s="473"/>
      <c r="N215" s="473"/>
      <c r="O215" s="473"/>
      <c r="P215" s="473"/>
      <c r="Q215" s="473"/>
      <c r="R215" s="473"/>
      <c r="S215" s="473"/>
      <c r="T215" s="473"/>
      <c r="U215" s="473"/>
      <c r="V215" s="473"/>
      <c r="W215" s="473"/>
      <c r="X215" s="473"/>
      <c r="Y215"/>
      <c r="Z215"/>
    </row>
    <row r="216" ht="20" customHeight="1">
      <c r="A216" s="505" t="str">
        <v>Capital spending / net revenue</v>
      </c>
      <c r="B216" s="452"/>
      <c r="C216" s="476" t="n">
        <f>IF('Operating Metrics'!C207=0,"",'Operating Metrics'!C215/'Operating Metrics'!C207)</f>
        <v>0.07434017595307918</v>
      </c>
      <c r="D216" s="476" t="n">
        <f>IF('Operating Metrics'!D207=0,"",'Operating Metrics'!D215/'Operating Metrics'!D207)</f>
        <v>0.06673140954495005</v>
      </c>
      <c r="E216" s="476" t="n">
        <f>IF('Operating Metrics'!E207=0,"",'Operating Metrics'!E215/'Operating Metrics'!E207)</f>
        <v>0.06690236605928747</v>
      </c>
      <c r="F216" s="506"/>
      <c r="G216" s="506"/>
      <c r="H216" s="506"/>
      <c r="I216" s="506"/>
      <c r="J216" s="506"/>
      <c r="K216" s="506"/>
      <c r="L216" s="506"/>
      <c r="M216" s="506"/>
      <c r="N216" s="506"/>
      <c r="O216" s="506"/>
      <c r="P216" s="506"/>
      <c r="Q216" s="506"/>
      <c r="R216" s="506"/>
      <c r="S216" s="506"/>
      <c r="T216" s="506"/>
      <c r="U216" s="506"/>
      <c r="V216" s="506"/>
      <c r="W216" s="506"/>
      <c r="X216" s="506"/>
      <c r="Y216"/>
      <c r="Z216"/>
    </row>
    <row r="217" ht="22" customHeight="1">
      <c r="A217" s="502" t="str">
        <v>Depreciation and other amortization</v>
      </c>
      <c r="B217" s="452"/>
      <c r="C217" s="507" t="n">
        <v>211</v>
      </c>
      <c r="D217" s="507" t="n">
        <v>245</v>
      </c>
      <c r="E217" s="507" t="n">
        <v>253</v>
      </c>
      <c r="F217" s="473"/>
      <c r="G217" s="473"/>
      <c r="H217" s="473"/>
      <c r="I217" s="473"/>
      <c r="J217" s="473"/>
      <c r="K217" s="473"/>
      <c r="L217" s="473"/>
      <c r="M217" s="473"/>
      <c r="N217" s="473"/>
      <c r="O217" s="473"/>
      <c r="P217" s="473"/>
      <c r="Q217" s="473"/>
      <c r="R217" s="473"/>
      <c r="S217" s="473"/>
      <c r="T217" s="473"/>
      <c r="U217" s="473"/>
      <c r="V217" s="473"/>
      <c r="W217" s="473"/>
      <c r="X217" s="473"/>
      <c r="Y217"/>
      <c r="Z217"/>
    </row>
    <row r="218" ht="22" customHeight="1">
      <c r="A218" s="502" t="str">
        <v>Amortization of intangible assets</v>
      </c>
      <c r="B218" s="452"/>
      <c r="C218" s="507" t="n">
        <v>5</v>
      </c>
      <c r="D218" s="507" t="n">
        <v>5</v>
      </c>
      <c r="E218" s="507" t="n">
        <v>5</v>
      </c>
      <c r="F218" s="473"/>
      <c r="G218" s="473"/>
      <c r="H218" s="473"/>
      <c r="I218" s="473"/>
      <c r="J218" s="473"/>
      <c r="K218" s="473"/>
      <c r="L218" s="473"/>
      <c r="M218" s="473"/>
      <c r="N218" s="473"/>
      <c r="O218" s="473"/>
      <c r="P218" s="473"/>
      <c r="Q218" s="473"/>
      <c r="R218" s="473"/>
      <c r="S218" s="473"/>
      <c r="T218" s="473"/>
      <c r="U218" s="473"/>
      <c r="V218" s="473"/>
      <c r="W218" s="473"/>
      <c r="X218" s="473"/>
      <c r="Y218"/>
      <c r="Z218"/>
    </row>
    <row r="219" ht="22" customHeight="1">
      <c r="A219" s="502" t="str">
        <v>Depreciation and amortization</v>
      </c>
      <c r="B219" s="452"/>
      <c r="C219" s="473" t="n">
        <f>'Operating Metrics'!C217+'Operating Metrics'!C218</f>
        <v>216</v>
      </c>
      <c r="D219" s="473" t="n">
        <f>'Operating Metrics'!D217+'Operating Metrics'!D218</f>
        <v>250</v>
      </c>
      <c r="E219" s="473" t="n">
        <f>'Operating Metrics'!E217+'Operating Metrics'!E218</f>
        <v>258</v>
      </c>
      <c r="F219" s="473"/>
      <c r="G219" s="473"/>
      <c r="H219" s="473"/>
      <c r="I219" s="473"/>
      <c r="J219" s="473"/>
      <c r="K219" s="473"/>
      <c r="L219" s="473"/>
      <c r="M219" s="473"/>
      <c r="N219" s="473"/>
      <c r="O219" s="473"/>
      <c r="P219" s="473"/>
      <c r="Q219" s="473"/>
      <c r="R219" s="473"/>
      <c r="S219" s="473"/>
      <c r="T219" s="473"/>
      <c r="U219" s="473"/>
      <c r="V219" s="473"/>
      <c r="W219" s="473"/>
      <c r="X219" s="473"/>
      <c r="Y219"/>
      <c r="Z219"/>
    </row>
    <row r="220" ht="22" customHeight="1">
      <c r="A220" s="502" t="str">
        <v>Capital spending / D&amp;A</v>
      </c>
      <c r="B220" s="452"/>
      <c r="C220" s="492" t="n">
        <f>IF('Operating Metrics'!C219=0,"",'Operating Metrics'!C215/'Operating Metrics'!C219)</f>
        <v>2.3472222222222223</v>
      </c>
      <c r="D220" s="492" t="n">
        <f>IF('Operating Metrics'!D219=0,"",'Operating Metrics'!D215/'Operating Metrics'!D219)</f>
        <v>1.924</v>
      </c>
      <c r="E220" s="492" t="n">
        <f>IF('Operating Metrics'!E219=0,"",'Operating Metrics'!E215/'Operating Metrics'!E219)</f>
        <v>1.9069767441860466</v>
      </c>
      <c r="F220" s="492"/>
      <c r="G220" s="492"/>
      <c r="H220" s="492"/>
      <c r="I220" s="492"/>
      <c r="J220" s="492"/>
      <c r="K220" s="492"/>
      <c r="L220" s="492"/>
      <c r="M220" s="492"/>
      <c r="N220" s="492"/>
      <c r="O220" s="492"/>
      <c r="P220" s="492"/>
      <c r="Q220" s="492"/>
      <c r="R220" s="492"/>
      <c r="S220" s="492"/>
      <c r="T220" s="492"/>
      <c r="U220" s="492"/>
      <c r="V220" s="492"/>
      <c r="W220" s="492"/>
      <c r="X220" s="492"/>
      <c r="Y220"/>
      <c r="Z220"/>
    </row>
    <row r="221" ht="24" customHeight="1">
      <c r="A221" s="477" t="str">
        <v>ESSA</v>
      </c>
      <c r="B221" s="477"/>
      <c r="C221" s="477"/>
      <c r="D221" s="477"/>
      <c r="E221" s="477"/>
      <c r="F221" s="477"/>
      <c r="G221" s="477"/>
      <c r="H221" s="477"/>
      <c r="I221" s="477"/>
      <c r="J221" s="477"/>
      <c r="K221" s="477"/>
      <c r="L221" s="477"/>
      <c r="M221" s="477"/>
      <c r="N221" s="477"/>
      <c r="O221" s="477"/>
      <c r="P221" s="477"/>
      <c r="Q221" s="477"/>
      <c r="R221" s="477"/>
      <c r="S221" s="477"/>
      <c r="T221" s="477"/>
      <c r="U221" s="477"/>
      <c r="V221" s="477"/>
      <c r="W221" s="477"/>
      <c r="X221" s="477"/>
      <c r="Y221"/>
      <c r="Z221"/>
    </row>
    <row r="222" ht="22" customHeight="1">
      <c r="A222" s="502" t="str">
        <v>Net revenue</v>
      </c>
      <c r="B222" s="452"/>
      <c r="C222" s="507" t="n">
        <v>10216</v>
      </c>
      <c r="D222" s="507" t="n">
        <v>11050</v>
      </c>
      <c r="E222" s="507" t="n">
        <v>11523</v>
      </c>
      <c r="F222" s="473"/>
      <c r="G222" s="473"/>
      <c r="H222" s="473"/>
      <c r="I222" s="473"/>
      <c r="J222" s="473"/>
      <c r="K222" s="473"/>
      <c r="L222" s="473"/>
      <c r="M222" s="473"/>
      <c r="N222" s="473"/>
      <c r="O222" s="473"/>
      <c r="P222" s="473"/>
      <c r="Q222" s="473"/>
      <c r="R222" s="473"/>
      <c r="S222" s="473"/>
      <c r="T222" s="473"/>
      <c r="U222" s="473"/>
      <c r="V222" s="473"/>
      <c r="W222" s="473"/>
      <c r="X222" s="473"/>
      <c r="Y222"/>
      <c r="Z222"/>
    </row>
    <row r="223" ht="20" customHeight="1">
      <c r="A223" s="505" t="str">
        <v>Net revenue YoY</v>
      </c>
      <c r="B223" s="452"/>
      <c r="C223" s="506"/>
      <c r="D223" s="476" t="n">
        <f>IF(OR('Operating Metrics'!C222&lt;=0,'Operating Metrics'!D222&lt;0),"",'Operating Metrics'!D222/'Operating Metrics'!C222-1)</f>
        <v>0.0816366483946751</v>
      </c>
      <c r="E223" s="476" t="n">
        <f>IF(OR('Operating Metrics'!D222&lt;=0,'Operating Metrics'!E222&lt;0),"",'Operating Metrics'!E222/'Operating Metrics'!D222-1)</f>
        <v>0.042805429864253286</v>
      </c>
      <c r="F223" s="506"/>
      <c r="G223" s="506"/>
      <c r="H223" s="506"/>
      <c r="I223" s="506"/>
      <c r="J223" s="506"/>
      <c r="K223" s="506"/>
      <c r="L223" s="506"/>
      <c r="M223" s="506"/>
      <c r="N223" s="506"/>
      <c r="O223" s="506"/>
      <c r="P223" s="506"/>
      <c r="Q223" s="506"/>
      <c r="R223" s="506"/>
      <c r="S223" s="506"/>
      <c r="T223" s="506"/>
      <c r="U223" s="506"/>
      <c r="V223" s="506"/>
      <c r="W223" s="506"/>
      <c r="X223" s="506"/>
      <c r="Y223"/>
      <c r="Z223"/>
    </row>
    <row r="224" ht="22" customHeight="1">
      <c r="A224" s="502" t="str">
        <v>Reported operating profit</v>
      </c>
      <c r="B224" s="452"/>
      <c r="C224" s="507" t="n">
        <v>1061</v>
      </c>
      <c r="D224" s="507" t="n">
        <v>1316</v>
      </c>
      <c r="E224" s="507" t="n">
        <v>1364</v>
      </c>
      <c r="F224" s="473"/>
      <c r="G224" s="473"/>
      <c r="H224" s="473"/>
      <c r="I224" s="473"/>
      <c r="J224" s="473"/>
      <c r="K224" s="473"/>
      <c r="L224" s="473"/>
      <c r="M224" s="473"/>
      <c r="N224" s="473"/>
      <c r="O224" s="473"/>
      <c r="P224" s="473"/>
      <c r="Q224" s="473"/>
      <c r="R224" s="473"/>
      <c r="S224" s="473"/>
      <c r="T224" s="473"/>
      <c r="U224" s="473"/>
      <c r="V224" s="473"/>
      <c r="W224" s="473"/>
      <c r="X224" s="473"/>
      <c r="Y224"/>
      <c r="Z224"/>
    </row>
    <row r="225" ht="20" customHeight="1">
      <c r="A225" s="505" t="str">
        <v>Reported operating margin</v>
      </c>
      <c r="B225" s="452"/>
      <c r="C225" s="476" t="n">
        <f>IF('Operating Metrics'!C222=0,"",'Operating Metrics'!C224/'Operating Metrics'!C222)</f>
        <v>0.1038566953797964</v>
      </c>
      <c r="D225" s="476" t="n">
        <f>IF('Operating Metrics'!D222=0,"",'Operating Metrics'!D224/'Operating Metrics'!D222)</f>
        <v>0.11909502262443439</v>
      </c>
      <c r="E225" s="476" t="n">
        <f>IF('Operating Metrics'!E222=0,"",'Operating Metrics'!E224/'Operating Metrics'!E222)</f>
        <v>0.11837195174867655</v>
      </c>
      <c r="F225" s="506"/>
      <c r="G225" s="506"/>
      <c r="H225" s="506"/>
      <c r="I225" s="506"/>
      <c r="J225" s="506"/>
      <c r="K225" s="506"/>
      <c r="L225" s="506"/>
      <c r="M225" s="506"/>
      <c r="N225" s="506"/>
      <c r="O225" s="506"/>
      <c r="P225" s="506"/>
      <c r="Q225" s="506"/>
      <c r="R225" s="506"/>
      <c r="S225" s="506"/>
      <c r="T225" s="506"/>
      <c r="U225" s="506"/>
      <c r="V225" s="506"/>
      <c r="W225" s="506"/>
      <c r="X225" s="506"/>
      <c r="Y225"/>
      <c r="Z225"/>
    </row>
    <row r="226" ht="20" customHeight="1">
      <c r="A226" s="505" t="str">
        <v>Organic revenue growth</v>
      </c>
      <c r="B226" s="452"/>
      <c r="C226" s="508" t="n">
        <v>0.04</v>
      </c>
      <c r="D226" s="508" t="n">
        <v>0.06</v>
      </c>
      <c r="E226" s="508" t="n">
        <v>0.07</v>
      </c>
      <c r="F226" s="506"/>
      <c r="G226" s="506"/>
      <c r="H226" s="506"/>
      <c r="I226" s="506"/>
      <c r="J226" s="506"/>
      <c r="K226" s="506"/>
      <c r="L226" s="506"/>
      <c r="M226" s="506"/>
      <c r="N226" s="506"/>
      <c r="O226" s="506"/>
      <c r="P226" s="506"/>
      <c r="Q226" s="506"/>
      <c r="R226" s="506"/>
      <c r="S226" s="506"/>
      <c r="T226" s="506"/>
      <c r="U226" s="506"/>
      <c r="V226" s="506"/>
      <c r="W226" s="506"/>
      <c r="X226" s="506"/>
      <c r="Y226"/>
      <c r="Z226"/>
    </row>
    <row r="227" ht="20" customHeight="1">
      <c r="A227" s="505" t="str">
        <v>Organic physical volume - foods</v>
      </c>
      <c r="B227" s="452"/>
      <c r="C227" s="508" t="n">
        <v>0.03</v>
      </c>
      <c r="D227" s="508" t="n">
        <v>0.055</v>
      </c>
      <c r="E227" s="508" t="n">
        <v>0.03</v>
      </c>
      <c r="F227" s="506"/>
      <c r="G227" s="506"/>
      <c r="H227" s="506"/>
      <c r="I227" s="506"/>
      <c r="J227" s="506"/>
      <c r="K227" s="506"/>
      <c r="L227" s="506"/>
      <c r="M227" s="506"/>
      <c r="N227" s="506"/>
      <c r="O227" s="506"/>
      <c r="P227" s="506"/>
      <c r="Q227" s="506"/>
      <c r="R227" s="506"/>
      <c r="S227" s="506"/>
      <c r="T227" s="506"/>
      <c r="U227" s="506"/>
      <c r="V227" s="506"/>
      <c r="W227" s="506"/>
      <c r="X227" s="506"/>
      <c r="Y227"/>
      <c r="Z227"/>
    </row>
    <row r="228" ht="20" customHeight="1">
      <c r="A228" s="505" t="str">
        <v>Organic physical volume - beverages</v>
      </c>
      <c r="B228" s="452"/>
      <c r="C228" s="508" t="n">
        <v>0.02</v>
      </c>
      <c r="D228" s="508" t="n">
        <v>0.01</v>
      </c>
      <c r="E228" s="508" t="n">
        <v>0.07</v>
      </c>
      <c r="F228" s="506"/>
      <c r="G228" s="506"/>
      <c r="H228" s="506"/>
      <c r="I228" s="506"/>
      <c r="J228" s="506"/>
      <c r="K228" s="506"/>
      <c r="L228" s="506"/>
      <c r="M228" s="506"/>
      <c r="N228" s="506"/>
      <c r="O228" s="506"/>
      <c r="P228" s="506"/>
      <c r="Q228" s="506"/>
      <c r="R228" s="506"/>
      <c r="S228" s="506"/>
      <c r="T228" s="506"/>
      <c r="U228" s="506"/>
      <c r="V228" s="506"/>
      <c r="W228" s="506"/>
      <c r="X228" s="506"/>
      <c r="Y228"/>
      <c r="Z228"/>
    </row>
    <row r="229" ht="20" customHeight="1">
      <c r="A229" s="505" t="str">
        <v>Effective net pricing</v>
      </c>
      <c r="B229" s="452"/>
      <c r="C229" s="508" t="n">
        <v>0.025</v>
      </c>
      <c r="D229" s="508" t="n">
        <v>0.02</v>
      </c>
      <c r="E229" s="508" t="n">
        <v>0.03</v>
      </c>
      <c r="F229" s="506"/>
      <c r="G229" s="506"/>
      <c r="H229" s="506"/>
      <c r="I229" s="506"/>
      <c r="J229" s="506"/>
      <c r="K229" s="506"/>
      <c r="L229" s="506"/>
      <c r="M229" s="506"/>
      <c r="N229" s="506"/>
      <c r="O229" s="506"/>
      <c r="P229" s="506"/>
      <c r="Q229" s="506"/>
      <c r="R229" s="506"/>
      <c r="S229" s="506"/>
      <c r="T229" s="506"/>
      <c r="U229" s="506"/>
      <c r="V229" s="506"/>
      <c r="W229" s="506"/>
      <c r="X229" s="506"/>
      <c r="Y229"/>
      <c r="Z229"/>
    </row>
    <row r="230" ht="22" customHeight="1">
      <c r="A230" s="502" t="str">
        <v>Capital spending</v>
      </c>
      <c r="B230" s="452"/>
      <c r="C230" s="507" t="n">
        <v>439</v>
      </c>
      <c r="D230" s="507" t="n">
        <v>481</v>
      </c>
      <c r="E230" s="507" t="n">
        <v>479</v>
      </c>
      <c r="F230" s="473"/>
      <c r="G230" s="473"/>
      <c r="H230" s="473"/>
      <c r="I230" s="473"/>
      <c r="J230" s="473"/>
      <c r="K230" s="473"/>
      <c r="L230" s="473"/>
      <c r="M230" s="473"/>
      <c r="N230" s="473"/>
      <c r="O230" s="473"/>
      <c r="P230" s="473"/>
      <c r="Q230" s="473"/>
      <c r="R230" s="473"/>
      <c r="S230" s="473"/>
      <c r="T230" s="473"/>
      <c r="U230" s="473"/>
      <c r="V230" s="473"/>
      <c r="W230" s="473"/>
      <c r="X230" s="473"/>
      <c r="Y230"/>
      <c r="Z230"/>
    </row>
    <row r="231" ht="20" customHeight="1">
      <c r="A231" s="505" t="str">
        <v>Capital spending / net revenue</v>
      </c>
      <c r="B231" s="452"/>
      <c r="C231" s="476" t="n">
        <f>IF('Operating Metrics'!C222=0,"",'Operating Metrics'!C230/'Operating Metrics'!C222)</f>
        <v>0.04297180892717306</v>
      </c>
      <c r="D231" s="476" t="n">
        <f>IF('Operating Metrics'!D222=0,"",'Operating Metrics'!D230/'Operating Metrics'!D222)</f>
        <v>0.04352941176470588</v>
      </c>
      <c r="E231" s="476" t="n">
        <f>IF('Operating Metrics'!E222=0,"",'Operating Metrics'!E230/'Operating Metrics'!E222)</f>
        <v>0.041569035841360756</v>
      </c>
      <c r="F231" s="506"/>
      <c r="G231" s="506"/>
      <c r="H231" s="506"/>
      <c r="I231" s="506"/>
      <c r="J231" s="506"/>
      <c r="K231" s="506"/>
      <c r="L231" s="506"/>
      <c r="M231" s="506"/>
      <c r="N231" s="506"/>
      <c r="O231" s="506"/>
      <c r="P231" s="506"/>
      <c r="Q231" s="506"/>
      <c r="R231" s="506"/>
      <c r="S231" s="506"/>
      <c r="T231" s="506"/>
      <c r="U231" s="506"/>
      <c r="V231" s="506"/>
      <c r="W231" s="506"/>
      <c r="X231" s="506"/>
      <c r="Y231"/>
      <c r="Z231"/>
    </row>
    <row r="232" ht="22" customHeight="1">
      <c r="A232" s="502" t="str">
        <v>Depreciation and other amortization</v>
      </c>
      <c r="B232" s="452"/>
      <c r="C232" s="507" t="n">
        <v>321</v>
      </c>
      <c r="D232" s="507" t="n">
        <v>329</v>
      </c>
      <c r="E232" s="507" t="n">
        <v>331</v>
      </c>
      <c r="F232" s="473"/>
      <c r="G232" s="473"/>
      <c r="H232" s="473"/>
      <c r="I232" s="473"/>
      <c r="J232" s="473"/>
      <c r="K232" s="473"/>
      <c r="L232" s="473"/>
      <c r="M232" s="473"/>
      <c r="N232" s="473"/>
      <c r="O232" s="473"/>
      <c r="P232" s="473"/>
      <c r="Q232" s="473"/>
      <c r="R232" s="473"/>
      <c r="S232" s="473"/>
      <c r="T232" s="473"/>
      <c r="U232" s="473"/>
      <c r="V232" s="473"/>
      <c r="W232" s="473"/>
      <c r="X232" s="473"/>
      <c r="Y232"/>
      <c r="Z232"/>
    </row>
    <row r="233" ht="22" customHeight="1">
      <c r="A233" s="502" t="str">
        <v>Amortization of intangible assets</v>
      </c>
      <c r="B233" s="452"/>
      <c r="C233" s="507" t="n">
        <v>18</v>
      </c>
      <c r="D233" s="507" t="n">
        <v>22</v>
      </c>
      <c r="E233" s="507" t="n">
        <v>23</v>
      </c>
      <c r="F233" s="473"/>
      <c r="G233" s="473"/>
      <c r="H233" s="473"/>
      <c r="I233" s="473"/>
      <c r="J233" s="473"/>
      <c r="K233" s="473"/>
      <c r="L233" s="473"/>
      <c r="M233" s="473"/>
      <c r="N233" s="473"/>
      <c r="O233" s="473"/>
      <c r="P233" s="473"/>
      <c r="Q233" s="473"/>
      <c r="R233" s="473"/>
      <c r="S233" s="473"/>
      <c r="T233" s="473"/>
      <c r="U233" s="473"/>
      <c r="V233" s="473"/>
      <c r="W233" s="473"/>
      <c r="X233" s="473"/>
      <c r="Y233"/>
      <c r="Z233"/>
    </row>
    <row r="234" ht="22" customHeight="1">
      <c r="A234" s="502" t="str">
        <v>Depreciation and amortization</v>
      </c>
      <c r="B234" s="452"/>
      <c r="C234" s="473" t="n">
        <f>'Operating Metrics'!C232+'Operating Metrics'!C233</f>
        <v>339</v>
      </c>
      <c r="D234" s="473" t="n">
        <f>'Operating Metrics'!D232+'Operating Metrics'!D233</f>
        <v>351</v>
      </c>
      <c r="E234" s="473" t="n">
        <f>'Operating Metrics'!E232+'Operating Metrics'!E233</f>
        <v>354</v>
      </c>
      <c r="F234" s="473"/>
      <c r="G234" s="473"/>
      <c r="H234" s="473"/>
      <c r="I234" s="473"/>
      <c r="J234" s="473"/>
      <c r="K234" s="473"/>
      <c r="L234" s="473"/>
      <c r="M234" s="473"/>
      <c r="N234" s="473"/>
      <c r="O234" s="473"/>
      <c r="P234" s="473"/>
      <c r="Q234" s="473"/>
      <c r="R234" s="473"/>
      <c r="S234" s="473"/>
      <c r="T234" s="473"/>
      <c r="U234" s="473"/>
      <c r="V234" s="473"/>
      <c r="W234" s="473"/>
      <c r="X234" s="473"/>
      <c r="Y234"/>
      <c r="Z234"/>
    </row>
    <row r="235" ht="22" customHeight="1">
      <c r="A235" s="502" t="str">
        <v>Capital spending / D&amp;A</v>
      </c>
      <c r="B235" s="452"/>
      <c r="C235" s="492" t="n">
        <f>IF('Operating Metrics'!C234=0,"",'Operating Metrics'!C230/'Operating Metrics'!C234)</f>
        <v>1.294985250737463</v>
      </c>
      <c r="D235" s="492" t="n">
        <f>IF('Operating Metrics'!D234=0,"",'Operating Metrics'!D230/'Operating Metrics'!D234)</f>
        <v>1.3703703703703705</v>
      </c>
      <c r="E235" s="492" t="n">
        <f>IF('Operating Metrics'!E234=0,"",'Operating Metrics'!E230/'Operating Metrics'!E234)</f>
        <v>1.3531073446327684</v>
      </c>
      <c r="F235" s="492"/>
      <c r="G235" s="492"/>
      <c r="H235" s="492"/>
      <c r="I235" s="492"/>
      <c r="J235" s="492"/>
      <c r="K235" s="492"/>
      <c r="L235" s="492"/>
      <c r="M235" s="492"/>
      <c r="N235" s="492"/>
      <c r="O235" s="492"/>
      <c r="P235" s="492"/>
      <c r="Q235" s="492"/>
      <c r="R235" s="492"/>
      <c r="S235" s="492"/>
      <c r="T235" s="492"/>
      <c r="U235" s="492"/>
      <c r="V235" s="492"/>
      <c r="W235" s="492"/>
      <c r="X235" s="492"/>
      <c r="Y235"/>
      <c r="Z235"/>
    </row>
    <row r="236" ht="24" customHeight="1">
      <c r="A236" s="477" t="str">
        <v>AMENA</v>
      </c>
      <c r="B236" s="477"/>
      <c r="C236" s="477"/>
      <c r="D236" s="477"/>
      <c r="E236" s="477"/>
      <c r="F236" s="477"/>
      <c r="G236" s="477"/>
      <c r="H236" s="477"/>
      <c r="I236" s="477"/>
      <c r="J236" s="477"/>
      <c r="K236" s="477"/>
      <c r="L236" s="477"/>
      <c r="M236" s="477"/>
      <c r="N236" s="477"/>
      <c r="O236" s="477"/>
      <c r="P236" s="477"/>
      <c r="Q236" s="477"/>
      <c r="R236" s="477"/>
      <c r="S236" s="477"/>
      <c r="T236" s="477"/>
      <c r="U236" s="477"/>
      <c r="V236" s="477"/>
      <c r="W236" s="477"/>
      <c r="X236" s="477"/>
      <c r="Y236"/>
      <c r="Z236"/>
    </row>
    <row r="237" ht="22" customHeight="1">
      <c r="A237" s="502" t="str">
        <v>Net revenue</v>
      </c>
      <c r="B237" s="452"/>
      <c r="C237" s="507" t="n">
        <v>6338</v>
      </c>
      <c r="D237" s="507" t="n">
        <v>6030</v>
      </c>
      <c r="E237" s="507" t="n">
        <v>5901</v>
      </c>
      <c r="F237" s="473"/>
      <c r="G237" s="473"/>
      <c r="H237" s="473"/>
      <c r="I237" s="473"/>
      <c r="J237" s="473"/>
      <c r="K237" s="473"/>
      <c r="L237" s="473"/>
      <c r="M237" s="473"/>
      <c r="N237" s="473"/>
      <c r="O237" s="473"/>
      <c r="P237" s="473"/>
      <c r="Q237" s="473"/>
      <c r="R237" s="473"/>
      <c r="S237" s="473"/>
      <c r="T237" s="473"/>
      <c r="U237" s="473"/>
      <c r="V237" s="473"/>
      <c r="W237" s="473"/>
      <c r="X237" s="473"/>
      <c r="Y237"/>
      <c r="Z237"/>
    </row>
    <row r="238" ht="20" customHeight="1">
      <c r="A238" s="505" t="str">
        <v>Net revenue YoY</v>
      </c>
      <c r="B238" s="452"/>
      <c r="C238" s="506"/>
      <c r="D238" s="476" t="n">
        <f>IF(OR('Operating Metrics'!C237&lt;=0,'Operating Metrics'!D237&lt;0),"",'Operating Metrics'!D237/'Operating Metrics'!C237-1)</f>
        <v>-0.04859577153676242</v>
      </c>
      <c r="E238" s="476" t="n">
        <f>IF(OR('Operating Metrics'!D237&lt;=0,'Operating Metrics'!E237&lt;0),"",'Operating Metrics'!E237/'Operating Metrics'!D237-1)</f>
        <v>-0.021393034825870627</v>
      </c>
      <c r="F238" s="506"/>
      <c r="G238" s="506"/>
      <c r="H238" s="506"/>
      <c r="I238" s="506"/>
      <c r="J238" s="506"/>
      <c r="K238" s="506"/>
      <c r="L238" s="506"/>
      <c r="M238" s="506"/>
      <c r="N238" s="506"/>
      <c r="O238" s="506"/>
      <c r="P238" s="506"/>
      <c r="Q238" s="506"/>
      <c r="R238" s="506"/>
      <c r="S238" s="506"/>
      <c r="T238" s="506"/>
      <c r="U238" s="506"/>
      <c r="V238" s="506"/>
      <c r="W238" s="506"/>
      <c r="X238" s="506"/>
      <c r="Y238"/>
      <c r="Z238"/>
    </row>
    <row r="239" ht="22" customHeight="1">
      <c r="A239" s="502" t="str">
        <v>Reported operating profit</v>
      </c>
      <c r="B239" s="452"/>
      <c r="C239" s="507" t="n">
        <v>619</v>
      </c>
      <c r="D239" s="507" t="n">
        <v>1073</v>
      </c>
      <c r="E239" s="507" t="n">
        <v>1172</v>
      </c>
      <c r="F239" s="473"/>
      <c r="G239" s="473"/>
      <c r="H239" s="473"/>
      <c r="I239" s="473"/>
      <c r="J239" s="473"/>
      <c r="K239" s="473"/>
      <c r="L239" s="473"/>
      <c r="M239" s="473"/>
      <c r="N239" s="473"/>
      <c r="O239" s="473"/>
      <c r="P239" s="473"/>
      <c r="Q239" s="473"/>
      <c r="R239" s="473"/>
      <c r="S239" s="473"/>
      <c r="T239" s="473"/>
      <c r="U239" s="473"/>
      <c r="V239" s="473"/>
      <c r="W239" s="473"/>
      <c r="X239" s="473"/>
      <c r="Y239"/>
      <c r="Z239"/>
    </row>
    <row r="240" ht="20" customHeight="1">
      <c r="A240" s="505" t="str">
        <v>Reported operating margin</v>
      </c>
      <c r="B240" s="452"/>
      <c r="C240" s="476" t="n">
        <f>IF('Operating Metrics'!C237=0,"",'Operating Metrics'!C239/'Operating Metrics'!C237)</f>
        <v>0.09766487851057115</v>
      </c>
      <c r="D240" s="476" t="n">
        <f>IF('Operating Metrics'!D237=0,"",'Operating Metrics'!D239/'Operating Metrics'!D237)</f>
        <v>0.1779436152570481</v>
      </c>
      <c r="E240" s="476" t="n">
        <f>IF('Operating Metrics'!E237=0,"",'Operating Metrics'!E239/'Operating Metrics'!E237)</f>
        <v>0.19861040501609897</v>
      </c>
      <c r="F240" s="506"/>
      <c r="G240" s="506"/>
      <c r="H240" s="506"/>
      <c r="I240" s="506"/>
      <c r="J240" s="506"/>
      <c r="K240" s="506"/>
      <c r="L240" s="506"/>
      <c r="M240" s="506"/>
      <c r="N240" s="506"/>
      <c r="O240" s="506"/>
      <c r="P240" s="506"/>
      <c r="Q240" s="506"/>
      <c r="R240" s="506"/>
      <c r="S240" s="506"/>
      <c r="T240" s="506"/>
      <c r="U240" s="506"/>
      <c r="V240" s="506"/>
      <c r="W240" s="506"/>
      <c r="X240" s="506"/>
      <c r="Y240"/>
      <c r="Z240"/>
    </row>
    <row r="241" ht="20" customHeight="1">
      <c r="A241" s="505" t="str">
        <v>Organic revenue growth</v>
      </c>
      <c r="B241" s="452"/>
      <c r="C241" s="508" t="n">
        <v>0.05</v>
      </c>
      <c r="D241" s="508" t="n">
        <v>0.05</v>
      </c>
      <c r="E241" s="508" t="n">
        <v>0.07</v>
      </c>
      <c r="F241" s="506"/>
      <c r="G241" s="506"/>
      <c r="H241" s="506"/>
      <c r="I241" s="506"/>
      <c r="J241" s="506"/>
      <c r="K241" s="506"/>
      <c r="L241" s="506"/>
      <c r="M241" s="506"/>
      <c r="N241" s="506"/>
      <c r="O241" s="506"/>
      <c r="P241" s="506"/>
      <c r="Q241" s="506"/>
      <c r="R241" s="506"/>
      <c r="S241" s="506"/>
      <c r="T241" s="506"/>
      <c r="U241" s="506"/>
      <c r="V241" s="506"/>
      <c r="W241" s="506"/>
      <c r="X241" s="506"/>
      <c r="Y241"/>
      <c r="Z241"/>
    </row>
    <row r="242" ht="20" customHeight="1">
      <c r="A242" s="505" t="str">
        <v>Organic physical volume - foods</v>
      </c>
      <c r="B242" s="452"/>
      <c r="C242" s="508" t="n">
        <v>0.07</v>
      </c>
      <c r="D242" s="508" t="n">
        <v>0.05</v>
      </c>
      <c r="E242" s="508" t="n">
        <v>0.05</v>
      </c>
      <c r="F242" s="506"/>
      <c r="G242" s="506"/>
      <c r="H242" s="506"/>
      <c r="I242" s="506"/>
      <c r="J242" s="506"/>
      <c r="K242" s="506"/>
      <c r="L242" s="506"/>
      <c r="M242" s="506"/>
      <c r="N242" s="506"/>
      <c r="O242" s="506"/>
      <c r="P242" s="506"/>
      <c r="Q242" s="506"/>
      <c r="R242" s="506"/>
      <c r="S242" s="506"/>
      <c r="T242" s="506"/>
      <c r="U242" s="506"/>
      <c r="V242" s="506"/>
      <c r="W242" s="506"/>
      <c r="X242" s="506"/>
      <c r="Y242"/>
      <c r="Z242"/>
    </row>
    <row r="243" ht="20" customHeight="1">
      <c r="A243" s="505" t="str">
        <v>Organic physical volume - beverages</v>
      </c>
      <c r="B243" s="452"/>
      <c r="C243" s="508" t="n">
        <v>0.04</v>
      </c>
      <c r="D243" s="508" t="n">
        <v>-0.01</v>
      </c>
      <c r="E243" s="508" t="n">
        <v>0</v>
      </c>
      <c r="F243" s="506"/>
      <c r="G243" s="506"/>
      <c r="H243" s="506"/>
      <c r="I243" s="506"/>
      <c r="J243" s="506"/>
      <c r="K243" s="506"/>
      <c r="L243" s="506"/>
      <c r="M243" s="506"/>
      <c r="N243" s="506"/>
      <c r="O243" s="506"/>
      <c r="P243" s="506"/>
      <c r="Q243" s="506"/>
      <c r="R243" s="506"/>
      <c r="S243" s="506"/>
      <c r="T243" s="506"/>
      <c r="U243" s="506"/>
      <c r="V243" s="506"/>
      <c r="W243" s="506"/>
      <c r="X243" s="506"/>
      <c r="Y243"/>
      <c r="Z243"/>
    </row>
    <row r="244" ht="20" customHeight="1">
      <c r="A244" s="505" t="str">
        <v>Effective net pricing</v>
      </c>
      <c r="B244" s="452"/>
      <c r="C244" s="508" t="n">
        <v>-0.01</v>
      </c>
      <c r="D244" s="508" t="n">
        <v>0.05</v>
      </c>
      <c r="E244" s="508" t="n">
        <v>0.03</v>
      </c>
      <c r="F244" s="506"/>
      <c r="G244" s="506"/>
      <c r="H244" s="506"/>
      <c r="I244" s="506"/>
      <c r="J244" s="506"/>
      <c r="K244" s="506"/>
      <c r="L244" s="506"/>
      <c r="M244" s="506"/>
      <c r="N244" s="506"/>
      <c r="O244" s="506"/>
      <c r="P244" s="506"/>
      <c r="Q244" s="506"/>
      <c r="R244" s="506"/>
      <c r="S244" s="506"/>
      <c r="T244" s="506"/>
      <c r="U244" s="506"/>
      <c r="V244" s="506"/>
      <c r="W244" s="506"/>
      <c r="X244" s="506"/>
      <c r="Y244"/>
      <c r="Z244"/>
    </row>
    <row r="245" ht="22" customHeight="1">
      <c r="A245" s="502" t="str">
        <v>Capital spending</v>
      </c>
      <c r="B245" s="452"/>
      <c r="C245" s="507" t="n">
        <v>381</v>
      </c>
      <c r="D245" s="507" t="n">
        <v>308</v>
      </c>
      <c r="E245" s="507" t="n">
        <v>323</v>
      </c>
      <c r="F245" s="473"/>
      <c r="G245" s="473"/>
      <c r="H245" s="473"/>
      <c r="I245" s="473"/>
      <c r="J245" s="473"/>
      <c r="K245" s="473"/>
      <c r="L245" s="473"/>
      <c r="M245" s="473"/>
      <c r="N245" s="473"/>
      <c r="O245" s="473"/>
      <c r="P245" s="473"/>
      <c r="Q245" s="473"/>
      <c r="R245" s="473"/>
      <c r="S245" s="473"/>
      <c r="T245" s="473"/>
      <c r="U245" s="473"/>
      <c r="V245" s="473"/>
      <c r="W245" s="473"/>
      <c r="X245" s="473"/>
      <c r="Y245"/>
      <c r="Z245"/>
    </row>
    <row r="246" ht="20" customHeight="1">
      <c r="A246" s="505" t="str">
        <v>Capital spending / net revenue</v>
      </c>
      <c r="B246" s="452"/>
      <c r="C246" s="476" t="n">
        <f>IF('Operating Metrics'!C237=0,"",'Operating Metrics'!C245/'Operating Metrics'!C237)</f>
        <v>0.06011360050489113</v>
      </c>
      <c r="D246" s="476" t="n">
        <f>IF('Operating Metrics'!D237=0,"",'Operating Metrics'!D245/'Operating Metrics'!D237)</f>
        <v>0.05107794361525705</v>
      </c>
      <c r="E246" s="476" t="n">
        <f>IF('Operating Metrics'!E237=0,"",'Operating Metrics'!E245/'Operating Metrics'!E237)</f>
        <v>0.05473648534146755</v>
      </c>
      <c r="F246" s="506"/>
      <c r="G246" s="506"/>
      <c r="H246" s="506"/>
      <c r="I246" s="506"/>
      <c r="J246" s="506"/>
      <c r="K246" s="506"/>
      <c r="L246" s="506"/>
      <c r="M246" s="506"/>
      <c r="N246" s="506"/>
      <c r="O246" s="506"/>
      <c r="P246" s="506"/>
      <c r="Q246" s="506"/>
      <c r="R246" s="506"/>
      <c r="S246" s="506"/>
      <c r="T246" s="506"/>
      <c r="U246" s="506"/>
      <c r="V246" s="506"/>
      <c r="W246" s="506"/>
      <c r="X246" s="506"/>
      <c r="Y246"/>
      <c r="Z246"/>
    </row>
    <row r="247" ht="22" customHeight="1">
      <c r="A247" s="502" t="str">
        <v>Depreciation and other amortization</v>
      </c>
      <c r="B247" s="452"/>
      <c r="C247" s="507" t="n">
        <v>294</v>
      </c>
      <c r="D247" s="507" t="n">
        <v>257</v>
      </c>
      <c r="E247" s="507" t="n">
        <v>237</v>
      </c>
      <c r="F247" s="473"/>
      <c r="G247" s="473"/>
      <c r="H247" s="473"/>
      <c r="I247" s="473"/>
      <c r="J247" s="473"/>
      <c r="K247" s="473"/>
      <c r="L247" s="473"/>
      <c r="M247" s="473"/>
      <c r="N247" s="473"/>
      <c r="O247" s="473"/>
      <c r="P247" s="473"/>
      <c r="Q247" s="473"/>
      <c r="R247" s="473"/>
      <c r="S247" s="473"/>
      <c r="T247" s="473"/>
      <c r="U247" s="473"/>
      <c r="V247" s="473"/>
      <c r="W247" s="473"/>
      <c r="X247" s="473"/>
      <c r="Y247"/>
      <c r="Z247"/>
    </row>
    <row r="248" ht="22" customHeight="1">
      <c r="A248" s="502" t="str">
        <v>Amortization of intangible assets</v>
      </c>
      <c r="B248" s="452"/>
      <c r="C248" s="507" t="n">
        <v>3</v>
      </c>
      <c r="D248" s="507" t="n">
        <v>3</v>
      </c>
      <c r="E248" s="507" t="n">
        <v>3</v>
      </c>
      <c r="F248" s="473"/>
      <c r="G248" s="473"/>
      <c r="H248" s="473"/>
      <c r="I248" s="473"/>
      <c r="J248" s="473"/>
      <c r="K248" s="473"/>
      <c r="L248" s="473"/>
      <c r="M248" s="473"/>
      <c r="N248" s="473"/>
      <c r="O248" s="473"/>
      <c r="P248" s="473"/>
      <c r="Q248" s="473"/>
      <c r="R248" s="473"/>
      <c r="S248" s="473"/>
      <c r="T248" s="473"/>
      <c r="U248" s="473"/>
      <c r="V248" s="473"/>
      <c r="W248" s="473"/>
      <c r="X248" s="473"/>
      <c r="Y248"/>
      <c r="Z248"/>
    </row>
    <row r="249" ht="22" customHeight="1">
      <c r="A249" s="502" t="str">
        <v>Depreciation and amortization</v>
      </c>
      <c r="B249" s="452"/>
      <c r="C249" s="473" t="n">
        <f>'Operating Metrics'!C247+'Operating Metrics'!C248</f>
        <v>297</v>
      </c>
      <c r="D249" s="473" t="n">
        <f>'Operating Metrics'!D247+'Operating Metrics'!D248</f>
        <v>260</v>
      </c>
      <c r="E249" s="473" t="n">
        <f>'Operating Metrics'!E247+'Operating Metrics'!E248</f>
        <v>240</v>
      </c>
      <c r="F249" s="473"/>
      <c r="G249" s="473"/>
      <c r="H249" s="473"/>
      <c r="I249" s="473"/>
      <c r="J249" s="473"/>
      <c r="K249" s="473"/>
      <c r="L249" s="473"/>
      <c r="M249" s="473"/>
      <c r="N249" s="473"/>
      <c r="O249" s="473"/>
      <c r="P249" s="473"/>
      <c r="Q249" s="473"/>
      <c r="R249" s="473"/>
      <c r="S249" s="473"/>
      <c r="T249" s="473"/>
      <c r="U249" s="473"/>
      <c r="V249" s="473"/>
      <c r="W249" s="473"/>
      <c r="X249" s="473"/>
      <c r="Y249"/>
      <c r="Z249"/>
    </row>
    <row r="250" ht="22" customHeight="1">
      <c r="A250" s="502" t="str">
        <v>Capital spending / D&amp;A</v>
      </c>
      <c r="B250" s="452"/>
      <c r="C250" s="492" t="n">
        <f>IF('Operating Metrics'!C249=0,"",'Operating Metrics'!C245/'Operating Metrics'!C249)</f>
        <v>1.2828282828282829</v>
      </c>
      <c r="D250" s="492" t="n">
        <f>IF('Operating Metrics'!D249=0,"",'Operating Metrics'!D245/'Operating Metrics'!D249)</f>
        <v>1.1846153846153846</v>
      </c>
      <c r="E250" s="492" t="n">
        <f>IF('Operating Metrics'!E249=0,"",'Operating Metrics'!E245/'Operating Metrics'!E249)</f>
        <v>1.3458333333333334</v>
      </c>
      <c r="F250" s="492"/>
      <c r="G250" s="492"/>
      <c r="H250" s="492"/>
      <c r="I250" s="492"/>
      <c r="J250" s="492"/>
      <c r="K250" s="492"/>
      <c r="L250" s="492"/>
      <c r="M250" s="492"/>
      <c r="N250" s="492"/>
      <c r="O250" s="492"/>
      <c r="P250" s="492"/>
      <c r="Q250" s="492"/>
      <c r="R250" s="492"/>
      <c r="S250" s="492"/>
      <c r="T250" s="492"/>
      <c r="U250" s="492"/>
      <c r="V250" s="492"/>
      <c r="W250" s="492"/>
      <c r="X250" s="492"/>
      <c r="Y250"/>
      <c r="Z250"/>
    </row>
    <row r="251" ht="22" customHeight="1">
      <c r="A251" s="452"/>
      <c r="B251" s="452"/>
      <c r="C251" s="452"/>
      <c r="D251" s="452"/>
      <c r="E251" s="452"/>
      <c r="F251" s="452"/>
      <c r="G251" s="452"/>
      <c r="H251" s="452"/>
      <c r="I251" s="452"/>
      <c r="J251" s="452"/>
      <c r="K251" s="452"/>
      <c r="L251" s="452"/>
      <c r="M251" s="452"/>
      <c r="N251" s="452"/>
      <c r="O251" s="452"/>
      <c r="P251" s="452"/>
      <c r="Q251" s="452"/>
      <c r="R251" s="452"/>
      <c r="S251" s="452"/>
      <c r="T251" s="452"/>
      <c r="U251" s="452"/>
      <c r="V251" s="452"/>
      <c r="W251" s="452"/>
      <c r="X251" s="452"/>
      <c r="Y251"/>
      <c r="Z251"/>
    </row>
    <row r="252" ht="22" customHeight="1">
      <c r="A252" s="452"/>
      <c r="B252" s="452"/>
      <c r="C252" s="452"/>
      <c r="D252" s="452"/>
      <c r="E252" s="452"/>
      <c r="F252" s="452"/>
      <c r="G252" s="452"/>
      <c r="H252" s="452"/>
      <c r="I252" s="452"/>
      <c r="J252" s="452"/>
      <c r="K252" s="452"/>
      <c r="L252" s="452"/>
      <c r="M252" s="452"/>
      <c r="N252" s="452"/>
      <c r="O252" s="452"/>
      <c r="P252" s="452"/>
      <c r="Q252" s="452"/>
      <c r="R252" s="452"/>
      <c r="S252" s="452"/>
      <c r="T252" s="452"/>
      <c r="U252" s="452"/>
      <c r="V252" s="452"/>
      <c r="W252" s="452"/>
      <c r="X252" s="452"/>
      <c r="Y252"/>
      <c r="Z252"/>
    </row>
    <row r="253" ht="22" customHeight="1">
      <c r="A253" s="460" t="str">
        <v>PBNA - FY2019-FY2021</v>
      </c>
      <c r="B253" s="460"/>
      <c r="C253" s="460"/>
      <c r="D253" s="460"/>
      <c r="E253" s="460"/>
      <c r="F253" s="460"/>
      <c r="G253" s="460"/>
      <c r="H253" s="460"/>
      <c r="I253" s="460"/>
      <c r="J253" s="460"/>
      <c r="K253" s="460"/>
      <c r="L253" s="460"/>
      <c r="M253" s="460"/>
      <c r="N253" s="460"/>
      <c r="O253" s="460"/>
      <c r="P253" s="460"/>
      <c r="Q253" s="460"/>
      <c r="R253" s="460"/>
      <c r="S253" s="460"/>
      <c r="T253" s="460"/>
      <c r="U253" s="460"/>
      <c r="V253" s="460"/>
      <c r="W253" s="460"/>
      <c r="X253" s="460"/>
      <c r="Y253"/>
      <c r="Z253"/>
    </row>
    <row r="254" ht="24" customHeight="1">
      <c r="A254" s="490" t="str">
        <v>PBNA is unchanged by the 2025 segment realignment. FY2022 onward appears once in the current operating-history panel above.</v>
      </c>
      <c r="B254" s="490"/>
      <c r="C254" s="490"/>
      <c r="D254" s="490"/>
      <c r="E254" s="490"/>
      <c r="F254" s="490"/>
      <c r="G254" s="490"/>
      <c r="H254" s="490"/>
      <c r="I254" s="490"/>
      <c r="J254" s="490"/>
      <c r="K254" s="490"/>
      <c r="L254" s="490"/>
      <c r="M254" s="490"/>
      <c r="N254" s="490"/>
      <c r="O254" s="490"/>
      <c r="P254" s="490"/>
      <c r="Q254" s="490"/>
      <c r="R254" s="490"/>
      <c r="S254" s="490"/>
      <c r="T254" s="490"/>
      <c r="U254" s="490"/>
      <c r="V254" s="490"/>
      <c r="W254" s="490"/>
      <c r="X254" s="490"/>
      <c r="Y254"/>
      <c r="Z254"/>
    </row>
    <row r="255" ht="24" customHeight="1">
      <c r="A255" s="462" t="str">
        <v>Metric / reporting scope</v>
      </c>
      <c r="B255" s="452"/>
      <c r="C255" s="463" t="str">
        <v>FY2019</v>
      </c>
      <c r="D255" s="463" t="str">
        <v>FY2020</v>
      </c>
      <c r="E255" s="463" t="str">
        <v>FY2021</v>
      </c>
      <c r="F255" s="452"/>
      <c r="G255" s="452"/>
      <c r="H255" s="452"/>
      <c r="I255" s="452"/>
      <c r="J255" s="452"/>
      <c r="K255" s="452"/>
      <c r="L255" s="452"/>
      <c r="M255" s="452"/>
      <c r="N255" s="452"/>
      <c r="O255" s="452"/>
      <c r="P255" s="452"/>
      <c r="Q255" s="452"/>
      <c r="R255" s="452"/>
      <c r="S255" s="452"/>
      <c r="T255" s="452"/>
      <c r="U255" s="452"/>
      <c r="V255" s="452"/>
      <c r="W255" s="452"/>
      <c r="X255" s="452"/>
      <c r="Y255"/>
      <c r="Z255"/>
    </row>
    <row r="256" ht="18" customHeight="1">
      <c r="A256" s="452"/>
      <c r="B256" s="452"/>
      <c r="C256" s="501" t="d">
        <v>2019-12-28T00:00:00.000Z</v>
      </c>
      <c r="D256" s="501" t="d">
        <v>2020-12-26T00:00:00.000Z</v>
      </c>
      <c r="E256" s="501" t="d">
        <v>2021-12-25T00:00:00.000Z</v>
      </c>
      <c r="F256" s="452"/>
      <c r="G256" s="452"/>
      <c r="H256" s="452"/>
      <c r="I256" s="452"/>
      <c r="J256" s="452"/>
      <c r="K256" s="452"/>
      <c r="L256" s="452"/>
      <c r="M256" s="452"/>
      <c r="N256" s="452"/>
      <c r="O256" s="452"/>
      <c r="P256" s="452"/>
      <c r="Q256" s="452"/>
      <c r="R256" s="452"/>
      <c r="S256" s="452"/>
      <c r="T256" s="452"/>
      <c r="U256" s="452"/>
      <c r="V256" s="452"/>
      <c r="W256" s="452"/>
      <c r="X256" s="452"/>
      <c r="Y256"/>
      <c r="Z256"/>
    </row>
    <row r="257" ht="24" customHeight="1">
      <c r="A257" s="477" t="str">
        <v>PBNA</v>
      </c>
      <c r="B257" s="477"/>
      <c r="C257" s="477"/>
      <c r="D257" s="477"/>
      <c r="E257" s="477"/>
      <c r="F257" s="477"/>
      <c r="G257" s="477"/>
      <c r="H257" s="477"/>
      <c r="I257" s="477"/>
      <c r="J257" s="477"/>
      <c r="K257" s="477"/>
      <c r="L257" s="477"/>
      <c r="M257" s="477"/>
      <c r="N257" s="477"/>
      <c r="O257" s="477"/>
      <c r="P257" s="477"/>
      <c r="Q257" s="477"/>
      <c r="R257" s="477"/>
      <c r="S257" s="477"/>
      <c r="T257" s="477"/>
      <c r="U257" s="477"/>
      <c r="V257" s="477"/>
      <c r="W257" s="477"/>
      <c r="X257" s="477"/>
      <c r="Y257"/>
      <c r="Z257"/>
    </row>
    <row r="258" ht="22" customHeight="1">
      <c r="A258" s="502" t="str">
        <v>Net revenue</v>
      </c>
      <c r="B258" s="452"/>
      <c r="C258" s="507" t="n">
        <v>21730</v>
      </c>
      <c r="D258" s="507" t="n">
        <v>22559</v>
      </c>
      <c r="E258" s="507" t="n">
        <v>25276</v>
      </c>
      <c r="F258" s="473"/>
      <c r="G258" s="473"/>
      <c r="H258" s="473"/>
      <c r="I258" s="473"/>
      <c r="J258" s="473"/>
      <c r="K258" s="473"/>
      <c r="L258" s="473"/>
      <c r="M258" s="473"/>
      <c r="N258" s="473"/>
      <c r="O258" s="473"/>
      <c r="P258" s="473"/>
      <c r="Q258" s="473"/>
      <c r="R258" s="473"/>
      <c r="S258" s="473"/>
      <c r="T258" s="473"/>
      <c r="U258" s="473"/>
      <c r="V258" s="473"/>
      <c r="W258" s="473"/>
      <c r="X258" s="473"/>
      <c r="Y258"/>
      <c r="Z258"/>
    </row>
    <row r="259" ht="20" customHeight="1">
      <c r="A259" s="505" t="str">
        <v>Net revenue YoY</v>
      </c>
      <c r="B259" s="452"/>
      <c r="C259" s="506"/>
      <c r="D259" s="476" t="n">
        <f>IF(OR('Operating Metrics'!C258&lt;=0,'Operating Metrics'!D258&lt;0),"",'Operating Metrics'!D258/'Operating Metrics'!C258-1)</f>
        <v>0.03815002300966408</v>
      </c>
      <c r="E259" s="476" t="n">
        <f>IF(OR('Operating Metrics'!D258&lt;=0,'Operating Metrics'!E258&lt;0),"",'Operating Metrics'!E258/'Operating Metrics'!D258-1)</f>
        <v>0.120439735803892</v>
      </c>
      <c r="F259" s="506"/>
      <c r="G259" s="506"/>
      <c r="H259" s="506"/>
      <c r="I259" s="506"/>
      <c r="J259" s="506"/>
      <c r="K259" s="506"/>
      <c r="L259" s="506"/>
      <c r="M259" s="506"/>
      <c r="N259" s="506"/>
      <c r="O259" s="506"/>
      <c r="P259" s="506"/>
      <c r="Q259" s="506"/>
      <c r="R259" s="506"/>
      <c r="S259" s="506"/>
      <c r="T259" s="506"/>
      <c r="U259" s="506"/>
      <c r="V259" s="506"/>
      <c r="W259" s="506"/>
      <c r="X259" s="506"/>
      <c r="Y259"/>
      <c r="Z259"/>
    </row>
    <row r="260" ht="22" customHeight="1">
      <c r="A260" s="502" t="str">
        <v>Reported operating profit</v>
      </c>
      <c r="B260" s="452"/>
      <c r="C260" s="507" t="n">
        <v>2179</v>
      </c>
      <c r="D260" s="507" t="n">
        <v>1937</v>
      </c>
      <c r="E260" s="507" t="n">
        <v>2442</v>
      </c>
      <c r="F260" s="473"/>
      <c r="G260" s="473"/>
      <c r="H260" s="473"/>
      <c r="I260" s="473"/>
      <c r="J260" s="473"/>
      <c r="K260" s="473"/>
      <c r="L260" s="473"/>
      <c r="M260" s="473"/>
      <c r="N260" s="473"/>
      <c r="O260" s="473"/>
      <c r="P260" s="473"/>
      <c r="Q260" s="473"/>
      <c r="R260" s="473"/>
      <c r="S260" s="473"/>
      <c r="T260" s="473"/>
      <c r="U260" s="473"/>
      <c r="V260" s="473"/>
      <c r="W260" s="473"/>
      <c r="X260" s="473"/>
      <c r="Y260"/>
      <c r="Z260"/>
    </row>
    <row r="261" ht="22" customHeight="1">
      <c r="A261" s="502" t="str">
        <v>Core operating profit</v>
      </c>
      <c r="B261" s="452"/>
      <c r="C261" s="507" t="n">
        <v>2230</v>
      </c>
      <c r="D261" s="507" t="n">
        <v>2050</v>
      </c>
      <c r="E261" s="507" t="n">
        <v>2473</v>
      </c>
      <c r="F261" s="473"/>
      <c r="G261" s="473"/>
      <c r="H261" s="473"/>
      <c r="I261" s="473"/>
      <c r="J261" s="473"/>
      <c r="K261" s="473"/>
      <c r="L261" s="473"/>
      <c r="M261" s="473"/>
      <c r="N261" s="473"/>
      <c r="O261" s="473"/>
      <c r="P261" s="473"/>
      <c r="Q261" s="473"/>
      <c r="R261" s="473"/>
      <c r="S261" s="473"/>
      <c r="T261" s="473"/>
      <c r="U261" s="473"/>
      <c r="V261" s="473"/>
      <c r="W261" s="473"/>
      <c r="X261" s="473"/>
      <c r="Y261"/>
      <c r="Z261"/>
    </row>
    <row r="262" ht="20" customHeight="1">
      <c r="A262" s="505" t="str">
        <v>Core operating profit YoY</v>
      </c>
      <c r="B262" s="452"/>
      <c r="C262" s="506"/>
      <c r="D262" s="476" t="n">
        <f>IF(OR('Operating Metrics'!C261&lt;=0,'Operating Metrics'!D261&lt;0),"",'Operating Metrics'!D261/'Operating Metrics'!C261-1)</f>
        <v>-0.08071748878923768</v>
      </c>
      <c r="E262" s="476" t="n">
        <f>IF(OR('Operating Metrics'!D261&lt;=0,'Operating Metrics'!E261&lt;0),"",'Operating Metrics'!E261/'Operating Metrics'!D261-1)</f>
        <v>0.2063414634146341</v>
      </c>
      <c r="F262" s="506"/>
      <c r="G262" s="506"/>
      <c r="H262" s="506"/>
      <c r="I262" s="506"/>
      <c r="J262" s="506"/>
      <c r="K262" s="506"/>
      <c r="L262" s="506"/>
      <c r="M262" s="506"/>
      <c r="N262" s="506"/>
      <c r="O262" s="506"/>
      <c r="P262" s="506"/>
      <c r="Q262" s="506"/>
      <c r="R262" s="506"/>
      <c r="S262" s="506"/>
      <c r="T262" s="506"/>
      <c r="U262" s="506"/>
      <c r="V262" s="506"/>
      <c r="W262" s="506"/>
      <c r="X262" s="506"/>
      <c r="Y262"/>
      <c r="Z262"/>
    </row>
    <row r="263" ht="20" customHeight="1">
      <c r="A263" s="505" t="str">
        <v>Core operating margin</v>
      </c>
      <c r="B263" s="452"/>
      <c r="C263" s="476" t="n">
        <f>IF('Operating Metrics'!C258=0,"",'Operating Metrics'!C261/'Operating Metrics'!C258)</f>
        <v>0.10262310170271514</v>
      </c>
      <c r="D263" s="476" t="n">
        <f>IF('Operating Metrics'!D258=0,"",'Operating Metrics'!D261/'Operating Metrics'!D258)</f>
        <v>0.09087282237687841</v>
      </c>
      <c r="E263" s="476" t="n">
        <f>IF('Operating Metrics'!E258=0,"",'Operating Metrics'!E261/'Operating Metrics'!E258)</f>
        <v>0.09783984807722741</v>
      </c>
      <c r="F263" s="506"/>
      <c r="G263" s="506"/>
      <c r="H263" s="506"/>
      <c r="I263" s="506"/>
      <c r="J263" s="506"/>
      <c r="K263" s="506"/>
      <c r="L263" s="506"/>
      <c r="M263" s="506"/>
      <c r="N263" s="506"/>
      <c r="O263" s="506"/>
      <c r="P263" s="506"/>
      <c r="Q263" s="506"/>
      <c r="R263" s="506"/>
      <c r="S263" s="506"/>
      <c r="T263" s="506"/>
      <c r="U263" s="506"/>
      <c r="V263" s="506"/>
      <c r="W263" s="506"/>
      <c r="X263" s="506"/>
      <c r="Y263"/>
      <c r="Z263"/>
    </row>
    <row r="264" ht="20" customHeight="1">
      <c r="A264" s="505" t="str">
        <v>Organic revenue growth</v>
      </c>
      <c r="B264" s="452"/>
      <c r="C264" s="508" t="n">
        <v>0.03</v>
      </c>
      <c r="D264" s="508" t="n">
        <v>0.02</v>
      </c>
      <c r="E264" s="508" t="n">
        <v>0.1</v>
      </c>
      <c r="F264" s="506"/>
      <c r="G264" s="506"/>
      <c r="H264" s="506"/>
      <c r="I264" s="506"/>
      <c r="J264" s="506"/>
      <c r="K264" s="506"/>
      <c r="L264" s="506"/>
      <c r="M264" s="506"/>
      <c r="N264" s="506"/>
      <c r="O264" s="506"/>
      <c r="P264" s="506"/>
      <c r="Q264" s="506"/>
      <c r="R264" s="506"/>
      <c r="S264" s="506"/>
      <c r="T264" s="506"/>
      <c r="U264" s="506"/>
      <c r="V264" s="506"/>
      <c r="W264" s="506"/>
      <c r="X264" s="506"/>
      <c r="Y264"/>
      <c r="Z264"/>
    </row>
    <row r="265" ht="20" customHeight="1">
      <c r="A265" s="505" t="str">
        <v>Organic physical volume - beverages</v>
      </c>
      <c r="B265" s="452"/>
      <c r="C265" s="508" t="n">
        <v>-0.01</v>
      </c>
      <c r="D265" s="508" t="n">
        <v>-0.015</v>
      </c>
      <c r="E265" s="508" t="n">
        <v>0.05</v>
      </c>
      <c r="F265" s="506"/>
      <c r="G265" s="506"/>
      <c r="H265" s="506"/>
      <c r="I265" s="506"/>
      <c r="J265" s="506"/>
      <c r="K265" s="506"/>
      <c r="L265" s="506"/>
      <c r="M265" s="506"/>
      <c r="N265" s="506"/>
      <c r="O265" s="506"/>
      <c r="P265" s="506"/>
      <c r="Q265" s="506"/>
      <c r="R265" s="506"/>
      <c r="S265" s="506"/>
      <c r="T265" s="506"/>
      <c r="U265" s="506"/>
      <c r="V265" s="506"/>
      <c r="W265" s="506"/>
      <c r="X265" s="506"/>
      <c r="Y265"/>
      <c r="Z265"/>
    </row>
    <row r="266" ht="20" customHeight="1">
      <c r="A266" s="505" t="str">
        <v>Effective net pricing</v>
      </c>
      <c r="B266" s="452"/>
      <c r="C266" s="508" t="n">
        <v>0.04</v>
      </c>
      <c r="D266" s="508" t="n">
        <v>0.03</v>
      </c>
      <c r="E266" s="508" t="n">
        <v>0.05</v>
      </c>
      <c r="F266" s="506"/>
      <c r="G266" s="506"/>
      <c r="H266" s="506"/>
      <c r="I266" s="506"/>
      <c r="J266" s="506"/>
      <c r="K266" s="506"/>
      <c r="L266" s="506"/>
      <c r="M266" s="506"/>
      <c r="N266" s="506"/>
      <c r="O266" s="506"/>
      <c r="P266" s="506"/>
      <c r="Q266" s="506"/>
      <c r="R266" s="506"/>
      <c r="S266" s="506"/>
      <c r="T266" s="506"/>
      <c r="U266" s="506"/>
      <c r="V266" s="506"/>
      <c r="W266" s="506"/>
      <c r="X266" s="506"/>
      <c r="Y266"/>
      <c r="Z266"/>
    </row>
    <row r="267" ht="22" customHeight="1">
      <c r="A267" s="502" t="str">
        <v>Capital spending</v>
      </c>
      <c r="B267" s="452"/>
      <c r="C267" s="507" t="n">
        <v>1053</v>
      </c>
      <c r="D267" s="507" t="n">
        <v>1245</v>
      </c>
      <c r="E267" s="507" t="n">
        <v>1275</v>
      </c>
      <c r="F267" s="473"/>
      <c r="G267" s="473"/>
      <c r="H267" s="473"/>
      <c r="I267" s="473"/>
      <c r="J267" s="473"/>
      <c r="K267" s="473"/>
      <c r="L267" s="473"/>
      <c r="M267" s="473"/>
      <c r="N267" s="473"/>
      <c r="O267" s="473"/>
      <c r="P267" s="473"/>
      <c r="Q267" s="473"/>
      <c r="R267" s="473"/>
      <c r="S267" s="473"/>
      <c r="T267" s="473"/>
      <c r="U267" s="473"/>
      <c r="V267" s="473"/>
      <c r="W267" s="473"/>
      <c r="X267" s="473"/>
      <c r="Y267"/>
      <c r="Z267"/>
    </row>
    <row r="268" ht="20" customHeight="1">
      <c r="A268" s="505" t="str">
        <v>Capital spending / net revenue</v>
      </c>
      <c r="B268" s="452"/>
      <c r="C268" s="476" t="n">
        <f>IF('Operating Metrics'!C258=0,"",'Operating Metrics'!C267/'Operating Metrics'!C258)</f>
        <v>0.04845835250805338</v>
      </c>
      <c r="D268" s="476" t="n">
        <f>IF('Operating Metrics'!D258=0,"",'Operating Metrics'!D267/'Operating Metrics'!D258)</f>
        <v>0.05518861651668957</v>
      </c>
      <c r="E268" s="476" t="n">
        <f>IF('Operating Metrics'!E258=0,"",'Operating Metrics'!E267/'Operating Metrics'!E258)</f>
        <v>0.05044310808672258</v>
      </c>
      <c r="F268" s="506"/>
      <c r="G268" s="506"/>
      <c r="H268" s="506"/>
      <c r="I268" s="506"/>
      <c r="J268" s="506"/>
      <c r="K268" s="506"/>
      <c r="L268" s="506"/>
      <c r="M268" s="506"/>
      <c r="N268" s="506"/>
      <c r="O268" s="506"/>
      <c r="P268" s="506"/>
      <c r="Q268" s="506"/>
      <c r="R268" s="506"/>
      <c r="S268" s="506"/>
      <c r="T268" s="506"/>
      <c r="U268" s="506"/>
      <c r="V268" s="506"/>
      <c r="W268" s="506"/>
      <c r="X268" s="506"/>
      <c r="Y268"/>
      <c r="Z268"/>
    </row>
    <row r="269" ht="22" customHeight="1">
      <c r="A269" s="502" t="str">
        <v>Depreciation and other amortization</v>
      </c>
      <c r="B269" s="452"/>
      <c r="C269" s="507" t="n">
        <v>857</v>
      </c>
      <c r="D269" s="507" t="n">
        <v>899</v>
      </c>
      <c r="E269" s="507" t="n">
        <v>926</v>
      </c>
      <c r="F269" s="473"/>
      <c r="G269" s="473"/>
      <c r="H269" s="473"/>
      <c r="I269" s="473"/>
      <c r="J269" s="473"/>
      <c r="K269" s="473"/>
      <c r="L269" s="473"/>
      <c r="M269" s="473"/>
      <c r="N269" s="473"/>
      <c r="O269" s="473"/>
      <c r="P269" s="473"/>
      <c r="Q269" s="473"/>
      <c r="R269" s="473"/>
      <c r="S269" s="473"/>
      <c r="T269" s="473"/>
      <c r="U269" s="473"/>
      <c r="V269" s="473"/>
      <c r="W269" s="473"/>
      <c r="X269" s="473"/>
      <c r="Y269"/>
      <c r="Z269"/>
    </row>
    <row r="270" ht="22" customHeight="1">
      <c r="A270" s="502" t="str">
        <v>Amortization of intangible assets</v>
      </c>
      <c r="B270" s="452"/>
      <c r="C270" s="507" t="n">
        <v>29</v>
      </c>
      <c r="D270" s="507" t="n">
        <v>28</v>
      </c>
      <c r="E270" s="507" t="n">
        <v>25</v>
      </c>
      <c r="F270" s="473"/>
      <c r="G270" s="473"/>
      <c r="H270" s="473"/>
      <c r="I270" s="473"/>
      <c r="J270" s="473"/>
      <c r="K270" s="473"/>
      <c r="L270" s="473"/>
      <c r="M270" s="473"/>
      <c r="N270" s="473"/>
      <c r="O270" s="473"/>
      <c r="P270" s="473"/>
      <c r="Q270" s="473"/>
      <c r="R270" s="473"/>
      <c r="S270" s="473"/>
      <c r="T270" s="473"/>
      <c r="U270" s="473"/>
      <c r="V270" s="473"/>
      <c r="W270" s="473"/>
      <c r="X270" s="473"/>
      <c r="Y270"/>
      <c r="Z270"/>
    </row>
    <row r="271" ht="22" customHeight="1">
      <c r="A271" s="502" t="str">
        <v>Depreciation and amortization</v>
      </c>
      <c r="B271" s="452"/>
      <c r="C271" s="473" t="n">
        <f>'Operating Metrics'!C269+'Operating Metrics'!C270</f>
        <v>886</v>
      </c>
      <c r="D271" s="473" t="n">
        <f>'Operating Metrics'!D269+'Operating Metrics'!D270</f>
        <v>927</v>
      </c>
      <c r="E271" s="473" t="n">
        <f>'Operating Metrics'!E269+'Operating Metrics'!E270</f>
        <v>951</v>
      </c>
      <c r="F271" s="473"/>
      <c r="G271" s="473"/>
      <c r="H271" s="473"/>
      <c r="I271" s="473"/>
      <c r="J271" s="473"/>
      <c r="K271" s="473"/>
      <c r="L271" s="473"/>
      <c r="M271" s="473"/>
      <c r="N271" s="473"/>
      <c r="O271" s="473"/>
      <c r="P271" s="473"/>
      <c r="Q271" s="473"/>
      <c r="R271" s="473"/>
      <c r="S271" s="473"/>
      <c r="T271" s="473"/>
      <c r="U271" s="473"/>
      <c r="V271" s="473"/>
      <c r="W271" s="473"/>
      <c r="X271" s="473"/>
      <c r="Y271"/>
      <c r="Z271"/>
    </row>
    <row r="272" ht="22" customHeight="1">
      <c r="A272" s="502" t="str">
        <v>Capital spending / D&amp;A</v>
      </c>
      <c r="B272" s="452"/>
      <c r="C272" s="492" t="n">
        <f>IF('Operating Metrics'!C271=0,"",'Operating Metrics'!C267/'Operating Metrics'!C271)</f>
        <v>1.1884875846501128</v>
      </c>
      <c r="D272" s="492" t="n">
        <f>IF('Operating Metrics'!D271=0,"",'Operating Metrics'!D267/'Operating Metrics'!D271)</f>
        <v>1.343042071197411</v>
      </c>
      <c r="E272" s="492" t="n">
        <f>IF('Operating Metrics'!E271=0,"",'Operating Metrics'!E267/'Operating Metrics'!E271)</f>
        <v>1.3406940063091484</v>
      </c>
      <c r="F272" s="492"/>
      <c r="G272" s="492"/>
      <c r="H272" s="492"/>
      <c r="I272" s="492"/>
      <c r="J272" s="492"/>
      <c r="K272" s="492"/>
      <c r="L272" s="492"/>
      <c r="M272" s="492"/>
      <c r="N272" s="492"/>
      <c r="O272" s="492"/>
      <c r="P272" s="492"/>
      <c r="Q272" s="492"/>
      <c r="R272" s="492"/>
      <c r="S272" s="492"/>
      <c r="T272" s="492"/>
      <c r="U272" s="492"/>
      <c r="V272" s="492"/>
      <c r="W272" s="492"/>
      <c r="X272" s="492"/>
      <c r="Y272"/>
      <c r="Z272"/>
    </row>
    <row r="273" ht="22" customHeight="1">
      <c r="A273" s="452"/>
      <c r="B273" s="452"/>
      <c r="C273" s="452"/>
      <c r="D273" s="452"/>
      <c r="E273" s="452"/>
      <c r="F273" s="452"/>
      <c r="G273" s="452"/>
      <c r="H273" s="452"/>
      <c r="I273" s="452"/>
      <c r="J273" s="452"/>
      <c r="K273" s="452"/>
      <c r="L273" s="452"/>
      <c r="M273" s="452"/>
      <c r="N273" s="452"/>
      <c r="O273" s="452"/>
      <c r="P273" s="452"/>
      <c r="Q273" s="452"/>
      <c r="R273" s="452"/>
      <c r="S273" s="452"/>
      <c r="T273" s="452"/>
      <c r="U273" s="452"/>
      <c r="V273" s="452"/>
      <c r="W273" s="452"/>
      <c r="X273" s="452"/>
      <c r="Y273"/>
      <c r="Z273"/>
    </row>
    <row r="274" ht="22" customHeight="1">
      <c r="A274" s="452"/>
      <c r="B274" s="452"/>
      <c r="C274" s="452"/>
      <c r="D274" s="452"/>
      <c r="E274" s="452"/>
      <c r="F274" s="452"/>
      <c r="G274" s="452"/>
      <c r="H274" s="452"/>
      <c r="I274" s="452"/>
      <c r="J274" s="452"/>
      <c r="K274" s="452"/>
      <c r="L274" s="452"/>
      <c r="M274" s="452"/>
      <c r="N274" s="452"/>
      <c r="O274" s="452"/>
      <c r="P274" s="452"/>
      <c r="Q274" s="452"/>
      <c r="R274" s="452"/>
      <c r="S274" s="452"/>
      <c r="T274" s="452"/>
      <c r="U274" s="452"/>
      <c r="V274" s="452"/>
      <c r="W274" s="452"/>
      <c r="X274" s="452"/>
      <c r="Y274"/>
      <c r="Z274"/>
    </row>
    <row r="275" ht="22" customHeight="1">
      <c r="A275" s="460" t="str">
        <v>Historical international structure - FY2019-FY2024</v>
      </c>
      <c r="B275" s="460"/>
      <c r="C275" s="460"/>
      <c r="D275" s="460"/>
      <c r="E275" s="460"/>
      <c r="F275" s="460"/>
      <c r="G275" s="460"/>
      <c r="H275" s="460"/>
      <c r="I275" s="460"/>
      <c r="J275" s="460"/>
      <c r="K275" s="460"/>
      <c r="L275" s="460"/>
      <c r="M275" s="460"/>
      <c r="N275" s="460"/>
      <c r="O275" s="460"/>
      <c r="P275" s="460"/>
      <c r="Q275" s="460"/>
      <c r="R275" s="460"/>
      <c r="S275" s="460"/>
      <c r="T275" s="460"/>
      <c r="U275" s="460"/>
      <c r="V275" s="460"/>
      <c r="W275" s="460"/>
      <c r="X275" s="460"/>
      <c r="Y275"/>
      <c r="Z275"/>
    </row>
    <row r="276" ht="24" customHeight="1">
      <c r="A276" s="490" t="str">
        <v>Historical international boundaries differ from the current six; compare within this panel.</v>
      </c>
      <c r="B276" s="490"/>
      <c r="C276" s="490"/>
      <c r="D276" s="490"/>
      <c r="E276" s="490"/>
      <c r="F276" s="490"/>
      <c r="G276" s="490"/>
      <c r="H276" s="490"/>
      <c r="I276" s="490"/>
      <c r="J276" s="490"/>
      <c r="K276" s="490"/>
      <c r="L276" s="490"/>
      <c r="M276" s="490"/>
      <c r="N276" s="490"/>
      <c r="O276" s="490"/>
      <c r="P276" s="490"/>
      <c r="Q276" s="490"/>
      <c r="R276" s="490"/>
      <c r="S276" s="490"/>
      <c r="T276" s="490"/>
      <c r="U276" s="490"/>
      <c r="V276" s="490"/>
      <c r="W276" s="490"/>
      <c r="X276" s="490"/>
      <c r="Y276"/>
      <c r="Z276"/>
    </row>
    <row r="277" ht="24" customHeight="1">
      <c r="A277" s="462" t="str">
        <v>Metric / reporting scope</v>
      </c>
      <c r="B277" s="452"/>
      <c r="C277" s="463" t="str">
        <v>FY2019</v>
      </c>
      <c r="D277" s="463" t="str">
        <v>FY2020</v>
      </c>
      <c r="E277" s="463" t="str">
        <v>FY2021</v>
      </c>
      <c r="F277" s="463" t="str">
        <v>FY2022</v>
      </c>
      <c r="G277" s="463" t="str">
        <v>FY2023</v>
      </c>
      <c r="H277" s="463" t="str">
        <v>FY2024</v>
      </c>
      <c r="I277" s="452"/>
      <c r="J277" s="452"/>
      <c r="K277" s="452"/>
      <c r="L277" s="452"/>
      <c r="M277" s="452"/>
      <c r="N277" s="452"/>
      <c r="O277" s="452"/>
      <c r="P277" s="452"/>
      <c r="Q277" s="452"/>
      <c r="R277" s="452"/>
      <c r="S277" s="452"/>
      <c r="T277" s="452"/>
      <c r="U277" s="452"/>
      <c r="V277" s="452"/>
      <c r="W277" s="452"/>
      <c r="X277" s="452"/>
      <c r="Y277"/>
      <c r="Z277"/>
    </row>
    <row r="278" ht="18" customHeight="1">
      <c r="A278" s="452"/>
      <c r="B278" s="452"/>
      <c r="C278" s="501" t="d">
        <v>2019-12-28T00:00:00.000Z</v>
      </c>
      <c r="D278" s="501" t="d">
        <v>2020-12-26T00:00:00.000Z</v>
      </c>
      <c r="E278" s="501" t="d">
        <v>2021-12-25T00:00:00.000Z</v>
      </c>
      <c r="F278" s="501" t="d">
        <v>2022-12-31T00:00:00.000Z</v>
      </c>
      <c r="G278" s="501" t="d">
        <v>2023-12-30T00:00:00.000Z</v>
      </c>
      <c r="H278" s="501" t="d">
        <v>2024-12-28T00:00:00.000Z</v>
      </c>
      <c r="I278" s="452"/>
      <c r="J278" s="452"/>
      <c r="K278" s="452"/>
      <c r="L278" s="452"/>
      <c r="M278" s="452"/>
      <c r="N278" s="452"/>
      <c r="O278" s="452"/>
      <c r="P278" s="452"/>
      <c r="Q278" s="452"/>
      <c r="R278" s="452"/>
      <c r="S278" s="452"/>
      <c r="T278" s="452"/>
      <c r="U278" s="452"/>
      <c r="V278" s="452"/>
      <c r="W278" s="452"/>
      <c r="X278" s="452"/>
      <c r="Y278"/>
      <c r="Z278"/>
    </row>
    <row r="279" ht="24" customHeight="1">
      <c r="A279" s="477" t="str">
        <v>LatAm</v>
      </c>
      <c r="B279" s="477"/>
      <c r="C279" s="477"/>
      <c r="D279" s="477"/>
      <c r="E279" s="477"/>
      <c r="F279" s="477"/>
      <c r="G279" s="477"/>
      <c r="H279" s="477"/>
      <c r="I279" s="477"/>
      <c r="J279" s="477"/>
      <c r="K279" s="477"/>
      <c r="L279" s="477"/>
      <c r="M279" s="477"/>
      <c r="N279" s="477"/>
      <c r="O279" s="477"/>
      <c r="P279" s="477"/>
      <c r="Q279" s="477"/>
      <c r="R279" s="477"/>
      <c r="S279" s="477"/>
      <c r="T279" s="477"/>
      <c r="U279" s="477"/>
      <c r="V279" s="477"/>
      <c r="W279" s="477"/>
      <c r="X279" s="477"/>
      <c r="Y279"/>
      <c r="Z279"/>
    </row>
    <row r="280" ht="22" customHeight="1">
      <c r="A280" s="502" t="str">
        <v>Net revenue</v>
      </c>
      <c r="B280" s="452"/>
      <c r="C280" s="507" t="n">
        <v>7573</v>
      </c>
      <c r="D280" s="507" t="n">
        <v>6942</v>
      </c>
      <c r="E280" s="507" t="n">
        <v>8108</v>
      </c>
      <c r="F280" s="507" t="n">
        <v>9779</v>
      </c>
      <c r="G280" s="507" t="n">
        <v>11654</v>
      </c>
      <c r="H280" s="507" t="n">
        <v>11718</v>
      </c>
      <c r="I280" s="473"/>
      <c r="J280" s="473"/>
      <c r="K280" s="473"/>
      <c r="L280" s="473"/>
      <c r="M280" s="473"/>
      <c r="N280" s="473"/>
      <c r="O280" s="473"/>
      <c r="P280" s="473"/>
      <c r="Q280" s="473"/>
      <c r="R280" s="473"/>
      <c r="S280" s="473"/>
      <c r="T280" s="473"/>
      <c r="U280" s="473"/>
      <c r="V280" s="473"/>
      <c r="W280" s="473"/>
      <c r="X280" s="473"/>
      <c r="Y280"/>
      <c r="Z280"/>
    </row>
    <row r="281" ht="20" customHeight="1">
      <c r="A281" s="505" t="str">
        <v>Net revenue YoY</v>
      </c>
      <c r="B281" s="452"/>
      <c r="C281" s="506"/>
      <c r="D281" s="476" t="n">
        <f>IF(OR('Operating Metrics'!C280&lt;=0,'Operating Metrics'!D280&lt;0),"",'Operating Metrics'!D280/'Operating Metrics'!C280-1)</f>
        <v>-0.08332232932787531</v>
      </c>
      <c r="E281" s="476" t="n">
        <f>IF(OR('Operating Metrics'!D280&lt;=0,'Operating Metrics'!E280&lt;0),"",'Operating Metrics'!E280/'Operating Metrics'!D280-1)</f>
        <v>0.16796312301930283</v>
      </c>
      <c r="F281" s="476" t="n">
        <f>IF(OR('Operating Metrics'!E280&lt;=0,'Operating Metrics'!F280&lt;0),"",'Operating Metrics'!F280/'Operating Metrics'!E280-1)</f>
        <v>0.20609274790330545</v>
      </c>
      <c r="G281" s="476" t="n">
        <f>IF(OR('Operating Metrics'!F280&lt;=0,'Operating Metrics'!G280&lt;0),"",'Operating Metrics'!G280/'Operating Metrics'!F280-1)</f>
        <v>0.19173739646180588</v>
      </c>
      <c r="H281" s="476" t="n">
        <f>IF(OR('Operating Metrics'!G280&lt;=0,'Operating Metrics'!H280&lt;0),"",'Operating Metrics'!H280/'Operating Metrics'!G280-1)</f>
        <v>0.005491676677535695</v>
      </c>
      <c r="I281" s="506"/>
      <c r="J281" s="506"/>
      <c r="K281" s="506"/>
      <c r="L281" s="506"/>
      <c r="M281" s="506"/>
      <c r="N281" s="506"/>
      <c r="O281" s="506"/>
      <c r="P281" s="506"/>
      <c r="Q281" s="506"/>
      <c r="R281" s="506"/>
      <c r="S281" s="506"/>
      <c r="T281" s="506"/>
      <c r="U281" s="506"/>
      <c r="V281" s="506"/>
      <c r="W281" s="506"/>
      <c r="X281" s="506"/>
      <c r="Y281"/>
      <c r="Z281"/>
    </row>
    <row r="282" ht="22" customHeight="1">
      <c r="A282" s="502" t="str">
        <v>Reported operating profit</v>
      </c>
      <c r="B282" s="452"/>
      <c r="C282" s="507" t="n">
        <v>1141</v>
      </c>
      <c r="D282" s="507" t="n">
        <v>1033</v>
      </c>
      <c r="E282" s="507" t="n">
        <v>1369</v>
      </c>
      <c r="F282" s="507" t="n">
        <v>1627</v>
      </c>
      <c r="G282" s="507" t="n">
        <v>2252</v>
      </c>
      <c r="H282" s="507" t="n">
        <v>2245</v>
      </c>
      <c r="I282" s="473"/>
      <c r="J282" s="473"/>
      <c r="K282" s="473"/>
      <c r="L282" s="473"/>
      <c r="M282" s="473"/>
      <c r="N282" s="473"/>
      <c r="O282" s="473"/>
      <c r="P282" s="473"/>
      <c r="Q282" s="473"/>
      <c r="R282" s="473"/>
      <c r="S282" s="473"/>
      <c r="T282" s="473"/>
      <c r="U282" s="473"/>
      <c r="V282" s="473"/>
      <c r="W282" s="473"/>
      <c r="X282" s="473"/>
      <c r="Y282"/>
      <c r="Z282"/>
    </row>
    <row r="283" ht="22" customHeight="1">
      <c r="A283" s="502" t="str">
        <v>Core operating profit</v>
      </c>
      <c r="B283" s="452"/>
      <c r="C283" s="507" t="n">
        <v>1203</v>
      </c>
      <c r="D283" s="507" t="n">
        <v>1064</v>
      </c>
      <c r="E283" s="507" t="n">
        <v>1406</v>
      </c>
      <c r="F283" s="507" t="n">
        <v>1730</v>
      </c>
      <c r="G283" s="507" t="n">
        <v>2283</v>
      </c>
      <c r="H283" s="507" t="n">
        <v>2514</v>
      </c>
      <c r="I283" s="473"/>
      <c r="J283" s="473"/>
      <c r="K283" s="473"/>
      <c r="L283" s="473"/>
      <c r="M283" s="473"/>
      <c r="N283" s="473"/>
      <c r="O283" s="473"/>
      <c r="P283" s="473"/>
      <c r="Q283" s="473"/>
      <c r="R283" s="473"/>
      <c r="S283" s="473"/>
      <c r="T283" s="473"/>
      <c r="U283" s="473"/>
      <c r="V283" s="473"/>
      <c r="W283" s="473"/>
      <c r="X283" s="473"/>
      <c r="Y283"/>
      <c r="Z283"/>
    </row>
    <row r="284" ht="20" customHeight="1">
      <c r="A284" s="505" t="str">
        <v>Core operating profit YoY</v>
      </c>
      <c r="B284" s="452"/>
      <c r="C284" s="506"/>
      <c r="D284" s="476" t="n">
        <f>IF(OR('Operating Metrics'!C283&lt;=0,'Operating Metrics'!D283&lt;0),"",'Operating Metrics'!D283/'Operating Metrics'!C283-1)</f>
        <v>-0.11554447215295094</v>
      </c>
      <c r="E284" s="476" t="n">
        <f>IF(OR('Operating Metrics'!D283&lt;=0,'Operating Metrics'!E283&lt;0),"",'Operating Metrics'!E283/'Operating Metrics'!D283-1)</f>
        <v>0.3214285714285714</v>
      </c>
      <c r="F284" s="476" t="n">
        <f>IF(OR('Operating Metrics'!E283&lt;=0,'Operating Metrics'!F283&lt;0),"",'Operating Metrics'!F283/'Operating Metrics'!E283-1)</f>
        <v>0.2304409672830725</v>
      </c>
      <c r="G284" s="476" t="n">
        <f>IF(OR('Operating Metrics'!F283&lt;=0,'Operating Metrics'!G283&lt;0),"",'Operating Metrics'!G283/'Operating Metrics'!F283-1)</f>
        <v>0.31965317919075154</v>
      </c>
      <c r="H284" s="476" t="n">
        <f>IF(OR('Operating Metrics'!G283&lt;=0,'Operating Metrics'!H283&lt;0),"",'Operating Metrics'!H283/'Operating Metrics'!G283-1)</f>
        <v>0.10118265440210239</v>
      </c>
      <c r="I284" s="506"/>
      <c r="J284" s="506"/>
      <c r="K284" s="506"/>
      <c r="L284" s="506"/>
      <c r="M284" s="506"/>
      <c r="N284" s="506"/>
      <c r="O284" s="506"/>
      <c r="P284" s="506"/>
      <c r="Q284" s="506"/>
      <c r="R284" s="506"/>
      <c r="S284" s="506"/>
      <c r="T284" s="506"/>
      <c r="U284" s="506"/>
      <c r="V284" s="506"/>
      <c r="W284" s="506"/>
      <c r="X284" s="506"/>
      <c r="Y284"/>
      <c r="Z284"/>
    </row>
    <row r="285" ht="20" customHeight="1">
      <c r="A285" s="505" t="str">
        <v>Core operating margin</v>
      </c>
      <c r="B285" s="452"/>
      <c r="C285" s="476" t="n">
        <f>IF('Operating Metrics'!C280=0,"",'Operating Metrics'!C283/'Operating Metrics'!C280)</f>
        <v>0.1588538227914961</v>
      </c>
      <c r="D285" s="476" t="n">
        <f>IF('Operating Metrics'!D280=0,"",'Operating Metrics'!D283/'Operating Metrics'!D280)</f>
        <v>0.15326995102276</v>
      </c>
      <c r="E285" s="476" t="n">
        <f>IF('Operating Metrics'!E280=0,"",'Operating Metrics'!E283/'Operating Metrics'!E280)</f>
        <v>0.1734089787863838</v>
      </c>
      <c r="F285" s="476" t="n">
        <f>IF('Operating Metrics'!F280=0,"",'Operating Metrics'!F283/'Operating Metrics'!F280)</f>
        <v>0.1769097044687596</v>
      </c>
      <c r="G285" s="476" t="n">
        <f>IF('Operating Metrics'!G280=0,"",'Operating Metrics'!G283/'Operating Metrics'!G280)</f>
        <v>0.1958984039814656</v>
      </c>
      <c r="H285" s="476" t="n">
        <f>IF('Operating Metrics'!H280=0,"",'Operating Metrics'!H283/'Operating Metrics'!H280)</f>
        <v>0.21454173067076293</v>
      </c>
      <c r="I285" s="506"/>
      <c r="J285" s="506"/>
      <c r="K285" s="506"/>
      <c r="L285" s="506"/>
      <c r="M285" s="506"/>
      <c r="N285" s="506"/>
      <c r="O285" s="506"/>
      <c r="P285" s="506"/>
      <c r="Q285" s="506"/>
      <c r="R285" s="506"/>
      <c r="S285" s="506"/>
      <c r="T285" s="506"/>
      <c r="U285" s="506"/>
      <c r="V285" s="506"/>
      <c r="W285" s="506"/>
      <c r="X285" s="506"/>
      <c r="Y285"/>
      <c r="Z285"/>
    </row>
    <row r="286" ht="20" customHeight="1">
      <c r="A286" s="505" t="str">
        <v>Organic revenue growth</v>
      </c>
      <c r="B286" s="452"/>
      <c r="C286" s="508" t="n">
        <v>0.07</v>
      </c>
      <c r="D286" s="508" t="n">
        <v>0.03</v>
      </c>
      <c r="E286" s="508" t="n">
        <v>0.15</v>
      </c>
      <c r="F286" s="508" t="n">
        <v>0.21</v>
      </c>
      <c r="G286" s="508" t="n">
        <v>0.11</v>
      </c>
      <c r="H286" s="508" t="n">
        <v>0.04</v>
      </c>
      <c r="I286" s="506"/>
      <c r="J286" s="506"/>
      <c r="K286" s="506"/>
      <c r="L286" s="506"/>
      <c r="M286" s="506"/>
      <c r="N286" s="506"/>
      <c r="O286" s="506"/>
      <c r="P286" s="506"/>
      <c r="Q286" s="506"/>
      <c r="R286" s="506"/>
      <c r="S286" s="506"/>
      <c r="T286" s="506"/>
      <c r="U286" s="506"/>
      <c r="V286" s="506"/>
      <c r="W286" s="506"/>
      <c r="X286" s="506"/>
      <c r="Y286"/>
      <c r="Z286"/>
    </row>
    <row r="287" ht="20" customHeight="1">
      <c r="A287" s="505" t="str">
        <v>Organic physical volume - foods</v>
      </c>
      <c r="B287" s="452"/>
      <c r="C287" s="508" t="n">
        <v>0</v>
      </c>
      <c r="D287" s="508" t="n">
        <v>0</v>
      </c>
      <c r="E287" s="508" t="n">
        <v>0.04</v>
      </c>
      <c r="F287" s="508" t="n">
        <v>0.035</v>
      </c>
      <c r="G287" s="508" t="n">
        <v>-0.04</v>
      </c>
      <c r="H287" s="508" t="n">
        <v>-0.02</v>
      </c>
      <c r="I287" s="506"/>
      <c r="J287" s="506"/>
      <c r="K287" s="506"/>
      <c r="L287" s="506"/>
      <c r="M287" s="506"/>
      <c r="N287" s="506"/>
      <c r="O287" s="506"/>
      <c r="P287" s="506"/>
      <c r="Q287" s="506"/>
      <c r="R287" s="506"/>
      <c r="S287" s="506"/>
      <c r="T287" s="506"/>
      <c r="U287" s="506"/>
      <c r="V287" s="506"/>
      <c r="W287" s="506"/>
      <c r="X287" s="506"/>
      <c r="Y287"/>
      <c r="Z287"/>
    </row>
    <row r="288" ht="20" customHeight="1">
      <c r="A288" s="505" t="str">
        <v>Organic physical volume - beverages</v>
      </c>
      <c r="B288" s="452"/>
      <c r="C288" s="508" t="n">
        <v>0.04</v>
      </c>
      <c r="D288" s="508" t="n">
        <v>-0.01</v>
      </c>
      <c r="E288" s="508" t="n">
        <v>0.08</v>
      </c>
      <c r="F288" s="508" t="n">
        <v>0.06</v>
      </c>
      <c r="G288" s="508" t="n">
        <v>0.03</v>
      </c>
      <c r="H288" s="508" t="n">
        <v>0</v>
      </c>
      <c r="I288" s="506"/>
      <c r="J288" s="506"/>
      <c r="K288" s="506"/>
      <c r="L288" s="506"/>
      <c r="M288" s="506"/>
      <c r="N288" s="506"/>
      <c r="O288" s="506"/>
      <c r="P288" s="506"/>
      <c r="Q288" s="506"/>
      <c r="R288" s="506"/>
      <c r="S288" s="506"/>
      <c r="T288" s="506"/>
      <c r="U288" s="506"/>
      <c r="V288" s="506"/>
      <c r="W288" s="506"/>
      <c r="X288" s="506"/>
      <c r="Y288"/>
      <c r="Z288"/>
    </row>
    <row r="289" ht="20" customHeight="1">
      <c r="A289" s="505" t="str">
        <v>Effective net pricing</v>
      </c>
      <c r="B289" s="452"/>
      <c r="C289" s="508" t="n">
        <v>0.07</v>
      </c>
      <c r="D289" s="508" t="n">
        <v>0.03</v>
      </c>
      <c r="E289" s="508" t="n">
        <v>0.1</v>
      </c>
      <c r="F289" s="508" t="n">
        <v>0.16</v>
      </c>
      <c r="G289" s="508" t="n">
        <v>0.16</v>
      </c>
      <c r="H289" s="508" t="n">
        <v>0.05</v>
      </c>
      <c r="I289" s="506"/>
      <c r="J289" s="506"/>
      <c r="K289" s="506"/>
      <c r="L289" s="506"/>
      <c r="M289" s="506"/>
      <c r="N289" s="506"/>
      <c r="O289" s="506"/>
      <c r="P289" s="506"/>
      <c r="Q289" s="506"/>
      <c r="R289" s="506"/>
      <c r="S289" s="506"/>
      <c r="T289" s="506"/>
      <c r="U289" s="506"/>
      <c r="V289" s="506"/>
      <c r="W289" s="506"/>
      <c r="X289" s="506"/>
      <c r="Y289"/>
      <c r="Z289"/>
    </row>
    <row r="290" ht="22" customHeight="1">
      <c r="A290" s="502" t="str">
        <v>Capital spending</v>
      </c>
      <c r="B290" s="452"/>
      <c r="C290" s="507" t="n">
        <v>557</v>
      </c>
      <c r="D290" s="507" t="n">
        <v>390</v>
      </c>
      <c r="E290" s="507" t="n">
        <v>461</v>
      </c>
      <c r="F290" s="507" t="n">
        <v>581</v>
      </c>
      <c r="G290" s="507" t="n">
        <v>841</v>
      </c>
      <c r="H290" s="507" t="n">
        <v>837</v>
      </c>
      <c r="I290" s="473"/>
      <c r="J290" s="473"/>
      <c r="K290" s="473"/>
      <c r="L290" s="473"/>
      <c r="M290" s="473"/>
      <c r="N290" s="473"/>
      <c r="O290" s="473"/>
      <c r="P290" s="473"/>
      <c r="Q290" s="473"/>
      <c r="R290" s="473"/>
      <c r="S290" s="473"/>
      <c r="T290" s="473"/>
      <c r="U290" s="473"/>
      <c r="V290" s="473"/>
      <c r="W290" s="473"/>
      <c r="X290" s="473"/>
      <c r="Y290"/>
      <c r="Z290"/>
    </row>
    <row r="291" ht="20" customHeight="1">
      <c r="A291" s="505" t="str">
        <v>Capital spending / net revenue</v>
      </c>
      <c r="B291" s="452"/>
      <c r="C291" s="476" t="n">
        <f>IF('Operating Metrics'!C280=0,"",'Operating Metrics'!C290/'Operating Metrics'!C280)</f>
        <v>0.07355077248118315</v>
      </c>
      <c r="D291" s="476" t="n">
        <f>IF('Operating Metrics'!D280=0,"",'Operating Metrics'!D290/'Operating Metrics'!D280)</f>
        <v>0.056179775280898875</v>
      </c>
      <c r="E291" s="476" t="n">
        <f>IF('Operating Metrics'!E280=0,"",'Operating Metrics'!E290/'Operating Metrics'!E280)</f>
        <v>0.05685742476566354</v>
      </c>
      <c r="F291" s="476" t="n">
        <f>IF('Operating Metrics'!F280=0,"",'Operating Metrics'!F290/'Operating Metrics'!F280)</f>
        <v>0.05941302791696493</v>
      </c>
      <c r="G291" s="476" t="n">
        <f>IF('Operating Metrics'!G280=0,"",'Operating Metrics'!G290/'Operating Metrics'!G280)</f>
        <v>0.07216406384074138</v>
      </c>
      <c r="H291" s="476" t="n">
        <f>IF('Operating Metrics'!H280=0,"",'Operating Metrics'!H290/'Operating Metrics'!H280)</f>
        <v>0.07142857142857142</v>
      </c>
      <c r="I291" s="506"/>
      <c r="J291" s="506"/>
      <c r="K291" s="506"/>
      <c r="L291" s="506"/>
      <c r="M291" s="506"/>
      <c r="N291" s="506"/>
      <c r="O291" s="506"/>
      <c r="P291" s="506"/>
      <c r="Q291" s="506"/>
      <c r="R291" s="506"/>
      <c r="S291" s="506"/>
      <c r="T291" s="506"/>
      <c r="U291" s="506"/>
      <c r="V291" s="506"/>
      <c r="W291" s="506"/>
      <c r="X291" s="506"/>
      <c r="Y291"/>
      <c r="Z291"/>
    </row>
    <row r="292" ht="22" customHeight="1">
      <c r="A292" s="502" t="str">
        <v>Depreciation and other amortization</v>
      </c>
      <c r="B292" s="452"/>
      <c r="C292" s="507" t="n">
        <v>270</v>
      </c>
      <c r="D292" s="507" t="n">
        <v>251</v>
      </c>
      <c r="E292" s="507" t="n">
        <v>283</v>
      </c>
      <c r="F292" s="507" t="n">
        <v>306</v>
      </c>
      <c r="G292" s="507" t="n">
        <v>372</v>
      </c>
      <c r="H292" s="507" t="n">
        <v>394</v>
      </c>
      <c r="I292" s="473"/>
      <c r="J292" s="473"/>
      <c r="K292" s="473"/>
      <c r="L292" s="473"/>
      <c r="M292" s="473"/>
      <c r="N292" s="473"/>
      <c r="O292" s="473"/>
      <c r="P292" s="473"/>
      <c r="Q292" s="473"/>
      <c r="R292" s="473"/>
      <c r="S292" s="473"/>
      <c r="T292" s="473"/>
      <c r="U292" s="473"/>
      <c r="V292" s="473"/>
      <c r="W292" s="473"/>
      <c r="X292" s="473"/>
      <c r="Y292"/>
      <c r="Z292"/>
    </row>
    <row r="293" ht="22" customHeight="1">
      <c r="A293" s="502" t="str">
        <v>Amortization of intangible assets</v>
      </c>
      <c r="B293" s="452"/>
      <c r="C293" s="507" t="n">
        <v>5</v>
      </c>
      <c r="D293" s="507" t="n">
        <v>4</v>
      </c>
      <c r="E293" s="507" t="n">
        <v>4</v>
      </c>
      <c r="F293" s="507" t="n">
        <v>3</v>
      </c>
      <c r="G293" s="507" t="n">
        <v>2</v>
      </c>
      <c r="H293" s="507" t="n">
        <v>2</v>
      </c>
      <c r="I293" s="473"/>
      <c r="J293" s="473"/>
      <c r="K293" s="473"/>
      <c r="L293" s="473"/>
      <c r="M293" s="473"/>
      <c r="N293" s="473"/>
      <c r="O293" s="473"/>
      <c r="P293" s="473"/>
      <c r="Q293" s="473"/>
      <c r="R293" s="473"/>
      <c r="S293" s="473"/>
      <c r="T293" s="473"/>
      <c r="U293" s="473"/>
      <c r="V293" s="473"/>
      <c r="W293" s="473"/>
      <c r="X293" s="473"/>
      <c r="Y293"/>
      <c r="Z293"/>
    </row>
    <row r="294" ht="22" customHeight="1">
      <c r="A294" s="502" t="str">
        <v>Depreciation and amortization</v>
      </c>
      <c r="B294" s="452"/>
      <c r="C294" s="473" t="n">
        <f>'Operating Metrics'!C292+'Operating Metrics'!C293</f>
        <v>275</v>
      </c>
      <c r="D294" s="473" t="n">
        <f>'Operating Metrics'!D292+'Operating Metrics'!D293</f>
        <v>255</v>
      </c>
      <c r="E294" s="473" t="n">
        <f>'Operating Metrics'!E292+'Operating Metrics'!E293</f>
        <v>287</v>
      </c>
      <c r="F294" s="473" t="n">
        <f>'Operating Metrics'!F292+'Operating Metrics'!F293</f>
        <v>309</v>
      </c>
      <c r="G294" s="473" t="n">
        <f>'Operating Metrics'!G292+'Operating Metrics'!G293</f>
        <v>374</v>
      </c>
      <c r="H294" s="473" t="n">
        <f>'Operating Metrics'!H292+'Operating Metrics'!H293</f>
        <v>396</v>
      </c>
      <c r="I294" s="473"/>
      <c r="J294" s="473"/>
      <c r="K294" s="473"/>
      <c r="L294" s="473"/>
      <c r="M294" s="473"/>
      <c r="N294" s="473"/>
      <c r="O294" s="473"/>
      <c r="P294" s="473"/>
      <c r="Q294" s="473"/>
      <c r="R294" s="473"/>
      <c r="S294" s="473"/>
      <c r="T294" s="473"/>
      <c r="U294" s="473"/>
      <c r="V294" s="473"/>
      <c r="W294" s="473"/>
      <c r="X294" s="473"/>
      <c r="Y294"/>
      <c r="Z294"/>
    </row>
    <row r="295" ht="22" customHeight="1">
      <c r="A295" s="502" t="str">
        <v>Capital spending / D&amp;A</v>
      </c>
      <c r="B295" s="452"/>
      <c r="C295" s="492" t="n">
        <f>IF('Operating Metrics'!C294=0,"",'Operating Metrics'!C290/'Operating Metrics'!C294)</f>
        <v>2.0254545454545454</v>
      </c>
      <c r="D295" s="492" t="n">
        <f>IF('Operating Metrics'!D294=0,"",'Operating Metrics'!D290/'Operating Metrics'!D294)</f>
        <v>1.5294117647058822</v>
      </c>
      <c r="E295" s="492" t="n">
        <f>IF('Operating Metrics'!E294=0,"",'Operating Metrics'!E290/'Operating Metrics'!E294)</f>
        <v>1.6062717770034842</v>
      </c>
      <c r="F295" s="492" t="n">
        <f>IF('Operating Metrics'!F294=0,"",'Operating Metrics'!F290/'Operating Metrics'!F294)</f>
        <v>1.8802588996763754</v>
      </c>
      <c r="G295" s="492" t="n">
        <f>IF('Operating Metrics'!G294=0,"",'Operating Metrics'!G290/'Operating Metrics'!G294)</f>
        <v>2.248663101604278</v>
      </c>
      <c r="H295" s="492" t="n">
        <f>IF('Operating Metrics'!H294=0,"",'Operating Metrics'!H290/'Operating Metrics'!H294)</f>
        <v>2.1136363636363638</v>
      </c>
      <c r="I295" s="492"/>
      <c r="J295" s="492"/>
      <c r="K295" s="492"/>
      <c r="L295" s="492"/>
      <c r="M295" s="492"/>
      <c r="N295" s="492"/>
      <c r="O295" s="492"/>
      <c r="P295" s="492"/>
      <c r="Q295" s="492"/>
      <c r="R295" s="492"/>
      <c r="S295" s="492"/>
      <c r="T295" s="492"/>
      <c r="U295" s="492"/>
      <c r="V295" s="492"/>
      <c r="W295" s="492"/>
      <c r="X295" s="492"/>
      <c r="Y295"/>
      <c r="Z295"/>
    </row>
    <row r="296" ht="24" customHeight="1">
      <c r="A296" s="477" t="str">
        <v>Europe</v>
      </c>
      <c r="B296" s="477"/>
      <c r="C296" s="477"/>
      <c r="D296" s="477"/>
      <c r="E296" s="477"/>
      <c r="F296" s="477"/>
      <c r="G296" s="477"/>
      <c r="H296" s="477"/>
      <c r="I296" s="477"/>
      <c r="J296" s="477"/>
      <c r="K296" s="477"/>
      <c r="L296" s="477"/>
      <c r="M296" s="477"/>
      <c r="N296" s="477"/>
      <c r="O296" s="477"/>
      <c r="P296" s="477"/>
      <c r="Q296" s="477"/>
      <c r="R296" s="477"/>
      <c r="S296" s="477"/>
      <c r="T296" s="477"/>
      <c r="U296" s="477"/>
      <c r="V296" s="477"/>
      <c r="W296" s="477"/>
      <c r="X296" s="477"/>
      <c r="Y296"/>
      <c r="Z296"/>
    </row>
    <row r="297" ht="22" customHeight="1">
      <c r="A297" s="502" t="str">
        <v>Net revenue</v>
      </c>
      <c r="B297" s="452"/>
      <c r="C297" s="507" t="n">
        <v>11728</v>
      </c>
      <c r="D297" s="507" t="n">
        <v>11922</v>
      </c>
      <c r="E297" s="507" t="n">
        <v>13038</v>
      </c>
      <c r="F297" s="507" t="n">
        <v>12724</v>
      </c>
      <c r="G297" s="507" t="n">
        <v>13234</v>
      </c>
      <c r="H297" s="507" t="n">
        <v>13874</v>
      </c>
      <c r="I297" s="473"/>
      <c r="J297" s="473"/>
      <c r="K297" s="473"/>
      <c r="L297" s="473"/>
      <c r="M297" s="473"/>
      <c r="N297" s="473"/>
      <c r="O297" s="473"/>
      <c r="P297" s="473"/>
      <c r="Q297" s="473"/>
      <c r="R297" s="473"/>
      <c r="S297" s="473"/>
      <c r="T297" s="473"/>
      <c r="U297" s="473"/>
      <c r="V297" s="473"/>
      <c r="W297" s="473"/>
      <c r="X297" s="473"/>
      <c r="Y297"/>
      <c r="Z297"/>
    </row>
    <row r="298" ht="20" customHeight="1">
      <c r="A298" s="505" t="str">
        <v>Net revenue YoY</v>
      </c>
      <c r="B298" s="452"/>
      <c r="C298" s="506"/>
      <c r="D298" s="476" t="n">
        <f>IF(OR('Operating Metrics'!C297&lt;=0,'Operating Metrics'!D297&lt;0),"",'Operating Metrics'!D297/'Operating Metrics'!C297-1)</f>
        <v>0.01654160982264674</v>
      </c>
      <c r="E298" s="476" t="n">
        <f>IF(OR('Operating Metrics'!D297&lt;=0,'Operating Metrics'!E297&lt;0),"",'Operating Metrics'!E297/'Operating Metrics'!D297-1)</f>
        <v>0.09360845495722203</v>
      </c>
      <c r="F298" s="476" t="n">
        <f>IF(OR('Operating Metrics'!E297&lt;=0,'Operating Metrics'!F297&lt;0),"",'Operating Metrics'!F297/'Operating Metrics'!E297-1)</f>
        <v>-0.02408344838165366</v>
      </c>
      <c r="G298" s="476" t="n">
        <f>IF(OR('Operating Metrics'!F297&lt;=0,'Operating Metrics'!G297&lt;0),"",'Operating Metrics'!G297/'Operating Metrics'!F297-1)</f>
        <v>0.040081735303363786</v>
      </c>
      <c r="H298" s="476" t="n">
        <f>IF(OR('Operating Metrics'!G297&lt;=0,'Operating Metrics'!H297&lt;0),"",'Operating Metrics'!H297/'Operating Metrics'!G297-1)</f>
        <v>0.04836028411666926</v>
      </c>
      <c r="I298" s="506"/>
      <c r="J298" s="506"/>
      <c r="K298" s="506"/>
      <c r="L298" s="506"/>
      <c r="M298" s="506"/>
      <c r="N298" s="506"/>
      <c r="O298" s="506"/>
      <c r="P298" s="506"/>
      <c r="Q298" s="506"/>
      <c r="R298" s="506"/>
      <c r="S298" s="506"/>
      <c r="T298" s="506"/>
      <c r="U298" s="506"/>
      <c r="V298" s="506"/>
      <c r="W298" s="506"/>
      <c r="X298" s="506"/>
      <c r="Y298"/>
      <c r="Z298"/>
    </row>
    <row r="299" ht="22" customHeight="1">
      <c r="A299" s="502" t="str">
        <v>Reported operating profit</v>
      </c>
      <c r="B299" s="452"/>
      <c r="C299" s="507" t="n">
        <v>1327</v>
      </c>
      <c r="D299" s="507" t="n">
        <v>1353</v>
      </c>
      <c r="E299" s="507" t="n">
        <v>1292</v>
      </c>
      <c r="F299" s="507" t="n">
        <v>-1380</v>
      </c>
      <c r="G299" s="507" t="n">
        <v>767</v>
      </c>
      <c r="H299" s="507" t="n">
        <v>2019</v>
      </c>
      <c r="I299" s="473"/>
      <c r="J299" s="473"/>
      <c r="K299" s="473"/>
      <c r="L299" s="473"/>
      <c r="M299" s="473"/>
      <c r="N299" s="473"/>
      <c r="O299" s="473"/>
      <c r="P299" s="473"/>
      <c r="Q299" s="473"/>
      <c r="R299" s="473"/>
      <c r="S299" s="473"/>
      <c r="T299" s="473"/>
      <c r="U299" s="473"/>
      <c r="V299" s="473"/>
      <c r="W299" s="473"/>
      <c r="X299" s="473"/>
      <c r="Y299"/>
      <c r="Z299"/>
    </row>
    <row r="300" ht="22" customHeight="1">
      <c r="A300" s="502" t="str">
        <v>Core operating profit</v>
      </c>
      <c r="B300" s="452"/>
      <c r="C300" s="507" t="n">
        <v>1472</v>
      </c>
      <c r="D300" s="507" t="n">
        <v>1401</v>
      </c>
      <c r="E300" s="507" t="n">
        <v>1381</v>
      </c>
      <c r="F300" s="507" t="n">
        <v>1383</v>
      </c>
      <c r="G300" s="507" t="n">
        <v>1843</v>
      </c>
      <c r="H300" s="507" t="n">
        <v>2287</v>
      </c>
      <c r="I300" s="473"/>
      <c r="J300" s="473"/>
      <c r="K300" s="473"/>
      <c r="L300" s="473"/>
      <c r="M300" s="473"/>
      <c r="N300" s="473"/>
      <c r="O300" s="473"/>
      <c r="P300" s="473"/>
      <c r="Q300" s="473"/>
      <c r="R300" s="473"/>
      <c r="S300" s="473"/>
      <c r="T300" s="473"/>
      <c r="U300" s="473"/>
      <c r="V300" s="473"/>
      <c r="W300" s="473"/>
      <c r="X300" s="473"/>
      <c r="Y300"/>
      <c r="Z300"/>
    </row>
    <row r="301" ht="20" customHeight="1">
      <c r="A301" s="505" t="str">
        <v>Core operating profit YoY</v>
      </c>
      <c r="B301" s="452"/>
      <c r="C301" s="506"/>
      <c r="D301" s="476" t="n">
        <f>IF(OR('Operating Metrics'!C300&lt;=0,'Operating Metrics'!D300&lt;0),"",'Operating Metrics'!D300/'Operating Metrics'!C300-1)</f>
        <v>-0.04823369565217395</v>
      </c>
      <c r="E301" s="476" t="n">
        <f>IF(OR('Operating Metrics'!D300&lt;=0,'Operating Metrics'!E300&lt;0),"",'Operating Metrics'!E300/'Operating Metrics'!D300-1)</f>
        <v>-0.014275517487508882</v>
      </c>
      <c r="F301" s="476" t="n">
        <f>IF(OR('Operating Metrics'!E300&lt;=0,'Operating Metrics'!F300&lt;0),"",'Operating Metrics'!F300/'Operating Metrics'!E300-1)</f>
        <v>0.0014482259232440065</v>
      </c>
      <c r="G301" s="476" t="n">
        <f>IF(OR('Operating Metrics'!F300&lt;=0,'Operating Metrics'!G300&lt;0),"",'Operating Metrics'!G300/'Operating Metrics'!F300-1)</f>
        <v>0.33261026753434564</v>
      </c>
      <c r="H301" s="476" t="n">
        <f>IF(OR('Operating Metrics'!G300&lt;=0,'Operating Metrics'!H300&lt;0),"",'Operating Metrics'!H300/'Operating Metrics'!G300-1)</f>
        <v>0.24091155724362445</v>
      </c>
      <c r="I301" s="506"/>
      <c r="J301" s="506"/>
      <c r="K301" s="506"/>
      <c r="L301" s="506"/>
      <c r="M301" s="506"/>
      <c r="N301" s="506"/>
      <c r="O301" s="506"/>
      <c r="P301" s="506"/>
      <c r="Q301" s="506"/>
      <c r="R301" s="506"/>
      <c r="S301" s="506"/>
      <c r="T301" s="506"/>
      <c r="U301" s="506"/>
      <c r="V301" s="506"/>
      <c r="W301" s="506"/>
      <c r="X301" s="506"/>
      <c r="Y301"/>
      <c r="Z301"/>
    </row>
    <row r="302" ht="20" customHeight="1">
      <c r="A302" s="505" t="str">
        <v>Core operating margin</v>
      </c>
      <c r="B302" s="452"/>
      <c r="C302" s="476" t="n">
        <f>IF('Operating Metrics'!C297=0,"",'Operating Metrics'!C300/'Operating Metrics'!C297)</f>
        <v>0.12551159618008187</v>
      </c>
      <c r="D302" s="476" t="n">
        <f>IF('Operating Metrics'!D297=0,"",'Operating Metrics'!D300/'Operating Metrics'!D297)</f>
        <v>0.1175138399597383</v>
      </c>
      <c r="E302" s="476" t="n">
        <f>IF('Operating Metrics'!E297=0,"",'Operating Metrics'!E300/'Operating Metrics'!E297)</f>
        <v>0.10592115355115815</v>
      </c>
      <c r="F302" s="476" t="n">
        <f>IF('Operating Metrics'!F297=0,"",'Operating Metrics'!F300/'Operating Metrics'!F297)</f>
        <v>0.10869223514618044</v>
      </c>
      <c r="G302" s="476" t="n">
        <f>IF('Operating Metrics'!G297=0,"",'Operating Metrics'!G300/'Operating Metrics'!G297)</f>
        <v>0.1392625056672208</v>
      </c>
      <c r="H302" s="476" t="n">
        <f>IF('Operating Metrics'!H297=0,"",'Operating Metrics'!H300/'Operating Metrics'!H297)</f>
        <v>0.1648407092403056</v>
      </c>
      <c r="I302" s="506"/>
      <c r="J302" s="506"/>
      <c r="K302" s="506"/>
      <c r="L302" s="506"/>
      <c r="M302" s="506"/>
      <c r="N302" s="506"/>
      <c r="O302" s="506"/>
      <c r="P302" s="506"/>
      <c r="Q302" s="506"/>
      <c r="R302" s="506"/>
      <c r="S302" s="506"/>
      <c r="T302" s="506"/>
      <c r="U302" s="506"/>
      <c r="V302" s="506"/>
      <c r="W302" s="506"/>
      <c r="X302" s="506"/>
      <c r="Y302"/>
      <c r="Z302"/>
    </row>
    <row r="303" ht="20" customHeight="1">
      <c r="A303" s="505" t="str">
        <v>Organic revenue growth</v>
      </c>
      <c r="B303" s="452"/>
      <c r="C303" s="508" t="n">
        <v>0.055</v>
      </c>
      <c r="D303" s="508" t="n">
        <v>0.06</v>
      </c>
      <c r="E303" s="508" t="n">
        <v>0.09</v>
      </c>
      <c r="F303" s="508" t="n">
        <v>0.12</v>
      </c>
      <c r="G303" s="508" t="n">
        <v>0.14</v>
      </c>
      <c r="H303" s="508" t="n">
        <v>0.07</v>
      </c>
      <c r="I303" s="506"/>
      <c r="J303" s="506"/>
      <c r="K303" s="506"/>
      <c r="L303" s="506"/>
      <c r="M303" s="506"/>
      <c r="N303" s="506"/>
      <c r="O303" s="506"/>
      <c r="P303" s="506"/>
      <c r="Q303" s="506"/>
      <c r="R303" s="506"/>
      <c r="S303" s="506"/>
      <c r="T303" s="506"/>
      <c r="U303" s="506"/>
      <c r="V303" s="506"/>
      <c r="W303" s="506"/>
      <c r="X303" s="506"/>
      <c r="Y303"/>
      <c r="Z303"/>
    </row>
    <row r="304" ht="20" customHeight="1">
      <c r="A304" s="505" t="str">
        <v>Organic physical volume - foods</v>
      </c>
      <c r="B304" s="452"/>
      <c r="C304" s="508" t="n">
        <v>0.01</v>
      </c>
      <c r="D304" s="508" t="n">
        <v>0.04</v>
      </c>
      <c r="E304" s="508" t="n">
        <v>0.04</v>
      </c>
      <c r="F304" s="508" t="n">
        <v>-0.04</v>
      </c>
      <c r="G304" s="508" t="n">
        <v>0</v>
      </c>
      <c r="H304" s="508" t="n">
        <v>0.02</v>
      </c>
      <c r="I304" s="506"/>
      <c r="J304" s="506"/>
      <c r="K304" s="506"/>
      <c r="L304" s="506"/>
      <c r="M304" s="506"/>
      <c r="N304" s="506"/>
      <c r="O304" s="506"/>
      <c r="P304" s="506"/>
      <c r="Q304" s="506"/>
      <c r="R304" s="506"/>
      <c r="S304" s="506"/>
      <c r="T304" s="506"/>
      <c r="U304" s="506"/>
      <c r="V304" s="506"/>
      <c r="W304" s="506"/>
      <c r="X304" s="506"/>
      <c r="Y304"/>
      <c r="Z304"/>
    </row>
    <row r="305" ht="20" customHeight="1">
      <c r="A305" s="505" t="str">
        <v>Organic physical volume - beverages</v>
      </c>
      <c r="B305" s="452"/>
      <c r="C305" s="508" t="n">
        <v>0</v>
      </c>
      <c r="D305" s="508" t="n">
        <v>0.1</v>
      </c>
      <c r="E305" s="508" t="n">
        <v>0.08</v>
      </c>
      <c r="F305" s="508" t="n">
        <v>-0.07</v>
      </c>
      <c r="G305" s="508" t="n">
        <v>-0.03</v>
      </c>
      <c r="H305" s="508" t="n">
        <v>0.02</v>
      </c>
      <c r="I305" s="506"/>
      <c r="J305" s="506"/>
      <c r="K305" s="506"/>
      <c r="L305" s="506"/>
      <c r="M305" s="506"/>
      <c r="N305" s="506"/>
      <c r="O305" s="506"/>
      <c r="P305" s="506"/>
      <c r="Q305" s="506"/>
      <c r="R305" s="506"/>
      <c r="S305" s="506"/>
      <c r="T305" s="506"/>
      <c r="U305" s="506"/>
      <c r="V305" s="506"/>
      <c r="W305" s="506"/>
      <c r="X305" s="506"/>
      <c r="Y305"/>
      <c r="Z305"/>
    </row>
    <row r="306" ht="20" customHeight="1">
      <c r="A306" s="505" t="str">
        <v>Effective net pricing</v>
      </c>
      <c r="B306" s="452"/>
      <c r="C306" s="508" t="n">
        <v>0.06</v>
      </c>
      <c r="D306" s="508" t="n">
        <v>0</v>
      </c>
      <c r="E306" s="508" t="n">
        <v>0.04</v>
      </c>
      <c r="F306" s="508" t="n">
        <v>0.19</v>
      </c>
      <c r="G306" s="508" t="n">
        <v>0.16</v>
      </c>
      <c r="H306" s="508" t="n">
        <v>0.06</v>
      </c>
      <c r="I306" s="506"/>
      <c r="J306" s="506"/>
      <c r="K306" s="506"/>
      <c r="L306" s="506"/>
      <c r="M306" s="506"/>
      <c r="N306" s="506"/>
      <c r="O306" s="506"/>
      <c r="P306" s="506"/>
      <c r="Q306" s="506"/>
      <c r="R306" s="506"/>
      <c r="S306" s="506"/>
      <c r="T306" s="506"/>
      <c r="U306" s="506"/>
      <c r="V306" s="506"/>
      <c r="W306" s="506"/>
      <c r="X306" s="506"/>
      <c r="Y306"/>
      <c r="Z306"/>
    </row>
    <row r="307" ht="22" customHeight="1">
      <c r="A307" s="502" t="str">
        <v>Capital spending</v>
      </c>
      <c r="B307" s="452"/>
      <c r="C307" s="507" t="n">
        <v>613</v>
      </c>
      <c r="D307" s="507" t="n">
        <v>730</v>
      </c>
      <c r="E307" s="507" t="n">
        <v>752</v>
      </c>
      <c r="F307" s="507" t="n">
        <v>668</v>
      </c>
      <c r="G307" s="507" t="n">
        <v>551</v>
      </c>
      <c r="H307" s="507" t="n">
        <v>568</v>
      </c>
      <c r="I307" s="473"/>
      <c r="J307" s="473"/>
      <c r="K307" s="473"/>
      <c r="L307" s="473"/>
      <c r="M307" s="473"/>
      <c r="N307" s="473"/>
      <c r="O307" s="473"/>
      <c r="P307" s="473"/>
      <c r="Q307" s="473"/>
      <c r="R307" s="473"/>
      <c r="S307" s="473"/>
      <c r="T307" s="473"/>
      <c r="U307" s="473"/>
      <c r="V307" s="473"/>
      <c r="W307" s="473"/>
      <c r="X307" s="473"/>
      <c r="Y307"/>
      <c r="Z307"/>
    </row>
    <row r="308" ht="20" customHeight="1">
      <c r="A308" s="505" t="str">
        <v>Capital spending / net revenue</v>
      </c>
      <c r="B308" s="452"/>
      <c r="C308" s="476" t="n">
        <f>IF('Operating Metrics'!C297=0,"",'Operating Metrics'!C307/'Operating Metrics'!C297)</f>
        <v>0.052268076398362895</v>
      </c>
      <c r="D308" s="476" t="n">
        <f>IF('Operating Metrics'!D297=0,"",'Operating Metrics'!D307/'Operating Metrics'!D297)</f>
        <v>0.061231337023989266</v>
      </c>
      <c r="E308" s="476" t="n">
        <f>IF('Operating Metrics'!E297=0,"",'Operating Metrics'!E307/'Operating Metrics'!E297)</f>
        <v>0.057677557907654546</v>
      </c>
      <c r="F308" s="476" t="n">
        <f>IF('Operating Metrics'!F297=0,"",'Operating Metrics'!F307/'Operating Metrics'!F297)</f>
        <v>0.0524992140836215</v>
      </c>
      <c r="G308" s="476" t="n">
        <f>IF('Operating Metrics'!G297=0,"",'Operating Metrics'!G307/'Operating Metrics'!G297)</f>
        <v>0.041635182106694875</v>
      </c>
      <c r="H308" s="476" t="n">
        <f>IF('Operating Metrics'!H297=0,"",'Operating Metrics'!H307/'Operating Metrics'!H297)</f>
        <v>0.04093988755946375</v>
      </c>
      <c r="I308" s="506"/>
      <c r="J308" s="506"/>
      <c r="K308" s="506"/>
      <c r="L308" s="506"/>
      <c r="M308" s="506"/>
      <c r="N308" s="506"/>
      <c r="O308" s="506"/>
      <c r="P308" s="506"/>
      <c r="Q308" s="506"/>
      <c r="R308" s="506"/>
      <c r="S308" s="506"/>
      <c r="T308" s="506"/>
      <c r="U308" s="506"/>
      <c r="V308" s="506"/>
      <c r="W308" s="506"/>
      <c r="X308" s="506"/>
      <c r="Y308"/>
      <c r="Z308"/>
    </row>
    <row r="309" ht="22" customHeight="1">
      <c r="A309" s="502" t="str">
        <v>Depreciation and other amortization</v>
      </c>
      <c r="B309" s="452"/>
      <c r="C309" s="507" t="n">
        <v>341</v>
      </c>
      <c r="D309" s="507" t="n">
        <v>350</v>
      </c>
      <c r="E309" s="507" t="n">
        <v>364</v>
      </c>
      <c r="F309" s="507" t="n">
        <v>357</v>
      </c>
      <c r="G309" s="507" t="n">
        <v>347</v>
      </c>
      <c r="H309" s="507" t="n">
        <v>377</v>
      </c>
      <c r="I309" s="473"/>
      <c r="J309" s="473"/>
      <c r="K309" s="473"/>
      <c r="L309" s="473"/>
      <c r="M309" s="473"/>
      <c r="N309" s="473"/>
      <c r="O309" s="473"/>
      <c r="P309" s="473"/>
      <c r="Q309" s="473"/>
      <c r="R309" s="473"/>
      <c r="S309" s="473"/>
      <c r="T309" s="473"/>
      <c r="U309" s="473"/>
      <c r="V309" s="473"/>
      <c r="W309" s="473"/>
      <c r="X309" s="473"/>
      <c r="Y309"/>
      <c r="Z309"/>
    </row>
    <row r="310" ht="22" customHeight="1">
      <c r="A310" s="502" t="str">
        <v>Amortization of intangible assets</v>
      </c>
      <c r="B310" s="452"/>
      <c r="C310" s="507" t="n">
        <v>37</v>
      </c>
      <c r="D310" s="507" t="n">
        <v>40</v>
      </c>
      <c r="E310" s="507" t="n">
        <v>37</v>
      </c>
      <c r="F310" s="507" t="n">
        <v>30</v>
      </c>
      <c r="G310" s="507" t="n">
        <v>29</v>
      </c>
      <c r="H310" s="507" t="n">
        <v>29</v>
      </c>
      <c r="I310" s="473"/>
      <c r="J310" s="473"/>
      <c r="K310" s="473"/>
      <c r="L310" s="473"/>
      <c r="M310" s="473"/>
      <c r="N310" s="473"/>
      <c r="O310" s="473"/>
      <c r="P310" s="473"/>
      <c r="Q310" s="473"/>
      <c r="R310" s="473"/>
      <c r="S310" s="473"/>
      <c r="T310" s="473"/>
      <c r="U310" s="473"/>
      <c r="V310" s="473"/>
      <c r="W310" s="473"/>
      <c r="X310" s="473"/>
      <c r="Y310"/>
      <c r="Z310"/>
    </row>
    <row r="311" ht="22" customHeight="1">
      <c r="A311" s="502" t="str">
        <v>Depreciation and amortization</v>
      </c>
      <c r="B311" s="452"/>
      <c r="C311" s="473" t="n">
        <f>'Operating Metrics'!C309+'Operating Metrics'!C310</f>
        <v>378</v>
      </c>
      <c r="D311" s="473" t="n">
        <f>'Operating Metrics'!D309+'Operating Metrics'!D310</f>
        <v>390</v>
      </c>
      <c r="E311" s="473" t="n">
        <f>'Operating Metrics'!E309+'Operating Metrics'!E310</f>
        <v>401</v>
      </c>
      <c r="F311" s="473" t="n">
        <f>'Operating Metrics'!F309+'Operating Metrics'!F310</f>
        <v>387</v>
      </c>
      <c r="G311" s="473" t="n">
        <f>'Operating Metrics'!G309+'Operating Metrics'!G310</f>
        <v>376</v>
      </c>
      <c r="H311" s="473" t="n">
        <f>'Operating Metrics'!H309+'Operating Metrics'!H310</f>
        <v>406</v>
      </c>
      <c r="I311" s="473"/>
      <c r="J311" s="473"/>
      <c r="K311" s="473"/>
      <c r="L311" s="473"/>
      <c r="M311" s="473"/>
      <c r="N311" s="473"/>
      <c r="O311" s="473"/>
      <c r="P311" s="473"/>
      <c r="Q311" s="473"/>
      <c r="R311" s="473"/>
      <c r="S311" s="473"/>
      <c r="T311" s="473"/>
      <c r="U311" s="473"/>
      <c r="V311" s="473"/>
      <c r="W311" s="473"/>
      <c r="X311" s="473"/>
      <c r="Y311"/>
      <c r="Z311"/>
    </row>
    <row r="312" ht="22" customHeight="1">
      <c r="A312" s="502" t="str">
        <v>Capital spending / D&amp;A</v>
      </c>
      <c r="B312" s="452"/>
      <c r="C312" s="492" t="n">
        <f>IF('Operating Metrics'!C311=0,"",'Operating Metrics'!C307/'Operating Metrics'!C311)</f>
        <v>1.6216931216931216</v>
      </c>
      <c r="D312" s="492" t="n">
        <f>IF('Operating Metrics'!D311=0,"",'Operating Metrics'!D307/'Operating Metrics'!D311)</f>
        <v>1.8717948717948718</v>
      </c>
      <c r="E312" s="492" t="n">
        <f>IF('Operating Metrics'!E311=0,"",'Operating Metrics'!E307/'Operating Metrics'!E311)</f>
        <v>1.8753117206982544</v>
      </c>
      <c r="F312" s="492" t="n">
        <f>IF('Operating Metrics'!F311=0,"",'Operating Metrics'!F307/'Operating Metrics'!F311)</f>
        <v>1.7260981912144704</v>
      </c>
      <c r="G312" s="492" t="n">
        <f>IF('Operating Metrics'!G311=0,"",'Operating Metrics'!G307/'Operating Metrics'!G311)</f>
        <v>1.4654255319148937</v>
      </c>
      <c r="H312" s="492" t="n">
        <f>IF('Operating Metrics'!H311=0,"",'Operating Metrics'!H307/'Operating Metrics'!H311)</f>
        <v>1.3990147783251232</v>
      </c>
      <c r="I312" s="492"/>
      <c r="J312" s="492"/>
      <c r="K312" s="492"/>
      <c r="L312" s="492"/>
      <c r="M312" s="492"/>
      <c r="N312" s="492"/>
      <c r="O312" s="492"/>
      <c r="P312" s="492"/>
      <c r="Q312" s="492"/>
      <c r="R312" s="492"/>
      <c r="S312" s="492"/>
      <c r="T312" s="492"/>
      <c r="U312" s="492"/>
      <c r="V312" s="492"/>
      <c r="W312" s="492"/>
      <c r="X312" s="492"/>
      <c r="Y312"/>
      <c r="Z312"/>
    </row>
    <row r="313" ht="24" customHeight="1">
      <c r="A313" s="477" t="str">
        <v>AMESA</v>
      </c>
      <c r="B313" s="477"/>
      <c r="C313" s="477"/>
      <c r="D313" s="477"/>
      <c r="E313" s="477"/>
      <c r="F313" s="477"/>
      <c r="G313" s="477"/>
      <c r="H313" s="477"/>
      <c r="I313" s="477"/>
      <c r="J313" s="477"/>
      <c r="K313" s="477"/>
      <c r="L313" s="477"/>
      <c r="M313" s="477"/>
      <c r="N313" s="477"/>
      <c r="O313" s="477"/>
      <c r="P313" s="477"/>
      <c r="Q313" s="477"/>
      <c r="R313" s="477"/>
      <c r="S313" s="477"/>
      <c r="T313" s="477"/>
      <c r="U313" s="477"/>
      <c r="V313" s="477"/>
      <c r="W313" s="477"/>
      <c r="X313" s="477"/>
      <c r="Y313"/>
      <c r="Z313"/>
    </row>
    <row r="314" ht="22" customHeight="1">
      <c r="A314" s="502" t="str">
        <v>Net revenue</v>
      </c>
      <c r="B314" s="452"/>
      <c r="C314" s="507" t="n">
        <v>3651</v>
      </c>
      <c r="D314" s="507" t="n">
        <v>4573</v>
      </c>
      <c r="E314" s="507" t="n">
        <v>6078</v>
      </c>
      <c r="F314" s="507" t="n">
        <v>6438</v>
      </c>
      <c r="G314" s="507" t="n">
        <v>6139</v>
      </c>
      <c r="H314" s="507" t="n">
        <v>6217</v>
      </c>
      <c r="I314" s="473"/>
      <c r="J314" s="473"/>
      <c r="K314" s="473"/>
      <c r="L314" s="473"/>
      <c r="M314" s="473"/>
      <c r="N314" s="473"/>
      <c r="O314" s="473"/>
      <c r="P314" s="473"/>
      <c r="Q314" s="473"/>
      <c r="R314" s="473"/>
      <c r="S314" s="473"/>
      <c r="T314" s="473"/>
      <c r="U314" s="473"/>
      <c r="V314" s="473"/>
      <c r="W314" s="473"/>
      <c r="X314" s="473"/>
      <c r="Y314"/>
      <c r="Z314"/>
    </row>
    <row r="315" ht="20" customHeight="1">
      <c r="A315" s="505" t="str">
        <v>Net revenue YoY</v>
      </c>
      <c r="B315" s="452"/>
      <c r="C315" s="506"/>
      <c r="D315" s="476" t="n">
        <f>IF(OR('Operating Metrics'!C314&lt;=0,'Operating Metrics'!D314&lt;0),"",'Operating Metrics'!D314/'Operating Metrics'!C314-1)</f>
        <v>0.2525335524513832</v>
      </c>
      <c r="E315" s="476" t="n">
        <f>IF(OR('Operating Metrics'!D314&lt;=0,'Operating Metrics'!E314&lt;0),"",'Operating Metrics'!E314/'Operating Metrics'!D314-1)</f>
        <v>0.3291056199431446</v>
      </c>
      <c r="F315" s="476" t="n">
        <f>IF(OR('Operating Metrics'!E314&lt;=0,'Operating Metrics'!F314&lt;0),"",'Operating Metrics'!F314/'Operating Metrics'!E314-1)</f>
        <v>0.059230009871668265</v>
      </c>
      <c r="G315" s="476" t="n">
        <f>IF(OR('Operating Metrics'!F314&lt;=0,'Operating Metrics'!G314&lt;0),"",'Operating Metrics'!G314/'Operating Metrics'!F314-1)</f>
        <v>-0.04644299471885682</v>
      </c>
      <c r="H315" s="476" t="n">
        <f>IF(OR('Operating Metrics'!G314&lt;=0,'Operating Metrics'!H314&lt;0),"",'Operating Metrics'!H314/'Operating Metrics'!G314-1)</f>
        <v>0.012705652386382216</v>
      </c>
      <c r="I315" s="506"/>
      <c r="J315" s="506"/>
      <c r="K315" s="506"/>
      <c r="L315" s="506"/>
      <c r="M315" s="506"/>
      <c r="N315" s="506"/>
      <c r="O315" s="506"/>
      <c r="P315" s="506"/>
      <c r="Q315" s="506"/>
      <c r="R315" s="506"/>
      <c r="S315" s="506"/>
      <c r="T315" s="506"/>
      <c r="U315" s="506"/>
      <c r="V315" s="506"/>
      <c r="W315" s="506"/>
      <c r="X315" s="506"/>
      <c r="Y315"/>
      <c r="Z315"/>
    </row>
    <row r="316" ht="22" customHeight="1">
      <c r="A316" s="502" t="str">
        <v>Reported operating profit</v>
      </c>
      <c r="B316" s="452"/>
      <c r="C316" s="507" t="n">
        <v>671</v>
      </c>
      <c r="D316" s="507" t="n">
        <v>600</v>
      </c>
      <c r="E316" s="507" t="n">
        <v>858</v>
      </c>
      <c r="F316" s="507" t="n">
        <v>666</v>
      </c>
      <c r="G316" s="507" t="n">
        <v>807</v>
      </c>
      <c r="H316" s="507" t="n">
        <v>798</v>
      </c>
      <c r="I316" s="473"/>
      <c r="J316" s="473"/>
      <c r="K316" s="473"/>
      <c r="L316" s="473"/>
      <c r="M316" s="473"/>
      <c r="N316" s="473"/>
      <c r="O316" s="473"/>
      <c r="P316" s="473"/>
      <c r="Q316" s="473"/>
      <c r="R316" s="473"/>
      <c r="S316" s="473"/>
      <c r="T316" s="473"/>
      <c r="U316" s="473"/>
      <c r="V316" s="473"/>
      <c r="W316" s="473"/>
      <c r="X316" s="473"/>
      <c r="Y316"/>
      <c r="Z316"/>
    </row>
    <row r="317" ht="22" customHeight="1">
      <c r="A317" s="502" t="str">
        <v>Core operating profit</v>
      </c>
      <c r="B317" s="452"/>
      <c r="C317" s="507" t="n">
        <v>716</v>
      </c>
      <c r="D317" s="507" t="n">
        <v>787</v>
      </c>
      <c r="E317" s="507" t="n">
        <v>883</v>
      </c>
      <c r="F317" s="507" t="n">
        <v>871</v>
      </c>
      <c r="G317" s="507" t="n">
        <v>817</v>
      </c>
      <c r="H317" s="507" t="n">
        <v>817</v>
      </c>
      <c r="I317" s="473"/>
      <c r="J317" s="473"/>
      <c r="K317" s="473"/>
      <c r="L317" s="473"/>
      <c r="M317" s="473"/>
      <c r="N317" s="473"/>
      <c r="O317" s="473"/>
      <c r="P317" s="473"/>
      <c r="Q317" s="473"/>
      <c r="R317" s="473"/>
      <c r="S317" s="473"/>
      <c r="T317" s="473"/>
      <c r="U317" s="473"/>
      <c r="V317" s="473"/>
      <c r="W317" s="473"/>
      <c r="X317" s="473"/>
      <c r="Y317"/>
      <c r="Z317"/>
    </row>
    <row r="318" ht="20" customHeight="1">
      <c r="A318" s="505" t="str">
        <v>Core operating profit YoY</v>
      </c>
      <c r="B318" s="452"/>
      <c r="C318" s="506"/>
      <c r="D318" s="476" t="n">
        <f>IF(OR('Operating Metrics'!C317&lt;=0,'Operating Metrics'!D317&lt;0),"",'Operating Metrics'!D317/'Operating Metrics'!C317-1)</f>
        <v>0.09916201117318435</v>
      </c>
      <c r="E318" s="476" t="n">
        <f>IF(OR('Operating Metrics'!D317&lt;=0,'Operating Metrics'!E317&lt;0),"",'Operating Metrics'!E317/'Operating Metrics'!D317-1)</f>
        <v>0.121982210927573</v>
      </c>
      <c r="F318" s="476" t="n">
        <f>IF(OR('Operating Metrics'!E317&lt;=0,'Operating Metrics'!F317&lt;0),"",'Operating Metrics'!F317/'Operating Metrics'!E317-1)</f>
        <v>-0.013590033975084959</v>
      </c>
      <c r="G318" s="476" t="n">
        <f>IF(OR('Operating Metrics'!F317&lt;=0,'Operating Metrics'!G317&lt;0),"",'Operating Metrics'!G317/'Operating Metrics'!F317-1)</f>
        <v>-0.06199770378874858</v>
      </c>
      <c r="H318" s="476" t="n">
        <f>IF(OR('Operating Metrics'!G317&lt;=0,'Operating Metrics'!H317&lt;0),"",'Operating Metrics'!H317/'Operating Metrics'!G317-1)</f>
        <v>0</v>
      </c>
      <c r="I318" s="506"/>
      <c r="J318" s="506"/>
      <c r="K318" s="506"/>
      <c r="L318" s="506"/>
      <c r="M318" s="506"/>
      <c r="N318" s="506"/>
      <c r="O318" s="506"/>
      <c r="P318" s="506"/>
      <c r="Q318" s="506"/>
      <c r="R318" s="506"/>
      <c r="S318" s="506"/>
      <c r="T318" s="506"/>
      <c r="U318" s="506"/>
      <c r="V318" s="506"/>
      <c r="W318" s="506"/>
      <c r="X318" s="506"/>
      <c r="Y318"/>
      <c r="Z318"/>
    </row>
    <row r="319" ht="20" customHeight="1">
      <c r="A319" s="505" t="str">
        <v>Core operating margin</v>
      </c>
      <c r="B319" s="452"/>
      <c r="C319" s="476" t="n">
        <f>IF('Operating Metrics'!C314=0,"",'Operating Metrics'!C317/'Operating Metrics'!C314)</f>
        <v>0.19611065461517393</v>
      </c>
      <c r="D319" s="476" t="n">
        <f>IF('Operating Metrics'!D314=0,"",'Operating Metrics'!D317/'Operating Metrics'!D314)</f>
        <v>0.17209709162475398</v>
      </c>
      <c r="E319" s="476" t="n">
        <f>IF('Operating Metrics'!E314=0,"",'Operating Metrics'!E317/'Operating Metrics'!E314)</f>
        <v>0.14527805199078644</v>
      </c>
      <c r="F319" s="476" t="n">
        <f>IF('Operating Metrics'!F314=0,"",'Operating Metrics'!F317/'Operating Metrics'!F314)</f>
        <v>0.13529046287666976</v>
      </c>
      <c r="G319" s="476" t="n">
        <f>IF('Operating Metrics'!G314=0,"",'Operating Metrics'!G317/'Operating Metrics'!G314)</f>
        <v>0.13308356409838737</v>
      </c>
      <c r="H319" s="476" t="n">
        <f>IF('Operating Metrics'!H314=0,"",'Operating Metrics'!H317/'Operating Metrics'!H314)</f>
        <v>0.1314138652082998</v>
      </c>
      <c r="I319" s="506"/>
      <c r="J319" s="506"/>
      <c r="K319" s="506"/>
      <c r="L319" s="506"/>
      <c r="M319" s="506"/>
      <c r="N319" s="506"/>
      <c r="O319" s="506"/>
      <c r="P319" s="506"/>
      <c r="Q319" s="506"/>
      <c r="R319" s="506"/>
      <c r="S319" s="506"/>
      <c r="T319" s="506"/>
      <c r="U319" s="506"/>
      <c r="V319" s="506"/>
      <c r="W319" s="506"/>
      <c r="X319" s="506"/>
      <c r="Y319"/>
      <c r="Z319"/>
    </row>
    <row r="320" ht="20" customHeight="1">
      <c r="A320" s="505" t="str">
        <v>Organic revenue growth</v>
      </c>
      <c r="B320" s="452"/>
      <c r="C320" s="508" t="n">
        <v>0.06</v>
      </c>
      <c r="D320" s="508" t="n">
        <v>0.01</v>
      </c>
      <c r="E320" s="508" t="n">
        <v>0.12</v>
      </c>
      <c r="F320" s="508" t="n">
        <v>0.2</v>
      </c>
      <c r="G320" s="508" t="n">
        <v>0.17</v>
      </c>
      <c r="H320" s="508" t="n">
        <v>0.1</v>
      </c>
      <c r="I320" s="506"/>
      <c r="J320" s="506"/>
      <c r="K320" s="506"/>
      <c r="L320" s="506"/>
      <c r="M320" s="506"/>
      <c r="N320" s="506"/>
      <c r="O320" s="506"/>
      <c r="P320" s="506"/>
      <c r="Q320" s="506"/>
      <c r="R320" s="506"/>
      <c r="S320" s="506"/>
      <c r="T320" s="506"/>
      <c r="U320" s="506"/>
      <c r="V320" s="506"/>
      <c r="W320" s="506"/>
      <c r="X320" s="506"/>
      <c r="Y320"/>
      <c r="Z320"/>
    </row>
    <row r="321" ht="20" customHeight="1">
      <c r="A321" s="505" t="str">
        <v>Organic physical volume - foods</v>
      </c>
      <c r="B321" s="452"/>
      <c r="C321" s="508" t="n">
        <v>0.07</v>
      </c>
      <c r="D321" s="508" t="n">
        <v>0.04</v>
      </c>
      <c r="E321" s="508" t="n">
        <v>0.03</v>
      </c>
      <c r="F321" s="508" t="n">
        <v>0.02</v>
      </c>
      <c r="G321" s="508" t="n">
        <v>-0.035</v>
      </c>
      <c r="H321" s="508" t="n">
        <v>0.02</v>
      </c>
      <c r="I321" s="506"/>
      <c r="J321" s="506"/>
      <c r="K321" s="506"/>
      <c r="L321" s="506"/>
      <c r="M321" s="506"/>
      <c r="N321" s="506"/>
      <c r="O321" s="506"/>
      <c r="P321" s="506"/>
      <c r="Q321" s="506"/>
      <c r="R321" s="506"/>
      <c r="S321" s="506"/>
      <c r="T321" s="506"/>
      <c r="U321" s="506"/>
      <c r="V321" s="506"/>
      <c r="W321" s="506"/>
      <c r="X321" s="506"/>
      <c r="Y321"/>
      <c r="Z321"/>
    </row>
    <row r="322" ht="20" customHeight="1">
      <c r="A322" s="505" t="str">
        <v>Organic physical volume - beverages</v>
      </c>
      <c r="B322" s="452"/>
      <c r="C322" s="508" t="n">
        <v>0.04</v>
      </c>
      <c r="D322" s="508" t="n">
        <v>-0.07</v>
      </c>
      <c r="E322" s="508" t="n">
        <v>0.17</v>
      </c>
      <c r="F322" s="508" t="n">
        <v>0.14</v>
      </c>
      <c r="G322" s="508" t="n">
        <v>0.02</v>
      </c>
      <c r="H322" s="508" t="n">
        <v>0.01</v>
      </c>
      <c r="I322" s="506"/>
      <c r="J322" s="506"/>
      <c r="K322" s="506"/>
      <c r="L322" s="506"/>
      <c r="M322" s="506"/>
      <c r="N322" s="506"/>
      <c r="O322" s="506"/>
      <c r="P322" s="506"/>
      <c r="Q322" s="506"/>
      <c r="R322" s="506"/>
      <c r="S322" s="506"/>
      <c r="T322" s="506"/>
      <c r="U322" s="506"/>
      <c r="V322" s="506"/>
      <c r="W322" s="506"/>
      <c r="X322" s="506"/>
      <c r="Y322"/>
      <c r="Z322"/>
    </row>
    <row r="323" ht="20" customHeight="1">
      <c r="A323" s="505" t="str">
        <v>Effective net pricing</v>
      </c>
      <c r="B323" s="452"/>
      <c r="C323" s="508" t="n">
        <v>0.025</v>
      </c>
      <c r="D323" s="508" t="n">
        <v>0</v>
      </c>
      <c r="E323" s="508" t="n">
        <v>0.04</v>
      </c>
      <c r="F323" s="508" t="n">
        <v>0.16</v>
      </c>
      <c r="G323" s="508" t="n">
        <v>0.2</v>
      </c>
      <c r="H323" s="508" t="n">
        <v>0.09</v>
      </c>
      <c r="I323" s="506"/>
      <c r="J323" s="506"/>
      <c r="K323" s="506"/>
      <c r="L323" s="506"/>
      <c r="M323" s="506"/>
      <c r="N323" s="506"/>
      <c r="O323" s="506"/>
      <c r="P323" s="506"/>
      <c r="Q323" s="506"/>
      <c r="R323" s="506"/>
      <c r="S323" s="506"/>
      <c r="T323" s="506"/>
      <c r="U323" s="506"/>
      <c r="V323" s="506"/>
      <c r="W323" s="506"/>
      <c r="X323" s="506"/>
      <c r="Y323"/>
      <c r="Z323"/>
    </row>
    <row r="324" ht="22" customHeight="1">
      <c r="A324" s="502" t="str">
        <v>Capital spending</v>
      </c>
      <c r="B324" s="452"/>
      <c r="C324" s="507" t="n">
        <v>267</v>
      </c>
      <c r="D324" s="507" t="n">
        <v>252</v>
      </c>
      <c r="E324" s="507" t="n">
        <v>325</v>
      </c>
      <c r="F324" s="507" t="n">
        <v>307</v>
      </c>
      <c r="G324" s="507" t="n">
        <v>391</v>
      </c>
      <c r="H324" s="507" t="n">
        <v>450</v>
      </c>
      <c r="I324" s="473"/>
      <c r="J324" s="473"/>
      <c r="K324" s="473"/>
      <c r="L324" s="473"/>
      <c r="M324" s="473"/>
      <c r="N324" s="473"/>
      <c r="O324" s="473"/>
      <c r="P324" s="473"/>
      <c r="Q324" s="473"/>
      <c r="R324" s="473"/>
      <c r="S324" s="473"/>
      <c r="T324" s="473"/>
      <c r="U324" s="473"/>
      <c r="V324" s="473"/>
      <c r="W324" s="473"/>
      <c r="X324" s="473"/>
      <c r="Y324"/>
      <c r="Z324"/>
    </row>
    <row r="325" ht="20" customHeight="1">
      <c r="A325" s="505" t="str">
        <v>Capital spending / net revenue</v>
      </c>
      <c r="B325" s="452"/>
      <c r="C325" s="476" t="n">
        <f>IF('Operating Metrics'!C314=0,"",'Operating Metrics'!C324/'Operating Metrics'!C314)</f>
        <v>0.07313064913722268</v>
      </c>
      <c r="D325" s="476" t="n">
        <f>IF('Operating Metrics'!D314=0,"",'Operating Metrics'!D324/'Operating Metrics'!D314)</f>
        <v>0.0551060572928056</v>
      </c>
      <c r="E325" s="476" t="n">
        <f>IF('Operating Metrics'!E314=0,"",'Operating Metrics'!E324/'Operating Metrics'!E314)</f>
        <v>0.05347153668970056</v>
      </c>
      <c r="F325" s="476" t="n">
        <f>IF('Operating Metrics'!F314=0,"",'Operating Metrics'!F324/'Operating Metrics'!F314)</f>
        <v>0.04768561665113389</v>
      </c>
      <c r="G325" s="476" t="n">
        <f>IF('Operating Metrics'!G314=0,"",'Operating Metrics'!G324/'Operating Metrics'!G314)</f>
        <v>0.06369115491122333</v>
      </c>
      <c r="H325" s="476" t="n">
        <f>IF('Operating Metrics'!H314=0,"",'Operating Metrics'!H324/'Operating Metrics'!H314)</f>
        <v>0.07238217789930834</v>
      </c>
      <c r="I325" s="506"/>
      <c r="J325" s="506"/>
      <c r="K325" s="506"/>
      <c r="L325" s="506"/>
      <c r="M325" s="506"/>
      <c r="N325" s="506"/>
      <c r="O325" s="506"/>
      <c r="P325" s="506"/>
      <c r="Q325" s="506"/>
      <c r="R325" s="506"/>
      <c r="S325" s="506"/>
      <c r="T325" s="506"/>
      <c r="U325" s="506"/>
      <c r="V325" s="506"/>
      <c r="W325" s="506"/>
      <c r="X325" s="506"/>
      <c r="Y325"/>
      <c r="Z325"/>
    </row>
    <row r="326" ht="22" customHeight="1">
      <c r="A326" s="502" t="str">
        <v>Depreciation and other amortization</v>
      </c>
      <c r="B326" s="452"/>
      <c r="C326" s="507" t="n">
        <v>116</v>
      </c>
      <c r="D326" s="507" t="n">
        <v>149</v>
      </c>
      <c r="E326" s="507" t="n">
        <v>181</v>
      </c>
      <c r="F326" s="507" t="n">
        <v>179</v>
      </c>
      <c r="G326" s="507" t="n">
        <v>167</v>
      </c>
      <c r="H326" s="507" t="n">
        <v>172</v>
      </c>
      <c r="I326" s="473"/>
      <c r="J326" s="473"/>
      <c r="K326" s="473"/>
      <c r="L326" s="473"/>
      <c r="M326" s="473"/>
      <c r="N326" s="473"/>
      <c r="O326" s="473"/>
      <c r="P326" s="473"/>
      <c r="Q326" s="473"/>
      <c r="R326" s="473"/>
      <c r="S326" s="473"/>
      <c r="T326" s="473"/>
      <c r="U326" s="473"/>
      <c r="V326" s="473"/>
      <c r="W326" s="473"/>
      <c r="X326" s="473"/>
      <c r="Y326"/>
      <c r="Z326"/>
    </row>
    <row r="327" ht="22" customHeight="1">
      <c r="A327" s="502" t="str">
        <v>Amortization of intangible assets</v>
      </c>
      <c r="B327" s="452"/>
      <c r="C327" s="507" t="n">
        <v>2</v>
      </c>
      <c r="D327" s="507" t="n">
        <v>3</v>
      </c>
      <c r="E327" s="507" t="n">
        <v>5</v>
      </c>
      <c r="F327" s="507" t="n">
        <v>4</v>
      </c>
      <c r="G327" s="507" t="n">
        <v>3</v>
      </c>
      <c r="H327" s="507" t="n">
        <v>3</v>
      </c>
      <c r="I327" s="473"/>
      <c r="J327" s="473"/>
      <c r="K327" s="473"/>
      <c r="L327" s="473"/>
      <c r="M327" s="473"/>
      <c r="N327" s="473"/>
      <c r="O327" s="473"/>
      <c r="P327" s="473"/>
      <c r="Q327" s="473"/>
      <c r="R327" s="473"/>
      <c r="S327" s="473"/>
      <c r="T327" s="473"/>
      <c r="U327" s="473"/>
      <c r="V327" s="473"/>
      <c r="W327" s="473"/>
      <c r="X327" s="473"/>
      <c r="Y327"/>
      <c r="Z327"/>
    </row>
    <row r="328" ht="22" customHeight="1">
      <c r="A328" s="502" t="str">
        <v>Depreciation and amortization</v>
      </c>
      <c r="B328" s="452"/>
      <c r="C328" s="473" t="n">
        <f>'Operating Metrics'!C326+'Operating Metrics'!C327</f>
        <v>118</v>
      </c>
      <c r="D328" s="473" t="n">
        <f>'Operating Metrics'!D326+'Operating Metrics'!D327</f>
        <v>152</v>
      </c>
      <c r="E328" s="473" t="n">
        <f>'Operating Metrics'!E326+'Operating Metrics'!E327</f>
        <v>186</v>
      </c>
      <c r="F328" s="473" t="n">
        <f>'Operating Metrics'!F326+'Operating Metrics'!F327</f>
        <v>183</v>
      </c>
      <c r="G328" s="473" t="n">
        <f>'Operating Metrics'!G326+'Operating Metrics'!G327</f>
        <v>170</v>
      </c>
      <c r="H328" s="473" t="n">
        <f>'Operating Metrics'!H326+'Operating Metrics'!H327</f>
        <v>175</v>
      </c>
      <c r="I328" s="473"/>
      <c r="J328" s="473"/>
      <c r="K328" s="473"/>
      <c r="L328" s="473"/>
      <c r="M328" s="473"/>
      <c r="N328" s="473"/>
      <c r="O328" s="473"/>
      <c r="P328" s="473"/>
      <c r="Q328" s="473"/>
      <c r="R328" s="473"/>
      <c r="S328" s="473"/>
      <c r="T328" s="473"/>
      <c r="U328" s="473"/>
      <c r="V328" s="473"/>
      <c r="W328" s="473"/>
      <c r="X328" s="473"/>
      <c r="Y328"/>
      <c r="Z328"/>
    </row>
    <row r="329" ht="22" customHeight="1">
      <c r="A329" s="502" t="str">
        <v>Capital spending / D&amp;A</v>
      </c>
      <c r="B329" s="452"/>
      <c r="C329" s="492" t="n">
        <f>IF('Operating Metrics'!C328=0,"",'Operating Metrics'!C324/'Operating Metrics'!C328)</f>
        <v>2.26271186440678</v>
      </c>
      <c r="D329" s="492" t="n">
        <f>IF('Operating Metrics'!D328=0,"",'Operating Metrics'!D324/'Operating Metrics'!D328)</f>
        <v>1.6578947368421053</v>
      </c>
      <c r="E329" s="492" t="n">
        <f>IF('Operating Metrics'!E328=0,"",'Operating Metrics'!E324/'Operating Metrics'!E328)</f>
        <v>1.7473118279569892</v>
      </c>
      <c r="F329" s="492" t="n">
        <f>IF('Operating Metrics'!F328=0,"",'Operating Metrics'!F324/'Operating Metrics'!F328)</f>
        <v>1.6775956284153006</v>
      </c>
      <c r="G329" s="492" t="n">
        <f>IF('Operating Metrics'!G328=0,"",'Operating Metrics'!G324/'Operating Metrics'!G328)</f>
        <v>2.3</v>
      </c>
      <c r="H329" s="492" t="n">
        <f>IF('Operating Metrics'!H328=0,"",'Operating Metrics'!H324/'Operating Metrics'!H328)</f>
        <v>2.5714285714285716</v>
      </c>
      <c r="I329" s="492"/>
      <c r="J329" s="492"/>
      <c r="K329" s="492"/>
      <c r="L329" s="492"/>
      <c r="M329" s="492"/>
      <c r="N329" s="492"/>
      <c r="O329" s="492"/>
      <c r="P329" s="492"/>
      <c r="Q329" s="492"/>
      <c r="R329" s="492"/>
      <c r="S329" s="492"/>
      <c r="T329" s="492"/>
      <c r="U329" s="492"/>
      <c r="V329" s="492"/>
      <c r="W329" s="492"/>
      <c r="X329" s="492"/>
      <c r="Y329"/>
      <c r="Z329"/>
    </row>
    <row r="330" ht="24" customHeight="1">
      <c r="A330" s="477" t="str">
        <v>APAC</v>
      </c>
      <c r="B330" s="477"/>
      <c r="C330" s="477"/>
      <c r="D330" s="477"/>
      <c r="E330" s="477"/>
      <c r="F330" s="477"/>
      <c r="G330" s="477"/>
      <c r="H330" s="477"/>
      <c r="I330" s="477"/>
      <c r="J330" s="477"/>
      <c r="K330" s="477"/>
      <c r="L330" s="477"/>
      <c r="M330" s="477"/>
      <c r="N330" s="477"/>
      <c r="O330" s="477"/>
      <c r="P330" s="477"/>
      <c r="Q330" s="477"/>
      <c r="R330" s="477"/>
      <c r="S330" s="477"/>
      <c r="T330" s="477"/>
      <c r="U330" s="477"/>
      <c r="V330" s="477"/>
      <c r="W330" s="477"/>
      <c r="X330" s="477"/>
      <c r="Y330"/>
      <c r="Z330"/>
    </row>
    <row r="331" ht="22" customHeight="1">
      <c r="A331" s="502" t="str">
        <v>Net revenue</v>
      </c>
      <c r="B331" s="452"/>
      <c r="C331" s="507" t="n">
        <v>2919</v>
      </c>
      <c r="D331" s="507" t="n">
        <v>3445</v>
      </c>
      <c r="E331" s="507" t="n">
        <v>4615</v>
      </c>
      <c r="F331" s="507" t="n">
        <v>4787</v>
      </c>
      <c r="G331" s="507" t="n">
        <v>4803</v>
      </c>
      <c r="H331" s="507" t="n">
        <v>4845</v>
      </c>
      <c r="I331" s="473"/>
      <c r="J331" s="473"/>
      <c r="K331" s="473"/>
      <c r="L331" s="473"/>
      <c r="M331" s="473"/>
      <c r="N331" s="473"/>
      <c r="O331" s="473"/>
      <c r="P331" s="473"/>
      <c r="Q331" s="473"/>
      <c r="R331" s="473"/>
      <c r="S331" s="473"/>
      <c r="T331" s="473"/>
      <c r="U331" s="473"/>
      <c r="V331" s="473"/>
      <c r="W331" s="473"/>
      <c r="X331" s="473"/>
      <c r="Y331"/>
      <c r="Z331"/>
    </row>
    <row r="332" ht="20" customHeight="1">
      <c r="A332" s="505" t="str">
        <v>Net revenue YoY</v>
      </c>
      <c r="B332" s="452"/>
      <c r="C332" s="506"/>
      <c r="D332" s="476" t="n">
        <f>IF(OR('Operating Metrics'!C331&lt;=0,'Operating Metrics'!D331&lt;0),"",'Operating Metrics'!D331/'Operating Metrics'!C331-1)</f>
        <v>0.18019869818430978</v>
      </c>
      <c r="E332" s="476" t="n">
        <f>IF(OR('Operating Metrics'!D331&lt;=0,'Operating Metrics'!E331&lt;0),"",'Operating Metrics'!E331/'Operating Metrics'!D331-1)</f>
        <v>0.3396226415094339</v>
      </c>
      <c r="F332" s="476" t="n">
        <f>IF(OR('Operating Metrics'!E331&lt;=0,'Operating Metrics'!F331&lt;0),"",'Operating Metrics'!F331/'Operating Metrics'!E331-1)</f>
        <v>0.03726977248104002</v>
      </c>
      <c r="G332" s="476" t="n">
        <f>IF(OR('Operating Metrics'!F331&lt;=0,'Operating Metrics'!G331&lt;0),"",'Operating Metrics'!G331/'Operating Metrics'!F331-1)</f>
        <v>0.0033423856277416952</v>
      </c>
      <c r="H332" s="476" t="n">
        <f>IF(OR('Operating Metrics'!G331&lt;=0,'Operating Metrics'!H331&lt;0),"",'Operating Metrics'!H331/'Operating Metrics'!G331-1)</f>
        <v>0.008744534665833914</v>
      </c>
      <c r="I332" s="506"/>
      <c r="J332" s="506"/>
      <c r="K332" s="506"/>
      <c r="L332" s="506"/>
      <c r="M332" s="506"/>
      <c r="N332" s="506"/>
      <c r="O332" s="506"/>
      <c r="P332" s="506"/>
      <c r="Q332" s="506"/>
      <c r="R332" s="506"/>
      <c r="S332" s="506"/>
      <c r="T332" s="506"/>
      <c r="U332" s="506"/>
      <c r="V332" s="506"/>
      <c r="W332" s="506"/>
      <c r="X332" s="506"/>
      <c r="Y332"/>
      <c r="Z332"/>
    </row>
    <row r="333" ht="22" customHeight="1">
      <c r="A333" s="502" t="str">
        <v>Reported operating profit</v>
      </c>
      <c r="B333" s="452"/>
      <c r="C333" s="507" t="n">
        <v>477</v>
      </c>
      <c r="D333" s="507" t="n">
        <v>590</v>
      </c>
      <c r="E333" s="507" t="n">
        <v>673</v>
      </c>
      <c r="F333" s="507" t="n">
        <v>537</v>
      </c>
      <c r="G333" s="507" t="n">
        <v>713</v>
      </c>
      <c r="H333" s="507" t="n">
        <v>811</v>
      </c>
      <c r="I333" s="473"/>
      <c r="J333" s="473"/>
      <c r="K333" s="473"/>
      <c r="L333" s="473"/>
      <c r="M333" s="473"/>
      <c r="N333" s="473"/>
      <c r="O333" s="473"/>
      <c r="P333" s="473"/>
      <c r="Q333" s="473"/>
      <c r="R333" s="473"/>
      <c r="S333" s="473"/>
      <c r="T333" s="473"/>
      <c r="U333" s="473"/>
      <c r="V333" s="473"/>
      <c r="W333" s="473"/>
      <c r="X333" s="473"/>
      <c r="Y333"/>
      <c r="Z333"/>
    </row>
    <row r="334" ht="22" customHeight="1">
      <c r="A334" s="502" t="str">
        <v>Core operating profit</v>
      </c>
      <c r="B334" s="452"/>
      <c r="C334" s="507" t="n">
        <v>524</v>
      </c>
      <c r="D334" s="507" t="n">
        <v>602</v>
      </c>
      <c r="E334" s="507" t="n">
        <v>684</v>
      </c>
      <c r="F334" s="507" t="n">
        <v>730</v>
      </c>
      <c r="G334" s="507" t="n">
        <v>780</v>
      </c>
      <c r="H334" s="507" t="n">
        <v>825</v>
      </c>
      <c r="I334" s="473"/>
      <c r="J334" s="473"/>
      <c r="K334" s="473"/>
      <c r="L334" s="473"/>
      <c r="M334" s="473"/>
      <c r="N334" s="473"/>
      <c r="O334" s="473"/>
      <c r="P334" s="473"/>
      <c r="Q334" s="473"/>
      <c r="R334" s="473"/>
      <c r="S334" s="473"/>
      <c r="T334" s="473"/>
      <c r="U334" s="473"/>
      <c r="V334" s="473"/>
      <c r="W334" s="473"/>
      <c r="X334" s="473"/>
      <c r="Y334"/>
      <c r="Z334"/>
    </row>
    <row r="335" ht="20" customHeight="1">
      <c r="A335" s="505" t="str">
        <v>Core operating profit YoY</v>
      </c>
      <c r="B335" s="452"/>
      <c r="C335" s="506"/>
      <c r="D335" s="476" t="n">
        <f>IF(OR('Operating Metrics'!C334&lt;=0,'Operating Metrics'!D334&lt;0),"",'Operating Metrics'!D334/'Operating Metrics'!C334-1)</f>
        <v>0.14885496183206115</v>
      </c>
      <c r="E335" s="476" t="n">
        <f>IF(OR('Operating Metrics'!D334&lt;=0,'Operating Metrics'!E334&lt;0),"",'Operating Metrics'!E334/'Operating Metrics'!D334-1)</f>
        <v>0.1362126245847175</v>
      </c>
      <c r="F335" s="476" t="n">
        <f>IF(OR('Operating Metrics'!E334&lt;=0,'Operating Metrics'!F334&lt;0),"",'Operating Metrics'!F334/'Operating Metrics'!E334-1)</f>
        <v>0.067251461988304</v>
      </c>
      <c r="G335" s="476" t="n">
        <f>IF(OR('Operating Metrics'!F334&lt;=0,'Operating Metrics'!G334&lt;0),"",'Operating Metrics'!G334/'Operating Metrics'!F334-1)</f>
        <v>0.06849315068493156</v>
      </c>
      <c r="H335" s="476" t="n">
        <f>IF(OR('Operating Metrics'!G334&lt;=0,'Operating Metrics'!H334&lt;0),"",'Operating Metrics'!H334/'Operating Metrics'!G334-1)</f>
        <v>0.05769230769230771</v>
      </c>
      <c r="I335" s="506"/>
      <c r="J335" s="506"/>
      <c r="K335" s="506"/>
      <c r="L335" s="506"/>
      <c r="M335" s="506"/>
      <c r="N335" s="506"/>
      <c r="O335" s="506"/>
      <c r="P335" s="506"/>
      <c r="Q335" s="506"/>
      <c r="R335" s="506"/>
      <c r="S335" s="506"/>
      <c r="T335" s="506"/>
      <c r="U335" s="506"/>
      <c r="V335" s="506"/>
      <c r="W335" s="506"/>
      <c r="X335" s="506"/>
      <c r="Y335"/>
      <c r="Z335"/>
    </row>
    <row r="336" ht="20" customHeight="1">
      <c r="A336" s="505" t="str">
        <v>Core operating margin</v>
      </c>
      <c r="B336" s="452"/>
      <c r="C336" s="476" t="n">
        <f>IF('Operating Metrics'!C331=0,"",'Operating Metrics'!C334/'Operating Metrics'!C331)</f>
        <v>0.17951353203151765</v>
      </c>
      <c r="D336" s="476" t="n">
        <f>IF('Operating Metrics'!D331=0,"",'Operating Metrics'!D334/'Operating Metrics'!D331)</f>
        <v>0.17474600870827287</v>
      </c>
      <c r="E336" s="476" t="n">
        <f>IF('Operating Metrics'!E331=0,"",'Operating Metrics'!E334/'Operating Metrics'!E331)</f>
        <v>0.14821235102925243</v>
      </c>
      <c r="F336" s="476" t="n">
        <f>IF('Operating Metrics'!F331=0,"",'Operating Metrics'!F334/'Operating Metrics'!F331)</f>
        <v>0.15249634426571965</v>
      </c>
      <c r="G336" s="476" t="n">
        <f>IF('Operating Metrics'!G331=0,"",'Operating Metrics'!G334/'Operating Metrics'!G331)</f>
        <v>0.16239850093691444</v>
      </c>
      <c r="H336" s="476" t="n">
        <f>IF('Operating Metrics'!H331=0,"",'Operating Metrics'!H334/'Operating Metrics'!H331)</f>
        <v>0.17027863777089783</v>
      </c>
      <c r="I336" s="506"/>
      <c r="J336" s="506"/>
      <c r="K336" s="506"/>
      <c r="L336" s="506"/>
      <c r="M336" s="506"/>
      <c r="N336" s="506"/>
      <c r="O336" s="506"/>
      <c r="P336" s="506"/>
      <c r="Q336" s="506"/>
      <c r="R336" s="506"/>
      <c r="S336" s="506"/>
      <c r="T336" s="506"/>
      <c r="U336" s="506"/>
      <c r="V336" s="506"/>
      <c r="W336" s="506"/>
      <c r="X336" s="506"/>
      <c r="Y336"/>
      <c r="Z336"/>
    </row>
    <row r="337" ht="20" customHeight="1">
      <c r="A337" s="505" t="str">
        <v>Organic revenue growth</v>
      </c>
      <c r="B337" s="452"/>
      <c r="C337" s="508" t="n">
        <v>0.09</v>
      </c>
      <c r="D337" s="508" t="n">
        <v>0.08</v>
      </c>
      <c r="E337" s="508" t="n">
        <v>0.13</v>
      </c>
      <c r="F337" s="508" t="n">
        <v>0.11</v>
      </c>
      <c r="G337" s="508" t="n">
        <v>0.04</v>
      </c>
      <c r="H337" s="508" t="n">
        <v>0.03</v>
      </c>
      <c r="I337" s="506"/>
      <c r="J337" s="506"/>
      <c r="K337" s="506"/>
      <c r="L337" s="506"/>
      <c r="M337" s="506"/>
      <c r="N337" s="506"/>
      <c r="O337" s="506"/>
      <c r="P337" s="506"/>
      <c r="Q337" s="506"/>
      <c r="R337" s="506"/>
      <c r="S337" s="506"/>
      <c r="T337" s="506"/>
      <c r="U337" s="506"/>
      <c r="V337" s="506"/>
      <c r="W337" s="506"/>
      <c r="X337" s="506"/>
      <c r="Y337"/>
      <c r="Z337"/>
    </row>
    <row r="338" ht="20" customHeight="1">
      <c r="A338" s="505" t="str">
        <v>Organic physical volume - foods</v>
      </c>
      <c r="B338" s="452"/>
      <c r="C338" s="508" t="n">
        <v>0.06</v>
      </c>
      <c r="D338" s="508" t="n">
        <v>0.07</v>
      </c>
      <c r="E338" s="508" t="n">
        <v>0.11</v>
      </c>
      <c r="F338" s="508" t="n">
        <v>0.03</v>
      </c>
      <c r="G338" s="508" t="n">
        <v>-0.02</v>
      </c>
      <c r="H338" s="508" t="n">
        <v>0.04</v>
      </c>
      <c r="I338" s="506"/>
      <c r="J338" s="506"/>
      <c r="K338" s="506"/>
      <c r="L338" s="506"/>
      <c r="M338" s="506"/>
      <c r="N338" s="506"/>
      <c r="O338" s="506"/>
      <c r="P338" s="506"/>
      <c r="Q338" s="506"/>
      <c r="R338" s="506"/>
      <c r="S338" s="506"/>
      <c r="T338" s="506"/>
      <c r="U338" s="506"/>
      <c r="V338" s="506"/>
      <c r="W338" s="506"/>
      <c r="X338" s="506"/>
      <c r="Y338"/>
      <c r="Z338"/>
    </row>
    <row r="339" ht="20" customHeight="1">
      <c r="A339" s="505" t="str">
        <v>Organic physical volume - beverages</v>
      </c>
      <c r="B339" s="452"/>
      <c r="C339" s="508" t="n">
        <v>0.04</v>
      </c>
      <c r="D339" s="508" t="n">
        <v>0.01</v>
      </c>
      <c r="E339" s="508" t="n">
        <v>0.13</v>
      </c>
      <c r="F339" s="508" t="n">
        <v>0.08</v>
      </c>
      <c r="G339" s="508" t="n">
        <v>0.025</v>
      </c>
      <c r="H339" s="508" t="n">
        <v>0.01</v>
      </c>
      <c r="I339" s="506"/>
      <c r="J339" s="506"/>
      <c r="K339" s="506"/>
      <c r="L339" s="506"/>
      <c r="M339" s="506"/>
      <c r="N339" s="506"/>
      <c r="O339" s="506"/>
      <c r="P339" s="506"/>
      <c r="Q339" s="506"/>
      <c r="R339" s="506"/>
      <c r="S339" s="506"/>
      <c r="T339" s="506"/>
      <c r="U339" s="506"/>
      <c r="V339" s="506"/>
      <c r="W339" s="506"/>
      <c r="X339" s="506"/>
      <c r="Y339"/>
      <c r="Z339"/>
    </row>
    <row r="340" ht="20" customHeight="1">
      <c r="A340" s="505" t="str">
        <v>Effective net pricing</v>
      </c>
      <c r="B340" s="452"/>
      <c r="C340" s="508" t="n">
        <v>0.02</v>
      </c>
      <c r="D340" s="508" t="n">
        <v>0.03</v>
      </c>
      <c r="E340" s="508" t="n">
        <v>0.01</v>
      </c>
      <c r="F340" s="508" t="n">
        <v>0.06</v>
      </c>
      <c r="G340" s="508" t="n">
        <v>0.06</v>
      </c>
      <c r="H340" s="508" t="n">
        <v>-0.01</v>
      </c>
      <c r="I340" s="506"/>
      <c r="J340" s="506"/>
      <c r="K340" s="506"/>
      <c r="L340" s="506"/>
      <c r="M340" s="506"/>
      <c r="N340" s="506"/>
      <c r="O340" s="506"/>
      <c r="P340" s="506"/>
      <c r="Q340" s="506"/>
      <c r="R340" s="506"/>
      <c r="S340" s="506"/>
      <c r="T340" s="506"/>
      <c r="U340" s="506"/>
      <c r="V340" s="506"/>
      <c r="W340" s="506"/>
      <c r="X340" s="506"/>
      <c r="Y340"/>
      <c r="Z340"/>
    </row>
    <row r="341" ht="22" customHeight="1">
      <c r="A341" s="502" t="str">
        <v>Capital spending</v>
      </c>
      <c r="B341" s="452"/>
      <c r="C341" s="507" t="n">
        <v>195</v>
      </c>
      <c r="D341" s="507" t="n">
        <v>230</v>
      </c>
      <c r="E341" s="507" t="n">
        <v>203</v>
      </c>
      <c r="F341" s="507" t="n">
        <v>241</v>
      </c>
      <c r="G341" s="507" t="n">
        <v>284</v>
      </c>
      <c r="H341" s="507" t="n">
        <v>294</v>
      </c>
      <c r="I341" s="473"/>
      <c r="J341" s="473"/>
      <c r="K341" s="473"/>
      <c r="L341" s="473"/>
      <c r="M341" s="473"/>
      <c r="N341" s="473"/>
      <c r="O341" s="473"/>
      <c r="P341" s="473"/>
      <c r="Q341" s="473"/>
      <c r="R341" s="473"/>
      <c r="S341" s="473"/>
      <c r="T341" s="473"/>
      <c r="U341" s="473"/>
      <c r="V341" s="473"/>
      <c r="W341" s="473"/>
      <c r="X341" s="473"/>
      <c r="Y341"/>
      <c r="Z341"/>
    </row>
    <row r="342" ht="20" customHeight="1">
      <c r="A342" s="505" t="str">
        <v>Capital spending / net revenue</v>
      </c>
      <c r="B342" s="452"/>
      <c r="C342" s="476" t="n">
        <f>IF('Operating Metrics'!C331=0,"",'Operating Metrics'!C341/'Operating Metrics'!C331)</f>
        <v>0.06680369989722508</v>
      </c>
      <c r="D342" s="476" t="n">
        <f>IF('Operating Metrics'!D331=0,"",'Operating Metrics'!D341/'Operating Metrics'!D331)</f>
        <v>0.06676342525399129</v>
      </c>
      <c r="E342" s="476" t="n">
        <f>IF('Operating Metrics'!E331=0,"",'Operating Metrics'!E341/'Operating Metrics'!E331)</f>
        <v>0.043986998916576384</v>
      </c>
      <c r="F342" s="476" t="n">
        <f>IF('Operating Metrics'!F331=0,"",'Operating Metrics'!F341/'Operating Metrics'!F331)</f>
        <v>0.05034468351786087</v>
      </c>
      <c r="G342" s="476" t="n">
        <f>IF('Operating Metrics'!G331=0,"",'Operating Metrics'!G341/'Operating Metrics'!G331)</f>
        <v>0.059129710597543204</v>
      </c>
      <c r="H342" s="476" t="n">
        <f>IF('Operating Metrics'!H331=0,"",'Operating Metrics'!H341/'Operating Metrics'!H331)</f>
        <v>0.06068111455108359</v>
      </c>
      <c r="I342" s="506"/>
      <c r="J342" s="506"/>
      <c r="K342" s="506"/>
      <c r="L342" s="506"/>
      <c r="M342" s="506"/>
      <c r="N342" s="506"/>
      <c r="O342" s="506"/>
      <c r="P342" s="506"/>
      <c r="Q342" s="506"/>
      <c r="R342" s="506"/>
      <c r="S342" s="506"/>
      <c r="T342" s="506"/>
      <c r="U342" s="506"/>
      <c r="V342" s="506"/>
      <c r="W342" s="506"/>
      <c r="X342" s="506"/>
      <c r="Y342"/>
      <c r="Z342"/>
    </row>
    <row r="343" ht="22" customHeight="1">
      <c r="A343" s="502" t="str">
        <v>Depreciation and other amortization</v>
      </c>
      <c r="B343" s="452"/>
      <c r="C343" s="507" t="n">
        <v>76</v>
      </c>
      <c r="D343" s="507" t="n">
        <v>91</v>
      </c>
      <c r="E343" s="507" t="n">
        <v>102</v>
      </c>
      <c r="F343" s="507" t="n">
        <v>92</v>
      </c>
      <c r="G343" s="507" t="n">
        <v>99</v>
      </c>
      <c r="H343" s="507" t="n">
        <v>116</v>
      </c>
      <c r="I343" s="473"/>
      <c r="J343" s="473"/>
      <c r="K343" s="473"/>
      <c r="L343" s="473"/>
      <c r="M343" s="473"/>
      <c r="N343" s="473"/>
      <c r="O343" s="473"/>
      <c r="P343" s="473"/>
      <c r="Q343" s="473"/>
      <c r="R343" s="473"/>
      <c r="S343" s="473"/>
      <c r="T343" s="473"/>
      <c r="U343" s="473"/>
      <c r="V343" s="473"/>
      <c r="W343" s="473"/>
      <c r="X343" s="473"/>
      <c r="Y343"/>
      <c r="Z343"/>
    </row>
    <row r="344" ht="22" customHeight="1">
      <c r="A344" s="502" t="str">
        <v>Amortization of intangible assets</v>
      </c>
      <c r="B344" s="452"/>
      <c r="C344" s="507" t="n">
        <v>1</v>
      </c>
      <c r="D344" s="507" t="n">
        <v>5</v>
      </c>
      <c r="E344" s="507" t="n">
        <v>9</v>
      </c>
      <c r="F344" s="507" t="n">
        <v>8</v>
      </c>
      <c r="G344" s="507" t="n">
        <v>8</v>
      </c>
      <c r="H344" s="507" t="n">
        <v>8</v>
      </c>
      <c r="I344" s="473"/>
      <c r="J344" s="473"/>
      <c r="K344" s="473"/>
      <c r="L344" s="473"/>
      <c r="M344" s="473"/>
      <c r="N344" s="473"/>
      <c r="O344" s="473"/>
      <c r="P344" s="473"/>
      <c r="Q344" s="473"/>
      <c r="R344" s="473"/>
      <c r="S344" s="473"/>
      <c r="T344" s="473"/>
      <c r="U344" s="473"/>
      <c r="V344" s="473"/>
      <c r="W344" s="473"/>
      <c r="X344" s="473"/>
      <c r="Y344"/>
      <c r="Z344"/>
    </row>
    <row r="345" ht="22" customHeight="1">
      <c r="A345" s="502" t="str">
        <v>Depreciation and amortization</v>
      </c>
      <c r="B345" s="452"/>
      <c r="C345" s="473" t="n">
        <f>'Operating Metrics'!C343+'Operating Metrics'!C344</f>
        <v>77</v>
      </c>
      <c r="D345" s="473" t="n">
        <f>'Operating Metrics'!D343+'Operating Metrics'!D344</f>
        <v>96</v>
      </c>
      <c r="E345" s="473" t="n">
        <f>'Operating Metrics'!E343+'Operating Metrics'!E344</f>
        <v>111</v>
      </c>
      <c r="F345" s="473" t="n">
        <f>'Operating Metrics'!F343+'Operating Metrics'!F344</f>
        <v>100</v>
      </c>
      <c r="G345" s="473" t="n">
        <f>'Operating Metrics'!G343+'Operating Metrics'!G344</f>
        <v>107</v>
      </c>
      <c r="H345" s="473" t="n">
        <f>'Operating Metrics'!H343+'Operating Metrics'!H344</f>
        <v>124</v>
      </c>
      <c r="I345" s="473"/>
      <c r="J345" s="473"/>
      <c r="K345" s="473"/>
      <c r="L345" s="473"/>
      <c r="M345" s="473"/>
      <c r="N345" s="473"/>
      <c r="O345" s="473"/>
      <c r="P345" s="473"/>
      <c r="Q345" s="473"/>
      <c r="R345" s="473"/>
      <c r="S345" s="473"/>
      <c r="T345" s="473"/>
      <c r="U345" s="473"/>
      <c r="V345" s="473"/>
      <c r="W345" s="473"/>
      <c r="X345" s="473"/>
      <c r="Y345"/>
      <c r="Z345"/>
    </row>
    <row r="346" ht="22" customHeight="1">
      <c r="A346" s="502" t="str">
        <v>Capital spending / D&amp;A</v>
      </c>
      <c r="B346" s="452"/>
      <c r="C346" s="492" t="n">
        <f>IF('Operating Metrics'!C345=0,"",'Operating Metrics'!C341/'Operating Metrics'!C345)</f>
        <v>2.5324675324675323</v>
      </c>
      <c r="D346" s="492" t="n">
        <f>IF('Operating Metrics'!D345=0,"",'Operating Metrics'!D341/'Operating Metrics'!D345)</f>
        <v>2.3958333333333335</v>
      </c>
      <c r="E346" s="492" t="n">
        <f>IF('Operating Metrics'!E345=0,"",'Operating Metrics'!E341/'Operating Metrics'!E345)</f>
        <v>1.8288288288288288</v>
      </c>
      <c r="F346" s="492" t="n">
        <f>IF('Operating Metrics'!F345=0,"",'Operating Metrics'!F341/'Operating Metrics'!F345)</f>
        <v>2.41</v>
      </c>
      <c r="G346" s="492" t="n">
        <f>IF('Operating Metrics'!G345=0,"",'Operating Metrics'!G341/'Operating Metrics'!G345)</f>
        <v>2.6542056074766354</v>
      </c>
      <c r="H346" s="492" t="n">
        <f>IF('Operating Metrics'!H345=0,"",'Operating Metrics'!H341/'Operating Metrics'!H345)</f>
        <v>2.370967741935484</v>
      </c>
      <c r="I346" s="492"/>
      <c r="J346" s="492"/>
      <c r="K346" s="492"/>
      <c r="L346" s="492"/>
      <c r="M346" s="492"/>
      <c r="N346" s="492"/>
      <c r="O346" s="492"/>
      <c r="P346" s="492"/>
      <c r="Q346" s="492"/>
      <c r="R346" s="492"/>
      <c r="S346" s="492"/>
      <c r="T346" s="492"/>
      <c r="U346" s="492"/>
      <c r="V346" s="492"/>
      <c r="W346" s="492"/>
      <c r="X346" s="492"/>
      <c r="Y346"/>
      <c r="Z346"/>
    </row>
    <row r="347" ht="22" customHeight="1">
      <c r="A347" s="452"/>
      <c r="B347" s="452"/>
      <c r="C347" s="452"/>
      <c r="D347" s="452"/>
      <c r="E347" s="452"/>
      <c r="F347" s="452"/>
      <c r="G347" s="452"/>
      <c r="H347" s="452"/>
      <c r="I347" s="452"/>
      <c r="J347" s="452"/>
      <c r="K347" s="452"/>
      <c r="L347" s="452"/>
      <c r="M347" s="452"/>
      <c r="N347" s="452"/>
      <c r="O347" s="452"/>
      <c r="P347" s="452"/>
      <c r="Q347" s="452"/>
      <c r="R347" s="452"/>
      <c r="S347" s="452"/>
      <c r="T347" s="452"/>
      <c r="U347" s="452"/>
      <c r="V347" s="452"/>
      <c r="W347" s="452"/>
      <c r="X347" s="452"/>
      <c r="Y347"/>
      <c r="Z347"/>
    </row>
    <row r="348" ht="22" customHeight="1">
      <c r="A348" s="452"/>
      <c r="B348" s="452"/>
      <c r="C348" s="452"/>
      <c r="D348" s="452"/>
      <c r="E348" s="452"/>
      <c r="F348" s="452"/>
      <c r="G348" s="452"/>
      <c r="H348" s="452"/>
      <c r="I348" s="452"/>
      <c r="J348" s="452"/>
      <c r="K348" s="452"/>
      <c r="L348" s="452"/>
      <c r="M348" s="452"/>
      <c r="N348" s="452"/>
      <c r="O348" s="452"/>
      <c r="P348" s="452"/>
      <c r="Q348" s="452"/>
      <c r="R348" s="452"/>
      <c r="S348" s="452"/>
      <c r="T348" s="452"/>
      <c r="U348" s="452"/>
      <c r="V348" s="452"/>
      <c r="W348" s="452"/>
      <c r="X348" s="452"/>
      <c r="Y348"/>
      <c r="Z348"/>
    </row>
    <row r="349" ht="22" customHeight="1">
      <c r="A349" s="460" t="str">
        <v>Selected category and historical unit-volume disclosures</v>
      </c>
      <c r="B349" s="460"/>
      <c r="C349" s="460"/>
      <c r="D349" s="460"/>
      <c r="E349" s="460"/>
      <c r="F349" s="460"/>
      <c r="G349" s="460"/>
      <c r="H349" s="460"/>
      <c r="I349" s="460"/>
      <c r="J349" s="460"/>
      <c r="K349" s="460"/>
      <c r="L349" s="460"/>
      <c r="M349" s="460"/>
      <c r="N349" s="460"/>
      <c r="O349" s="460"/>
      <c r="P349" s="460"/>
      <c r="Q349" s="460"/>
      <c r="R349" s="460"/>
      <c r="S349" s="460"/>
      <c r="T349" s="460"/>
      <c r="U349" s="460"/>
      <c r="V349" s="460"/>
      <c r="W349" s="460"/>
      <c r="X349" s="460"/>
      <c r="Y349"/>
      <c r="Z349"/>
    </row>
    <row r="350" ht="36" customHeight="1">
      <c r="A350" s="490" t="str">
        <v>Annual / quarterly filing volume definitions as originally disclosed. Earlier reported unit volume includes acquisitions and reporting-week effects; it is not spliced into organic physical volume. CSD, non-carbonated beverages and savory snacks help explain the main demand indicators.</v>
      </c>
      <c r="B350" s="490"/>
      <c r="C350" s="490"/>
      <c r="D350" s="490"/>
      <c r="E350" s="490"/>
      <c r="F350" s="490"/>
      <c r="G350" s="490"/>
      <c r="H350" s="490"/>
      <c r="I350" s="490"/>
      <c r="J350" s="490"/>
      <c r="K350" s="490"/>
      <c r="L350" s="490"/>
      <c r="M350" s="490"/>
      <c r="N350" s="490"/>
      <c r="O350" s="490"/>
      <c r="P350" s="490"/>
      <c r="Q350" s="490"/>
      <c r="R350" s="490"/>
      <c r="S350" s="490"/>
      <c r="T350" s="490"/>
      <c r="U350" s="490"/>
      <c r="V350" s="490"/>
      <c r="W350" s="490"/>
      <c r="X350" s="490"/>
      <c r="Y350"/>
      <c r="Z350"/>
    </row>
    <row r="351" ht="24" customHeight="1">
      <c r="A351" s="462" t="str">
        <v>Metric / reporting scope</v>
      </c>
      <c r="B351" s="452"/>
      <c r="C351" s="463" t="str">
        <v>FY2016</v>
      </c>
      <c r="D351" s="463" t="str">
        <v>FY2017</v>
      </c>
      <c r="E351" s="463" t="str">
        <v>FY2018</v>
      </c>
      <c r="F351" s="463" t="str">
        <v>FY2019</v>
      </c>
      <c r="G351" s="463" t="str">
        <v>FY2020</v>
      </c>
      <c r="H351" s="463" t="str">
        <v>FY2021</v>
      </c>
      <c r="I351" s="463" t="str">
        <v>FY2022</v>
      </c>
      <c r="J351" s="463" t="str">
        <v>FY2023</v>
      </c>
      <c r="K351" s="463" t="str">
        <v>FY2024</v>
      </c>
      <c r="L351" s="463" t="str">
        <v>FY2025</v>
      </c>
      <c r="M351" s="452"/>
      <c r="N351" s="470" t="str">
        <v>FY2024Q1</v>
      </c>
      <c r="O351" s="470" t="str">
        <v>FY2024Q2</v>
      </c>
      <c r="P351" s="470" t="str">
        <v>FY2024Q3</v>
      </c>
      <c r="Q351" s="470" t="str">
        <v>FY2024Q4</v>
      </c>
      <c r="R351" s="470" t="str">
        <v>FY2025Q1</v>
      </c>
      <c r="S351" s="470" t="str">
        <v>FY2025Q2</v>
      </c>
      <c r="T351" s="470" t="str">
        <v>FY2025Q3</v>
      </c>
      <c r="U351" s="470" t="str">
        <v>FY2025Q4</v>
      </c>
      <c r="V351" s="470" t="str">
        <v>FY2026Q1</v>
      </c>
      <c r="W351" s="470" t="str">
        <v>FY2026Q2</v>
      </c>
      <c r="X351" s="470" t="str">
        <v>FY2026Q3</v>
      </c>
      <c r="Y351"/>
      <c r="Z351"/>
    </row>
    <row r="352" ht="18" customHeight="1">
      <c r="A352" s="452"/>
      <c r="B352" s="452"/>
      <c r="C352" s="501" t="d">
        <v>2016-12-31T00:00:00.000Z</v>
      </c>
      <c r="D352" s="501" t="d">
        <v>2017-12-30T00:00:00.000Z</v>
      </c>
      <c r="E352" s="501" t="d">
        <v>2018-12-29T00:00:00.000Z</v>
      </c>
      <c r="F352" s="501" t="d">
        <v>2019-12-28T00:00:00.000Z</v>
      </c>
      <c r="G352" s="501" t="d">
        <v>2020-12-26T00:00:00.000Z</v>
      </c>
      <c r="H352" s="501" t="d">
        <v>2021-12-25T00:00:00.000Z</v>
      </c>
      <c r="I352" s="501" t="d">
        <v>2022-12-31T00:00:00.000Z</v>
      </c>
      <c r="J352" s="501" t="d">
        <v>2023-12-30T00:00:00.000Z</v>
      </c>
      <c r="K352" s="501" t="d">
        <v>2024-12-28T00:00:00.000Z</v>
      </c>
      <c r="L352" s="501" t="d">
        <v>2025-12-27T00:00:00.000Z</v>
      </c>
      <c r="M352" s="452"/>
      <c r="N352" s="501" t="d">
        <v>2024-03-23T00:00:00.000Z</v>
      </c>
      <c r="O352" s="501" t="d">
        <v>2024-06-15T00:00:00.000Z</v>
      </c>
      <c r="P352" s="501" t="d">
        <v>2024-09-07T00:00:00.000Z</v>
      </c>
      <c r="Q352" s="501" t="d">
        <v>2024-12-28T00:00:00.000Z</v>
      </c>
      <c r="R352" s="501" t="d">
        <v>2025-03-22T00:00:00.000Z</v>
      </c>
      <c r="S352" s="501" t="d">
        <v>2025-06-14T00:00:00.000Z</v>
      </c>
      <c r="T352" s="501" t="d">
        <v>2025-09-06T00:00:00.000Z</v>
      </c>
      <c r="U352" s="501" t="d">
        <v>2025-12-27T00:00:00.000Z</v>
      </c>
      <c r="V352" s="501" t="d">
        <v>2026-03-21T00:00:00.000Z</v>
      </c>
      <c r="W352" s="501" t="d">
        <v>2026-06-13T00:00:00.000Z</v>
      </c>
      <c r="X352" s="501" t="d">
        <v>2026-09-05T00:00:00.000Z</v>
      </c>
      <c r="Y352"/>
      <c r="Z352"/>
    </row>
    <row r="353" ht="20" customHeight="1">
      <c r="A353" s="505" t="str">
        <v>FLNA - reported food unit volume</v>
      </c>
      <c r="B353" s="452"/>
      <c r="C353" s="508" t="n">
        <v>0.03</v>
      </c>
      <c r="D353" s="508" t="n">
        <v>-0.01</v>
      </c>
      <c r="E353" s="508" t="n">
        <v>0.01</v>
      </c>
      <c r="F353" s="508" t="n">
        <v>0.01</v>
      </c>
      <c r="G353" s="508" t="n">
        <v>0.03</v>
      </c>
      <c r="H353" s="508" t="n">
        <v>0.02</v>
      </c>
      <c r="I353" s="506"/>
      <c r="J353" s="506"/>
      <c r="K353" s="506"/>
      <c r="L353" s="506"/>
      <c r="M353" s="506"/>
      <c r="N353" s="506"/>
      <c r="O353" s="506"/>
      <c r="P353" s="506"/>
      <c r="Q353" s="506"/>
      <c r="R353" s="506"/>
      <c r="S353" s="506"/>
      <c r="T353" s="506"/>
      <c r="U353" s="506"/>
      <c r="V353" s="506"/>
      <c r="W353" s="506"/>
      <c r="X353" s="506"/>
      <c r="Y353"/>
      <c r="Z353"/>
    </row>
    <row r="354" ht="20" customHeight="1">
      <c r="A354" s="505" t="str">
        <v>QFNA - reported food unit volume</v>
      </c>
      <c r="B354" s="452"/>
      <c r="C354" s="508" t="n">
        <v>0.02</v>
      </c>
      <c r="D354" s="508" t="n">
        <v>-0.02</v>
      </c>
      <c r="E354" s="508" t="n">
        <v>-0.005</v>
      </c>
      <c r="F354" s="508" t="str">
        <v>was flat</v>
      </c>
      <c r="G354" s="508" t="n">
        <v>0.1</v>
      </c>
      <c r="H354" s="508" t="n">
        <v>-0.07</v>
      </c>
      <c r="I354" s="506"/>
      <c r="J354" s="506"/>
      <c r="K354" s="506"/>
      <c r="L354" s="506"/>
      <c r="M354" s="506"/>
      <c r="N354" s="506"/>
      <c r="O354" s="506"/>
      <c r="P354" s="506"/>
      <c r="Q354" s="506"/>
      <c r="R354" s="506"/>
      <c r="S354" s="506"/>
      <c r="T354" s="506"/>
      <c r="U354" s="506"/>
      <c r="V354" s="506"/>
      <c r="W354" s="506"/>
      <c r="X354" s="506"/>
      <c r="Y354"/>
      <c r="Z354"/>
    </row>
    <row r="355" ht="20" customHeight="1">
      <c r="A355" s="505" t="str">
        <v>NAB - reported beverage unit volume</v>
      </c>
      <c r="B355" s="452"/>
      <c r="C355" s="508" t="n">
        <v>0.02</v>
      </c>
      <c r="D355" s="508" t="n">
        <v>-0.035</v>
      </c>
      <c r="E355" s="508" t="n">
        <v>-0.01</v>
      </c>
      <c r="F355" s="506"/>
      <c r="G355" s="506"/>
      <c r="H355" s="506"/>
      <c r="I355" s="506"/>
      <c r="J355" s="506"/>
      <c r="K355" s="506"/>
      <c r="L355" s="506"/>
      <c r="M355" s="506"/>
      <c r="N355" s="506"/>
      <c r="O355" s="506"/>
      <c r="P355" s="506"/>
      <c r="Q355" s="506"/>
      <c r="R355" s="506"/>
      <c r="S355" s="506"/>
      <c r="T355" s="506"/>
      <c r="U355" s="506"/>
      <c r="V355" s="506"/>
      <c r="W355" s="506"/>
      <c r="X355" s="506"/>
      <c r="Y355"/>
      <c r="Z355"/>
    </row>
    <row r="356" ht="20" customHeight="1">
      <c r="A356" s="505" t="str">
        <v>NAB - CSD volume</v>
      </c>
      <c r="B356" s="452"/>
      <c r="C356" s="508" t="n">
        <v>-0.01</v>
      </c>
      <c r="D356" s="508" t="n">
        <v>-0.05</v>
      </c>
      <c r="E356" s="508" t="n">
        <v>-0.03</v>
      </c>
      <c r="F356" s="506"/>
      <c r="G356" s="506"/>
      <c r="H356" s="506"/>
      <c r="I356" s="506"/>
      <c r="J356" s="506"/>
      <c r="K356" s="506"/>
      <c r="L356" s="506"/>
      <c r="M356" s="506"/>
      <c r="N356" s="506"/>
      <c r="O356" s="506"/>
      <c r="P356" s="506"/>
      <c r="Q356" s="506"/>
      <c r="R356" s="506"/>
      <c r="S356" s="506"/>
      <c r="T356" s="506"/>
      <c r="U356" s="506"/>
      <c r="V356" s="506"/>
      <c r="W356" s="506"/>
      <c r="X356" s="506"/>
      <c r="Y356"/>
      <c r="Z356"/>
    </row>
    <row r="357" ht="20" customHeight="1">
      <c r="A357" s="505" t="str">
        <v>NAB - non-carbonated beverage volume</v>
      </c>
      <c r="B357" s="452"/>
      <c r="C357" s="508" t="n">
        <v>0.07</v>
      </c>
      <c r="D357" s="508" t="n">
        <v>-0.01</v>
      </c>
      <c r="E357" s="508" t="n">
        <v>0.02</v>
      </c>
      <c r="F357" s="506"/>
      <c r="G357" s="506"/>
      <c r="H357" s="506"/>
      <c r="I357" s="506"/>
      <c r="J357" s="506"/>
      <c r="K357" s="506"/>
      <c r="L357" s="506"/>
      <c r="M357" s="506"/>
      <c r="N357" s="506"/>
      <c r="O357" s="506"/>
      <c r="P357" s="506"/>
      <c r="Q357" s="506"/>
      <c r="R357" s="506"/>
      <c r="S357" s="506"/>
      <c r="T357" s="506"/>
      <c r="U357" s="506"/>
      <c r="V357" s="506"/>
      <c r="W357" s="506"/>
      <c r="X357" s="506"/>
      <c r="Y357"/>
      <c r="Z357"/>
    </row>
    <row r="358" ht="20" customHeight="1">
      <c r="A358" s="505" t="str">
        <v>PBNA - reported beverage unit volume</v>
      </c>
      <c r="B358" s="452"/>
      <c r="C358" s="506"/>
      <c r="D358" s="506"/>
      <c r="E358" s="508" t="n">
        <v>-0.01</v>
      </c>
      <c r="F358" s="508" t="n">
        <v>-0.01</v>
      </c>
      <c r="G358" s="508" t="n">
        <v>-0.01</v>
      </c>
      <c r="H358" s="508" t="n">
        <v>0.06</v>
      </c>
      <c r="I358" s="506"/>
      <c r="J358" s="506"/>
      <c r="K358" s="506"/>
      <c r="L358" s="506"/>
      <c r="M358" s="506"/>
      <c r="N358" s="506"/>
      <c r="O358" s="506"/>
      <c r="P358" s="506"/>
      <c r="Q358" s="506"/>
      <c r="R358" s="506"/>
      <c r="S358" s="506"/>
      <c r="T358" s="506"/>
      <c r="U358" s="506"/>
      <c r="V358" s="506"/>
      <c r="W358" s="506"/>
      <c r="X358" s="506"/>
      <c r="Y358"/>
      <c r="Z358"/>
    </row>
    <row r="359" ht="20" customHeight="1">
      <c r="A359" s="505" t="str">
        <v>PBNA - CSD volume</v>
      </c>
      <c r="B359" s="452"/>
      <c r="C359" s="506"/>
      <c r="D359" s="506"/>
      <c r="E359" s="508" t="n">
        <v>-0.03</v>
      </c>
      <c r="F359" s="508" t="n">
        <v>-0.03</v>
      </c>
      <c r="G359" s="508" t="n">
        <v>-0.05</v>
      </c>
      <c r="H359" s="508" t="n">
        <v>0.04</v>
      </c>
      <c r="I359" s="508" t="n">
        <v>-0.01</v>
      </c>
      <c r="J359" s="508" t="n">
        <v>-0.04</v>
      </c>
      <c r="K359" s="508" t="n">
        <v>-0.02</v>
      </c>
      <c r="L359" s="508" t="str">
        <v>slight decline</v>
      </c>
      <c r="M359" s="506"/>
      <c r="N359" s="508" t="n">
        <v>-0.03</v>
      </c>
      <c r="O359" s="508" t="n">
        <v>-0.02</v>
      </c>
      <c r="P359" s="508" t="n">
        <v>-0.03</v>
      </c>
      <c r="Q359" s="506"/>
      <c r="R359" s="508" t="n">
        <v>-0.01</v>
      </c>
      <c r="S359" s="508" t="n">
        <v>0.01</v>
      </c>
      <c r="T359" s="508" t="n">
        <v>0</v>
      </c>
      <c r="U359" s="506"/>
      <c r="V359" s="508" t="n">
        <v>-0.03</v>
      </c>
      <c r="W359" s="508" t="n">
        <v>-0.03</v>
      </c>
      <c r="X359" s="508" t="n">
        <v>-0.02</v>
      </c>
      <c r="Y359"/>
      <c r="Z359"/>
    </row>
    <row r="360" ht="20" customHeight="1">
      <c r="A360" s="505" t="str">
        <v>PBNA - non-carbonated beverage volume</v>
      </c>
      <c r="B360" s="452"/>
      <c r="C360" s="506"/>
      <c r="D360" s="506"/>
      <c r="E360" s="508" t="n">
        <v>0.02</v>
      </c>
      <c r="F360" s="508" t="n">
        <v>0.02</v>
      </c>
      <c r="G360" s="508" t="n">
        <v>0.04</v>
      </c>
      <c r="H360" s="508" t="n">
        <v>0.07</v>
      </c>
      <c r="I360" s="508" t="n">
        <v>0.01</v>
      </c>
      <c r="J360" s="508" t="n">
        <v>-0.06</v>
      </c>
      <c r="K360" s="508" t="n">
        <v>-0.04</v>
      </c>
      <c r="L360" s="508" t="n">
        <v>-0.06</v>
      </c>
      <c r="M360" s="506"/>
      <c r="N360" s="508" t="n">
        <v>-0.07</v>
      </c>
      <c r="O360" s="508" t="n">
        <v>-0.05</v>
      </c>
      <c r="P360" s="508" t="n">
        <v>-0.03</v>
      </c>
      <c r="Q360" s="506"/>
      <c r="R360" s="508" t="n">
        <v>-0.06</v>
      </c>
      <c r="S360" s="508" t="n">
        <v>-0.06</v>
      </c>
      <c r="T360" s="508" t="n">
        <v>-0.06</v>
      </c>
      <c r="U360" s="506"/>
      <c r="V360" s="508" t="n">
        <v>-0.02</v>
      </c>
      <c r="W360" s="508" t="n">
        <v>-0.04</v>
      </c>
      <c r="X360" s="508" t="n">
        <v>-0.03</v>
      </c>
      <c r="Y360"/>
      <c r="Z360"/>
    </row>
    <row r="361" ht="20" customHeight="1">
      <c r="A361" s="505" t="str">
        <v>PFNA - savory snacks volume</v>
      </c>
      <c r="B361" s="452"/>
      <c r="C361" s="506"/>
      <c r="D361" s="506"/>
      <c r="E361" s="506"/>
      <c r="F361" s="506"/>
      <c r="G361" s="506"/>
      <c r="H361" s="506"/>
      <c r="I361" s="506"/>
      <c r="J361" s="506"/>
      <c r="K361" s="506"/>
      <c r="L361" s="508" t="n">
        <v>-0.03</v>
      </c>
      <c r="M361" s="506"/>
      <c r="N361" s="506"/>
      <c r="O361" s="506"/>
      <c r="P361" s="506"/>
      <c r="Q361" s="506"/>
      <c r="R361" s="508" t="n">
        <v>-0.04</v>
      </c>
      <c r="S361" s="508" t="n">
        <v>-0.02</v>
      </c>
      <c r="T361" s="508" t="n">
        <v>-0.04</v>
      </c>
      <c r="U361" s="506"/>
      <c r="V361" s="508" t="n">
        <v>0.02</v>
      </c>
      <c r="W361" s="506"/>
      <c r="X361" s="508" t="n">
        <v>0.01</v>
      </c>
      <c r="Y361"/>
      <c r="Z361"/>
    </row>
    <row r="362" ht="22" customHeight="1">
      <c r="A362" s="452"/>
      <c r="B362" s="452"/>
      <c r="C362" s="452"/>
      <c r="D362" s="452"/>
      <c r="E362" s="452"/>
      <c r="F362" s="452"/>
      <c r="G362" s="452"/>
      <c r="H362" s="452"/>
      <c r="I362" s="452"/>
      <c r="J362" s="452"/>
      <c r="K362" s="452"/>
      <c r="L362" s="452"/>
      <c r="M362" s="452"/>
      <c r="N362" s="452"/>
      <c r="O362" s="452"/>
      <c r="P362" s="452"/>
      <c r="Q362" s="452"/>
      <c r="R362" s="452"/>
      <c r="S362" s="452"/>
      <c r="T362" s="452"/>
      <c r="U362" s="452"/>
      <c r="V362" s="452"/>
      <c r="W362" s="452"/>
      <c r="X362" s="452"/>
      <c r="Y362"/>
      <c r="Z362"/>
    </row>
    <row r="363" ht="22" customHeight="1">
      <c r="A363" s="452"/>
      <c r="B363" s="452"/>
      <c r="C363" s="452"/>
      <c r="D363" s="452"/>
      <c r="E363" s="452"/>
      <c r="F363" s="452"/>
      <c r="G363" s="452"/>
      <c r="H363" s="452"/>
      <c r="I363" s="452"/>
      <c r="J363" s="452"/>
      <c r="K363" s="452"/>
      <c r="L363" s="452"/>
      <c r="M363" s="452"/>
      <c r="N363" s="452"/>
      <c r="O363" s="452"/>
      <c r="P363" s="452"/>
      <c r="Q363" s="452"/>
      <c r="R363" s="452"/>
      <c r="S363" s="452"/>
      <c r="T363" s="452"/>
      <c r="U363" s="452"/>
      <c r="V363" s="452"/>
      <c r="W363" s="452"/>
      <c r="X363" s="452"/>
      <c r="Y363"/>
      <c r="Z363"/>
    </row>
    <row r="364" ht="22" customHeight="1">
      <c r="A364" s="460" t="str">
        <v>Selected charges relevant to earnings quality and capital allocation</v>
      </c>
      <c r="B364" s="460"/>
      <c r="C364" s="460"/>
      <c r="D364" s="460"/>
      <c r="E364" s="460"/>
      <c r="F364" s="460"/>
      <c r="G364" s="460"/>
      <c r="H364" s="460"/>
      <c r="I364" s="460"/>
      <c r="J364" s="460"/>
      <c r="K364" s="460"/>
      <c r="L364" s="460"/>
      <c r="M364" s="460"/>
      <c r="N364" s="460"/>
      <c r="O364" s="460"/>
      <c r="P364" s="460"/>
      <c r="Q364" s="460"/>
      <c r="R364" s="460"/>
      <c r="S364" s="460"/>
      <c r="T364" s="460"/>
      <c r="U364" s="460"/>
      <c r="V364" s="460"/>
      <c r="W364" s="460"/>
      <c r="X364" s="460"/>
      <c r="Y364"/>
      <c r="Z364"/>
    </row>
    <row r="365" ht="36" customHeight="1">
      <c r="A365" s="490" t="str">
        <v>Selected charges excluded from Core; this is not a full reconciliation. Recalls, recurring restructuring and acquisition / brand impairments remain relevant to the economic cost of the business. Positive amounts are add-backs; negative amounts are credits.</v>
      </c>
      <c r="B365" s="490"/>
      <c r="C365" s="490"/>
      <c r="D365" s="490"/>
      <c r="E365" s="490"/>
      <c r="F365" s="490"/>
      <c r="G365" s="490"/>
      <c r="H365" s="490"/>
      <c r="I365" s="490"/>
      <c r="J365" s="490"/>
      <c r="K365" s="490"/>
      <c r="L365" s="490"/>
      <c r="M365" s="490"/>
      <c r="N365" s="490"/>
      <c r="O365" s="490"/>
      <c r="P365" s="490"/>
      <c r="Q365" s="490"/>
      <c r="R365" s="490"/>
      <c r="S365" s="490"/>
      <c r="T365" s="490"/>
      <c r="U365" s="490"/>
      <c r="V365" s="490"/>
      <c r="W365" s="490"/>
      <c r="X365" s="490"/>
      <c r="Y365"/>
      <c r="Z365"/>
    </row>
    <row r="366" ht="24" customHeight="1">
      <c r="A366" s="462" t="str">
        <v>Metric / reporting scope</v>
      </c>
      <c r="B366" s="452"/>
      <c r="C366" s="463" t="str">
        <v>FY2023</v>
      </c>
      <c r="D366" s="463" t="str">
        <v>FY2024</v>
      </c>
      <c r="E366" s="463" t="str">
        <v>FY2025</v>
      </c>
      <c r="F366" s="452"/>
      <c r="G366" s="470" t="str">
        <v>FY2024Q1</v>
      </c>
      <c r="H366" s="470" t="str">
        <v>FY2024Q2</v>
      </c>
      <c r="I366" s="470" t="str">
        <v>FY2024Q3</v>
      </c>
      <c r="J366" s="470" t="str">
        <v>FY2024Q4</v>
      </c>
      <c r="K366" s="470" t="str">
        <v>FY2025Q1</v>
      </c>
      <c r="L366" s="470" t="str">
        <v>FY2025Q2</v>
      </c>
      <c r="M366" s="470" t="str">
        <v>FY2025Q3</v>
      </c>
      <c r="N366" s="470" t="str">
        <v>FY2025Q4</v>
      </c>
      <c r="O366" s="470" t="str">
        <v>FY2026Q1</v>
      </c>
      <c r="P366" s="470" t="str">
        <v>FY2026Q2</v>
      </c>
      <c r="Q366" s="470" t="str">
        <v>FY2026Q3</v>
      </c>
      <c r="R366" s="452"/>
      <c r="S366" s="452"/>
      <c r="T366" s="452"/>
      <c r="U366" s="452"/>
      <c r="V366" s="452"/>
      <c r="W366" s="452"/>
      <c r="X366" s="452"/>
      <c r="Y366"/>
      <c r="Z366"/>
    </row>
    <row r="367" ht="18" customHeight="1">
      <c r="A367" s="452"/>
      <c r="B367" s="452"/>
      <c r="C367" s="501" t="d">
        <v>2023-12-30T00:00:00.000Z</v>
      </c>
      <c r="D367" s="501" t="d">
        <v>2024-12-28T00:00:00.000Z</v>
      </c>
      <c r="E367" s="501" t="d">
        <v>2025-12-27T00:00:00.000Z</v>
      </c>
      <c r="F367" s="452"/>
      <c r="G367" s="501" t="d">
        <v>2024-03-23T00:00:00.000Z</v>
      </c>
      <c r="H367" s="501" t="d">
        <v>2024-06-15T00:00:00.000Z</v>
      </c>
      <c r="I367" s="501" t="d">
        <v>2024-09-07T00:00:00.000Z</v>
      </c>
      <c r="J367" s="501" t="d">
        <v>2024-12-28T00:00:00.000Z</v>
      </c>
      <c r="K367" s="501" t="d">
        <v>2025-03-22T00:00:00.000Z</v>
      </c>
      <c r="L367" s="501" t="d">
        <v>2025-06-14T00:00:00.000Z</v>
      </c>
      <c r="M367" s="501" t="d">
        <v>2025-09-06T00:00:00.000Z</v>
      </c>
      <c r="N367" s="501" t="d">
        <v>2025-12-27T00:00:00.000Z</v>
      </c>
      <c r="O367" s="501" t="d">
        <v>2026-03-21T00:00:00.000Z</v>
      </c>
      <c r="P367" s="501" t="d">
        <v>2026-06-13T00:00:00.000Z</v>
      </c>
      <c r="Q367" s="501" t="d">
        <v>2026-09-05T00:00:00.000Z</v>
      </c>
      <c r="R367" s="452"/>
      <c r="S367" s="452"/>
      <c r="T367" s="452"/>
      <c r="U367" s="452"/>
      <c r="V367" s="452"/>
      <c r="W367" s="452"/>
      <c r="X367" s="452"/>
      <c r="Y367"/>
      <c r="Z367"/>
    </row>
    <row r="368" ht="22" customHeight="1">
      <c r="A368" s="502" t="str">
        <v>PFNA - Product recall-related impact</v>
      </c>
      <c r="B368" s="452"/>
      <c r="C368" s="507" t="n">
        <v>136</v>
      </c>
      <c r="D368" s="507" t="n">
        <v>184</v>
      </c>
      <c r="E368" s="473"/>
      <c r="F368" s="473"/>
      <c r="G368" s="507" t="n">
        <v>167</v>
      </c>
      <c r="H368" s="507" t="n">
        <v>15</v>
      </c>
      <c r="I368" s="507" t="n">
        <v>-1</v>
      </c>
      <c r="J368" s="507" t="n">
        <v>3</v>
      </c>
      <c r="K368" s="473"/>
      <c r="L368" s="473"/>
      <c r="M368" s="473"/>
      <c r="N368" s="473"/>
      <c r="O368" s="473"/>
      <c r="P368" s="473"/>
      <c r="Q368" s="473"/>
      <c r="R368" s="473"/>
      <c r="S368" s="473"/>
      <c r="T368" s="473"/>
      <c r="U368" s="473"/>
      <c r="V368" s="473"/>
      <c r="W368" s="473"/>
      <c r="X368" s="473"/>
      <c r="Y368"/>
      <c r="Z368"/>
    </row>
    <row r="369" ht="22" customHeight="1">
      <c r="A369" s="502" t="str">
        <v>PFNA - Restructuring and impairment charges</v>
      </c>
      <c r="B369" s="452"/>
      <c r="C369" s="507" t="n">
        <v>42</v>
      </c>
      <c r="D369" s="507" t="n">
        <v>161</v>
      </c>
      <c r="E369" s="507" t="n">
        <v>344</v>
      </c>
      <c r="F369" s="473"/>
      <c r="G369" s="507" t="n">
        <v>26</v>
      </c>
      <c r="H369" s="507" t="n">
        <v>13</v>
      </c>
      <c r="I369" s="507" t="n">
        <v>8</v>
      </c>
      <c r="J369" s="507" t="n">
        <v>114</v>
      </c>
      <c r="K369" s="507" t="n">
        <v>24</v>
      </c>
      <c r="L369" s="507" t="n">
        <v>91</v>
      </c>
      <c r="M369" s="507" t="n">
        <v>32</v>
      </c>
      <c r="N369" s="507" t="n">
        <v>197</v>
      </c>
      <c r="O369" s="507" t="n">
        <v>75</v>
      </c>
      <c r="P369" s="507" t="n">
        <v>26</v>
      </c>
      <c r="Q369" s="507" t="n">
        <v>48</v>
      </c>
      <c r="R369" s="473"/>
      <c r="S369" s="473"/>
      <c r="T369" s="473"/>
      <c r="U369" s="473"/>
      <c r="V369" s="473"/>
      <c r="W369" s="473"/>
      <c r="X369" s="473"/>
      <c r="Y369"/>
      <c r="Z369"/>
    </row>
    <row r="370" ht="22" customHeight="1">
      <c r="A370" s="502" t="str">
        <v>PBNA - Impairment and other charges</v>
      </c>
      <c r="B370" s="452"/>
      <c r="C370" s="507" t="n">
        <v>321</v>
      </c>
      <c r="D370" s="507" t="n">
        <v>556</v>
      </c>
      <c r="E370" s="507" t="n">
        <v>1523</v>
      </c>
      <c r="F370" s="473"/>
      <c r="G370" s="473"/>
      <c r="H370" s="473"/>
      <c r="I370" s="507" t="n">
        <v>0</v>
      </c>
      <c r="J370" s="507" t="n">
        <v>556</v>
      </c>
      <c r="K370" s="473"/>
      <c r="L370" s="507" t="n">
        <v>1529</v>
      </c>
      <c r="M370" s="507" t="n">
        <v>8</v>
      </c>
      <c r="N370" s="507" t="n">
        <v>-14</v>
      </c>
      <c r="O370" s="473"/>
      <c r="P370" s="473"/>
      <c r="Q370" s="473"/>
      <c r="R370" s="473"/>
      <c r="S370" s="473"/>
      <c r="T370" s="473"/>
      <c r="U370" s="473"/>
      <c r="V370" s="473"/>
      <c r="W370" s="473"/>
      <c r="X370" s="473"/>
      <c r="Y370"/>
      <c r="Z370"/>
    </row>
    <row r="371" ht="22" customHeight="1">
      <c r="A371" s="502" t="str">
        <v>PBNA - Acquisition and divestiture-related charges/credits</v>
      </c>
      <c r="B371" s="452"/>
      <c r="C371" s="507" t="n">
        <v>16</v>
      </c>
      <c r="D371" s="507" t="n">
        <v>8</v>
      </c>
      <c r="E371" s="507" t="n">
        <v>422</v>
      </c>
      <c r="F371" s="473"/>
      <c r="G371" s="507" t="n">
        <v>2</v>
      </c>
      <c r="H371" s="473"/>
      <c r="I371" s="507" t="n">
        <v>5</v>
      </c>
      <c r="J371" s="507" t="n">
        <v>1</v>
      </c>
      <c r="K371" s="507" t="n">
        <v>10</v>
      </c>
      <c r="L371" s="507" t="n">
        <v>56</v>
      </c>
      <c r="M371" s="507" t="n">
        <v>219</v>
      </c>
      <c r="N371" s="507" t="n">
        <v>137</v>
      </c>
      <c r="O371" s="507" t="n">
        <v>-114</v>
      </c>
      <c r="P371" s="507" t="n">
        <v>-46</v>
      </c>
      <c r="Q371" s="507" t="n">
        <v>-97</v>
      </c>
      <c r="R371" s="473"/>
      <c r="S371" s="473"/>
      <c r="T371" s="473"/>
      <c r="U371" s="473"/>
      <c r="V371" s="473"/>
      <c r="W371" s="473"/>
      <c r="X371" s="473"/>
      <c r="Y371"/>
      <c r="Z371"/>
    </row>
    <row r="372" ht="22" customHeight="1">
      <c r="A372" s="502" t="str">
        <v>PBNA - Restructuring and impairment charges</v>
      </c>
      <c r="B372" s="452"/>
      <c r="C372" s="507" t="n">
        <v>41</v>
      </c>
      <c r="D372" s="507" t="n">
        <v>238</v>
      </c>
      <c r="E372" s="507" t="n">
        <v>281</v>
      </c>
      <c r="F372" s="473"/>
      <c r="G372" s="507" t="n">
        <v>10</v>
      </c>
      <c r="H372" s="507" t="n">
        <v>5</v>
      </c>
      <c r="I372" s="507" t="n">
        <v>128</v>
      </c>
      <c r="J372" s="507" t="n">
        <v>95</v>
      </c>
      <c r="K372" s="507" t="n">
        <v>125</v>
      </c>
      <c r="L372" s="507" t="n">
        <v>48</v>
      </c>
      <c r="M372" s="507" t="n">
        <v>19</v>
      </c>
      <c r="N372" s="507" t="n">
        <v>89</v>
      </c>
      <c r="O372" s="507" t="n">
        <v>17</v>
      </c>
      <c r="P372" s="507" t="n">
        <v>-15</v>
      </c>
      <c r="Q372" s="507" t="n">
        <v>53</v>
      </c>
      <c r="R372" s="473"/>
      <c r="S372" s="473"/>
      <c r="T372" s="473"/>
      <c r="U372" s="473"/>
      <c r="V372" s="473"/>
      <c r="W372" s="473"/>
      <c r="X372" s="473"/>
      <c r="Y372"/>
      <c r="Z372"/>
    </row>
    <row r="373" ht="22" customHeight="1">
      <c r="A373" s="502" t="str">
        <v>IB Franchise - Impairment and other charges</v>
      </c>
      <c r="B373" s="452"/>
      <c r="C373" s="507" t="n">
        <v>862</v>
      </c>
      <c r="D373" s="507" t="n">
        <v>4</v>
      </c>
      <c r="E373" s="507" t="n">
        <v>73</v>
      </c>
      <c r="F373" s="473"/>
      <c r="G373" s="473"/>
      <c r="H373" s="473"/>
      <c r="I373" s="507" t="n">
        <v>0</v>
      </c>
      <c r="J373" s="507" t="n">
        <v>4</v>
      </c>
      <c r="K373" s="473"/>
      <c r="L373" s="507" t="n">
        <v>0</v>
      </c>
      <c r="M373" s="507" t="n">
        <v>73</v>
      </c>
      <c r="N373" s="507" t="n">
        <v>0</v>
      </c>
      <c r="O373" s="473"/>
      <c r="P373" s="473"/>
      <c r="Q373" s="473"/>
      <c r="R373" s="473"/>
      <c r="S373" s="473"/>
      <c r="T373" s="473"/>
      <c r="U373" s="473"/>
      <c r="V373" s="473"/>
      <c r="W373" s="473"/>
      <c r="X373" s="473"/>
      <c r="Y373"/>
      <c r="Z373"/>
    </row>
    <row r="374" ht="22" customHeight="1">
      <c r="A374" s="502" t="str">
        <v>IB Franchise - Indirect tax impact</v>
      </c>
      <c r="B374" s="452"/>
      <c r="C374" s="473"/>
      <c r="D374" s="507" t="n">
        <v>218</v>
      </c>
      <c r="E374" s="507" t="n">
        <v>0</v>
      </c>
      <c r="F374" s="473"/>
      <c r="G374" s="473"/>
      <c r="H374" s="473"/>
      <c r="I374" s="473"/>
      <c r="J374" s="507" t="n">
        <v>218</v>
      </c>
      <c r="K374" s="473"/>
      <c r="L374" s="473"/>
      <c r="M374" s="473"/>
      <c r="N374" s="473"/>
      <c r="O374" s="473"/>
      <c r="P374" s="473"/>
      <c r="Q374" s="473"/>
      <c r="R374" s="473"/>
      <c r="S374" s="473"/>
      <c r="T374" s="473"/>
      <c r="U374" s="473"/>
      <c r="V374" s="473"/>
      <c r="W374" s="473"/>
      <c r="X374" s="473"/>
      <c r="Y374"/>
      <c r="Z374"/>
    </row>
    <row r="375" ht="22" customHeight="1">
      <c r="A375" s="502" t="str">
        <v>EMEA - Impairment and other charges</v>
      </c>
      <c r="B375" s="452"/>
      <c r="C375" s="507" t="n">
        <v>-14</v>
      </c>
      <c r="D375" s="507" t="n">
        <v>145</v>
      </c>
      <c r="E375" s="507" t="n">
        <v>270</v>
      </c>
      <c r="F375" s="473"/>
      <c r="G375" s="473"/>
      <c r="H375" s="473"/>
      <c r="I375" s="507" t="n">
        <v>10</v>
      </c>
      <c r="J375" s="507" t="n">
        <v>135</v>
      </c>
      <c r="K375" s="473"/>
      <c r="L375" s="507" t="n">
        <v>251</v>
      </c>
      <c r="M375" s="507" t="n">
        <v>19</v>
      </c>
      <c r="N375" s="507" t="n">
        <v>0</v>
      </c>
      <c r="O375" s="473"/>
      <c r="P375" s="473"/>
      <c r="Q375" s="473"/>
      <c r="R375" s="473"/>
      <c r="S375" s="473"/>
      <c r="T375" s="473"/>
      <c r="U375" s="473"/>
      <c r="V375" s="473"/>
      <c r="W375" s="473"/>
      <c r="X375" s="473"/>
      <c r="Y375"/>
      <c r="Z375"/>
    </row>
    <row r="376" ht="22" customHeight="1">
      <c r="A376" s="502" t="str">
        <v>Asia Pacific Foods - Impairment and other charges</v>
      </c>
      <c r="B376" s="452"/>
      <c r="C376" s="507" t="n">
        <v>59</v>
      </c>
      <c r="D376" s="507" t="n">
        <v>0</v>
      </c>
      <c r="E376" s="507" t="n">
        <v>80</v>
      </c>
      <c r="F376" s="473"/>
      <c r="G376" s="473"/>
      <c r="H376" s="473"/>
      <c r="I376" s="507" t="n">
        <v>0</v>
      </c>
      <c r="J376" s="507" t="n">
        <v>0</v>
      </c>
      <c r="K376" s="473"/>
      <c r="L376" s="507" t="n">
        <v>80</v>
      </c>
      <c r="M376" s="507" t="n">
        <v>0</v>
      </c>
      <c r="N376" s="507" t="n">
        <v>0</v>
      </c>
      <c r="O376" s="473"/>
      <c r="P376" s="473"/>
      <c r="Q376" s="473"/>
      <c r="R376" s="473"/>
      <c r="S376" s="473"/>
      <c r="T376" s="473"/>
      <c r="U376" s="473"/>
      <c r="V376" s="473"/>
      <c r="W376" s="473"/>
      <c r="X376" s="473"/>
      <c r="Y376"/>
      <c r="Z376"/>
    </row>
    <row r="377" ht="22" customHeight="1">
      <c r="A377" s="502" t="str">
        <v>Corporate - Restructuring and impairment charges</v>
      </c>
      <c r="B377" s="452"/>
      <c r="C377" s="507" t="n">
        <v>88</v>
      </c>
      <c r="D377" s="507" t="n">
        <v>101</v>
      </c>
      <c r="E377" s="507" t="n">
        <v>66</v>
      </c>
      <c r="F377" s="473"/>
      <c r="G377" s="507" t="n">
        <v>30</v>
      </c>
      <c r="H377" s="507" t="n">
        <v>6</v>
      </c>
      <c r="I377" s="507" t="n">
        <v>39</v>
      </c>
      <c r="J377" s="507" t="n">
        <v>26</v>
      </c>
      <c r="K377" s="507" t="n">
        <v>25</v>
      </c>
      <c r="L377" s="507" t="n">
        <v>22</v>
      </c>
      <c r="M377" s="507" t="n">
        <v>-2</v>
      </c>
      <c r="N377" s="507" t="n">
        <v>21</v>
      </c>
      <c r="O377" s="507" t="n">
        <v>6</v>
      </c>
      <c r="P377" s="507" t="n">
        <v>10</v>
      </c>
      <c r="Q377" s="507" t="n">
        <v>39</v>
      </c>
      <c r="R377" s="473"/>
      <c r="S377" s="473"/>
      <c r="T377" s="473"/>
      <c r="U377" s="473"/>
      <c r="V377" s="473"/>
      <c r="W377" s="473"/>
      <c r="X377" s="473"/>
      <c r="Y377"/>
      <c r="Z377"/>
    </row>
    <row r="378" ht="22" customHeight="1">
      <c r="A378" s="502" t="str">
        <v>LatAm Foods - Indirect tax-related impact</v>
      </c>
      <c r="B378" s="452"/>
      <c r="C378" s="473"/>
      <c r="D378" s="507" t="n">
        <v>0</v>
      </c>
      <c r="E378" s="507" t="n">
        <v>82</v>
      </c>
      <c r="F378" s="473"/>
      <c r="G378" s="473"/>
      <c r="H378" s="473"/>
      <c r="I378" s="473"/>
      <c r="J378" s="507" t="n">
        <v>0</v>
      </c>
      <c r="K378" s="473"/>
      <c r="L378" s="473"/>
      <c r="M378" s="507" t="n">
        <v>82</v>
      </c>
      <c r="N378" s="473"/>
      <c r="O378" s="473"/>
      <c r="P378" s="473"/>
      <c r="Q378" s="473"/>
      <c r="R378" s="473"/>
      <c r="S378" s="473"/>
      <c r="T378" s="473"/>
      <c r="U378" s="473"/>
      <c r="V378" s="473"/>
      <c r="W378" s="473"/>
      <c r="X378" s="473"/>
      <c r="Y378"/>
      <c r="Z378"/>
    </row>
    <row r="379" ht="22" customHeight="1">
      <c r="A379" s="452"/>
      <c r="B379" s="452"/>
      <c r="C379" s="452"/>
      <c r="D379" s="452"/>
      <c r="E379" s="452"/>
      <c r="F379" s="452"/>
      <c r="G379" s="452"/>
      <c r="H379" s="452"/>
      <c r="I379" s="452"/>
      <c r="J379" s="452"/>
      <c r="K379" s="452"/>
      <c r="L379" s="452"/>
      <c r="M379" s="452"/>
      <c r="N379" s="452"/>
      <c r="O379" s="452"/>
      <c r="P379" s="452"/>
      <c r="Q379" s="452"/>
      <c r="R379" s="452"/>
      <c r="S379" s="452"/>
      <c r="T379" s="452"/>
      <c r="U379" s="452"/>
      <c r="V379" s="452"/>
      <c r="W379" s="452"/>
      <c r="X379" s="452"/>
      <c r="Y379"/>
      <c r="Z379"/>
    </row>
    <row r="380" ht="22" customHeight="1">
      <c r="A380" s="452"/>
      <c r="B380" s="452"/>
      <c r="C380" s="452"/>
      <c r="D380" s="452"/>
      <c r="E380" s="452"/>
      <c r="F380" s="452"/>
      <c r="G380" s="452"/>
      <c r="H380" s="452"/>
      <c r="I380" s="452"/>
      <c r="J380" s="452"/>
      <c r="K380" s="452"/>
      <c r="L380" s="452"/>
      <c r="M380" s="452"/>
      <c r="N380" s="452"/>
      <c r="O380" s="452"/>
      <c r="P380" s="452"/>
      <c r="Q380" s="452"/>
      <c r="R380" s="452"/>
      <c r="S380" s="452"/>
      <c r="T380" s="452"/>
      <c r="U380" s="452"/>
      <c r="V380" s="452"/>
      <c r="W380" s="452"/>
      <c r="X380" s="452"/>
      <c r="Y380"/>
      <c r="Z380"/>
    </row>
    <row r="381" ht="22" customHeight="1">
      <c r="A381" s="460" t="str">
        <v>FY2022 transaction and impairment effects</v>
      </c>
      <c r="B381" s="460"/>
      <c r="C381" s="460"/>
      <c r="D381" s="460"/>
      <c r="E381" s="460"/>
      <c r="F381" s="460"/>
      <c r="G381" s="460"/>
      <c r="H381" s="460"/>
      <c r="I381" s="460"/>
      <c r="J381" s="460"/>
      <c r="K381" s="460"/>
      <c r="L381" s="460"/>
      <c r="M381" s="460"/>
      <c r="N381" s="460"/>
      <c r="O381" s="460"/>
      <c r="P381" s="460"/>
      <c r="Q381" s="460"/>
      <c r="R381" s="460"/>
      <c r="S381" s="460"/>
      <c r="T381" s="460"/>
      <c r="U381" s="460"/>
      <c r="V381" s="460"/>
      <c r="W381" s="460"/>
      <c r="X381" s="460"/>
      <c r="Y381"/>
      <c r="Z381"/>
    </row>
    <row r="382" ht="24" customHeight="1">
      <c r="A382" s="490" t="str">
        <v>Selected GAAP expense / gain amounts explain unusual FY2022 segment profits. A negative expense is a gain. Current-six Core profit for FY2022 was not separately disclosed in the recast bridge.</v>
      </c>
      <c r="B382" s="490"/>
      <c r="C382" s="490"/>
      <c r="D382" s="490"/>
      <c r="E382" s="490"/>
      <c r="F382" s="490"/>
      <c r="G382" s="490"/>
      <c r="H382" s="490"/>
      <c r="I382" s="490"/>
      <c r="J382" s="490"/>
      <c r="K382" s="490"/>
      <c r="L382" s="490"/>
      <c r="M382" s="490"/>
      <c r="N382" s="490"/>
      <c r="O382" s="490"/>
      <c r="P382" s="490"/>
      <c r="Q382" s="490"/>
      <c r="R382" s="490"/>
      <c r="S382" s="490"/>
      <c r="T382" s="490"/>
      <c r="U382" s="490"/>
      <c r="V382" s="490"/>
      <c r="W382" s="490"/>
      <c r="X382" s="490"/>
      <c r="Y382"/>
      <c r="Z382"/>
    </row>
    <row r="383" ht="24" customHeight="1">
      <c r="A383" s="462" t="str">
        <v>Metric / reporting scope</v>
      </c>
      <c r="B383" s="452"/>
      <c r="C383" s="463" t="str">
        <v>FY2022</v>
      </c>
      <c r="D383" s="452"/>
      <c r="E383" s="452"/>
      <c r="F383" s="452"/>
      <c r="G383" s="452"/>
      <c r="H383" s="452"/>
      <c r="I383" s="452"/>
      <c r="J383" s="452"/>
      <c r="K383" s="452"/>
      <c r="L383" s="452"/>
      <c r="M383" s="452"/>
      <c r="N383" s="452"/>
      <c r="O383" s="452"/>
      <c r="P383" s="452"/>
      <c r="Q383" s="452"/>
      <c r="R383" s="452"/>
      <c r="S383" s="452"/>
      <c r="T383" s="452"/>
      <c r="U383" s="452"/>
      <c r="V383" s="452"/>
      <c r="W383" s="452"/>
      <c r="X383" s="452"/>
      <c r="Y383"/>
      <c r="Z383"/>
    </row>
    <row r="384" ht="18" customHeight="1">
      <c r="A384" s="452"/>
      <c r="B384" s="452"/>
      <c r="C384" s="501" t="d">
        <v>2022-12-31T00:00:00.000Z</v>
      </c>
      <c r="D384" s="452"/>
      <c r="E384" s="452"/>
      <c r="F384" s="452"/>
      <c r="G384" s="452"/>
      <c r="H384" s="452"/>
      <c r="I384" s="452"/>
      <c r="J384" s="452"/>
      <c r="K384" s="452"/>
      <c r="L384" s="452"/>
      <c r="M384" s="452"/>
      <c r="N384" s="452"/>
      <c r="O384" s="452"/>
      <c r="P384" s="452"/>
      <c r="Q384" s="452"/>
      <c r="R384" s="452"/>
      <c r="S384" s="452"/>
      <c r="T384" s="452"/>
      <c r="U384" s="452"/>
      <c r="V384" s="452"/>
      <c r="W384" s="452"/>
      <c r="X384" s="452"/>
      <c r="Y384"/>
      <c r="Z384"/>
    </row>
    <row r="385" ht="36" customHeight="1">
      <c r="A385" s="502" t="str">
        <v>PBNA - Gain associated with the Juice Transaction (expense sign)</v>
      </c>
      <c r="B385" s="452"/>
      <c r="C385" s="507" t="n">
        <v>-3029</v>
      </c>
      <c r="D385" s="473"/>
      <c r="E385" s="473"/>
      <c r="F385" s="473"/>
      <c r="G385" s="473"/>
      <c r="H385" s="473"/>
      <c r="I385" s="473"/>
      <c r="J385" s="473"/>
      <c r="K385" s="473"/>
      <c r="L385" s="473"/>
      <c r="M385" s="473"/>
      <c r="N385" s="473"/>
      <c r="O385" s="473"/>
      <c r="P385" s="473"/>
      <c r="Q385" s="473"/>
      <c r="R385" s="473"/>
      <c r="S385" s="473"/>
      <c r="T385" s="473"/>
      <c r="U385" s="473"/>
      <c r="V385" s="473"/>
      <c r="W385" s="473"/>
      <c r="X385" s="473"/>
      <c r="Y385"/>
      <c r="Z385"/>
    </row>
    <row r="386" ht="22" customHeight="1">
      <c r="A386" s="502" t="str">
        <v>PBNA - Impairment and other charges / (credits)</v>
      </c>
      <c r="B386" s="452"/>
      <c r="C386" s="507" t="n">
        <v>160</v>
      </c>
      <c r="D386" s="473"/>
      <c r="E386" s="473"/>
      <c r="F386" s="473"/>
      <c r="G386" s="473"/>
      <c r="H386" s="473"/>
      <c r="I386" s="473"/>
      <c r="J386" s="473"/>
      <c r="K386" s="473"/>
      <c r="L386" s="473"/>
      <c r="M386" s="473"/>
      <c r="N386" s="473"/>
      <c r="O386" s="473"/>
      <c r="P386" s="473"/>
      <c r="Q386" s="473"/>
      <c r="R386" s="473"/>
      <c r="S386" s="473"/>
      <c r="T386" s="473"/>
      <c r="U386" s="473"/>
      <c r="V386" s="473"/>
      <c r="W386" s="473"/>
      <c r="X386" s="473"/>
      <c r="Y386"/>
      <c r="Z386"/>
    </row>
    <row r="387" ht="22" customHeight="1">
      <c r="A387" s="502" t="str">
        <v>IB Franchise - Impairment and other charges / (credits)</v>
      </c>
      <c r="B387" s="452"/>
      <c r="C387" s="507" t="n">
        <v>1373</v>
      </c>
      <c r="D387" s="473"/>
      <c r="E387" s="473"/>
      <c r="F387" s="473"/>
      <c r="G387" s="473"/>
      <c r="H387" s="473"/>
      <c r="I387" s="473"/>
      <c r="J387" s="473"/>
      <c r="K387" s="473"/>
      <c r="L387" s="473"/>
      <c r="M387" s="473"/>
      <c r="N387" s="473"/>
      <c r="O387" s="473"/>
      <c r="P387" s="473"/>
      <c r="Q387" s="473"/>
      <c r="R387" s="473"/>
      <c r="S387" s="473"/>
      <c r="T387" s="473"/>
      <c r="U387" s="473"/>
      <c r="V387" s="473"/>
      <c r="W387" s="473"/>
      <c r="X387" s="473"/>
      <c r="Y387"/>
      <c r="Z387"/>
    </row>
    <row r="388" ht="36" customHeight="1">
      <c r="A388" s="502" t="str">
        <v>EMEA - Gain associated with the Juice Transaction (expense sign)</v>
      </c>
      <c r="B388" s="452"/>
      <c r="C388" s="507" t="n">
        <v>-292</v>
      </c>
      <c r="D388" s="473"/>
      <c r="E388" s="473"/>
      <c r="F388" s="473"/>
      <c r="G388" s="473"/>
      <c r="H388" s="473"/>
      <c r="I388" s="473"/>
      <c r="J388" s="473"/>
      <c r="K388" s="473"/>
      <c r="L388" s="473"/>
      <c r="M388" s="473"/>
      <c r="N388" s="473"/>
      <c r="O388" s="473"/>
      <c r="P388" s="473"/>
      <c r="Q388" s="473"/>
      <c r="R388" s="473"/>
      <c r="S388" s="473"/>
      <c r="T388" s="473"/>
      <c r="U388" s="473"/>
      <c r="V388" s="473"/>
      <c r="W388" s="473"/>
      <c r="X388" s="473"/>
      <c r="Y388"/>
      <c r="Z388"/>
    </row>
    <row r="389" ht="22" customHeight="1">
      <c r="A389" s="502" t="str">
        <v>EMEA - Impairment and other charges / (credits)</v>
      </c>
      <c r="B389" s="452"/>
      <c r="C389" s="507" t="n">
        <v>1749</v>
      </c>
      <c r="D389" s="473"/>
      <c r="E389" s="473"/>
      <c r="F389" s="473"/>
      <c r="G389" s="473"/>
      <c r="H389" s="473"/>
      <c r="I389" s="473"/>
      <c r="J389" s="473"/>
      <c r="K389" s="473"/>
      <c r="L389" s="473"/>
      <c r="M389" s="473"/>
      <c r="N389" s="473"/>
      <c r="O389" s="473"/>
      <c r="P389" s="473"/>
      <c r="Q389" s="473"/>
      <c r="R389" s="473"/>
      <c r="S389" s="473"/>
      <c r="T389" s="473"/>
      <c r="U389" s="473"/>
      <c r="V389" s="473"/>
      <c r="W389" s="473"/>
      <c r="X389" s="473"/>
      <c r="Y389"/>
      <c r="Z389"/>
    </row>
    <row r="390" ht="22" customHeight="1">
      <c r="A390" s="452"/>
      <c r="B390" s="452"/>
      <c r="C390" s="452"/>
      <c r="D390" s="452"/>
      <c r="E390" s="452"/>
      <c r="F390" s="452"/>
      <c r="G390" s="452"/>
      <c r="H390" s="452"/>
      <c r="I390" s="452"/>
      <c r="J390" s="452"/>
      <c r="K390" s="452"/>
      <c r="L390" s="452"/>
      <c r="M390" s="452"/>
      <c r="N390" s="452"/>
      <c r="O390" s="452"/>
      <c r="P390" s="452"/>
      <c r="Q390" s="452"/>
      <c r="R390" s="452"/>
      <c r="S390" s="452"/>
      <c r="T390" s="452"/>
      <c r="U390" s="452"/>
      <c r="V390" s="452"/>
      <c r="W390" s="452"/>
      <c r="X390" s="452"/>
      <c r="Y390"/>
      <c r="Z390"/>
    </row>
    <row r="391" ht="22" customHeight="1">
      <c r="A391" s="452"/>
      <c r="B391" s="452"/>
      <c r="C391" s="452"/>
      <c r="D391" s="452"/>
      <c r="E391" s="452"/>
      <c r="F391" s="452"/>
      <c r="G391" s="452"/>
      <c r="H391" s="452"/>
      <c r="I391" s="452"/>
      <c r="J391" s="452"/>
      <c r="K391" s="452"/>
      <c r="L391" s="452"/>
      <c r="M391" s="452"/>
      <c r="N391" s="452"/>
      <c r="O391" s="452"/>
      <c r="P391" s="452"/>
      <c r="Q391" s="452"/>
      <c r="R391" s="452"/>
      <c r="S391" s="452"/>
      <c r="T391" s="452"/>
      <c r="U391" s="452"/>
      <c r="V391" s="452"/>
      <c r="W391" s="452"/>
      <c r="X391" s="452"/>
    </row>
    <row r="392" ht="22" customHeight="1">
      <c r="A392" s="452"/>
      <c r="B392" s="452"/>
      <c r="C392" s="452"/>
      <c r="D392" s="452"/>
      <c r="E392" s="452"/>
      <c r="F392" s="452"/>
      <c r="G392" s="452"/>
      <c r="H392" s="452"/>
      <c r="I392" s="452"/>
      <c r="J392" s="452"/>
      <c r="K392" s="452"/>
      <c r="L392" s="452"/>
      <c r="M392" s="452"/>
      <c r="N392" s="452"/>
      <c r="O392" s="452"/>
      <c r="P392" s="452"/>
      <c r="Q392" s="452"/>
      <c r="R392" s="452"/>
      <c r="S392" s="452"/>
      <c r="T392" s="452"/>
      <c r="U392" s="452"/>
      <c r="V392" s="452"/>
      <c r="W392" s="452"/>
      <c r="X392" s="452"/>
    </row>
  </sheetData>
  <mergeCells>
    <mergeCell ref="A1:X1"/>
    <mergeCell ref="A2:X2"/>
    <mergeCell ref="C7:L7"/>
    <mergeCell ref="N7:X7"/>
    <mergeCell ref="C8:L8"/>
    <mergeCell ref="N8:X8"/>
    <mergeCell ref="C9:L9"/>
    <mergeCell ref="N9:X9"/>
    <mergeCell ref="C10:L10"/>
    <mergeCell ref="N10:X10"/>
    <mergeCell ref="C11:L11"/>
    <mergeCell ref="A15:X15"/>
    <mergeCell ref="A16:X16"/>
    <mergeCell ref="A39:X39"/>
    <mergeCell ref="A40:X40"/>
    <mergeCell ref="A43:X43"/>
    <mergeCell ref="A59:X59"/>
    <mergeCell ref="A75:X75"/>
    <mergeCell ref="A91:X91"/>
    <mergeCell ref="A108:X108"/>
    <mergeCell ref="A124:X124"/>
    <mergeCell ref="A140:X140"/>
    <mergeCell ref="A150:X150"/>
    <mergeCell ref="A151:X151"/>
    <mergeCell ref="A154:X154"/>
    <mergeCell ref="A170:X170"/>
    <mergeCell ref="A188:X188"/>
    <mergeCell ref="A189:X189"/>
    <mergeCell ref="A192:X192"/>
    <mergeCell ref="A206:X206"/>
    <mergeCell ref="A221:X221"/>
    <mergeCell ref="A236:X236"/>
    <mergeCell ref="A253:X253"/>
    <mergeCell ref="A254:X254"/>
    <mergeCell ref="A257:X257"/>
    <mergeCell ref="A275:X275"/>
    <mergeCell ref="A276:X276"/>
    <mergeCell ref="A279:X279"/>
    <mergeCell ref="A296:X296"/>
    <mergeCell ref="A313:X313"/>
    <mergeCell ref="A330:X330"/>
    <mergeCell ref="A349:X349"/>
    <mergeCell ref="A350:X350"/>
    <mergeCell ref="A364:X364"/>
    <mergeCell ref="A365:X365"/>
    <mergeCell ref="A381:X381"/>
    <mergeCell ref="A382:X382"/>
  </mergeCells>
  <hyperlinks>
    <hyperlink ref="A3" location="'Contents'!A1" display="Metric (Return to Contents)"/>
    <hyperlink ref="C7" location="'Operating Metrics'!A15" display="PepsiCo - ten-year operating history"/>
    <hyperlink ref="N7" location="'Operating Metrics'!A39" display="Current six segments - annual and quarterly trends"/>
    <hyperlink ref="C8" location="'Operating Metrics'!A150" display="Frito-Lay and Quaker - historical operating split"/>
    <hyperlink ref="N8" location="'Operating Metrics'!A188" display="Earlier reporting structure - FY2016-FY2018"/>
    <hyperlink ref="C9" location="'Operating Metrics'!A253" display="PBNA - FY2019-FY2021"/>
    <hyperlink ref="N9" location="'Operating Metrics'!A275" display="Historical international structure - FY2019-FY2024"/>
    <hyperlink ref="C10" location="'Operating Metrics'!A349" display="Selected category and historical unit-volume disclosures"/>
    <hyperlink ref="N10" location="'Operating Metrics'!A364" display="Selected charges relevant to earnings quality and capital allocation"/>
    <hyperlink ref="C11" location="'Operating Metrics'!A381" display="FY2022 transaction and impairment effects"/>
  </hyperlinks>
  <pageMargins left="0.7" right="0.7" top="0.75" bottom="0.75" header="0.3" footer="0.3"/>
</worksheet>
</file>

<file path=xl/worksheets/sheet4.xml><?xml version="1.0" encoding="utf-8"?>
<worksheet xmlns="http://schemas.openxmlformats.org/spreadsheetml/2006/main">
  <sheetPr>
    <tabColor rgb="FF20746C"/>
  </sheetPr>
  <sheetViews>
    <sheetView showGridLines="0" workbookViewId="0">
      <pane xSplit="2" ySplit="5" topLeftCell="C6" activePane="bottomRight" state="frozen"/>
    </sheetView>
  </sheetViews>
  <sheetFormatPr defaultRowHeight="15"/>
  <cols>
    <col min="1" max="1" width="60" hidden="0" customWidth="1"/>
    <col min="2" max="2" width="2.200000047683716" hidden="0" customWidth="1"/>
    <col min="3" max="3" width="12.199999809265137" hidden="0" customWidth="1"/>
    <col min="4" max="4" width="12.199999809265137" hidden="0" customWidth="1"/>
    <col min="5" max="5" width="12.199999809265137" hidden="0" customWidth="1"/>
    <col min="6" max="6" width="12.199999809265137" hidden="0" customWidth="1"/>
    <col min="7" max="7" width="12.199999809265137" hidden="0" customWidth="1"/>
    <col min="8" max="8" width="12.199999809265137" hidden="0" customWidth="1"/>
    <col min="9" max="9" width="12.199999809265137" hidden="0" customWidth="1"/>
    <col min="10" max="10" width="12.199999809265137" hidden="0" customWidth="1"/>
    <col min="11" max="11" width="12.199999809265137" hidden="0" customWidth="1"/>
    <col min="12" max="12" width="12.199999809265137" hidden="0" customWidth="1"/>
    <col min="13" max="13" width="12.199999809265137" hidden="0" customWidth="1"/>
    <col min="14" max="14" width="12.199999809265137" hidden="0" customWidth="1"/>
    <col min="15" max="15" width="12.199999809265137" hidden="0" customWidth="1"/>
    <col min="16" max="16" width="12.199999809265137" hidden="0" customWidth="1"/>
    <col min="17" max="17" width="12.199999809265137" hidden="0" customWidth="1"/>
    <col min="18" max="18" width="12.199999809265137" hidden="0" customWidth="1"/>
    <col min="19" max="19" width="12.199999809265137" hidden="0" customWidth="1"/>
    <col min="20" max="20" width="12.199999809265137" hidden="0" customWidth="1"/>
    <col min="21" max="21" width="12.199999809265137" hidden="0" customWidth="1"/>
    <col min="22" max="22" width="12.199999809265137" hidden="0" customWidth="1"/>
    <col min="23" max="23" width="12.199999809265137" hidden="0" customWidth="1"/>
    <col min="24" max="24" width="12.199999809265137" hidden="0" customWidth="1"/>
    <col min="25" max="25" width="3" hidden="0" customWidth="1"/>
    <col min="26" max="26" width="12.199999809265137" hidden="0" customWidth="1"/>
    <col min="27" max="27" width="12.199999809265137" hidden="0" customWidth="1"/>
    <col min="28" max="28" width="12.199999809265137" hidden="0" customWidth="1"/>
  </cols>
  <sheetData>
    <row r="1" ht="28" customHeight="1">
      <c r="A1" s="455" t="str">
        <v>PepsiCo PEP — Products &amp; Geography</v>
      </c>
      <c r="B1" s="455"/>
      <c r="C1" s="455"/>
      <c r="D1" s="455"/>
      <c r="E1" s="455"/>
      <c r="F1" s="455"/>
      <c r="G1" s="455"/>
      <c r="H1" s="455"/>
      <c r="I1" s="455"/>
      <c r="J1" s="455"/>
      <c r="K1" s="455"/>
      <c r="L1" s="455"/>
      <c r="M1" s="455"/>
      <c r="N1" s="455"/>
      <c r="O1" s="455"/>
      <c r="P1" s="455"/>
      <c r="Q1" s="455"/>
      <c r="R1" s="455"/>
      <c r="S1" s="455"/>
      <c r="T1" s="455"/>
      <c r="U1" s="455"/>
      <c r="V1" s="455"/>
      <c r="W1" s="455"/>
      <c r="X1" s="455"/>
      <c r="Y1"/>
      <c r="Z1"/>
    </row>
    <row r="2" ht="18" customHeight="1">
      <c r="A2" s="456" t="str">
        <v>USD millions unless indicated. Historical actuals through FY2026Q3. Research layout as of 2026-10-22.</v>
      </c>
      <c r="B2" s="456"/>
      <c r="C2" s="456"/>
      <c r="D2" s="456"/>
      <c r="E2" s="456"/>
      <c r="F2" s="456"/>
      <c r="G2" s="456"/>
      <c r="H2" s="456"/>
      <c r="I2" s="456"/>
      <c r="J2" s="456"/>
      <c r="K2" s="456"/>
      <c r="L2" s="456"/>
      <c r="M2" s="456"/>
      <c r="N2" s="456"/>
      <c r="O2" s="456"/>
      <c r="P2" s="456"/>
      <c r="Q2" s="456"/>
      <c r="R2" s="456"/>
      <c r="S2" s="456"/>
      <c r="T2" s="456"/>
      <c r="U2" s="456"/>
      <c r="V2" s="456"/>
      <c r="W2" s="456"/>
      <c r="X2" s="456"/>
      <c r="Y2"/>
      <c r="Z2"/>
    </row>
    <row r="3" ht="22" customHeight="1">
      <c r="A3" s="457" t="str">
        <v>Return to Contents</v>
      </c>
      <c r="B3" s="452"/>
      <c r="C3" s="452"/>
      <c r="D3" s="452"/>
      <c r="E3" s="452"/>
      <c r="F3" s="452"/>
      <c r="G3" s="452"/>
      <c r="H3" s="452"/>
      <c r="I3" s="452"/>
      <c r="J3" s="452"/>
      <c r="K3" s="452"/>
      <c r="L3" s="452"/>
      <c r="M3" s="452"/>
      <c r="N3" s="452"/>
      <c r="O3" s="452"/>
      <c r="P3" s="452"/>
      <c r="Q3" s="452"/>
      <c r="R3" s="452"/>
      <c r="S3" s="452"/>
      <c r="T3" s="452"/>
      <c r="U3" s="452"/>
      <c r="V3" s="452"/>
      <c r="W3" s="452"/>
      <c r="X3" s="452"/>
      <c r="Y3"/>
      <c r="Z3"/>
    </row>
    <row r="4" ht="22" customHeight="1">
      <c r="A4" s="452"/>
      <c r="B4" s="452"/>
      <c r="C4" s="452"/>
      <c r="D4" s="452"/>
      <c r="E4" s="452"/>
      <c r="F4" s="452"/>
      <c r="G4" s="452"/>
      <c r="H4" s="452"/>
      <c r="I4" s="452"/>
      <c r="J4" s="452"/>
      <c r="K4" s="452"/>
      <c r="L4" s="452"/>
      <c r="M4" s="452"/>
      <c r="N4" s="452"/>
      <c r="O4" s="452"/>
      <c r="P4" s="452"/>
      <c r="Q4" s="452"/>
      <c r="R4" s="452"/>
      <c r="S4" s="452"/>
      <c r="T4" s="452"/>
      <c r="U4" s="452"/>
      <c r="V4" s="452"/>
      <c r="W4" s="452"/>
      <c r="X4" s="452"/>
      <c r="Y4"/>
      <c r="Z4"/>
    </row>
    <row r="5" ht="22" customHeight="1">
      <c r="A5" s="452"/>
      <c r="B5" s="452"/>
      <c r="C5" s="452"/>
      <c r="D5" s="452"/>
      <c r="E5" s="452"/>
      <c r="F5" s="452"/>
      <c r="G5" s="452"/>
      <c r="H5" s="452"/>
      <c r="I5" s="452"/>
      <c r="J5" s="452"/>
      <c r="K5" s="452"/>
      <c r="L5" s="452"/>
      <c r="M5" s="452"/>
      <c r="N5" s="452"/>
      <c r="O5" s="452"/>
      <c r="P5" s="452"/>
      <c r="Q5" s="452"/>
      <c r="R5" s="452"/>
      <c r="S5" s="452"/>
      <c r="T5" s="452"/>
      <c r="U5" s="452"/>
      <c r="V5" s="452"/>
      <c r="W5" s="452"/>
      <c r="X5" s="452"/>
      <c r="Y5"/>
      <c r="Z5"/>
    </row>
    <row r="6" ht="22" customHeight="1">
      <c r="A6" s="452"/>
      <c r="B6" s="452"/>
      <c r="C6" s="452"/>
      <c r="D6" s="452"/>
      <c r="E6" s="452"/>
      <c r="F6" s="452"/>
      <c r="G6" s="452"/>
      <c r="H6" s="452"/>
      <c r="I6" s="452"/>
      <c r="J6" s="452"/>
      <c r="K6" s="452"/>
      <c r="L6" s="452"/>
      <c r="M6" s="452"/>
      <c r="N6" s="452"/>
      <c r="O6" s="452"/>
      <c r="P6" s="452"/>
      <c r="Q6" s="452"/>
      <c r="R6" s="452"/>
      <c r="S6" s="452"/>
      <c r="T6" s="452"/>
      <c r="U6" s="452"/>
      <c r="V6" s="452"/>
      <c r="W6" s="452"/>
      <c r="X6" s="452"/>
      <c r="Y6"/>
      <c r="Z6"/>
    </row>
    <row r="7" ht="22" customHeight="1">
      <c r="A7" s="452"/>
      <c r="B7" s="452"/>
      <c r="C7" s="497" t="str">
        <v>Country revenue and concentration</v>
      </c>
      <c r="D7" s="497"/>
      <c r="E7" s="497"/>
      <c r="F7" s="497"/>
      <c r="G7" s="497"/>
      <c r="H7" s="497"/>
      <c r="I7" s="497"/>
      <c r="J7" s="497"/>
      <c r="K7" s="497"/>
      <c r="L7" s="497"/>
      <c r="M7" s="452"/>
      <c r="N7" s="497" t="str">
        <v>Country long-lived assets - historical definition</v>
      </c>
      <c r="O7" s="497"/>
      <c r="P7" s="497"/>
      <c r="Q7" s="497"/>
      <c r="R7" s="497"/>
      <c r="S7" s="497"/>
      <c r="T7" s="497"/>
      <c r="U7" s="497"/>
      <c r="V7" s="497"/>
      <c r="W7" s="497"/>
      <c r="X7" s="497"/>
      <c r="Y7"/>
      <c r="Z7"/>
    </row>
    <row r="8" ht="22" customHeight="1">
      <c r="A8" s="452"/>
      <c r="B8" s="452"/>
      <c r="C8" s="497" t="str">
        <v>Property, plant and equipment, net</v>
      </c>
      <c r="D8" s="497"/>
      <c r="E8" s="497"/>
      <c r="F8" s="497"/>
      <c r="G8" s="497"/>
      <c r="H8" s="497"/>
      <c r="I8" s="497"/>
      <c r="J8" s="497"/>
      <c r="K8" s="497"/>
      <c r="L8" s="497"/>
      <c r="M8" s="452"/>
      <c r="N8" s="497" t="str">
        <v>Food / beverage mix and company-owned bottling</v>
      </c>
      <c r="O8" s="497"/>
      <c r="P8" s="497"/>
      <c r="Q8" s="497"/>
      <c r="R8" s="497"/>
      <c r="S8" s="497"/>
      <c r="T8" s="497"/>
      <c r="U8" s="497"/>
      <c r="V8" s="497"/>
      <c r="W8" s="497"/>
      <c r="X8" s="497"/>
      <c r="Y8"/>
      <c r="Z8"/>
    </row>
    <row r="9" ht="22" customHeight="1">
      <c r="A9" s="452"/>
      <c r="B9" s="452"/>
      <c r="C9" s="497" t="str">
        <v>Current regional food / beverage mix</v>
      </c>
      <c r="D9" s="497"/>
      <c r="E9" s="497"/>
      <c r="F9" s="497"/>
      <c r="G9" s="497"/>
      <c r="H9" s="497"/>
      <c r="I9" s="497"/>
      <c r="J9" s="497"/>
      <c r="K9" s="497"/>
      <c r="L9" s="497"/>
      <c r="M9" s="452"/>
      <c r="N9" s="497" t="str">
        <v>Historical regional food / beverage mix</v>
      </c>
      <c r="O9" s="497"/>
      <c r="P9" s="497"/>
      <c r="Q9" s="497"/>
      <c r="R9" s="497"/>
      <c r="S9" s="497"/>
      <c r="T9" s="497"/>
      <c r="U9" s="497"/>
      <c r="V9" s="497"/>
      <c r="W9" s="497"/>
      <c r="X9" s="497"/>
      <c r="Y9"/>
      <c r="Z9"/>
    </row>
    <row r="10" ht="22" customHeight="1">
      <c r="A10" s="452"/>
      <c r="B10" s="452"/>
      <c r="C10" s="452"/>
      <c r="D10" s="452"/>
      <c r="E10" s="452"/>
      <c r="F10" s="452"/>
      <c r="G10" s="452"/>
      <c r="H10" s="452"/>
      <c r="I10" s="452"/>
      <c r="J10" s="452"/>
      <c r="K10" s="452"/>
      <c r="L10" s="452"/>
      <c r="M10" s="452"/>
      <c r="N10" s="452"/>
      <c r="O10" s="452"/>
      <c r="P10" s="452"/>
      <c r="Q10" s="452"/>
      <c r="R10" s="452"/>
      <c r="S10" s="452"/>
      <c r="T10" s="452"/>
      <c r="U10" s="452"/>
      <c r="V10" s="452"/>
      <c r="W10" s="452"/>
      <c r="X10" s="452"/>
      <c r="Y10"/>
      <c r="Z10"/>
    </row>
    <row r="11" ht="22" customHeight="1">
      <c r="A11" s="452"/>
      <c r="B11" s="452"/>
      <c r="C11" s="452"/>
      <c r="D11" s="452"/>
      <c r="E11" s="452"/>
      <c r="F11" s="452"/>
      <c r="G11" s="452"/>
      <c r="H11" s="452"/>
      <c r="I11" s="452"/>
      <c r="J11" s="452"/>
      <c r="K11" s="452"/>
      <c r="L11" s="452"/>
      <c r="M11" s="452"/>
      <c r="N11" s="452"/>
      <c r="O11" s="452"/>
      <c r="P11" s="452"/>
      <c r="Q11" s="452"/>
      <c r="R11" s="452"/>
      <c r="S11" s="452"/>
      <c r="T11" s="452"/>
      <c r="U11" s="452"/>
      <c r="V11" s="452"/>
      <c r="W11" s="452"/>
      <c r="X11" s="452"/>
      <c r="Y11"/>
      <c r="Z11"/>
    </row>
    <row r="12" ht="22" customHeight="1">
      <c r="A12" s="452"/>
      <c r="B12" s="452"/>
      <c r="C12" s="452"/>
      <c r="D12" s="452"/>
      <c r="E12" s="452"/>
      <c r="F12" s="452"/>
      <c r="G12" s="452"/>
      <c r="H12" s="452"/>
      <c r="I12" s="452"/>
      <c r="J12" s="452"/>
      <c r="K12" s="452"/>
      <c r="L12" s="452"/>
      <c r="M12" s="452"/>
      <c r="N12" s="452"/>
      <c r="O12" s="452"/>
      <c r="P12" s="452"/>
      <c r="Q12" s="452"/>
      <c r="R12" s="452"/>
      <c r="S12" s="452"/>
      <c r="T12" s="452"/>
      <c r="U12" s="452"/>
      <c r="V12" s="452"/>
      <c r="W12" s="452"/>
      <c r="X12" s="452"/>
      <c r="Y12"/>
      <c r="Z12"/>
    </row>
    <row r="13" ht="22" customHeight="1">
      <c r="A13" s="460" t="str">
        <v>Country revenue and concentration</v>
      </c>
      <c r="B13" s="460"/>
      <c r="C13" s="460"/>
      <c r="D13" s="460"/>
      <c r="E13" s="460"/>
      <c r="F13" s="460"/>
      <c r="G13" s="460"/>
      <c r="H13" s="460"/>
      <c r="I13" s="460"/>
      <c r="J13" s="460"/>
      <c r="K13" s="460"/>
      <c r="L13" s="460"/>
      <c r="M13" s="460"/>
      <c r="N13" s="460"/>
      <c r="O13" s="460"/>
      <c r="P13" s="460"/>
      <c r="Q13" s="460"/>
      <c r="R13" s="460"/>
      <c r="S13" s="460"/>
      <c r="T13" s="460"/>
      <c r="U13" s="460"/>
      <c r="V13" s="460"/>
      <c r="W13" s="460"/>
      <c r="X13" s="460"/>
      <c r="Y13"/>
      <c r="Z13"/>
    </row>
    <row r="14" ht="24" customHeight="1">
      <c r="A14" s="490" t="str">
        <v>Annual net revenue; quarterly country splits are not disclosed. Blank means not separately disclosed and included in the country residual. The calculated residual excludes every individually displayed country. Shares use consolidated revenue.</v>
      </c>
      <c r="B14" s="490"/>
      <c r="C14" s="490"/>
      <c r="D14" s="490"/>
      <c r="E14" s="490"/>
      <c r="F14" s="490"/>
      <c r="G14" s="490"/>
      <c r="H14" s="490"/>
      <c r="I14" s="490"/>
      <c r="J14" s="490"/>
      <c r="K14" s="490"/>
      <c r="L14" s="490"/>
      <c r="M14" s="490"/>
      <c r="N14" s="490"/>
      <c r="O14" s="490"/>
      <c r="P14" s="490"/>
      <c r="Q14" s="490"/>
      <c r="R14" s="490"/>
      <c r="S14" s="490"/>
      <c r="T14" s="490"/>
      <c r="U14" s="490"/>
      <c r="V14" s="490"/>
      <c r="W14" s="490"/>
      <c r="X14" s="490"/>
      <c r="Y14"/>
      <c r="Z14"/>
    </row>
    <row r="15" ht="24" customHeight="1">
      <c r="A15" s="462" t="str">
        <v>Metric / reporting scope</v>
      </c>
      <c r="B15" s="452"/>
      <c r="C15" s="463" t="str">
        <v>FY2016</v>
      </c>
      <c r="D15" s="463" t="str">
        <v>FY2017</v>
      </c>
      <c r="E15" s="463" t="str">
        <v>FY2018</v>
      </c>
      <c r="F15" s="463" t="str">
        <v>FY2019</v>
      </c>
      <c r="G15" s="463" t="str">
        <v>FY2020</v>
      </c>
      <c r="H15" s="463" t="str">
        <v>FY2021</v>
      </c>
      <c r="I15" s="463" t="str">
        <v>FY2022</v>
      </c>
      <c r="J15" s="463" t="str">
        <v>FY2023</v>
      </c>
      <c r="K15" s="463" t="str">
        <v>FY2024</v>
      </c>
      <c r="L15" s="463" t="str">
        <v>FY2025</v>
      </c>
      <c r="M15" s="452"/>
      <c r="N15" s="452"/>
      <c r="O15" s="452"/>
      <c r="P15" s="452"/>
      <c r="Q15" s="452"/>
      <c r="R15" s="452"/>
      <c r="S15" s="452"/>
      <c r="T15" s="452"/>
      <c r="U15" s="452"/>
      <c r="V15" s="452"/>
      <c r="W15" s="452"/>
      <c r="X15" s="452"/>
      <c r="Y15"/>
      <c r="Z15"/>
    </row>
    <row r="16" ht="18" customHeight="1">
      <c r="A16" s="452"/>
      <c r="B16" s="452"/>
      <c r="C16" s="501" t="d">
        <v>2016-12-31T00:00:00.000Z</v>
      </c>
      <c r="D16" s="501" t="d">
        <v>2017-12-30T00:00:00.000Z</v>
      </c>
      <c r="E16" s="501" t="d">
        <v>2018-12-29T00:00:00.000Z</v>
      </c>
      <c r="F16" s="501" t="d">
        <v>2019-12-28T00:00:00.000Z</v>
      </c>
      <c r="G16" s="501" t="d">
        <v>2020-12-26T00:00:00.000Z</v>
      </c>
      <c r="H16" s="501" t="d">
        <v>2021-12-25T00:00:00.000Z</v>
      </c>
      <c r="I16" s="501" t="d">
        <v>2022-12-31T00:00:00.000Z</v>
      </c>
      <c r="J16" s="501" t="d">
        <v>2023-12-30T00:00:00.000Z</v>
      </c>
      <c r="K16" s="501" t="d">
        <v>2024-12-28T00:00:00.000Z</v>
      </c>
      <c r="L16" s="501" t="d">
        <v>2025-12-27T00:00:00.000Z</v>
      </c>
      <c r="M16" s="452"/>
      <c r="N16" s="452"/>
      <c r="O16" s="452"/>
      <c r="P16" s="452"/>
      <c r="Q16" s="452"/>
      <c r="R16" s="452"/>
      <c r="S16" s="452"/>
      <c r="T16" s="452"/>
      <c r="U16" s="452"/>
      <c r="V16" s="452"/>
      <c r="W16" s="452"/>
      <c r="X16" s="452"/>
      <c r="Y16"/>
      <c r="Z16"/>
    </row>
    <row r="17" ht="24" customHeight="1">
      <c r="A17" s="477" t="str">
        <v>United States</v>
      </c>
      <c r="B17" s="477"/>
      <c r="C17" s="477"/>
      <c r="D17" s="477"/>
      <c r="E17" s="477"/>
      <c r="F17" s="477"/>
      <c r="G17" s="477"/>
      <c r="H17" s="477"/>
      <c r="I17" s="477"/>
      <c r="J17" s="477"/>
      <c r="K17" s="477"/>
      <c r="L17" s="477"/>
      <c r="M17" s="477"/>
      <c r="N17" s="477"/>
      <c r="O17" s="477"/>
      <c r="P17" s="477"/>
      <c r="Q17" s="477"/>
      <c r="R17" s="477"/>
      <c r="S17" s="477"/>
      <c r="T17" s="477"/>
      <c r="U17" s="477"/>
      <c r="V17" s="477"/>
      <c r="W17" s="477"/>
      <c r="X17" s="477"/>
      <c r="Y17"/>
      <c r="Z17"/>
    </row>
    <row r="18" ht="22" customHeight="1">
      <c r="A18" s="502" t="str">
        <v>Net revenue</v>
      </c>
      <c r="B18" s="452"/>
      <c r="C18" s="507" t="n">
        <v>36732</v>
      </c>
      <c r="D18" s="507" t="n">
        <v>36546</v>
      </c>
      <c r="E18" s="507" t="n">
        <v>37148</v>
      </c>
      <c r="F18" s="507" t="n">
        <v>38644</v>
      </c>
      <c r="G18" s="507" t="n">
        <v>40800</v>
      </c>
      <c r="H18" s="507" t="n">
        <v>44545</v>
      </c>
      <c r="I18" s="507" t="n">
        <v>49390</v>
      </c>
      <c r="J18" s="507" t="n">
        <v>52165</v>
      </c>
      <c r="K18" s="507" t="n">
        <v>51668</v>
      </c>
      <c r="L18" s="507" t="n">
        <v>52228</v>
      </c>
      <c r="M18" s="473"/>
      <c r="N18" s="473"/>
      <c r="O18" s="473"/>
      <c r="P18" s="473"/>
      <c r="Q18" s="473"/>
      <c r="R18" s="473"/>
      <c r="S18" s="473"/>
      <c r="T18" s="473"/>
      <c r="U18" s="473"/>
      <c r="V18" s="473"/>
      <c r="W18" s="473"/>
      <c r="X18" s="473"/>
      <c r="Y18"/>
      <c r="Z18"/>
    </row>
    <row r="19" ht="20" customHeight="1">
      <c r="A19" s="505" t="str">
        <v>Net revenue YoY</v>
      </c>
      <c r="B19" s="452"/>
      <c r="C19" s="506"/>
      <c r="D19" s="476" t="n">
        <f>IF(OR('Products &amp; Geography'!C18&lt;=0,'Products &amp; Geography'!D18&lt;0),"",'Products &amp; Geography'!D18/'Products &amp; Geography'!C18-1)</f>
        <v>-0.005063704671675939</v>
      </c>
      <c r="E19" s="476" t="n">
        <f>IF(OR('Products &amp; Geography'!D18&lt;=0,'Products &amp; Geography'!E18&lt;0),"",'Products &amp; Geography'!E18/'Products &amp; Geography'!D18-1)</f>
        <v>0.016472390959338945</v>
      </c>
      <c r="F19" s="476" t="n">
        <f>IF(OR('Products &amp; Geography'!E18&lt;=0,'Products &amp; Geography'!F18&lt;0),"",'Products &amp; Geography'!F18/'Products &amp; Geography'!E18-1)</f>
        <v>0.0402713470442555</v>
      </c>
      <c r="G19" s="476" t="n">
        <f>IF(OR('Products &amp; Geography'!F18&lt;=0,'Products &amp; Geography'!G18&lt;0),"",'Products &amp; Geography'!G18/'Products &amp; Geography'!F18-1)</f>
        <v>0.055791325949694714</v>
      </c>
      <c r="H19" s="476" t="n">
        <f>IF(OR('Products &amp; Geography'!G18&lt;=0,'Products &amp; Geography'!H18&lt;0),"",'Products &amp; Geography'!H18/'Products &amp; Geography'!G18-1)</f>
        <v>0.09178921568627452</v>
      </c>
      <c r="I19" s="476" t="n">
        <f>IF(OR('Products &amp; Geography'!H18&lt;=0,'Products &amp; Geography'!I18&lt;0),"",'Products &amp; Geography'!I18/'Products &amp; Geography'!H18-1)</f>
        <v>0.10876641598383663</v>
      </c>
      <c r="J19" s="476" t="n">
        <f>IF(OR('Products &amp; Geography'!I18&lt;=0,'Products &amp; Geography'!J18&lt;0),"",'Products &amp; Geography'!J18/'Products &amp; Geography'!I18-1)</f>
        <v>0.05618546264425994</v>
      </c>
      <c r="K19" s="476" t="n">
        <f>IF(OR('Products &amp; Geography'!J18&lt;=0,'Products &amp; Geography'!K18&lt;0),"",'Products &amp; Geography'!K18/'Products &amp; Geography'!J18-1)</f>
        <v>-0.009527460941244126</v>
      </c>
      <c r="L19" s="476" t="n">
        <f>IF(OR('Products &amp; Geography'!K18&lt;=0,'Products &amp; Geography'!L18&lt;0),"",'Products &amp; Geography'!L18/'Products &amp; Geography'!K18-1)</f>
        <v>0.010838429976000707</v>
      </c>
      <c r="M19" s="506"/>
      <c r="N19" s="506"/>
      <c r="O19" s="506"/>
      <c r="P19" s="506"/>
      <c r="Q19" s="506"/>
      <c r="R19" s="506"/>
      <c r="S19" s="506"/>
      <c r="T19" s="506"/>
      <c r="U19" s="506"/>
      <c r="V19" s="506"/>
      <c r="W19" s="506"/>
      <c r="X19" s="506"/>
      <c r="Y19"/>
      <c r="Z19"/>
    </row>
    <row r="20" ht="20" customHeight="1">
      <c r="A20" s="505" t="str">
        <v>Share of consolidated revenue</v>
      </c>
      <c r="B20" s="452"/>
      <c r="C20" s="476" t="n">
        <f>IF('Products &amp; Geography'!C50=0,"",'Products &amp; Geography'!C18/'Products &amp; Geography'!C50)</f>
        <v>0.5849137725123011</v>
      </c>
      <c r="D20" s="476" t="n">
        <f>IF('Products &amp; Geography'!D50=0,"",'Products &amp; Geography'!D18/'Products &amp; Geography'!D50)</f>
        <v>0.5753010625737899</v>
      </c>
      <c r="E20" s="476" t="n">
        <f>IF('Products &amp; Geography'!E50=0,"",'Products &amp; Geography'!E18/'Products &amp; Geography'!E50)</f>
        <v>0.5745039513771826</v>
      </c>
      <c r="F20" s="476" t="n">
        <f>IF('Products &amp; Geography'!F50=0,"",'Products &amp; Geography'!F18/'Products &amp; Geography'!F50)</f>
        <v>0.5753934575125444</v>
      </c>
      <c r="G20" s="476" t="n">
        <f>IF('Products &amp; Geography'!G50=0,"",'Products &amp; Geography'!G18/'Products &amp; Geography'!G50)</f>
        <v>0.5797760472915364</v>
      </c>
      <c r="H20" s="476" t="n">
        <f>IF('Products &amp; Geography'!H50=0,"",'Products &amp; Geography'!H18/'Products &amp; Geography'!H50)</f>
        <v>0.5604977728565317</v>
      </c>
      <c r="I20" s="476" t="n">
        <f>IF('Products &amp; Geography'!I50=0,"",'Products &amp; Geography'!I18/'Products &amp; Geography'!I50)</f>
        <v>0.5716964533753125</v>
      </c>
      <c r="J20" s="476" t="n">
        <f>IF('Products &amp; Geography'!J50=0,"",'Products &amp; Geography'!J18/'Products &amp; Geography'!J50)</f>
        <v>0.570290037279575</v>
      </c>
      <c r="K20" s="476" t="n">
        <f>IF('Products &amp; Geography'!K50=0,"",'Products &amp; Geography'!K18/'Products &amp; Geography'!K50)</f>
        <v>0.5625013608552704</v>
      </c>
      <c r="L20" s="476" t="n">
        <f>IF('Products &amp; Geography'!L50=0,"",'Products &amp; Geography'!L18/'Products &amp; Geography'!L50)</f>
        <v>0.5560606867181261</v>
      </c>
      <c r="M20" s="506"/>
      <c r="N20" s="506"/>
      <c r="O20" s="506"/>
      <c r="P20" s="506"/>
      <c r="Q20" s="506"/>
      <c r="R20" s="506"/>
      <c r="S20" s="506"/>
      <c r="T20" s="506"/>
      <c r="U20" s="506"/>
      <c r="V20" s="506"/>
      <c r="W20" s="506"/>
      <c r="X20" s="506"/>
      <c r="Y20"/>
      <c r="Z20"/>
    </row>
    <row r="21" ht="24" customHeight="1">
      <c r="A21" s="477" t="str">
        <v>Mexico</v>
      </c>
      <c r="B21" s="477"/>
      <c r="C21" s="477"/>
      <c r="D21" s="477"/>
      <c r="E21" s="477"/>
      <c r="F21" s="477"/>
      <c r="G21" s="477"/>
      <c r="H21" s="477"/>
      <c r="I21" s="477"/>
      <c r="J21" s="477"/>
      <c r="K21" s="477"/>
      <c r="L21" s="477"/>
      <c r="M21" s="477"/>
      <c r="N21" s="477"/>
      <c r="O21" s="477"/>
      <c r="P21" s="477"/>
      <c r="Q21" s="477"/>
      <c r="R21" s="477"/>
      <c r="S21" s="477"/>
      <c r="T21" s="477"/>
      <c r="U21" s="477"/>
      <c r="V21" s="477"/>
      <c r="W21" s="477"/>
      <c r="X21" s="477"/>
      <c r="Y21"/>
      <c r="Z21"/>
    </row>
    <row r="22" ht="22" customHeight="1">
      <c r="A22" s="502" t="str">
        <v>Net revenue</v>
      </c>
      <c r="B22" s="452"/>
      <c r="C22" s="507" t="n">
        <v>3431</v>
      </c>
      <c r="D22" s="507" t="n">
        <v>3650</v>
      </c>
      <c r="E22" s="507" t="n">
        <v>3878</v>
      </c>
      <c r="F22" s="507" t="n">
        <v>4190</v>
      </c>
      <c r="G22" s="507" t="n">
        <v>3924</v>
      </c>
      <c r="H22" s="507" t="n">
        <v>4580</v>
      </c>
      <c r="I22" s="507" t="n">
        <v>5472</v>
      </c>
      <c r="J22" s="507" t="n">
        <v>7011</v>
      </c>
      <c r="K22" s="507" t="n">
        <v>7123</v>
      </c>
      <c r="L22" s="507" t="n">
        <v>6947</v>
      </c>
      <c r="M22" s="473"/>
      <c r="N22" s="473"/>
      <c r="O22" s="473"/>
      <c r="P22" s="473"/>
      <c r="Q22" s="473"/>
      <c r="R22" s="473"/>
      <c r="S22" s="473"/>
      <c r="T22" s="473"/>
      <c r="U22" s="473"/>
      <c r="V22" s="473"/>
      <c r="W22" s="473"/>
      <c r="X22" s="473"/>
      <c r="Y22"/>
      <c r="Z22"/>
    </row>
    <row r="23" ht="20" customHeight="1">
      <c r="A23" s="505" t="str">
        <v>Net revenue YoY</v>
      </c>
      <c r="B23" s="452"/>
      <c r="C23" s="506"/>
      <c r="D23" s="476" t="n">
        <f>IF(OR('Products &amp; Geography'!C22&lt;=0,'Products &amp; Geography'!D22&lt;0),"",'Products &amp; Geography'!D22/'Products &amp; Geography'!C22-1)</f>
        <v>0.06382978723404253</v>
      </c>
      <c r="E23" s="476" t="n">
        <f>IF(OR('Products &amp; Geography'!D22&lt;=0,'Products &amp; Geography'!E22&lt;0),"",'Products &amp; Geography'!E22/'Products &amp; Geography'!D22-1)</f>
        <v>0.062465753424657544</v>
      </c>
      <c r="F23" s="476" t="n">
        <f>IF(OR('Products &amp; Geography'!E22&lt;=0,'Products &amp; Geography'!F22&lt;0),"",'Products &amp; Geography'!F22/'Products &amp; Geography'!E22-1)</f>
        <v>0.08045384218669427</v>
      </c>
      <c r="G23" s="476" t="n">
        <f>IF(OR('Products &amp; Geography'!F22&lt;=0,'Products &amp; Geography'!G22&lt;0),"",'Products &amp; Geography'!G22/'Products &amp; Geography'!F22-1)</f>
        <v>-0.06348448687350838</v>
      </c>
      <c r="H23" s="476" t="n">
        <f>IF(OR('Products &amp; Geography'!G22&lt;=0,'Products &amp; Geography'!H22&lt;0),"",'Products &amp; Geography'!H22/'Products &amp; Geography'!G22-1)</f>
        <v>0.16717635066258918</v>
      </c>
      <c r="I23" s="476" t="n">
        <f>IF(OR('Products &amp; Geography'!H22&lt;=0,'Products &amp; Geography'!I22&lt;0),"",'Products &amp; Geography'!I22/'Products &amp; Geography'!H22-1)</f>
        <v>0.1947598253275109</v>
      </c>
      <c r="J23" s="476" t="n">
        <f>IF(OR('Products &amp; Geography'!I22&lt;=0,'Products &amp; Geography'!J22&lt;0),"",'Products &amp; Geography'!J22/'Products &amp; Geography'!I22-1)</f>
        <v>0.28125</v>
      </c>
      <c r="K23" s="476" t="n">
        <f>IF(OR('Products &amp; Geography'!J22&lt;=0,'Products &amp; Geography'!K22&lt;0),"",'Products &amp; Geography'!K22/'Products &amp; Geography'!J22-1)</f>
        <v>0.015974896591071097</v>
      </c>
      <c r="L23" s="476" t="n">
        <f>IF(OR('Products &amp; Geography'!K22&lt;=0,'Products &amp; Geography'!L22&lt;0),"",'Products &amp; Geography'!L22/'Products &amp; Geography'!K22-1)</f>
        <v>-0.024708690158640967</v>
      </c>
      <c r="M23" s="506"/>
      <c r="N23" s="506"/>
      <c r="O23" s="506"/>
      <c r="P23" s="506"/>
      <c r="Q23" s="506"/>
      <c r="R23" s="506"/>
      <c r="S23" s="506"/>
      <c r="T23" s="506"/>
      <c r="U23" s="506"/>
      <c r="V23" s="506"/>
      <c r="W23" s="506"/>
      <c r="X23" s="506"/>
      <c r="Y23"/>
      <c r="Z23"/>
    </row>
    <row r="24" ht="20" customHeight="1">
      <c r="A24" s="505" t="str">
        <v>Share of consolidated revenue</v>
      </c>
      <c r="B24" s="452"/>
      <c r="C24" s="476" t="n">
        <f>IF('Products &amp; Geography'!C50=0,"",'Products &amp; Geography'!C22/'Products &amp; Geography'!C50)</f>
        <v>0.05463462793993535</v>
      </c>
      <c r="D24" s="476" t="n">
        <f>IF('Products &amp; Geography'!D50=0,"",'Products &amp; Geography'!D22/'Products &amp; Geography'!D50)</f>
        <v>0.05745769382133018</v>
      </c>
      <c r="E24" s="476" t="n">
        <f>IF('Products &amp; Geography'!E50=0,"",'Products &amp; Geography'!E22/'Products &amp; Geography'!E50)</f>
        <v>0.05997432764726806</v>
      </c>
      <c r="F24" s="476" t="n">
        <f>IF('Products &amp; Geography'!F50=0,"",'Products &amp; Geography'!F22/'Products &amp; Geography'!F50)</f>
        <v>0.06238739744792365</v>
      </c>
      <c r="G24" s="476" t="n">
        <f>IF('Products &amp; Geography'!G50=0,"",'Products &amp; Geography'!G22/'Products &amp; Geography'!G50)</f>
        <v>0.055760813960097765</v>
      </c>
      <c r="H24" s="476" t="n">
        <f>IF('Products &amp; Geography'!H50=0,"",'Products &amp; Geography'!H22/'Products &amp; Geography'!H50)</f>
        <v>0.05762891008380099</v>
      </c>
      <c r="I24" s="476" t="n">
        <f>IF('Products &amp; Geography'!I50=0,"",'Products &amp; Geography'!I22/'Products &amp; Geography'!I50)</f>
        <v>0.06333919807389574</v>
      </c>
      <c r="J24" s="476" t="n">
        <f>IF('Products &amp; Geography'!J50=0,"",'Products &amp; Geography'!J22/'Products &amp; Geography'!J50)</f>
        <v>0.07664724338861498</v>
      </c>
      <c r="K24" s="476" t="n">
        <f>IF('Products &amp; Geography'!K50=0,"",'Products &amp; Geography'!K22/'Products &amp; Geography'!K50)</f>
        <v>0.07754697672393146</v>
      </c>
      <c r="L24" s="476" t="n">
        <f>IF('Products &amp; Geography'!L50=0,"",'Products &amp; Geography'!L22/'Products &amp; Geography'!L50)</f>
        <v>0.07396326856534469</v>
      </c>
      <c r="M24" s="506"/>
      <c r="N24" s="506"/>
      <c r="O24" s="506"/>
      <c r="P24" s="506"/>
      <c r="Q24" s="506"/>
      <c r="R24" s="506"/>
      <c r="S24" s="506"/>
      <c r="T24" s="506"/>
      <c r="U24" s="506"/>
      <c r="V24" s="506"/>
      <c r="W24" s="506"/>
      <c r="X24" s="506"/>
      <c r="Y24"/>
      <c r="Z24"/>
    </row>
    <row r="25" ht="24" customHeight="1">
      <c r="A25" s="477" t="str">
        <v>Canada</v>
      </c>
      <c r="B25" s="477"/>
      <c r="C25" s="477"/>
      <c r="D25" s="477"/>
      <c r="E25" s="477"/>
      <c r="F25" s="477"/>
      <c r="G25" s="477"/>
      <c r="H25" s="477"/>
      <c r="I25" s="477"/>
      <c r="J25" s="477"/>
      <c r="K25" s="477"/>
      <c r="L25" s="477"/>
      <c r="M25" s="477"/>
      <c r="N25" s="477"/>
      <c r="O25" s="477"/>
      <c r="P25" s="477"/>
      <c r="Q25" s="477"/>
      <c r="R25" s="477"/>
      <c r="S25" s="477"/>
      <c r="T25" s="477"/>
      <c r="U25" s="477"/>
      <c r="V25" s="477"/>
      <c r="W25" s="477"/>
      <c r="X25" s="477"/>
      <c r="Y25"/>
      <c r="Z25"/>
    </row>
    <row r="26" ht="22" customHeight="1">
      <c r="A26" s="502" t="str">
        <v>Net revenue</v>
      </c>
      <c r="B26" s="452"/>
      <c r="C26" s="507" t="n">
        <v>2692</v>
      </c>
      <c r="D26" s="507" t="n">
        <v>2691</v>
      </c>
      <c r="E26" s="507" t="n">
        <v>2736</v>
      </c>
      <c r="F26" s="507" t="n">
        <v>2831</v>
      </c>
      <c r="G26" s="507" t="n">
        <v>2989</v>
      </c>
      <c r="H26" s="507" t="n">
        <v>3405</v>
      </c>
      <c r="I26" s="507" t="n">
        <v>3536</v>
      </c>
      <c r="J26" s="507" t="n">
        <v>3722</v>
      </c>
      <c r="K26" s="507" t="n">
        <v>3764</v>
      </c>
      <c r="L26" s="507" t="n">
        <v>3729</v>
      </c>
      <c r="M26" s="473"/>
      <c r="N26" s="473"/>
      <c r="O26" s="473"/>
      <c r="P26" s="473"/>
      <c r="Q26" s="473"/>
      <c r="R26" s="473"/>
      <c r="S26" s="473"/>
      <c r="T26" s="473"/>
      <c r="U26" s="473"/>
      <c r="V26" s="473"/>
      <c r="W26" s="473"/>
      <c r="X26" s="473"/>
      <c r="Y26"/>
      <c r="Z26"/>
    </row>
    <row r="27" ht="20" customHeight="1">
      <c r="A27" s="505" t="str">
        <v>Net revenue YoY</v>
      </c>
      <c r="B27" s="452"/>
      <c r="C27" s="506"/>
      <c r="D27" s="476" t="n">
        <f>IF(OR('Products &amp; Geography'!C26&lt;=0,'Products &amp; Geography'!D26&lt;0),"",'Products &amp; Geography'!D26/'Products &amp; Geography'!C26-1)</f>
        <v>-0.0003714710252600284</v>
      </c>
      <c r="E27" s="476" t="n">
        <f>IF(OR('Products &amp; Geography'!D26&lt;=0,'Products &amp; Geography'!E26&lt;0),"",'Products &amp; Geography'!E26/'Products &amp; Geography'!D26-1)</f>
        <v>0.01672240802675584</v>
      </c>
      <c r="F27" s="476" t="n">
        <f>IF(OR('Products &amp; Geography'!E26&lt;=0,'Products &amp; Geography'!F26&lt;0),"",'Products &amp; Geography'!F26/'Products &amp; Geography'!E26-1)</f>
        <v>0.03472222222222232</v>
      </c>
      <c r="G27" s="476" t="n">
        <f>IF(OR('Products &amp; Geography'!F26&lt;=0,'Products &amp; Geography'!G26&lt;0),"",'Products &amp; Geography'!G26/'Products &amp; Geography'!F26-1)</f>
        <v>0.05581066760861897</v>
      </c>
      <c r="H27" s="476" t="n">
        <f>IF(OR('Products &amp; Geography'!G26&lt;=0,'Products &amp; Geography'!H26&lt;0),"",'Products &amp; Geography'!H26/'Products &amp; Geography'!G26-1)</f>
        <v>0.1391769822683171</v>
      </c>
      <c r="I27" s="476" t="n">
        <f>IF(OR('Products &amp; Geography'!H26&lt;=0,'Products &amp; Geography'!I26&lt;0),"",'Products &amp; Geography'!I26/'Products &amp; Geography'!H26-1)</f>
        <v>0.038472834067547756</v>
      </c>
      <c r="J27" s="476" t="n">
        <f>IF(OR('Products &amp; Geography'!I26&lt;=0,'Products &amp; Geography'!J26&lt;0),"",'Products &amp; Geography'!J26/'Products &amp; Geography'!I26-1)</f>
        <v>0.052601809954751166</v>
      </c>
      <c r="K27" s="476" t="n">
        <f>IF(OR('Products &amp; Geography'!J26&lt;=0,'Products &amp; Geography'!K26&lt;0),"",'Products &amp; Geography'!K26/'Products &amp; Geography'!J26-1)</f>
        <v>0.011284255776464303</v>
      </c>
      <c r="L27" s="476" t="n">
        <f>IF(OR('Products &amp; Geography'!K26&lt;=0,'Products &amp; Geography'!L26&lt;0),"",'Products &amp; Geography'!L26/'Products &amp; Geography'!K26-1)</f>
        <v>-0.009298618490967026</v>
      </c>
      <c r="M27" s="506"/>
      <c r="N27" s="506"/>
      <c r="O27" s="506"/>
      <c r="P27" s="506"/>
      <c r="Q27" s="506"/>
      <c r="R27" s="506"/>
      <c r="S27" s="506"/>
      <c r="T27" s="506"/>
      <c r="U27" s="506"/>
      <c r="V27" s="506"/>
      <c r="W27" s="506"/>
      <c r="X27" s="506"/>
      <c r="Y27"/>
      <c r="Z27"/>
    </row>
    <row r="28" ht="20" customHeight="1">
      <c r="A28" s="505" t="str">
        <v>Share of consolidated revenue</v>
      </c>
      <c r="B28" s="452"/>
      <c r="C28" s="476" t="n">
        <f>IF('Products &amp; Geography'!C50=0,"",'Products &amp; Geography'!C26/'Products &amp; Geography'!C50)</f>
        <v>0.04286692463255784</v>
      </c>
      <c r="D28" s="476" t="n">
        <f>IF('Products &amp; Geography'!D50=0,"",'Products &amp; Geography'!D26/'Products &amp; Geography'!D50)</f>
        <v>0.04236127508854782</v>
      </c>
      <c r="E28" s="476" t="n">
        <f>IF('Products &amp; Geography'!E50=0,"",'Products &amp; Geography'!E26/'Products &amp; Geography'!E50)</f>
        <v>0.04231298618951145</v>
      </c>
      <c r="F28" s="476" t="n">
        <f>IF('Products &amp; Geography'!F50=0,"",'Products &amp; Geography'!F26/'Products &amp; Geography'!F50)</f>
        <v>0.04215243965992168</v>
      </c>
      <c r="G28" s="476" t="n">
        <f>IF('Products &amp; Geography'!G50=0,"",'Products &amp; Geography'!G26/'Products &amp; Geography'!G50)</f>
        <v>0.04247427954300006</v>
      </c>
      <c r="H28" s="476" t="n">
        <f>IF('Products &amp; Geography'!H50=0,"",'Products &amp; Geography'!H26/'Products &amp; Geography'!H50)</f>
        <v>0.04284420061907039</v>
      </c>
      <c r="I28" s="476" t="n">
        <f>IF('Products &amp; Geography'!I50=0,"",'Products &amp; Geography'!I26/'Products &amp; Geography'!I50)</f>
        <v>0.040929715714418</v>
      </c>
      <c r="J28" s="476" t="n">
        <f>IF('Products &amp; Geography'!J50=0,"",'Products &amp; Geography'!J26/'Products &amp; Geography'!J50)</f>
        <v>0.04069049206852445</v>
      </c>
      <c r="K28" s="476" t="n">
        <f>IF('Products &amp; Geography'!K50=0,"",'Products &amp; Geography'!K26/'Products &amp; Geography'!K50)</f>
        <v>0.0409780738998846</v>
      </c>
      <c r="L28" s="476" t="n">
        <f>IF('Products &amp; Geography'!L50=0,"",'Products &amp; Geography'!L26/'Products &amp; Geography'!L50)</f>
        <v>0.039701889805696035</v>
      </c>
      <c r="M28" s="506"/>
      <c r="N28" s="506"/>
      <c r="O28" s="506"/>
      <c r="P28" s="506"/>
      <c r="Q28" s="506"/>
      <c r="R28" s="506"/>
      <c r="S28" s="506"/>
      <c r="T28" s="506"/>
      <c r="U28" s="506"/>
      <c r="V28" s="506"/>
      <c r="W28" s="506"/>
      <c r="X28" s="506"/>
      <c r="Y28"/>
      <c r="Z28"/>
    </row>
    <row r="29" ht="24" customHeight="1">
      <c r="A29" s="477" t="str">
        <v>Russia</v>
      </c>
      <c r="B29" s="477"/>
      <c r="C29" s="477"/>
      <c r="D29" s="477"/>
      <c r="E29" s="477"/>
      <c r="F29" s="477"/>
      <c r="G29" s="477"/>
      <c r="H29" s="477"/>
      <c r="I29" s="477"/>
      <c r="J29" s="477"/>
      <c r="K29" s="477"/>
      <c r="L29" s="477"/>
      <c r="M29" s="477"/>
      <c r="N29" s="477"/>
      <c r="O29" s="477"/>
      <c r="P29" s="477"/>
      <c r="Q29" s="477"/>
      <c r="R29" s="477"/>
      <c r="S29" s="477"/>
      <c r="T29" s="477"/>
      <c r="U29" s="477"/>
      <c r="V29" s="477"/>
      <c r="W29" s="477"/>
      <c r="X29" s="477"/>
      <c r="Y29"/>
      <c r="Z29"/>
    </row>
    <row r="30" ht="22" customHeight="1">
      <c r="A30" s="502" t="str">
        <v>Net revenue</v>
      </c>
      <c r="B30" s="452"/>
      <c r="C30" s="507" t="n">
        <v>2648</v>
      </c>
      <c r="D30" s="507" t="n">
        <v>3232</v>
      </c>
      <c r="E30" s="507" t="n">
        <v>3191</v>
      </c>
      <c r="F30" s="507" t="n">
        <v>3263</v>
      </c>
      <c r="G30" s="507" t="n">
        <v>3009</v>
      </c>
      <c r="H30" s="507" t="n">
        <v>3426</v>
      </c>
      <c r="I30" s="507" t="n">
        <v>4118</v>
      </c>
      <c r="J30" s="507" t="n">
        <v>3566</v>
      </c>
      <c r="K30" s="507" t="n">
        <v>3880</v>
      </c>
      <c r="L30" s="507" t="n">
        <v>4768</v>
      </c>
      <c r="M30" s="473"/>
      <c r="N30" s="473"/>
      <c r="O30" s="473"/>
      <c r="P30" s="473"/>
      <c r="Q30" s="473"/>
      <c r="R30" s="473"/>
      <c r="S30" s="473"/>
      <c r="T30" s="473"/>
      <c r="U30" s="473"/>
      <c r="V30" s="473"/>
      <c r="W30" s="473"/>
      <c r="X30" s="473"/>
      <c r="Y30"/>
      <c r="Z30"/>
    </row>
    <row r="31" ht="20" customHeight="1">
      <c r="A31" s="505" t="str">
        <v>Net revenue YoY</v>
      </c>
      <c r="B31" s="452"/>
      <c r="C31" s="506"/>
      <c r="D31" s="476" t="n">
        <f>IF(OR('Products &amp; Geography'!C30&lt;=0,'Products &amp; Geography'!D30&lt;0),"",'Products &amp; Geography'!D30/'Products &amp; Geography'!C30-1)</f>
        <v>0.22054380664652573</v>
      </c>
      <c r="E31" s="476" t="n">
        <f>IF(OR('Products &amp; Geography'!D30&lt;=0,'Products &amp; Geography'!E30&lt;0),"",'Products &amp; Geography'!E30/'Products &amp; Geography'!D30-1)</f>
        <v>-0.01268564356435642</v>
      </c>
      <c r="F31" s="476" t="n">
        <f>IF(OR('Products &amp; Geography'!E30&lt;=0,'Products &amp; Geography'!F30&lt;0),"",'Products &amp; Geography'!F30/'Products &amp; Geography'!E30-1)</f>
        <v>0.022563459730492008</v>
      </c>
      <c r="G31" s="476" t="n">
        <f>IF(OR('Products &amp; Geography'!F30&lt;=0,'Products &amp; Geography'!G30&lt;0),"",'Products &amp; Geography'!G30/'Products &amp; Geography'!F30-1)</f>
        <v>-0.07784247624885077</v>
      </c>
      <c r="H31" s="476" t="n">
        <f>IF(OR('Products &amp; Geography'!G30&lt;=0,'Products &amp; Geography'!H30&lt;0),"",'Products &amp; Geography'!H30/'Products &amp; Geography'!G30-1)</f>
        <v>0.13858424725822527</v>
      </c>
      <c r="I31" s="476" t="n">
        <f>IF(OR('Products &amp; Geography'!H30&lt;=0,'Products &amp; Geography'!I30&lt;0),"",'Products &amp; Geography'!I30/'Products &amp; Geography'!H30-1)</f>
        <v>0.20198482194979572</v>
      </c>
      <c r="J31" s="476" t="n">
        <f>IF(OR('Products &amp; Geography'!I30&lt;=0,'Products &amp; Geography'!J30&lt;0),"",'Products &amp; Geography'!J30/'Products &amp; Geography'!I30-1)</f>
        <v>-0.13404565322972317</v>
      </c>
      <c r="K31" s="476" t="n">
        <f>IF(OR('Products &amp; Geography'!J30&lt;=0,'Products &amp; Geography'!K30&lt;0),"",'Products &amp; Geography'!K30/'Products &amp; Geography'!J30-1)</f>
        <v>0.08805384183959619</v>
      </c>
      <c r="L31" s="476" t="n">
        <f>IF(OR('Products &amp; Geography'!K30&lt;=0,'Products &amp; Geography'!L30&lt;0),"",'Products &amp; Geography'!L30/'Products &amp; Geography'!K30-1)</f>
        <v>0.22886597938144337</v>
      </c>
      <c r="M31" s="506"/>
      <c r="N31" s="506"/>
      <c r="O31" s="506"/>
      <c r="P31" s="506"/>
      <c r="Q31" s="506"/>
      <c r="R31" s="506"/>
      <c r="S31" s="506"/>
      <c r="T31" s="506"/>
      <c r="U31" s="506"/>
      <c r="V31" s="506"/>
      <c r="W31" s="506"/>
      <c r="X31" s="506"/>
      <c r="Y31"/>
      <c r="Z31"/>
    </row>
    <row r="32" ht="20" customHeight="1">
      <c r="A32" s="505" t="str">
        <v>Share of consolidated revenue</v>
      </c>
      <c r="B32" s="452"/>
      <c r="C32" s="476" t="n">
        <f>IF('Products &amp; Geography'!C50=0,"",'Products &amp; Geography'!C30/'Products &amp; Geography'!C50)</f>
        <v>0.042166276533065816</v>
      </c>
      <c r="D32" s="476" t="n">
        <f>IF('Products &amp; Geography'!D50=0,"",'Products &amp; Geography'!D30/'Products &amp; Geography'!D50)</f>
        <v>0.05087760724124361</v>
      </c>
      <c r="E32" s="476" t="n">
        <f>IF('Products &amp; Geography'!E50=0,"",'Products &amp; Geography'!E30/'Products &amp; Geography'!E50)</f>
        <v>0.049349685281699945</v>
      </c>
      <c r="F32" s="476" t="n">
        <f>IF('Products &amp; Geography'!F50=0,"",'Products &amp; Geography'!F30/'Products &amp; Geography'!F50)</f>
        <v>0.0485847441223329</v>
      </c>
      <c r="G32" s="476" t="n">
        <f>IF('Products &amp; Geography'!G50=0,"",'Products &amp; Geography'!G30/'Products &amp; Geography'!G50)</f>
        <v>0.04275848348775081</v>
      </c>
      <c r="H32" s="476" t="n">
        <f>IF('Products &amp; Geography'!H50=0,"",'Products &amp; Geography'!H30/'Products &amp; Geography'!H50)</f>
        <v>0.043108437979716634</v>
      </c>
      <c r="I32" s="476" t="n">
        <f>IF('Products &amp; Geography'!I50=0,"",'Products &amp; Geography'!I30/'Products &amp; Geography'!I50)</f>
        <v>0.047666450597277525</v>
      </c>
      <c r="J32" s="476" t="n">
        <f>IF('Products &amp; Geography'!J50=0,"",'Products &amp; Geography'!J30/'Products &amp; Geography'!J50)</f>
        <v>0.03898503350788775</v>
      </c>
      <c r="K32" s="476" t="n">
        <f>IF('Products &amp; Geography'!K50=0,"",'Products &amp; Geography'!K30/'Products &amp; Geography'!K50)</f>
        <v>0.04224094759074183</v>
      </c>
      <c r="L32" s="476" t="n">
        <f>IF('Products &amp; Geography'!L50=0,"",'Products &amp; Geography'!L30/'Products &amp; Geography'!L50)</f>
        <v>0.05076390737290391</v>
      </c>
      <c r="M32" s="506"/>
      <c r="N32" s="506"/>
      <c r="O32" s="506"/>
      <c r="P32" s="506"/>
      <c r="Q32" s="506"/>
      <c r="R32" s="506"/>
      <c r="S32" s="506"/>
      <c r="T32" s="506"/>
      <c r="U32" s="506"/>
      <c r="V32" s="506"/>
      <c r="W32" s="506"/>
      <c r="X32" s="506"/>
      <c r="Y32"/>
      <c r="Z32"/>
    </row>
    <row r="33" ht="24" customHeight="1">
      <c r="A33" s="477" t="str">
        <v>United Kingdom</v>
      </c>
      <c r="B33" s="477"/>
      <c r="C33" s="477"/>
      <c r="D33" s="477"/>
      <c r="E33" s="477"/>
      <c r="F33" s="477"/>
      <c r="G33" s="477"/>
      <c r="H33" s="477"/>
      <c r="I33" s="477"/>
      <c r="J33" s="477"/>
      <c r="K33" s="477"/>
      <c r="L33" s="477"/>
      <c r="M33" s="477"/>
      <c r="N33" s="477"/>
      <c r="O33" s="477"/>
      <c r="P33" s="477"/>
      <c r="Q33" s="477"/>
      <c r="R33" s="477"/>
      <c r="S33" s="477"/>
      <c r="T33" s="477"/>
      <c r="U33" s="477"/>
      <c r="V33" s="477"/>
      <c r="W33" s="477"/>
      <c r="X33" s="477"/>
      <c r="Y33"/>
      <c r="Z33"/>
    </row>
    <row r="34" ht="22" customHeight="1">
      <c r="A34" s="502" t="str">
        <v>Net revenue</v>
      </c>
      <c r="B34" s="452"/>
      <c r="C34" s="507" t="n">
        <v>1737</v>
      </c>
      <c r="D34" s="507" t="n">
        <v>1650</v>
      </c>
      <c r="E34" s="507" t="n">
        <v>1743</v>
      </c>
      <c r="F34" s="507" t="n">
        <v>1723</v>
      </c>
      <c r="G34" s="507" t="n">
        <v>1882</v>
      </c>
      <c r="H34" s="507" t="n">
        <v>2102</v>
      </c>
      <c r="I34" s="507" t="n">
        <v>1844</v>
      </c>
      <c r="J34" s="507" t="n">
        <v>1946</v>
      </c>
      <c r="K34" s="507" t="n">
        <v>2063</v>
      </c>
      <c r="L34" s="507" t="n">
        <v>2142</v>
      </c>
      <c r="M34" s="473"/>
      <c r="N34" s="473"/>
      <c r="O34" s="473"/>
      <c r="P34" s="473"/>
      <c r="Q34" s="473"/>
      <c r="R34" s="473"/>
      <c r="S34" s="473"/>
      <c r="T34" s="473"/>
      <c r="U34" s="473"/>
      <c r="V34" s="473"/>
      <c r="W34" s="473"/>
      <c r="X34" s="473"/>
      <c r="Y34"/>
      <c r="Z34"/>
    </row>
    <row r="35" ht="20" customHeight="1">
      <c r="A35" s="505" t="str">
        <v>Net revenue YoY</v>
      </c>
      <c r="B35" s="452"/>
      <c r="C35" s="506"/>
      <c r="D35" s="476" t="n">
        <f>IF(OR('Products &amp; Geography'!C34&lt;=0,'Products &amp; Geography'!D34&lt;0),"",'Products &amp; Geography'!D34/'Products &amp; Geography'!C34-1)</f>
        <v>-0.050086355785837644</v>
      </c>
      <c r="E35" s="476" t="n">
        <f>IF(OR('Products &amp; Geography'!D34&lt;=0,'Products &amp; Geography'!E34&lt;0),"",'Products &amp; Geography'!E34/'Products &amp; Geography'!D34-1)</f>
        <v>0.056363636363636394</v>
      </c>
      <c r="F35" s="476" t="n">
        <f>IF(OR('Products &amp; Geography'!E34&lt;=0,'Products &amp; Geography'!F34&lt;0),"",'Products &amp; Geography'!F34/'Products &amp; Geography'!E34-1)</f>
        <v>-0.011474469305794655</v>
      </c>
      <c r="G35" s="476" t="n">
        <f>IF(OR('Products &amp; Geography'!F34&lt;=0,'Products &amp; Geography'!G34&lt;0),"",'Products &amp; Geography'!G34/'Products &amp; Geography'!F34-1)</f>
        <v>0.0922809053975624</v>
      </c>
      <c r="H35" s="476" t="n">
        <f>IF(OR('Products &amp; Geography'!G34&lt;=0,'Products &amp; Geography'!H34&lt;0),"",'Products &amp; Geography'!H34/'Products &amp; Geography'!G34-1)</f>
        <v>0.1168969181721573</v>
      </c>
      <c r="I35" s="476" t="n">
        <f>IF(OR('Products &amp; Geography'!H34&lt;=0,'Products &amp; Geography'!I34&lt;0),"",'Products &amp; Geography'!I34/'Products &amp; Geography'!H34-1)</f>
        <v>-0.12274024738344436</v>
      </c>
      <c r="J35" s="476" t="n">
        <f>IF(OR('Products &amp; Geography'!I34&lt;=0,'Products &amp; Geography'!J34&lt;0),"",'Products &amp; Geography'!J34/'Products &amp; Geography'!I34-1)</f>
        <v>0.05531453362255956</v>
      </c>
      <c r="K35" s="476" t="n">
        <f>IF(OR('Products &amp; Geography'!J34&lt;=0,'Products &amp; Geography'!K34&lt;0),"",'Products &amp; Geography'!K34/'Products &amp; Geography'!J34-1)</f>
        <v>0.060123329907502576</v>
      </c>
      <c r="L35" s="476" t="n">
        <f>IF(OR('Products &amp; Geography'!K34&lt;=0,'Products &amp; Geography'!L34&lt;0),"",'Products &amp; Geography'!L34/'Products &amp; Geography'!K34-1)</f>
        <v>0.03829374697043142</v>
      </c>
      <c r="M35" s="506"/>
      <c r="N35" s="506"/>
      <c r="O35" s="506"/>
      <c r="P35" s="506"/>
      <c r="Q35" s="506"/>
      <c r="R35" s="506"/>
      <c r="S35" s="506"/>
      <c r="T35" s="506"/>
      <c r="U35" s="506"/>
      <c r="V35" s="506"/>
      <c r="W35" s="506"/>
      <c r="X35" s="506"/>
      <c r="Y35"/>
      <c r="Z35"/>
    </row>
    <row r="36" ht="20" customHeight="1">
      <c r="A36" s="505" t="str">
        <v>Share of consolidated revenue</v>
      </c>
      <c r="B36" s="452"/>
      <c r="C36" s="476" t="n">
        <f>IF('Products &amp; Geography'!C50=0,"",'Products &amp; Geography'!C34/'Products &amp; Geography'!C50)</f>
        <v>0.02765967610949219</v>
      </c>
      <c r="D36" s="476" t="n">
        <f>IF('Products &amp; Geography'!D50=0,"",'Products &amp; Geography'!D34/'Products &amp; Geography'!D50)</f>
        <v>0.025974025974025976</v>
      </c>
      <c r="E36" s="476" t="n">
        <f>IF('Products &amp; Geography'!E50=0,"",'Products &amp; Geography'!E34/'Products &amp; Geography'!E50)</f>
        <v>0.02695597036853745</v>
      </c>
      <c r="F36" s="476" t="n">
        <f>IF('Products &amp; Geography'!F50=0,"",'Products &amp; Geography'!F34/'Products &amp; Geography'!F50)</f>
        <v>0.025654769881329937</v>
      </c>
      <c r="G36" s="476" t="n">
        <f>IF('Products &amp; Geography'!G50=0,"",'Products &amp; Geography'!G34/'Products &amp; Geography'!G50)</f>
        <v>0.02674359120104587</v>
      </c>
      <c r="H36" s="476" t="n">
        <f>IF('Products &amp; Geography'!H50=0,"",'Products &amp; Geography'!H34/'Products &amp; Geography'!H50)</f>
        <v>0.0264489015275436</v>
      </c>
      <c r="I36" s="476" t="n">
        <f>IF('Products &amp; Geography'!I50=0,"",'Products &amp; Geography'!I34/'Products &amp; Geography'!I50)</f>
        <v>0.021344568941568665</v>
      </c>
      <c r="J36" s="476" t="n">
        <f>IF('Products &amp; Geography'!J50=0,"",'Products &amp; Geography'!J34/'Products &amp; Geography'!J50)</f>
        <v>0.021274502301275814</v>
      </c>
      <c r="K36" s="476" t="n">
        <f>IF('Products &amp; Geography'!K50=0,"",'Products &amp; Geography'!K34/'Products &amp; Geography'!K50)</f>
        <v>0.02245955538136608</v>
      </c>
      <c r="L36" s="476" t="n">
        <f>IF('Products &amp; Geography'!L50=0,"",'Products &amp; Geography'!L34/'Products &amp; Geography'!L50)</f>
        <v>0.022805429864253393</v>
      </c>
      <c r="M36" s="506"/>
      <c r="N36" s="506"/>
      <c r="O36" s="506"/>
      <c r="P36" s="506"/>
      <c r="Q36" s="506"/>
      <c r="R36" s="506"/>
      <c r="S36" s="506"/>
      <c r="T36" s="506"/>
      <c r="U36" s="506"/>
      <c r="V36" s="506"/>
      <c r="W36" s="506"/>
      <c r="X36" s="506"/>
      <c r="Y36"/>
      <c r="Z36"/>
    </row>
    <row r="37" ht="24" customHeight="1">
      <c r="A37" s="477" t="str">
        <v>Brazil</v>
      </c>
      <c r="B37" s="477"/>
      <c r="C37" s="477"/>
      <c r="D37" s="477"/>
      <c r="E37" s="477"/>
      <c r="F37" s="477"/>
      <c r="G37" s="477"/>
      <c r="H37" s="477"/>
      <c r="I37" s="477"/>
      <c r="J37" s="477"/>
      <c r="K37" s="477"/>
      <c r="L37" s="477"/>
      <c r="M37" s="477"/>
      <c r="N37" s="477"/>
      <c r="O37" s="477"/>
      <c r="P37" s="477"/>
      <c r="Q37" s="477"/>
      <c r="R37" s="477"/>
      <c r="S37" s="477"/>
      <c r="T37" s="477"/>
      <c r="U37" s="477"/>
      <c r="V37" s="477"/>
      <c r="W37" s="477"/>
      <c r="X37" s="477"/>
      <c r="Y37"/>
      <c r="Z37"/>
    </row>
    <row r="38" ht="22" customHeight="1">
      <c r="A38" s="502" t="str">
        <v>Net revenue</v>
      </c>
      <c r="B38" s="452"/>
      <c r="C38" s="507" t="n">
        <v>1305</v>
      </c>
      <c r="D38" s="507" t="n">
        <v>1427</v>
      </c>
      <c r="E38" s="507" t="n">
        <v>1335</v>
      </c>
      <c r="F38" s="507" t="n">
        <v>1295</v>
      </c>
      <c r="G38" s="473"/>
      <c r="H38" s="507" t="n">
        <v>1252</v>
      </c>
      <c r="I38" s="507" t="n">
        <v>1617</v>
      </c>
      <c r="J38" s="507" t="n">
        <v>1779</v>
      </c>
      <c r="K38" s="507" t="n">
        <v>1765</v>
      </c>
      <c r="L38" s="507" t="n">
        <v>1782</v>
      </c>
      <c r="M38" s="473"/>
      <c r="N38" s="473"/>
      <c r="O38" s="473"/>
      <c r="P38" s="473"/>
      <c r="Q38" s="473"/>
      <c r="R38" s="473"/>
      <c r="S38" s="473"/>
      <c r="T38" s="473"/>
      <c r="U38" s="473"/>
      <c r="V38" s="473"/>
      <c r="W38" s="473"/>
      <c r="X38" s="473"/>
      <c r="Y38"/>
      <c r="Z38"/>
    </row>
    <row r="39" ht="20" customHeight="1">
      <c r="A39" s="505" t="str">
        <v>Net revenue YoY</v>
      </c>
      <c r="B39" s="452"/>
      <c r="C39" s="506"/>
      <c r="D39" s="476" t="n">
        <f>IF(OR('Products &amp; Geography'!C38&lt;=0,'Products &amp; Geography'!D38&lt;0),"",'Products &amp; Geography'!D38/'Products &amp; Geography'!C38-1)</f>
        <v>0.09348659003831417</v>
      </c>
      <c r="E39" s="476" t="n">
        <f>IF(OR('Products &amp; Geography'!D38&lt;=0,'Products &amp; Geography'!E38&lt;0),"",'Products &amp; Geography'!E38/'Products &amp; Geography'!D38-1)</f>
        <v>-0.06447091800981075</v>
      </c>
      <c r="F39" s="476" t="n">
        <f>IF(OR('Products &amp; Geography'!E38&lt;=0,'Products &amp; Geography'!F38&lt;0),"",'Products &amp; Geography'!F38/'Products &amp; Geography'!E38-1)</f>
        <v>-0.029962546816479363</v>
      </c>
      <c r="G39" s="506"/>
      <c r="H39" s="506"/>
      <c r="I39" s="476" t="n">
        <f>IF(OR('Products &amp; Geography'!H38&lt;=0,'Products &amp; Geography'!I38&lt;0),"",'Products &amp; Geography'!I38/'Products &amp; Geography'!H38-1)</f>
        <v>0.2915335463258786</v>
      </c>
      <c r="J39" s="476" t="n">
        <f>IF(OR('Products &amp; Geography'!I38&lt;=0,'Products &amp; Geography'!J38&lt;0),"",'Products &amp; Geography'!J38/'Products &amp; Geography'!I38-1)</f>
        <v>0.1001855287569573</v>
      </c>
      <c r="K39" s="476" t="n">
        <f>IF(OR('Products &amp; Geography'!J38&lt;=0,'Products &amp; Geography'!K38&lt;0),"",'Products &amp; Geography'!K38/'Products &amp; Geography'!J38-1)</f>
        <v>-0.00786958965711071</v>
      </c>
      <c r="L39" s="476" t="n">
        <f>IF(OR('Products &amp; Geography'!K38&lt;=0,'Products &amp; Geography'!L38&lt;0),"",'Products &amp; Geography'!L38/'Products &amp; Geography'!K38-1)</f>
        <v>0.00963172804532575</v>
      </c>
      <c r="M39" s="506"/>
      <c r="N39" s="506"/>
      <c r="O39" s="506"/>
      <c r="P39" s="506"/>
      <c r="Q39" s="506"/>
      <c r="R39" s="506"/>
      <c r="S39" s="506"/>
      <c r="T39" s="506"/>
      <c r="U39" s="506"/>
      <c r="V39" s="506"/>
      <c r="W39" s="506"/>
      <c r="X39" s="506"/>
      <c r="Y39"/>
      <c r="Z39"/>
    </row>
    <row r="40" ht="20" customHeight="1">
      <c r="A40" s="505" t="str">
        <v>Share of consolidated revenue</v>
      </c>
      <c r="B40" s="452"/>
      <c r="C40" s="476" t="n">
        <f>IF('Products &amp; Geography'!C50=0,"",'Products &amp; Geography'!C38/'Products &amp; Geography'!C50)</f>
        <v>0.020780585678115894</v>
      </c>
      <c r="D40" s="476" t="n">
        <f>IF('Products &amp; Geography'!D50=0,"",'Products &amp; Geography'!D38/'Products &amp; Geography'!D50)</f>
        <v>0.022463597009051553</v>
      </c>
      <c r="E40" s="476" t="n">
        <f>IF('Products &amp; Geography'!E50=0,"",'Products &amp; Geography'!E38/'Products &amp; Geography'!E50)</f>
        <v>0.020646139094662935</v>
      </c>
      <c r="F40" s="476" t="n">
        <f>IF('Products &amp; Geography'!F50=0,"",'Products &amp; Geography'!F38/'Products &amp; Geography'!F50)</f>
        <v>0.019282023793570673</v>
      </c>
      <c r="G40" s="506"/>
      <c r="H40" s="476" t="n">
        <f>IF('Products &amp; Geography'!H50=0,"",'Products &amp; Geography'!H38/'Products &amp; Geography'!H50)</f>
        <v>0.015753579787100184</v>
      </c>
      <c r="I40" s="476" t="n">
        <f>IF('Products &amp; Geography'!I50=0,"",'Products &amp; Geography'!I38/'Products &amp; Geography'!I50)</f>
        <v>0.018717010834336512</v>
      </c>
      <c r="J40" s="476" t="n">
        <f>IF('Products &amp; Geography'!J50=0,"",'Products &amp; Geography'!J38/'Products &amp; Geography'!J50)</f>
        <v>0.01944878704726088</v>
      </c>
      <c r="K40" s="476" t="n">
        <f>IF('Products &amp; Geography'!K50=0,"",'Products &amp; Geography'!K38/'Products &amp; Geography'!K50)</f>
        <v>0.019215276416922507</v>
      </c>
      <c r="L40" s="476" t="n">
        <f>IF('Products &amp; Geography'!L50=0,"",'Products &amp; Geography'!L38/'Products &amp; Geography'!L50)</f>
        <v>0.018972584508916687</v>
      </c>
      <c r="M40" s="506"/>
      <c r="N40" s="506"/>
      <c r="O40" s="506"/>
      <c r="P40" s="506"/>
      <c r="Q40" s="506"/>
      <c r="R40" s="506"/>
      <c r="S40" s="506"/>
      <c r="T40" s="506"/>
      <c r="U40" s="506"/>
      <c r="V40" s="506"/>
      <c r="W40" s="506"/>
      <c r="X40" s="506"/>
      <c r="Y40"/>
      <c r="Z40"/>
    </row>
    <row r="41" ht="24" customHeight="1">
      <c r="A41" s="477" t="str">
        <v>China</v>
      </c>
      <c r="B41" s="477"/>
      <c r="C41" s="477"/>
      <c r="D41" s="477"/>
      <c r="E41" s="477"/>
      <c r="F41" s="477"/>
      <c r="G41" s="477"/>
      <c r="H41" s="477"/>
      <c r="I41" s="477"/>
      <c r="J41" s="477"/>
      <c r="K41" s="477"/>
      <c r="L41" s="477"/>
      <c r="M41" s="477"/>
      <c r="N41" s="477"/>
      <c r="O41" s="477"/>
      <c r="P41" s="477"/>
      <c r="Q41" s="477"/>
      <c r="R41" s="477"/>
      <c r="S41" s="477"/>
      <c r="T41" s="477"/>
      <c r="U41" s="477"/>
      <c r="V41" s="477"/>
      <c r="W41" s="477"/>
      <c r="X41" s="477"/>
      <c r="Y41"/>
      <c r="Z41"/>
    </row>
    <row r="42" ht="22" customHeight="1">
      <c r="A42" s="502" t="str">
        <v>Net revenue</v>
      </c>
      <c r="B42" s="452"/>
      <c r="C42" s="473"/>
      <c r="D42" s="507" t="n">
        <v>963</v>
      </c>
      <c r="E42" s="507" t="n">
        <v>1164</v>
      </c>
      <c r="F42" s="507" t="n">
        <v>1300</v>
      </c>
      <c r="G42" s="507" t="n">
        <v>1732</v>
      </c>
      <c r="H42" s="507" t="n">
        <v>2679</v>
      </c>
      <c r="I42" s="507" t="n">
        <v>2752</v>
      </c>
      <c r="J42" s="507" t="n">
        <v>2703</v>
      </c>
      <c r="K42" s="507" t="n">
        <v>2709</v>
      </c>
      <c r="L42" s="507" t="n">
        <v>2621</v>
      </c>
      <c r="M42" s="473"/>
      <c r="N42" s="473"/>
      <c r="O42" s="473"/>
      <c r="P42" s="473"/>
      <c r="Q42" s="473"/>
      <c r="R42" s="473"/>
      <c r="S42" s="473"/>
      <c r="T42" s="473"/>
      <c r="U42" s="473"/>
      <c r="V42" s="473"/>
      <c r="W42" s="473"/>
      <c r="X42" s="473"/>
      <c r="Y42"/>
      <c r="Z42"/>
    </row>
    <row r="43" ht="20" customHeight="1">
      <c r="A43" s="505" t="str">
        <v>Net revenue YoY</v>
      </c>
      <c r="B43" s="452"/>
      <c r="C43" s="506"/>
      <c r="D43" s="506"/>
      <c r="E43" s="476" t="n">
        <f>IF(OR('Products &amp; Geography'!D42&lt;=0,'Products &amp; Geography'!E42&lt;0),"",'Products &amp; Geography'!E42/'Products &amp; Geography'!D42-1)</f>
        <v>0.20872274143302172</v>
      </c>
      <c r="F43" s="476" t="n">
        <f>IF(OR('Products &amp; Geography'!E42&lt;=0,'Products &amp; Geography'!F42&lt;0),"",'Products &amp; Geography'!F42/'Products &amp; Geography'!E42-1)</f>
        <v>0.11683848797250862</v>
      </c>
      <c r="G43" s="476" t="n">
        <f>IF(OR('Products &amp; Geography'!F42&lt;=0,'Products &amp; Geography'!G42&lt;0),"",'Products &amp; Geography'!G42/'Products &amp; Geography'!F42-1)</f>
        <v>0.3323076923076924</v>
      </c>
      <c r="H43" s="476" t="n">
        <f>IF(OR('Products &amp; Geography'!G42&lt;=0,'Products &amp; Geography'!H42&lt;0),"",'Products &amp; Geography'!H42/'Products &amp; Geography'!G42-1)</f>
        <v>0.5467667436489607</v>
      </c>
      <c r="I43" s="476" t="n">
        <f>IF(OR('Products &amp; Geography'!H42&lt;=0,'Products &amp; Geography'!I42&lt;0),"",'Products &amp; Geography'!I42/'Products &amp; Geography'!H42-1)</f>
        <v>0.027248973497573825</v>
      </c>
      <c r="J43" s="476" t="n">
        <f>IF(OR('Products &amp; Geography'!I42&lt;=0,'Products &amp; Geography'!J42&lt;0),"",'Products &amp; Geography'!J42/'Products &amp; Geography'!I42-1)</f>
        <v>-0.017805232558139483</v>
      </c>
      <c r="K43" s="476" t="n">
        <f>IF(OR('Products &amp; Geography'!J42&lt;=0,'Products &amp; Geography'!K42&lt;0),"",'Products &amp; Geography'!K42/'Products &amp; Geography'!J42-1)</f>
        <v>0.002219755826859071</v>
      </c>
      <c r="L43" s="476" t="n">
        <f>IF(OR('Products &amp; Geography'!K42&lt;=0,'Products &amp; Geography'!L42&lt;0),"",'Products &amp; Geography'!L42/'Products &amp; Geography'!K42-1)</f>
        <v>-0.03248431155407905</v>
      </c>
      <c r="M43" s="506"/>
      <c r="N43" s="506"/>
      <c r="O43" s="506"/>
      <c r="P43" s="506"/>
      <c r="Q43" s="506"/>
      <c r="R43" s="506"/>
      <c r="S43" s="506"/>
      <c r="T43" s="506"/>
      <c r="U43" s="506"/>
      <c r="V43" s="506"/>
      <c r="W43" s="506"/>
      <c r="X43" s="506"/>
      <c r="Y43"/>
      <c r="Z43"/>
    </row>
    <row r="44" ht="20" customHeight="1">
      <c r="A44" s="505" t="str">
        <v>Share of consolidated revenue</v>
      </c>
      <c r="B44" s="452"/>
      <c r="C44" s="506"/>
      <c r="D44" s="476" t="n">
        <f>IF('Products &amp; Geography'!D50=0,"",'Products &amp; Geography'!D42/'Products &amp; Geography'!D50)</f>
        <v>0.015159386068476978</v>
      </c>
      <c r="E44" s="476" t="n">
        <f>IF('Products &amp; Geography'!E50=0,"",'Products &amp; Geography'!E42/'Products &amp; Geography'!E50)</f>
        <v>0.01800157745781847</v>
      </c>
      <c r="F44" s="476" t="n">
        <f>IF('Products &amp; Geography'!F50=0,"",'Products &amp; Geography'!F42/'Products &amp; Geography'!F50)</f>
        <v>0.019356471761885617</v>
      </c>
      <c r="G44" s="476" t="n">
        <f>IF('Products &amp; Geography'!G50=0,"",'Products &amp; Geography'!G42/'Products &amp; Geography'!G50)</f>
        <v>0.024612061615415223</v>
      </c>
      <c r="H44" s="476" t="n">
        <f>IF('Products &amp; Geography'!H50=0,"",'Products &amp; Geography'!H42/'Products &amp; Geography'!H50)</f>
        <v>0.033709137579585775</v>
      </c>
      <c r="I44" s="476" t="n">
        <f>IF('Products &amp; Geography'!I50=0,"",'Products &amp; Geography'!I42/'Products &amp; Geography'!I50)</f>
        <v>0.03185480137049727</v>
      </c>
      <c r="J44" s="476" t="n">
        <f>IF('Products &amp; Geography'!J50=0,"",'Products &amp; Geography'!J42/'Products &amp; Geography'!J50)</f>
        <v>0.02955034929103213</v>
      </c>
      <c r="K44" s="476" t="n">
        <f>IF('Products &amp; Geography'!K50=0,"",'Products &amp; Geography'!K42/'Products &amp; Geography'!K50)</f>
        <v>0.029492455418381344</v>
      </c>
      <c r="L44" s="476" t="n">
        <f>IF('Products &amp; Geography'!L50=0,"",'Products &amp; Geography'!L42/'Products &amp; Geography'!L50)</f>
        <v>0.027905243545381955</v>
      </c>
      <c r="M44" s="506"/>
      <c r="N44" s="506"/>
      <c r="O44" s="506"/>
      <c r="P44" s="506"/>
      <c r="Q44" s="506"/>
      <c r="R44" s="506"/>
      <c r="S44" s="506"/>
      <c r="T44" s="506"/>
      <c r="U44" s="506"/>
      <c r="V44" s="506"/>
      <c r="W44" s="506"/>
      <c r="X44" s="506"/>
      <c r="Y44"/>
      <c r="Z44"/>
    </row>
    <row r="45" ht="24" customHeight="1">
      <c r="A45" s="477" t="str">
        <v>South Africa</v>
      </c>
      <c r="B45" s="477"/>
      <c r="C45" s="477"/>
      <c r="D45" s="477"/>
      <c r="E45" s="477"/>
      <c r="F45" s="477"/>
      <c r="G45" s="477"/>
      <c r="H45" s="477"/>
      <c r="I45" s="477"/>
      <c r="J45" s="477"/>
      <c r="K45" s="477"/>
      <c r="L45" s="477"/>
      <c r="M45" s="477"/>
      <c r="N45" s="477"/>
      <c r="O45" s="477"/>
      <c r="P45" s="477"/>
      <c r="Q45" s="477"/>
      <c r="R45" s="477"/>
      <c r="S45" s="477"/>
      <c r="T45" s="477"/>
      <c r="U45" s="477"/>
      <c r="V45" s="477"/>
      <c r="W45" s="477"/>
      <c r="X45" s="477"/>
      <c r="Y45"/>
      <c r="Z45"/>
    </row>
    <row r="46" ht="22" customHeight="1">
      <c r="A46" s="502" t="str">
        <v>Net revenue</v>
      </c>
      <c r="B46" s="452"/>
      <c r="C46" s="473"/>
      <c r="D46" s="473"/>
      <c r="E46" s="507" t="n">
        <v>432</v>
      </c>
      <c r="F46" s="507" t="n">
        <v>405</v>
      </c>
      <c r="G46" s="507" t="n">
        <v>1282</v>
      </c>
      <c r="H46" s="507" t="n">
        <v>2008</v>
      </c>
      <c r="I46" s="507" t="n">
        <v>1837</v>
      </c>
      <c r="J46" s="507" t="n">
        <v>1707</v>
      </c>
      <c r="K46" s="507" t="n">
        <v>1859</v>
      </c>
      <c r="L46" s="507" t="n">
        <v>1767</v>
      </c>
      <c r="M46" s="473"/>
      <c r="N46" s="473"/>
      <c r="O46" s="473"/>
      <c r="P46" s="473"/>
      <c r="Q46" s="473"/>
      <c r="R46" s="473"/>
      <c r="S46" s="473"/>
      <c r="T46" s="473"/>
      <c r="U46" s="473"/>
      <c r="V46" s="473"/>
      <c r="W46" s="473"/>
      <c r="X46" s="473"/>
      <c r="Y46"/>
      <c r="Z46"/>
    </row>
    <row r="47" ht="20" customHeight="1">
      <c r="A47" s="505" t="str">
        <v>Net revenue YoY</v>
      </c>
      <c r="B47" s="452"/>
      <c r="C47" s="506"/>
      <c r="D47" s="506"/>
      <c r="E47" s="506"/>
      <c r="F47" s="476" t="n">
        <f>IF(OR('Products &amp; Geography'!E46&lt;=0,'Products &amp; Geography'!F46&lt;0),"",'Products &amp; Geography'!F46/'Products &amp; Geography'!E46-1)</f>
        <v>-0.0625</v>
      </c>
      <c r="G47" s="476" t="n">
        <f>IF(OR('Products &amp; Geography'!F46&lt;=0,'Products &amp; Geography'!G46&lt;0),"",'Products &amp; Geography'!G46/'Products &amp; Geography'!F46-1)</f>
        <v>2.1654320987654323</v>
      </c>
      <c r="H47" s="476" t="n">
        <f>IF(OR('Products &amp; Geography'!G46&lt;=0,'Products &amp; Geography'!H46&lt;0),"",'Products &amp; Geography'!H46/'Products &amp; Geography'!G46-1)</f>
        <v>0.5663026521060843</v>
      </c>
      <c r="I47" s="476" t="n">
        <f>IF(OR('Products &amp; Geography'!H46&lt;=0,'Products &amp; Geography'!I46&lt;0),"",'Products &amp; Geography'!I46/'Products &amp; Geography'!H46-1)</f>
        <v>-0.08515936254980083</v>
      </c>
      <c r="J47" s="476" t="n">
        <f>IF(OR('Products &amp; Geography'!I46&lt;=0,'Products &amp; Geography'!J46&lt;0),"",'Products &amp; Geography'!J46/'Products &amp; Geography'!I46-1)</f>
        <v>-0.07076755579749594</v>
      </c>
      <c r="K47" s="476" t="n">
        <f>IF(OR('Products &amp; Geography'!J46&lt;=0,'Products &amp; Geography'!K46&lt;0),"",'Products &amp; Geography'!K46/'Products &amp; Geography'!J46-1)</f>
        <v>0.08904510837727009</v>
      </c>
      <c r="L47" s="476" t="n">
        <f>IF(OR('Products &amp; Geography'!K46&lt;=0,'Products &amp; Geography'!L46&lt;0),"",'Products &amp; Geography'!L46/'Products &amp; Geography'!K46-1)</f>
        <v>-0.049488972565895684</v>
      </c>
      <c r="M47" s="506"/>
      <c r="N47" s="506"/>
      <c r="O47" s="506"/>
      <c r="P47" s="506"/>
      <c r="Q47" s="506"/>
      <c r="R47" s="506"/>
      <c r="S47" s="506"/>
      <c r="T47" s="506"/>
      <c r="U47" s="506"/>
      <c r="V47" s="506"/>
      <c r="W47" s="506"/>
      <c r="X47" s="506"/>
      <c r="Y47"/>
      <c r="Z47"/>
    </row>
    <row r="48" ht="20" customHeight="1">
      <c r="A48" s="505" t="str">
        <v>Share of consolidated revenue</v>
      </c>
      <c r="B48" s="452"/>
      <c r="C48" s="506"/>
      <c r="D48" s="506"/>
      <c r="E48" s="476" t="n">
        <f>IF('Products &amp; Geography'!E50=0,"",'Products &amp; Geography'!E46/'Products &amp; Geography'!E50)</f>
        <v>0.006680997819396545</v>
      </c>
      <c r="F48" s="476" t="n">
        <f>IF('Products &amp; Geography'!F50=0,"",'Products &amp; Geography'!F46/'Products &amp; Geography'!F50)</f>
        <v>0.00603028543351052</v>
      </c>
      <c r="G48" s="476" t="n">
        <f>IF('Products &amp; Geography'!G50=0,"",'Products &amp; Geography'!G46/'Products &amp; Geography'!G50)</f>
        <v>0.018217472858523275</v>
      </c>
      <c r="H48" s="476" t="n">
        <f>IF('Products &amp; Geography'!H50=0,"",'Products &amp; Geography'!H46/'Products &amp; Geography'!H50)</f>
        <v>0.02526612477036515</v>
      </c>
      <c r="I48" s="476" t="n">
        <f>IF('Products &amp; Geography'!I50=0,"",'Products &amp; Geography'!I46/'Products &amp; Geography'!I50)</f>
        <v>0.0212635429206408</v>
      </c>
      <c r="J48" s="476" t="n">
        <f>IF('Products &amp; Geography'!J50=0,"",'Products &amp; Geography'!J46/'Products &amp; Geography'!J50)</f>
        <v>0.018661652326967017</v>
      </c>
      <c r="K48" s="476" t="n">
        <f>IF('Products &amp; Geography'!K50=0,"",'Products &amp; Geography'!K46/'Products &amp; Geography'!K50)</f>
        <v>0.020238639580203367</v>
      </c>
      <c r="L48" s="476" t="n">
        <f>IF('Products &amp; Geography'!L50=0,"",'Products &amp; Geography'!L46/'Products &amp; Geography'!L50)</f>
        <v>0.01881288261911099</v>
      </c>
      <c r="M48" s="506"/>
      <c r="N48" s="506"/>
      <c r="O48" s="506"/>
      <c r="P48" s="506"/>
      <c r="Q48" s="506"/>
      <c r="R48" s="506"/>
      <c r="S48" s="506"/>
      <c r="T48" s="506"/>
      <c r="U48" s="506"/>
      <c r="V48" s="506"/>
      <c r="W48" s="506"/>
      <c r="X48" s="506"/>
      <c r="Y48"/>
      <c r="Z48"/>
    </row>
    <row r="49" ht="22" customHeight="1">
      <c r="A49" s="511" t="str">
        <v>Other countries (calculated residual)</v>
      </c>
      <c r="B49" s="483"/>
      <c r="C49" s="486" t="n">
        <f>'Products &amp; Geography'!C50-SUM('Products &amp; Geography'!C18,'Products &amp; Geography'!C22,'Products &amp; Geography'!C26,'Products &amp; Geography'!C30,'Products &amp; Geography'!C34,'Products &amp; Geography'!C38)</f>
        <v>14254</v>
      </c>
      <c r="D49" s="486" t="n">
        <f>'Products &amp; Geography'!D50-SUM('Products &amp; Geography'!D18,'Products &amp; Geography'!D22,'Products &amp; Geography'!D26,'Products &amp; Geography'!D30,'Products &amp; Geography'!D34,'Products &amp; Geography'!D38,'Products &amp; Geography'!D42)</f>
        <v>13366</v>
      </c>
      <c r="E49" s="486" t="n">
        <f>'Products &amp; Geography'!E50-SUM('Products &amp; Geography'!E18,'Products &amp; Geography'!E22,'Products &amp; Geography'!E26,'Products &amp; Geography'!E30,'Products &amp; Geography'!E34,'Products &amp; Geography'!E38,'Products &amp; Geography'!E42,'Products &amp; Geography'!E46)</f>
        <v>13034</v>
      </c>
      <c r="F49" s="486" t="n">
        <f>'Products &amp; Geography'!F50-SUM('Products &amp; Geography'!F18,'Products &amp; Geography'!F22,'Products &amp; Geography'!F26,'Products &amp; Geography'!F30,'Products &amp; Geography'!F34,'Products &amp; Geography'!F38,'Products &amp; Geography'!F42,'Products &amp; Geography'!F46)</f>
        <v>13510</v>
      </c>
      <c r="G49" s="486" t="n">
        <f>'Products &amp; Geography'!G50-SUM('Products &amp; Geography'!G18,'Products &amp; Geography'!G22,'Products &amp; Geography'!G26,'Products &amp; Geography'!G30,'Products &amp; Geography'!G34,'Products &amp; Geography'!G42,'Products &amp; Geography'!G46)</f>
        <v>14754</v>
      </c>
      <c r="H49" s="486" t="n">
        <f>'Products &amp; Geography'!H50-SUM('Products &amp; Geography'!H18,'Products &amp; Geography'!H22,'Products &amp; Geography'!H26,'Products &amp; Geography'!H30,'Products &amp; Geography'!H34,'Products &amp; Geography'!H38,'Products &amp; Geography'!H42,'Products &amp; Geography'!H46)</f>
        <v>15477</v>
      </c>
      <c r="I49" s="486" t="n">
        <f>'Products &amp; Geography'!I50-SUM('Products &amp; Geography'!I18,'Products &amp; Geography'!I22,'Products &amp; Geography'!I26,'Products &amp; Geography'!I30,'Products &amp; Geography'!I34,'Products &amp; Geography'!I38,'Products &amp; Geography'!I42,'Products &amp; Geography'!I46)</f>
        <v>15826</v>
      </c>
      <c r="J49" s="486" t="n">
        <f>'Products &amp; Geography'!J50-SUM('Products &amp; Geography'!J18,'Products &amp; Geography'!J22,'Products &amp; Geography'!J26,'Products &amp; Geography'!J30,'Products &amp; Geography'!J34,'Products &amp; Geography'!J38,'Products &amp; Geography'!J42,'Products &amp; Geography'!J46)</f>
        <v>16872</v>
      </c>
      <c r="K49" s="486" t="n">
        <f>'Products &amp; Geography'!K50-SUM('Products &amp; Geography'!K18,'Products &amp; Geography'!K22,'Products &amp; Geography'!K26,'Products &amp; Geography'!K30,'Products &amp; Geography'!K34,'Products &amp; Geography'!K38,'Products &amp; Geography'!K42,'Products &amp; Geography'!K46)</f>
        <v>17023</v>
      </c>
      <c r="L49" s="486" t="n">
        <f>'Products &amp; Geography'!L50-SUM('Products &amp; Geography'!L18,'Products &amp; Geography'!L22,'Products &amp; Geography'!L26,'Products &amp; Geography'!L30,'Products &amp; Geography'!L34,'Products &amp; Geography'!L38,'Products &amp; Geography'!L42,'Products &amp; Geography'!L46)</f>
        <v>17941</v>
      </c>
      <c r="M49" s="513"/>
      <c r="N49" s="513"/>
      <c r="O49" s="513"/>
      <c r="P49" s="513"/>
      <c r="Q49" s="513"/>
      <c r="R49" s="513"/>
      <c r="S49" s="513"/>
      <c r="T49" s="513"/>
      <c r="U49" s="513"/>
      <c r="V49" s="513"/>
      <c r="W49" s="513"/>
      <c r="X49" s="513"/>
      <c r="Y49"/>
      <c r="Z49"/>
    </row>
    <row r="50" ht="22" customHeight="1">
      <c r="A50" s="511" t="str">
        <v>Consolidated net revenue</v>
      </c>
      <c r="B50" s="483"/>
      <c r="C50" s="514" t="n">
        <v>62799</v>
      </c>
      <c r="D50" s="514" t="n">
        <v>63525</v>
      </c>
      <c r="E50" s="514" t="n">
        <v>64661</v>
      </c>
      <c r="F50" s="514" t="n">
        <v>67161</v>
      </c>
      <c r="G50" s="514" t="n">
        <v>70372</v>
      </c>
      <c r="H50" s="514" t="n">
        <v>79474</v>
      </c>
      <c r="I50" s="514" t="n">
        <v>86392</v>
      </c>
      <c r="J50" s="514" t="n">
        <v>91471</v>
      </c>
      <c r="K50" s="514" t="n">
        <v>91854</v>
      </c>
      <c r="L50" s="514" t="n">
        <v>93925</v>
      </c>
      <c r="M50" s="513"/>
      <c r="N50" s="513"/>
      <c r="O50" s="513"/>
      <c r="P50" s="513"/>
      <c r="Q50" s="513"/>
      <c r="R50" s="513"/>
      <c r="S50" s="513"/>
      <c r="T50" s="513"/>
      <c r="U50" s="513"/>
      <c r="V50" s="513"/>
      <c r="W50" s="513"/>
      <c r="X50" s="513"/>
      <c r="Y50"/>
      <c r="Z50"/>
    </row>
    <row r="51" ht="22" customHeight="1">
      <c r="A51" s="452"/>
      <c r="B51" s="452"/>
      <c r="C51" s="452"/>
      <c r="D51" s="452"/>
      <c r="E51" s="452"/>
      <c r="F51" s="452"/>
      <c r="G51" s="452"/>
      <c r="H51" s="452"/>
      <c r="I51" s="452"/>
      <c r="J51" s="452"/>
      <c r="K51" s="452"/>
      <c r="L51" s="452"/>
      <c r="M51" s="452"/>
      <c r="N51" s="452"/>
      <c r="O51" s="452"/>
      <c r="P51" s="452"/>
      <c r="Q51" s="452"/>
      <c r="R51" s="452"/>
      <c r="S51" s="452"/>
      <c r="T51" s="452"/>
      <c r="U51" s="452"/>
      <c r="V51" s="452"/>
      <c r="W51" s="452"/>
      <c r="X51" s="452"/>
      <c r="Y51"/>
      <c r="Z51"/>
    </row>
    <row r="52" ht="22" customHeight="1">
      <c r="A52" s="452"/>
      <c r="B52" s="452"/>
      <c r="C52" s="452"/>
      <c r="D52" s="452"/>
      <c r="E52" s="452"/>
      <c r="F52" s="452"/>
      <c r="G52" s="452"/>
      <c r="H52" s="452"/>
      <c r="I52" s="452"/>
      <c r="J52" s="452"/>
      <c r="K52" s="452"/>
      <c r="L52" s="452"/>
      <c r="M52" s="452"/>
      <c r="N52" s="452"/>
      <c r="O52" s="452"/>
      <c r="P52" s="452"/>
      <c r="Q52" s="452"/>
      <c r="R52" s="452"/>
      <c r="S52" s="452"/>
      <c r="T52" s="452"/>
      <c r="U52" s="452"/>
      <c r="V52" s="452"/>
      <c r="W52" s="452"/>
      <c r="X52" s="452"/>
      <c r="Y52"/>
      <c r="Z52"/>
    </row>
    <row r="53" ht="22" customHeight="1">
      <c r="A53" s="460" t="str">
        <v>Country long-lived assets - historical definition</v>
      </c>
      <c r="B53" s="460"/>
      <c r="C53" s="460"/>
      <c r="D53" s="460"/>
      <c r="E53" s="460"/>
      <c r="F53" s="460"/>
      <c r="G53" s="460"/>
      <c r="H53" s="460"/>
      <c r="I53" s="460"/>
      <c r="J53" s="460"/>
      <c r="K53" s="460"/>
      <c r="L53" s="460"/>
      <c r="M53" s="460"/>
      <c r="N53" s="460"/>
      <c r="O53" s="460"/>
      <c r="P53" s="460"/>
      <c r="Q53" s="460"/>
      <c r="R53" s="460"/>
      <c r="S53" s="460"/>
      <c r="T53" s="460"/>
      <c r="U53" s="460"/>
      <c r="V53" s="460"/>
      <c r="W53" s="460"/>
      <c r="X53" s="460"/>
      <c r="Y53"/>
      <c r="Z53"/>
    </row>
    <row r="54" ht="24" customHeight="1">
      <c r="A54" s="490" t="str">
        <v>Annual long-lived assets include PP&amp;E, intangible assets and relevant investments; this is broader than PP&amp;E.</v>
      </c>
      <c r="B54" s="490"/>
      <c r="C54" s="490"/>
      <c r="D54" s="490"/>
      <c r="E54" s="490"/>
      <c r="F54" s="490"/>
      <c r="G54" s="490"/>
      <c r="H54" s="490"/>
      <c r="I54" s="490"/>
      <c r="J54" s="490"/>
      <c r="K54" s="490"/>
      <c r="L54" s="490"/>
      <c r="M54" s="490"/>
      <c r="N54" s="490"/>
      <c r="O54" s="490"/>
      <c r="P54" s="490"/>
      <c r="Q54" s="490"/>
      <c r="R54" s="490"/>
      <c r="S54" s="490"/>
      <c r="T54" s="490"/>
      <c r="U54" s="490"/>
      <c r="V54" s="490"/>
      <c r="W54" s="490"/>
      <c r="X54" s="490"/>
      <c r="Y54"/>
      <c r="Z54"/>
    </row>
    <row r="55" ht="24" customHeight="1">
      <c r="A55" s="462" t="str">
        <v>Metric / reporting scope</v>
      </c>
      <c r="B55" s="452"/>
      <c r="C55" s="463" t="str">
        <v>FY2016</v>
      </c>
      <c r="D55" s="463" t="str">
        <v>FY2017</v>
      </c>
      <c r="E55" s="463" t="str">
        <v>FY2018</v>
      </c>
      <c r="F55" s="463" t="str">
        <v>FY2019</v>
      </c>
      <c r="G55" s="463" t="str">
        <v>FY2020</v>
      </c>
      <c r="H55" s="463" t="str">
        <v>FY2021</v>
      </c>
      <c r="I55" s="463" t="str">
        <v>FY2022</v>
      </c>
      <c r="J55" s="463" t="str">
        <v>FY2023</v>
      </c>
      <c r="K55" s="463" t="str">
        <v>FY2024</v>
      </c>
      <c r="L55" s="452"/>
      <c r="M55" s="452"/>
      <c r="N55" s="452"/>
      <c r="O55" s="452"/>
      <c r="P55" s="452"/>
      <c r="Q55" s="452"/>
      <c r="R55" s="452"/>
      <c r="S55" s="452"/>
      <c r="T55" s="452"/>
      <c r="U55" s="452"/>
      <c r="V55" s="452"/>
      <c r="W55" s="452"/>
      <c r="X55" s="452"/>
      <c r="Y55"/>
      <c r="Z55"/>
    </row>
    <row r="56" ht="18" customHeight="1">
      <c r="A56" s="452"/>
      <c r="B56" s="452"/>
      <c r="C56" s="501" t="d">
        <v>2016-12-31T00:00:00.000Z</v>
      </c>
      <c r="D56" s="501" t="d">
        <v>2017-12-30T00:00:00.000Z</v>
      </c>
      <c r="E56" s="501" t="d">
        <v>2018-12-29T00:00:00.000Z</v>
      </c>
      <c r="F56" s="501" t="d">
        <v>2019-12-28T00:00:00.000Z</v>
      </c>
      <c r="G56" s="501" t="d">
        <v>2020-12-26T00:00:00.000Z</v>
      </c>
      <c r="H56" s="501" t="d">
        <v>2021-12-25T00:00:00.000Z</v>
      </c>
      <c r="I56" s="501" t="d">
        <v>2022-12-31T00:00:00.000Z</v>
      </c>
      <c r="J56" s="501" t="d">
        <v>2023-12-30T00:00:00.000Z</v>
      </c>
      <c r="K56" s="501" t="d">
        <v>2024-12-28T00:00:00.000Z</v>
      </c>
      <c r="L56" s="452"/>
      <c r="M56" s="452"/>
      <c r="N56" s="452"/>
      <c r="O56" s="452"/>
      <c r="P56" s="452"/>
      <c r="Q56" s="452"/>
      <c r="R56" s="452"/>
      <c r="S56" s="452"/>
      <c r="T56" s="452"/>
      <c r="U56" s="452"/>
      <c r="V56" s="452"/>
      <c r="W56" s="452"/>
      <c r="X56" s="452"/>
      <c r="Y56"/>
      <c r="Z56"/>
    </row>
    <row r="57" ht="22" customHeight="1">
      <c r="A57" s="502" t="str">
        <v>United States</v>
      </c>
      <c r="B57" s="452"/>
      <c r="C57" s="507" t="n">
        <v>28382</v>
      </c>
      <c r="D57" s="507" t="n">
        <v>28418</v>
      </c>
      <c r="E57" s="507" t="n">
        <v>29169</v>
      </c>
      <c r="F57" s="507" t="n">
        <v>30601</v>
      </c>
      <c r="G57" s="507" t="n">
        <v>36657</v>
      </c>
      <c r="H57" s="507" t="n">
        <v>36324</v>
      </c>
      <c r="I57" s="507" t="n">
        <v>38240</v>
      </c>
      <c r="J57" s="507" t="n">
        <v>41234</v>
      </c>
      <c r="K57" s="507" t="n">
        <v>41547</v>
      </c>
      <c r="L57" s="473"/>
      <c r="M57" s="473"/>
      <c r="N57" s="473"/>
      <c r="O57" s="473"/>
      <c r="P57" s="473"/>
      <c r="Q57" s="473"/>
      <c r="R57" s="473"/>
      <c r="S57" s="473"/>
      <c r="T57" s="473"/>
      <c r="U57" s="473"/>
      <c r="V57" s="473"/>
      <c r="W57" s="473"/>
      <c r="X57" s="473"/>
      <c r="Y57"/>
      <c r="Z57"/>
    </row>
    <row r="58" ht="22" customHeight="1">
      <c r="A58" s="502" t="str">
        <v>Mexico</v>
      </c>
      <c r="B58" s="452"/>
      <c r="C58" s="507" t="n">
        <v>998</v>
      </c>
      <c r="D58" s="507" t="n">
        <v>1205</v>
      </c>
      <c r="E58" s="507" t="n">
        <v>1404</v>
      </c>
      <c r="F58" s="507" t="n">
        <v>1666</v>
      </c>
      <c r="G58" s="507" t="n">
        <v>1708</v>
      </c>
      <c r="H58" s="507" t="n">
        <v>1720</v>
      </c>
      <c r="I58" s="507" t="n">
        <v>1933</v>
      </c>
      <c r="J58" s="507" t="n">
        <v>2509</v>
      </c>
      <c r="K58" s="507" t="n">
        <v>2392</v>
      </c>
      <c r="L58" s="473"/>
      <c r="M58" s="473"/>
      <c r="N58" s="473"/>
      <c r="O58" s="473"/>
      <c r="P58" s="473"/>
      <c r="Q58" s="473"/>
      <c r="R58" s="473"/>
      <c r="S58" s="473"/>
      <c r="T58" s="473"/>
      <c r="U58" s="473"/>
      <c r="V58" s="473"/>
      <c r="W58" s="473"/>
      <c r="X58" s="473"/>
      <c r="Y58"/>
      <c r="Z58"/>
    </row>
    <row r="59" ht="22" customHeight="1">
      <c r="A59" s="502" t="str">
        <v>Canada</v>
      </c>
      <c r="B59" s="452"/>
      <c r="C59" s="507" t="n">
        <v>2499</v>
      </c>
      <c r="D59" s="507" t="n">
        <v>2739</v>
      </c>
      <c r="E59" s="507" t="n">
        <v>2565</v>
      </c>
      <c r="F59" s="507" t="n">
        <v>2695</v>
      </c>
      <c r="G59" s="507" t="n">
        <v>2794</v>
      </c>
      <c r="H59" s="507" t="n">
        <v>2846</v>
      </c>
      <c r="I59" s="507" t="n">
        <v>2678</v>
      </c>
      <c r="J59" s="507" t="n">
        <v>2815</v>
      </c>
      <c r="K59" s="507" t="n">
        <v>2681</v>
      </c>
      <c r="L59" s="473"/>
      <c r="M59" s="473"/>
      <c r="N59" s="473"/>
      <c r="O59" s="473"/>
      <c r="P59" s="473"/>
      <c r="Q59" s="473"/>
      <c r="R59" s="473"/>
      <c r="S59" s="473"/>
      <c r="T59" s="473"/>
      <c r="U59" s="473"/>
      <c r="V59" s="473"/>
      <c r="W59" s="473"/>
      <c r="X59" s="473"/>
      <c r="Y59"/>
      <c r="Z59"/>
    </row>
    <row r="60" ht="22" customHeight="1">
      <c r="A60" s="502" t="str">
        <v>Russia</v>
      </c>
      <c r="B60" s="452"/>
      <c r="C60" s="507" t="n">
        <v>4373</v>
      </c>
      <c r="D60" s="507" t="n">
        <v>4708</v>
      </c>
      <c r="E60" s="507" t="n">
        <v>3926</v>
      </c>
      <c r="F60" s="507" t="n">
        <v>4314</v>
      </c>
      <c r="G60" s="507" t="n">
        <v>3644</v>
      </c>
      <c r="H60" s="507" t="n">
        <v>3751</v>
      </c>
      <c r="I60" s="507" t="n">
        <v>2538</v>
      </c>
      <c r="J60" s="507" t="n">
        <v>1986</v>
      </c>
      <c r="K60" s="507" t="n">
        <v>1667</v>
      </c>
      <c r="L60" s="473"/>
      <c r="M60" s="473"/>
      <c r="N60" s="473"/>
      <c r="O60" s="473"/>
      <c r="P60" s="473"/>
      <c r="Q60" s="473"/>
      <c r="R60" s="473"/>
      <c r="S60" s="473"/>
      <c r="T60" s="473"/>
      <c r="U60" s="473"/>
      <c r="V60" s="473"/>
      <c r="W60" s="473"/>
      <c r="X60" s="473"/>
      <c r="Y60"/>
      <c r="Z60"/>
    </row>
    <row r="61" ht="22" customHeight="1">
      <c r="A61" s="502" t="str">
        <v>United Kingdom</v>
      </c>
      <c r="B61" s="452"/>
      <c r="C61" s="507" t="n">
        <v>852</v>
      </c>
      <c r="D61" s="507" t="n">
        <v>817</v>
      </c>
      <c r="E61" s="507" t="n">
        <v>759</v>
      </c>
      <c r="F61" s="507" t="n">
        <v>827</v>
      </c>
      <c r="G61" s="507" t="n">
        <v>874</v>
      </c>
      <c r="H61" s="507" t="n">
        <v>906</v>
      </c>
      <c r="I61" s="507" t="n">
        <v>847</v>
      </c>
      <c r="J61" s="507" t="n">
        <v>868</v>
      </c>
      <c r="K61" s="507" t="n">
        <v>871</v>
      </c>
      <c r="L61" s="473"/>
      <c r="M61" s="473"/>
      <c r="N61" s="473"/>
      <c r="O61" s="473"/>
      <c r="P61" s="473"/>
      <c r="Q61" s="473"/>
      <c r="R61" s="473"/>
      <c r="S61" s="473"/>
      <c r="T61" s="473"/>
      <c r="U61" s="473"/>
      <c r="V61" s="473"/>
      <c r="W61" s="473"/>
      <c r="X61" s="473"/>
      <c r="Y61"/>
      <c r="Z61"/>
    </row>
    <row r="62" ht="22" customHeight="1">
      <c r="A62" s="502" t="str">
        <v>Brazil</v>
      </c>
      <c r="B62" s="452"/>
      <c r="C62" s="507" t="n">
        <v>796</v>
      </c>
      <c r="D62" s="507" t="n">
        <v>777</v>
      </c>
      <c r="E62" s="507" t="n">
        <v>639</v>
      </c>
      <c r="F62" s="507" t="n">
        <v>590</v>
      </c>
      <c r="G62" s="473"/>
      <c r="H62" s="473"/>
      <c r="I62" s="507" t="n">
        <v>446</v>
      </c>
      <c r="J62" s="507" t="n">
        <v>573</v>
      </c>
      <c r="K62" s="507" t="n">
        <v>497</v>
      </c>
      <c r="L62" s="473"/>
      <c r="M62" s="473"/>
      <c r="N62" s="473"/>
      <c r="O62" s="473"/>
      <c r="P62" s="473"/>
      <c r="Q62" s="473"/>
      <c r="R62" s="473"/>
      <c r="S62" s="473"/>
      <c r="T62" s="473"/>
      <c r="U62" s="473"/>
      <c r="V62" s="473"/>
      <c r="W62" s="473"/>
      <c r="X62" s="473"/>
      <c r="Y62"/>
      <c r="Z62"/>
    </row>
    <row r="63" ht="22" customHeight="1">
      <c r="A63" s="502" t="str">
        <v>China</v>
      </c>
      <c r="B63" s="452"/>
      <c r="C63" s="473"/>
      <c r="D63" s="473"/>
      <c r="E63" s="507" t="n">
        <v>509</v>
      </c>
      <c r="F63" s="507" t="n">
        <v>705</v>
      </c>
      <c r="G63" s="507" t="n">
        <v>1649</v>
      </c>
      <c r="H63" s="507" t="n">
        <v>1745</v>
      </c>
      <c r="I63" s="507" t="n">
        <v>1517</v>
      </c>
      <c r="J63" s="507" t="n">
        <v>1510</v>
      </c>
      <c r="K63" s="507" t="n">
        <v>1538</v>
      </c>
      <c r="L63" s="473"/>
      <c r="M63" s="473"/>
      <c r="N63" s="473"/>
      <c r="O63" s="473"/>
      <c r="P63" s="473"/>
      <c r="Q63" s="473"/>
      <c r="R63" s="473"/>
      <c r="S63" s="473"/>
      <c r="T63" s="473"/>
      <c r="U63" s="473"/>
      <c r="V63" s="473"/>
      <c r="W63" s="473"/>
      <c r="X63" s="473"/>
      <c r="Y63"/>
      <c r="Z63"/>
    </row>
    <row r="64" ht="22" customHeight="1">
      <c r="A64" s="502" t="str">
        <v>South Africa</v>
      </c>
      <c r="B64" s="452"/>
      <c r="C64" s="473"/>
      <c r="D64" s="473"/>
      <c r="E64" s="473"/>
      <c r="F64" s="507" t="n">
        <v>137</v>
      </c>
      <c r="G64" s="507" t="n">
        <v>1484</v>
      </c>
      <c r="H64" s="507" t="n">
        <v>1389</v>
      </c>
      <c r="I64" s="507" t="n">
        <v>1327</v>
      </c>
      <c r="J64" s="507" t="n">
        <v>1305</v>
      </c>
      <c r="K64" s="507" t="n">
        <v>1302</v>
      </c>
      <c r="L64" s="473"/>
      <c r="M64" s="473"/>
      <c r="N64" s="473"/>
      <c r="O64" s="473"/>
      <c r="P64" s="473"/>
      <c r="Q64" s="473"/>
      <c r="R64" s="473"/>
      <c r="S64" s="473"/>
      <c r="T64" s="473"/>
      <c r="U64" s="473"/>
      <c r="V64" s="473"/>
      <c r="W64" s="473"/>
      <c r="X64" s="473"/>
      <c r="Y64"/>
      <c r="Z64"/>
    </row>
    <row r="65" ht="22" customHeight="1">
      <c r="A65" s="502" t="str">
        <v>Other countries (calculated residual)</v>
      </c>
      <c r="B65" s="452"/>
      <c r="C65" s="473" t="n">
        <f>'Products &amp; Geography'!C66-SUM('Products &amp; Geography'!C57,'Products &amp; Geography'!C58,'Products &amp; Geography'!C59,'Products &amp; Geography'!C60,'Products &amp; Geography'!C61,'Products &amp; Geography'!C62)</f>
        <v>8504</v>
      </c>
      <c r="D65" s="473" t="n">
        <f>'Products &amp; Geography'!D66-SUM('Products &amp; Geography'!D57,'Products &amp; Geography'!D58,'Products &amp; Geography'!D59,'Products &amp; Geography'!D60,'Products &amp; Geography'!D61,'Products &amp; Geography'!D62)</f>
        <v>9200</v>
      </c>
      <c r="E65" s="473" t="n">
        <f>'Products &amp; Geography'!E66-SUM('Products &amp; Geography'!E57,'Products &amp; Geography'!E58,'Products &amp; Geography'!E59,'Products &amp; Geography'!E60,'Products &amp; Geography'!E61,'Products &amp; Geography'!E62,'Products &amp; Geography'!E63)</f>
        <v>11660</v>
      </c>
      <c r="F65" s="473" t="n">
        <f>'Products &amp; Geography'!F66-SUM('Products &amp; Geography'!F57,'Products &amp; Geography'!F58,'Products &amp; Geography'!F59,'Products &amp; Geography'!F60,'Products &amp; Geography'!F61,'Products &amp; Geography'!F62,'Products &amp; Geography'!F63,'Products &amp; Geography'!F64)</f>
        <v>11997</v>
      </c>
      <c r="G65" s="473" t="n">
        <f>'Products &amp; Geography'!G66-SUM('Products &amp; Geography'!G57,'Products &amp; Geography'!G58,'Products &amp; Geography'!G59,'Products &amp; Geography'!G60,'Products &amp; Geography'!G61,'Products &amp; Geography'!G63,'Products &amp; Geography'!G64)</f>
        <v>13423</v>
      </c>
      <c r="H65" s="473" t="n">
        <f>'Products &amp; Geography'!H66-SUM('Products &amp; Geography'!H57,'Products &amp; Geography'!H58,'Products &amp; Geography'!H59,'Products &amp; Geography'!H60,'Products &amp; Geography'!H61,'Products &amp; Geography'!H63,'Products &amp; Geography'!H64)</f>
        <v>13399</v>
      </c>
      <c r="I65" s="473" t="n">
        <f>'Products &amp; Geography'!I66-SUM('Products &amp; Geography'!I57,'Products &amp; Geography'!I58,'Products &amp; Geography'!I59,'Products &amp; Geography'!I60,'Products &amp; Geography'!I61,'Products &amp; Geography'!I62,'Products &amp; Geography'!I63,'Products &amp; Geography'!I64)</f>
        <v>12439</v>
      </c>
      <c r="J65" s="473" t="n">
        <f>'Products &amp; Geography'!J66-SUM('Products &amp; Geography'!J57,'Products &amp; Geography'!J58,'Products &amp; Geography'!J59,'Products &amp; Geography'!J60,'Products &amp; Geography'!J61,'Products &amp; Geography'!J62,'Products &amp; Geography'!J63,'Products &amp; Geography'!J64)</f>
        <v>11226</v>
      </c>
      <c r="K65" s="473" t="n">
        <f>'Products &amp; Geography'!K66-SUM('Products &amp; Geography'!K57,'Products &amp; Geography'!K58,'Products &amp; Geography'!K59,'Products &amp; Geography'!K60,'Products &amp; Geography'!K61,'Products &amp; Geography'!K62,'Products &amp; Geography'!K63,'Products &amp; Geography'!K64)</f>
        <v>11179</v>
      </c>
      <c r="L65" s="473"/>
      <c r="M65" s="473"/>
      <c r="N65" s="473"/>
      <c r="O65" s="473"/>
      <c r="P65" s="473"/>
      <c r="Q65" s="473"/>
      <c r="R65" s="473"/>
      <c r="S65" s="473"/>
      <c r="T65" s="473"/>
      <c r="U65" s="473"/>
      <c r="V65" s="473"/>
      <c r="W65" s="473"/>
      <c r="X65" s="473"/>
      <c r="Y65"/>
      <c r="Z65"/>
    </row>
    <row r="66" ht="22" customHeight="1">
      <c r="A66" s="511" t="str">
        <v>Consolidated total</v>
      </c>
      <c r="B66" s="483"/>
      <c r="C66" s="514" t="n">
        <v>46404</v>
      </c>
      <c r="D66" s="514" t="n">
        <v>47864</v>
      </c>
      <c r="E66" s="514" t="n">
        <v>50631</v>
      </c>
      <c r="F66" s="514" t="n">
        <v>53532</v>
      </c>
      <c r="G66" s="514" t="n">
        <v>62233</v>
      </c>
      <c r="H66" s="514" t="n">
        <v>62080</v>
      </c>
      <c r="I66" s="514" t="n">
        <v>61965</v>
      </c>
      <c r="J66" s="514" t="n">
        <v>64026</v>
      </c>
      <c r="K66" s="514" t="n">
        <v>63674</v>
      </c>
      <c r="L66" s="513"/>
      <c r="M66" s="513"/>
      <c r="N66" s="513"/>
      <c r="O66" s="513"/>
      <c r="P66" s="513"/>
      <c r="Q66" s="513"/>
      <c r="R66" s="513"/>
      <c r="S66" s="513"/>
      <c r="T66" s="513"/>
      <c r="U66" s="513"/>
      <c r="V66" s="513"/>
      <c r="W66" s="513"/>
      <c r="X66" s="513"/>
      <c r="Y66"/>
      <c r="Z66"/>
    </row>
    <row r="67" ht="22" customHeight="1">
      <c r="A67" s="452"/>
      <c r="B67" s="452"/>
      <c r="C67" s="452"/>
      <c r="D67" s="452"/>
      <c r="E67" s="452"/>
      <c r="F67" s="452"/>
      <c r="G67" s="452"/>
      <c r="H67" s="452"/>
      <c r="I67" s="452"/>
      <c r="J67" s="452"/>
      <c r="K67" s="452"/>
      <c r="L67" s="452"/>
      <c r="M67" s="452"/>
      <c r="N67" s="452"/>
      <c r="O67" s="452"/>
      <c r="P67" s="452"/>
      <c r="Q67" s="452"/>
      <c r="R67" s="452"/>
      <c r="S67" s="452"/>
      <c r="T67" s="452"/>
      <c r="U67" s="452"/>
      <c r="V67" s="452"/>
      <c r="W67" s="452"/>
      <c r="X67" s="452"/>
      <c r="Y67"/>
      <c r="Z67"/>
    </row>
    <row r="68" ht="22" customHeight="1">
      <c r="A68" s="452"/>
      <c r="B68" s="452"/>
      <c r="C68" s="452"/>
      <c r="D68" s="452"/>
      <c r="E68" s="452"/>
      <c r="F68" s="452"/>
      <c r="G68" s="452"/>
      <c r="H68" s="452"/>
      <c r="I68" s="452"/>
      <c r="J68" s="452"/>
      <c r="K68" s="452"/>
      <c r="L68" s="452"/>
      <c r="M68" s="452"/>
      <c r="N68" s="452"/>
      <c r="O68" s="452"/>
      <c r="P68" s="452"/>
      <c r="Q68" s="452"/>
      <c r="R68" s="452"/>
      <c r="S68" s="452"/>
      <c r="T68" s="452"/>
      <c r="U68" s="452"/>
      <c r="V68" s="452"/>
      <c r="W68" s="452"/>
      <c r="X68" s="452"/>
      <c r="Y68"/>
      <c r="Z68"/>
    </row>
    <row r="69" ht="22" customHeight="1">
      <c r="A69" s="460" t="str">
        <v>Property, plant and equipment, net</v>
      </c>
      <c r="B69" s="460"/>
      <c r="C69" s="460"/>
      <c r="D69" s="460"/>
      <c r="E69" s="460"/>
      <c r="F69" s="460"/>
      <c r="G69" s="460"/>
      <c r="H69" s="460"/>
      <c r="I69" s="460"/>
      <c r="J69" s="460"/>
      <c r="K69" s="460"/>
      <c r="L69" s="460"/>
      <c r="M69" s="460"/>
      <c r="N69" s="460"/>
      <c r="O69" s="460"/>
      <c r="P69" s="460"/>
      <c r="Q69" s="460"/>
      <c r="R69" s="460"/>
      <c r="S69" s="460"/>
      <c r="T69" s="460"/>
      <c r="U69" s="460"/>
      <c r="V69" s="460"/>
      <c r="W69" s="460"/>
      <c r="X69" s="460"/>
      <c r="Y69"/>
      <c r="Z69"/>
    </row>
    <row r="70" ht="24" customHeight="1">
      <c r="A70" s="490" t="str">
        <v>FY2025 changed the geographic asset disclosure to US / International PP&amp;E; compare separately from the historical long-lived-asset series.</v>
      </c>
      <c r="B70" s="490"/>
      <c r="C70" s="490"/>
      <c r="D70" s="490"/>
      <c r="E70" s="490"/>
      <c r="F70" s="490"/>
      <c r="G70" s="490"/>
      <c r="H70" s="490"/>
      <c r="I70" s="490"/>
      <c r="J70" s="490"/>
      <c r="K70" s="490"/>
      <c r="L70" s="490"/>
      <c r="M70" s="490"/>
      <c r="N70" s="490"/>
      <c r="O70" s="490"/>
      <c r="P70" s="490"/>
      <c r="Q70" s="490"/>
      <c r="R70" s="490"/>
      <c r="S70" s="490"/>
      <c r="T70" s="490"/>
      <c r="U70" s="490"/>
      <c r="V70" s="490"/>
      <c r="W70" s="490"/>
      <c r="X70" s="490"/>
      <c r="Y70"/>
      <c r="Z70"/>
    </row>
    <row r="71" ht="24" customHeight="1">
      <c r="A71" s="462" t="str">
        <v>Metric / reporting scope</v>
      </c>
      <c r="B71" s="452"/>
      <c r="C71" s="463" t="str">
        <v>FY2024</v>
      </c>
      <c r="D71" s="463" t="str">
        <v>FY2025</v>
      </c>
      <c r="E71" s="452"/>
      <c r="F71" s="452"/>
      <c r="G71" s="452"/>
      <c r="H71" s="452"/>
      <c r="I71" s="452"/>
      <c r="J71" s="452"/>
      <c r="K71" s="452"/>
      <c r="L71" s="452"/>
      <c r="M71" s="452"/>
      <c r="N71" s="452"/>
      <c r="O71" s="452"/>
      <c r="P71" s="452"/>
      <c r="Q71" s="452"/>
      <c r="R71" s="452"/>
      <c r="S71" s="452"/>
      <c r="T71" s="452"/>
      <c r="U71" s="452"/>
      <c r="V71" s="452"/>
      <c r="W71" s="452"/>
      <c r="X71" s="452"/>
      <c r="Y71"/>
      <c r="Z71"/>
    </row>
    <row r="72" ht="18" customHeight="1">
      <c r="A72" s="452"/>
      <c r="B72" s="452"/>
      <c r="C72" s="501" t="d">
        <v>2024-12-28T00:00:00.000Z</v>
      </c>
      <c r="D72" s="501" t="d">
        <v>2025-12-27T00:00:00.000Z</v>
      </c>
      <c r="E72" s="452"/>
      <c r="F72" s="452"/>
      <c r="G72" s="452"/>
      <c r="H72" s="452"/>
      <c r="I72" s="452"/>
      <c r="J72" s="452"/>
      <c r="K72" s="452"/>
      <c r="L72" s="452"/>
      <c r="M72" s="452"/>
      <c r="N72" s="452"/>
      <c r="O72" s="452"/>
      <c r="P72" s="452"/>
      <c r="Q72" s="452"/>
      <c r="R72" s="452"/>
      <c r="S72" s="452"/>
      <c r="T72" s="452"/>
      <c r="U72" s="452"/>
      <c r="V72" s="452"/>
      <c r="W72" s="452"/>
      <c r="X72" s="452"/>
      <c r="Y72"/>
      <c r="Z72"/>
    </row>
    <row r="73" ht="22" customHeight="1">
      <c r="A73" s="502" t="str">
        <v>United States</v>
      </c>
      <c r="B73" s="452"/>
      <c r="C73" s="507" t="n">
        <v>16550</v>
      </c>
      <c r="D73" s="507" t="n">
        <v>16671</v>
      </c>
      <c r="E73" s="473"/>
      <c r="F73" s="473"/>
      <c r="G73" s="473"/>
      <c r="H73" s="473"/>
      <c r="I73" s="473"/>
      <c r="J73" s="473"/>
      <c r="K73" s="473"/>
      <c r="L73" s="473"/>
      <c r="M73" s="473"/>
      <c r="N73" s="473"/>
      <c r="O73" s="473"/>
      <c r="P73" s="473"/>
      <c r="Q73" s="473"/>
      <c r="R73" s="473"/>
      <c r="S73" s="473"/>
      <c r="T73" s="473"/>
      <c r="U73" s="473"/>
      <c r="V73" s="473"/>
      <c r="W73" s="473"/>
      <c r="X73" s="473"/>
      <c r="Y73"/>
      <c r="Z73"/>
    </row>
    <row r="74" ht="22" customHeight="1">
      <c r="A74" s="502" t="str">
        <v>International</v>
      </c>
      <c r="B74" s="452"/>
      <c r="C74" s="507" t="n">
        <v>11458</v>
      </c>
      <c r="D74" s="507" t="n">
        <v>13234</v>
      </c>
      <c r="E74" s="473"/>
      <c r="F74" s="473"/>
      <c r="G74" s="473"/>
      <c r="H74" s="473"/>
      <c r="I74" s="473"/>
      <c r="J74" s="473"/>
      <c r="K74" s="473"/>
      <c r="L74" s="473"/>
      <c r="M74" s="473"/>
      <c r="N74" s="473"/>
      <c r="O74" s="473"/>
      <c r="P74" s="473"/>
      <c r="Q74" s="473"/>
      <c r="R74" s="473"/>
      <c r="S74" s="473"/>
      <c r="T74" s="473"/>
      <c r="U74" s="473"/>
      <c r="V74" s="473"/>
      <c r="W74" s="473"/>
      <c r="X74" s="473"/>
      <c r="Y74"/>
      <c r="Z74"/>
    </row>
    <row r="75" ht="22" customHeight="1">
      <c r="A75" s="502" t="str">
        <v>Total</v>
      </c>
      <c r="B75" s="452"/>
      <c r="C75" s="507" t="n">
        <v>28008</v>
      </c>
      <c r="D75" s="507" t="n">
        <v>29905</v>
      </c>
      <c r="E75" s="473"/>
      <c r="F75" s="473"/>
      <c r="G75" s="473"/>
      <c r="H75" s="473"/>
      <c r="I75" s="473"/>
      <c r="J75" s="473"/>
      <c r="K75" s="473"/>
      <c r="L75" s="473"/>
      <c r="M75" s="473"/>
      <c r="N75" s="473"/>
      <c r="O75" s="473"/>
      <c r="P75" s="473"/>
      <c r="Q75" s="473"/>
      <c r="R75" s="473"/>
      <c r="S75" s="473"/>
      <c r="T75" s="473"/>
      <c r="U75" s="473"/>
      <c r="V75" s="473"/>
      <c r="W75" s="473"/>
      <c r="X75" s="473"/>
      <c r="Y75"/>
      <c r="Z75"/>
    </row>
    <row r="76" ht="22" customHeight="1">
      <c r="A76" s="452"/>
      <c r="B76" s="452"/>
      <c r="C76" s="452"/>
      <c r="D76" s="452"/>
      <c r="E76" s="452"/>
      <c r="F76" s="452"/>
      <c r="G76" s="452"/>
      <c r="H76" s="452"/>
      <c r="I76" s="452"/>
      <c r="J76" s="452"/>
      <c r="K76" s="452"/>
      <c r="L76" s="452"/>
      <c r="M76" s="452"/>
      <c r="N76" s="452"/>
      <c r="O76" s="452"/>
      <c r="P76" s="452"/>
      <c r="Q76" s="452"/>
      <c r="R76" s="452"/>
      <c r="S76" s="452"/>
      <c r="T76" s="452"/>
      <c r="U76" s="452"/>
      <c r="V76" s="452"/>
      <c r="W76" s="452"/>
      <c r="X76" s="452"/>
      <c r="Y76"/>
      <c r="Z76"/>
    </row>
    <row r="77" ht="22" customHeight="1">
      <c r="A77" s="452"/>
      <c r="B77" s="452"/>
      <c r="C77" s="452"/>
      <c r="D77" s="452"/>
      <c r="E77" s="452"/>
      <c r="F77" s="452"/>
      <c r="G77" s="452"/>
      <c r="H77" s="452"/>
      <c r="I77" s="452"/>
      <c r="J77" s="452"/>
      <c r="K77" s="452"/>
      <c r="L77" s="452"/>
      <c r="M77" s="452"/>
      <c r="N77" s="452"/>
      <c r="O77" s="452"/>
      <c r="P77" s="452"/>
      <c r="Q77" s="452"/>
      <c r="R77" s="452"/>
      <c r="S77" s="452"/>
      <c r="T77" s="452"/>
      <c r="U77" s="452"/>
      <c r="V77" s="452"/>
      <c r="W77" s="452"/>
      <c r="X77" s="452"/>
      <c r="Y77"/>
      <c r="Z77"/>
    </row>
    <row r="78" ht="22" customHeight="1">
      <c r="A78" s="460" t="str">
        <v>Food / beverage mix and company-owned bottling</v>
      </c>
      <c r="B78" s="460"/>
      <c r="C78" s="460"/>
      <c r="D78" s="460"/>
      <c r="E78" s="460"/>
      <c r="F78" s="460"/>
      <c r="G78" s="460"/>
      <c r="H78" s="460"/>
      <c r="I78" s="460"/>
      <c r="J78" s="460"/>
      <c r="K78" s="460"/>
      <c r="L78" s="460"/>
      <c r="M78" s="460"/>
      <c r="N78" s="460"/>
      <c r="O78" s="460"/>
      <c r="P78" s="460"/>
      <c r="Q78" s="460"/>
      <c r="R78" s="460"/>
      <c r="S78" s="460"/>
      <c r="T78" s="460"/>
      <c r="U78" s="460"/>
      <c r="V78" s="460"/>
      <c r="W78" s="460"/>
      <c r="X78" s="460"/>
      <c r="Y78"/>
      <c r="Z78"/>
    </row>
    <row r="79" ht="24" customHeight="1">
      <c r="A79" s="490" t="str">
        <v>Approximate annual revenue shares; not physical-volume shares. FY2018 uses the later recast 45% / 55% product mix; the original earlier-six presentation was about 50% / 50%. Company-owned bottling helps explain capital intensity.</v>
      </c>
      <c r="B79" s="490"/>
      <c r="C79" s="490"/>
      <c r="D79" s="490"/>
      <c r="E79" s="490"/>
      <c r="F79" s="490"/>
      <c r="G79" s="490"/>
      <c r="H79" s="490"/>
      <c r="I79" s="490"/>
      <c r="J79" s="490"/>
      <c r="K79" s="490"/>
      <c r="L79" s="490"/>
      <c r="M79" s="490"/>
      <c r="N79" s="490"/>
      <c r="O79" s="490"/>
      <c r="P79" s="490"/>
      <c r="Q79" s="490"/>
      <c r="R79" s="490"/>
      <c r="S79" s="490"/>
      <c r="T79" s="490"/>
      <c r="U79" s="490"/>
      <c r="V79" s="490"/>
      <c r="W79" s="490"/>
      <c r="X79" s="490"/>
      <c r="Y79"/>
      <c r="Z79"/>
    </row>
    <row r="80" ht="24" customHeight="1">
      <c r="A80" s="462" t="str">
        <v>Metric / reporting scope</v>
      </c>
      <c r="B80" s="452"/>
      <c r="C80" s="463" t="str">
        <v>FY2018</v>
      </c>
      <c r="D80" s="463" t="str">
        <v>FY2019</v>
      </c>
      <c r="E80" s="463" t="str">
        <v>FY2020</v>
      </c>
      <c r="F80" s="463" t="str">
        <v>FY2021</v>
      </c>
      <c r="G80" s="463" t="str">
        <v>FY2022</v>
      </c>
      <c r="H80" s="463" t="str">
        <v>FY2023</v>
      </c>
      <c r="I80" s="463" t="str">
        <v>FY2024</v>
      </c>
      <c r="J80" s="463" t="str">
        <v>FY2025</v>
      </c>
      <c r="K80" s="452"/>
      <c r="L80" s="452"/>
      <c r="M80" s="452"/>
      <c r="N80" s="452"/>
      <c r="O80" s="452"/>
      <c r="P80" s="452"/>
      <c r="Q80" s="452"/>
      <c r="R80" s="452"/>
      <c r="S80" s="452"/>
      <c r="T80" s="452"/>
      <c r="U80" s="452"/>
      <c r="V80" s="452"/>
      <c r="W80" s="452"/>
      <c r="X80" s="452"/>
      <c r="Y80"/>
      <c r="Z80"/>
    </row>
    <row r="81" ht="18" customHeight="1">
      <c r="A81" s="452"/>
      <c r="B81" s="452"/>
      <c r="C81" s="501" t="d">
        <v>2018-12-29T00:00:00.000Z</v>
      </c>
      <c r="D81" s="501" t="d">
        <v>2019-12-28T00:00:00.000Z</v>
      </c>
      <c r="E81" s="501" t="d">
        <v>2020-12-26T00:00:00.000Z</v>
      </c>
      <c r="F81" s="501" t="d">
        <v>2021-12-25T00:00:00.000Z</v>
      </c>
      <c r="G81" s="501" t="d">
        <v>2022-12-31T00:00:00.000Z</v>
      </c>
      <c r="H81" s="501" t="d">
        <v>2023-12-30T00:00:00.000Z</v>
      </c>
      <c r="I81" s="501" t="d">
        <v>2024-12-28T00:00:00.000Z</v>
      </c>
      <c r="J81" s="501" t="d">
        <v>2025-12-27T00:00:00.000Z</v>
      </c>
      <c r="K81" s="452"/>
      <c r="L81" s="452"/>
      <c r="M81" s="452"/>
      <c r="N81" s="452"/>
      <c r="O81" s="452"/>
      <c r="P81" s="452"/>
      <c r="Q81" s="452"/>
      <c r="R81" s="452"/>
      <c r="S81" s="452"/>
      <c r="T81" s="452"/>
      <c r="U81" s="452"/>
      <c r="V81" s="452"/>
      <c r="W81" s="452"/>
      <c r="X81" s="452"/>
      <c r="Y81"/>
      <c r="Z81"/>
    </row>
    <row r="82" ht="20" customHeight="1">
      <c r="A82" s="505" t="str">
        <v>Beverages / consolidated net revenue</v>
      </c>
      <c r="B82" s="452"/>
      <c r="C82" s="508" t="n">
        <v>0.45</v>
      </c>
      <c r="D82" s="508" t="n">
        <v>0.45</v>
      </c>
      <c r="E82" s="508" t="n">
        <v>0.45</v>
      </c>
      <c r="F82" s="508" t="n">
        <v>0.45</v>
      </c>
      <c r="G82" s="508" t="n">
        <v>0.42</v>
      </c>
      <c r="H82" s="508" t="n">
        <v>0.41000000000000003</v>
      </c>
      <c r="I82" s="508" t="n">
        <v>0.42</v>
      </c>
      <c r="J82" s="508" t="n">
        <v>0.42</v>
      </c>
      <c r="K82" s="506"/>
      <c r="L82" s="506"/>
      <c r="M82" s="506"/>
      <c r="N82" s="506"/>
      <c r="O82" s="506"/>
      <c r="P82" s="506"/>
      <c r="Q82" s="506"/>
      <c r="R82" s="506"/>
      <c r="S82" s="506"/>
      <c r="T82" s="506"/>
      <c r="U82" s="506"/>
      <c r="V82" s="506"/>
      <c r="W82" s="506"/>
      <c r="X82" s="506"/>
      <c r="Y82"/>
      <c r="Z82"/>
    </row>
    <row r="83" ht="20" customHeight="1">
      <c r="A83" s="505" t="str">
        <v>Foods / consolidated net revenue</v>
      </c>
      <c r="B83" s="452"/>
      <c r="C83" s="508" t="n">
        <v>0.55</v>
      </c>
      <c r="D83" s="508" t="n">
        <v>0.55</v>
      </c>
      <c r="E83" s="508" t="n">
        <v>0.55</v>
      </c>
      <c r="F83" s="508" t="n">
        <v>0.55</v>
      </c>
      <c r="G83" s="508" t="n">
        <v>0.58</v>
      </c>
      <c r="H83" s="508" t="n">
        <v>0.59</v>
      </c>
      <c r="I83" s="508" t="n">
        <v>0.58</v>
      </c>
      <c r="J83" s="508" t="n">
        <v>0.58</v>
      </c>
      <c r="K83" s="506"/>
      <c r="L83" s="506"/>
      <c r="M83" s="506"/>
      <c r="N83" s="506"/>
      <c r="O83" s="506"/>
      <c r="P83" s="506"/>
      <c r="Q83" s="506"/>
      <c r="R83" s="506"/>
      <c r="S83" s="506"/>
      <c r="T83" s="506"/>
      <c r="U83" s="506"/>
      <c r="V83" s="506"/>
      <c r="W83" s="506"/>
      <c r="X83" s="506"/>
      <c r="Y83"/>
      <c r="Z83"/>
    </row>
    <row r="84" ht="20" customHeight="1">
      <c r="A84" s="505" t="str">
        <v>Company-owned bottlers / consolidated revenue</v>
      </c>
      <c r="B84" s="452"/>
      <c r="C84" s="508" t="n">
        <v>0.4</v>
      </c>
      <c r="D84" s="508" t="n">
        <v>0.4</v>
      </c>
      <c r="E84" s="508" t="n">
        <v>0.4</v>
      </c>
      <c r="F84" s="508" t="n">
        <v>0.4</v>
      </c>
      <c r="G84" s="508" t="n">
        <v>0.37</v>
      </c>
      <c r="H84" s="508" t="n">
        <v>0.35000000000000003</v>
      </c>
      <c r="I84" s="508" t="n">
        <v>0.35000000000000003</v>
      </c>
      <c r="J84" s="508" t="n">
        <v>0.36</v>
      </c>
      <c r="K84" s="506"/>
      <c r="L84" s="506"/>
      <c r="M84" s="506"/>
      <c r="N84" s="506"/>
      <c r="O84" s="506"/>
      <c r="P84" s="506"/>
      <c r="Q84" s="506"/>
      <c r="R84" s="506"/>
      <c r="S84" s="506"/>
      <c r="T84" s="506"/>
      <c r="U84" s="506"/>
      <c r="V84" s="506"/>
      <c r="W84" s="506"/>
      <c r="X84" s="506"/>
      <c r="Y84"/>
      <c r="Z84"/>
    </row>
    <row r="85" ht="22" customHeight="1">
      <c r="A85" s="452"/>
      <c r="B85" s="452"/>
      <c r="C85" s="452"/>
      <c r="D85" s="452"/>
      <c r="E85" s="452"/>
      <c r="F85" s="452"/>
      <c r="G85" s="452"/>
      <c r="H85" s="452"/>
      <c r="I85" s="452"/>
      <c r="J85" s="452"/>
      <c r="K85" s="452"/>
      <c r="L85" s="452"/>
      <c r="M85" s="452"/>
      <c r="N85" s="452"/>
      <c r="O85" s="452"/>
      <c r="P85" s="452"/>
      <c r="Q85" s="452"/>
      <c r="R85" s="452"/>
      <c r="S85" s="452"/>
      <c r="T85" s="452"/>
      <c r="U85" s="452"/>
      <c r="V85" s="452"/>
      <c r="W85" s="452"/>
      <c r="X85" s="452"/>
      <c r="Y85"/>
      <c r="Z85"/>
    </row>
    <row r="86" ht="22" customHeight="1">
      <c r="A86" s="452"/>
      <c r="B86" s="452"/>
      <c r="C86" s="452"/>
      <c r="D86" s="452"/>
      <c r="E86" s="452"/>
      <c r="F86" s="452"/>
      <c r="G86" s="452"/>
      <c r="H86" s="452"/>
      <c r="I86" s="452"/>
      <c r="J86" s="452"/>
      <c r="K86" s="452"/>
      <c r="L86" s="452"/>
      <c r="M86" s="452"/>
      <c r="N86" s="452"/>
      <c r="O86" s="452"/>
      <c r="P86" s="452"/>
      <c r="Q86" s="452"/>
      <c r="R86" s="452"/>
      <c r="S86" s="452"/>
      <c r="T86" s="452"/>
      <c r="U86" s="452"/>
      <c r="V86" s="452"/>
      <c r="W86" s="452"/>
      <c r="X86" s="452"/>
      <c r="Y86"/>
      <c r="Z86"/>
    </row>
    <row r="87" ht="22" customHeight="1">
      <c r="A87" s="460" t="str">
        <v>Current regional food / beverage mix</v>
      </c>
      <c r="B87" s="460"/>
      <c r="C87" s="460"/>
      <c r="D87" s="460"/>
      <c r="E87" s="460"/>
      <c r="F87" s="460"/>
      <c r="G87" s="460"/>
      <c r="H87" s="460"/>
      <c r="I87" s="460"/>
      <c r="J87" s="460"/>
      <c r="K87" s="460"/>
      <c r="L87" s="460"/>
      <c r="M87" s="460"/>
      <c r="N87" s="460"/>
      <c r="O87" s="460"/>
      <c r="P87" s="460"/>
      <c r="Q87" s="460"/>
      <c r="R87" s="460"/>
      <c r="S87" s="460"/>
      <c r="T87" s="460"/>
      <c r="U87" s="460"/>
      <c r="V87" s="460"/>
      <c r="W87" s="460"/>
      <c r="X87" s="460"/>
      <c r="Y87"/>
      <c r="Z87"/>
    </row>
    <row r="88" ht="24" customHeight="1">
      <c r="A88" s="490" t="str">
        <v>Approximate annual revenue shares. Regional boundaries differ across reporting structures; no quarterly shares or inferred product revenues are shown.</v>
      </c>
      <c r="B88" s="490"/>
      <c r="C88" s="490"/>
      <c r="D88" s="490"/>
      <c r="E88" s="490"/>
      <c r="F88" s="490"/>
      <c r="G88" s="490"/>
      <c r="H88" s="490"/>
      <c r="I88" s="490"/>
      <c r="J88" s="490"/>
      <c r="K88" s="490"/>
      <c r="L88" s="490"/>
      <c r="M88" s="490"/>
      <c r="N88" s="490"/>
      <c r="O88" s="490"/>
      <c r="P88" s="490"/>
      <c r="Q88" s="490"/>
      <c r="R88" s="490"/>
      <c r="S88" s="490"/>
      <c r="T88" s="490"/>
      <c r="U88" s="490"/>
      <c r="V88" s="490"/>
      <c r="W88" s="490"/>
      <c r="X88" s="490"/>
      <c r="Y88"/>
      <c r="Z88"/>
    </row>
    <row r="89" ht="24" customHeight="1">
      <c r="A89" s="462" t="str">
        <v>Metric / reporting scope</v>
      </c>
      <c r="B89" s="452"/>
      <c r="C89" s="463" t="str">
        <v>FY2022</v>
      </c>
      <c r="D89" s="463" t="str">
        <v>FY2023</v>
      </c>
      <c r="E89" s="463" t="str">
        <v>FY2024</v>
      </c>
      <c r="F89" s="463" t="str">
        <v>FY2025</v>
      </c>
      <c r="G89" s="452"/>
      <c r="H89" s="452"/>
      <c r="I89" s="452"/>
      <c r="J89" s="452"/>
      <c r="K89" s="452"/>
      <c r="L89" s="452"/>
      <c r="M89" s="452"/>
      <c r="N89" s="452"/>
      <c r="O89" s="452"/>
      <c r="P89" s="452"/>
      <c r="Q89" s="452"/>
      <c r="R89" s="452"/>
      <c r="S89" s="452"/>
      <c r="T89" s="452"/>
      <c r="U89" s="452"/>
      <c r="V89" s="452"/>
      <c r="W89" s="452"/>
      <c r="X89" s="452"/>
      <c r="Y89"/>
      <c r="Z89"/>
    </row>
    <row r="90" ht="18" customHeight="1">
      <c r="A90" s="452"/>
      <c r="B90" s="452"/>
      <c r="C90" s="501" t="d">
        <v>2022-12-31T00:00:00.000Z</v>
      </c>
      <c r="D90" s="501" t="d">
        <v>2023-12-30T00:00:00.000Z</v>
      </c>
      <c r="E90" s="501" t="d">
        <v>2024-12-28T00:00:00.000Z</v>
      </c>
      <c r="F90" s="501" t="d">
        <v>2025-12-27T00:00:00.000Z</v>
      </c>
      <c r="G90" s="452"/>
      <c r="H90" s="452"/>
      <c r="I90" s="452"/>
      <c r="J90" s="452"/>
      <c r="K90" s="452"/>
      <c r="L90" s="452"/>
      <c r="M90" s="452"/>
      <c r="N90" s="452"/>
      <c r="O90" s="452"/>
      <c r="P90" s="452"/>
      <c r="Q90" s="452"/>
      <c r="R90" s="452"/>
      <c r="S90" s="452"/>
      <c r="T90" s="452"/>
      <c r="U90" s="452"/>
      <c r="V90" s="452"/>
      <c r="W90" s="452"/>
      <c r="X90" s="452"/>
      <c r="Y90"/>
      <c r="Z90"/>
    </row>
    <row r="91" ht="24" customHeight="1">
      <c r="A91" s="477" t="str">
        <v>North America</v>
      </c>
      <c r="B91" s="477"/>
      <c r="C91" s="477"/>
      <c r="D91" s="477"/>
      <c r="E91" s="477"/>
      <c r="F91" s="477"/>
      <c r="G91" s="477"/>
      <c r="H91" s="477"/>
      <c r="I91" s="477"/>
      <c r="J91" s="477"/>
      <c r="K91" s="477"/>
      <c r="L91" s="477"/>
      <c r="M91" s="477"/>
      <c r="N91" s="477"/>
      <c r="O91" s="477"/>
      <c r="P91" s="477"/>
      <c r="Q91" s="477"/>
      <c r="R91" s="477"/>
      <c r="S91" s="477"/>
      <c r="T91" s="477"/>
      <c r="U91" s="477"/>
      <c r="V91" s="477"/>
      <c r="W91" s="477"/>
      <c r="X91" s="477"/>
      <c r="Y91"/>
      <c r="Z91"/>
    </row>
    <row r="92" ht="20" customHeight="1">
      <c r="A92" s="505" t="str">
        <v>Beverages / net revenue</v>
      </c>
      <c r="B92" s="452"/>
      <c r="C92" s="508" t="n">
        <v>0.5</v>
      </c>
      <c r="D92" s="508" t="n">
        <v>0.5</v>
      </c>
      <c r="E92" s="508" t="n">
        <v>0.5</v>
      </c>
      <c r="F92" s="508" t="n">
        <v>0.51</v>
      </c>
      <c r="G92" s="506"/>
      <c r="H92" s="506"/>
      <c r="I92" s="506"/>
      <c r="J92" s="506"/>
      <c r="K92" s="506"/>
      <c r="L92" s="506"/>
      <c r="M92" s="506"/>
      <c r="N92" s="506"/>
      <c r="O92" s="506"/>
      <c r="P92" s="506"/>
      <c r="Q92" s="506"/>
      <c r="R92" s="506"/>
      <c r="S92" s="506"/>
      <c r="T92" s="506"/>
      <c r="U92" s="506"/>
      <c r="V92" s="506"/>
      <c r="W92" s="506"/>
      <c r="X92" s="506"/>
      <c r="Y92"/>
      <c r="Z92"/>
    </row>
    <row r="93" ht="20" customHeight="1">
      <c r="A93" s="505" t="str">
        <v>Convenient foods / net revenue</v>
      </c>
      <c r="B93" s="452"/>
      <c r="C93" s="508" t="n">
        <v>0.5</v>
      </c>
      <c r="D93" s="508" t="n">
        <v>0.5</v>
      </c>
      <c r="E93" s="508" t="n">
        <v>0.5</v>
      </c>
      <c r="F93" s="508" t="n">
        <v>0.49</v>
      </c>
      <c r="G93" s="506"/>
      <c r="H93" s="506"/>
      <c r="I93" s="506"/>
      <c r="J93" s="506"/>
      <c r="K93" s="506"/>
      <c r="L93" s="506"/>
      <c r="M93" s="506"/>
      <c r="N93" s="506"/>
      <c r="O93" s="506"/>
      <c r="P93" s="506"/>
      <c r="Q93" s="506"/>
      <c r="R93" s="506"/>
      <c r="S93" s="506"/>
      <c r="T93" s="506"/>
      <c r="U93" s="506"/>
      <c r="V93" s="506"/>
      <c r="W93" s="506"/>
      <c r="X93" s="506"/>
      <c r="Y93"/>
      <c r="Z93"/>
    </row>
    <row r="94" ht="24" customHeight="1">
      <c r="A94" s="477" t="str">
        <v>International</v>
      </c>
      <c r="B94" s="477"/>
      <c r="C94" s="477"/>
      <c r="D94" s="477"/>
      <c r="E94" s="477"/>
      <c r="F94" s="477"/>
      <c r="G94" s="477"/>
      <c r="H94" s="477"/>
      <c r="I94" s="477"/>
      <c r="J94" s="477"/>
      <c r="K94" s="477"/>
      <c r="L94" s="477"/>
      <c r="M94" s="477"/>
      <c r="N94" s="477"/>
      <c r="O94" s="477"/>
      <c r="P94" s="477"/>
      <c r="Q94" s="477"/>
      <c r="R94" s="477"/>
      <c r="S94" s="477"/>
      <c r="T94" s="477"/>
      <c r="U94" s="477"/>
      <c r="V94" s="477"/>
      <c r="W94" s="477"/>
      <c r="X94" s="477"/>
      <c r="Y94"/>
      <c r="Z94"/>
    </row>
    <row r="95" ht="20" customHeight="1">
      <c r="A95" s="505" t="str">
        <v>Beverages / net revenue</v>
      </c>
      <c r="B95" s="452"/>
      <c r="C95" s="508" t="n">
        <v>0.31</v>
      </c>
      <c r="D95" s="508" t="n">
        <v>0.29</v>
      </c>
      <c r="E95" s="508" t="n">
        <v>0.29</v>
      </c>
      <c r="F95" s="508" t="n">
        <v>0.31</v>
      </c>
      <c r="G95" s="506"/>
      <c r="H95" s="506"/>
      <c r="I95" s="506"/>
      <c r="J95" s="506"/>
      <c r="K95" s="506"/>
      <c r="L95" s="506"/>
      <c r="M95" s="506"/>
      <c r="N95" s="506"/>
      <c r="O95" s="506"/>
      <c r="P95" s="506"/>
      <c r="Q95" s="506"/>
      <c r="R95" s="506"/>
      <c r="S95" s="506"/>
      <c r="T95" s="506"/>
      <c r="U95" s="506"/>
      <c r="V95" s="506"/>
      <c r="W95" s="506"/>
      <c r="X95" s="506"/>
      <c r="Y95"/>
      <c r="Z95"/>
    </row>
    <row r="96" ht="20" customHeight="1">
      <c r="A96" s="505" t="str">
        <v>Convenient foods / net revenue</v>
      </c>
      <c r="B96" s="452"/>
      <c r="C96" s="508" t="n">
        <v>0.6900000000000001</v>
      </c>
      <c r="D96" s="508" t="n">
        <v>0.71</v>
      </c>
      <c r="E96" s="508" t="n">
        <v>0.71</v>
      </c>
      <c r="F96" s="508" t="n">
        <v>0.6900000000000001</v>
      </c>
      <c r="G96" s="506"/>
      <c r="H96" s="506"/>
      <c r="I96" s="506"/>
      <c r="J96" s="506"/>
      <c r="K96" s="506"/>
      <c r="L96" s="506"/>
      <c r="M96" s="506"/>
      <c r="N96" s="506"/>
      <c r="O96" s="506"/>
      <c r="P96" s="506"/>
      <c r="Q96" s="506"/>
      <c r="R96" s="506"/>
      <c r="S96" s="506"/>
      <c r="T96" s="506"/>
      <c r="U96" s="506"/>
      <c r="V96" s="506"/>
      <c r="W96" s="506"/>
      <c r="X96" s="506"/>
      <c r="Y96"/>
      <c r="Z96"/>
    </row>
    <row r="97" ht="24" customHeight="1">
      <c r="A97" s="477" t="str">
        <v>EMEA</v>
      </c>
      <c r="B97" s="477"/>
      <c r="C97" s="477"/>
      <c r="D97" s="477"/>
      <c r="E97" s="477"/>
      <c r="F97" s="477"/>
      <c r="G97" s="477"/>
      <c r="H97" s="477"/>
      <c r="I97" s="477"/>
      <c r="J97" s="477"/>
      <c r="K97" s="477"/>
      <c r="L97" s="477"/>
      <c r="M97" s="477"/>
      <c r="N97" s="477"/>
      <c r="O97" s="477"/>
      <c r="P97" s="477"/>
      <c r="Q97" s="477"/>
      <c r="R97" s="477"/>
      <c r="S97" s="477"/>
      <c r="T97" s="477"/>
      <c r="U97" s="477"/>
      <c r="V97" s="477"/>
      <c r="W97" s="477"/>
      <c r="X97" s="477"/>
      <c r="Y97"/>
      <c r="Z97"/>
    </row>
    <row r="98" ht="20" customHeight="1">
      <c r="A98" s="505" t="str">
        <v>Beverages / net revenue</v>
      </c>
      <c r="B98" s="452"/>
      <c r="C98" s="508" t="n">
        <v>0.38</v>
      </c>
      <c r="D98" s="508" t="n">
        <v>0.35000000000000003</v>
      </c>
      <c r="E98" s="508" t="n">
        <v>0.35000000000000003</v>
      </c>
      <c r="F98" s="508" t="n">
        <v>0.37</v>
      </c>
      <c r="G98" s="506"/>
      <c r="H98" s="506"/>
      <c r="I98" s="506"/>
      <c r="J98" s="506"/>
      <c r="K98" s="506"/>
      <c r="L98" s="506"/>
      <c r="M98" s="506"/>
      <c r="N98" s="506"/>
      <c r="O98" s="506"/>
      <c r="P98" s="506"/>
      <c r="Q98" s="506"/>
      <c r="R98" s="506"/>
      <c r="S98" s="506"/>
      <c r="T98" s="506"/>
      <c r="U98" s="506"/>
      <c r="V98" s="506"/>
      <c r="W98" s="506"/>
      <c r="X98" s="506"/>
      <c r="Y98"/>
      <c r="Z98"/>
    </row>
    <row r="99" ht="20" customHeight="1">
      <c r="A99" s="505" t="str">
        <v>Convenient foods / net revenue</v>
      </c>
      <c r="B99" s="452"/>
      <c r="C99" s="508" t="n">
        <v>0.62</v>
      </c>
      <c r="D99" s="508" t="n">
        <v>0.65</v>
      </c>
      <c r="E99" s="508" t="n">
        <v>0.65</v>
      </c>
      <c r="F99" s="508" t="n">
        <v>0.63</v>
      </c>
      <c r="G99" s="506"/>
      <c r="H99" s="506"/>
      <c r="I99" s="506"/>
      <c r="J99" s="506"/>
      <c r="K99" s="506"/>
      <c r="L99" s="506"/>
      <c r="M99" s="506"/>
      <c r="N99" s="506"/>
      <c r="O99" s="506"/>
      <c r="P99" s="506"/>
      <c r="Q99" s="506"/>
      <c r="R99" s="506"/>
      <c r="S99" s="506"/>
      <c r="T99" s="506"/>
      <c r="U99" s="506"/>
      <c r="V99" s="506"/>
      <c r="W99" s="506"/>
      <c r="X99" s="506"/>
      <c r="Y99"/>
      <c r="Z99"/>
    </row>
    <row r="100" ht="22" customHeight="1">
      <c r="A100" s="452"/>
      <c r="B100" s="452"/>
      <c r="C100" s="452"/>
      <c r="D100" s="452"/>
      <c r="E100" s="452"/>
      <c r="F100" s="452"/>
      <c r="G100" s="452"/>
      <c r="H100" s="452"/>
      <c r="I100" s="452"/>
      <c r="J100" s="452"/>
      <c r="K100" s="452"/>
      <c r="L100" s="452"/>
      <c r="M100" s="452"/>
      <c r="N100" s="452"/>
      <c r="O100" s="452"/>
      <c r="P100" s="452"/>
      <c r="Q100" s="452"/>
      <c r="R100" s="452"/>
      <c r="S100" s="452"/>
      <c r="T100" s="452"/>
      <c r="U100" s="452"/>
      <c r="V100" s="452"/>
      <c r="W100" s="452"/>
      <c r="X100" s="452"/>
      <c r="Y100"/>
      <c r="Z100"/>
    </row>
    <row r="101" ht="22" customHeight="1">
      <c r="A101" s="452"/>
      <c r="B101" s="452"/>
      <c r="C101" s="452"/>
      <c r="D101" s="452"/>
      <c r="E101" s="452"/>
      <c r="F101" s="452"/>
      <c r="G101" s="452"/>
      <c r="H101" s="452"/>
      <c r="I101" s="452"/>
      <c r="J101" s="452"/>
      <c r="K101" s="452"/>
      <c r="L101" s="452"/>
      <c r="M101" s="452"/>
      <c r="N101" s="452"/>
      <c r="O101" s="452"/>
      <c r="P101" s="452"/>
      <c r="Q101" s="452"/>
      <c r="R101" s="452"/>
      <c r="S101" s="452"/>
      <c r="T101" s="452"/>
      <c r="U101" s="452"/>
      <c r="V101" s="452"/>
      <c r="W101" s="452"/>
      <c r="X101" s="452"/>
      <c r="Y101"/>
      <c r="Z101"/>
    </row>
    <row r="102" ht="22" customHeight="1">
      <c r="A102" s="460" t="str">
        <v>Historical regional food / beverage mix</v>
      </c>
      <c r="B102" s="460"/>
      <c r="C102" s="460"/>
      <c r="D102" s="460"/>
      <c r="E102" s="460"/>
      <c r="F102" s="460"/>
      <c r="G102" s="460"/>
      <c r="H102" s="460"/>
      <c r="I102" s="460"/>
      <c r="J102" s="460"/>
      <c r="K102" s="460"/>
      <c r="L102" s="460"/>
      <c r="M102" s="460"/>
      <c r="N102" s="460"/>
      <c r="O102" s="460"/>
      <c r="P102" s="460"/>
      <c r="Q102" s="460"/>
      <c r="R102" s="460"/>
      <c r="S102" s="460"/>
      <c r="T102" s="460"/>
      <c r="U102" s="460"/>
      <c r="V102" s="460"/>
      <c r="W102" s="460"/>
      <c r="X102" s="460"/>
      <c r="Y102"/>
      <c r="Z102"/>
    </row>
    <row r="103" ht="24" customHeight="1">
      <c r="A103" s="490" t="str">
        <v>Approximate annual revenue shares. Regional boundaries differ across reporting structures; no quarterly shares or inferred product revenues are shown.</v>
      </c>
      <c r="B103" s="490"/>
      <c r="C103" s="490"/>
      <c r="D103" s="490"/>
      <c r="E103" s="490"/>
      <c r="F103" s="490"/>
      <c r="G103" s="490"/>
      <c r="H103" s="490"/>
      <c r="I103" s="490"/>
      <c r="J103" s="490"/>
      <c r="K103" s="490"/>
      <c r="L103" s="490"/>
      <c r="M103" s="490"/>
      <c r="N103" s="490"/>
      <c r="O103" s="490"/>
      <c r="P103" s="490"/>
      <c r="Q103" s="490"/>
      <c r="R103" s="490"/>
      <c r="S103" s="490"/>
      <c r="T103" s="490"/>
      <c r="U103" s="490"/>
      <c r="V103" s="490"/>
      <c r="W103" s="490"/>
      <c r="X103" s="490"/>
      <c r="Y103"/>
      <c r="Z103"/>
    </row>
    <row r="104" ht="24" customHeight="1">
      <c r="A104" s="462" t="str">
        <v>Metric / reporting scope</v>
      </c>
      <c r="B104" s="452"/>
      <c r="C104" s="463" t="str">
        <v>FY2018</v>
      </c>
      <c r="D104" s="463" t="str">
        <v>FY2019</v>
      </c>
      <c r="E104" s="463" t="str">
        <v>FY2020</v>
      </c>
      <c r="F104" s="463" t="str">
        <v>FY2021</v>
      </c>
      <c r="G104" s="463" t="str">
        <v>FY2022</v>
      </c>
      <c r="H104" s="463" t="str">
        <v>FY2023</v>
      </c>
      <c r="I104" s="463" t="str">
        <v>FY2024</v>
      </c>
      <c r="J104" s="452"/>
      <c r="K104" s="452"/>
      <c r="L104" s="452"/>
      <c r="M104" s="452"/>
      <c r="N104" s="452"/>
      <c r="O104" s="452"/>
      <c r="P104" s="452"/>
      <c r="Q104" s="452"/>
      <c r="R104" s="452"/>
      <c r="S104" s="452"/>
      <c r="T104" s="452"/>
      <c r="U104" s="452"/>
      <c r="V104" s="452"/>
      <c r="W104" s="452"/>
      <c r="X104" s="452"/>
      <c r="Y104"/>
      <c r="Z104"/>
    </row>
    <row r="105" ht="18" customHeight="1">
      <c r="A105" s="452"/>
      <c r="B105" s="452"/>
      <c r="C105" s="501" t="d">
        <v>2018-12-29T00:00:00.000Z</v>
      </c>
      <c r="D105" s="501" t="d">
        <v>2019-12-28T00:00:00.000Z</v>
      </c>
      <c r="E105" s="501" t="d">
        <v>2020-12-26T00:00:00.000Z</v>
      </c>
      <c r="F105" s="501" t="d">
        <v>2021-12-25T00:00:00.000Z</v>
      </c>
      <c r="G105" s="501" t="d">
        <v>2022-12-31T00:00:00.000Z</v>
      </c>
      <c r="H105" s="501" t="d">
        <v>2023-12-30T00:00:00.000Z</v>
      </c>
      <c r="I105" s="501" t="d">
        <v>2024-12-28T00:00:00.000Z</v>
      </c>
      <c r="J105" s="452"/>
      <c r="K105" s="452"/>
      <c r="L105" s="452"/>
      <c r="M105" s="452"/>
      <c r="N105" s="452"/>
      <c r="O105" s="452"/>
      <c r="P105" s="452"/>
      <c r="Q105" s="452"/>
      <c r="R105" s="452"/>
      <c r="S105" s="452"/>
      <c r="T105" s="452"/>
      <c r="U105" s="452"/>
      <c r="V105" s="452"/>
      <c r="W105" s="452"/>
      <c r="X105" s="452"/>
      <c r="Y105"/>
      <c r="Z105"/>
    </row>
    <row r="106" ht="24" customHeight="1">
      <c r="A106" s="477" t="str">
        <v>LatAm</v>
      </c>
      <c r="B106" s="477"/>
      <c r="C106" s="477"/>
      <c r="D106" s="477"/>
      <c r="E106" s="477"/>
      <c r="F106" s="477"/>
      <c r="G106" s="477"/>
      <c r="H106" s="477"/>
      <c r="I106" s="477"/>
      <c r="J106" s="477"/>
      <c r="K106" s="477"/>
      <c r="L106" s="477"/>
      <c r="M106" s="477"/>
      <c r="N106" s="477"/>
      <c r="O106" s="477"/>
      <c r="P106" s="477"/>
      <c r="Q106" s="477"/>
      <c r="R106" s="477"/>
      <c r="S106" s="477"/>
      <c r="T106" s="477"/>
      <c r="U106" s="477"/>
      <c r="V106" s="477"/>
      <c r="W106" s="477"/>
      <c r="X106" s="477"/>
      <c r="Y106"/>
      <c r="Z106"/>
    </row>
    <row r="107" ht="20" customHeight="1">
      <c r="A107" s="505" t="str">
        <v>Beverages / net revenue</v>
      </c>
      <c r="B107" s="452"/>
      <c r="C107" s="508" t="n">
        <v>0.1</v>
      </c>
      <c r="D107" s="508" t="n">
        <v>0.1</v>
      </c>
      <c r="E107" s="508" t="n">
        <v>0.1</v>
      </c>
      <c r="F107" s="508" t="n">
        <v>0.1</v>
      </c>
      <c r="G107" s="508" t="n">
        <v>0.09</v>
      </c>
      <c r="H107" s="508" t="n">
        <v>0.09</v>
      </c>
      <c r="I107" s="508" t="n">
        <v>0.1</v>
      </c>
      <c r="J107" s="506"/>
      <c r="K107" s="506"/>
      <c r="L107" s="506"/>
      <c r="M107" s="506"/>
      <c r="N107" s="506"/>
      <c r="O107" s="506"/>
      <c r="P107" s="506"/>
      <c r="Q107" s="506"/>
      <c r="R107" s="506"/>
      <c r="S107" s="506"/>
      <c r="T107" s="506"/>
      <c r="U107" s="506"/>
      <c r="V107" s="506"/>
      <c r="W107" s="506"/>
      <c r="X107" s="506"/>
      <c r="Y107"/>
      <c r="Z107"/>
    </row>
    <row r="108" ht="20" customHeight="1">
      <c r="A108" s="505" t="str">
        <v>Convenient foods / net revenue</v>
      </c>
      <c r="B108" s="452"/>
      <c r="C108" s="508" t="n">
        <v>0.9</v>
      </c>
      <c r="D108" s="508" t="n">
        <v>0.9</v>
      </c>
      <c r="E108" s="508" t="n">
        <v>0.9</v>
      </c>
      <c r="F108" s="508" t="n">
        <v>0.9</v>
      </c>
      <c r="G108" s="508" t="n">
        <v>0.91</v>
      </c>
      <c r="H108" s="508" t="n">
        <v>0.91</v>
      </c>
      <c r="I108" s="508" t="n">
        <v>0.9</v>
      </c>
      <c r="J108" s="506"/>
      <c r="K108" s="506"/>
      <c r="L108" s="506"/>
      <c r="M108" s="506"/>
      <c r="N108" s="506"/>
      <c r="O108" s="506"/>
      <c r="P108" s="506"/>
      <c r="Q108" s="506"/>
      <c r="R108" s="506"/>
      <c r="S108" s="506"/>
      <c r="T108" s="506"/>
      <c r="U108" s="506"/>
      <c r="V108" s="506"/>
      <c r="W108" s="506"/>
      <c r="X108" s="506"/>
      <c r="Y108"/>
      <c r="Z108"/>
    </row>
    <row r="109" ht="24" customHeight="1">
      <c r="A109" s="477" t="str">
        <v>Europe</v>
      </c>
      <c r="B109" s="477"/>
      <c r="C109" s="477"/>
      <c r="D109" s="477"/>
      <c r="E109" s="477"/>
      <c r="F109" s="477"/>
      <c r="G109" s="477"/>
      <c r="H109" s="477"/>
      <c r="I109" s="477"/>
      <c r="J109" s="477"/>
      <c r="K109" s="477"/>
      <c r="L109" s="477"/>
      <c r="M109" s="477"/>
      <c r="N109" s="477"/>
      <c r="O109" s="477"/>
      <c r="P109" s="477"/>
      <c r="Q109" s="477"/>
      <c r="R109" s="477"/>
      <c r="S109" s="477"/>
      <c r="T109" s="477"/>
      <c r="U109" s="477"/>
      <c r="V109" s="477"/>
      <c r="W109" s="477"/>
      <c r="X109" s="477"/>
      <c r="Y109"/>
      <c r="Z109"/>
    </row>
    <row r="110" ht="20" customHeight="1">
      <c r="A110" s="505" t="str">
        <v>Beverages / net revenue</v>
      </c>
      <c r="B110" s="452"/>
      <c r="C110" s="508" t="n">
        <v>0.5</v>
      </c>
      <c r="D110" s="508" t="n">
        <v>0.55</v>
      </c>
      <c r="E110" s="508" t="n">
        <v>0.55</v>
      </c>
      <c r="F110" s="508" t="n">
        <v>0.54</v>
      </c>
      <c r="G110" s="508" t="n">
        <v>0.5</v>
      </c>
      <c r="H110" s="508" t="n">
        <v>0.48</v>
      </c>
      <c r="I110" s="508" t="n">
        <v>0.48</v>
      </c>
      <c r="J110" s="506"/>
      <c r="K110" s="506"/>
      <c r="L110" s="506"/>
      <c r="M110" s="506"/>
      <c r="N110" s="506"/>
      <c r="O110" s="506"/>
      <c r="P110" s="506"/>
      <c r="Q110" s="506"/>
      <c r="R110" s="506"/>
      <c r="S110" s="506"/>
      <c r="T110" s="506"/>
      <c r="U110" s="506"/>
      <c r="V110" s="506"/>
      <c r="W110" s="506"/>
      <c r="X110" s="506"/>
      <c r="Y110"/>
      <c r="Z110"/>
    </row>
    <row r="111" ht="20" customHeight="1">
      <c r="A111" s="505" t="str">
        <v>Convenient foods / net revenue</v>
      </c>
      <c r="B111" s="452"/>
      <c r="C111" s="508" t="n">
        <v>0.5</v>
      </c>
      <c r="D111" s="508" t="n">
        <v>0.45</v>
      </c>
      <c r="E111" s="508" t="n">
        <v>0.45</v>
      </c>
      <c r="F111" s="508" t="n">
        <v>0.46</v>
      </c>
      <c r="G111" s="508" t="n">
        <v>0.5</v>
      </c>
      <c r="H111" s="508" t="n">
        <v>0.52</v>
      </c>
      <c r="I111" s="508" t="n">
        <v>0.52</v>
      </c>
      <c r="J111" s="506"/>
      <c r="K111" s="506"/>
      <c r="L111" s="506"/>
      <c r="M111" s="506"/>
      <c r="N111" s="506"/>
      <c r="O111" s="506"/>
      <c r="P111" s="506"/>
      <c r="Q111" s="506"/>
      <c r="R111" s="506"/>
      <c r="S111" s="506"/>
      <c r="T111" s="506"/>
      <c r="U111" s="506"/>
      <c r="V111" s="506"/>
      <c r="W111" s="506"/>
      <c r="X111" s="506"/>
      <c r="Y111"/>
      <c r="Z111"/>
    </row>
    <row r="112" ht="24" customHeight="1">
      <c r="A112" s="477" t="str">
        <v>AMESA</v>
      </c>
      <c r="B112" s="477"/>
      <c r="C112" s="477"/>
      <c r="D112" s="477"/>
      <c r="E112" s="477"/>
      <c r="F112" s="477"/>
      <c r="G112" s="477"/>
      <c r="H112" s="477"/>
      <c r="I112" s="477"/>
      <c r="J112" s="477"/>
      <c r="K112" s="477"/>
      <c r="L112" s="477"/>
      <c r="M112" s="477"/>
      <c r="N112" s="477"/>
      <c r="O112" s="477"/>
      <c r="P112" s="477"/>
      <c r="Q112" s="477"/>
      <c r="R112" s="477"/>
      <c r="S112" s="477"/>
      <c r="T112" s="477"/>
      <c r="U112" s="477"/>
      <c r="V112" s="477"/>
      <c r="W112" s="477"/>
      <c r="X112" s="477"/>
      <c r="Y112"/>
      <c r="Z112"/>
    </row>
    <row r="113" ht="20" customHeight="1">
      <c r="A113" s="505" t="str">
        <v>Beverages / net revenue</v>
      </c>
      <c r="B113" s="452"/>
      <c r="C113" s="508" t="n">
        <v>0.45</v>
      </c>
      <c r="D113" s="508" t="n">
        <v>0.4</v>
      </c>
      <c r="E113" s="508" t="n">
        <v>0.3</v>
      </c>
      <c r="F113" s="508" t="n">
        <v>0.31</v>
      </c>
      <c r="G113" s="508" t="n">
        <v>0.3</v>
      </c>
      <c r="H113" s="508" t="n">
        <v>0.29</v>
      </c>
      <c r="I113" s="508" t="n">
        <v>0.3</v>
      </c>
      <c r="J113" s="506"/>
      <c r="K113" s="506"/>
      <c r="L113" s="506"/>
      <c r="M113" s="506"/>
      <c r="N113" s="506"/>
      <c r="O113" s="506"/>
      <c r="P113" s="506"/>
      <c r="Q113" s="506"/>
      <c r="R113" s="506"/>
      <c r="S113" s="506"/>
      <c r="T113" s="506"/>
      <c r="U113" s="506"/>
      <c r="V113" s="506"/>
      <c r="W113" s="506"/>
      <c r="X113" s="506"/>
      <c r="Y113"/>
      <c r="Z113"/>
    </row>
    <row r="114" ht="20" customHeight="1">
      <c r="A114" s="505" t="str">
        <v>Convenient foods / net revenue</v>
      </c>
      <c r="B114" s="452"/>
      <c r="C114" s="508" t="n">
        <v>0.55</v>
      </c>
      <c r="D114" s="508" t="n">
        <v>0.6</v>
      </c>
      <c r="E114" s="508" t="n">
        <v>0.7000000000000001</v>
      </c>
      <c r="F114" s="508" t="n">
        <v>0.6900000000000001</v>
      </c>
      <c r="G114" s="508" t="n">
        <v>0.7000000000000001</v>
      </c>
      <c r="H114" s="508" t="n">
        <v>0.71</v>
      </c>
      <c r="I114" s="508" t="n">
        <v>0.7000000000000001</v>
      </c>
      <c r="J114" s="506"/>
      <c r="K114" s="506"/>
      <c r="L114" s="506"/>
      <c r="M114" s="506"/>
      <c r="N114" s="506"/>
      <c r="O114" s="506"/>
      <c r="P114" s="506"/>
      <c r="Q114" s="506"/>
      <c r="R114" s="506"/>
      <c r="S114" s="506"/>
      <c r="T114" s="506"/>
      <c r="U114" s="506"/>
      <c r="V114" s="506"/>
      <c r="W114" s="506"/>
      <c r="X114" s="506"/>
      <c r="Y114"/>
      <c r="Z114"/>
    </row>
    <row r="115" ht="24" customHeight="1">
      <c r="A115" s="477" t="str">
        <v>APAC</v>
      </c>
      <c r="B115" s="477"/>
      <c r="C115" s="477"/>
      <c r="D115" s="477"/>
      <c r="E115" s="477"/>
      <c r="F115" s="477"/>
      <c r="G115" s="477"/>
      <c r="H115" s="477"/>
      <c r="I115" s="477"/>
      <c r="J115" s="477"/>
      <c r="K115" s="477"/>
      <c r="L115" s="477"/>
      <c r="M115" s="477"/>
      <c r="N115" s="477"/>
      <c r="O115" s="477"/>
      <c r="P115" s="477"/>
      <c r="Q115" s="477"/>
      <c r="R115" s="477"/>
      <c r="S115" s="477"/>
      <c r="T115" s="477"/>
      <c r="U115" s="477"/>
      <c r="V115" s="477"/>
      <c r="W115" s="477"/>
      <c r="X115" s="477"/>
      <c r="Y115"/>
      <c r="Z115"/>
    </row>
    <row r="116" ht="20" customHeight="1">
      <c r="A116" s="505" t="str">
        <v>Beverages / net revenue</v>
      </c>
      <c r="B116" s="452"/>
      <c r="C116" s="508" t="n">
        <v>0.25</v>
      </c>
      <c r="D116" s="508" t="n">
        <v>0.25</v>
      </c>
      <c r="E116" s="508" t="n">
        <v>0.25</v>
      </c>
      <c r="F116" s="508" t="n">
        <v>0.22</v>
      </c>
      <c r="G116" s="508" t="n">
        <v>0.23</v>
      </c>
      <c r="H116" s="508" t="n">
        <v>0.23</v>
      </c>
      <c r="I116" s="508" t="n">
        <v>0.23</v>
      </c>
      <c r="J116" s="506"/>
      <c r="K116" s="506"/>
      <c r="L116" s="506"/>
      <c r="M116" s="506"/>
      <c r="N116" s="506"/>
      <c r="O116" s="506"/>
      <c r="P116" s="506"/>
      <c r="Q116" s="506"/>
      <c r="R116" s="506"/>
      <c r="S116" s="506"/>
      <c r="T116" s="506"/>
      <c r="U116" s="506"/>
      <c r="V116" s="506"/>
      <c r="W116" s="506"/>
      <c r="X116" s="506"/>
      <c r="Y116"/>
      <c r="Z116"/>
    </row>
    <row r="117" ht="20" customHeight="1">
      <c r="A117" s="505" t="str">
        <v>Convenient foods / net revenue</v>
      </c>
      <c r="B117" s="452"/>
      <c r="C117" s="508" t="n">
        <v>0.75</v>
      </c>
      <c r="D117" s="508" t="n">
        <v>0.75</v>
      </c>
      <c r="E117" s="508" t="n">
        <v>0.75</v>
      </c>
      <c r="F117" s="508" t="n">
        <v>0.78</v>
      </c>
      <c r="G117" s="508" t="n">
        <v>0.77</v>
      </c>
      <c r="H117" s="508" t="n">
        <v>0.77</v>
      </c>
      <c r="I117" s="508" t="n">
        <v>0.77</v>
      </c>
      <c r="J117" s="506"/>
      <c r="K117" s="506"/>
      <c r="L117" s="506"/>
      <c r="M117" s="506"/>
      <c r="N117" s="506"/>
      <c r="O117" s="506"/>
      <c r="P117" s="506"/>
      <c r="Q117" s="506"/>
      <c r="R117" s="506"/>
      <c r="S117" s="506"/>
      <c r="T117" s="506"/>
      <c r="U117" s="506"/>
      <c r="V117" s="506"/>
      <c r="W117" s="506"/>
      <c r="X117" s="506"/>
      <c r="Y117"/>
      <c r="Z117"/>
    </row>
    <row r="118" ht="22" customHeight="1">
      <c r="A118" s="452"/>
      <c r="B118" s="452"/>
      <c r="C118" s="452"/>
      <c r="D118" s="452"/>
      <c r="E118" s="452"/>
      <c r="F118" s="452"/>
      <c r="G118" s="452"/>
      <c r="H118" s="452"/>
      <c r="I118" s="452"/>
      <c r="J118" s="452"/>
      <c r="K118" s="452"/>
      <c r="L118" s="452"/>
      <c r="M118" s="452"/>
      <c r="N118" s="452"/>
      <c r="O118" s="452"/>
      <c r="P118" s="452"/>
      <c r="Q118" s="452"/>
      <c r="R118" s="452"/>
      <c r="S118" s="452"/>
      <c r="T118" s="452"/>
      <c r="U118" s="452"/>
      <c r="V118" s="452"/>
      <c r="W118" s="452"/>
      <c r="X118" s="452"/>
      <c r="Y118"/>
      <c r="Z118"/>
    </row>
    <row r="119" ht="22" customHeight="1">
      <c r="A119" s="452"/>
      <c r="B119" s="452"/>
      <c r="C119" s="452"/>
      <c r="D119" s="452"/>
      <c r="E119" s="452"/>
      <c r="F119" s="452"/>
      <c r="G119" s="452"/>
      <c r="H119" s="452"/>
      <c r="I119" s="452"/>
      <c r="J119" s="452"/>
      <c r="K119" s="452"/>
      <c r="L119" s="452"/>
      <c r="M119" s="452"/>
      <c r="N119" s="452"/>
      <c r="O119" s="452"/>
      <c r="P119" s="452"/>
      <c r="Q119" s="452"/>
      <c r="R119" s="452"/>
      <c r="S119" s="452"/>
      <c r="T119" s="452"/>
      <c r="U119" s="452"/>
      <c r="V119" s="452"/>
      <c r="W119" s="452"/>
      <c r="X119" s="452"/>
      <c r="Y119"/>
      <c r="Z119"/>
    </row>
    <row r="120" ht="22" customHeight="1">
      <c r="A120" s="452"/>
      <c r="B120" s="452"/>
      <c r="C120" s="452"/>
      <c r="D120" s="452"/>
      <c r="E120" s="452"/>
      <c r="F120" s="452"/>
      <c r="G120" s="452"/>
      <c r="H120" s="452"/>
      <c r="I120" s="452"/>
      <c r="J120" s="452"/>
      <c r="K120" s="452"/>
      <c r="L120" s="452"/>
      <c r="M120" s="452"/>
      <c r="N120" s="452"/>
      <c r="O120" s="452"/>
      <c r="P120" s="452"/>
      <c r="Q120" s="452"/>
      <c r="R120" s="452"/>
      <c r="S120" s="452"/>
      <c r="T120" s="452"/>
      <c r="U120" s="452"/>
      <c r="V120" s="452"/>
      <c r="W120" s="452"/>
      <c r="X120" s="452"/>
      <c r="Y120"/>
      <c r="Z120"/>
    </row>
  </sheetData>
  <mergeCells>
    <mergeCell ref="A1:X1"/>
    <mergeCell ref="A2:X2"/>
    <mergeCell ref="C7:L7"/>
    <mergeCell ref="N7:X7"/>
    <mergeCell ref="C8:L8"/>
    <mergeCell ref="N8:X8"/>
    <mergeCell ref="C9:L9"/>
    <mergeCell ref="N9:X9"/>
    <mergeCell ref="A13:X13"/>
    <mergeCell ref="A14:X14"/>
    <mergeCell ref="A17:X17"/>
    <mergeCell ref="A21:X21"/>
    <mergeCell ref="A25:X25"/>
    <mergeCell ref="A29:X29"/>
    <mergeCell ref="A33:X33"/>
    <mergeCell ref="A37:X37"/>
    <mergeCell ref="A41:X41"/>
    <mergeCell ref="A45:X45"/>
    <mergeCell ref="A53:X53"/>
    <mergeCell ref="A54:X54"/>
    <mergeCell ref="A69:X69"/>
    <mergeCell ref="A70:X70"/>
    <mergeCell ref="A78:X78"/>
    <mergeCell ref="A79:X79"/>
    <mergeCell ref="A87:X87"/>
    <mergeCell ref="A88:X88"/>
    <mergeCell ref="A91:X91"/>
    <mergeCell ref="A94:X94"/>
    <mergeCell ref="A97:X97"/>
    <mergeCell ref="A102:X102"/>
    <mergeCell ref="A103:X103"/>
    <mergeCell ref="A106:X106"/>
    <mergeCell ref="A109:X109"/>
    <mergeCell ref="A112:X112"/>
    <mergeCell ref="A115:X115"/>
  </mergeCells>
  <hyperlinks>
    <hyperlink ref="A3" location="'Contents'!A1" display="Metric (Return to Contents)"/>
    <hyperlink ref="C7" location="'Products &amp; Geography'!A13" display="Country revenue and concentration"/>
    <hyperlink ref="N7" location="'Products &amp; Geography'!A53" display="Country long-lived assets - historical definition"/>
    <hyperlink ref="C8" location="'Products &amp; Geography'!A69" display="Property, plant and equipment, net"/>
    <hyperlink ref="N8" location="'Products &amp; Geography'!A78" display="Food / beverage mix and company-owned bottling"/>
    <hyperlink ref="C9" location="'Products &amp; Geography'!A87" display="Current regional food / beverage mix"/>
    <hyperlink ref="N9" location="'Products &amp; Geography'!A102" display="Historical regional food / beverage mix"/>
  </hyperlinks>
  <pageMargins left="0.7" right="0.7" top="0.75" bottom="0.75" header="0.3" footer="0.3"/>
</worksheet>
</file>

<file path=xl/worksheets/sheet5.xml><?xml version="1.0" encoding="utf-8"?>
<worksheet xmlns="http://schemas.openxmlformats.org/spreadsheetml/2006/main">
  <sheetPr>
    <tabColor rgb="FF4472C4"/>
  </sheetPr>
  <sheetViews>
    <sheetView showGridLines="0" workbookViewId="0">
      <pane xSplit="2" ySplit="5" topLeftCell="C6" activePane="bottomRight" state="frozen"/>
    </sheetView>
  </sheetViews>
  <sheetFormatPr defaultRowHeight="15"/>
  <cols>
    <col min="1" max="1" width="60" hidden="0" customWidth="1"/>
    <col min="2" max="2" width="2.200000047683716" hidden="0" customWidth="1"/>
    <col min="3" max="3" width="12.199999809265137" hidden="0" customWidth="1"/>
    <col min="4" max="4" width="12.199999809265137" hidden="0" customWidth="1"/>
    <col min="5" max="5" width="12.199999809265137" hidden="0" customWidth="1"/>
    <col min="6" max="6" width="12.199999809265137" hidden="0" customWidth="1"/>
    <col min="7" max="7" width="12.199999809265137" hidden="0" customWidth="1"/>
    <col min="8" max="8" width="12.199999809265137" hidden="0" customWidth="1"/>
    <col min="9" max="9" width="12.199999809265137" hidden="0" customWidth="1"/>
    <col min="10" max="10" width="12.199999809265137" hidden="0" customWidth="1"/>
    <col min="11" max="11" width="12.199999809265137" hidden="0" customWidth="1"/>
    <col min="12" max="12" width="12.199999809265137" hidden="0" customWidth="1"/>
    <col min="13" max="13" width="3" hidden="0" customWidth="1"/>
    <col min="14" max="14" width="12.199999809265137" hidden="0" customWidth="1"/>
    <col min="15" max="15" width="12.199999809265137" hidden="0" customWidth="1"/>
    <col min="16" max="16" width="12.199999809265137" hidden="0" customWidth="1"/>
    <col min="17" max="17" width="12.199999809265137" hidden="0" customWidth="1"/>
    <col min="18" max="18" width="12.199999809265137" hidden="0" customWidth="1"/>
    <col min="19" max="19" width="12.199999809265137" hidden="0" customWidth="1"/>
    <col min="20" max="20" width="12.199999809265137" hidden="0" customWidth="1"/>
    <col min="21" max="21" width="12.199999809265137" hidden="0" customWidth="1"/>
    <col min="22" max="22" width="12.199999809265137" hidden="0" customWidth="1"/>
    <col min="23" max="23" width="12.199999809265137" hidden="0" customWidth="1"/>
    <col min="24" max="24" width="12.199999809265137" hidden="0" customWidth="1"/>
  </cols>
  <sheetData>
    <row r="1" ht="28" customHeight="1">
      <c r="A1" s="7" t="str">
        <v>PepsiCo PEP — Income Statement</v>
      </c>
      <c r="B1" s="7"/>
      <c r="C1" s="7"/>
      <c r="D1" s="7"/>
      <c r="E1" s="7"/>
      <c r="F1" s="7"/>
      <c r="G1" s="7"/>
      <c r="H1" s="7"/>
      <c r="I1" s="7"/>
      <c r="J1" s="7"/>
      <c r="K1" s="7"/>
      <c r="L1" s="7"/>
      <c r="M1" s="7"/>
      <c r="N1" s="7"/>
      <c r="O1" s="7"/>
      <c r="P1" s="7"/>
      <c r="Q1" s="7"/>
      <c r="R1" s="7"/>
      <c r="S1" s="7"/>
      <c r="T1" s="7"/>
      <c r="U1" s="7"/>
      <c r="V1" s="7"/>
      <c r="W1" s="7"/>
      <c r="X1" s="7"/>
    </row>
    <row r="2" ht="18" customHeight="1">
      <c r="A2" s="8" t="str">
        <v>USD millions; per-share amounts, share counts and percentages as labeled. US GAAP. As of 2026-10-20.</v>
      </c>
      <c r="B2" s="8"/>
      <c r="C2" s="8"/>
      <c r="D2" s="8"/>
      <c r="E2" s="8"/>
      <c r="F2" s="8"/>
      <c r="G2" s="8"/>
      <c r="H2" s="8"/>
      <c r="I2" s="8"/>
      <c r="J2" s="8"/>
      <c r="K2" s="8"/>
      <c r="L2" s="8"/>
      <c r="M2" s="8"/>
      <c r="N2" s="8"/>
      <c r="O2" s="8"/>
      <c r="P2" s="8"/>
      <c r="Q2" s="8"/>
      <c r="R2" s="8"/>
      <c r="S2" s="8"/>
      <c r="T2" s="8"/>
      <c r="U2" s="8"/>
      <c r="V2" s="8"/>
      <c r="W2" s="8"/>
      <c r="X2" s="8"/>
    </row>
    <row r="3" ht="24" customHeight="1">
      <c r="A3" s="9" t="str">
        <v>Metric (Return to Contents)</v>
      </c>
      <c r="B3" s="2"/>
      <c r="C3" s="13" t="str">
        <v>FY2016</v>
      </c>
      <c r="D3" s="13" t="str">
        <v>FY2017</v>
      </c>
      <c r="E3" s="13" t="str">
        <v>FY2018</v>
      </c>
      <c r="F3" s="13" t="str">
        <v>FY2019</v>
      </c>
      <c r="G3" s="13" t="str">
        <v>FY2020</v>
      </c>
      <c r="H3" s="13" t="str">
        <v>FY2021</v>
      </c>
      <c r="I3" s="13" t="str">
        <v>FY2022</v>
      </c>
      <c r="J3" s="13" t="str">
        <v>FY2023</v>
      </c>
      <c r="K3" s="13" t="str">
        <v>FY2024</v>
      </c>
      <c r="L3" s="13" t="str">
        <v>FY2025</v>
      </c>
      <c r="M3" s="2"/>
      <c r="N3" s="22" t="str">
        <v>FY2024Q1</v>
      </c>
      <c r="O3" s="22" t="str">
        <v>FY2024Q2</v>
      </c>
      <c r="P3" s="22" t="str">
        <v>FY2024Q3</v>
      </c>
      <c r="Q3" s="22" t="str">
        <v>FY2024Q4</v>
      </c>
      <c r="R3" s="22" t="str">
        <v>FY2025Q1</v>
      </c>
      <c r="S3" s="22" t="str">
        <v>FY2025Q2</v>
      </c>
      <c r="T3" s="22" t="str">
        <v>FY2025Q3</v>
      </c>
      <c r="U3" s="22" t="str">
        <v>FY2025Q4</v>
      </c>
      <c r="V3" s="22" t="str">
        <v>FY2026Q1</v>
      </c>
      <c r="W3" s="22" t="str">
        <v>FY2026Q2</v>
      </c>
      <c r="X3" s="22" t="str">
        <v>FY2026Q3</v>
      </c>
    </row>
    <row r="4" ht="18" customHeight="1">
      <c r="A4" s="2"/>
      <c r="B4" s="2"/>
      <c r="C4" s="17" t="d">
        <v>2016-12-31T00:00:00.000Z</v>
      </c>
      <c r="D4" s="17" t="d">
        <v>2017-12-30T00:00:00.000Z</v>
      </c>
      <c r="E4" s="17" t="d">
        <v>2018-12-29T00:00:00.000Z</v>
      </c>
      <c r="F4" s="17" t="d">
        <v>2019-12-28T00:00:00.000Z</v>
      </c>
      <c r="G4" s="17" t="d">
        <v>2020-12-26T00:00:00.000Z</v>
      </c>
      <c r="H4" s="17" t="d">
        <v>2021-12-25T00:00:00.000Z</v>
      </c>
      <c r="I4" s="17" t="d">
        <v>2022-12-31T00:00:00.000Z</v>
      </c>
      <c r="J4" s="17" t="d">
        <v>2023-12-30T00:00:00.000Z</v>
      </c>
      <c r="K4" s="17" t="d">
        <v>2024-12-28T00:00:00.000Z</v>
      </c>
      <c r="L4" s="17" t="d">
        <v>2025-12-27T00:00:00.000Z</v>
      </c>
      <c r="M4" s="2"/>
      <c r="N4" s="17" t="d">
        <v>2024-03-23T00:00:00.000Z</v>
      </c>
      <c r="O4" s="17" t="d">
        <v>2024-06-15T00:00:00.000Z</v>
      </c>
      <c r="P4" s="17" t="d">
        <v>2024-09-07T00:00:00.000Z</v>
      </c>
      <c r="Q4" s="17" t="d">
        <v>2024-12-28T00:00:00.000Z</v>
      </c>
      <c r="R4" s="17" t="d">
        <v>2025-03-22T00:00:00.000Z</v>
      </c>
      <c r="S4" s="17" t="d">
        <v>2025-06-14T00:00:00.000Z</v>
      </c>
      <c r="T4" s="17" t="d">
        <v>2025-09-06T00:00:00.000Z</v>
      </c>
      <c r="U4" s="17" t="d">
        <v>2025-12-27T00:00:00.000Z</v>
      </c>
      <c r="V4" s="17" t="d">
        <v>2026-03-21T00:00:00.000Z</v>
      </c>
      <c r="W4" s="17" t="d">
        <v>2026-06-13T00:00:00.000Z</v>
      </c>
      <c r="X4" s="17" t="d">
        <v>2026-09-05T00:00:00.000Z</v>
      </c>
    </row>
    <row r="5" ht="18" customHeight="1">
      <c r="A5" s="8" t="str">
        <v>Annual at left; quarterly / period-end at right; YTD as labeled</v>
      </c>
      <c r="B5" s="2"/>
      <c r="C5" s="18" t="str">
        <v>Year / year-end</v>
      </c>
      <c r="D5" s="18" t="str">
        <v>Year / year-end</v>
      </c>
      <c r="E5" s="18" t="str">
        <v>Year / year-end</v>
      </c>
      <c r="F5" s="18" t="str">
        <v>Year / year-end</v>
      </c>
      <c r="G5" s="18" t="str">
        <v>Year / year-end</v>
      </c>
      <c r="H5" s="18" t="str">
        <v>Year / year-end</v>
      </c>
      <c r="I5" s="18" t="str">
        <v>Year / year-end</v>
      </c>
      <c r="J5" s="18" t="str">
        <v>Year / year-end</v>
      </c>
      <c r="K5" s="18" t="str">
        <v>Year / year-end</v>
      </c>
      <c r="L5" s="18" t="str">
        <v>Year / year-end</v>
      </c>
      <c r="M5" s="2"/>
      <c r="N5" s="18" t="str">
        <v>Quarter / end</v>
      </c>
      <c r="O5" s="18" t="str">
        <v>Quarter / end</v>
      </c>
      <c r="P5" s="18" t="str">
        <v>Quarter / end</v>
      </c>
      <c r="Q5" s="18" t="str">
        <v>Quarter / end</v>
      </c>
      <c r="R5" s="18" t="str">
        <v>Quarter / end</v>
      </c>
      <c r="S5" s="18" t="str">
        <v>Quarter / end</v>
      </c>
      <c r="T5" s="18" t="str">
        <v>Quarter / end</v>
      </c>
      <c r="U5" s="18" t="str">
        <v>Quarter / end</v>
      </c>
      <c r="V5" s="18" t="str">
        <v>Quarter / end</v>
      </c>
      <c r="W5" s="18" t="str">
        <v>Quarter / end</v>
      </c>
      <c r="X5" s="18" t="str">
        <v>Quarter / end</v>
      </c>
    </row>
    <row r="6" ht="8" customHeight="1">
      <c r="A6" s="2"/>
      <c r="B6" s="2"/>
      <c r="C6" s="2"/>
      <c r="D6" s="2"/>
      <c r="E6" s="2"/>
      <c r="F6" s="2"/>
      <c r="G6" s="2"/>
      <c r="H6" s="2"/>
      <c r="I6" s="2"/>
      <c r="J6" s="2"/>
      <c r="K6" s="2"/>
      <c r="L6" s="2"/>
      <c r="M6" s="2"/>
      <c r="N6" s="2"/>
      <c r="O6" s="2"/>
      <c r="P6" s="2"/>
      <c r="Q6" s="2"/>
      <c r="R6" s="2"/>
      <c r="S6" s="2"/>
      <c r="T6" s="2"/>
      <c r="U6" s="2"/>
      <c r="V6" s="2"/>
      <c r="W6" s="2"/>
      <c r="X6" s="2"/>
    </row>
    <row r="7" ht="22" customHeight="1">
      <c r="A7" s="23" t="str">
        <v>On this sheet</v>
      </c>
      <c r="B7" s="2"/>
      <c r="C7" s="26" t="str">
        <v>Consolidated income statement: annual and discrete quarters</v>
      </c>
      <c r="D7" s="26"/>
      <c r="E7" s="26"/>
      <c r="F7" s="26"/>
      <c r="G7" s="26"/>
      <c r="H7" s="26"/>
      <c r="I7" s="26"/>
      <c r="J7" s="26"/>
      <c r="K7" s="26"/>
      <c r="L7" s="26"/>
      <c r="M7" s="3"/>
      <c r="N7" s="26" t="str">
        <v>Year-to-date results</v>
      </c>
      <c r="O7" s="26"/>
      <c r="P7" s="26"/>
      <c r="Q7" s="26"/>
      <c r="R7" s="26"/>
      <c r="S7" s="26"/>
      <c r="T7" s="26"/>
      <c r="U7" s="26"/>
      <c r="V7" s="26"/>
      <c r="W7" s="26"/>
      <c r="X7" s="26"/>
    </row>
    <row r="8" ht="22" customHeight="1">
      <c r="A8" s="4"/>
      <c r="B8" s="2"/>
      <c r="C8" s="3"/>
      <c r="D8" s="3"/>
      <c r="E8" s="3"/>
      <c r="F8" s="3"/>
      <c r="G8" s="3"/>
      <c r="H8" s="3"/>
      <c r="I8" s="3"/>
      <c r="J8" s="3"/>
      <c r="K8" s="3"/>
      <c r="L8" s="3"/>
      <c r="M8" s="3"/>
      <c r="N8" s="3"/>
      <c r="O8" s="3"/>
      <c r="P8" s="3"/>
      <c r="Q8" s="3"/>
      <c r="R8" s="3"/>
      <c r="S8" s="3"/>
      <c r="T8" s="3"/>
      <c r="U8" s="3"/>
      <c r="V8" s="3"/>
      <c r="W8" s="3"/>
      <c r="X8" s="3"/>
    </row>
    <row r="9" ht="22" customHeight="1">
      <c r="A9" s="4"/>
      <c r="B9" s="2"/>
      <c r="C9" s="3"/>
      <c r="D9" s="3"/>
      <c r="E9" s="3"/>
      <c r="F9" s="3"/>
      <c r="G9" s="3"/>
      <c r="H9" s="3"/>
      <c r="I9" s="3"/>
      <c r="J9" s="3"/>
      <c r="K9" s="3"/>
      <c r="L9" s="3"/>
      <c r="M9" s="3"/>
      <c r="N9" s="3"/>
      <c r="O9" s="3"/>
      <c r="P9" s="3"/>
      <c r="Q9" s="3"/>
      <c r="R9" s="3"/>
      <c r="S9" s="3"/>
      <c r="T9" s="3"/>
      <c r="U9" s="3"/>
      <c r="V9" s="3"/>
      <c r="W9" s="3"/>
      <c r="X9" s="3"/>
    </row>
    <row r="10" ht="22" customHeight="1">
      <c r="A10" s="4"/>
      <c r="B10" s="2"/>
      <c r="C10" s="3"/>
      <c r="D10" s="3"/>
      <c r="E10" s="3"/>
      <c r="F10" s="3"/>
      <c r="G10" s="3"/>
      <c r="H10" s="3"/>
      <c r="I10" s="3"/>
      <c r="J10" s="3"/>
      <c r="K10" s="3"/>
      <c r="L10" s="3"/>
      <c r="M10" s="3"/>
      <c r="N10" s="3"/>
      <c r="O10" s="3"/>
      <c r="P10" s="3"/>
      <c r="Q10" s="3"/>
      <c r="R10" s="3"/>
      <c r="S10" s="3"/>
      <c r="T10" s="3"/>
      <c r="U10" s="3"/>
      <c r="V10" s="3"/>
      <c r="W10" s="3"/>
      <c r="X10" s="3"/>
    </row>
    <row r="11" ht="22" customHeight="1">
      <c r="A11" s="29" t="str">
        <v>Consolidated income statement: annual and discrete quarters</v>
      </c>
      <c r="B11" s="29"/>
      <c r="C11" s="32"/>
      <c r="D11" s="32"/>
      <c r="E11" s="32"/>
      <c r="F11" s="32"/>
      <c r="G11" s="32"/>
      <c r="H11" s="32"/>
      <c r="I11" s="32"/>
      <c r="J11" s="32"/>
      <c r="K11" s="32"/>
      <c r="L11" s="32"/>
      <c r="M11" s="32"/>
      <c r="N11" s="32"/>
      <c r="O11" s="32"/>
      <c r="P11" s="32"/>
      <c r="Q11" s="32"/>
      <c r="R11" s="32"/>
      <c r="S11" s="32"/>
      <c r="T11" s="32"/>
      <c r="U11" s="32"/>
      <c r="V11" s="32"/>
      <c r="W11" s="32"/>
      <c r="X11" s="32"/>
    </row>
    <row r="12" ht="18" customHeight="1">
      <c r="A12" s="33" t="str">
        <v>Annual values use the latest comparable recasts in the available filings. Blanks indicate no separate disclosure. Quarterly figures retain the reported discrete-quarter basis.</v>
      </c>
      <c r="B12" s="33"/>
      <c r="C12" s="35"/>
      <c r="D12" s="35"/>
      <c r="E12" s="35"/>
      <c r="F12" s="35"/>
      <c r="G12" s="35"/>
      <c r="H12" s="35"/>
      <c r="I12" s="35"/>
      <c r="J12" s="35"/>
      <c r="K12" s="35"/>
      <c r="L12" s="35"/>
      <c r="M12" s="35"/>
      <c r="N12" s="35"/>
      <c r="O12" s="35"/>
      <c r="P12" s="35"/>
      <c r="Q12" s="35"/>
      <c r="R12" s="35"/>
      <c r="S12" s="35"/>
      <c r="T12" s="35"/>
      <c r="U12" s="35"/>
      <c r="V12" s="35"/>
      <c r="W12" s="35"/>
      <c r="X12" s="35"/>
    </row>
    <row r="13" ht="24" customHeight="1">
      <c r="A13" s="51" t="str">
        <v>Net Revenue</v>
      </c>
      <c r="B13" s="52"/>
      <c r="C13" s="53" t="n">
        <v>62799</v>
      </c>
      <c r="D13" s="53" t="n">
        <v>63525</v>
      </c>
      <c r="E13" s="53" t="n">
        <v>64661</v>
      </c>
      <c r="F13" s="53" t="n">
        <v>67161</v>
      </c>
      <c r="G13" s="53" t="n">
        <v>70372</v>
      </c>
      <c r="H13" s="53" t="n">
        <v>79474</v>
      </c>
      <c r="I13" s="53" t="n">
        <v>86392</v>
      </c>
      <c r="J13" s="53" t="n">
        <v>91471</v>
      </c>
      <c r="K13" s="53" t="n">
        <v>91854</v>
      </c>
      <c r="L13" s="53" t="n">
        <v>93925</v>
      </c>
      <c r="M13" s="55"/>
      <c r="N13" s="53" t="n">
        <v>18250</v>
      </c>
      <c r="O13" s="53" t="n">
        <v>22501</v>
      </c>
      <c r="P13" s="53" t="n">
        <v>23319</v>
      </c>
      <c r="Q13" s="54" t="n">
        <f>IF(COUNT('Income Statement'!K13,'Income Statement'!P40)=2,'Income Statement'!K13-'Income Statement'!P40,"")</f>
        <v>27784</v>
      </c>
      <c r="R13" s="53" t="n">
        <v>17919</v>
      </c>
      <c r="S13" s="53" t="n">
        <v>22726</v>
      </c>
      <c r="T13" s="53" t="n">
        <v>23937</v>
      </c>
      <c r="U13" s="54" t="n">
        <f>IF(COUNT('Income Statement'!L13,'Income Statement'!T40)=2,'Income Statement'!L13-'Income Statement'!T40,"")</f>
        <v>29343</v>
      </c>
      <c r="V13" s="53" t="n">
        <v>19443</v>
      </c>
      <c r="W13" s="53" t="n">
        <v>24181</v>
      </c>
      <c r="X13" s="53" t="n">
        <v>25274</v>
      </c>
    </row>
    <row r="14" ht="20" customHeight="1">
      <c r="A14" s="56" t="str">
        <v>Net revenue YoY change</v>
      </c>
      <c r="B14" s="2"/>
      <c r="C14" s="72" t="n">
        <f>IF(COUNT('Income Statement'!C13,'Note Schedules'!C313)=2,IF('Note Schedules'!C313&gt;0,'Income Statement'!C13/'Note Schedules'!C313-1,"n.m."),"")</f>
        <v>-0.0040757421974118024</v>
      </c>
      <c r="D14" s="59" t="n">
        <f>IF(COUNT('Income Statement'!D13,'Income Statement'!C13)=2,IF('Income Statement'!C13&gt;0,'Income Statement'!D13/'Income Statement'!C13-1,"n.m."),"")</f>
        <v>0.011560693641618602</v>
      </c>
      <c r="E14" s="59" t="n">
        <f>IF(COUNT('Income Statement'!E13,'Income Statement'!D13)=2,IF('Income Statement'!D13&gt;0,'Income Statement'!E13/'Income Statement'!D13-1,"n.m."),"")</f>
        <v>0.017882723337268702</v>
      </c>
      <c r="F14" s="59" t="n">
        <f>IF(COUNT('Income Statement'!F13,'Income Statement'!E13)=2,IF('Income Statement'!E13&gt;0,'Income Statement'!F13/'Income Statement'!E13-1,"n.m."),"")</f>
        <v>0.038663181825211446</v>
      </c>
      <c r="G14" s="59" t="n">
        <f>IF(COUNT('Income Statement'!G13,'Income Statement'!F13)=2,IF('Income Statement'!F13&gt;0,'Income Statement'!G13/'Income Statement'!F13-1,"n.m."),"")</f>
        <v>0.04781048525185749</v>
      </c>
      <c r="H14" s="59" t="n">
        <f>IF(COUNT('Income Statement'!H13,'Income Statement'!G13)=2,IF('Income Statement'!G13&gt;0,'Income Statement'!H13/'Income Statement'!G13-1,"n.m."),"")</f>
        <v>0.1293412152560678</v>
      </c>
      <c r="I14" s="59" t="n">
        <f>IF(COUNT('Income Statement'!I13,'Income Statement'!H13)=2,IF('Income Statement'!H13&gt;0,'Income Statement'!I13/'Income Statement'!H13-1,"n.m."),"")</f>
        <v>0.08704733623575</v>
      </c>
      <c r="J14" s="59" t="n">
        <f>IF(COUNT('Income Statement'!J13,'Income Statement'!I13)=2,IF('Income Statement'!I13&gt;0,'Income Statement'!J13/'Income Statement'!I13-1,"n.m."),"")</f>
        <v>0.05879016575608853</v>
      </c>
      <c r="K14" s="59" t="n">
        <f>IF(COUNT('Income Statement'!K13,'Income Statement'!J13)=2,IF('Income Statement'!J13&gt;0,'Income Statement'!K13/'Income Statement'!J13-1,"n.m."),"")</f>
        <v>0.0041871194148965785</v>
      </c>
      <c r="L14" s="59" t="n">
        <f>IF(COUNT('Income Statement'!L13,'Income Statement'!K13)=2,IF('Income Statement'!K13&gt;0,'Income Statement'!L13/'Income Statement'!K13-1,"n.m."),"")</f>
        <v>0.022546650118666633</v>
      </c>
      <c r="M14" s="60"/>
      <c r="N14" s="72" t="n">
        <f>IF(COUNT('Income Statement'!N13,'Note Schedules'!N331)=2,IF('Note Schedules'!N331&gt;0,'Income Statement'!N13/'Note Schedules'!N331-1,"n.m."),"")</f>
        <v>0.022638126190743124</v>
      </c>
      <c r="O14" s="72" t="n">
        <f>IF(COUNT('Income Statement'!O13,'Note Schedules'!O331)=2,IF('Note Schedules'!O331&gt;0,'Income Statement'!O13/'Note Schedules'!O331-1,"n.m."),"")</f>
        <v>0.008018994713735239</v>
      </c>
      <c r="P14" s="72" t="n">
        <f>IF(COUNT('Income Statement'!P13,'Note Schedules'!P331)=2,IF('Note Schedules'!P331&gt;0,'Income Statement'!P13/'Note Schedules'!P331-1,"n.m."),"")</f>
        <v>-0.0057135547691127275</v>
      </c>
      <c r="Q14" s="72" t="n">
        <f>IF(COUNT('Income Statement'!Q13,'Note Schedules'!Q331)=2,IF('Note Schedules'!Q331&gt;0,'Income Statement'!Q13/'Note Schedules'!Q331-1,"n.m."),"")</f>
        <v>-0.0023698384201077394</v>
      </c>
      <c r="R14" s="59" t="n">
        <f>IF(COUNT('Income Statement'!R13,'Income Statement'!N13)=2,IF('Income Statement'!N13&gt;0,'Income Statement'!R13/'Income Statement'!N13-1,"n.m."),"")</f>
        <v>-0.01813698630136984</v>
      </c>
      <c r="S14" s="59" t="n">
        <f>IF(COUNT('Income Statement'!S13,'Income Statement'!O13)=2,IF('Income Statement'!O13&gt;0,'Income Statement'!S13/'Income Statement'!O13-1,"n.m."),"")</f>
        <v>0.00999955557530785</v>
      </c>
      <c r="T14" s="59" t="n">
        <f>IF(COUNT('Income Statement'!T13,'Income Statement'!P13)=2,IF('Income Statement'!P13&gt;0,'Income Statement'!T13/'Income Statement'!P13-1,"n.m."),"")</f>
        <v>0.026501994082078983</v>
      </c>
      <c r="U14" s="59" t="n">
        <f>IF(COUNT('Income Statement'!U13,'Income Statement'!Q13)=2,IF('Income Statement'!Q13&gt;0,'Income Statement'!U13/'Income Statement'!Q13-1,"n.m."),"")</f>
        <v>0.05611143103944727</v>
      </c>
      <c r="V14" s="59" t="n">
        <f>IF(COUNT('Income Statement'!V13,'Income Statement'!R13)=2,IF('Income Statement'!R13&gt;0,'Income Statement'!V13/'Income Statement'!R13-1,"n.m."),"")</f>
        <v>0.08504938891679226</v>
      </c>
      <c r="W14" s="59" t="n">
        <f>IF(COUNT('Income Statement'!W13,'Income Statement'!S13)=2,IF('Income Statement'!S13&gt;0,'Income Statement'!W13/'Income Statement'!S13-1,"n.m."),"")</f>
        <v>0.06402358532077801</v>
      </c>
      <c r="X14" s="59" t="n">
        <f>IF(COUNT('Income Statement'!X13,'Income Statement'!T13)=2,IF('Income Statement'!T13&gt;0,'Income Statement'!X13/'Income Statement'!T13-1,"n.m."),"")</f>
        <v>0.05585495258386608</v>
      </c>
    </row>
    <row r="15" ht="22" customHeight="1">
      <c r="A15" s="4" t="str">
        <v>Cost of sales</v>
      </c>
      <c r="B15" s="2"/>
      <c r="C15" s="44" t="n">
        <v>28222</v>
      </c>
      <c r="D15" s="44" t="n">
        <v>28796</v>
      </c>
      <c r="E15" s="44" t="n">
        <v>29381</v>
      </c>
      <c r="F15" s="44" t="n">
        <v>30132</v>
      </c>
      <c r="G15" s="44" t="n">
        <v>31797</v>
      </c>
      <c r="H15" s="44" t="n">
        <v>37075</v>
      </c>
      <c r="I15" s="44" t="n">
        <v>40576</v>
      </c>
      <c r="J15" s="44" t="n">
        <v>41881</v>
      </c>
      <c r="K15" s="44" t="n">
        <v>41744</v>
      </c>
      <c r="L15" s="44" t="n">
        <v>43066</v>
      </c>
      <c r="M15" s="45"/>
      <c r="N15" s="44" t="n">
        <v>8248</v>
      </c>
      <c r="O15" s="44" t="n">
        <v>9919</v>
      </c>
      <c r="P15" s="44" t="n">
        <v>10396</v>
      </c>
      <c r="Q15" s="43" t="n">
        <f>IF(COUNT('Income Statement'!K15,'Income Statement'!P41)=2,'Income Statement'!K15-'Income Statement'!P41,"")</f>
        <v>13181</v>
      </c>
      <c r="R15" s="44" t="n">
        <v>7926</v>
      </c>
      <c r="S15" s="44" t="n">
        <v>10304</v>
      </c>
      <c r="T15" s="44" t="n">
        <v>11113</v>
      </c>
      <c r="U15" s="43" t="n">
        <f>IF(COUNT('Income Statement'!L15,'Income Statement'!T41)=2,'Income Statement'!L15-'Income Statement'!T41,"")</f>
        <v>13723</v>
      </c>
      <c r="V15" s="44" t="n">
        <v>8712</v>
      </c>
      <c r="W15" s="44" t="n">
        <v>11070</v>
      </c>
      <c r="X15" s="44" t="n">
        <v>11520</v>
      </c>
    </row>
    <row r="16" ht="24" customHeight="1">
      <c r="A16" s="51" t="str">
        <v>Gross profit</v>
      </c>
      <c r="B16" s="52"/>
      <c r="C16" s="53" t="n">
        <v>34577</v>
      </c>
      <c r="D16" s="53" t="n">
        <v>34729</v>
      </c>
      <c r="E16" s="53" t="n">
        <v>35280</v>
      </c>
      <c r="F16" s="53" t="n">
        <v>37029</v>
      </c>
      <c r="G16" s="53" t="n">
        <v>38575</v>
      </c>
      <c r="H16" s="53" t="n">
        <v>42399</v>
      </c>
      <c r="I16" s="53" t="n">
        <v>45816</v>
      </c>
      <c r="J16" s="53" t="n">
        <v>49590</v>
      </c>
      <c r="K16" s="53" t="n">
        <v>50110</v>
      </c>
      <c r="L16" s="53" t="n">
        <v>50859</v>
      </c>
      <c r="M16" s="55"/>
      <c r="N16" s="53" t="n">
        <v>10002</v>
      </c>
      <c r="O16" s="53" t="n">
        <v>12582</v>
      </c>
      <c r="P16" s="53" t="n">
        <v>12923</v>
      </c>
      <c r="Q16" s="54" t="n">
        <f>IF(COUNT('Income Statement'!K16,'Income Statement'!P42)=2,'Income Statement'!K16-'Income Statement'!P42,"")</f>
        <v>14603</v>
      </c>
      <c r="R16" s="53" t="n">
        <v>9993</v>
      </c>
      <c r="S16" s="53" t="n">
        <v>12422</v>
      </c>
      <c r="T16" s="53" t="n">
        <v>12824</v>
      </c>
      <c r="U16" s="54" t="n">
        <f>IF(COUNT('Income Statement'!L16,'Income Statement'!T42)=2,'Income Statement'!L16-'Income Statement'!T42,"")</f>
        <v>15620</v>
      </c>
      <c r="V16" s="53" t="n">
        <v>10731</v>
      </c>
      <c r="W16" s="53" t="n">
        <v>13111</v>
      </c>
      <c r="X16" s="53" t="n">
        <v>13754</v>
      </c>
    </row>
    <row r="17" ht="20" customHeight="1">
      <c r="A17" s="56" t="str">
        <v>Gross profit YoY change</v>
      </c>
      <c r="B17" s="2"/>
      <c r="C17" s="72" t="n">
        <f>IF(COUNT('Income Statement'!C16,'Note Schedules'!C314)=2,IF('Note Schedules'!C314&gt;0,'Income Statement'!C16/'Note Schedules'!C314-1,"n.m."),"")</f>
        <v>0.007341587764020385</v>
      </c>
      <c r="D17" s="59" t="n">
        <f>IF(COUNT('Income Statement'!D16,'Income Statement'!C16)=2,IF('Income Statement'!C16&gt;0,'Income Statement'!D16/'Income Statement'!C16-1,"n.m."),"")</f>
        <v>0.004395985770888178</v>
      </c>
      <c r="E17" s="59" t="n">
        <f>IF(COUNT('Income Statement'!E16,'Income Statement'!D16)=2,IF('Income Statement'!D16&gt;0,'Income Statement'!E16/'Income Statement'!D16-1,"n.m."),"")</f>
        <v>0.015865703014771526</v>
      </c>
      <c r="F17" s="59" t="n">
        <f>IF(COUNT('Income Statement'!F16,'Income Statement'!E16)=2,IF('Income Statement'!E16&gt;0,'Income Statement'!F16/'Income Statement'!E16-1,"n.m."),"")</f>
        <v>0.04957482993197271</v>
      </c>
      <c r="G17" s="59" t="n">
        <f>IF(COUNT('Income Statement'!G16,'Income Statement'!F16)=2,IF('Income Statement'!F16&gt;0,'Income Statement'!G16/'Income Statement'!F16-1,"n.m."),"")</f>
        <v>0.041751059980015715</v>
      </c>
      <c r="H17" s="59" t="n">
        <f>IF(COUNT('Income Statement'!H16,'Income Statement'!G16)=2,IF('Income Statement'!G16&gt;0,'Income Statement'!H16/'Income Statement'!G16-1,"n.m."),"")</f>
        <v>0.09913156189241734</v>
      </c>
      <c r="I17" s="59" t="n">
        <f>IF(COUNT('Income Statement'!I16,'Income Statement'!H16)=2,IF('Income Statement'!H16&gt;0,'Income Statement'!I16/'Income Statement'!H16-1,"n.m."),"")</f>
        <v>0.08059152338498543</v>
      </c>
      <c r="J17" s="59" t="n">
        <f>IF(COUNT('Income Statement'!J16,'Income Statement'!I16)=2,IF('Income Statement'!I16&gt;0,'Income Statement'!J16/'Income Statement'!I16-1,"n.m."),"")</f>
        <v>0.0823729701414353</v>
      </c>
      <c r="K17" s="59" t="n">
        <f>IF(COUNT('Income Statement'!K16,'Income Statement'!J16)=2,IF('Income Statement'!J16&gt;0,'Income Statement'!K16/'Income Statement'!J16-1,"n.m."),"")</f>
        <v>0.01048598507763665</v>
      </c>
      <c r="L17" s="59" t="n">
        <f>IF(COUNT('Income Statement'!L16,'Income Statement'!K16)=2,IF('Income Statement'!K16&gt;0,'Income Statement'!L16/'Income Statement'!K16-1,"n.m."),"")</f>
        <v>0.01494711634404311</v>
      </c>
      <c r="M17" s="60"/>
      <c r="N17" s="72" t="n">
        <f>IF(COUNT('Income Statement'!N16,'Note Schedules'!N332)=2,IF('Note Schedules'!N332&gt;0,'Income Statement'!N16/'Note Schedules'!N332-1,"n.m."),"")</f>
        <v>0.014607425441266031</v>
      </c>
      <c r="O17" s="72" t="n">
        <f>IF(COUNT('Income Statement'!O16,'Note Schedules'!O332)=2,IF('Note Schedules'!O332&gt;0,'Income Statement'!O16/'Note Schedules'!O332-1,"n.m."),"")</f>
        <v>0.03122694861076969</v>
      </c>
      <c r="P17" s="72" t="n">
        <f>IF(COUNT('Income Statement'!P16,'Note Schedules'!P332)=2,IF('Note Schedules'!P332&gt;0,'Income Statement'!P16/'Note Schedules'!P332-1,"n.m."),"")</f>
        <v>0.011347628736891435</v>
      </c>
      <c r="Q17" s="72" t="n">
        <f>IF(COUNT('Income Statement'!Q16,'Note Schedules'!Q332)=2,IF('Note Schedules'!Q332&gt;0,'Income Statement'!Q16/'Note Schedules'!Q332-1,"n.m."),"")</f>
        <v>-0.010167423574866108</v>
      </c>
      <c r="R17" s="59" t="n">
        <f>IF(COUNT('Income Statement'!R16,'Income Statement'!N16)=2,IF('Income Statement'!N16&gt;0,'Income Statement'!R16/'Income Statement'!N16-1,"n.m."),"")</f>
        <v>-0.00089982003599276</v>
      </c>
      <c r="S17" s="59" t="n">
        <f>IF(COUNT('Income Statement'!S16,'Income Statement'!O16)=2,IF('Income Statement'!O16&gt;0,'Income Statement'!S16/'Income Statement'!O16-1,"n.m."),"")</f>
        <v>-0.012716579240184434</v>
      </c>
      <c r="T17" s="59" t="n">
        <f>IF(COUNT('Income Statement'!T16,'Income Statement'!P16)=2,IF('Income Statement'!P16&gt;0,'Income Statement'!T16/'Income Statement'!P16-1,"n.m."),"")</f>
        <v>-0.007660759885475543</v>
      </c>
      <c r="U17" s="59" t="n">
        <f>IF(COUNT('Income Statement'!U16,'Income Statement'!Q16)=2,IF('Income Statement'!Q16&gt;0,'Income Statement'!U16/'Income Statement'!Q16-1,"n.m."),"")</f>
        <v>0.0696432239950695</v>
      </c>
      <c r="V17" s="59" t="n">
        <f>IF(COUNT('Income Statement'!V16,'Income Statement'!R16)=2,IF('Income Statement'!R16&gt;0,'Income Statement'!V16/'Income Statement'!R16-1,"n.m."),"")</f>
        <v>0.07385169618733123</v>
      </c>
      <c r="W17" s="59" t="n">
        <f>IF(COUNT('Income Statement'!W16,'Income Statement'!S16)=2,IF('Income Statement'!S16&gt;0,'Income Statement'!W16/'Income Statement'!S16-1,"n.m."),"")</f>
        <v>0.05546610851714706</v>
      </c>
      <c r="X17" s="59" t="n">
        <f>IF(COUNT('Income Statement'!X16,'Income Statement'!T16)=2,IF('Income Statement'!T16&gt;0,'Income Statement'!X16/'Income Statement'!T16-1,"n.m."),"")</f>
        <v>0.07252027448533993</v>
      </c>
    </row>
    <row r="18" ht="22" customHeight="1">
      <c r="A18" s="4" t="str">
        <v>Selling, general and administrative expenses</v>
      </c>
      <c r="B18" s="2"/>
      <c r="C18" s="44" t="n">
        <v>24773</v>
      </c>
      <c r="D18" s="44" t="n">
        <v>24453</v>
      </c>
      <c r="E18" s="44" t="n">
        <v>25170</v>
      </c>
      <c r="F18" s="44" t="n">
        <v>26738</v>
      </c>
      <c r="G18" s="44" t="n">
        <v>28453</v>
      </c>
      <c r="H18" s="44" t="n">
        <v>31237</v>
      </c>
      <c r="I18" s="44" t="n">
        <v>34459</v>
      </c>
      <c r="J18" s="44" t="n">
        <v>36677</v>
      </c>
      <c r="K18" s="44" t="n">
        <v>37190</v>
      </c>
      <c r="L18" s="44" t="n">
        <v>37368</v>
      </c>
      <c r="M18" s="45"/>
      <c r="N18" s="44" t="n">
        <v>7285</v>
      </c>
      <c r="O18" s="44" t="n">
        <v>8534</v>
      </c>
      <c r="P18" s="44" t="n">
        <v>9027</v>
      </c>
      <c r="Q18" s="43" t="n">
        <f>IF(COUNT('Income Statement'!K18,'Income Statement'!P43)=2,'Income Statement'!K18-'Income Statement'!P43,"")</f>
        <v>12344</v>
      </c>
      <c r="R18" s="44" t="n">
        <v>7410</v>
      </c>
      <c r="S18" s="44" t="n">
        <v>8773</v>
      </c>
      <c r="T18" s="44" t="n">
        <v>9122</v>
      </c>
      <c r="U18" s="43" t="n">
        <f>IF(COUNT('Income Statement'!L18,'Income Statement'!T43)=2,'Income Statement'!L18-'Income Statement'!T43,"")</f>
        <v>12063</v>
      </c>
      <c r="V18" s="44" t="n">
        <v>7518</v>
      </c>
      <c r="W18" s="44" t="n">
        <v>9088</v>
      </c>
      <c r="X18" s="44" t="n">
        <v>9494</v>
      </c>
    </row>
    <row r="19" ht="22" customHeight="1">
      <c r="A19" s="4" t="str">
        <v>Impairment of intangible assets (separately presented)</v>
      </c>
      <c r="B19" s="2"/>
      <c r="C19" s="44"/>
      <c r="D19" s="44"/>
      <c r="E19" s="44"/>
      <c r="F19" s="44"/>
      <c r="G19" s="44" t="n">
        <v>42</v>
      </c>
      <c r="H19" s="44" t="n">
        <v>0</v>
      </c>
      <c r="I19" s="44" t="n">
        <v>3166</v>
      </c>
      <c r="J19" s="44" t="n">
        <v>927</v>
      </c>
      <c r="K19" s="44" t="n">
        <v>33</v>
      </c>
      <c r="L19" s="44" t="n">
        <v>1993</v>
      </c>
      <c r="M19" s="45"/>
      <c r="N19" s="44"/>
      <c r="O19" s="44" t="n">
        <v>0</v>
      </c>
      <c r="P19" s="44" t="n">
        <v>24</v>
      </c>
      <c r="Q19" s="43" t="n">
        <f>IF(COUNT('Income Statement'!K19,'Income Statement'!P44)=2,'Income Statement'!K19-'Income Statement'!P44,"")</f>
        <v>9</v>
      </c>
      <c r="R19" s="44"/>
      <c r="S19" s="44" t="n">
        <v>1860</v>
      </c>
      <c r="T19" s="44" t="n">
        <v>133</v>
      </c>
      <c r="U19" s="43" t="n">
        <f>IF(COUNT('Income Statement'!L19,'Income Statement'!T44)=2,'Income Statement'!L19-'Income Statement'!T44,"")</f>
        <v>0</v>
      </c>
      <c r="V19" s="44"/>
      <c r="W19" s="44" t="n">
        <v>0</v>
      </c>
      <c r="X19" s="44" t="n">
        <v>0</v>
      </c>
    </row>
    <row r="20" ht="22" customHeight="1">
      <c r="A20" s="4" t="str">
        <v>Gain associated with the Juice Transaction (see Note 13)</v>
      </c>
      <c r="B20" s="2"/>
      <c r="C20" s="44"/>
      <c r="D20" s="44"/>
      <c r="E20" s="44"/>
      <c r="F20" s="44"/>
      <c r="G20" s="44" t="n">
        <v>0</v>
      </c>
      <c r="H20" s="44" t="n">
        <v>0</v>
      </c>
      <c r="I20" s="44" t="n">
        <v>-3321</v>
      </c>
      <c r="J20" s="44"/>
      <c r="K20" s="44"/>
      <c r="L20" s="44"/>
      <c r="M20" s="45"/>
      <c r="N20" s="44"/>
      <c r="O20" s="44"/>
      <c r="P20" s="44"/>
      <c r="Q20" s="44"/>
      <c r="R20" s="44"/>
      <c r="S20" s="44"/>
      <c r="T20" s="44"/>
      <c r="U20" s="44"/>
      <c r="V20" s="44"/>
      <c r="W20" s="44"/>
      <c r="X20" s="44"/>
    </row>
    <row r="21" ht="24" customHeight="1">
      <c r="A21" s="51" t="str">
        <v>Operating Profit</v>
      </c>
      <c r="B21" s="52"/>
      <c r="C21" s="53" t="n">
        <v>9804</v>
      </c>
      <c r="D21" s="53" t="n">
        <v>10276</v>
      </c>
      <c r="E21" s="53" t="n">
        <v>10110</v>
      </c>
      <c r="F21" s="53" t="n">
        <v>10291</v>
      </c>
      <c r="G21" s="53" t="n">
        <v>10080</v>
      </c>
      <c r="H21" s="53" t="n">
        <v>11162</v>
      </c>
      <c r="I21" s="53" t="n">
        <v>11512</v>
      </c>
      <c r="J21" s="53" t="n">
        <v>11986</v>
      </c>
      <c r="K21" s="53" t="n">
        <v>12887</v>
      </c>
      <c r="L21" s="53" t="n">
        <v>11498</v>
      </c>
      <c r="M21" s="55"/>
      <c r="N21" s="53" t="n">
        <v>2717</v>
      </c>
      <c r="O21" s="53" t="n">
        <v>4048</v>
      </c>
      <c r="P21" s="53" t="n">
        <v>3872</v>
      </c>
      <c r="Q21" s="54" t="n">
        <f>IF(COUNT('Income Statement'!K21,'Income Statement'!P45)=2,'Income Statement'!K21-'Income Statement'!P45,"")</f>
        <v>2250</v>
      </c>
      <c r="R21" s="53" t="n">
        <v>2583</v>
      </c>
      <c r="S21" s="53" t="n">
        <v>1789</v>
      </c>
      <c r="T21" s="53" t="n">
        <v>3569</v>
      </c>
      <c r="U21" s="54" t="n">
        <f>IF(COUNT('Income Statement'!L21,'Income Statement'!T45)=2,'Income Statement'!L21-'Income Statement'!T45,"")</f>
        <v>3557</v>
      </c>
      <c r="V21" s="53" t="n">
        <v>3213</v>
      </c>
      <c r="W21" s="53" t="n">
        <v>4023</v>
      </c>
      <c r="X21" s="53" t="n">
        <v>4260</v>
      </c>
    </row>
    <row r="22" ht="20" customHeight="1">
      <c r="A22" s="56" t="str">
        <v>Operating profit YoY change</v>
      </c>
      <c r="B22" s="2"/>
      <c r="C22" s="72" t="n">
        <f>IF(COUNT('Income Statement'!C21,'Note Schedules'!C315)=2,IF('Note Schedules'!C315&gt;0,'Income Statement'!C21/'Note Schedules'!C315-1,"n.m."),"")</f>
        <v>0.17371004429546266</v>
      </c>
      <c r="D22" s="59" t="n">
        <f>IF(COUNT('Income Statement'!D21,'Income Statement'!C21)=2,IF('Income Statement'!C21&gt;0,'Income Statement'!D21/'Income Statement'!C21-1,"n.m."),"")</f>
        <v>0.04814361485108121</v>
      </c>
      <c r="E22" s="59" t="n">
        <f>IF(COUNT('Income Statement'!E21,'Income Statement'!D21)=2,IF('Income Statement'!D21&gt;0,'Income Statement'!E21/'Income Statement'!D21-1,"n.m."),"")</f>
        <v>-0.016154145581938506</v>
      </c>
      <c r="F22" s="59" t="n">
        <f>IF(COUNT('Income Statement'!F21,'Income Statement'!E21)=2,IF('Income Statement'!E21&gt;0,'Income Statement'!F21/'Income Statement'!E21-1,"n.m."),"")</f>
        <v>0.017903066271018897</v>
      </c>
      <c r="G22" s="59" t="n">
        <f>IF(COUNT('Income Statement'!G21,'Income Statement'!F21)=2,IF('Income Statement'!F21&gt;0,'Income Statement'!G21/'Income Statement'!F21-1,"n.m."),"")</f>
        <v>-0.020503352443883016</v>
      </c>
      <c r="H22" s="59" t="n">
        <f>IF(COUNT('Income Statement'!H21,'Income Statement'!G21)=2,IF('Income Statement'!G21&gt;0,'Income Statement'!H21/'Income Statement'!G21-1,"n.m."),"")</f>
        <v>0.1073412698412699</v>
      </c>
      <c r="I22" s="59" t="n">
        <f>IF(COUNT('Income Statement'!I21,'Income Statement'!H21)=2,IF('Income Statement'!H21&gt;0,'Income Statement'!I21/'Income Statement'!H21-1,"n.m."),"")</f>
        <v>0.03135638774413185</v>
      </c>
      <c r="J22" s="59" t="n">
        <f>IF(COUNT('Income Statement'!J21,'Income Statement'!I21)=2,IF('Income Statement'!I21&gt;0,'Income Statement'!J21/'Income Statement'!I21-1,"n.m."),"")</f>
        <v>0.04117442668519811</v>
      </c>
      <c r="K22" s="59" t="n">
        <f>IF(COUNT('Income Statement'!K21,'Income Statement'!J21)=2,IF('Income Statement'!J21&gt;0,'Income Statement'!K21/'Income Statement'!J21-1,"n.m."),"")</f>
        <v>0.0751710328716837</v>
      </c>
      <c r="L22" s="59" t="n">
        <f>IF(COUNT('Income Statement'!L21,'Income Statement'!K21)=2,IF('Income Statement'!K21&gt;0,'Income Statement'!L21/'Income Statement'!K21-1,"n.m."),"")</f>
        <v>-0.10778303716924031</v>
      </c>
      <c r="M22" s="60"/>
      <c r="N22" s="72" t="n">
        <f>IF(COUNT('Income Statement'!N21,'Note Schedules'!N333)=2,IF('Note Schedules'!N333&gt;0,'Income Statement'!N21/'Note Schedules'!N333-1,"n.m."),"")</f>
        <v>0.03347280334728042</v>
      </c>
      <c r="O22" s="72" t="n">
        <f>IF(COUNT('Income Statement'!O21,'Note Schedules'!O333)=2,IF('Note Schedules'!O333&gt;0,'Income Statement'!O21/'Note Schedules'!O333-1,"n.m."),"")</f>
        <v>0.10631320032795855</v>
      </c>
      <c r="P22" s="72" t="n">
        <f>IF(COUNT('Income Statement'!P21,'Note Schedules'!P333)=2,IF('Note Schedules'!P333&gt;0,'Income Statement'!P21/'Note Schedules'!P333-1,"n.m."),"")</f>
        <v>-0.03561643835616435</v>
      </c>
      <c r="Q22" s="72" t="n">
        <f>IF(COUNT('Income Statement'!Q21,'Note Schedules'!Q333)=2,IF('Note Schedules'!Q333&gt;0,'Income Statement'!Q21/'Note Schedules'!Q333-1,"n.m."),"")</f>
        <v>0.33689839572192515</v>
      </c>
      <c r="R22" s="59" t="n">
        <f>IF(COUNT('Income Statement'!R21,'Income Statement'!N21)=2,IF('Income Statement'!N21&gt;0,'Income Statement'!R21/'Income Statement'!N21-1,"n.m."),"")</f>
        <v>-0.0493191019506809</v>
      </c>
      <c r="S22" s="59" t="n">
        <f>IF(COUNT('Income Statement'!S21,'Income Statement'!O21)=2,IF('Income Statement'!O21&gt;0,'Income Statement'!S21/'Income Statement'!O21-1,"n.m."),"")</f>
        <v>-0.5580533596837944</v>
      </c>
      <c r="T22" s="59" t="n">
        <f>IF(COUNT('Income Statement'!T21,'Income Statement'!P21)=2,IF('Income Statement'!P21&gt;0,'Income Statement'!T21/'Income Statement'!P21-1,"n.m."),"")</f>
        <v>-0.07825413223140498</v>
      </c>
      <c r="U22" s="59" t="n">
        <f>IF(COUNT('Income Statement'!U21,'Income Statement'!Q21)=2,IF('Income Statement'!Q21&gt;0,'Income Statement'!U21/'Income Statement'!Q21-1,"n.m."),"")</f>
        <v>0.5808888888888888</v>
      </c>
      <c r="V22" s="59" t="n">
        <f>IF(COUNT('Income Statement'!V21,'Income Statement'!R21)=2,IF('Income Statement'!R21&gt;0,'Income Statement'!V21/'Income Statement'!R21-1,"n.m."),"")</f>
        <v>0.24390243902439024</v>
      </c>
      <c r="W22" s="59" t="n">
        <f>IF(COUNT('Income Statement'!W21,'Income Statement'!S21)=2,IF('Income Statement'!S21&gt;0,'Income Statement'!W21/'Income Statement'!S21-1,"n.m."),"")</f>
        <v>1.2487423141419787</v>
      </c>
      <c r="X22" s="59" t="n">
        <f>IF(COUNT('Income Statement'!X21,'Income Statement'!T21)=2,IF('Income Statement'!T21&gt;0,'Income Statement'!X21/'Income Statement'!T21-1,"n.m."),"")</f>
        <v>0.1936116559260297</v>
      </c>
    </row>
    <row r="23" ht="36" customHeight="1">
      <c r="A23" s="4" t="str">
        <v>Other pension and retiree medical benefits income/(expense)</v>
      </c>
      <c r="B23" s="2"/>
      <c r="C23" s="44" t="n">
        <v>-19</v>
      </c>
      <c r="D23" s="44" t="n">
        <v>233</v>
      </c>
      <c r="E23" s="44" t="n">
        <v>298</v>
      </c>
      <c r="F23" s="44" t="n">
        <v>-44</v>
      </c>
      <c r="G23" s="44" t="n">
        <v>117</v>
      </c>
      <c r="H23" s="44" t="n">
        <v>522</v>
      </c>
      <c r="I23" s="44" t="n">
        <v>132</v>
      </c>
      <c r="J23" s="44" t="n">
        <v>250</v>
      </c>
      <c r="K23" s="44" t="n">
        <v>-22</v>
      </c>
      <c r="L23" s="44" t="n">
        <v>-133</v>
      </c>
      <c r="M23" s="45"/>
      <c r="N23" s="44" t="n">
        <v>58</v>
      </c>
      <c r="O23" s="44" t="n">
        <v>56</v>
      </c>
      <c r="P23" s="44" t="n">
        <v>41</v>
      </c>
      <c r="Q23" s="43" t="n">
        <f>IF(COUNT('Income Statement'!K23,'Income Statement'!P46)=2,'Income Statement'!K23-'Income Statement'!P46,"")</f>
        <v>-177</v>
      </c>
      <c r="R23" s="44" t="n">
        <v>23</v>
      </c>
      <c r="S23" s="44" t="n">
        <v>42</v>
      </c>
      <c r="T23" s="44" t="n">
        <v>26</v>
      </c>
      <c r="U23" s="43" t="n">
        <f>IF(COUNT('Income Statement'!L23,'Income Statement'!T46)=2,'Income Statement'!L23-'Income Statement'!T46,"")</f>
        <v>-224</v>
      </c>
      <c r="V23" s="44" t="n">
        <v>58</v>
      </c>
      <c r="W23" s="44" t="n">
        <v>59</v>
      </c>
      <c r="X23" s="44" t="n">
        <v>-114</v>
      </c>
    </row>
    <row r="24" ht="22" customHeight="1">
      <c r="A24" s="4" t="str">
        <v>Interest expense (as reported)</v>
      </c>
      <c r="B24" s="2"/>
      <c r="C24" s="44" t="n">
        <v>-1342</v>
      </c>
      <c r="D24" s="44" t="n">
        <v>-1151</v>
      </c>
      <c r="E24" s="44"/>
      <c r="F24" s="44"/>
      <c r="G24" s="44"/>
      <c r="H24" s="44"/>
      <c r="I24" s="44"/>
      <c r="J24" s="44"/>
      <c r="K24" s="44"/>
      <c r="L24" s="44"/>
      <c r="M24" s="45"/>
      <c r="N24" s="44"/>
      <c r="O24" s="44"/>
      <c r="P24" s="44"/>
      <c r="Q24" s="44"/>
      <c r="R24" s="44"/>
      <c r="S24" s="44"/>
      <c r="T24" s="44"/>
      <c r="U24" s="44"/>
      <c r="V24" s="44"/>
      <c r="W24" s="44"/>
      <c r="X24" s="44"/>
    </row>
    <row r="25" ht="22" customHeight="1">
      <c r="A25" s="4" t="str">
        <v>Interest income and other</v>
      </c>
      <c r="B25" s="2"/>
      <c r="C25" s="44" t="n">
        <v>110</v>
      </c>
      <c r="D25" s="44" t="n">
        <v>244</v>
      </c>
      <c r="E25" s="44"/>
      <c r="F25" s="44"/>
      <c r="G25" s="44"/>
      <c r="H25" s="44"/>
      <c r="I25" s="44"/>
      <c r="J25" s="44"/>
      <c r="K25" s="44"/>
      <c r="L25" s="44"/>
      <c r="M25" s="45"/>
      <c r="N25" s="44"/>
      <c r="O25" s="44"/>
      <c r="P25" s="44"/>
      <c r="Q25" s="44"/>
      <c r="R25" s="44"/>
      <c r="S25" s="44"/>
      <c r="T25" s="44"/>
      <c r="U25" s="44"/>
      <c r="V25" s="44"/>
      <c r="W25" s="44"/>
      <c r="X25" s="44"/>
    </row>
    <row r="26" ht="22" customHeight="1">
      <c r="A26" s="4" t="str">
        <v>Net interest expense and other (as reported)</v>
      </c>
      <c r="B26" s="2"/>
      <c r="C26" s="44"/>
      <c r="D26" s="44"/>
      <c r="E26" s="44" t="n">
        <v>-1219</v>
      </c>
      <c r="F26" s="44" t="n">
        <v>-935</v>
      </c>
      <c r="G26" s="44" t="n">
        <v>-1128</v>
      </c>
      <c r="H26" s="44" t="n">
        <v>-1863</v>
      </c>
      <c r="I26" s="44" t="n">
        <v>-939</v>
      </c>
      <c r="J26" s="44" t="n">
        <v>-819</v>
      </c>
      <c r="K26" s="44" t="n">
        <v>-919</v>
      </c>
      <c r="L26" s="44" t="n">
        <v>-1121</v>
      </c>
      <c r="M26" s="45"/>
      <c r="N26" s="44" t="n">
        <v>-202</v>
      </c>
      <c r="O26" s="44" t="n">
        <v>-234</v>
      </c>
      <c r="P26" s="44" t="n">
        <v>-219</v>
      </c>
      <c r="Q26" s="43" t="n">
        <f>IF(COUNT('Income Statement'!K26,'Income Statement'!P47)=2,'Income Statement'!K26-'Income Statement'!P47,"")</f>
        <v>-264</v>
      </c>
      <c r="R26" s="44" t="n">
        <v>-264</v>
      </c>
      <c r="S26" s="44" t="n">
        <v>-260</v>
      </c>
      <c r="T26" s="44" t="n">
        <v>-264</v>
      </c>
      <c r="U26" s="43" t="n">
        <f>IF(COUNT('Income Statement'!L26,'Income Statement'!T47)=2,'Income Statement'!L26-'Income Statement'!T47,"")</f>
        <v>-333</v>
      </c>
      <c r="V26" s="44" t="n">
        <v>-301</v>
      </c>
      <c r="W26" s="44" t="n">
        <v>-230</v>
      </c>
      <c r="X26" s="44" t="n">
        <v>-242</v>
      </c>
    </row>
    <row r="27" ht="24" customHeight="1">
      <c r="A27" s="51" t="str">
        <v>Income before income taxes</v>
      </c>
      <c r="B27" s="52"/>
      <c r="C27" s="53" t="n">
        <v>8553</v>
      </c>
      <c r="D27" s="53" t="n">
        <v>9602</v>
      </c>
      <c r="E27" s="53" t="n">
        <v>9189</v>
      </c>
      <c r="F27" s="53" t="n">
        <v>9312</v>
      </c>
      <c r="G27" s="53" t="n">
        <v>9069</v>
      </c>
      <c r="H27" s="53" t="n">
        <v>9821</v>
      </c>
      <c r="I27" s="53" t="n">
        <v>10705</v>
      </c>
      <c r="J27" s="53" t="n">
        <v>11417</v>
      </c>
      <c r="K27" s="53" t="n">
        <v>11946</v>
      </c>
      <c r="L27" s="53" t="n">
        <v>10244</v>
      </c>
      <c r="M27" s="55"/>
      <c r="N27" s="53" t="n">
        <v>2573</v>
      </c>
      <c r="O27" s="53" t="n">
        <v>3870</v>
      </c>
      <c r="P27" s="53" t="n">
        <v>3694</v>
      </c>
      <c r="Q27" s="54" t="n">
        <f>IF(COUNT('Income Statement'!K27,'Income Statement'!P48)=2,'Income Statement'!K27-'Income Statement'!P48,"")</f>
        <v>1809</v>
      </c>
      <c r="R27" s="53" t="n">
        <v>2342</v>
      </c>
      <c r="S27" s="53" t="n">
        <v>1571</v>
      </c>
      <c r="T27" s="53" t="n">
        <v>3331</v>
      </c>
      <c r="U27" s="54" t="n">
        <f>IF(COUNT('Income Statement'!L27,'Income Statement'!T48)=2,'Income Statement'!L27-'Income Statement'!T48,"")</f>
        <v>3000</v>
      </c>
      <c r="V27" s="53" t="n">
        <v>2970</v>
      </c>
      <c r="W27" s="53" t="n">
        <v>3852</v>
      </c>
      <c r="X27" s="53" t="n">
        <v>3904</v>
      </c>
    </row>
    <row r="28" ht="22" customHeight="1">
      <c r="A28" s="4" t="str">
        <v>Provision for/(benefit from) income taxes</v>
      </c>
      <c r="B28" s="2"/>
      <c r="C28" s="44" t="n">
        <v>2174</v>
      </c>
      <c r="D28" s="44" t="n">
        <v>4694</v>
      </c>
      <c r="E28" s="44" t="n">
        <v>-3370</v>
      </c>
      <c r="F28" s="44" t="n">
        <v>1959</v>
      </c>
      <c r="G28" s="44" t="n">
        <v>1894</v>
      </c>
      <c r="H28" s="44" t="n">
        <v>2142</v>
      </c>
      <c r="I28" s="44" t="n">
        <v>1727</v>
      </c>
      <c r="J28" s="44" t="n">
        <v>2262</v>
      </c>
      <c r="K28" s="44" t="n">
        <v>2320</v>
      </c>
      <c r="L28" s="44" t="n">
        <v>1949</v>
      </c>
      <c r="M28" s="45"/>
      <c r="N28" s="44" t="n">
        <v>520</v>
      </c>
      <c r="O28" s="44" t="n">
        <v>776</v>
      </c>
      <c r="P28" s="44" t="n">
        <v>749</v>
      </c>
      <c r="Q28" s="43" t="n">
        <f>IF(COUNT('Income Statement'!K28,'Income Statement'!P49)=2,'Income Statement'!K28-'Income Statement'!P49,"")</f>
        <v>275</v>
      </c>
      <c r="R28" s="44" t="n">
        <v>499</v>
      </c>
      <c r="S28" s="44" t="n">
        <v>292</v>
      </c>
      <c r="T28" s="44" t="n">
        <v>713</v>
      </c>
      <c r="U28" s="43" t="n">
        <f>IF(COUNT('Income Statement'!L28,'Income Statement'!T49)=2,'Income Statement'!L28-'Income Statement'!T49,"")</f>
        <v>445</v>
      </c>
      <c r="V28" s="44" t="n">
        <v>632</v>
      </c>
      <c r="W28" s="44" t="n">
        <v>848</v>
      </c>
      <c r="X28" s="44" t="n">
        <v>834</v>
      </c>
    </row>
    <row r="29" ht="24" customHeight="1">
      <c r="A29" s="51" t="str">
        <v>Net income</v>
      </c>
      <c r="B29" s="52"/>
      <c r="C29" s="53" t="n">
        <v>6379</v>
      </c>
      <c r="D29" s="53" t="n">
        <v>4908</v>
      </c>
      <c r="E29" s="53" t="n">
        <v>12559</v>
      </c>
      <c r="F29" s="53" t="n">
        <v>7353</v>
      </c>
      <c r="G29" s="53" t="n">
        <v>7175</v>
      </c>
      <c r="H29" s="53" t="n">
        <v>7679</v>
      </c>
      <c r="I29" s="53" t="n">
        <v>8978</v>
      </c>
      <c r="J29" s="53" t="n">
        <v>9155</v>
      </c>
      <c r="K29" s="53" t="n">
        <v>9626</v>
      </c>
      <c r="L29" s="53" t="n">
        <v>8295</v>
      </c>
      <c r="M29" s="55"/>
      <c r="N29" s="53" t="n">
        <v>2053</v>
      </c>
      <c r="O29" s="53" t="n">
        <v>3094</v>
      </c>
      <c r="P29" s="53" t="n">
        <v>2945</v>
      </c>
      <c r="Q29" s="54" t="n">
        <f>IF(COUNT('Income Statement'!K29,'Income Statement'!P50)=2,'Income Statement'!K29-'Income Statement'!P50,"")</f>
        <v>1534</v>
      </c>
      <c r="R29" s="53" t="n">
        <v>1843</v>
      </c>
      <c r="S29" s="53" t="n">
        <v>1279</v>
      </c>
      <c r="T29" s="53" t="n">
        <v>2618</v>
      </c>
      <c r="U29" s="54" t="n">
        <f>IF(COUNT('Income Statement'!L29,'Income Statement'!T50)=2,'Income Statement'!L29-'Income Statement'!T50,"")</f>
        <v>2555</v>
      </c>
      <c r="V29" s="53" t="n">
        <v>2338</v>
      </c>
      <c r="W29" s="53" t="n">
        <v>3004</v>
      </c>
      <c r="X29" s="53" t="n">
        <v>3070</v>
      </c>
    </row>
    <row r="30" ht="22" customHeight="1">
      <c r="A30" s="4" t="str">
        <v>Less: Net income attributable to noncontrolling interests</v>
      </c>
      <c r="B30" s="2"/>
      <c r="C30" s="44" t="n">
        <v>50</v>
      </c>
      <c r="D30" s="44" t="n">
        <v>51</v>
      </c>
      <c r="E30" s="44" t="n">
        <v>44</v>
      </c>
      <c r="F30" s="44" t="n">
        <v>39</v>
      </c>
      <c r="G30" s="44" t="n">
        <v>55</v>
      </c>
      <c r="H30" s="44" t="n">
        <v>61</v>
      </c>
      <c r="I30" s="44" t="n">
        <v>68</v>
      </c>
      <c r="J30" s="44" t="n">
        <v>81</v>
      </c>
      <c r="K30" s="44" t="n">
        <v>48</v>
      </c>
      <c r="L30" s="44" t="n">
        <v>55</v>
      </c>
      <c r="M30" s="45"/>
      <c r="N30" s="44" t="n">
        <v>11</v>
      </c>
      <c r="O30" s="44" t="n">
        <v>11</v>
      </c>
      <c r="P30" s="44" t="n">
        <v>15</v>
      </c>
      <c r="Q30" s="43" t="n">
        <f>IF(COUNT('Income Statement'!K30,'Income Statement'!P51)=2,'Income Statement'!K30-'Income Statement'!P51,"")</f>
        <v>11</v>
      </c>
      <c r="R30" s="44" t="n">
        <v>9</v>
      </c>
      <c r="S30" s="44" t="n">
        <v>16</v>
      </c>
      <c r="T30" s="44" t="n">
        <v>15</v>
      </c>
      <c r="U30" s="43" t="n">
        <f>IF(COUNT('Income Statement'!L30,'Income Statement'!T51)=2,'Income Statement'!L30-'Income Statement'!T51,"")</f>
        <v>15</v>
      </c>
      <c r="V30" s="44" t="n">
        <v>11</v>
      </c>
      <c r="W30" s="44" t="n">
        <v>23</v>
      </c>
      <c r="X30" s="44" t="n">
        <v>22</v>
      </c>
    </row>
    <row r="31" ht="24" customHeight="1">
      <c r="A31" s="51" t="str">
        <v>Net Income Attributable to PepsiCo</v>
      </c>
      <c r="B31" s="52"/>
      <c r="C31" s="53" t="n">
        <v>6329</v>
      </c>
      <c r="D31" s="53" t="n">
        <v>4857</v>
      </c>
      <c r="E31" s="53" t="n">
        <v>12515</v>
      </c>
      <c r="F31" s="53" t="n">
        <v>7314</v>
      </c>
      <c r="G31" s="53" t="n">
        <v>7120</v>
      </c>
      <c r="H31" s="53" t="n">
        <v>7618</v>
      </c>
      <c r="I31" s="53" t="n">
        <v>8910</v>
      </c>
      <c r="J31" s="53" t="n">
        <v>9074</v>
      </c>
      <c r="K31" s="53" t="n">
        <v>9578</v>
      </c>
      <c r="L31" s="53" t="n">
        <v>8240</v>
      </c>
      <c r="M31" s="55"/>
      <c r="N31" s="53" t="n">
        <v>2042</v>
      </c>
      <c r="O31" s="53" t="n">
        <v>3083</v>
      </c>
      <c r="P31" s="53" t="n">
        <v>2930</v>
      </c>
      <c r="Q31" s="54" t="n">
        <f>IF(COUNT('Income Statement'!K31,'Income Statement'!P52)=2,'Income Statement'!K31-'Income Statement'!P52,"")</f>
        <v>1523</v>
      </c>
      <c r="R31" s="53" t="n">
        <v>1834</v>
      </c>
      <c r="S31" s="53" t="n">
        <v>1263</v>
      </c>
      <c r="T31" s="53" t="n">
        <v>2603</v>
      </c>
      <c r="U31" s="54" t="n">
        <f>IF(COUNT('Income Statement'!L31,'Income Statement'!T52)=2,'Income Statement'!L31-'Income Statement'!T52,"")</f>
        <v>2540</v>
      </c>
      <c r="V31" s="53" t="n">
        <v>2327</v>
      </c>
      <c r="W31" s="53" t="n">
        <v>2981</v>
      </c>
      <c r="X31" s="53" t="n">
        <v>3048</v>
      </c>
    </row>
    <row r="32" ht="20" customHeight="1">
      <c r="A32" s="56" t="str">
        <v>Net income attributable to PepsiCo YoY change</v>
      </c>
      <c r="B32" s="2"/>
      <c r="C32" s="72" t="n">
        <f>IF(COUNT('Income Statement'!C31,'Note Schedules'!C316)=2,IF('Note Schedules'!C316&gt;0,'Income Statement'!C31/'Note Schedules'!C316-1,"n.m."),"")</f>
        <v>0.16085840058694068</v>
      </c>
      <c r="D32" s="59" t="n">
        <f>IF(COUNT('Income Statement'!D31,'Income Statement'!C31)=2,IF('Income Statement'!C31&gt;0,'Income Statement'!D31/'Income Statement'!C31-1,"n.m."),"")</f>
        <v>-0.23258018644335599</v>
      </c>
      <c r="E32" s="59" t="n">
        <f>IF(COUNT('Income Statement'!E31,'Income Statement'!D31)=2,IF('Income Statement'!D31&gt;0,'Income Statement'!E31/'Income Statement'!D31-1,"n.m."),"")</f>
        <v>1.5766934321597694</v>
      </c>
      <c r="F32" s="59" t="n">
        <f>IF(COUNT('Income Statement'!F31,'Income Statement'!E31)=2,IF('Income Statement'!E31&gt;0,'Income Statement'!F31/'Income Statement'!E31-1,"n.m."),"")</f>
        <v>-0.4155813024370755</v>
      </c>
      <c r="G32" s="59" t="n">
        <f>IF(COUNT('Income Statement'!G31,'Income Statement'!F31)=2,IF('Income Statement'!F31&gt;0,'Income Statement'!G31/'Income Statement'!F31-1,"n.m."),"")</f>
        <v>-0.02652447361225052</v>
      </c>
      <c r="H32" s="59" t="n">
        <f>IF(COUNT('Income Statement'!H31,'Income Statement'!G31)=2,IF('Income Statement'!G31&gt;0,'Income Statement'!H31/'Income Statement'!G31-1,"n.m."),"")</f>
        <v>0.06994382022471912</v>
      </c>
      <c r="I32" s="59" t="n">
        <f>IF(COUNT('Income Statement'!I31,'Income Statement'!H31)=2,IF('Income Statement'!H31&gt;0,'Income Statement'!I31/'Income Statement'!H31-1,"n.m."),"")</f>
        <v>0.16959831976896833</v>
      </c>
      <c r="J32" s="59" t="n">
        <f>IF(COUNT('Income Statement'!J31,'Income Statement'!I31)=2,IF('Income Statement'!I31&gt;0,'Income Statement'!J31/'Income Statement'!I31-1,"n.m."),"")</f>
        <v>0.018406285072951833</v>
      </c>
      <c r="K32" s="59" t="n">
        <f>IF(COUNT('Income Statement'!K31,'Income Statement'!J31)=2,IF('Income Statement'!J31&gt;0,'Income Statement'!K31/'Income Statement'!J31-1,"n.m."),"")</f>
        <v>0.05554331055763728</v>
      </c>
      <c r="L32" s="59" t="n">
        <f>IF(COUNT('Income Statement'!L31,'Income Statement'!K31)=2,IF('Income Statement'!K31&gt;0,'Income Statement'!L31/'Income Statement'!K31-1,"n.m."),"")</f>
        <v>-0.13969513468365002</v>
      </c>
      <c r="M32" s="60"/>
      <c r="N32" s="72" t="n">
        <f>IF(COUNT('Income Statement'!N31,'Note Schedules'!N334)=2,IF('Note Schedules'!N334&gt;0,'Income Statement'!N31/'Note Schedules'!N334-1,"n.m."),"")</f>
        <v>0.05693581780538293</v>
      </c>
      <c r="O32" s="72" t="n">
        <f>IF(COUNT('Income Statement'!O31,'Note Schedules'!O334)=2,IF('Note Schedules'!O334&gt;0,'Income Statement'!O31/'Note Schedules'!O334-1,"n.m."),"")</f>
        <v>0.12190684133915575</v>
      </c>
      <c r="P32" s="72" t="n">
        <f>IF(COUNT('Income Statement'!P31,'Note Schedules'!P334)=2,IF('Note Schedules'!P334&gt;0,'Income Statement'!P31/'Note Schedules'!P334-1,"n.m."),"")</f>
        <v>-0.05239327296248386</v>
      </c>
      <c r="Q32" s="72" t="n">
        <f>IF(COUNT('Income Statement'!Q31,'Note Schedules'!Q334)=2,IF('Note Schedules'!Q334&gt;0,'Income Statement'!Q31/'Note Schedules'!Q334-1,"n.m."),"")</f>
        <v>0.1697388632872503</v>
      </c>
      <c r="R32" s="59" t="n">
        <f>IF(COUNT('Income Statement'!R31,'Income Statement'!N31)=2,IF('Income Statement'!N31&gt;0,'Income Statement'!R31/'Income Statement'!N31-1,"n.m."),"")</f>
        <v>-0.10186092066601371</v>
      </c>
      <c r="S32" s="59" t="n">
        <f>IF(COUNT('Income Statement'!S31,'Income Statement'!O31)=2,IF('Income Statement'!O31&gt;0,'Income Statement'!S31/'Income Statement'!O31-1,"n.m."),"")</f>
        <v>-0.5903340901719105</v>
      </c>
      <c r="T32" s="59" t="n">
        <f>IF(COUNT('Income Statement'!T31,'Income Statement'!P31)=2,IF('Income Statement'!P31&gt;0,'Income Statement'!T31/'Income Statement'!P31-1,"n.m."),"")</f>
        <v>-0.11160409556313988</v>
      </c>
      <c r="U32" s="59" t="n">
        <f>IF(COUNT('Income Statement'!U31,'Income Statement'!Q31)=2,IF('Income Statement'!Q31&gt;0,'Income Statement'!U31/'Income Statement'!Q31-1,"n.m."),"")</f>
        <v>0.6677609980302035</v>
      </c>
      <c r="V32" s="59" t="n">
        <f>IF(COUNT('Income Statement'!V31,'Income Statement'!R31)=2,IF('Income Statement'!R31&gt;0,'Income Statement'!V31/'Income Statement'!R31-1,"n.m."),"")</f>
        <v>0.2688113413304254</v>
      </c>
      <c r="W32" s="59" t="n">
        <f>IF(COUNT('Income Statement'!W31,'Income Statement'!S31)=2,IF('Income Statement'!S31&gt;0,'Income Statement'!W31/'Income Statement'!S31-1,"n.m."),"")</f>
        <v>1.3602533650039588</v>
      </c>
      <c r="X32" s="59" t="n">
        <f>IF(COUNT('Income Statement'!X31,'Income Statement'!T31)=2,IF('Income Statement'!T31&gt;0,'Income Statement'!X31/'Income Statement'!T31-1,"n.m."),"")</f>
        <v>0.17095658855167106</v>
      </c>
    </row>
    <row r="33" ht="36" customHeight="1">
      <c r="A33" s="4" t="str">
        <v>Net income attributable to PepsiCo per common share — Basic (USD)</v>
      </c>
      <c r="B33" s="2"/>
      <c r="C33" s="62" t="n">
        <v>4.39</v>
      </c>
      <c r="D33" s="62" t="n">
        <v>3.4</v>
      </c>
      <c r="E33" s="62" t="n">
        <v>8.84</v>
      </c>
      <c r="F33" s="62" t="n">
        <v>5.23</v>
      </c>
      <c r="G33" s="62" t="n">
        <v>5.14</v>
      </c>
      <c r="H33" s="62" t="n">
        <v>5.51</v>
      </c>
      <c r="I33" s="62" t="n">
        <v>6.45</v>
      </c>
      <c r="J33" s="62" t="n">
        <v>6.59</v>
      </c>
      <c r="K33" s="62" t="n">
        <v>6.97</v>
      </c>
      <c r="L33" s="62" t="n">
        <v>6.02</v>
      </c>
      <c r="M33" s="73"/>
      <c r="N33" s="62" t="n">
        <v>1.49</v>
      </c>
      <c r="O33" s="62" t="n">
        <v>2.24</v>
      </c>
      <c r="P33" s="62" t="n">
        <v>2.13</v>
      </c>
      <c r="Q33" s="62"/>
      <c r="R33" s="62" t="n">
        <v>1.34</v>
      </c>
      <c r="S33" s="62" t="n">
        <v>0.92</v>
      </c>
      <c r="T33" s="62" t="n">
        <v>1.9</v>
      </c>
      <c r="U33" s="62"/>
      <c r="V33" s="62" t="n">
        <v>1.7</v>
      </c>
      <c r="W33" s="62" t="n">
        <v>2.18</v>
      </c>
      <c r="X33" s="62" t="n">
        <v>2.23</v>
      </c>
    </row>
    <row r="34" ht="36" customHeight="1">
      <c r="A34" s="4" t="str">
        <v>Net income attributable to PepsiCo per common share — Diluted (USD)</v>
      </c>
      <c r="B34" s="2"/>
      <c r="C34" s="62" t="n">
        <v>4.36</v>
      </c>
      <c r="D34" s="62" t="n">
        <v>3.38</v>
      </c>
      <c r="E34" s="62" t="n">
        <v>8.78</v>
      </c>
      <c r="F34" s="62" t="n">
        <v>5.2</v>
      </c>
      <c r="G34" s="62" t="n">
        <v>5.12</v>
      </c>
      <c r="H34" s="62" t="n">
        <v>5.49</v>
      </c>
      <c r="I34" s="62" t="n">
        <v>6.42</v>
      </c>
      <c r="J34" s="62" t="n">
        <v>6.56</v>
      </c>
      <c r="K34" s="62" t="n">
        <v>6.95</v>
      </c>
      <c r="L34" s="62" t="n">
        <v>6</v>
      </c>
      <c r="M34" s="73"/>
      <c r="N34" s="62" t="n">
        <v>1.48</v>
      </c>
      <c r="O34" s="62" t="n">
        <v>2.23</v>
      </c>
      <c r="P34" s="62" t="n">
        <v>2.13</v>
      </c>
      <c r="Q34" s="62"/>
      <c r="R34" s="62" t="n">
        <v>1.33</v>
      </c>
      <c r="S34" s="62" t="n">
        <v>0.92</v>
      </c>
      <c r="T34" s="62" t="n">
        <v>1.9</v>
      </c>
      <c r="U34" s="62"/>
      <c r="V34" s="62" t="n">
        <v>1.7</v>
      </c>
      <c r="W34" s="62" t="n">
        <v>2.18</v>
      </c>
      <c r="X34" s="62" t="n">
        <v>2.23</v>
      </c>
    </row>
    <row r="35" ht="36" customHeight="1">
      <c r="A35" s="4" t="str">
        <v>Weighted-average common shares outstanding — Basic (millions)</v>
      </c>
      <c r="B35" s="2"/>
      <c r="C35" s="44" t="n">
        <v>1439</v>
      </c>
      <c r="D35" s="44" t="n">
        <v>1425</v>
      </c>
      <c r="E35" s="44" t="n">
        <v>1415</v>
      </c>
      <c r="F35" s="44" t="n">
        <v>1399</v>
      </c>
      <c r="G35" s="44" t="n">
        <v>1385</v>
      </c>
      <c r="H35" s="44" t="n">
        <v>1382</v>
      </c>
      <c r="I35" s="44" t="n">
        <v>1380</v>
      </c>
      <c r="J35" s="44" t="n">
        <v>1376</v>
      </c>
      <c r="K35" s="44" t="n">
        <v>1373</v>
      </c>
      <c r="L35" s="44" t="n">
        <v>1369</v>
      </c>
      <c r="M35" s="45"/>
      <c r="N35" s="44" t="n">
        <v>1375</v>
      </c>
      <c r="O35" s="44" t="n">
        <v>1375</v>
      </c>
      <c r="P35" s="44" t="n">
        <v>1373</v>
      </c>
      <c r="Q35" s="44"/>
      <c r="R35" s="44" t="n">
        <v>1372</v>
      </c>
      <c r="S35" s="44" t="n">
        <v>1371</v>
      </c>
      <c r="T35" s="44" t="n">
        <v>1369</v>
      </c>
      <c r="U35" s="44"/>
      <c r="V35" s="44" t="n">
        <v>1367</v>
      </c>
      <c r="W35" s="44" t="n">
        <v>1366</v>
      </c>
      <c r="X35" s="44" t="n">
        <v>1364</v>
      </c>
    </row>
    <row r="36" ht="36" customHeight="1">
      <c r="A36" s="4" t="str">
        <v>Weighted-average common shares outstanding — Diluted (millions)</v>
      </c>
      <c r="B36" s="2"/>
      <c r="C36" s="44" t="n">
        <v>1452</v>
      </c>
      <c r="D36" s="44" t="n">
        <v>1438</v>
      </c>
      <c r="E36" s="44" t="n">
        <v>1425</v>
      </c>
      <c r="F36" s="44" t="n">
        <v>1407</v>
      </c>
      <c r="G36" s="44" t="n">
        <v>1392</v>
      </c>
      <c r="H36" s="44" t="n">
        <v>1389</v>
      </c>
      <c r="I36" s="44" t="n">
        <v>1387</v>
      </c>
      <c r="J36" s="44" t="n">
        <v>1383</v>
      </c>
      <c r="K36" s="44" t="n">
        <v>1378</v>
      </c>
      <c r="L36" s="44" t="n">
        <v>1373</v>
      </c>
      <c r="M36" s="45"/>
      <c r="N36" s="44" t="n">
        <v>1380</v>
      </c>
      <c r="O36" s="44" t="n">
        <v>1379</v>
      </c>
      <c r="P36" s="44" t="n">
        <v>1378</v>
      </c>
      <c r="Q36" s="44"/>
      <c r="R36" s="44" t="n">
        <v>1376</v>
      </c>
      <c r="S36" s="44" t="n">
        <v>1373</v>
      </c>
      <c r="T36" s="44" t="n">
        <v>1372</v>
      </c>
      <c r="U36" s="44"/>
      <c r="V36" s="44" t="n">
        <v>1371</v>
      </c>
      <c r="W36" s="44" t="n">
        <v>1369</v>
      </c>
      <c r="X36" s="44" t="n">
        <v>1367</v>
      </c>
    </row>
    <row r="37" ht="22" customHeight="1">
      <c r="A37" s="4"/>
      <c r="B37" s="2"/>
      <c r="C37" s="3"/>
      <c r="D37" s="3"/>
      <c r="E37" s="3"/>
      <c r="F37" s="3"/>
      <c r="G37" s="3"/>
      <c r="H37" s="3"/>
      <c r="I37" s="3"/>
      <c r="J37" s="3"/>
      <c r="K37" s="3"/>
      <c r="L37" s="3"/>
      <c r="M37" s="3"/>
      <c r="N37" s="3"/>
      <c r="O37" s="3"/>
      <c r="P37" s="3"/>
      <c r="Q37" s="3"/>
      <c r="R37" s="3"/>
      <c r="S37" s="3"/>
      <c r="T37" s="3"/>
      <c r="U37" s="3"/>
      <c r="V37" s="3"/>
      <c r="W37" s="3"/>
      <c r="X37" s="3"/>
    </row>
    <row r="38" ht="22" customHeight="1">
      <c r="A38" s="29" t="str">
        <v>Year-to-date results</v>
      </c>
      <c r="B38" s="29"/>
      <c r="C38" s="32"/>
      <c r="D38" s="32"/>
      <c r="E38" s="32"/>
      <c r="F38" s="32"/>
      <c r="G38" s="32"/>
      <c r="H38" s="32"/>
      <c r="I38" s="32"/>
      <c r="J38" s="32"/>
      <c r="K38" s="32"/>
      <c r="L38" s="32"/>
      <c r="M38" s="32"/>
      <c r="N38" s="32"/>
      <c r="O38" s="32"/>
      <c r="P38" s="32"/>
      <c r="Q38" s="32"/>
      <c r="R38" s="32"/>
      <c r="S38" s="32"/>
      <c r="T38" s="32"/>
      <c r="U38" s="32"/>
      <c r="V38" s="32"/>
      <c r="W38" s="32"/>
      <c r="X38" s="32"/>
    </row>
    <row r="39" ht="18" customHeight="1">
      <c r="A39" s="33" t="str">
        <v>YTD EPS and weighted-average shares are reported figures; subtraction does not produce discrete-quarter amounts.</v>
      </c>
      <c r="B39" s="33"/>
      <c r="C39" s="35"/>
      <c r="D39" s="35"/>
      <c r="E39" s="35"/>
      <c r="F39" s="35"/>
      <c r="G39" s="35"/>
      <c r="H39" s="35"/>
      <c r="I39" s="35"/>
      <c r="J39" s="35"/>
      <c r="K39" s="35"/>
      <c r="L39" s="35"/>
      <c r="M39" s="35"/>
      <c r="N39" s="35"/>
      <c r="O39" s="35"/>
      <c r="P39" s="35"/>
      <c r="Q39" s="35"/>
      <c r="R39" s="35"/>
      <c r="S39" s="35"/>
      <c r="T39" s="35"/>
      <c r="U39" s="35"/>
      <c r="V39" s="35"/>
      <c r="W39" s="35"/>
      <c r="X39" s="35"/>
    </row>
    <row r="40" ht="24" customHeight="1">
      <c r="A40" s="51" t="str">
        <v>Net Revenue</v>
      </c>
      <c r="B40" s="52"/>
      <c r="C40" s="53"/>
      <c r="D40" s="53"/>
      <c r="E40" s="53"/>
      <c r="F40" s="53"/>
      <c r="G40" s="53"/>
      <c r="H40" s="53"/>
      <c r="I40" s="53"/>
      <c r="J40" s="53"/>
      <c r="K40" s="53"/>
      <c r="L40" s="53"/>
      <c r="M40" s="55"/>
      <c r="N40" s="54" t="n">
        <f>IF(COUNT('Income Statement'!N13)=1,'Income Statement'!N13,"")</f>
        <v>18250</v>
      </c>
      <c r="O40" s="53" t="n">
        <v>40751</v>
      </c>
      <c r="P40" s="53" t="n">
        <v>64070</v>
      </c>
      <c r="Q40" s="54" t="n">
        <f>IF(COUNT('Income Statement'!K13)=1,'Income Statement'!K13,"")</f>
        <v>91854</v>
      </c>
      <c r="R40" s="54" t="n">
        <f>IF(COUNT('Income Statement'!R13)=1,'Income Statement'!R13,"")</f>
        <v>17919</v>
      </c>
      <c r="S40" s="53" t="n">
        <v>40645</v>
      </c>
      <c r="T40" s="53" t="n">
        <v>64582</v>
      </c>
      <c r="U40" s="54" t="n">
        <f>IF(COUNT('Income Statement'!L13)=1,'Income Statement'!L13,"")</f>
        <v>93925</v>
      </c>
      <c r="V40" s="54" t="n">
        <f>IF(COUNT('Income Statement'!V13)=1,'Income Statement'!V13,"")</f>
        <v>19443</v>
      </c>
      <c r="W40" s="53" t="n">
        <v>43624</v>
      </c>
      <c r="X40" s="53" t="n">
        <v>68898</v>
      </c>
    </row>
    <row r="41" ht="22" customHeight="1">
      <c r="A41" s="4" t="str">
        <v>Cost of sales</v>
      </c>
      <c r="B41" s="2"/>
      <c r="C41" s="44"/>
      <c r="D41" s="44"/>
      <c r="E41" s="44"/>
      <c r="F41" s="44"/>
      <c r="G41" s="44"/>
      <c r="H41" s="44"/>
      <c r="I41" s="44"/>
      <c r="J41" s="44"/>
      <c r="K41" s="44"/>
      <c r="L41" s="44"/>
      <c r="M41" s="45"/>
      <c r="N41" s="43" t="n">
        <f>IF(COUNT('Income Statement'!N15)=1,'Income Statement'!N15,"")</f>
        <v>8248</v>
      </c>
      <c r="O41" s="44" t="n">
        <v>18167</v>
      </c>
      <c r="P41" s="44" t="n">
        <v>28563</v>
      </c>
      <c r="Q41" s="43" t="n">
        <f>IF(COUNT('Income Statement'!K15)=1,'Income Statement'!K15,"")</f>
        <v>41744</v>
      </c>
      <c r="R41" s="43" t="n">
        <f>IF(COUNT('Income Statement'!R15)=1,'Income Statement'!R15,"")</f>
        <v>7926</v>
      </c>
      <c r="S41" s="44" t="n">
        <v>18230</v>
      </c>
      <c r="T41" s="44" t="n">
        <v>29343</v>
      </c>
      <c r="U41" s="43" t="n">
        <f>IF(COUNT('Income Statement'!L15)=1,'Income Statement'!L15,"")</f>
        <v>43066</v>
      </c>
      <c r="V41" s="43" t="n">
        <f>IF(COUNT('Income Statement'!V15)=1,'Income Statement'!V15,"")</f>
        <v>8712</v>
      </c>
      <c r="W41" s="44" t="n">
        <v>19782</v>
      </c>
      <c r="X41" s="44" t="n">
        <v>31302</v>
      </c>
    </row>
    <row r="42" ht="24" customHeight="1">
      <c r="A42" s="51" t="str">
        <v>Gross profit</v>
      </c>
      <c r="B42" s="52"/>
      <c r="C42" s="53"/>
      <c r="D42" s="53"/>
      <c r="E42" s="53"/>
      <c r="F42" s="53"/>
      <c r="G42" s="53"/>
      <c r="H42" s="53"/>
      <c r="I42" s="53"/>
      <c r="J42" s="53"/>
      <c r="K42" s="53"/>
      <c r="L42" s="53"/>
      <c r="M42" s="55"/>
      <c r="N42" s="54" t="n">
        <f>IF(COUNT('Income Statement'!N16)=1,'Income Statement'!N16,"")</f>
        <v>10002</v>
      </c>
      <c r="O42" s="53" t="n">
        <v>22584</v>
      </c>
      <c r="P42" s="53" t="n">
        <v>35507</v>
      </c>
      <c r="Q42" s="54" t="n">
        <f>IF(COUNT('Income Statement'!K16)=1,'Income Statement'!K16,"")</f>
        <v>50110</v>
      </c>
      <c r="R42" s="54" t="n">
        <f>IF(COUNT('Income Statement'!R16)=1,'Income Statement'!R16,"")</f>
        <v>9993</v>
      </c>
      <c r="S42" s="53" t="n">
        <v>22415</v>
      </c>
      <c r="T42" s="53" t="n">
        <v>35239</v>
      </c>
      <c r="U42" s="54" t="n">
        <f>IF(COUNT('Income Statement'!L16)=1,'Income Statement'!L16,"")</f>
        <v>50859</v>
      </c>
      <c r="V42" s="54" t="n">
        <f>IF(COUNT('Income Statement'!V16)=1,'Income Statement'!V16,"")</f>
        <v>10731</v>
      </c>
      <c r="W42" s="53" t="n">
        <v>23842</v>
      </c>
      <c r="X42" s="53" t="n">
        <v>37596</v>
      </c>
    </row>
    <row r="43" ht="22" customHeight="1">
      <c r="A43" s="4" t="str">
        <v>Selling, general and administrative expenses</v>
      </c>
      <c r="B43" s="2"/>
      <c r="C43" s="44"/>
      <c r="D43" s="44"/>
      <c r="E43" s="44"/>
      <c r="F43" s="44"/>
      <c r="G43" s="44"/>
      <c r="H43" s="44"/>
      <c r="I43" s="44"/>
      <c r="J43" s="44"/>
      <c r="K43" s="44"/>
      <c r="L43" s="44"/>
      <c r="M43" s="45"/>
      <c r="N43" s="43" t="n">
        <f>IF(COUNT('Income Statement'!N18)=1,'Income Statement'!N18,"")</f>
        <v>7285</v>
      </c>
      <c r="O43" s="44" t="n">
        <v>15819</v>
      </c>
      <c r="P43" s="44" t="n">
        <v>24846</v>
      </c>
      <c r="Q43" s="43" t="n">
        <f>IF(COUNT('Income Statement'!K18)=1,'Income Statement'!K18,"")</f>
        <v>37190</v>
      </c>
      <c r="R43" s="43" t="n">
        <f>IF(COUNT('Income Statement'!R18)=1,'Income Statement'!R18,"")</f>
        <v>7410</v>
      </c>
      <c r="S43" s="44" t="n">
        <v>16183</v>
      </c>
      <c r="T43" s="44" t="n">
        <v>25305</v>
      </c>
      <c r="U43" s="43" t="n">
        <f>IF(COUNT('Income Statement'!L18)=1,'Income Statement'!L18,"")</f>
        <v>37368</v>
      </c>
      <c r="V43" s="43" t="n">
        <f>IF(COUNT('Income Statement'!V18)=1,'Income Statement'!V18,"")</f>
        <v>7518</v>
      </c>
      <c r="W43" s="44" t="n">
        <v>16606</v>
      </c>
      <c r="X43" s="44" t="n">
        <v>26100</v>
      </c>
    </row>
    <row r="44" ht="22" customHeight="1">
      <c r="A44" s="4" t="str">
        <v>Impairment of intangible assets (separately presented)</v>
      </c>
      <c r="B44" s="2"/>
      <c r="C44" s="44"/>
      <c r="D44" s="44"/>
      <c r="E44" s="44"/>
      <c r="F44" s="44"/>
      <c r="G44" s="44"/>
      <c r="H44" s="44"/>
      <c r="I44" s="44"/>
      <c r="J44" s="44"/>
      <c r="K44" s="44"/>
      <c r="L44" s="44"/>
      <c r="M44" s="45"/>
      <c r="N44" s="43" t="str">
        <f>IF(COUNT('Income Statement'!N19)=1,'Income Statement'!N19,"")</f>
      </c>
      <c r="O44" s="44" t="n">
        <v>0</v>
      </c>
      <c r="P44" s="44" t="n">
        <v>24</v>
      </c>
      <c r="Q44" s="43" t="n">
        <f>IF(COUNT('Income Statement'!K19)=1,'Income Statement'!K19,"")</f>
        <v>33</v>
      </c>
      <c r="R44" s="43" t="str">
        <f>IF(COUNT('Income Statement'!R19)=1,'Income Statement'!R19,"")</f>
      </c>
      <c r="S44" s="44" t="n">
        <v>1860</v>
      </c>
      <c r="T44" s="44" t="n">
        <v>1993</v>
      </c>
      <c r="U44" s="43" t="n">
        <f>IF(COUNT('Income Statement'!L19)=1,'Income Statement'!L19,"")</f>
        <v>1993</v>
      </c>
      <c r="V44" s="43" t="str">
        <f>IF(COUNT('Income Statement'!V19)=1,'Income Statement'!V19,"")</f>
      </c>
      <c r="W44" s="44" t="n">
        <v>0</v>
      </c>
      <c r="X44" s="44" t="n">
        <v>0</v>
      </c>
    </row>
    <row r="45" ht="24" customHeight="1">
      <c r="A45" s="51" t="str">
        <v>Operating Profit</v>
      </c>
      <c r="B45" s="52"/>
      <c r="C45" s="53"/>
      <c r="D45" s="53"/>
      <c r="E45" s="53"/>
      <c r="F45" s="53"/>
      <c r="G45" s="53"/>
      <c r="H45" s="53"/>
      <c r="I45" s="53"/>
      <c r="J45" s="53"/>
      <c r="K45" s="53"/>
      <c r="L45" s="53"/>
      <c r="M45" s="55"/>
      <c r="N45" s="54" t="n">
        <f>IF(COUNT('Income Statement'!N21)=1,'Income Statement'!N21,"")</f>
        <v>2717</v>
      </c>
      <c r="O45" s="53" t="n">
        <v>6765</v>
      </c>
      <c r="P45" s="53" t="n">
        <v>10637</v>
      </c>
      <c r="Q45" s="54" t="n">
        <f>IF(COUNT('Income Statement'!K21)=1,'Income Statement'!K21,"")</f>
        <v>12887</v>
      </c>
      <c r="R45" s="54" t="n">
        <f>IF(COUNT('Income Statement'!R21)=1,'Income Statement'!R21,"")</f>
        <v>2583</v>
      </c>
      <c r="S45" s="53" t="n">
        <v>4372</v>
      </c>
      <c r="T45" s="53" t="n">
        <v>7941</v>
      </c>
      <c r="U45" s="54" t="n">
        <f>IF(COUNT('Income Statement'!L21)=1,'Income Statement'!L21,"")</f>
        <v>11498</v>
      </c>
      <c r="V45" s="54" t="n">
        <f>IF(COUNT('Income Statement'!V21)=1,'Income Statement'!V21,"")</f>
        <v>3213</v>
      </c>
      <c r="W45" s="53" t="n">
        <v>7236</v>
      </c>
      <c r="X45" s="53" t="n">
        <v>11496</v>
      </c>
    </row>
    <row r="46" ht="36" customHeight="1">
      <c r="A46" s="4" t="str">
        <v>Other pension and retiree medical benefits income/(expense)</v>
      </c>
      <c r="B46" s="2"/>
      <c r="C46" s="44"/>
      <c r="D46" s="44"/>
      <c r="E46" s="44"/>
      <c r="F46" s="44"/>
      <c r="G46" s="44"/>
      <c r="H46" s="44"/>
      <c r="I46" s="44"/>
      <c r="J46" s="44"/>
      <c r="K46" s="44"/>
      <c r="L46" s="44"/>
      <c r="M46" s="45"/>
      <c r="N46" s="43" t="n">
        <f>IF(COUNT('Income Statement'!N23)=1,'Income Statement'!N23,"")</f>
        <v>58</v>
      </c>
      <c r="O46" s="44" t="n">
        <v>114</v>
      </c>
      <c r="P46" s="44" t="n">
        <v>155</v>
      </c>
      <c r="Q46" s="43" t="n">
        <f>IF(COUNT('Income Statement'!K23)=1,'Income Statement'!K23,"")</f>
        <v>-22</v>
      </c>
      <c r="R46" s="43" t="n">
        <f>IF(COUNT('Income Statement'!R23)=1,'Income Statement'!R23,"")</f>
        <v>23</v>
      </c>
      <c r="S46" s="44" t="n">
        <v>65</v>
      </c>
      <c r="T46" s="44" t="n">
        <v>91</v>
      </c>
      <c r="U46" s="43" t="n">
        <f>IF(COUNT('Income Statement'!L23)=1,'Income Statement'!L23,"")</f>
        <v>-133</v>
      </c>
      <c r="V46" s="43" t="n">
        <f>IF(COUNT('Income Statement'!V23)=1,'Income Statement'!V23,"")</f>
        <v>58</v>
      </c>
      <c r="W46" s="44" t="n">
        <v>117</v>
      </c>
      <c r="X46" s="44" t="n">
        <v>3</v>
      </c>
    </row>
    <row r="47" ht="22" customHeight="1">
      <c r="A47" s="4" t="str">
        <v>Net interest expense and other (as reported)</v>
      </c>
      <c r="B47" s="2"/>
      <c r="C47" s="44"/>
      <c r="D47" s="44"/>
      <c r="E47" s="44"/>
      <c r="F47" s="44"/>
      <c r="G47" s="44"/>
      <c r="H47" s="44"/>
      <c r="I47" s="44"/>
      <c r="J47" s="44"/>
      <c r="K47" s="44"/>
      <c r="L47" s="44"/>
      <c r="M47" s="45"/>
      <c r="N47" s="43" t="n">
        <f>IF(COUNT('Income Statement'!N26)=1,'Income Statement'!N26,"")</f>
        <v>-202</v>
      </c>
      <c r="O47" s="44" t="n">
        <v>-436</v>
      </c>
      <c r="P47" s="44" t="n">
        <v>-655</v>
      </c>
      <c r="Q47" s="43" t="n">
        <f>IF(COUNT('Income Statement'!K26)=1,'Income Statement'!K26,"")</f>
        <v>-919</v>
      </c>
      <c r="R47" s="43" t="n">
        <f>IF(COUNT('Income Statement'!R26)=1,'Income Statement'!R26,"")</f>
        <v>-264</v>
      </c>
      <c r="S47" s="44" t="n">
        <v>-524</v>
      </c>
      <c r="T47" s="44" t="n">
        <v>-788</v>
      </c>
      <c r="U47" s="43" t="n">
        <f>IF(COUNT('Income Statement'!L26)=1,'Income Statement'!L26,"")</f>
        <v>-1121</v>
      </c>
      <c r="V47" s="43" t="n">
        <f>IF(COUNT('Income Statement'!V26)=1,'Income Statement'!V26,"")</f>
        <v>-301</v>
      </c>
      <c r="W47" s="44" t="n">
        <v>-531</v>
      </c>
      <c r="X47" s="44" t="n">
        <v>-773</v>
      </c>
    </row>
    <row r="48" ht="24" customHeight="1">
      <c r="A48" s="51" t="str">
        <v>Income before income taxes</v>
      </c>
      <c r="B48" s="52"/>
      <c r="C48" s="53"/>
      <c r="D48" s="53"/>
      <c r="E48" s="53"/>
      <c r="F48" s="53"/>
      <c r="G48" s="53"/>
      <c r="H48" s="53"/>
      <c r="I48" s="53"/>
      <c r="J48" s="53"/>
      <c r="K48" s="53"/>
      <c r="L48" s="53"/>
      <c r="M48" s="55"/>
      <c r="N48" s="54" t="n">
        <f>IF(COUNT('Income Statement'!N27)=1,'Income Statement'!N27,"")</f>
        <v>2573</v>
      </c>
      <c r="O48" s="53" t="n">
        <v>6443</v>
      </c>
      <c r="P48" s="53" t="n">
        <v>10137</v>
      </c>
      <c r="Q48" s="54" t="n">
        <f>IF(COUNT('Income Statement'!K27)=1,'Income Statement'!K27,"")</f>
        <v>11946</v>
      </c>
      <c r="R48" s="54" t="n">
        <f>IF(COUNT('Income Statement'!R27)=1,'Income Statement'!R27,"")</f>
        <v>2342</v>
      </c>
      <c r="S48" s="53" t="n">
        <v>3913</v>
      </c>
      <c r="T48" s="53" t="n">
        <v>7244</v>
      </c>
      <c r="U48" s="54" t="n">
        <f>IF(COUNT('Income Statement'!L27)=1,'Income Statement'!L27,"")</f>
        <v>10244</v>
      </c>
      <c r="V48" s="54" t="n">
        <f>IF(COUNT('Income Statement'!V27)=1,'Income Statement'!V27,"")</f>
        <v>2970</v>
      </c>
      <c r="W48" s="53" t="n">
        <v>6822</v>
      </c>
      <c r="X48" s="53" t="n">
        <v>10726</v>
      </c>
    </row>
    <row r="49" ht="22" customHeight="1">
      <c r="A49" s="4" t="str">
        <v>Provision for/(benefit from) income taxes</v>
      </c>
      <c r="B49" s="2"/>
      <c r="C49" s="44"/>
      <c r="D49" s="44"/>
      <c r="E49" s="44"/>
      <c r="F49" s="44"/>
      <c r="G49" s="44"/>
      <c r="H49" s="44"/>
      <c r="I49" s="44"/>
      <c r="J49" s="44"/>
      <c r="K49" s="44"/>
      <c r="L49" s="44"/>
      <c r="M49" s="45"/>
      <c r="N49" s="43" t="n">
        <f>IF(COUNT('Income Statement'!N28)=1,'Income Statement'!N28,"")</f>
        <v>520</v>
      </c>
      <c r="O49" s="44" t="n">
        <v>1296</v>
      </c>
      <c r="P49" s="44" t="n">
        <v>2045</v>
      </c>
      <c r="Q49" s="43" t="n">
        <f>IF(COUNT('Income Statement'!K28)=1,'Income Statement'!K28,"")</f>
        <v>2320</v>
      </c>
      <c r="R49" s="43" t="n">
        <f>IF(COUNT('Income Statement'!R28)=1,'Income Statement'!R28,"")</f>
        <v>499</v>
      </c>
      <c r="S49" s="44" t="n">
        <v>791</v>
      </c>
      <c r="T49" s="44" t="n">
        <v>1504</v>
      </c>
      <c r="U49" s="43" t="n">
        <f>IF(COUNT('Income Statement'!L28)=1,'Income Statement'!L28,"")</f>
        <v>1949</v>
      </c>
      <c r="V49" s="43" t="n">
        <f>IF(COUNT('Income Statement'!V28)=1,'Income Statement'!V28,"")</f>
        <v>632</v>
      </c>
      <c r="W49" s="44" t="n">
        <v>1480</v>
      </c>
      <c r="X49" s="44" t="n">
        <v>2314</v>
      </c>
    </row>
    <row r="50" ht="24" customHeight="1">
      <c r="A50" s="51" t="str">
        <v>Net income</v>
      </c>
      <c r="B50" s="52"/>
      <c r="C50" s="53"/>
      <c r="D50" s="53"/>
      <c r="E50" s="53"/>
      <c r="F50" s="53"/>
      <c r="G50" s="53"/>
      <c r="H50" s="53"/>
      <c r="I50" s="53"/>
      <c r="J50" s="53"/>
      <c r="K50" s="53"/>
      <c r="L50" s="53"/>
      <c r="M50" s="55"/>
      <c r="N50" s="54" t="n">
        <f>IF(COUNT('Income Statement'!N29)=1,'Income Statement'!N29,"")</f>
        <v>2053</v>
      </c>
      <c r="O50" s="53" t="n">
        <v>5147</v>
      </c>
      <c r="P50" s="53" t="n">
        <v>8092</v>
      </c>
      <c r="Q50" s="54" t="n">
        <f>IF(COUNT('Income Statement'!K29)=1,'Income Statement'!K29,"")</f>
        <v>9626</v>
      </c>
      <c r="R50" s="54" t="n">
        <f>IF(COUNT('Income Statement'!R29)=1,'Income Statement'!R29,"")</f>
        <v>1843</v>
      </c>
      <c r="S50" s="53" t="n">
        <v>3122</v>
      </c>
      <c r="T50" s="53" t="n">
        <v>5740</v>
      </c>
      <c r="U50" s="54" t="n">
        <f>IF(COUNT('Income Statement'!L29)=1,'Income Statement'!L29,"")</f>
        <v>8295</v>
      </c>
      <c r="V50" s="54" t="n">
        <f>IF(COUNT('Income Statement'!V29)=1,'Income Statement'!V29,"")</f>
        <v>2338</v>
      </c>
      <c r="W50" s="53" t="n">
        <v>5342</v>
      </c>
      <c r="X50" s="53" t="n">
        <v>8412</v>
      </c>
    </row>
    <row r="51" ht="22" customHeight="1">
      <c r="A51" s="4" t="str">
        <v>Less: Net income attributable to noncontrolling interests</v>
      </c>
      <c r="B51" s="2"/>
      <c r="C51" s="44"/>
      <c r="D51" s="44"/>
      <c r="E51" s="44"/>
      <c r="F51" s="44"/>
      <c r="G51" s="44"/>
      <c r="H51" s="44"/>
      <c r="I51" s="44"/>
      <c r="J51" s="44"/>
      <c r="K51" s="44"/>
      <c r="L51" s="44"/>
      <c r="M51" s="45"/>
      <c r="N51" s="43" t="n">
        <f>IF(COUNT('Income Statement'!N30)=1,'Income Statement'!N30,"")</f>
        <v>11</v>
      </c>
      <c r="O51" s="44" t="n">
        <v>22</v>
      </c>
      <c r="P51" s="44" t="n">
        <v>37</v>
      </c>
      <c r="Q51" s="43" t="n">
        <f>IF(COUNT('Income Statement'!K30)=1,'Income Statement'!K30,"")</f>
        <v>48</v>
      </c>
      <c r="R51" s="43" t="n">
        <f>IF(COUNT('Income Statement'!R30)=1,'Income Statement'!R30,"")</f>
        <v>9</v>
      </c>
      <c r="S51" s="44" t="n">
        <v>25</v>
      </c>
      <c r="T51" s="44" t="n">
        <v>40</v>
      </c>
      <c r="U51" s="43" t="n">
        <f>IF(COUNT('Income Statement'!L30)=1,'Income Statement'!L30,"")</f>
        <v>55</v>
      </c>
      <c r="V51" s="43" t="n">
        <f>IF(COUNT('Income Statement'!V30)=1,'Income Statement'!V30,"")</f>
        <v>11</v>
      </c>
      <c r="W51" s="44" t="n">
        <v>34</v>
      </c>
      <c r="X51" s="44" t="n">
        <v>56</v>
      </c>
    </row>
    <row r="52" ht="24" customHeight="1">
      <c r="A52" s="51" t="str">
        <v>Net Income Attributable to PepsiCo</v>
      </c>
      <c r="B52" s="52"/>
      <c r="C52" s="53"/>
      <c r="D52" s="53"/>
      <c r="E52" s="53"/>
      <c r="F52" s="53"/>
      <c r="G52" s="53"/>
      <c r="H52" s="53"/>
      <c r="I52" s="53"/>
      <c r="J52" s="53"/>
      <c r="K52" s="53"/>
      <c r="L52" s="53"/>
      <c r="M52" s="55"/>
      <c r="N52" s="54" t="n">
        <f>IF(COUNT('Income Statement'!N31)=1,'Income Statement'!N31,"")</f>
        <v>2042</v>
      </c>
      <c r="O52" s="53" t="n">
        <v>5125</v>
      </c>
      <c r="P52" s="53" t="n">
        <v>8055</v>
      </c>
      <c r="Q52" s="54" t="n">
        <f>IF(COUNT('Income Statement'!K31)=1,'Income Statement'!K31,"")</f>
        <v>9578</v>
      </c>
      <c r="R52" s="54" t="n">
        <f>IF(COUNT('Income Statement'!R31)=1,'Income Statement'!R31,"")</f>
        <v>1834</v>
      </c>
      <c r="S52" s="53" t="n">
        <v>3097</v>
      </c>
      <c r="T52" s="53" t="n">
        <v>5700</v>
      </c>
      <c r="U52" s="54" t="n">
        <f>IF(COUNT('Income Statement'!L31)=1,'Income Statement'!L31,"")</f>
        <v>8240</v>
      </c>
      <c r="V52" s="54" t="n">
        <f>IF(COUNT('Income Statement'!V31)=1,'Income Statement'!V31,"")</f>
        <v>2327</v>
      </c>
      <c r="W52" s="53" t="n">
        <v>5308</v>
      </c>
      <c r="X52" s="53" t="n">
        <v>8356</v>
      </c>
    </row>
    <row r="53" ht="36" customHeight="1">
      <c r="A53" s="4" t="str">
        <v>Net income attributable to PepsiCo per common share — Basic (USD)</v>
      </c>
      <c r="B53" s="2"/>
      <c r="C53" s="62"/>
      <c r="D53" s="62"/>
      <c r="E53" s="62"/>
      <c r="F53" s="62"/>
      <c r="G53" s="62"/>
      <c r="H53" s="62"/>
      <c r="I53" s="62"/>
      <c r="J53" s="62"/>
      <c r="K53" s="62"/>
      <c r="L53" s="62"/>
      <c r="M53" s="73"/>
      <c r="N53" s="61" t="n">
        <f>IF(COUNT('Income Statement'!N33)=1,'Income Statement'!N33,"")</f>
        <v>1.49</v>
      </c>
      <c r="O53" s="62" t="n">
        <v>3.73</v>
      </c>
      <c r="P53" s="62" t="n">
        <v>5.86</v>
      </c>
      <c r="Q53" s="61" t="n">
        <f>IF(COUNT('Income Statement'!K33)=1,'Income Statement'!K33,"")</f>
        <v>6.97</v>
      </c>
      <c r="R53" s="61" t="n">
        <f>IF(COUNT('Income Statement'!R33)=1,'Income Statement'!R33,"")</f>
        <v>1.34</v>
      </c>
      <c r="S53" s="62" t="n">
        <v>2.26</v>
      </c>
      <c r="T53" s="62" t="n">
        <v>4.16</v>
      </c>
      <c r="U53" s="61" t="n">
        <f>IF(COUNT('Income Statement'!L33)=1,'Income Statement'!L33,"")</f>
        <v>6.02</v>
      </c>
      <c r="V53" s="61" t="n">
        <f>IF(COUNT('Income Statement'!V33)=1,'Income Statement'!V33,"")</f>
        <v>1.7</v>
      </c>
      <c r="W53" s="62" t="n">
        <v>3.88</v>
      </c>
      <c r="X53" s="62" t="n">
        <v>6.12</v>
      </c>
    </row>
    <row r="54" ht="36" customHeight="1">
      <c r="A54" s="4" t="str">
        <v>Net income attributable to PepsiCo per common share — Diluted (USD)</v>
      </c>
      <c r="B54" s="2"/>
      <c r="C54" s="62"/>
      <c r="D54" s="62"/>
      <c r="E54" s="62"/>
      <c r="F54" s="62"/>
      <c r="G54" s="62"/>
      <c r="H54" s="62"/>
      <c r="I54" s="62"/>
      <c r="J54" s="62"/>
      <c r="K54" s="62"/>
      <c r="L54" s="62"/>
      <c r="M54" s="73"/>
      <c r="N54" s="61" t="n">
        <f>IF(COUNT('Income Statement'!N34)=1,'Income Statement'!N34,"")</f>
        <v>1.48</v>
      </c>
      <c r="O54" s="62" t="n">
        <v>3.71</v>
      </c>
      <c r="P54" s="62" t="n">
        <v>5.84</v>
      </c>
      <c r="Q54" s="61" t="n">
        <f>IF(COUNT('Income Statement'!K34)=1,'Income Statement'!K34,"")</f>
        <v>6.95</v>
      </c>
      <c r="R54" s="61" t="n">
        <f>IF(COUNT('Income Statement'!R34)=1,'Income Statement'!R34,"")</f>
        <v>1.33</v>
      </c>
      <c r="S54" s="62" t="n">
        <v>2.25</v>
      </c>
      <c r="T54" s="62" t="n">
        <v>4.15</v>
      </c>
      <c r="U54" s="61" t="n">
        <f>IF(COUNT('Income Statement'!L34)=1,'Income Statement'!L34,"")</f>
        <v>6</v>
      </c>
      <c r="V54" s="61" t="n">
        <f>IF(COUNT('Income Statement'!V34)=1,'Income Statement'!V34,"")</f>
        <v>1.7</v>
      </c>
      <c r="W54" s="62" t="n">
        <v>3.88</v>
      </c>
      <c r="X54" s="62" t="n">
        <v>6.1</v>
      </c>
    </row>
    <row r="55" ht="36" customHeight="1">
      <c r="A55" s="4" t="str">
        <v>Weighted-average common shares outstanding — Basic (millions)</v>
      </c>
      <c r="B55" s="2"/>
      <c r="C55" s="44"/>
      <c r="D55" s="44"/>
      <c r="E55" s="44"/>
      <c r="F55" s="44"/>
      <c r="G55" s="44"/>
      <c r="H55" s="44"/>
      <c r="I55" s="44"/>
      <c r="J55" s="44"/>
      <c r="K55" s="44"/>
      <c r="L55" s="44"/>
      <c r="M55" s="45"/>
      <c r="N55" s="43" t="n">
        <f>IF(COUNT('Income Statement'!N35)=1,'Income Statement'!N35,"")</f>
        <v>1375</v>
      </c>
      <c r="O55" s="44" t="n">
        <v>1375</v>
      </c>
      <c r="P55" s="44" t="n">
        <v>1374</v>
      </c>
      <c r="Q55" s="43" t="n">
        <f>IF(COUNT('Income Statement'!K35)=1,'Income Statement'!K35,"")</f>
        <v>1373</v>
      </c>
      <c r="R55" s="43" t="n">
        <f>IF(COUNT('Income Statement'!R35)=1,'Income Statement'!R35,"")</f>
        <v>1372</v>
      </c>
      <c r="S55" s="44" t="n">
        <v>1371</v>
      </c>
      <c r="T55" s="44" t="n">
        <v>1370</v>
      </c>
      <c r="U55" s="43" t="n">
        <f>IF(COUNT('Income Statement'!L35)=1,'Income Statement'!L35,"")</f>
        <v>1369</v>
      </c>
      <c r="V55" s="43" t="n">
        <f>IF(COUNT('Income Statement'!V35)=1,'Income Statement'!V35,"")</f>
        <v>1367</v>
      </c>
      <c r="W55" s="44" t="n">
        <v>1367</v>
      </c>
      <c r="X55" s="44" t="n">
        <v>1366</v>
      </c>
    </row>
    <row r="56" ht="36" customHeight="1">
      <c r="A56" s="4" t="str">
        <v>Weighted-average common shares outstanding — Diluted (millions)</v>
      </c>
      <c r="B56" s="2"/>
      <c r="C56" s="44"/>
      <c r="D56" s="44"/>
      <c r="E56" s="44"/>
      <c r="F56" s="44"/>
      <c r="G56" s="44"/>
      <c r="H56" s="44"/>
      <c r="I56" s="44"/>
      <c r="J56" s="44"/>
      <c r="K56" s="44"/>
      <c r="L56" s="44"/>
      <c r="M56" s="45"/>
      <c r="N56" s="43" t="n">
        <f>IF(COUNT('Income Statement'!N36)=1,'Income Statement'!N36,"")</f>
        <v>1380</v>
      </c>
      <c r="O56" s="44" t="n">
        <v>1380</v>
      </c>
      <c r="P56" s="44" t="n">
        <v>1379</v>
      </c>
      <c r="Q56" s="43" t="n">
        <f>IF(COUNT('Income Statement'!K36)=1,'Income Statement'!K36,"")</f>
        <v>1378</v>
      </c>
      <c r="R56" s="43" t="n">
        <f>IF(COUNT('Income Statement'!R36)=1,'Income Statement'!R36,"")</f>
        <v>1376</v>
      </c>
      <c r="S56" s="44" t="n">
        <v>1374</v>
      </c>
      <c r="T56" s="44" t="n">
        <v>1373</v>
      </c>
      <c r="U56" s="43" t="n">
        <f>IF(COUNT('Income Statement'!L36)=1,'Income Statement'!L36,"")</f>
        <v>1373</v>
      </c>
      <c r="V56" s="43" t="n">
        <f>IF(COUNT('Income Statement'!V36)=1,'Income Statement'!V36,"")</f>
        <v>1371</v>
      </c>
      <c r="W56" s="44" t="n">
        <v>1370</v>
      </c>
      <c r="X56" s="44" t="n">
        <v>1369</v>
      </c>
    </row>
    <row r="57" ht="22" customHeight="1">
      <c r="A57" s="4"/>
      <c r="B57" s="2"/>
      <c r="C57" s="3"/>
      <c r="D57" s="3"/>
      <c r="E57" s="3"/>
      <c r="F57" s="3"/>
      <c r="G57" s="3"/>
      <c r="H57" s="3"/>
      <c r="I57" s="3"/>
      <c r="J57" s="3"/>
      <c r="K57" s="3"/>
      <c r="L57" s="3"/>
      <c r="M57" s="3"/>
      <c r="N57" s="3"/>
      <c r="O57" s="3"/>
      <c r="P57" s="3"/>
      <c r="Q57" s="3"/>
      <c r="R57" s="3"/>
      <c r="S57" s="3"/>
      <c r="T57" s="3"/>
      <c r="U57" s="3"/>
      <c r="V57" s="3"/>
      <c r="W57" s="3"/>
      <c r="X57" s="3"/>
    </row>
  </sheetData>
  <mergeCells>
    <mergeCell ref="A1:X1"/>
    <mergeCell ref="A2:X2"/>
    <mergeCell ref="C7:L7"/>
    <mergeCell ref="N7:X7"/>
    <mergeCell ref="A11:X11"/>
    <mergeCell ref="A12:X12"/>
    <mergeCell ref="A38:X38"/>
    <mergeCell ref="A39:X39"/>
  </mergeCells>
  <hyperlinks>
    <hyperlink ref="A3" location="'Contents'!A1" display="Metric (Return to Contents)"/>
    <hyperlink ref="C7" location="'Income Statement'!A11" display="Consolidated income statement: annual and discrete quarters"/>
    <hyperlink ref="N7" location="'Income Statement'!A38" display="Year-to-date results"/>
  </hyperlinks>
  <pageMargins left="0.7" right="0.7" top="0.75" bottom="0.75" header="0.3" footer="0.3"/>
</worksheet>
</file>

<file path=xl/worksheets/sheet6.xml><?xml version="1.0" encoding="utf-8"?>
<worksheet xmlns="http://schemas.openxmlformats.org/spreadsheetml/2006/main">
  <sheetPr>
    <tabColor rgb="FF4472C4"/>
  </sheetPr>
  <sheetViews>
    <sheetView showGridLines="0" workbookViewId="0">
      <pane xSplit="2" ySplit="5" topLeftCell="C6" activePane="bottomRight" state="frozen"/>
    </sheetView>
  </sheetViews>
  <sheetFormatPr defaultRowHeight="15"/>
  <cols>
    <col min="1" max="1" width="60" hidden="0" customWidth="1"/>
    <col min="2" max="2" width="2.200000047683716" hidden="0" customWidth="1"/>
    <col min="3" max="3" width="12.199999809265137" hidden="0" customWidth="1"/>
    <col min="4" max="4" width="12.199999809265137" hidden="0" customWidth="1"/>
    <col min="5" max="5" width="12.199999809265137" hidden="0" customWidth="1"/>
    <col min="6" max="6" width="12.199999809265137" hidden="0" customWidth="1"/>
    <col min="7" max="7" width="12.199999809265137" hidden="0" customWidth="1"/>
    <col min="8" max="8" width="12.199999809265137" hidden="0" customWidth="1"/>
    <col min="9" max="9" width="12.199999809265137" hidden="0" customWidth="1"/>
    <col min="10" max="10" width="12.199999809265137" hidden="0" customWidth="1"/>
    <col min="11" max="11" width="12.199999809265137" hidden="0" customWidth="1"/>
    <col min="12" max="12" width="12.199999809265137" hidden="0" customWidth="1"/>
    <col min="13" max="13" width="3" hidden="0" customWidth="1"/>
    <col min="14" max="14" width="12.199999809265137" hidden="0" customWidth="1"/>
    <col min="15" max="15" width="12.199999809265137" hidden="0" customWidth="1"/>
    <col min="16" max="16" width="12.199999809265137" hidden="0" customWidth="1"/>
    <col min="17" max="17" width="12.199999809265137" hidden="0" customWidth="1"/>
    <col min="18" max="18" width="12.199999809265137" hidden="0" customWidth="1"/>
    <col min="19" max="19" width="12.199999809265137" hidden="0" customWidth="1"/>
    <col min="20" max="20" width="12.199999809265137" hidden="0" customWidth="1"/>
    <col min="21" max="21" width="12.199999809265137" hidden="0" customWidth="1"/>
    <col min="22" max="22" width="12.199999809265137" hidden="0" customWidth="1"/>
    <col min="23" max="23" width="12.199999809265137" hidden="0" customWidth="1"/>
    <col min="24" max="24" width="12.199999809265137" hidden="0" customWidth="1"/>
  </cols>
  <sheetData>
    <row r="1" ht="28" customHeight="1">
      <c r="A1" s="7" t="str">
        <v>PepsiCo PEP — Balance Sheet</v>
      </c>
      <c r="B1" s="7"/>
      <c r="C1" s="7"/>
      <c r="D1" s="7"/>
      <c r="E1" s="7"/>
      <c r="F1" s="7"/>
      <c r="G1" s="7"/>
      <c r="H1" s="7"/>
      <c r="I1" s="7"/>
      <c r="J1" s="7"/>
      <c r="K1" s="7"/>
      <c r="L1" s="7"/>
      <c r="M1" s="7"/>
      <c r="N1" s="7"/>
      <c r="O1" s="7"/>
      <c r="P1" s="7"/>
      <c r="Q1" s="7"/>
      <c r="R1" s="7"/>
      <c r="S1" s="7"/>
      <c r="T1" s="7"/>
      <c r="U1" s="7"/>
      <c r="V1" s="7"/>
      <c r="W1" s="7"/>
      <c r="X1" s="7"/>
    </row>
    <row r="2" ht="18" customHeight="1">
      <c r="A2" s="8" t="str">
        <v>USD millions; per-share amounts, share counts and percentages as labeled. US GAAP. As of 2026-10-20.</v>
      </c>
      <c r="B2" s="8"/>
      <c r="C2" s="8"/>
      <c r="D2" s="8"/>
      <c r="E2" s="8"/>
      <c r="F2" s="8"/>
      <c r="G2" s="8"/>
      <c r="H2" s="8"/>
      <c r="I2" s="8"/>
      <c r="J2" s="8"/>
      <c r="K2" s="8"/>
      <c r="L2" s="8"/>
      <c r="M2" s="8"/>
      <c r="N2" s="8"/>
      <c r="O2" s="8"/>
      <c r="P2" s="8"/>
      <c r="Q2" s="8"/>
      <c r="R2" s="8"/>
      <c r="S2" s="8"/>
      <c r="T2" s="8"/>
      <c r="U2" s="8"/>
      <c r="V2" s="8"/>
      <c r="W2" s="8"/>
      <c r="X2" s="8"/>
    </row>
    <row r="3" ht="24" customHeight="1">
      <c r="A3" s="9" t="str">
        <v>Metric (Return to Contents)</v>
      </c>
      <c r="B3" s="2"/>
      <c r="C3" s="13" t="str">
        <v>FY2016</v>
      </c>
      <c r="D3" s="13" t="str">
        <v>FY2017</v>
      </c>
      <c r="E3" s="13" t="str">
        <v>FY2018</v>
      </c>
      <c r="F3" s="13" t="str">
        <v>FY2019</v>
      </c>
      <c r="G3" s="13" t="str">
        <v>FY2020</v>
      </c>
      <c r="H3" s="13" t="str">
        <v>FY2021</v>
      </c>
      <c r="I3" s="13" t="str">
        <v>FY2022</v>
      </c>
      <c r="J3" s="13" t="str">
        <v>FY2023</v>
      </c>
      <c r="K3" s="13" t="str">
        <v>FY2024</v>
      </c>
      <c r="L3" s="13" t="str">
        <v>FY2025</v>
      </c>
      <c r="M3" s="2"/>
      <c r="N3" s="22" t="str">
        <v>FY2024Q1</v>
      </c>
      <c r="O3" s="22" t="str">
        <v>FY2024Q2</v>
      </c>
      <c r="P3" s="22" t="str">
        <v>FY2024Q3</v>
      </c>
      <c r="Q3" s="22" t="str">
        <v>FY2024Q4</v>
      </c>
      <c r="R3" s="22" t="str">
        <v>FY2025Q1</v>
      </c>
      <c r="S3" s="22" t="str">
        <v>FY2025Q2</v>
      </c>
      <c r="T3" s="22" t="str">
        <v>FY2025Q3</v>
      </c>
      <c r="U3" s="22" t="str">
        <v>FY2025Q4</v>
      </c>
      <c r="V3" s="22" t="str">
        <v>FY2026Q1</v>
      </c>
      <c r="W3" s="22" t="str">
        <v>FY2026Q2</v>
      </c>
      <c r="X3" s="22" t="str">
        <v>FY2026Q3</v>
      </c>
    </row>
    <row r="4" ht="18" customHeight="1">
      <c r="A4" s="2"/>
      <c r="B4" s="2"/>
      <c r="C4" s="17" t="d">
        <v>2016-12-31T00:00:00.000Z</v>
      </c>
      <c r="D4" s="17" t="d">
        <v>2017-12-30T00:00:00.000Z</v>
      </c>
      <c r="E4" s="17" t="d">
        <v>2018-12-29T00:00:00.000Z</v>
      </c>
      <c r="F4" s="17" t="d">
        <v>2019-12-28T00:00:00.000Z</v>
      </c>
      <c r="G4" s="17" t="d">
        <v>2020-12-26T00:00:00.000Z</v>
      </c>
      <c r="H4" s="17" t="d">
        <v>2021-12-25T00:00:00.000Z</v>
      </c>
      <c r="I4" s="17" t="d">
        <v>2022-12-31T00:00:00.000Z</v>
      </c>
      <c r="J4" s="17" t="d">
        <v>2023-12-30T00:00:00.000Z</v>
      </c>
      <c r="K4" s="17" t="d">
        <v>2024-12-28T00:00:00.000Z</v>
      </c>
      <c r="L4" s="17" t="d">
        <v>2025-12-27T00:00:00.000Z</v>
      </c>
      <c r="M4" s="2"/>
      <c r="N4" s="17" t="d">
        <v>2024-03-23T00:00:00.000Z</v>
      </c>
      <c r="O4" s="17" t="d">
        <v>2024-06-15T00:00:00.000Z</v>
      </c>
      <c r="P4" s="17" t="d">
        <v>2024-09-07T00:00:00.000Z</v>
      </c>
      <c r="Q4" s="17" t="d">
        <v>2024-12-28T00:00:00.000Z</v>
      </c>
      <c r="R4" s="17" t="d">
        <v>2025-03-22T00:00:00.000Z</v>
      </c>
      <c r="S4" s="17" t="d">
        <v>2025-06-14T00:00:00.000Z</v>
      </c>
      <c r="T4" s="17" t="d">
        <v>2025-09-06T00:00:00.000Z</v>
      </c>
      <c r="U4" s="17" t="d">
        <v>2025-12-27T00:00:00.000Z</v>
      </c>
      <c r="V4" s="17" t="d">
        <v>2026-03-21T00:00:00.000Z</v>
      </c>
      <c r="W4" s="17" t="d">
        <v>2026-06-13T00:00:00.000Z</v>
      </c>
      <c r="X4" s="17" t="d">
        <v>2026-09-05T00:00:00.000Z</v>
      </c>
    </row>
    <row r="5" ht="18" customHeight="1">
      <c r="A5" s="8" t="str">
        <v>Annual at left; quarterly / period-end at right; YTD as labeled</v>
      </c>
      <c r="B5" s="2"/>
      <c r="C5" s="18" t="str">
        <v>Year / year-end</v>
      </c>
      <c r="D5" s="18" t="str">
        <v>Year / year-end</v>
      </c>
      <c r="E5" s="18" t="str">
        <v>Year / year-end</v>
      </c>
      <c r="F5" s="18" t="str">
        <v>Year / year-end</v>
      </c>
      <c r="G5" s="18" t="str">
        <v>Year / year-end</v>
      </c>
      <c r="H5" s="18" t="str">
        <v>Year / year-end</v>
      </c>
      <c r="I5" s="18" t="str">
        <v>Year / year-end</v>
      </c>
      <c r="J5" s="18" t="str">
        <v>Year / year-end</v>
      </c>
      <c r="K5" s="18" t="str">
        <v>Year / year-end</v>
      </c>
      <c r="L5" s="18" t="str">
        <v>Year / year-end</v>
      </c>
      <c r="M5" s="2"/>
      <c r="N5" s="18" t="str">
        <v>Quarter / end</v>
      </c>
      <c r="O5" s="18" t="str">
        <v>Quarter / end</v>
      </c>
      <c r="P5" s="18" t="str">
        <v>Quarter / end</v>
      </c>
      <c r="Q5" s="18" t="str">
        <v>Quarter / end</v>
      </c>
      <c r="R5" s="18" t="str">
        <v>Quarter / end</v>
      </c>
      <c r="S5" s="18" t="str">
        <v>Quarter / end</v>
      </c>
      <c r="T5" s="18" t="str">
        <v>Quarter / end</v>
      </c>
      <c r="U5" s="18" t="str">
        <v>Quarter / end</v>
      </c>
      <c r="V5" s="18" t="str">
        <v>Quarter / end</v>
      </c>
      <c r="W5" s="18" t="str">
        <v>Quarter / end</v>
      </c>
      <c r="X5" s="18" t="str">
        <v>Quarter / end</v>
      </c>
    </row>
    <row r="6" ht="8" customHeight="1">
      <c r="A6" s="2"/>
      <c r="B6" s="2"/>
      <c r="C6" s="2"/>
      <c r="D6" s="2"/>
      <c r="E6" s="2"/>
      <c r="F6" s="2"/>
      <c r="G6" s="2"/>
      <c r="H6" s="2"/>
      <c r="I6" s="2"/>
      <c r="J6" s="2"/>
      <c r="K6" s="2"/>
      <c r="L6" s="2"/>
      <c r="M6" s="2"/>
      <c r="N6" s="2"/>
      <c r="O6" s="2"/>
      <c r="P6" s="2"/>
      <c r="Q6" s="2"/>
      <c r="R6" s="2"/>
      <c r="S6" s="2"/>
      <c r="T6" s="2"/>
      <c r="U6" s="2"/>
      <c r="V6" s="2"/>
      <c r="W6" s="2"/>
      <c r="X6" s="2"/>
    </row>
    <row r="7" ht="22" customHeight="1">
      <c r="A7" s="23" t="str">
        <v>On this sheet</v>
      </c>
      <c r="B7" s="2"/>
      <c r="C7" s="26" t="str">
        <v>Consolidated balance sheet: period-end balances</v>
      </c>
      <c r="D7" s="26"/>
      <c r="E7" s="26"/>
      <c r="F7" s="26"/>
      <c r="G7" s="26"/>
      <c r="H7" s="26"/>
      <c r="I7" s="26"/>
      <c r="J7" s="26"/>
      <c r="K7" s="26"/>
      <c r="L7" s="26"/>
      <c r="M7" s="3"/>
      <c r="N7" s="3"/>
      <c r="O7" s="3"/>
      <c r="P7" s="3"/>
      <c r="Q7" s="3"/>
      <c r="R7" s="3"/>
      <c r="S7" s="3"/>
      <c r="T7" s="3"/>
      <c r="U7" s="3"/>
      <c r="V7" s="3"/>
      <c r="W7" s="3"/>
      <c r="X7" s="3"/>
    </row>
    <row r="8" ht="22" customHeight="1">
      <c r="A8" s="4"/>
      <c r="B8" s="2"/>
      <c r="C8" s="3"/>
      <c r="D8" s="3"/>
      <c r="E8" s="3"/>
      <c r="F8" s="3"/>
      <c r="G8" s="3"/>
      <c r="H8" s="3"/>
      <c r="I8" s="3"/>
      <c r="J8" s="3"/>
      <c r="K8" s="3"/>
      <c r="L8" s="3"/>
      <c r="M8" s="3"/>
      <c r="N8" s="3"/>
      <c r="O8" s="3"/>
      <c r="P8" s="3"/>
      <c r="Q8" s="3"/>
      <c r="R8" s="3"/>
      <c r="S8" s="3"/>
      <c r="T8" s="3"/>
      <c r="U8" s="3"/>
      <c r="V8" s="3"/>
      <c r="W8" s="3"/>
      <c r="X8" s="3"/>
    </row>
    <row r="9" ht="22" customHeight="1">
      <c r="A9" s="4"/>
      <c r="B9" s="2"/>
      <c r="C9" s="3"/>
      <c r="D9" s="3"/>
      <c r="E9" s="3"/>
      <c r="F9" s="3"/>
      <c r="G9" s="3"/>
      <c r="H9" s="3"/>
      <c r="I9" s="3"/>
      <c r="J9" s="3"/>
      <c r="K9" s="3"/>
      <c r="L9" s="3"/>
      <c r="M9" s="3"/>
      <c r="N9" s="3"/>
      <c r="O9" s="3"/>
      <c r="P9" s="3"/>
      <c r="Q9" s="3"/>
      <c r="R9" s="3"/>
      <c r="S9" s="3"/>
      <c r="T9" s="3"/>
      <c r="U9" s="3"/>
      <c r="V9" s="3"/>
      <c r="W9" s="3"/>
      <c r="X9" s="3"/>
    </row>
    <row r="10" ht="22" customHeight="1">
      <c r="A10" s="4"/>
      <c r="B10" s="2"/>
      <c r="C10" s="3"/>
      <c r="D10" s="3"/>
      <c r="E10" s="3"/>
      <c r="F10" s="3"/>
      <c r="G10" s="3"/>
      <c r="H10" s="3"/>
      <c r="I10" s="3"/>
      <c r="J10" s="3"/>
      <c r="K10" s="3"/>
      <c r="L10" s="3"/>
      <c r="M10" s="3"/>
      <c r="N10" s="3"/>
      <c r="O10" s="3"/>
      <c r="P10" s="3"/>
      <c r="Q10" s="3"/>
      <c r="R10" s="3"/>
      <c r="S10" s="3"/>
      <c r="T10" s="3"/>
      <c r="U10" s="3"/>
      <c r="V10" s="3"/>
      <c r="W10" s="3"/>
      <c r="X10" s="3"/>
    </row>
    <row r="11" ht="22" customHeight="1">
      <c r="A11" s="29" t="str">
        <v>Consolidated balance sheet: period-end balances</v>
      </c>
      <c r="B11" s="29"/>
      <c r="C11" s="32"/>
      <c r="D11" s="32"/>
      <c r="E11" s="32"/>
      <c r="F11" s="32"/>
      <c r="G11" s="32"/>
      <c r="H11" s="32"/>
      <c r="I11" s="32"/>
      <c r="J11" s="32"/>
      <c r="K11" s="32"/>
      <c r="L11" s="32"/>
      <c r="M11" s="32"/>
      <c r="N11" s="32"/>
      <c r="O11" s="32"/>
      <c r="P11" s="32"/>
      <c r="Q11" s="32"/>
      <c r="R11" s="32"/>
      <c r="S11" s="32"/>
      <c r="T11" s="32"/>
      <c r="U11" s="32"/>
      <c r="V11" s="32"/>
      <c r="W11" s="32"/>
      <c r="X11" s="32"/>
    </row>
    <row r="12" ht="18" customHeight="1">
      <c r="A12" s="33" t="str">
        <v>Annual values use the latest comparable recasts in the available filings. Blanks indicate no separate disclosure. Interim balances retain the reported period-end basis.</v>
      </c>
      <c r="B12" s="33"/>
      <c r="C12" s="35"/>
      <c r="D12" s="35"/>
      <c r="E12" s="35"/>
      <c r="F12" s="35"/>
      <c r="G12" s="35"/>
      <c r="H12" s="35"/>
      <c r="I12" s="35"/>
      <c r="J12" s="35"/>
      <c r="K12" s="35"/>
      <c r="L12" s="35"/>
      <c r="M12" s="35"/>
      <c r="N12" s="35"/>
      <c r="O12" s="35"/>
      <c r="P12" s="35"/>
      <c r="Q12" s="35"/>
      <c r="R12" s="35"/>
      <c r="S12" s="35"/>
      <c r="T12" s="35"/>
      <c r="U12" s="35"/>
      <c r="V12" s="35"/>
      <c r="W12" s="35"/>
      <c r="X12" s="35"/>
    </row>
    <row r="13" ht="24" customHeight="1">
      <c r="A13" s="39" t="str">
        <v>Current Assets</v>
      </c>
      <c r="B13" s="40"/>
      <c r="C13" s="41"/>
      <c r="D13" s="41"/>
      <c r="E13" s="41"/>
      <c r="F13" s="41"/>
      <c r="G13" s="41"/>
      <c r="H13" s="41"/>
      <c r="I13" s="41"/>
      <c r="J13" s="41"/>
      <c r="K13" s="41"/>
      <c r="L13" s="41"/>
      <c r="M13" s="42"/>
      <c r="N13" s="41"/>
      <c r="O13" s="41"/>
      <c r="P13" s="41"/>
      <c r="Q13" s="41"/>
      <c r="R13" s="41"/>
      <c r="S13" s="41"/>
      <c r="T13" s="41"/>
      <c r="U13" s="41"/>
      <c r="V13" s="41"/>
      <c r="W13" s="41"/>
      <c r="X13" s="41"/>
    </row>
    <row r="14" ht="22" customHeight="1">
      <c r="A14" s="4" t="str">
        <v>Cash and cash equivalents</v>
      </c>
      <c r="B14" s="2"/>
      <c r="C14" s="44" t="n">
        <v>9158</v>
      </c>
      <c r="D14" s="44" t="n">
        <v>10610</v>
      </c>
      <c r="E14" s="44" t="n">
        <v>8721</v>
      </c>
      <c r="F14" s="44" t="n">
        <v>5509</v>
      </c>
      <c r="G14" s="44" t="n">
        <v>8185</v>
      </c>
      <c r="H14" s="44" t="n">
        <v>5596</v>
      </c>
      <c r="I14" s="44" t="n">
        <v>4954</v>
      </c>
      <c r="J14" s="44" t="n">
        <v>9711</v>
      </c>
      <c r="K14" s="44" t="n">
        <v>8505</v>
      </c>
      <c r="L14" s="44" t="n">
        <v>9159</v>
      </c>
      <c r="M14" s="45"/>
      <c r="N14" s="44" t="n">
        <v>8047</v>
      </c>
      <c r="O14" s="44" t="n">
        <v>6353</v>
      </c>
      <c r="P14" s="44" t="n">
        <v>7308</v>
      </c>
      <c r="Q14" s="43" t="n">
        <f>IF(COUNT('Balance Sheet'!K14)=1,'Balance Sheet'!K14,"")</f>
        <v>8505</v>
      </c>
      <c r="R14" s="44" t="n">
        <v>8268</v>
      </c>
      <c r="S14" s="44" t="n">
        <v>7631</v>
      </c>
      <c r="T14" s="44" t="n">
        <v>8126</v>
      </c>
      <c r="U14" s="43" t="n">
        <f>IF(COUNT('Balance Sheet'!L14)=1,'Balance Sheet'!L14,"")</f>
        <v>9159</v>
      </c>
      <c r="V14" s="44" t="n">
        <v>10475</v>
      </c>
      <c r="W14" s="44" t="n">
        <v>10251</v>
      </c>
      <c r="X14" s="44" t="n">
        <v>10675</v>
      </c>
    </row>
    <row r="15" ht="22" customHeight="1">
      <c r="A15" s="4" t="str">
        <v>Short-term investments</v>
      </c>
      <c r="B15" s="2"/>
      <c r="C15" s="44" t="n">
        <v>6967</v>
      </c>
      <c r="D15" s="44" t="n">
        <v>8900</v>
      </c>
      <c r="E15" s="44" t="n">
        <v>272</v>
      </c>
      <c r="F15" s="44" t="n">
        <v>229</v>
      </c>
      <c r="G15" s="44" t="n">
        <v>1366</v>
      </c>
      <c r="H15" s="44" t="n">
        <v>392</v>
      </c>
      <c r="I15" s="44" t="n">
        <v>394</v>
      </c>
      <c r="J15" s="44" t="n">
        <v>292</v>
      </c>
      <c r="K15" s="44" t="n">
        <v>761</v>
      </c>
      <c r="L15" s="44" t="n">
        <v>371</v>
      </c>
      <c r="M15" s="45"/>
      <c r="N15" s="44" t="n">
        <v>303</v>
      </c>
      <c r="O15" s="44" t="n">
        <v>315</v>
      </c>
      <c r="P15" s="44" t="n">
        <v>743</v>
      </c>
      <c r="Q15" s="43" t="n">
        <f>IF(COUNT('Balance Sheet'!K15)=1,'Balance Sheet'!K15,"")</f>
        <v>761</v>
      </c>
      <c r="R15" s="44" t="n">
        <v>314</v>
      </c>
      <c r="S15" s="44" t="n">
        <v>342</v>
      </c>
      <c r="T15" s="44" t="n">
        <v>535</v>
      </c>
      <c r="U15" s="43" t="n">
        <f>IF(COUNT('Balance Sheet'!L15)=1,'Balance Sheet'!L15,"")</f>
        <v>371</v>
      </c>
      <c r="V15" s="44" t="n">
        <v>353</v>
      </c>
      <c r="W15" s="44" t="n">
        <v>465</v>
      </c>
      <c r="X15" s="44" t="n">
        <v>488</v>
      </c>
    </row>
    <row r="16" ht="22" customHeight="1">
      <c r="A16" s="4" t="str">
        <v>Restricted cash (separately presented)</v>
      </c>
      <c r="B16" s="2"/>
      <c r="C16" s="44"/>
      <c r="D16" s="44" t="n">
        <v>0</v>
      </c>
      <c r="E16" s="44" t="n">
        <v>1997</v>
      </c>
      <c r="F16" s="44"/>
      <c r="G16" s="44"/>
      <c r="H16" s="44"/>
      <c r="I16" s="44"/>
      <c r="J16" s="44"/>
      <c r="K16" s="44"/>
      <c r="L16" s="44"/>
      <c r="M16" s="45"/>
      <c r="N16" s="44"/>
      <c r="O16" s="44"/>
      <c r="P16" s="44"/>
      <c r="Q16" s="43" t="str">
        <f>IF(COUNT('Balance Sheet'!K16)=1,'Balance Sheet'!K16,"")</f>
      </c>
      <c r="R16" s="44"/>
      <c r="S16" s="44"/>
      <c r="T16" s="44"/>
      <c r="U16" s="43" t="str">
        <f>IF(COUNT('Balance Sheet'!L16)=1,'Balance Sheet'!L16,"")</f>
      </c>
      <c r="V16" s="44"/>
      <c r="W16" s="44"/>
      <c r="X16" s="44"/>
    </row>
    <row r="17" ht="22" customHeight="1">
      <c r="A17" s="4" t="str">
        <v>Accounts and notes receivable, net</v>
      </c>
      <c r="B17" s="2"/>
      <c r="C17" s="44" t="n">
        <v>6694</v>
      </c>
      <c r="D17" s="44" t="n">
        <v>7024</v>
      </c>
      <c r="E17" s="44" t="n">
        <v>7142</v>
      </c>
      <c r="F17" s="44" t="n">
        <v>7822</v>
      </c>
      <c r="G17" s="44" t="n">
        <v>8404</v>
      </c>
      <c r="H17" s="44" t="n">
        <v>8680</v>
      </c>
      <c r="I17" s="44" t="n">
        <v>10163</v>
      </c>
      <c r="J17" s="44" t="n">
        <v>10815</v>
      </c>
      <c r="K17" s="44" t="n">
        <v>10333</v>
      </c>
      <c r="L17" s="44" t="n">
        <v>11506</v>
      </c>
      <c r="M17" s="45"/>
      <c r="N17" s="44" t="n">
        <v>10938</v>
      </c>
      <c r="O17" s="44" t="n">
        <v>11942</v>
      </c>
      <c r="P17" s="44" t="n">
        <v>12088</v>
      </c>
      <c r="Q17" s="43" t="n">
        <f>IF(COUNT('Balance Sheet'!K17)=1,'Balance Sheet'!K17,"")</f>
        <v>10333</v>
      </c>
      <c r="R17" s="44" t="n">
        <v>10800</v>
      </c>
      <c r="S17" s="44" t="n">
        <v>12390</v>
      </c>
      <c r="T17" s="44" t="n">
        <v>12634</v>
      </c>
      <c r="U17" s="43" t="n">
        <f>IF(COUNT('Balance Sheet'!L17)=1,'Balance Sheet'!L17,"")</f>
        <v>11506</v>
      </c>
      <c r="V17" s="44" t="n">
        <v>12171</v>
      </c>
      <c r="W17" s="44" t="n">
        <v>13496</v>
      </c>
      <c r="X17" s="44" t="n">
        <v>13623</v>
      </c>
    </row>
    <row r="18" ht="22" customHeight="1">
      <c r="A18" s="4" t="str">
        <v>Inventories — Raw materials and packaging</v>
      </c>
      <c r="B18" s="2"/>
      <c r="C18" s="44"/>
      <c r="D18" s="44"/>
      <c r="E18" s="44"/>
      <c r="F18" s="44"/>
      <c r="G18" s="44"/>
      <c r="H18" s="44"/>
      <c r="I18" s="44" t="n">
        <v>2366</v>
      </c>
      <c r="J18" s="44" t="n">
        <v>2388</v>
      </c>
      <c r="K18" s="44" t="n">
        <v>2440</v>
      </c>
      <c r="L18" s="44" t="n">
        <v>2581</v>
      </c>
      <c r="M18" s="45"/>
      <c r="N18" s="44" t="n">
        <v>2465</v>
      </c>
      <c r="O18" s="44" t="n">
        <v>2635</v>
      </c>
      <c r="P18" s="44" t="n">
        <v>2559</v>
      </c>
      <c r="Q18" s="43" t="n">
        <f>IF(COUNT('Balance Sheet'!K18)=1,'Balance Sheet'!K18,"")</f>
        <v>2440</v>
      </c>
      <c r="R18" s="44" t="n">
        <v>2673</v>
      </c>
      <c r="S18" s="44" t="n">
        <v>2940</v>
      </c>
      <c r="T18" s="44" t="n">
        <v>2805</v>
      </c>
      <c r="U18" s="43" t="n">
        <f>IF(COUNT('Balance Sheet'!L18)=1,'Balance Sheet'!L18,"")</f>
        <v>2581</v>
      </c>
      <c r="V18" s="44" t="n">
        <v>2714</v>
      </c>
      <c r="W18" s="44" t="n">
        <v>2948</v>
      </c>
      <c r="X18" s="44" t="n">
        <v>2792</v>
      </c>
    </row>
    <row r="19" ht="22" customHeight="1">
      <c r="A19" s="4" t="str">
        <v>Inventories — Work-in-process</v>
      </c>
      <c r="B19" s="2"/>
      <c r="C19" s="44"/>
      <c r="D19" s="44"/>
      <c r="E19" s="44"/>
      <c r="F19" s="44"/>
      <c r="G19" s="44"/>
      <c r="H19" s="44"/>
      <c r="I19" s="44" t="n">
        <v>114</v>
      </c>
      <c r="J19" s="44" t="n">
        <v>104</v>
      </c>
      <c r="K19" s="44" t="n">
        <v>104</v>
      </c>
      <c r="L19" s="44" t="n">
        <v>143</v>
      </c>
      <c r="M19" s="45"/>
      <c r="N19" s="44" t="n">
        <v>97</v>
      </c>
      <c r="O19" s="44" t="n">
        <v>121</v>
      </c>
      <c r="P19" s="44" t="n">
        <v>131</v>
      </c>
      <c r="Q19" s="43" t="n">
        <f>IF(COUNT('Balance Sheet'!K19)=1,'Balance Sheet'!K19,"")</f>
        <v>104</v>
      </c>
      <c r="R19" s="44" t="n">
        <v>118</v>
      </c>
      <c r="S19" s="44" t="n">
        <v>135</v>
      </c>
      <c r="T19" s="44" t="n">
        <v>154</v>
      </c>
      <c r="U19" s="43" t="n">
        <f>IF(COUNT('Balance Sheet'!L19)=1,'Balance Sheet'!L19,"")</f>
        <v>143</v>
      </c>
      <c r="V19" s="44" t="n">
        <v>133</v>
      </c>
      <c r="W19" s="44" t="n">
        <v>163</v>
      </c>
      <c r="X19" s="44" t="n">
        <v>175</v>
      </c>
    </row>
    <row r="20" ht="22" customHeight="1">
      <c r="A20" s="4" t="str">
        <v>Inventories — Finished goods</v>
      </c>
      <c r="B20" s="2"/>
      <c r="C20" s="44"/>
      <c r="D20" s="44"/>
      <c r="E20" s="44"/>
      <c r="F20" s="44"/>
      <c r="G20" s="44"/>
      <c r="H20" s="44"/>
      <c r="I20" s="44" t="n">
        <v>2742</v>
      </c>
      <c r="J20" s="44" t="n">
        <v>2842</v>
      </c>
      <c r="K20" s="44" t="n">
        <v>2762</v>
      </c>
      <c r="L20" s="44" t="n">
        <v>3121</v>
      </c>
      <c r="M20" s="45"/>
      <c r="N20" s="44" t="n">
        <v>3007</v>
      </c>
      <c r="O20" s="44" t="n">
        <v>3131</v>
      </c>
      <c r="P20" s="44" t="n">
        <v>2954</v>
      </c>
      <c r="Q20" s="43" t="n">
        <f>IF(COUNT('Balance Sheet'!K20)=1,'Balance Sheet'!K20,"")</f>
        <v>2762</v>
      </c>
      <c r="R20" s="44" t="n">
        <v>2869</v>
      </c>
      <c r="S20" s="44" t="n">
        <v>3412</v>
      </c>
      <c r="T20" s="44" t="n">
        <v>3134</v>
      </c>
      <c r="U20" s="43" t="n">
        <f>IF(COUNT('Balance Sheet'!L20)=1,'Balance Sheet'!L20,"")</f>
        <v>3121</v>
      </c>
      <c r="V20" s="44" t="n">
        <v>3364</v>
      </c>
      <c r="W20" s="44" t="n">
        <v>3623</v>
      </c>
      <c r="X20" s="44" t="n">
        <v>3467</v>
      </c>
    </row>
    <row r="21" ht="22" customHeight="1">
      <c r="A21" s="4" t="str">
        <v>Inventories</v>
      </c>
      <c r="B21" s="2"/>
      <c r="C21" s="44" t="n">
        <v>2723</v>
      </c>
      <c r="D21" s="44" t="n">
        <v>2947</v>
      </c>
      <c r="E21" s="44" t="n">
        <v>3128</v>
      </c>
      <c r="F21" s="44" t="n">
        <v>3338</v>
      </c>
      <c r="G21" s="44" t="n">
        <v>4172</v>
      </c>
      <c r="H21" s="44" t="n">
        <v>4347</v>
      </c>
      <c r="I21" s="44" t="n">
        <v>5222</v>
      </c>
      <c r="J21" s="44" t="n">
        <v>5334</v>
      </c>
      <c r="K21" s="44" t="n">
        <v>5306</v>
      </c>
      <c r="L21" s="44" t="n">
        <v>5845</v>
      </c>
      <c r="M21" s="45"/>
      <c r="N21" s="44" t="n">
        <v>5569</v>
      </c>
      <c r="O21" s="44" t="n">
        <v>5887</v>
      </c>
      <c r="P21" s="44" t="n">
        <v>5644</v>
      </c>
      <c r="Q21" s="43" t="n">
        <f>IF(COUNT('Balance Sheet'!K21)=1,'Balance Sheet'!K21,"")</f>
        <v>5306</v>
      </c>
      <c r="R21" s="44" t="n">
        <v>5660</v>
      </c>
      <c r="S21" s="44" t="n">
        <v>6487</v>
      </c>
      <c r="T21" s="44" t="n">
        <v>6093</v>
      </c>
      <c r="U21" s="43" t="n">
        <f>IF(COUNT('Balance Sheet'!L21)=1,'Balance Sheet'!L21,"")</f>
        <v>5845</v>
      </c>
      <c r="V21" s="44" t="n">
        <v>6211</v>
      </c>
      <c r="W21" s="44" t="n">
        <v>6734</v>
      </c>
      <c r="X21" s="44" t="n">
        <v>6434</v>
      </c>
    </row>
    <row r="22" ht="22" customHeight="1">
      <c r="A22" s="4" t="str">
        <v>Prepaid expenses and other current assets</v>
      </c>
      <c r="B22" s="2"/>
      <c r="C22" s="44" t="n">
        <v>908</v>
      </c>
      <c r="D22" s="44" t="n">
        <v>1546</v>
      </c>
      <c r="E22" s="44" t="n">
        <v>633</v>
      </c>
      <c r="F22" s="44" t="n">
        <v>747</v>
      </c>
      <c r="G22" s="44" t="n">
        <v>874</v>
      </c>
      <c r="H22" s="44" t="n">
        <v>980</v>
      </c>
      <c r="I22" s="44" t="n">
        <v>806</v>
      </c>
      <c r="J22" s="44" t="n">
        <v>798</v>
      </c>
      <c r="K22" s="44" t="n">
        <v>921</v>
      </c>
      <c r="L22" s="44" t="n">
        <v>1068</v>
      </c>
      <c r="M22" s="45"/>
      <c r="N22" s="44" t="n">
        <v>1148</v>
      </c>
      <c r="O22" s="44" t="n">
        <v>1206</v>
      </c>
      <c r="P22" s="44" t="n">
        <v>1069</v>
      </c>
      <c r="Q22" s="43" t="n">
        <f>IF(COUNT('Balance Sheet'!K22)=1,'Balance Sheet'!K22,"")</f>
        <v>921</v>
      </c>
      <c r="R22" s="44" t="n">
        <v>1246</v>
      </c>
      <c r="S22" s="44" t="n">
        <v>1360</v>
      </c>
      <c r="T22" s="44" t="n">
        <v>1334</v>
      </c>
      <c r="U22" s="43" t="n">
        <f>IF(COUNT('Balance Sheet'!L22)=1,'Balance Sheet'!L22,"")</f>
        <v>1068</v>
      </c>
      <c r="V22" s="44" t="n">
        <v>1706</v>
      </c>
      <c r="W22" s="44" t="n">
        <v>1829</v>
      </c>
      <c r="X22" s="44" t="n">
        <v>1339</v>
      </c>
    </row>
    <row r="23" ht="22" customHeight="1">
      <c r="A23" s="4" t="str">
        <v>Assets held for sale</v>
      </c>
      <c r="B23" s="2"/>
      <c r="C23" s="44"/>
      <c r="D23" s="44"/>
      <c r="E23" s="44"/>
      <c r="F23" s="44"/>
      <c r="G23" s="44" t="n">
        <v>0</v>
      </c>
      <c r="H23" s="44" t="n">
        <v>1788</v>
      </c>
      <c r="I23" s="44"/>
      <c r="J23" s="44"/>
      <c r="K23" s="44"/>
      <c r="L23" s="44"/>
      <c r="M23" s="45"/>
      <c r="N23" s="44"/>
      <c r="O23" s="44"/>
      <c r="P23" s="44"/>
      <c r="Q23" s="43" t="str">
        <f>IF(COUNT('Balance Sheet'!K23)=1,'Balance Sheet'!K23,"")</f>
      </c>
      <c r="R23" s="44"/>
      <c r="S23" s="44"/>
      <c r="T23" s="44"/>
      <c r="U23" s="43" t="str">
        <f>IF(COUNT('Balance Sheet'!L23)=1,'Balance Sheet'!L23,"")</f>
      </c>
      <c r="V23" s="44"/>
      <c r="W23" s="44"/>
      <c r="X23" s="44"/>
    </row>
    <row r="24" ht="24" customHeight="1">
      <c r="A24" s="51" t="str">
        <v>Total Current Assets</v>
      </c>
      <c r="B24" s="52"/>
      <c r="C24" s="53" t="n">
        <v>26450</v>
      </c>
      <c r="D24" s="53" t="n">
        <v>31027</v>
      </c>
      <c r="E24" s="53" t="n">
        <v>21893</v>
      </c>
      <c r="F24" s="53" t="n">
        <v>17645</v>
      </c>
      <c r="G24" s="53" t="n">
        <v>23001</v>
      </c>
      <c r="H24" s="53" t="n">
        <v>21783</v>
      </c>
      <c r="I24" s="53" t="n">
        <v>21539</v>
      </c>
      <c r="J24" s="53" t="n">
        <v>26950</v>
      </c>
      <c r="K24" s="53" t="n">
        <v>25826</v>
      </c>
      <c r="L24" s="53" t="n">
        <v>27949</v>
      </c>
      <c r="M24" s="55"/>
      <c r="N24" s="53" t="n">
        <v>26005</v>
      </c>
      <c r="O24" s="53" t="n">
        <v>25703</v>
      </c>
      <c r="P24" s="53" t="n">
        <v>26852</v>
      </c>
      <c r="Q24" s="54" t="n">
        <f>IF(COUNT('Balance Sheet'!K24)=1,'Balance Sheet'!K24,"")</f>
        <v>25826</v>
      </c>
      <c r="R24" s="53" t="n">
        <v>26288</v>
      </c>
      <c r="S24" s="53" t="n">
        <v>28210</v>
      </c>
      <c r="T24" s="53" t="n">
        <v>28722</v>
      </c>
      <c r="U24" s="54" t="n">
        <f>IF(COUNT('Balance Sheet'!L24)=1,'Balance Sheet'!L24,"")</f>
        <v>27949</v>
      </c>
      <c r="V24" s="53" t="n">
        <v>30916</v>
      </c>
      <c r="W24" s="53" t="n">
        <v>32775</v>
      </c>
      <c r="X24" s="53" t="n">
        <v>32559</v>
      </c>
    </row>
    <row r="25" ht="24" customHeight="1">
      <c r="A25" s="39" t="str">
        <v>Noncurrent Assets</v>
      </c>
      <c r="B25" s="40"/>
      <c r="C25" s="41"/>
      <c r="D25" s="41"/>
      <c r="E25" s="41"/>
      <c r="F25" s="41"/>
      <c r="G25" s="41"/>
      <c r="H25" s="41"/>
      <c r="I25" s="41"/>
      <c r="J25" s="41"/>
      <c r="K25" s="41"/>
      <c r="L25" s="41"/>
      <c r="M25" s="42"/>
      <c r="N25" s="41"/>
      <c r="O25" s="41"/>
      <c r="P25" s="41"/>
      <c r="Q25" s="41"/>
      <c r="R25" s="41"/>
      <c r="S25" s="41"/>
      <c r="T25" s="41"/>
      <c r="U25" s="41"/>
      <c r="V25" s="41"/>
      <c r="W25" s="41"/>
      <c r="X25" s="41"/>
    </row>
    <row r="26" ht="22" customHeight="1">
      <c r="A26" s="4" t="str">
        <v>Property, plant and equipment, gross</v>
      </c>
      <c r="B26" s="2"/>
      <c r="C26" s="44"/>
      <c r="D26" s="44"/>
      <c r="E26" s="44"/>
      <c r="F26" s="44"/>
      <c r="G26" s="44"/>
      <c r="H26" s="44"/>
      <c r="I26" s="44"/>
      <c r="J26" s="44"/>
      <c r="K26" s="44"/>
      <c r="L26" s="44"/>
      <c r="M26" s="45"/>
      <c r="N26" s="44" t="n">
        <v>54510</v>
      </c>
      <c r="O26" s="44" t="n">
        <v>55040</v>
      </c>
      <c r="P26" s="44" t="n">
        <v>55466</v>
      </c>
      <c r="Q26" s="43" t="str">
        <f>IF(COUNT('Balance Sheet'!K26)=1,'Balance Sheet'!K26,"")</f>
      </c>
      <c r="R26" s="44" t="n">
        <v>56942</v>
      </c>
      <c r="S26" s="44" t="n">
        <v>58469</v>
      </c>
      <c r="T26" s="44" t="n">
        <v>59309</v>
      </c>
      <c r="U26" s="43" t="str">
        <f>IF(COUNT('Balance Sheet'!L26)=1,'Balance Sheet'!L26,"")</f>
      </c>
      <c r="V26" s="44" t="n">
        <v>61477</v>
      </c>
      <c r="W26" s="44" t="n">
        <v>61950</v>
      </c>
      <c r="X26" s="44" t="n">
        <v>62383</v>
      </c>
    </row>
    <row r="27" ht="22" customHeight="1">
      <c r="A27" s="4" t="str">
        <v>Accumulated depreciation</v>
      </c>
      <c r="B27" s="2"/>
      <c r="C27" s="44"/>
      <c r="D27" s="44"/>
      <c r="E27" s="44"/>
      <c r="F27" s="44"/>
      <c r="G27" s="44"/>
      <c r="H27" s="44"/>
      <c r="I27" s="44"/>
      <c r="J27" s="44"/>
      <c r="K27" s="44"/>
      <c r="L27" s="44"/>
      <c r="M27" s="45"/>
      <c r="N27" s="44" t="n">
        <v>-27718</v>
      </c>
      <c r="O27" s="44" t="n">
        <v>-27998</v>
      </c>
      <c r="P27" s="44" t="n">
        <v>-28278</v>
      </c>
      <c r="Q27" s="43" t="str">
        <f>IF(COUNT('Balance Sheet'!K27)=1,'Balance Sheet'!K27,"")</f>
      </c>
      <c r="R27" s="44" t="n">
        <v>-28729</v>
      </c>
      <c r="S27" s="44" t="n">
        <v>-29672</v>
      </c>
      <c r="T27" s="44" t="n">
        <v>-30256</v>
      </c>
      <c r="U27" s="43" t="str">
        <f>IF(COUNT('Balance Sheet'!L27)=1,'Balance Sheet'!L27,"")</f>
      </c>
      <c r="V27" s="44" t="n">
        <v>-31670</v>
      </c>
      <c r="W27" s="44" t="n">
        <v>-32179</v>
      </c>
      <c r="X27" s="44" t="n">
        <v>-32652</v>
      </c>
    </row>
    <row r="28" ht="24" customHeight="1">
      <c r="A28" s="51" t="str">
        <v>Property, Plant and Equipment, net</v>
      </c>
      <c r="B28" s="52"/>
      <c r="C28" s="53" t="n">
        <v>16591</v>
      </c>
      <c r="D28" s="53" t="n">
        <v>17240</v>
      </c>
      <c r="E28" s="53" t="n">
        <v>17589</v>
      </c>
      <c r="F28" s="53" t="n">
        <v>19305</v>
      </c>
      <c r="G28" s="53" t="n">
        <v>21369</v>
      </c>
      <c r="H28" s="53" t="n">
        <v>22407</v>
      </c>
      <c r="I28" s="53" t="n">
        <v>24291</v>
      </c>
      <c r="J28" s="53" t="n">
        <v>27039</v>
      </c>
      <c r="K28" s="53" t="n">
        <v>28008</v>
      </c>
      <c r="L28" s="53" t="n">
        <v>29905</v>
      </c>
      <c r="M28" s="55"/>
      <c r="N28" s="53" t="n">
        <v>26792</v>
      </c>
      <c r="O28" s="53" t="n">
        <v>27042</v>
      </c>
      <c r="P28" s="53" t="n">
        <v>27188</v>
      </c>
      <c r="Q28" s="54" t="n">
        <f>IF(COUNT('Balance Sheet'!K28)=1,'Balance Sheet'!K28,"")</f>
        <v>28008</v>
      </c>
      <c r="R28" s="53" t="n">
        <v>28213</v>
      </c>
      <c r="S28" s="53" t="n">
        <v>28797</v>
      </c>
      <c r="T28" s="53" t="n">
        <v>29053</v>
      </c>
      <c r="U28" s="54" t="n">
        <f>IF(COUNT('Balance Sheet'!L28)=1,'Balance Sheet'!L28,"")</f>
        <v>29905</v>
      </c>
      <c r="V28" s="53" t="n">
        <v>29807</v>
      </c>
      <c r="W28" s="53" t="n">
        <v>29771</v>
      </c>
      <c r="X28" s="53" t="n">
        <v>29731</v>
      </c>
    </row>
    <row r="29" ht="22" customHeight="1">
      <c r="A29" s="4" t="str">
        <v>Amortizable Intangible Assets, net</v>
      </c>
      <c r="B29" s="2"/>
      <c r="C29" s="44" t="n">
        <v>1237</v>
      </c>
      <c r="D29" s="44" t="n">
        <v>1268</v>
      </c>
      <c r="E29" s="44" t="n">
        <v>1644</v>
      </c>
      <c r="F29" s="44" t="n">
        <v>1433</v>
      </c>
      <c r="G29" s="44" t="n">
        <v>1703</v>
      </c>
      <c r="H29" s="44" t="n">
        <v>1538</v>
      </c>
      <c r="I29" s="44" t="n">
        <v>1277</v>
      </c>
      <c r="J29" s="44" t="n">
        <v>1199</v>
      </c>
      <c r="K29" s="44" t="n">
        <v>1102</v>
      </c>
      <c r="L29" s="44" t="n">
        <v>1219</v>
      </c>
      <c r="M29" s="45"/>
      <c r="N29" s="44" t="n">
        <v>1173</v>
      </c>
      <c r="O29" s="44" t="n">
        <v>1151</v>
      </c>
      <c r="P29" s="44" t="n">
        <v>1132</v>
      </c>
      <c r="Q29" s="43" t="n">
        <f>IF(COUNT('Balance Sheet'!K29)=1,'Balance Sheet'!K29,"")</f>
        <v>1102</v>
      </c>
      <c r="R29" s="44" t="n">
        <v>1157</v>
      </c>
      <c r="S29" s="44" t="n">
        <v>1311</v>
      </c>
      <c r="T29" s="44" t="n">
        <v>1241</v>
      </c>
      <c r="U29" s="43" t="n">
        <f>IF(COUNT('Balance Sheet'!L29)=1,'Balance Sheet'!L29,"")</f>
        <v>1219</v>
      </c>
      <c r="V29" s="44" t="n">
        <v>1209</v>
      </c>
      <c r="W29" s="44" t="n">
        <v>1187</v>
      </c>
      <c r="X29" s="44" t="n">
        <v>1165</v>
      </c>
    </row>
    <row r="30" ht="22" customHeight="1">
      <c r="A30" s="4" t="str">
        <v>Goodwill</v>
      </c>
      <c r="B30" s="2"/>
      <c r="C30" s="44" t="n">
        <v>14430</v>
      </c>
      <c r="D30" s="44" t="n">
        <v>14744</v>
      </c>
      <c r="E30" s="44" t="n">
        <v>14808</v>
      </c>
      <c r="F30" s="44" t="n">
        <v>15501</v>
      </c>
      <c r="G30" s="44" t="n">
        <v>18757</v>
      </c>
      <c r="H30" s="44" t="n">
        <v>18381</v>
      </c>
      <c r="I30" s="44" t="n">
        <v>18202</v>
      </c>
      <c r="J30" s="44" t="n">
        <v>17728</v>
      </c>
      <c r="K30" s="44" t="n">
        <v>17534</v>
      </c>
      <c r="L30" s="44" t="n">
        <v>18916</v>
      </c>
      <c r="M30" s="45"/>
      <c r="N30" s="44" t="n">
        <v>17646</v>
      </c>
      <c r="O30" s="44" t="n">
        <v>17648</v>
      </c>
      <c r="P30" s="44" t="n">
        <v>17709</v>
      </c>
      <c r="Q30" s="43" t="n">
        <f>IF(COUNT('Balance Sheet'!K30)=1,'Balance Sheet'!K30,"")</f>
        <v>17534</v>
      </c>
      <c r="R30" s="44" t="n">
        <v>18364</v>
      </c>
      <c r="S30" s="44" t="n">
        <v>18952</v>
      </c>
      <c r="T30" s="44" t="n">
        <v>18845</v>
      </c>
      <c r="U30" s="43" t="n">
        <f>IF(COUNT('Balance Sheet'!L30)=1,'Balance Sheet'!L30,"")</f>
        <v>18916</v>
      </c>
      <c r="V30" s="44" t="n">
        <v>19021</v>
      </c>
      <c r="W30" s="44" t="n">
        <v>19093</v>
      </c>
      <c r="X30" s="44" t="n">
        <v>18884</v>
      </c>
    </row>
    <row r="31" ht="22" customHeight="1">
      <c r="A31" s="4" t="str">
        <v>Other nonamortizable intangible assets</v>
      </c>
      <c r="B31" s="2"/>
      <c r="C31" s="44" t="n">
        <v>12196</v>
      </c>
      <c r="D31" s="44" t="n">
        <v>12570</v>
      </c>
      <c r="E31" s="44" t="n">
        <v>14181</v>
      </c>
      <c r="F31" s="44" t="n">
        <v>14610</v>
      </c>
      <c r="G31" s="44" t="n">
        <v>17612</v>
      </c>
      <c r="H31" s="44" t="n">
        <v>17127</v>
      </c>
      <c r="I31" s="44" t="n">
        <v>14309</v>
      </c>
      <c r="J31" s="44" t="n">
        <v>13730</v>
      </c>
      <c r="K31" s="44" t="n">
        <v>13699</v>
      </c>
      <c r="L31" s="44" t="n">
        <v>13847</v>
      </c>
      <c r="M31" s="45"/>
      <c r="N31" s="44" t="n">
        <v>13680</v>
      </c>
      <c r="O31" s="44" t="n">
        <v>13675</v>
      </c>
      <c r="P31" s="44" t="n">
        <v>13725</v>
      </c>
      <c r="Q31" s="43" t="n">
        <f>IF(COUNT('Balance Sheet'!K31)=1,'Balance Sheet'!K31,"")</f>
        <v>13699</v>
      </c>
      <c r="R31" s="44" t="n">
        <v>14206</v>
      </c>
      <c r="S31" s="44" t="n">
        <v>14212</v>
      </c>
      <c r="T31" s="44" t="n">
        <v>13611</v>
      </c>
      <c r="U31" s="43" t="n">
        <f>IF(COUNT('Balance Sheet'!L31)=1,'Balance Sheet'!L31,"")</f>
        <v>13847</v>
      </c>
      <c r="V31" s="44" t="n">
        <v>13934</v>
      </c>
      <c r="W31" s="44" t="n">
        <v>13990</v>
      </c>
      <c r="X31" s="44" t="n">
        <v>13977</v>
      </c>
    </row>
    <row r="32" ht="22" customHeight="1">
      <c r="A32" s="4" t="str">
        <v>Nonamortizable Intangible Assets (reported subtotal)</v>
      </c>
      <c r="B32" s="2"/>
      <c r="C32" s="44" t="n">
        <v>26626</v>
      </c>
      <c r="D32" s="44" t="n">
        <v>27314</v>
      </c>
      <c r="E32" s="44" t="n">
        <v>28989</v>
      </c>
      <c r="F32" s="44"/>
      <c r="G32" s="44"/>
      <c r="H32" s="44"/>
      <c r="I32" s="44"/>
      <c r="J32" s="44"/>
      <c r="K32" s="44"/>
      <c r="L32" s="44"/>
      <c r="M32" s="45"/>
      <c r="N32" s="44"/>
      <c r="O32" s="44"/>
      <c r="P32" s="44"/>
      <c r="Q32" s="43" t="str">
        <f>IF(COUNT('Balance Sheet'!K32)=1,'Balance Sheet'!K32,"")</f>
      </c>
      <c r="R32" s="44"/>
      <c r="S32" s="44"/>
      <c r="T32" s="44"/>
      <c r="U32" s="43" t="str">
        <f>IF(COUNT('Balance Sheet'!L32)=1,'Balance Sheet'!L32,"")</f>
      </c>
      <c r="V32" s="44"/>
      <c r="W32" s="44"/>
      <c r="X32" s="44"/>
    </row>
    <row r="33" ht="22" customHeight="1">
      <c r="A33" s="4" t="str">
        <v>Investments in Noncontrolled Affiliates</v>
      </c>
      <c r="B33" s="2"/>
      <c r="C33" s="44" t="n">
        <v>1950</v>
      </c>
      <c r="D33" s="44" t="n">
        <v>2042</v>
      </c>
      <c r="E33" s="44" t="n">
        <v>2409</v>
      </c>
      <c r="F33" s="44" t="n">
        <v>2683</v>
      </c>
      <c r="G33" s="44" t="n">
        <v>2792</v>
      </c>
      <c r="H33" s="44" t="n">
        <v>2350</v>
      </c>
      <c r="I33" s="44" t="n">
        <v>3073</v>
      </c>
      <c r="J33" s="44" t="n">
        <v>2714</v>
      </c>
      <c r="K33" s="44" t="n">
        <v>1985</v>
      </c>
      <c r="L33" s="44" t="n">
        <v>2038</v>
      </c>
      <c r="M33" s="45"/>
      <c r="N33" s="44" t="n">
        <v>2734</v>
      </c>
      <c r="O33" s="44" t="n">
        <v>2674</v>
      </c>
      <c r="P33" s="44" t="n">
        <v>2645</v>
      </c>
      <c r="Q33" s="43" t="n">
        <f>IF(COUNT('Balance Sheet'!K33)=1,'Balance Sheet'!K33,"")</f>
        <v>1985</v>
      </c>
      <c r="R33" s="44" t="n">
        <v>1996</v>
      </c>
      <c r="S33" s="44" t="n">
        <v>2061</v>
      </c>
      <c r="T33" s="44" t="n">
        <v>2084</v>
      </c>
      <c r="U33" s="43" t="n">
        <f>IF(COUNT('Balance Sheet'!L33)=1,'Balance Sheet'!L33,"")</f>
        <v>2038</v>
      </c>
      <c r="V33" s="44" t="n">
        <v>2135</v>
      </c>
      <c r="W33" s="44" t="n">
        <v>2180</v>
      </c>
      <c r="X33" s="44" t="n">
        <v>2215</v>
      </c>
    </row>
    <row r="34" ht="22" customHeight="1">
      <c r="A34" s="4" t="str">
        <v>Deferred income tax assets</v>
      </c>
      <c r="B34" s="2"/>
      <c r="C34" s="44"/>
      <c r="D34" s="44" t="n">
        <v>0</v>
      </c>
      <c r="E34" s="44" t="n">
        <v>4364</v>
      </c>
      <c r="F34" s="44" t="n">
        <v>4359</v>
      </c>
      <c r="G34" s="44" t="n">
        <v>4372</v>
      </c>
      <c r="H34" s="44" t="n">
        <v>4310</v>
      </c>
      <c r="I34" s="44" t="n">
        <v>4204</v>
      </c>
      <c r="J34" s="44" t="n">
        <v>4474</v>
      </c>
      <c r="K34" s="44" t="n">
        <v>4362</v>
      </c>
      <c r="L34" s="44" t="n">
        <v>4541</v>
      </c>
      <c r="M34" s="45"/>
      <c r="N34" s="44" t="n">
        <v>4444</v>
      </c>
      <c r="O34" s="44" t="n">
        <v>4465</v>
      </c>
      <c r="P34" s="44" t="n">
        <v>4321</v>
      </c>
      <c r="Q34" s="43" t="n">
        <f>IF(COUNT('Balance Sheet'!K34)=1,'Balance Sheet'!K34,"")</f>
        <v>4362</v>
      </c>
      <c r="R34" s="44" t="n">
        <v>4350</v>
      </c>
      <c r="S34" s="44" t="n">
        <v>4293</v>
      </c>
      <c r="T34" s="44" t="n">
        <v>4341</v>
      </c>
      <c r="U34" s="43" t="n">
        <f>IF(COUNT('Balance Sheet'!L34)=1,'Balance Sheet'!L34,"")</f>
        <v>4541</v>
      </c>
      <c r="V34" s="44" t="n">
        <v>4560</v>
      </c>
      <c r="W34" s="44" t="n">
        <v>4455</v>
      </c>
      <c r="X34" s="44" t="n">
        <v>4328</v>
      </c>
    </row>
    <row r="35" ht="22" customHeight="1">
      <c r="A35" s="4" t="str">
        <v>Other Assets</v>
      </c>
      <c r="B35" s="2"/>
      <c r="C35" s="44" t="n">
        <v>636</v>
      </c>
      <c r="D35" s="44" t="n">
        <v>913</v>
      </c>
      <c r="E35" s="44" t="n">
        <v>760</v>
      </c>
      <c r="F35" s="44" t="n">
        <v>3011</v>
      </c>
      <c r="G35" s="44" t="n">
        <v>3312</v>
      </c>
      <c r="H35" s="44" t="n">
        <v>4481</v>
      </c>
      <c r="I35" s="44" t="n">
        <v>5292</v>
      </c>
      <c r="J35" s="44" t="n">
        <v>6661</v>
      </c>
      <c r="K35" s="44" t="n">
        <v>6951</v>
      </c>
      <c r="L35" s="44" t="n">
        <v>8984</v>
      </c>
      <c r="M35" s="45"/>
      <c r="N35" s="44" t="n">
        <v>7566</v>
      </c>
      <c r="O35" s="44" t="n">
        <v>7175</v>
      </c>
      <c r="P35" s="44" t="n">
        <v>6941</v>
      </c>
      <c r="Q35" s="43" t="n">
        <f>IF(COUNT('Balance Sheet'!K35)=1,'Balance Sheet'!K35,"")</f>
        <v>6951</v>
      </c>
      <c r="R35" s="44" t="n">
        <v>7163</v>
      </c>
      <c r="S35" s="44" t="n">
        <v>7509</v>
      </c>
      <c r="T35" s="44" t="n">
        <v>8661</v>
      </c>
      <c r="U35" s="43" t="n">
        <f>IF(COUNT('Balance Sheet'!L35)=1,'Balance Sheet'!L35,"")</f>
        <v>8984</v>
      </c>
      <c r="V35" s="44" t="n">
        <v>9064</v>
      </c>
      <c r="W35" s="44" t="n">
        <v>8738</v>
      </c>
      <c r="X35" s="44" t="n">
        <v>9117</v>
      </c>
    </row>
    <row r="36" ht="24" customHeight="1">
      <c r="A36" s="51" t="str">
        <v>Total Assets</v>
      </c>
      <c r="B36" s="52"/>
      <c r="C36" s="53" t="n">
        <v>73490</v>
      </c>
      <c r="D36" s="53" t="n">
        <v>79804</v>
      </c>
      <c r="E36" s="53" t="n">
        <v>77648</v>
      </c>
      <c r="F36" s="53" t="n">
        <v>78547</v>
      </c>
      <c r="G36" s="53" t="n">
        <v>92918</v>
      </c>
      <c r="H36" s="53" t="n">
        <v>92377</v>
      </c>
      <c r="I36" s="53" t="n">
        <v>92187</v>
      </c>
      <c r="J36" s="53" t="n">
        <v>100495</v>
      </c>
      <c r="K36" s="53" t="n">
        <v>99467</v>
      </c>
      <c r="L36" s="53" t="n">
        <v>107399</v>
      </c>
      <c r="M36" s="55"/>
      <c r="N36" s="53" t="n">
        <v>100040</v>
      </c>
      <c r="O36" s="53" t="n">
        <v>99533</v>
      </c>
      <c r="P36" s="53" t="n">
        <v>100513</v>
      </c>
      <c r="Q36" s="54" t="n">
        <f>IF(COUNT('Balance Sheet'!K36)=1,'Balance Sheet'!K36,"")</f>
        <v>99467</v>
      </c>
      <c r="R36" s="53" t="n">
        <v>101737</v>
      </c>
      <c r="S36" s="53" t="n">
        <v>105345</v>
      </c>
      <c r="T36" s="53" t="n">
        <v>106558</v>
      </c>
      <c r="U36" s="54" t="n">
        <f>IF(COUNT('Balance Sheet'!L36)=1,'Balance Sheet'!L36,"")</f>
        <v>107399</v>
      </c>
      <c r="V36" s="53" t="n">
        <v>110646</v>
      </c>
      <c r="W36" s="53" t="n">
        <v>112189</v>
      </c>
      <c r="X36" s="53" t="n">
        <v>111976</v>
      </c>
    </row>
    <row r="37" ht="24" customHeight="1">
      <c r="A37" s="39" t="str">
        <v>Current Liabilities</v>
      </c>
      <c r="B37" s="40"/>
      <c r="C37" s="41"/>
      <c r="D37" s="41"/>
      <c r="E37" s="41"/>
      <c r="F37" s="41"/>
      <c r="G37" s="41"/>
      <c r="H37" s="41"/>
      <c r="I37" s="41"/>
      <c r="J37" s="41"/>
      <c r="K37" s="41"/>
      <c r="L37" s="41"/>
      <c r="M37" s="42"/>
      <c r="N37" s="41"/>
      <c r="O37" s="41"/>
      <c r="P37" s="41"/>
      <c r="Q37" s="41"/>
      <c r="R37" s="41"/>
      <c r="S37" s="41"/>
      <c r="T37" s="41"/>
      <c r="U37" s="41"/>
      <c r="V37" s="41"/>
      <c r="W37" s="41"/>
      <c r="X37" s="41"/>
    </row>
    <row r="38" ht="36" customHeight="1">
      <c r="A38" s="4" t="str">
        <v>Short-term debt obligations (including current maturities of long-term debt)</v>
      </c>
      <c r="B38" s="2"/>
      <c r="C38" s="44" t="n">
        <v>6892</v>
      </c>
      <c r="D38" s="44" t="n">
        <v>5485</v>
      </c>
      <c r="E38" s="44" t="n">
        <v>4026</v>
      </c>
      <c r="F38" s="44" t="n">
        <v>2920</v>
      </c>
      <c r="G38" s="44" t="n">
        <v>3780</v>
      </c>
      <c r="H38" s="44" t="n">
        <v>4308</v>
      </c>
      <c r="I38" s="44" t="n">
        <v>3414</v>
      </c>
      <c r="J38" s="44" t="n">
        <v>6510</v>
      </c>
      <c r="K38" s="44" t="n">
        <v>7082</v>
      </c>
      <c r="L38" s="44" t="n">
        <v>6861</v>
      </c>
      <c r="M38" s="45"/>
      <c r="N38" s="44" t="n">
        <v>8161</v>
      </c>
      <c r="O38" s="44" t="n">
        <v>8289</v>
      </c>
      <c r="P38" s="44" t="n">
        <v>6524</v>
      </c>
      <c r="Q38" s="43" t="n">
        <f>IF(COUNT('Balance Sheet'!K38)=1,'Balance Sheet'!K38,"")</f>
        <v>7082</v>
      </c>
      <c r="R38" s="44" t="n">
        <v>9099</v>
      </c>
      <c r="S38" s="44" t="n">
        <v>12056</v>
      </c>
      <c r="T38" s="44" t="n">
        <v>6736</v>
      </c>
      <c r="U38" s="43" t="n">
        <f>IF(COUNT('Balance Sheet'!L38)=1,'Balance Sheet'!L38,"")</f>
        <v>6861</v>
      </c>
      <c r="V38" s="44" t="n">
        <v>10151</v>
      </c>
      <c r="W38" s="44" t="n">
        <v>10602</v>
      </c>
      <c r="X38" s="44" t="n">
        <v>9223</v>
      </c>
    </row>
    <row r="39" ht="22" customHeight="1">
      <c r="A39" s="4" t="str">
        <v>Accounts payable and other current liabilities</v>
      </c>
      <c r="B39" s="2"/>
      <c r="C39" s="44" t="n">
        <v>14243</v>
      </c>
      <c r="D39" s="44" t="n">
        <v>15017</v>
      </c>
      <c r="E39" s="44" t="n">
        <v>18112</v>
      </c>
      <c r="F39" s="44" t="n">
        <v>17541</v>
      </c>
      <c r="G39" s="44" t="n">
        <v>19592</v>
      </c>
      <c r="H39" s="44" t="n">
        <v>21159</v>
      </c>
      <c r="I39" s="44" t="n">
        <v>23371</v>
      </c>
      <c r="J39" s="44" t="n">
        <v>25137</v>
      </c>
      <c r="K39" s="44" t="n">
        <v>24454</v>
      </c>
      <c r="L39" s="44" t="n">
        <v>25903</v>
      </c>
      <c r="M39" s="45"/>
      <c r="N39" s="44" t="n">
        <v>22073</v>
      </c>
      <c r="O39" s="44" t="n">
        <v>22859</v>
      </c>
      <c r="P39" s="44" t="n">
        <v>23791</v>
      </c>
      <c r="Q39" s="43" t="n">
        <f>IF(COUNT('Balance Sheet'!K39)=1,'Balance Sheet'!K39,"")</f>
        <v>24454</v>
      </c>
      <c r="R39" s="44" t="n">
        <v>22412</v>
      </c>
      <c r="S39" s="44" t="n">
        <v>24340</v>
      </c>
      <c r="T39" s="44" t="n">
        <v>24763</v>
      </c>
      <c r="U39" s="43" t="n">
        <f>IF(COUNT('Balance Sheet'!L39)=1,'Balance Sheet'!L39,"")</f>
        <v>25903</v>
      </c>
      <c r="V39" s="44" t="n">
        <v>24326</v>
      </c>
      <c r="W39" s="44" t="n">
        <v>24504</v>
      </c>
      <c r="X39" s="44" t="n">
        <v>25306</v>
      </c>
    </row>
    <row r="40" ht="22" customHeight="1">
      <c r="A40" s="4" t="str">
        <v>Liabilities held for sale</v>
      </c>
      <c r="B40" s="2"/>
      <c r="C40" s="44"/>
      <c r="D40" s="44"/>
      <c r="E40" s="44"/>
      <c r="F40" s="44"/>
      <c r="G40" s="44" t="n">
        <v>0</v>
      </c>
      <c r="H40" s="44" t="n">
        <v>753</v>
      </c>
      <c r="I40" s="44"/>
      <c r="J40" s="44"/>
      <c r="K40" s="44"/>
      <c r="L40" s="44"/>
      <c r="M40" s="45"/>
      <c r="N40" s="44"/>
      <c r="O40" s="44"/>
      <c r="P40" s="44"/>
      <c r="Q40" s="43" t="str">
        <f>IF(COUNT('Balance Sheet'!K40)=1,'Balance Sheet'!K40,"")</f>
      </c>
      <c r="R40" s="44"/>
      <c r="S40" s="44"/>
      <c r="T40" s="44"/>
      <c r="U40" s="43" t="str">
        <f>IF(COUNT('Balance Sheet'!L40)=1,'Balance Sheet'!L40,"")</f>
      </c>
      <c r="V40" s="44"/>
      <c r="W40" s="44"/>
      <c r="X40" s="44"/>
    </row>
    <row r="41" ht="24" customHeight="1">
      <c r="A41" s="51" t="str">
        <v>Total Current Liabilities</v>
      </c>
      <c r="B41" s="52"/>
      <c r="C41" s="53" t="n">
        <v>21135</v>
      </c>
      <c r="D41" s="53" t="n">
        <v>20502</v>
      </c>
      <c r="E41" s="53" t="n">
        <v>22138</v>
      </c>
      <c r="F41" s="53" t="n">
        <v>20461</v>
      </c>
      <c r="G41" s="53" t="n">
        <v>23372</v>
      </c>
      <c r="H41" s="53" t="n">
        <v>26220</v>
      </c>
      <c r="I41" s="53" t="n">
        <v>26785</v>
      </c>
      <c r="J41" s="53" t="n">
        <v>31647</v>
      </c>
      <c r="K41" s="53" t="n">
        <v>31536</v>
      </c>
      <c r="L41" s="53" t="n">
        <v>32764</v>
      </c>
      <c r="M41" s="55"/>
      <c r="N41" s="53" t="n">
        <v>30234</v>
      </c>
      <c r="O41" s="53" t="n">
        <v>31148</v>
      </c>
      <c r="P41" s="53" t="n">
        <v>30315</v>
      </c>
      <c r="Q41" s="54" t="n">
        <f>IF(COUNT('Balance Sheet'!K41)=1,'Balance Sheet'!K41,"")</f>
        <v>31536</v>
      </c>
      <c r="R41" s="53" t="n">
        <v>31511</v>
      </c>
      <c r="S41" s="53" t="n">
        <v>36396</v>
      </c>
      <c r="T41" s="53" t="n">
        <v>31499</v>
      </c>
      <c r="U41" s="54" t="n">
        <f>IF(COUNT('Balance Sheet'!L41)=1,'Balance Sheet'!L41,"")</f>
        <v>32764</v>
      </c>
      <c r="V41" s="53" t="n">
        <v>34477</v>
      </c>
      <c r="W41" s="53" t="n">
        <v>35106</v>
      </c>
      <c r="X41" s="53" t="n">
        <v>34529</v>
      </c>
    </row>
    <row r="42" ht="24" customHeight="1">
      <c r="A42" s="39" t="str">
        <v>Noncurrent Liabilities</v>
      </c>
      <c r="B42" s="40"/>
      <c r="C42" s="41"/>
      <c r="D42" s="41"/>
      <c r="E42" s="41"/>
      <c r="F42" s="41"/>
      <c r="G42" s="41"/>
      <c r="H42" s="41"/>
      <c r="I42" s="41"/>
      <c r="J42" s="41"/>
      <c r="K42" s="41"/>
      <c r="L42" s="41"/>
      <c r="M42" s="42"/>
      <c r="N42" s="41"/>
      <c r="O42" s="41"/>
      <c r="P42" s="41"/>
      <c r="Q42" s="41"/>
      <c r="R42" s="41"/>
      <c r="S42" s="41"/>
      <c r="T42" s="41"/>
      <c r="U42" s="41"/>
      <c r="V42" s="41"/>
      <c r="W42" s="41"/>
      <c r="X42" s="41"/>
    </row>
    <row r="43" ht="22" customHeight="1">
      <c r="A43" s="4" t="str">
        <v>Long-Term Debt Obligations</v>
      </c>
      <c r="B43" s="2"/>
      <c r="C43" s="44" t="n">
        <v>30053</v>
      </c>
      <c r="D43" s="44" t="n">
        <v>33796</v>
      </c>
      <c r="E43" s="44" t="n">
        <v>28295</v>
      </c>
      <c r="F43" s="44" t="n">
        <v>29148</v>
      </c>
      <c r="G43" s="44" t="n">
        <v>40370</v>
      </c>
      <c r="H43" s="44" t="n">
        <v>36026</v>
      </c>
      <c r="I43" s="44" t="n">
        <v>35657</v>
      </c>
      <c r="J43" s="44" t="n">
        <v>37595</v>
      </c>
      <c r="K43" s="44" t="n">
        <v>37224</v>
      </c>
      <c r="L43" s="44" t="n">
        <v>42321</v>
      </c>
      <c r="M43" s="45"/>
      <c r="N43" s="44" t="n">
        <v>37707</v>
      </c>
      <c r="O43" s="44" t="n">
        <v>36638</v>
      </c>
      <c r="P43" s="44" t="n">
        <v>38490</v>
      </c>
      <c r="Q43" s="43" t="n">
        <f>IF(COUNT('Balance Sheet'!K43)=1,'Balance Sheet'!K43,"")</f>
        <v>37224</v>
      </c>
      <c r="R43" s="44" t="n">
        <v>39419</v>
      </c>
      <c r="S43" s="44" t="n">
        <v>39328</v>
      </c>
      <c r="T43" s="44" t="n">
        <v>44113</v>
      </c>
      <c r="U43" s="43" t="n">
        <f>IF(COUNT('Balance Sheet'!L43)=1,'Balance Sheet'!L43,"")</f>
        <v>42321</v>
      </c>
      <c r="V43" s="44" t="n">
        <v>42577</v>
      </c>
      <c r="W43" s="44" t="n">
        <v>42612</v>
      </c>
      <c r="X43" s="44" t="n">
        <v>42658</v>
      </c>
    </row>
    <row r="44" ht="22" customHeight="1">
      <c r="A44" s="4" t="str">
        <v>Deferred income tax liabilities</v>
      </c>
      <c r="B44" s="2"/>
      <c r="C44" s="44" t="n">
        <v>4434</v>
      </c>
      <c r="D44" s="44" t="n">
        <v>3242</v>
      </c>
      <c r="E44" s="44" t="n">
        <v>3499</v>
      </c>
      <c r="F44" s="44" t="n">
        <v>4091</v>
      </c>
      <c r="G44" s="44" t="n">
        <v>4284</v>
      </c>
      <c r="H44" s="44" t="n">
        <v>4826</v>
      </c>
      <c r="I44" s="44" t="n">
        <v>4133</v>
      </c>
      <c r="J44" s="44" t="n">
        <v>3895</v>
      </c>
      <c r="K44" s="44" t="n">
        <v>3484</v>
      </c>
      <c r="L44" s="44" t="n">
        <v>3802</v>
      </c>
      <c r="M44" s="45"/>
      <c r="N44" s="44" t="n">
        <v>4087</v>
      </c>
      <c r="O44" s="44" t="n">
        <v>3908</v>
      </c>
      <c r="P44" s="44" t="n">
        <v>3684</v>
      </c>
      <c r="Q44" s="43" t="n">
        <f>IF(COUNT('Balance Sheet'!K44)=1,'Balance Sheet'!K44,"")</f>
        <v>3484</v>
      </c>
      <c r="R44" s="44" t="n">
        <v>3541</v>
      </c>
      <c r="S44" s="44" t="n">
        <v>3102</v>
      </c>
      <c r="T44" s="44" t="n">
        <v>3474</v>
      </c>
      <c r="U44" s="43" t="n">
        <f>IF(COUNT('Balance Sheet'!L44)=1,'Balance Sheet'!L44,"")</f>
        <v>3802</v>
      </c>
      <c r="V44" s="44" t="n">
        <v>4048</v>
      </c>
      <c r="W44" s="44" t="n">
        <v>4055</v>
      </c>
      <c r="X44" s="44" t="n">
        <v>4107</v>
      </c>
    </row>
    <row r="45" ht="22" customHeight="1">
      <c r="A45" s="4" t="str">
        <v>Other Liabilities</v>
      </c>
      <c r="B45" s="2"/>
      <c r="C45" s="44" t="n">
        <v>6669</v>
      </c>
      <c r="D45" s="44" t="n">
        <v>11283</v>
      </c>
      <c r="E45" s="44" t="n">
        <v>9114</v>
      </c>
      <c r="F45" s="44" t="n">
        <v>9979</v>
      </c>
      <c r="G45" s="44" t="n">
        <v>11340</v>
      </c>
      <c r="H45" s="44" t="n">
        <v>9154</v>
      </c>
      <c r="I45" s="44" t="n">
        <v>8339</v>
      </c>
      <c r="J45" s="44" t="n">
        <v>8721</v>
      </c>
      <c r="K45" s="44" t="n">
        <v>9052</v>
      </c>
      <c r="L45" s="44" t="n">
        <v>7965</v>
      </c>
      <c r="M45" s="45"/>
      <c r="N45" s="44" t="n">
        <v>8822</v>
      </c>
      <c r="O45" s="44" t="n">
        <v>8259</v>
      </c>
      <c r="P45" s="44" t="n">
        <v>8419</v>
      </c>
      <c r="Q45" s="43" t="n">
        <f>IF(COUNT('Balance Sheet'!K45)=1,'Balance Sheet'!K45,"")</f>
        <v>9052</v>
      </c>
      <c r="R45" s="44" t="n">
        <v>8737</v>
      </c>
      <c r="S45" s="44" t="n">
        <v>7960</v>
      </c>
      <c r="T45" s="44" t="n">
        <v>7929</v>
      </c>
      <c r="U45" s="43" t="n">
        <f>IF(COUNT('Balance Sheet'!L45)=1,'Balance Sheet'!L45,"")</f>
        <v>7965</v>
      </c>
      <c r="V45" s="44" t="n">
        <v>8008</v>
      </c>
      <c r="W45" s="44" t="n">
        <v>8146</v>
      </c>
      <c r="X45" s="44" t="n">
        <v>8195</v>
      </c>
    </row>
    <row r="46" ht="24" customHeight="1">
      <c r="A46" s="51" t="str">
        <v>Total Liabilities</v>
      </c>
      <c r="B46" s="52"/>
      <c r="C46" s="53" t="n">
        <v>62291</v>
      </c>
      <c r="D46" s="53" t="n">
        <v>68823</v>
      </c>
      <c r="E46" s="53" t="n">
        <v>63046</v>
      </c>
      <c r="F46" s="53" t="n">
        <v>63679</v>
      </c>
      <c r="G46" s="53" t="n">
        <v>79366</v>
      </c>
      <c r="H46" s="53" t="n">
        <v>76226</v>
      </c>
      <c r="I46" s="53" t="n">
        <v>74914</v>
      </c>
      <c r="J46" s="53" t="n">
        <v>81858</v>
      </c>
      <c r="K46" s="53" t="n">
        <v>81296</v>
      </c>
      <c r="L46" s="53" t="n">
        <v>86852</v>
      </c>
      <c r="M46" s="55"/>
      <c r="N46" s="53" t="n">
        <v>80850</v>
      </c>
      <c r="O46" s="53" t="n">
        <v>79953</v>
      </c>
      <c r="P46" s="53" t="n">
        <v>80908</v>
      </c>
      <c r="Q46" s="54" t="n">
        <f>IF(COUNT('Balance Sheet'!K46)=1,'Balance Sheet'!K46,"")</f>
        <v>81296</v>
      </c>
      <c r="R46" s="53" t="n">
        <v>83208</v>
      </c>
      <c r="S46" s="53" t="n">
        <v>86786</v>
      </c>
      <c r="T46" s="53" t="n">
        <v>87015</v>
      </c>
      <c r="U46" s="54" t="n">
        <f>IF(COUNT('Balance Sheet'!L46)=1,'Balance Sheet'!L46,"")</f>
        <v>86852</v>
      </c>
      <c r="V46" s="53" t="n">
        <v>89110</v>
      </c>
      <c r="W46" s="53" t="n">
        <v>89919</v>
      </c>
      <c r="X46" s="53" t="n">
        <v>89489</v>
      </c>
    </row>
    <row r="47" ht="24" customHeight="1">
      <c r="A47" s="39" t="str">
        <v>Shareholders' Equity</v>
      </c>
      <c r="B47" s="40"/>
      <c r="C47" s="41"/>
      <c r="D47" s="41"/>
      <c r="E47" s="41"/>
      <c r="F47" s="41"/>
      <c r="G47" s="41"/>
      <c r="H47" s="41"/>
      <c r="I47" s="41"/>
      <c r="J47" s="41"/>
      <c r="K47" s="41"/>
      <c r="L47" s="41"/>
      <c r="M47" s="42"/>
      <c r="N47" s="41"/>
      <c r="O47" s="41"/>
      <c r="P47" s="41"/>
      <c r="Q47" s="41"/>
      <c r="R47" s="41"/>
      <c r="S47" s="41"/>
      <c r="T47" s="41"/>
      <c r="U47" s="41"/>
      <c r="V47" s="41"/>
      <c r="W47" s="41"/>
      <c r="X47" s="41"/>
    </row>
    <row r="48" ht="22" customHeight="1">
      <c r="A48" s="4" t="str">
        <v>Preferred Stock, no par value</v>
      </c>
      <c r="B48" s="2"/>
      <c r="C48" s="44" t="n">
        <v>41</v>
      </c>
      <c r="D48" s="44" t="n">
        <v>41</v>
      </c>
      <c r="E48" s="44"/>
      <c r="F48" s="44"/>
      <c r="G48" s="44"/>
      <c r="H48" s="44"/>
      <c r="I48" s="44"/>
      <c r="J48" s="44"/>
      <c r="K48" s="44"/>
      <c r="L48" s="44"/>
      <c r="M48" s="45"/>
      <c r="N48" s="44"/>
      <c r="O48" s="44"/>
      <c r="P48" s="44"/>
      <c r="Q48" s="43" t="str">
        <f>IF(COUNT('Balance Sheet'!K48)=1,'Balance Sheet'!K48,"")</f>
      </c>
      <c r="R48" s="44"/>
      <c r="S48" s="44"/>
      <c r="T48" s="44"/>
      <c r="U48" s="43" t="str">
        <f>IF(COUNT('Balance Sheet'!L48)=1,'Balance Sheet'!L48,"")</f>
      </c>
      <c r="V48" s="44"/>
      <c r="W48" s="44"/>
      <c r="X48" s="44"/>
    </row>
    <row r="49" ht="22" customHeight="1">
      <c r="A49" s="4" t="str">
        <v>Repurchased Preferred Stock</v>
      </c>
      <c r="B49" s="2"/>
      <c r="C49" s="44" t="n">
        <v>-192</v>
      </c>
      <c r="D49" s="44" t="n">
        <v>-197</v>
      </c>
      <c r="E49" s="44"/>
      <c r="F49" s="44"/>
      <c r="G49" s="44"/>
      <c r="H49" s="44"/>
      <c r="I49" s="44"/>
      <c r="J49" s="44"/>
      <c r="K49" s="44"/>
      <c r="L49" s="44"/>
      <c r="M49" s="45"/>
      <c r="N49" s="44"/>
      <c r="O49" s="44"/>
      <c r="P49" s="44"/>
      <c r="Q49" s="43" t="str">
        <f>IF(COUNT('Balance Sheet'!K49)=1,'Balance Sheet'!K49,"")</f>
      </c>
      <c r="R49" s="44"/>
      <c r="S49" s="44"/>
      <c r="T49" s="44"/>
      <c r="U49" s="43" t="str">
        <f>IF(COUNT('Balance Sheet'!L49)=1,'Balance Sheet'!L49,"")</f>
      </c>
      <c r="V49" s="44"/>
      <c r="W49" s="44"/>
      <c r="X49" s="44"/>
    </row>
    <row r="50" ht="22" customHeight="1">
      <c r="A50" s="4" t="str">
        <v>Common stock</v>
      </c>
      <c r="B50" s="2"/>
      <c r="C50" s="44" t="n">
        <v>24</v>
      </c>
      <c r="D50" s="44" t="n">
        <v>24</v>
      </c>
      <c r="E50" s="44" t="n">
        <v>23</v>
      </c>
      <c r="F50" s="44" t="n">
        <v>23</v>
      </c>
      <c r="G50" s="44" t="n">
        <v>23</v>
      </c>
      <c r="H50" s="44" t="n">
        <v>23</v>
      </c>
      <c r="I50" s="44" t="n">
        <v>23</v>
      </c>
      <c r="J50" s="44" t="n">
        <v>23</v>
      </c>
      <c r="K50" s="44" t="n">
        <v>23</v>
      </c>
      <c r="L50" s="44" t="n">
        <v>23</v>
      </c>
      <c r="M50" s="45"/>
      <c r="N50" s="44" t="n">
        <v>23</v>
      </c>
      <c r="O50" s="44" t="n">
        <v>23</v>
      </c>
      <c r="P50" s="44" t="n">
        <v>23</v>
      </c>
      <c r="Q50" s="43" t="n">
        <f>IF(COUNT('Balance Sheet'!K50)=1,'Balance Sheet'!K50,"")</f>
        <v>23</v>
      </c>
      <c r="R50" s="44" t="n">
        <v>23</v>
      </c>
      <c r="S50" s="44" t="n">
        <v>23</v>
      </c>
      <c r="T50" s="44" t="n">
        <v>23</v>
      </c>
      <c r="U50" s="43" t="n">
        <f>IF(COUNT('Balance Sheet'!L50)=1,'Balance Sheet'!L50,"")</f>
        <v>23</v>
      </c>
      <c r="V50" s="44" t="n">
        <v>23</v>
      </c>
      <c r="W50" s="44" t="n">
        <v>23</v>
      </c>
      <c r="X50" s="44" t="n">
        <v>23</v>
      </c>
    </row>
    <row r="51" ht="22" customHeight="1">
      <c r="A51" s="4" t="str">
        <v>Capital in excess of par value</v>
      </c>
      <c r="B51" s="2"/>
      <c r="C51" s="44" t="n">
        <v>4091</v>
      </c>
      <c r="D51" s="44" t="n">
        <v>3996</v>
      </c>
      <c r="E51" s="44" t="n">
        <v>3953</v>
      </c>
      <c r="F51" s="44" t="n">
        <v>3886</v>
      </c>
      <c r="G51" s="44" t="n">
        <v>3910</v>
      </c>
      <c r="H51" s="44" t="n">
        <v>4001</v>
      </c>
      <c r="I51" s="44" t="n">
        <v>4134</v>
      </c>
      <c r="J51" s="44" t="n">
        <v>4261</v>
      </c>
      <c r="K51" s="44" t="n">
        <v>4385</v>
      </c>
      <c r="L51" s="44" t="n">
        <v>4451</v>
      </c>
      <c r="M51" s="45"/>
      <c r="N51" s="44" t="n">
        <v>4132</v>
      </c>
      <c r="O51" s="44" t="n">
        <v>4203</v>
      </c>
      <c r="P51" s="44" t="n">
        <v>4281</v>
      </c>
      <c r="Q51" s="43" t="n">
        <f>IF(COUNT('Balance Sheet'!K51)=1,'Balance Sheet'!K51,"")</f>
        <v>4385</v>
      </c>
      <c r="R51" s="44" t="n">
        <v>4274</v>
      </c>
      <c r="S51" s="44" t="n">
        <v>4299</v>
      </c>
      <c r="T51" s="44" t="n">
        <v>4374</v>
      </c>
      <c r="U51" s="43" t="n">
        <f>IF(COUNT('Balance Sheet'!L51)=1,'Balance Sheet'!L51,"")</f>
        <v>4451</v>
      </c>
      <c r="V51" s="44" t="n">
        <v>4401</v>
      </c>
      <c r="W51" s="44" t="n">
        <v>4447</v>
      </c>
      <c r="X51" s="44" t="n">
        <v>4522</v>
      </c>
    </row>
    <row r="52" ht="22" customHeight="1">
      <c r="A52" s="4" t="str">
        <v>Retained earnings</v>
      </c>
      <c r="B52" s="2"/>
      <c r="C52" s="44" t="n">
        <v>52518</v>
      </c>
      <c r="D52" s="44" t="n">
        <v>52839</v>
      </c>
      <c r="E52" s="44" t="n">
        <v>59947</v>
      </c>
      <c r="F52" s="44" t="n">
        <v>61946</v>
      </c>
      <c r="G52" s="44" t="n">
        <v>63443</v>
      </c>
      <c r="H52" s="44" t="n">
        <v>65165</v>
      </c>
      <c r="I52" s="44" t="n">
        <v>67800</v>
      </c>
      <c r="J52" s="44" t="n">
        <v>70035</v>
      </c>
      <c r="K52" s="44" t="n">
        <v>72266</v>
      </c>
      <c r="L52" s="44" t="n">
        <v>72788</v>
      </c>
      <c r="M52" s="45"/>
      <c r="N52" s="44" t="n">
        <v>70331</v>
      </c>
      <c r="O52" s="44" t="n">
        <v>71545</v>
      </c>
      <c r="P52" s="44" t="n">
        <v>72607</v>
      </c>
      <c r="Q52" s="43" t="n">
        <f>IF(COUNT('Balance Sheet'!K52)=1,'Balance Sheet'!K52,"")</f>
        <v>72266</v>
      </c>
      <c r="R52" s="44" t="n">
        <v>72238</v>
      </c>
      <c r="S52" s="44" t="n">
        <v>71547</v>
      </c>
      <c r="T52" s="44" t="n">
        <v>72197</v>
      </c>
      <c r="U52" s="43" t="n">
        <f>IF(COUNT('Balance Sheet'!L52)=1,'Balance Sheet'!L52,"")</f>
        <v>72788</v>
      </c>
      <c r="V52" s="44" t="n">
        <v>73165</v>
      </c>
      <c r="W52" s="44" t="n">
        <v>74116</v>
      </c>
      <c r="X52" s="44" t="n">
        <v>75140</v>
      </c>
    </row>
    <row r="53" ht="22" customHeight="1">
      <c r="A53" s="4" t="str">
        <v>Accumulated other comprehensive loss</v>
      </c>
      <c r="B53" s="2"/>
      <c r="C53" s="44" t="n">
        <v>-13919</v>
      </c>
      <c r="D53" s="44" t="n">
        <v>-13057</v>
      </c>
      <c r="E53" s="44" t="n">
        <v>-15119</v>
      </c>
      <c r="F53" s="44" t="n">
        <v>-14300</v>
      </c>
      <c r="G53" s="44" t="n">
        <v>-15476</v>
      </c>
      <c r="H53" s="44" t="n">
        <v>-14898</v>
      </c>
      <c r="I53" s="44" t="n">
        <v>-15302</v>
      </c>
      <c r="J53" s="44" t="n">
        <v>-15534</v>
      </c>
      <c r="K53" s="44" t="n">
        <v>-17612</v>
      </c>
      <c r="L53" s="44" t="n">
        <v>-15024</v>
      </c>
      <c r="M53" s="45"/>
      <c r="N53" s="44" t="n">
        <v>-15179</v>
      </c>
      <c r="O53" s="44" t="n">
        <v>-15786</v>
      </c>
      <c r="P53" s="44" t="n">
        <v>-16652</v>
      </c>
      <c r="Q53" s="43" t="n">
        <f>IF(COUNT('Balance Sheet'!K53)=1,'Balance Sheet'!K53,"")</f>
        <v>-17612</v>
      </c>
      <c r="R53" s="44" t="n">
        <v>-17078</v>
      </c>
      <c r="S53" s="44" t="n">
        <v>-16090</v>
      </c>
      <c r="T53" s="44" t="n">
        <v>-15597</v>
      </c>
      <c r="U53" s="43" t="n">
        <f>IF(COUNT('Balance Sheet'!L53)=1,'Balance Sheet'!L53,"")</f>
        <v>-15024</v>
      </c>
      <c r="V53" s="44" t="n">
        <v>-14342</v>
      </c>
      <c r="W53" s="44" t="n">
        <v>-14343</v>
      </c>
      <c r="X53" s="44" t="n">
        <v>-14987</v>
      </c>
    </row>
    <row r="54" ht="22" customHeight="1">
      <c r="A54" s="4" t="str">
        <v>Repurchased common stock, in excess of par value</v>
      </c>
      <c r="B54" s="2"/>
      <c r="C54" s="44" t="n">
        <v>-31468</v>
      </c>
      <c r="D54" s="44" t="n">
        <v>-32757</v>
      </c>
      <c r="E54" s="44" t="n">
        <v>-34286</v>
      </c>
      <c r="F54" s="44" t="n">
        <v>-36769</v>
      </c>
      <c r="G54" s="44" t="n">
        <v>-38446</v>
      </c>
      <c r="H54" s="44" t="n">
        <v>-38248</v>
      </c>
      <c r="I54" s="44" t="n">
        <v>-39506</v>
      </c>
      <c r="J54" s="44" t="n">
        <v>-40282</v>
      </c>
      <c r="K54" s="44" t="n">
        <v>-41021</v>
      </c>
      <c r="L54" s="44" t="n">
        <v>-41832</v>
      </c>
      <c r="M54" s="45"/>
      <c r="N54" s="44" t="n">
        <v>-40260</v>
      </c>
      <c r="O54" s="44" t="n">
        <v>-40539</v>
      </c>
      <c r="P54" s="44" t="n">
        <v>-40806</v>
      </c>
      <c r="Q54" s="43" t="n">
        <f>IF(COUNT('Balance Sheet'!K54)=1,'Balance Sheet'!K54,"")</f>
        <v>-41021</v>
      </c>
      <c r="R54" s="44" t="n">
        <v>-41068</v>
      </c>
      <c r="S54" s="44" t="n">
        <v>-41361</v>
      </c>
      <c r="T54" s="44" t="n">
        <v>-41609</v>
      </c>
      <c r="U54" s="43" t="n">
        <f>IF(COUNT('Balance Sheet'!L54)=1,'Balance Sheet'!L54,"")</f>
        <v>-41832</v>
      </c>
      <c r="V54" s="44" t="n">
        <v>-41864</v>
      </c>
      <c r="W54" s="44" t="n">
        <v>-42145</v>
      </c>
      <c r="X54" s="44" t="n">
        <v>-42406</v>
      </c>
    </row>
    <row r="55" ht="24" customHeight="1">
      <c r="A55" s="51" t="str">
        <v>Total PepsiCo Common Shareholders’ Equity</v>
      </c>
      <c r="B55" s="52"/>
      <c r="C55" s="53" t="n">
        <v>11246</v>
      </c>
      <c r="D55" s="53" t="n">
        <v>11045</v>
      </c>
      <c r="E55" s="53" t="n">
        <v>14518</v>
      </c>
      <c r="F55" s="53" t="n">
        <v>14786</v>
      </c>
      <c r="G55" s="53" t="n">
        <v>13454</v>
      </c>
      <c r="H55" s="53" t="n">
        <v>16043</v>
      </c>
      <c r="I55" s="53" t="n">
        <v>17149</v>
      </c>
      <c r="J55" s="53" t="n">
        <v>18503</v>
      </c>
      <c r="K55" s="53" t="n">
        <v>18041</v>
      </c>
      <c r="L55" s="53" t="n">
        <v>20406</v>
      </c>
      <c r="M55" s="55"/>
      <c r="N55" s="53" t="n">
        <v>19047</v>
      </c>
      <c r="O55" s="53" t="n">
        <v>19446</v>
      </c>
      <c r="P55" s="53" t="n">
        <v>19453</v>
      </c>
      <c r="Q55" s="54" t="n">
        <f>IF(COUNT('Balance Sheet'!K55)=1,'Balance Sheet'!K55,"")</f>
        <v>18041</v>
      </c>
      <c r="R55" s="53" t="n">
        <v>18389</v>
      </c>
      <c r="S55" s="53" t="n">
        <v>18418</v>
      </c>
      <c r="T55" s="53" t="n">
        <v>19388</v>
      </c>
      <c r="U55" s="54" t="n">
        <f>IF(COUNT('Balance Sheet'!L55)=1,'Balance Sheet'!L55,"")</f>
        <v>20406</v>
      </c>
      <c r="V55" s="53" t="n">
        <v>21383</v>
      </c>
      <c r="W55" s="53" t="n">
        <v>22098</v>
      </c>
      <c r="X55" s="53" t="n">
        <v>22292</v>
      </c>
    </row>
    <row r="56" ht="22" customHeight="1">
      <c r="A56" s="4" t="str">
        <v>Noncontrolling interests</v>
      </c>
      <c r="B56" s="2"/>
      <c r="C56" s="44" t="n">
        <v>104</v>
      </c>
      <c r="D56" s="44" t="n">
        <v>92</v>
      </c>
      <c r="E56" s="44" t="n">
        <v>84</v>
      </c>
      <c r="F56" s="44" t="n">
        <v>82</v>
      </c>
      <c r="G56" s="44" t="n">
        <v>98</v>
      </c>
      <c r="H56" s="44" t="n">
        <v>108</v>
      </c>
      <c r="I56" s="44" t="n">
        <v>124</v>
      </c>
      <c r="J56" s="44" t="n">
        <v>134</v>
      </c>
      <c r="K56" s="44" t="n">
        <v>130</v>
      </c>
      <c r="L56" s="44" t="n">
        <v>141</v>
      </c>
      <c r="M56" s="45"/>
      <c r="N56" s="44" t="n">
        <v>143</v>
      </c>
      <c r="O56" s="44" t="n">
        <v>134</v>
      </c>
      <c r="P56" s="44" t="n">
        <v>152</v>
      </c>
      <c r="Q56" s="43" t="n">
        <f>IF(COUNT('Balance Sheet'!K56)=1,'Balance Sheet'!K56,"")</f>
        <v>130</v>
      </c>
      <c r="R56" s="44" t="n">
        <v>140</v>
      </c>
      <c r="S56" s="44" t="n">
        <v>141</v>
      </c>
      <c r="T56" s="44" t="n">
        <v>155</v>
      </c>
      <c r="U56" s="43" t="n">
        <f>IF(COUNT('Balance Sheet'!L56)=1,'Balance Sheet'!L56,"")</f>
        <v>141</v>
      </c>
      <c r="V56" s="44" t="n">
        <v>153</v>
      </c>
      <c r="W56" s="44" t="n">
        <v>172</v>
      </c>
      <c r="X56" s="44" t="n">
        <v>195</v>
      </c>
    </row>
    <row r="57" ht="24" customHeight="1">
      <c r="A57" s="51" t="str">
        <v>Total Equity</v>
      </c>
      <c r="B57" s="52"/>
      <c r="C57" s="53" t="n">
        <v>11199</v>
      </c>
      <c r="D57" s="53" t="n">
        <v>10981</v>
      </c>
      <c r="E57" s="53" t="n">
        <v>14602</v>
      </c>
      <c r="F57" s="53" t="n">
        <v>14868</v>
      </c>
      <c r="G57" s="53" t="n">
        <v>13552</v>
      </c>
      <c r="H57" s="53" t="n">
        <v>16151</v>
      </c>
      <c r="I57" s="53" t="n">
        <v>17273</v>
      </c>
      <c r="J57" s="53" t="n">
        <v>18637</v>
      </c>
      <c r="K57" s="53" t="n">
        <v>18171</v>
      </c>
      <c r="L57" s="53" t="n">
        <v>20547</v>
      </c>
      <c r="M57" s="55"/>
      <c r="N57" s="53" t="n">
        <v>19190</v>
      </c>
      <c r="O57" s="53" t="n">
        <v>19580</v>
      </c>
      <c r="P57" s="53" t="n">
        <v>19605</v>
      </c>
      <c r="Q57" s="54" t="n">
        <f>IF(COUNT('Balance Sheet'!K57)=1,'Balance Sheet'!K57,"")</f>
        <v>18171</v>
      </c>
      <c r="R57" s="53" t="n">
        <v>18529</v>
      </c>
      <c r="S57" s="53" t="n">
        <v>18559</v>
      </c>
      <c r="T57" s="53" t="n">
        <v>19543</v>
      </c>
      <c r="U57" s="54" t="n">
        <f>IF(COUNT('Balance Sheet'!L57)=1,'Balance Sheet'!L57,"")</f>
        <v>20547</v>
      </c>
      <c r="V57" s="53" t="n">
        <v>21536</v>
      </c>
      <c r="W57" s="53" t="n">
        <v>22270</v>
      </c>
      <c r="X57" s="53" t="n">
        <v>22487</v>
      </c>
    </row>
    <row r="58" ht="24" customHeight="1">
      <c r="A58" s="51" t="str">
        <v>Total Liabilities and Equity</v>
      </c>
      <c r="B58" s="52"/>
      <c r="C58" s="53" t="n">
        <v>73490</v>
      </c>
      <c r="D58" s="53" t="n">
        <v>79804</v>
      </c>
      <c r="E58" s="53" t="n">
        <v>77648</v>
      </c>
      <c r="F58" s="53" t="n">
        <v>78547</v>
      </c>
      <c r="G58" s="53" t="n">
        <v>92918</v>
      </c>
      <c r="H58" s="53" t="n">
        <v>92377</v>
      </c>
      <c r="I58" s="53" t="n">
        <v>92187</v>
      </c>
      <c r="J58" s="53" t="n">
        <v>100495</v>
      </c>
      <c r="K58" s="53" t="n">
        <v>99467</v>
      </c>
      <c r="L58" s="53" t="n">
        <v>107399</v>
      </c>
      <c r="M58" s="55"/>
      <c r="N58" s="53" t="n">
        <v>100040</v>
      </c>
      <c r="O58" s="53" t="n">
        <v>99533</v>
      </c>
      <c r="P58" s="53" t="n">
        <v>100513</v>
      </c>
      <c r="Q58" s="54" t="n">
        <f>IF(COUNT('Balance Sheet'!K58)=1,'Balance Sheet'!K58,"")</f>
        <v>99467</v>
      </c>
      <c r="R58" s="53" t="n">
        <v>101737</v>
      </c>
      <c r="S58" s="53" t="n">
        <v>105345</v>
      </c>
      <c r="T58" s="53" t="n">
        <v>106558</v>
      </c>
      <c r="U58" s="54" t="n">
        <f>IF(COUNT('Balance Sheet'!L58)=1,'Balance Sheet'!L58,"")</f>
        <v>107399</v>
      </c>
      <c r="V58" s="53" t="n">
        <v>110646</v>
      </c>
      <c r="W58" s="53" t="n">
        <v>112189</v>
      </c>
      <c r="X58" s="53" t="n">
        <v>111976</v>
      </c>
    </row>
    <row r="59" ht="22" customHeight="1">
      <c r="A59" s="4"/>
      <c r="B59" s="2"/>
      <c r="C59" s="3"/>
      <c r="D59" s="3"/>
      <c r="E59" s="3"/>
      <c r="F59" s="3"/>
      <c r="G59" s="3"/>
      <c r="H59" s="3"/>
      <c r="I59" s="3"/>
      <c r="J59" s="3"/>
      <c r="K59" s="3"/>
      <c r="L59" s="3"/>
      <c r="M59" s="3"/>
      <c r="N59" s="3"/>
      <c r="O59" s="3"/>
      <c r="P59" s="3"/>
      <c r="Q59" s="3"/>
      <c r="R59" s="3"/>
      <c r="S59" s="3"/>
      <c r="T59" s="3"/>
      <c r="U59" s="3"/>
      <c r="V59" s="3"/>
      <c r="W59" s="3"/>
      <c r="X59" s="3"/>
    </row>
  </sheetData>
  <mergeCells>
    <mergeCell ref="A1:X1"/>
    <mergeCell ref="A2:X2"/>
    <mergeCell ref="C7:L7"/>
    <mergeCell ref="A11:X11"/>
    <mergeCell ref="A12:X12"/>
    <mergeCell ref="A13:L13"/>
    <mergeCell ref="N13:X13"/>
    <mergeCell ref="A25:L25"/>
    <mergeCell ref="N25:X25"/>
    <mergeCell ref="A37:L37"/>
    <mergeCell ref="N37:X37"/>
    <mergeCell ref="A42:L42"/>
    <mergeCell ref="N42:X42"/>
    <mergeCell ref="A47:L47"/>
    <mergeCell ref="N47:X47"/>
  </mergeCells>
  <hyperlinks>
    <hyperlink ref="A3" location="'Contents'!A1" display="Metric (Return to Contents)"/>
    <hyperlink ref="C7" location="'Balance Sheet'!A11" display="Consolidated balance sheet: period-end balances"/>
  </hyperlinks>
  <pageMargins left="0.7" right="0.7" top="0.75" bottom="0.75" header="0.3" footer="0.3"/>
</worksheet>
</file>

<file path=xl/worksheets/sheet7.xml><?xml version="1.0" encoding="utf-8"?>
<worksheet xmlns="http://schemas.openxmlformats.org/spreadsheetml/2006/main">
  <sheetPr>
    <tabColor rgb="FF4472C4"/>
  </sheetPr>
  <sheetViews>
    <sheetView showGridLines="0" workbookViewId="0">
      <pane xSplit="2" ySplit="5" topLeftCell="C6" activePane="bottomRight" state="frozen"/>
    </sheetView>
  </sheetViews>
  <sheetFormatPr defaultRowHeight="15"/>
  <cols>
    <col min="1" max="1" width="60" hidden="0" customWidth="1"/>
    <col min="2" max="2" width="2.200000047683716" hidden="0" customWidth="1"/>
    <col min="3" max="3" width="12.199999809265137" hidden="0" customWidth="1"/>
    <col min="4" max="4" width="12.199999809265137" hidden="0" customWidth="1"/>
    <col min="5" max="5" width="12.199999809265137" hidden="0" customWidth="1"/>
    <col min="6" max="6" width="12.199999809265137" hidden="0" customWidth="1"/>
    <col min="7" max="7" width="12.199999809265137" hidden="0" customWidth="1"/>
    <col min="8" max="8" width="12.199999809265137" hidden="0" customWidth="1"/>
    <col min="9" max="9" width="12.199999809265137" hidden="0" customWidth="1"/>
    <col min="10" max="10" width="12.199999809265137" hidden="0" customWidth="1"/>
    <col min="11" max="11" width="12.199999809265137" hidden="0" customWidth="1"/>
    <col min="12" max="12" width="12.199999809265137" hidden="0" customWidth="1"/>
    <col min="13" max="13" width="3" hidden="0" customWidth="1"/>
    <col min="14" max="14" width="12.199999809265137" hidden="0" customWidth="1"/>
    <col min="15" max="15" width="12.199999809265137" hidden="0" customWidth="1"/>
    <col min="16" max="16" width="12.199999809265137" hidden="0" customWidth="1"/>
    <col min="17" max="17" width="12.199999809265137" hidden="0" customWidth="1"/>
    <col min="18" max="18" width="12.199999809265137" hidden="0" customWidth="1"/>
    <col min="19" max="19" width="12.199999809265137" hidden="0" customWidth="1"/>
    <col min="20" max="20" width="12.199999809265137" hidden="0" customWidth="1"/>
    <col min="21" max="21" width="12.199999809265137" hidden="0" customWidth="1"/>
    <col min="22" max="22" width="12.199999809265137" hidden="0" customWidth="1"/>
    <col min="23" max="23" width="12.199999809265137" hidden="0" customWidth="1"/>
    <col min="24" max="24" width="12.199999809265137" hidden="0" customWidth="1"/>
  </cols>
  <sheetData>
    <row r="1" ht="28" customHeight="1">
      <c r="A1" s="7" t="str">
        <v>PepsiCo PEP — Cash Flow</v>
      </c>
      <c r="B1" s="7"/>
      <c r="C1" s="7"/>
      <c r="D1" s="7"/>
      <c r="E1" s="7"/>
      <c r="F1" s="7"/>
      <c r="G1" s="7"/>
      <c r="H1" s="7"/>
      <c r="I1" s="7"/>
      <c r="J1" s="7"/>
      <c r="K1" s="7"/>
      <c r="L1" s="7"/>
      <c r="M1" s="7"/>
      <c r="N1" s="7"/>
      <c r="O1" s="7"/>
      <c r="P1" s="7"/>
      <c r="Q1" s="7"/>
      <c r="R1" s="7"/>
      <c r="S1" s="7"/>
      <c r="T1" s="7"/>
      <c r="U1" s="7"/>
      <c r="V1" s="7"/>
      <c r="W1" s="7"/>
      <c r="X1" s="7"/>
    </row>
    <row r="2" ht="18" customHeight="1">
      <c r="A2" s="8" t="str">
        <v>USD millions; per-share amounts, share counts and percentages as labeled. US GAAP. As of 2026-10-20.</v>
      </c>
      <c r="B2" s="8"/>
      <c r="C2" s="8"/>
      <c r="D2" s="8"/>
      <c r="E2" s="8"/>
      <c r="F2" s="8"/>
      <c r="G2" s="8"/>
      <c r="H2" s="8"/>
      <c r="I2" s="8"/>
      <c r="J2" s="8"/>
      <c r="K2" s="8"/>
      <c r="L2" s="8"/>
      <c r="M2" s="8"/>
      <c r="N2" s="8"/>
      <c r="O2" s="8"/>
      <c r="P2" s="8"/>
      <c r="Q2" s="8"/>
      <c r="R2" s="8"/>
      <c r="S2" s="8"/>
      <c r="T2" s="8"/>
      <c r="U2" s="8"/>
      <c r="V2" s="8"/>
      <c r="W2" s="8"/>
      <c r="X2" s="8"/>
    </row>
    <row r="3" ht="24" customHeight="1">
      <c r="A3" s="9" t="str">
        <v>Metric (Return to Contents)</v>
      </c>
      <c r="B3" s="2"/>
      <c r="C3" s="13" t="str">
        <v>FY2016</v>
      </c>
      <c r="D3" s="13" t="str">
        <v>FY2017</v>
      </c>
      <c r="E3" s="13" t="str">
        <v>FY2018</v>
      </c>
      <c r="F3" s="13" t="str">
        <v>FY2019</v>
      </c>
      <c r="G3" s="13" t="str">
        <v>FY2020</v>
      </c>
      <c r="H3" s="13" t="str">
        <v>FY2021</v>
      </c>
      <c r="I3" s="13" t="str">
        <v>FY2022</v>
      </c>
      <c r="J3" s="13" t="str">
        <v>FY2023</v>
      </c>
      <c r="K3" s="13" t="str">
        <v>FY2024</v>
      </c>
      <c r="L3" s="13" t="str">
        <v>FY2025</v>
      </c>
      <c r="M3" s="2"/>
      <c r="N3" s="22" t="str">
        <v>FY2024Q1</v>
      </c>
      <c r="O3" s="22" t="str">
        <v>FY2024Q2</v>
      </c>
      <c r="P3" s="22" t="str">
        <v>FY2024Q3</v>
      </c>
      <c r="Q3" s="22" t="str">
        <v>FY2024Q4</v>
      </c>
      <c r="R3" s="22" t="str">
        <v>FY2025Q1</v>
      </c>
      <c r="S3" s="22" t="str">
        <v>FY2025Q2</v>
      </c>
      <c r="T3" s="22" t="str">
        <v>FY2025Q3</v>
      </c>
      <c r="U3" s="22" t="str">
        <v>FY2025Q4</v>
      </c>
      <c r="V3" s="22" t="str">
        <v>FY2026Q1</v>
      </c>
      <c r="W3" s="22" t="str">
        <v>FY2026Q2</v>
      </c>
      <c r="X3" s="22" t="str">
        <v>FY2026Q3</v>
      </c>
    </row>
    <row r="4" ht="18" customHeight="1">
      <c r="A4" s="2"/>
      <c r="B4" s="2"/>
      <c r="C4" s="17" t="d">
        <v>2016-12-31T00:00:00.000Z</v>
      </c>
      <c r="D4" s="17" t="d">
        <v>2017-12-30T00:00:00.000Z</v>
      </c>
      <c r="E4" s="17" t="d">
        <v>2018-12-29T00:00:00.000Z</v>
      </c>
      <c r="F4" s="17" t="d">
        <v>2019-12-28T00:00:00.000Z</v>
      </c>
      <c r="G4" s="17" t="d">
        <v>2020-12-26T00:00:00.000Z</v>
      </c>
      <c r="H4" s="17" t="d">
        <v>2021-12-25T00:00:00.000Z</v>
      </c>
      <c r="I4" s="17" t="d">
        <v>2022-12-31T00:00:00.000Z</v>
      </c>
      <c r="J4" s="17" t="d">
        <v>2023-12-30T00:00:00.000Z</v>
      </c>
      <c r="K4" s="17" t="d">
        <v>2024-12-28T00:00:00.000Z</v>
      </c>
      <c r="L4" s="17" t="d">
        <v>2025-12-27T00:00:00.000Z</v>
      </c>
      <c r="M4" s="2"/>
      <c r="N4" s="17" t="d">
        <v>2024-03-23T00:00:00.000Z</v>
      </c>
      <c r="O4" s="17" t="d">
        <v>2024-06-15T00:00:00.000Z</v>
      </c>
      <c r="P4" s="17" t="d">
        <v>2024-09-07T00:00:00.000Z</v>
      </c>
      <c r="Q4" s="17" t="d">
        <v>2024-12-28T00:00:00.000Z</v>
      </c>
      <c r="R4" s="17" t="d">
        <v>2025-03-22T00:00:00.000Z</v>
      </c>
      <c r="S4" s="17" t="d">
        <v>2025-06-14T00:00:00.000Z</v>
      </c>
      <c r="T4" s="17" t="d">
        <v>2025-09-06T00:00:00.000Z</v>
      </c>
      <c r="U4" s="17" t="d">
        <v>2025-12-27T00:00:00.000Z</v>
      </c>
      <c r="V4" s="17" t="d">
        <v>2026-03-21T00:00:00.000Z</v>
      </c>
      <c r="W4" s="17" t="d">
        <v>2026-06-13T00:00:00.000Z</v>
      </c>
      <c r="X4" s="17" t="d">
        <v>2026-09-05T00:00:00.000Z</v>
      </c>
    </row>
    <row r="5" ht="18" customHeight="1">
      <c r="A5" s="8" t="str">
        <v>Annual at left; quarterly / period-end at right; YTD as labeled</v>
      </c>
      <c r="B5" s="2"/>
      <c r="C5" s="18" t="str">
        <v>Year / year-end</v>
      </c>
      <c r="D5" s="18" t="str">
        <v>Year / year-end</v>
      </c>
      <c r="E5" s="18" t="str">
        <v>Year / year-end</v>
      </c>
      <c r="F5" s="18" t="str">
        <v>Year / year-end</v>
      </c>
      <c r="G5" s="18" t="str">
        <v>Year / year-end</v>
      </c>
      <c r="H5" s="18" t="str">
        <v>Year / year-end</v>
      </c>
      <c r="I5" s="18" t="str">
        <v>Year / year-end</v>
      </c>
      <c r="J5" s="18" t="str">
        <v>Year / year-end</v>
      </c>
      <c r="K5" s="18" t="str">
        <v>Year / year-end</v>
      </c>
      <c r="L5" s="18" t="str">
        <v>Year / year-end</v>
      </c>
      <c r="M5" s="2"/>
      <c r="N5" s="18" t="str">
        <v>YTD; Qtr below</v>
      </c>
      <c r="O5" s="18" t="str">
        <v>YTD; Qtr below</v>
      </c>
      <c r="P5" s="18" t="str">
        <v>YTD; Qtr below</v>
      </c>
      <c r="Q5" s="18" t="str">
        <v>YTD; Qtr below</v>
      </c>
      <c r="R5" s="18" t="str">
        <v>YTD; Qtr below</v>
      </c>
      <c r="S5" s="18" t="str">
        <v>YTD; Qtr below</v>
      </c>
      <c r="T5" s="18" t="str">
        <v>YTD; Qtr below</v>
      </c>
      <c r="U5" s="18" t="str">
        <v>YTD; Qtr below</v>
      </c>
      <c r="V5" s="18" t="str">
        <v>YTD; Qtr below</v>
      </c>
      <c r="W5" s="18" t="str">
        <v>YTD; Qtr below</v>
      </c>
      <c r="X5" s="18" t="str">
        <v>YTD; Qtr below</v>
      </c>
    </row>
    <row r="6" ht="8" customHeight="1">
      <c r="A6" s="2"/>
      <c r="B6" s="2"/>
      <c r="C6" s="2"/>
      <c r="D6" s="2"/>
      <c r="E6" s="2"/>
      <c r="F6" s="2"/>
      <c r="G6" s="2"/>
      <c r="H6" s="2"/>
      <c r="I6" s="2"/>
      <c r="J6" s="2"/>
      <c r="K6" s="2"/>
      <c r="L6" s="2"/>
      <c r="M6" s="2"/>
      <c r="N6" s="2"/>
      <c r="O6" s="2"/>
      <c r="P6" s="2"/>
      <c r="Q6" s="2"/>
      <c r="R6" s="2"/>
      <c r="S6" s="2"/>
      <c r="T6" s="2"/>
      <c r="U6" s="2"/>
      <c r="V6" s="2"/>
      <c r="W6" s="2"/>
      <c r="X6" s="2"/>
    </row>
    <row r="7" ht="22" customHeight="1">
      <c r="A7" s="23" t="str">
        <v>On this sheet</v>
      </c>
      <c r="B7" s="2"/>
      <c r="C7" s="26" t="str">
        <v>Cash flow statement: annual and YTD</v>
      </c>
      <c r="D7" s="26"/>
      <c r="E7" s="26"/>
      <c r="F7" s="26"/>
      <c r="G7" s="26"/>
      <c r="H7" s="26"/>
      <c r="I7" s="26"/>
      <c r="J7" s="26"/>
      <c r="K7" s="26"/>
      <c r="L7" s="26"/>
      <c r="M7" s="3"/>
      <c r="N7" s="26" t="str">
        <v>Cash flow statement: discrete quarters</v>
      </c>
      <c r="O7" s="26"/>
      <c r="P7" s="26"/>
      <c r="Q7" s="26"/>
      <c r="R7" s="26"/>
      <c r="S7" s="26"/>
      <c r="T7" s="26"/>
      <c r="U7" s="26"/>
      <c r="V7" s="26"/>
      <c r="W7" s="26"/>
      <c r="X7" s="26"/>
    </row>
    <row r="8" ht="22" customHeight="1">
      <c r="A8" s="4"/>
      <c r="B8" s="2"/>
      <c r="C8" s="3"/>
      <c r="D8" s="3"/>
      <c r="E8" s="3"/>
      <c r="F8" s="3"/>
      <c r="G8" s="3"/>
      <c r="H8" s="3"/>
      <c r="I8" s="3"/>
      <c r="J8" s="3"/>
      <c r="K8" s="3"/>
      <c r="L8" s="3"/>
      <c r="M8" s="3"/>
      <c r="N8" s="3"/>
      <c r="O8" s="3"/>
      <c r="P8" s="3"/>
      <c r="Q8" s="3"/>
      <c r="R8" s="3"/>
      <c r="S8" s="3"/>
      <c r="T8" s="3"/>
      <c r="U8" s="3"/>
      <c r="V8" s="3"/>
      <c r="W8" s="3"/>
      <c r="X8" s="3"/>
    </row>
    <row r="9" ht="22" customHeight="1">
      <c r="A9" s="4"/>
      <c r="B9" s="2"/>
      <c r="C9" s="3"/>
      <c r="D9" s="3"/>
      <c r="E9" s="3"/>
      <c r="F9" s="3"/>
      <c r="G9" s="3"/>
      <c r="H9" s="3"/>
      <c r="I9" s="3"/>
      <c r="J9" s="3"/>
      <c r="K9" s="3"/>
      <c r="L9" s="3"/>
      <c r="M9" s="3"/>
      <c r="N9" s="3"/>
      <c r="O9" s="3"/>
      <c r="P9" s="3"/>
      <c r="Q9" s="3"/>
      <c r="R9" s="3"/>
      <c r="S9" s="3"/>
      <c r="T9" s="3"/>
      <c r="U9" s="3"/>
      <c r="V9" s="3"/>
      <c r="W9" s="3"/>
      <c r="X9" s="3"/>
    </row>
    <row r="10" ht="22" customHeight="1">
      <c r="A10" s="4"/>
      <c r="B10" s="2"/>
      <c r="C10" s="3"/>
      <c r="D10" s="3"/>
      <c r="E10" s="3"/>
      <c r="F10" s="3"/>
      <c r="G10" s="3"/>
      <c r="H10" s="3"/>
      <c r="I10" s="3"/>
      <c r="J10" s="3"/>
      <c r="K10" s="3"/>
      <c r="L10" s="3"/>
      <c r="M10" s="3"/>
      <c r="N10" s="3"/>
      <c r="O10" s="3"/>
      <c r="P10" s="3"/>
      <c r="Q10" s="3"/>
      <c r="R10" s="3"/>
      <c r="S10" s="3"/>
      <c r="T10" s="3"/>
      <c r="U10" s="3"/>
      <c r="V10" s="3"/>
      <c r="W10" s="3"/>
      <c r="X10" s="3"/>
    </row>
    <row r="11" ht="22" customHeight="1">
      <c r="A11" s="29" t="str">
        <v>Cash flow statement: annual and YTD</v>
      </c>
      <c r="B11" s="29"/>
      <c r="C11" s="32"/>
      <c r="D11" s="32"/>
      <c r="E11" s="32"/>
      <c r="F11" s="32"/>
      <c r="G11" s="32"/>
      <c r="H11" s="32"/>
      <c r="I11" s="32"/>
      <c r="J11" s="32"/>
      <c r="K11" s="32"/>
      <c r="L11" s="32"/>
      <c r="M11" s="32"/>
      <c r="N11" s="32"/>
      <c r="O11" s="32"/>
      <c r="P11" s="32"/>
      <c r="Q11" s="32"/>
      <c r="R11" s="32"/>
      <c r="S11" s="32"/>
      <c r="T11" s="32"/>
      <c r="U11" s="32"/>
      <c r="V11" s="32"/>
      <c r="W11" s="32"/>
      <c r="X11" s="32"/>
    </row>
    <row r="12" ht="18" customHeight="1">
      <c r="A12" s="33" t="str">
        <v>Right-hand columns show YTD cash flows; Q4 corresponds to the full year. Formula-derived discrete quarters appear below. Cash includes restricted cash.</v>
      </c>
      <c r="B12" s="33"/>
      <c r="C12" s="35"/>
      <c r="D12" s="35"/>
      <c r="E12" s="35"/>
      <c r="F12" s="35"/>
      <c r="G12" s="35"/>
      <c r="H12" s="35"/>
      <c r="I12" s="35"/>
      <c r="J12" s="35"/>
      <c r="K12" s="35"/>
      <c r="L12" s="35"/>
      <c r="M12" s="35"/>
      <c r="N12" s="35"/>
      <c r="O12" s="35"/>
      <c r="P12" s="35"/>
      <c r="Q12" s="35"/>
      <c r="R12" s="35"/>
      <c r="S12" s="35"/>
      <c r="T12" s="35"/>
      <c r="U12" s="35"/>
      <c r="V12" s="35"/>
      <c r="W12" s="35"/>
      <c r="X12" s="35"/>
    </row>
    <row r="13" ht="24" customHeight="1">
      <c r="A13" s="39" t="str">
        <v>Operating Activities</v>
      </c>
      <c r="B13" s="40"/>
      <c r="C13" s="41"/>
      <c r="D13" s="41"/>
      <c r="E13" s="41"/>
      <c r="F13" s="41"/>
      <c r="G13" s="41"/>
      <c r="H13" s="41"/>
      <c r="I13" s="41"/>
      <c r="J13" s="41"/>
      <c r="K13" s="41"/>
      <c r="L13" s="41"/>
      <c r="M13" s="42"/>
      <c r="N13" s="41"/>
      <c r="O13" s="41"/>
      <c r="P13" s="41"/>
      <c r="Q13" s="41"/>
      <c r="R13" s="41"/>
      <c r="S13" s="41"/>
      <c r="T13" s="41"/>
      <c r="U13" s="41"/>
      <c r="V13" s="41"/>
      <c r="W13" s="41"/>
      <c r="X13" s="41"/>
    </row>
    <row r="14" ht="24" customHeight="1">
      <c r="A14" s="51" t="str">
        <v>Net income</v>
      </c>
      <c r="B14" s="52"/>
      <c r="C14" s="53" t="n">
        <v>6379</v>
      </c>
      <c r="D14" s="53" t="n">
        <v>4908</v>
      </c>
      <c r="E14" s="53" t="n">
        <v>12559</v>
      </c>
      <c r="F14" s="53" t="n">
        <v>7353</v>
      </c>
      <c r="G14" s="53" t="n">
        <v>7175</v>
      </c>
      <c r="H14" s="53" t="n">
        <v>7679</v>
      </c>
      <c r="I14" s="53" t="n">
        <v>8978</v>
      </c>
      <c r="J14" s="53" t="n">
        <v>9155</v>
      </c>
      <c r="K14" s="53" t="n">
        <v>9626</v>
      </c>
      <c r="L14" s="53" t="n">
        <v>8295</v>
      </c>
      <c r="M14" s="55"/>
      <c r="N14" s="53" t="n">
        <v>2053</v>
      </c>
      <c r="O14" s="53" t="n">
        <v>5147</v>
      </c>
      <c r="P14" s="53" t="n">
        <v>8092</v>
      </c>
      <c r="Q14" s="54" t="n">
        <f>IF(COUNT('Cash Flow'!K14)=1,'Cash Flow'!K14,"")</f>
        <v>9626</v>
      </c>
      <c r="R14" s="53" t="n">
        <v>1843</v>
      </c>
      <c r="S14" s="53" t="n">
        <v>3122</v>
      </c>
      <c r="T14" s="53" t="n">
        <v>5740</v>
      </c>
      <c r="U14" s="54" t="n">
        <f>IF(COUNT('Cash Flow'!L14)=1,'Cash Flow'!L14,"")</f>
        <v>8295</v>
      </c>
      <c r="V14" s="53" t="n">
        <v>2338</v>
      </c>
      <c r="W14" s="53" t="n">
        <v>5342</v>
      </c>
      <c r="X14" s="53" t="n">
        <v>8412</v>
      </c>
    </row>
    <row r="15" ht="22" customHeight="1">
      <c r="A15" s="4" t="str">
        <v>Depreciation and amortization</v>
      </c>
      <c r="B15" s="2"/>
      <c r="C15" s="44" t="n">
        <v>2368</v>
      </c>
      <c r="D15" s="44" t="n">
        <v>2369</v>
      </c>
      <c r="E15" s="44" t="n">
        <v>2399</v>
      </c>
      <c r="F15" s="44" t="n">
        <v>2432</v>
      </c>
      <c r="G15" s="44" t="n">
        <v>2548</v>
      </c>
      <c r="H15" s="44" t="n">
        <v>2710</v>
      </c>
      <c r="I15" s="44" t="n">
        <v>2763</v>
      </c>
      <c r="J15" s="44" t="n">
        <v>2948</v>
      </c>
      <c r="K15" s="44" t="n">
        <v>3160</v>
      </c>
      <c r="L15" s="44" t="n">
        <v>3451</v>
      </c>
      <c r="M15" s="45"/>
      <c r="N15" s="44" t="n">
        <v>641</v>
      </c>
      <c r="O15" s="44" t="n">
        <v>1379</v>
      </c>
      <c r="P15" s="44" t="n">
        <v>2118</v>
      </c>
      <c r="Q15" s="43" t="n">
        <f>IF(COUNT('Cash Flow'!K15)=1,'Cash Flow'!K15,"")</f>
        <v>3160</v>
      </c>
      <c r="R15" s="44" t="n">
        <v>684</v>
      </c>
      <c r="S15" s="44" t="n">
        <v>1491</v>
      </c>
      <c r="T15" s="44" t="n">
        <v>2315</v>
      </c>
      <c r="U15" s="43" t="n">
        <f>IF(COUNT('Cash Flow'!L15)=1,'Cash Flow'!L15,"")</f>
        <v>3451</v>
      </c>
      <c r="V15" s="44" t="n">
        <v>742</v>
      </c>
      <c r="W15" s="44" t="n">
        <v>1639</v>
      </c>
      <c r="X15" s="44" t="n">
        <v>2531</v>
      </c>
    </row>
    <row r="16" ht="22" customHeight="1">
      <c r="A16" s="4" t="str">
        <v>Share-based compensation expense — equity awards</v>
      </c>
      <c r="B16" s="2"/>
      <c r="C16" s="44" t="n">
        <v>284</v>
      </c>
      <c r="D16" s="44" t="n">
        <v>292</v>
      </c>
      <c r="E16" s="44" t="n">
        <v>256</v>
      </c>
      <c r="F16" s="44" t="n">
        <v>237</v>
      </c>
      <c r="G16" s="44" t="n">
        <v>264</v>
      </c>
      <c r="H16" s="44" t="n">
        <v>301</v>
      </c>
      <c r="I16" s="44" t="n">
        <v>343</v>
      </c>
      <c r="J16" s="44" t="n">
        <v>380</v>
      </c>
      <c r="K16" s="44" t="n">
        <v>362</v>
      </c>
      <c r="L16" s="44" t="n">
        <v>288</v>
      </c>
      <c r="M16" s="45"/>
      <c r="N16" s="44" t="n">
        <v>97</v>
      </c>
      <c r="O16" s="44" t="n">
        <v>183</v>
      </c>
      <c r="P16" s="44" t="n">
        <v>260</v>
      </c>
      <c r="Q16" s="43" t="n">
        <f>IF(COUNT('Cash Flow'!K16)=1,'Cash Flow'!K16,"")</f>
        <v>362</v>
      </c>
      <c r="R16" s="44" t="n">
        <v>77</v>
      </c>
      <c r="S16" s="44" t="n">
        <v>131</v>
      </c>
      <c r="T16" s="44" t="n">
        <v>207</v>
      </c>
      <c r="U16" s="43" t="n">
        <f>IF(COUNT('Cash Flow'!L16)=1,'Cash Flow'!L16,"")</f>
        <v>288</v>
      </c>
      <c r="V16" s="44" t="n">
        <v>93</v>
      </c>
      <c r="W16" s="44" t="n">
        <v>162</v>
      </c>
      <c r="X16" s="44" t="n">
        <v>240</v>
      </c>
    </row>
    <row r="17" ht="22" customHeight="1">
      <c r="A17" s="4" t="str">
        <v>Restructuring and impairment charges</v>
      </c>
      <c r="B17" s="2"/>
      <c r="C17" s="44" t="n">
        <v>160</v>
      </c>
      <c r="D17" s="44" t="n">
        <v>295</v>
      </c>
      <c r="E17" s="44" t="n">
        <v>308</v>
      </c>
      <c r="F17" s="44" t="n">
        <v>370</v>
      </c>
      <c r="G17" s="44" t="n">
        <v>289</v>
      </c>
      <c r="H17" s="44" t="n">
        <v>247</v>
      </c>
      <c r="I17" s="44" t="n">
        <v>411</v>
      </c>
      <c r="J17" s="44" t="n">
        <v>445</v>
      </c>
      <c r="K17" s="44" t="n">
        <v>727</v>
      </c>
      <c r="L17" s="44" t="n">
        <v>983</v>
      </c>
      <c r="M17" s="45"/>
      <c r="N17" s="44" t="n">
        <v>96</v>
      </c>
      <c r="O17" s="44" t="n">
        <v>170</v>
      </c>
      <c r="P17" s="44" t="n">
        <v>415</v>
      </c>
      <c r="Q17" s="43" t="n">
        <f>IF(COUNT('Cash Flow'!K17)=1,'Cash Flow'!K17,"")</f>
        <v>727</v>
      </c>
      <c r="R17" s="44" t="n">
        <v>213</v>
      </c>
      <c r="S17" s="44" t="n">
        <v>426</v>
      </c>
      <c r="T17" s="44" t="n">
        <v>567</v>
      </c>
      <c r="U17" s="43" t="n">
        <f>IF(COUNT('Cash Flow'!L17)=1,'Cash Flow'!L17,"")</f>
        <v>983</v>
      </c>
      <c r="V17" s="44" t="n">
        <v>133</v>
      </c>
      <c r="W17" s="44" t="n">
        <v>182</v>
      </c>
      <c r="X17" s="44" t="n">
        <v>367</v>
      </c>
    </row>
    <row r="18" ht="22" customHeight="1">
      <c r="A18" s="4" t="str">
        <v>Cash payments for restructuring charges</v>
      </c>
      <c r="B18" s="2"/>
      <c r="C18" s="44" t="n">
        <v>-125</v>
      </c>
      <c r="D18" s="44" t="n">
        <v>-113</v>
      </c>
      <c r="E18" s="44" t="n">
        <v>-255</v>
      </c>
      <c r="F18" s="44" t="n">
        <v>-350</v>
      </c>
      <c r="G18" s="44" t="n">
        <v>-255</v>
      </c>
      <c r="H18" s="44" t="n">
        <v>-256</v>
      </c>
      <c r="I18" s="44" t="n">
        <v>-224</v>
      </c>
      <c r="J18" s="44" t="n">
        <v>-434</v>
      </c>
      <c r="K18" s="44" t="n">
        <v>-436</v>
      </c>
      <c r="L18" s="44" t="n">
        <v>-796</v>
      </c>
      <c r="M18" s="45"/>
      <c r="N18" s="44" t="n">
        <v>-60</v>
      </c>
      <c r="O18" s="44" t="n">
        <v>-173</v>
      </c>
      <c r="P18" s="44" t="n">
        <v>-284</v>
      </c>
      <c r="Q18" s="43" t="n">
        <f>IF(COUNT('Cash Flow'!K18)=1,'Cash Flow'!K18,"")</f>
        <v>-436</v>
      </c>
      <c r="R18" s="44" t="n">
        <v>-232</v>
      </c>
      <c r="S18" s="44" t="n">
        <v>-387</v>
      </c>
      <c r="T18" s="44" t="n">
        <v>-554</v>
      </c>
      <c r="U18" s="43" t="n">
        <f>IF(COUNT('Cash Flow'!L18)=1,'Cash Flow'!L18,"")</f>
        <v>-796</v>
      </c>
      <c r="V18" s="44" t="n">
        <v>-145</v>
      </c>
      <c r="W18" s="44" t="n">
        <v>-264</v>
      </c>
      <c r="X18" s="44" t="n">
        <v>-373</v>
      </c>
    </row>
    <row r="19" ht="22" customHeight="1">
      <c r="A19" s="4" t="str">
        <v>Pension and retiree medical plan expenses</v>
      </c>
      <c r="B19" s="2"/>
      <c r="C19" s="44" t="n">
        <v>501</v>
      </c>
      <c r="D19" s="44" t="n">
        <v>221</v>
      </c>
      <c r="E19" s="44" t="n">
        <v>221</v>
      </c>
      <c r="F19" s="44" t="n">
        <v>519</v>
      </c>
      <c r="G19" s="44" t="n">
        <v>408</v>
      </c>
      <c r="H19" s="44" t="n">
        <v>123</v>
      </c>
      <c r="I19" s="44" t="n">
        <v>419</v>
      </c>
      <c r="J19" s="44" t="n">
        <v>150</v>
      </c>
      <c r="K19" s="44" t="n">
        <v>414</v>
      </c>
      <c r="L19" s="44" t="n">
        <v>504</v>
      </c>
      <c r="M19" s="45"/>
      <c r="N19" s="44" t="n">
        <v>31</v>
      </c>
      <c r="O19" s="44" t="n">
        <v>67</v>
      </c>
      <c r="P19" s="44" t="n">
        <v>114</v>
      </c>
      <c r="Q19" s="43" t="n">
        <f>IF(COUNT('Cash Flow'!K19)=1,'Cash Flow'!K19,"")</f>
        <v>414</v>
      </c>
      <c r="R19" s="44" t="n">
        <v>48</v>
      </c>
      <c r="S19" s="44" t="n">
        <v>99</v>
      </c>
      <c r="T19" s="44" t="n">
        <v>164</v>
      </c>
      <c r="U19" s="43" t="n">
        <f>IF(COUNT('Cash Flow'!L19)=1,'Cash Flow'!L19,"")</f>
        <v>504</v>
      </c>
      <c r="V19" s="44" t="n">
        <v>13</v>
      </c>
      <c r="W19" s="44" t="n">
        <v>30</v>
      </c>
      <c r="X19" s="44" t="n">
        <v>227</v>
      </c>
    </row>
    <row r="20" ht="22" customHeight="1">
      <c r="A20" s="4" t="str">
        <v>Pension and retiree medical plan contributions</v>
      </c>
      <c r="B20" s="2"/>
      <c r="C20" s="44" t="n">
        <v>-695</v>
      </c>
      <c r="D20" s="44" t="n">
        <v>-220</v>
      </c>
      <c r="E20" s="44" t="n">
        <v>-1708</v>
      </c>
      <c r="F20" s="44" t="n">
        <v>-716</v>
      </c>
      <c r="G20" s="44" t="n">
        <v>-562</v>
      </c>
      <c r="H20" s="44" t="n">
        <v>-785</v>
      </c>
      <c r="I20" s="44" t="n">
        <v>-384</v>
      </c>
      <c r="J20" s="44" t="n">
        <v>-410</v>
      </c>
      <c r="K20" s="44" t="n">
        <v>-348</v>
      </c>
      <c r="L20" s="44" t="n">
        <v>-472</v>
      </c>
      <c r="M20" s="45"/>
      <c r="N20" s="44" t="n">
        <v>-218</v>
      </c>
      <c r="O20" s="44" t="n">
        <v>-263</v>
      </c>
      <c r="P20" s="44" t="n">
        <v>-300</v>
      </c>
      <c r="Q20" s="43" t="n">
        <f>IF(COUNT('Cash Flow'!K20)=1,'Cash Flow'!K20,"")</f>
        <v>-348</v>
      </c>
      <c r="R20" s="44" t="n">
        <v>-317</v>
      </c>
      <c r="S20" s="44" t="n">
        <v>-354</v>
      </c>
      <c r="T20" s="44" t="n">
        <v>-400</v>
      </c>
      <c r="U20" s="43" t="n">
        <f>IF(COUNT('Cash Flow'!L20)=1,'Cash Flow'!L20,"")</f>
        <v>-472</v>
      </c>
      <c r="V20" s="44" t="n">
        <v>-270</v>
      </c>
      <c r="W20" s="44" t="n">
        <v>-315</v>
      </c>
      <c r="X20" s="44" t="n">
        <v>-355</v>
      </c>
    </row>
    <row r="21" ht="22" customHeight="1">
      <c r="A21" s="4" t="str">
        <v>Deferred income taxes and other tax charges and credits</v>
      </c>
      <c r="B21" s="2"/>
      <c r="C21" s="44" t="n">
        <v>452</v>
      </c>
      <c r="D21" s="44" t="n">
        <v>619</v>
      </c>
      <c r="E21" s="44" t="n">
        <v>-531</v>
      </c>
      <c r="F21" s="44" t="n">
        <v>453</v>
      </c>
      <c r="G21" s="44" t="n">
        <v>361</v>
      </c>
      <c r="H21" s="44" t="n">
        <v>298</v>
      </c>
      <c r="I21" s="44" t="n">
        <v>-873</v>
      </c>
      <c r="J21" s="44" t="n">
        <v>-271</v>
      </c>
      <c r="K21" s="44" t="n">
        <v>-42</v>
      </c>
      <c r="L21" s="44" t="n">
        <v>71</v>
      </c>
      <c r="M21" s="45"/>
      <c r="N21" s="44" t="n">
        <v>116</v>
      </c>
      <c r="O21" s="44" t="n">
        <v>142</v>
      </c>
      <c r="P21" s="44" t="n">
        <v>124</v>
      </c>
      <c r="Q21" s="43" t="n">
        <f>IF(COUNT('Cash Flow'!K21)=1,'Cash Flow'!K21,"")</f>
        <v>-42</v>
      </c>
      <c r="R21" s="44" t="n">
        <v>111</v>
      </c>
      <c r="S21" s="44" t="n">
        <v>-260</v>
      </c>
      <c r="T21" s="44" t="n">
        <v>30</v>
      </c>
      <c r="U21" s="43" t="n">
        <f>IF(COUNT('Cash Flow'!L21)=1,'Cash Flow'!L21,"")</f>
        <v>71</v>
      </c>
      <c r="V21" s="44" t="n">
        <v>226</v>
      </c>
      <c r="W21" s="44" t="n">
        <v>494</v>
      </c>
      <c r="X21" s="44" t="n">
        <v>663</v>
      </c>
    </row>
    <row r="22" ht="22" customHeight="1">
      <c r="A22" s="4" t="str">
        <v>Accounts and notes receivable</v>
      </c>
      <c r="B22" s="2"/>
      <c r="C22" s="44" t="n">
        <v>-349</v>
      </c>
      <c r="D22" s="44" t="n">
        <v>-202</v>
      </c>
      <c r="E22" s="44" t="n">
        <v>-253</v>
      </c>
      <c r="F22" s="44" t="n">
        <v>-650</v>
      </c>
      <c r="G22" s="44" t="n">
        <v>-420</v>
      </c>
      <c r="H22" s="44" t="n">
        <v>-651</v>
      </c>
      <c r="I22" s="44" t="n">
        <v>-1763</v>
      </c>
      <c r="J22" s="44" t="n">
        <v>-793</v>
      </c>
      <c r="K22" s="44" t="n">
        <v>-138</v>
      </c>
      <c r="L22" s="44" t="n">
        <v>-580</v>
      </c>
      <c r="M22" s="45"/>
      <c r="N22" s="44" t="n">
        <v>-96</v>
      </c>
      <c r="O22" s="44" t="n">
        <v>-1138</v>
      </c>
      <c r="P22" s="44" t="n">
        <v>-1521</v>
      </c>
      <c r="Q22" s="43" t="n">
        <f>IF(COUNT('Cash Flow'!K22)=1,'Cash Flow'!K22,"")</f>
        <v>-138</v>
      </c>
      <c r="R22" s="44" t="n">
        <v>-318</v>
      </c>
      <c r="S22" s="44" t="n">
        <v>-1582</v>
      </c>
      <c r="T22" s="44" t="n">
        <v>-1747</v>
      </c>
      <c r="U22" s="43" t="n">
        <f>IF(COUNT('Cash Flow'!L22)=1,'Cash Flow'!L22,"")</f>
        <v>-580</v>
      </c>
      <c r="V22" s="44" t="n">
        <v>-530</v>
      </c>
      <c r="W22" s="44" t="n">
        <v>-1857</v>
      </c>
      <c r="X22" s="44" t="n">
        <v>-2124</v>
      </c>
    </row>
    <row r="23" ht="22" customHeight="1">
      <c r="A23" s="4" t="str">
        <v>Inventories</v>
      </c>
      <c r="B23" s="2"/>
      <c r="C23" s="44" t="n">
        <v>-75</v>
      </c>
      <c r="D23" s="44" t="n">
        <v>-168</v>
      </c>
      <c r="E23" s="44" t="n">
        <v>-174</v>
      </c>
      <c r="F23" s="44" t="n">
        <v>-190</v>
      </c>
      <c r="G23" s="44" t="n">
        <v>-516</v>
      </c>
      <c r="H23" s="44" t="n">
        <v>-582</v>
      </c>
      <c r="I23" s="44" t="n">
        <v>-1142</v>
      </c>
      <c r="J23" s="44" t="n">
        <v>-261</v>
      </c>
      <c r="K23" s="44" t="n">
        <v>-314</v>
      </c>
      <c r="L23" s="44" t="n">
        <v>-150</v>
      </c>
      <c r="M23" s="45"/>
      <c r="N23" s="44" t="n">
        <v>-291</v>
      </c>
      <c r="O23" s="44" t="n">
        <v>-696</v>
      </c>
      <c r="P23" s="44" t="n">
        <v>-492</v>
      </c>
      <c r="Q23" s="43" t="n">
        <f>IF(COUNT('Cash Flow'!K23)=1,'Cash Flow'!K23,"")</f>
        <v>-314</v>
      </c>
      <c r="R23" s="44" t="n">
        <v>-238</v>
      </c>
      <c r="S23" s="44" t="n">
        <v>-800</v>
      </c>
      <c r="T23" s="44" t="n">
        <v>-449</v>
      </c>
      <c r="U23" s="43" t="n">
        <f>IF(COUNT('Cash Flow'!L23)=1,'Cash Flow'!L23,"")</f>
        <v>-150</v>
      </c>
      <c r="V23" s="44" t="n">
        <v>-315</v>
      </c>
      <c r="W23" s="44" t="n">
        <v>-802</v>
      </c>
      <c r="X23" s="44" t="n">
        <v>-588</v>
      </c>
    </row>
    <row r="24" ht="22" customHeight="1">
      <c r="A24" s="4" t="str">
        <v>Prepaid expenses and other current assets</v>
      </c>
      <c r="B24" s="2"/>
      <c r="C24" s="44" t="n">
        <v>10</v>
      </c>
      <c r="D24" s="44" t="n">
        <v>20</v>
      </c>
      <c r="E24" s="44" t="n">
        <v>9</v>
      </c>
      <c r="F24" s="44" t="n">
        <v>-87</v>
      </c>
      <c r="G24" s="44" t="n">
        <v>26</v>
      </c>
      <c r="H24" s="44" t="n">
        <v>159</v>
      </c>
      <c r="I24" s="44" t="n">
        <v>118</v>
      </c>
      <c r="J24" s="44" t="n">
        <v>-13</v>
      </c>
      <c r="K24" s="44" t="n">
        <v>40</v>
      </c>
      <c r="L24" s="44" t="n">
        <v>195</v>
      </c>
      <c r="M24" s="45"/>
      <c r="N24" s="44" t="n">
        <v>-342</v>
      </c>
      <c r="O24" s="44" t="n">
        <v>-365</v>
      </c>
      <c r="P24" s="44" t="n">
        <v>-200</v>
      </c>
      <c r="Q24" s="43" t="n">
        <f>IF(COUNT('Cash Flow'!K24)=1,'Cash Flow'!K24,"")</f>
        <v>40</v>
      </c>
      <c r="R24" s="44" t="n">
        <v>-307</v>
      </c>
      <c r="S24" s="44" t="n">
        <v>-354</v>
      </c>
      <c r="T24" s="44" t="n">
        <v>-223</v>
      </c>
      <c r="U24" s="43" t="n">
        <f>IF(COUNT('Cash Flow'!L24)=1,'Cash Flow'!L24,"")</f>
        <v>195</v>
      </c>
      <c r="V24" s="44" t="n">
        <v>-406</v>
      </c>
      <c r="W24" s="44" t="n">
        <v>-271</v>
      </c>
      <c r="X24" s="44" t="n">
        <v>27</v>
      </c>
    </row>
    <row r="25" ht="22" customHeight="1">
      <c r="A25" s="4" t="str">
        <v>Accounts payable and other current liabilities</v>
      </c>
      <c r="B25" s="2"/>
      <c r="C25" s="44" t="n">
        <v>981</v>
      </c>
      <c r="D25" s="44" t="n">
        <v>201</v>
      </c>
      <c r="E25" s="44" t="n">
        <v>882</v>
      </c>
      <c r="F25" s="44" t="n">
        <v>735</v>
      </c>
      <c r="G25" s="44" t="n">
        <v>766</v>
      </c>
      <c r="H25" s="44" t="n">
        <v>1762</v>
      </c>
      <c r="I25" s="44" t="n">
        <v>1842</v>
      </c>
      <c r="J25" s="44" t="n">
        <v>420</v>
      </c>
      <c r="K25" s="44" t="n">
        <v>-943</v>
      </c>
      <c r="L25" s="44" t="n">
        <v>-677</v>
      </c>
      <c r="M25" s="45"/>
      <c r="N25" s="44" t="n">
        <v>-3408</v>
      </c>
      <c r="O25" s="44" t="n">
        <v>-2968</v>
      </c>
      <c r="P25" s="44" t="n">
        <v>-2312</v>
      </c>
      <c r="Q25" s="43" t="n">
        <f>IF(COUNT('Cash Flow'!K25)=1,'Cash Flow'!K25,"")</f>
        <v>-943</v>
      </c>
      <c r="R25" s="44" t="n">
        <v>-2671</v>
      </c>
      <c r="S25" s="44" t="n">
        <v>-2083</v>
      </c>
      <c r="T25" s="44" t="n">
        <v>-1647</v>
      </c>
      <c r="U25" s="43" t="n">
        <f>IF(COUNT('Cash Flow'!L25)=1,'Cash Flow'!L25,"")</f>
        <v>-677</v>
      </c>
      <c r="V25" s="44" t="n">
        <v>-1847</v>
      </c>
      <c r="W25" s="44" t="n">
        <v>-1200</v>
      </c>
      <c r="X25" s="44" t="n">
        <v>-358</v>
      </c>
    </row>
    <row r="26" ht="22" customHeight="1">
      <c r="A26" s="4" t="str">
        <v>Income taxes payable</v>
      </c>
      <c r="B26" s="2"/>
      <c r="C26" s="44" t="n">
        <v>329</v>
      </c>
      <c r="D26" s="44" t="n">
        <v>-338</v>
      </c>
      <c r="E26" s="44" t="n">
        <v>448</v>
      </c>
      <c r="F26" s="44" t="n">
        <v>-287</v>
      </c>
      <c r="G26" s="44" t="n">
        <v>-159</v>
      </c>
      <c r="H26" s="44" t="n">
        <v>30</v>
      </c>
      <c r="I26" s="44" t="n">
        <v>57</v>
      </c>
      <c r="J26" s="44" t="n">
        <v>310</v>
      </c>
      <c r="K26" s="44" t="n">
        <v>-123</v>
      </c>
      <c r="L26" s="44" t="n">
        <v>-433</v>
      </c>
      <c r="M26" s="45"/>
      <c r="N26" s="44" t="n">
        <v>222</v>
      </c>
      <c r="O26" s="44" t="n">
        <v>287</v>
      </c>
      <c r="P26" s="44" t="n">
        <v>426</v>
      </c>
      <c r="Q26" s="43" t="n">
        <f>IF(COUNT('Cash Flow'!K26)=1,'Cash Flow'!K26,"")</f>
        <v>-123</v>
      </c>
      <c r="R26" s="44" t="n">
        <v>223</v>
      </c>
      <c r="S26" s="44" t="n">
        <v>415</v>
      </c>
      <c r="T26" s="44" t="n">
        <v>6</v>
      </c>
      <c r="U26" s="43" t="n">
        <f>IF(COUNT('Cash Flow'!L26)=1,'Cash Flow'!L26,"")</f>
        <v>-433</v>
      </c>
      <c r="V26" s="44" t="n">
        <v>131</v>
      </c>
      <c r="W26" s="44" t="n">
        <v>313</v>
      </c>
      <c r="X26" s="44" t="n">
        <v>415</v>
      </c>
    </row>
    <row r="27" ht="22" customHeight="1">
      <c r="A27" s="4" t="str">
        <v>Other, net</v>
      </c>
      <c r="B27" s="2"/>
      <c r="C27" s="44" t="n">
        <v>70</v>
      </c>
      <c r="D27" s="44" t="n">
        <v>-305</v>
      </c>
      <c r="E27" s="44" t="n">
        <v>-258</v>
      </c>
      <c r="F27" s="44" t="n">
        <v>-196</v>
      </c>
      <c r="G27" s="44" t="n">
        <v>164</v>
      </c>
      <c r="H27" s="44" t="n">
        <v>375</v>
      </c>
      <c r="I27" s="44" t="n">
        <v>-325</v>
      </c>
      <c r="J27" s="44" t="n">
        <v>189</v>
      </c>
      <c r="K27" s="44" t="n">
        <v>-311</v>
      </c>
      <c r="L27" s="44" t="n">
        <v>-712</v>
      </c>
      <c r="M27" s="45"/>
      <c r="N27" s="44" t="n">
        <v>-68</v>
      </c>
      <c r="O27" s="44" t="n">
        <v>-203</v>
      </c>
      <c r="P27" s="44" t="n">
        <v>-138</v>
      </c>
      <c r="Q27" s="43" t="n">
        <f>IF(COUNT('Cash Flow'!K27)=1,'Cash Flow'!K27,"")</f>
        <v>-311</v>
      </c>
      <c r="R27" s="44" t="n">
        <v>-246</v>
      </c>
      <c r="S27" s="44" t="n">
        <v>-300</v>
      </c>
      <c r="T27" s="44" t="n">
        <v>-446</v>
      </c>
      <c r="U27" s="43" t="n">
        <f>IF(COUNT('Cash Flow'!L27)=1,'Cash Flow'!L27,"")</f>
        <v>-712</v>
      </c>
      <c r="V27" s="44" t="n">
        <v>-157</v>
      </c>
      <c r="W27" s="44" t="n">
        <v>-298</v>
      </c>
      <c r="X27" s="44" t="n">
        <v>-422</v>
      </c>
    </row>
    <row r="28" ht="22" customHeight="1">
      <c r="A28" s="4" t="str">
        <v>Charge related to the transaction with Tingyi</v>
      </c>
      <c r="B28" s="2"/>
      <c r="C28" s="44" t="n">
        <v>373</v>
      </c>
      <c r="D28" s="44"/>
      <c r="E28" s="44"/>
      <c r="F28" s="44"/>
      <c r="G28" s="44"/>
      <c r="H28" s="44"/>
      <c r="I28" s="44"/>
      <c r="J28" s="44"/>
      <c r="K28" s="44"/>
      <c r="L28" s="44"/>
      <c r="M28" s="45"/>
      <c r="N28" s="44"/>
      <c r="O28" s="44"/>
      <c r="P28" s="44"/>
      <c r="Q28" s="43" t="str">
        <f>IF(COUNT('Cash Flow'!K28)=1,'Cash Flow'!K28,"")</f>
      </c>
      <c r="R28" s="44"/>
      <c r="S28" s="44"/>
      <c r="T28" s="44"/>
      <c r="U28" s="43" t="str">
        <f>IF(COUNT('Cash Flow'!L28)=1,'Cash Flow'!L28,"")</f>
      </c>
      <c r="V28" s="44"/>
      <c r="W28" s="44"/>
      <c r="X28" s="44"/>
    </row>
    <row r="29" ht="36" customHeight="1">
      <c r="A29" s="4" t="str">
        <v>Other net tax benefits related to international reorganizations</v>
      </c>
      <c r="B29" s="2"/>
      <c r="C29" s="44" t="n">
        <v>0</v>
      </c>
      <c r="D29" s="44" t="n">
        <v>0</v>
      </c>
      <c r="E29" s="44" t="n">
        <v>-4347</v>
      </c>
      <c r="F29" s="44"/>
      <c r="G29" s="44"/>
      <c r="H29" s="44"/>
      <c r="I29" s="44"/>
      <c r="J29" s="44"/>
      <c r="K29" s="44"/>
      <c r="L29" s="44"/>
      <c r="M29" s="45"/>
      <c r="N29" s="44"/>
      <c r="O29" s="44"/>
      <c r="P29" s="44"/>
      <c r="Q29" s="43" t="str">
        <f>IF(COUNT('Cash Flow'!K29)=1,'Cash Flow'!K29,"")</f>
      </c>
      <c r="R29" s="44"/>
      <c r="S29" s="44"/>
      <c r="T29" s="44"/>
      <c r="U29" s="43" t="str">
        <f>IF(COUNT('Cash Flow'!L29)=1,'Cash Flow'!L29,"")</f>
      </c>
      <c r="V29" s="44"/>
      <c r="W29" s="44"/>
      <c r="X29" s="44"/>
    </row>
    <row r="30" ht="22" customHeight="1">
      <c r="A30" s="4" t="str">
        <v>Net tax (benefit)/expense related to the TCJ Act</v>
      </c>
      <c r="B30" s="2"/>
      <c r="C30" s="44" t="n">
        <v>0</v>
      </c>
      <c r="D30" s="44"/>
      <c r="E30" s="44"/>
      <c r="F30" s="44"/>
      <c r="G30" s="44"/>
      <c r="H30" s="44"/>
      <c r="I30" s="44"/>
      <c r="J30" s="44"/>
      <c r="K30" s="44"/>
      <c r="L30" s="44"/>
      <c r="M30" s="45"/>
      <c r="N30" s="44"/>
      <c r="O30" s="44"/>
      <c r="P30" s="44"/>
      <c r="Q30" s="43" t="str">
        <f>IF(COUNT('Cash Flow'!K30)=1,'Cash Flow'!K30,"")</f>
      </c>
      <c r="R30" s="44"/>
      <c r="S30" s="44"/>
      <c r="T30" s="44"/>
      <c r="U30" s="43" t="str">
        <f>IF(COUNT('Cash Flow'!L30)=1,'Cash Flow'!L30,"")</f>
      </c>
      <c r="V30" s="44"/>
      <c r="W30" s="44"/>
      <c r="X30" s="44"/>
    </row>
    <row r="31" ht="22" customHeight="1">
      <c r="A31" s="4" t="str">
        <v>Net tax related to the TCJ Act</v>
      </c>
      <c r="B31" s="2"/>
      <c r="C31" s="44"/>
      <c r="D31" s="44" t="n">
        <v>2451</v>
      </c>
      <c r="E31" s="44" t="n">
        <v>-28</v>
      </c>
      <c r="F31" s="44"/>
      <c r="G31" s="44"/>
      <c r="H31" s="44"/>
      <c r="I31" s="44"/>
      <c r="J31" s="44"/>
      <c r="K31" s="44"/>
      <c r="L31" s="44"/>
      <c r="M31" s="45"/>
      <c r="N31" s="44"/>
      <c r="O31" s="44"/>
      <c r="P31" s="44"/>
      <c r="Q31" s="43" t="str">
        <f>IF(COUNT('Cash Flow'!K31)=1,'Cash Flow'!K31,"")</f>
      </c>
      <c r="R31" s="44"/>
      <c r="S31" s="44"/>
      <c r="T31" s="44"/>
      <c r="U31" s="43" t="str">
        <f>IF(COUNT('Cash Flow'!L31)=1,'Cash Flow'!L31,"")</f>
      </c>
      <c r="V31" s="44"/>
      <c r="W31" s="44"/>
      <c r="X31" s="44"/>
    </row>
    <row r="32" ht="22" customHeight="1">
      <c r="A32" s="4" t="str">
        <v>Tax payments related to the TCJ Act</v>
      </c>
      <c r="B32" s="2"/>
      <c r="C32" s="44"/>
      <c r="D32" s="44" t="n">
        <v>0</v>
      </c>
      <c r="E32" s="44" t="n">
        <v>-115</v>
      </c>
      <c r="F32" s="44" t="n">
        <v>-423</v>
      </c>
      <c r="G32" s="44" t="n">
        <v>-78</v>
      </c>
      <c r="H32" s="44" t="n">
        <v>-309</v>
      </c>
      <c r="I32" s="44" t="n">
        <v>-309</v>
      </c>
      <c r="J32" s="44" t="n">
        <v>-309</v>
      </c>
      <c r="K32" s="44" t="n">
        <v>-579</v>
      </c>
      <c r="L32" s="44" t="n">
        <v>-772</v>
      </c>
      <c r="M32" s="45"/>
      <c r="N32" s="44"/>
      <c r="O32" s="44"/>
      <c r="P32" s="44"/>
      <c r="Q32" s="43" t="n">
        <f>IF(COUNT('Cash Flow'!K32)=1,'Cash Flow'!K32,"")</f>
        <v>-579</v>
      </c>
      <c r="R32" s="44"/>
      <c r="S32" s="44"/>
      <c r="T32" s="44"/>
      <c r="U32" s="43" t="n">
        <f>IF(COUNT('Cash Flow'!L32)=1,'Cash Flow'!L32,"")</f>
        <v>-772</v>
      </c>
      <c r="V32" s="44"/>
      <c r="W32" s="44"/>
      <c r="X32" s="44"/>
    </row>
    <row r="33" ht="36" customHeight="1">
      <c r="A33" s="4" t="str">
        <v>Inventory fair value adjustments and merger and integration charges</v>
      </c>
      <c r="B33" s="2"/>
      <c r="C33" s="44"/>
      <c r="D33" s="44"/>
      <c r="E33" s="44" t="n">
        <v>75</v>
      </c>
      <c r="F33" s="44"/>
      <c r="G33" s="44"/>
      <c r="H33" s="44"/>
      <c r="I33" s="44"/>
      <c r="J33" s="44"/>
      <c r="K33" s="44"/>
      <c r="L33" s="44"/>
      <c r="M33" s="45"/>
      <c r="N33" s="44"/>
      <c r="O33" s="44"/>
      <c r="P33" s="44"/>
      <c r="Q33" s="43" t="str">
        <f>IF(COUNT('Cash Flow'!K33)=1,'Cash Flow'!K33,"")</f>
      </c>
      <c r="R33" s="44"/>
      <c r="S33" s="44"/>
      <c r="T33" s="44"/>
      <c r="U33" s="43" t="str">
        <f>IF(COUNT('Cash Flow'!L33)=1,'Cash Flow'!L33,"")</f>
      </c>
      <c r="V33" s="44"/>
      <c r="W33" s="44"/>
      <c r="X33" s="44"/>
    </row>
    <row r="34" ht="22" customHeight="1">
      <c r="A34" s="4" t="str">
        <v>Cash payments for merger and integration charges</v>
      </c>
      <c r="B34" s="2"/>
      <c r="C34" s="44"/>
      <c r="D34" s="44"/>
      <c r="E34" s="44" t="n">
        <v>-73</v>
      </c>
      <c r="F34" s="44"/>
      <c r="G34" s="44"/>
      <c r="H34" s="44"/>
      <c r="I34" s="44"/>
      <c r="J34" s="44"/>
      <c r="K34" s="44"/>
      <c r="L34" s="44"/>
      <c r="M34" s="45"/>
      <c r="N34" s="44"/>
      <c r="O34" s="44"/>
      <c r="P34" s="44"/>
      <c r="Q34" s="43" t="str">
        <f>IF(COUNT('Cash Flow'!K34)=1,'Cash Flow'!K34,"")</f>
      </c>
      <c r="R34" s="44"/>
      <c r="S34" s="44"/>
      <c r="T34" s="44"/>
      <c r="U34" s="43" t="str">
        <f>IF(COUNT('Cash Flow'!L34)=1,'Cash Flow'!L34,"")</f>
      </c>
      <c r="V34" s="44"/>
      <c r="W34" s="44"/>
      <c r="X34" s="44"/>
    </row>
    <row r="35" ht="22" customHeight="1">
      <c r="A35" s="4" t="str">
        <v>Operating lease right-of-use asset amortization</v>
      </c>
      <c r="B35" s="2"/>
      <c r="C35" s="44"/>
      <c r="D35" s="44"/>
      <c r="E35" s="44"/>
      <c r="F35" s="44" t="n">
        <v>412</v>
      </c>
      <c r="G35" s="44" t="n">
        <v>478</v>
      </c>
      <c r="H35" s="44" t="n">
        <v>505</v>
      </c>
      <c r="I35" s="44" t="n">
        <v>517</v>
      </c>
      <c r="J35" s="44" t="n">
        <v>570</v>
      </c>
      <c r="K35" s="44" t="n">
        <v>655</v>
      </c>
      <c r="L35" s="44" t="n">
        <v>727</v>
      </c>
      <c r="M35" s="45"/>
      <c r="N35" s="44" t="n">
        <v>127</v>
      </c>
      <c r="O35" s="44" t="n">
        <v>278</v>
      </c>
      <c r="P35" s="44" t="n">
        <v>438</v>
      </c>
      <c r="Q35" s="43" t="n">
        <f>IF(COUNT('Cash Flow'!K35)=1,'Cash Flow'!K35,"")</f>
        <v>655</v>
      </c>
      <c r="R35" s="44" t="n">
        <v>145</v>
      </c>
      <c r="S35" s="44" t="n">
        <v>315</v>
      </c>
      <c r="T35" s="44" t="n">
        <v>489</v>
      </c>
      <c r="U35" s="43" t="n">
        <f>IF(COUNT('Cash Flow'!L35)=1,'Cash Flow'!L35,"")</f>
        <v>727</v>
      </c>
      <c r="V35" s="44" t="n">
        <v>162</v>
      </c>
      <c r="W35" s="44" t="n">
        <v>347</v>
      </c>
      <c r="X35" s="44" t="n">
        <v>531</v>
      </c>
    </row>
    <row r="36" ht="22" customHeight="1">
      <c r="A36" s="4" t="str">
        <v>Acquisition and divestiture-related charges</v>
      </c>
      <c r="B36" s="2"/>
      <c r="C36" s="44"/>
      <c r="D36" s="44"/>
      <c r="E36" s="44"/>
      <c r="F36" s="44" t="n">
        <v>55</v>
      </c>
      <c r="G36" s="44" t="n">
        <v>255</v>
      </c>
      <c r="H36" s="44" t="n">
        <v>-4</v>
      </c>
      <c r="I36" s="44"/>
      <c r="J36" s="44" t="n">
        <v>41</v>
      </c>
      <c r="K36" s="44" t="n">
        <v>22</v>
      </c>
      <c r="L36" s="44" t="n">
        <v>453</v>
      </c>
      <c r="M36" s="45"/>
      <c r="N36" s="44"/>
      <c r="O36" s="44"/>
      <c r="P36" s="44" t="n">
        <v>7</v>
      </c>
      <c r="Q36" s="43" t="n">
        <f>IF(COUNT('Cash Flow'!K36)=1,'Cash Flow'!K36,"")</f>
        <v>22</v>
      </c>
      <c r="R36" s="44" t="n">
        <v>25</v>
      </c>
      <c r="S36" s="44" t="n">
        <v>87</v>
      </c>
      <c r="T36" s="44" t="n">
        <v>308</v>
      </c>
      <c r="U36" s="43" t="n">
        <f>IF(COUNT('Cash Flow'!L36)=1,'Cash Flow'!L36,"")</f>
        <v>453</v>
      </c>
      <c r="V36" s="44" t="n">
        <v>-113</v>
      </c>
      <c r="W36" s="44" t="n">
        <v>-158</v>
      </c>
      <c r="X36" s="44" t="n">
        <v>-254</v>
      </c>
    </row>
    <row r="37" ht="36" customHeight="1">
      <c r="A37" s="4" t="str">
        <v>Cash payments for acquisition and divestiture-related charges</v>
      </c>
      <c r="B37" s="2"/>
      <c r="C37" s="44"/>
      <c r="D37" s="44"/>
      <c r="E37" s="44"/>
      <c r="F37" s="44" t="n">
        <v>-10</v>
      </c>
      <c r="G37" s="44" t="n">
        <v>-131</v>
      </c>
      <c r="H37" s="44" t="n">
        <v>-176</v>
      </c>
      <c r="I37" s="44"/>
      <c r="J37" s="44" t="n">
        <v>-41</v>
      </c>
      <c r="K37" s="44" t="n">
        <v>-18</v>
      </c>
      <c r="L37" s="44" t="n">
        <v>-228</v>
      </c>
      <c r="M37" s="45"/>
      <c r="N37" s="44"/>
      <c r="O37" s="44"/>
      <c r="P37" s="44" t="n">
        <v>-4</v>
      </c>
      <c r="Q37" s="43" t="n">
        <f>IF(COUNT('Cash Flow'!K37)=1,'Cash Flow'!K37,"")</f>
        <v>-18</v>
      </c>
      <c r="R37" s="44" t="n">
        <v>-13</v>
      </c>
      <c r="S37" s="44" t="n">
        <v>-58</v>
      </c>
      <c r="T37" s="44" t="n">
        <v>-80</v>
      </c>
      <c r="U37" s="43" t="n">
        <f>IF(COUNT('Cash Flow'!L37)=1,'Cash Flow'!L37,"")</f>
        <v>-228</v>
      </c>
      <c r="V37" s="44" t="n">
        <v>-14</v>
      </c>
      <c r="W37" s="44" t="n">
        <v>-14</v>
      </c>
      <c r="X37" s="44" t="n">
        <v>-24</v>
      </c>
    </row>
    <row r="38" ht="22" customHeight="1">
      <c r="A38" s="4" t="str">
        <v>Tax expense/(benefit) related to the TCJ Act</v>
      </c>
      <c r="B38" s="2"/>
      <c r="C38" s="44"/>
      <c r="D38" s="44"/>
      <c r="E38" s="44"/>
      <c r="F38" s="44" t="n">
        <v>-8</v>
      </c>
      <c r="G38" s="44"/>
      <c r="H38" s="44"/>
      <c r="I38" s="44"/>
      <c r="J38" s="44"/>
      <c r="K38" s="44"/>
      <c r="L38" s="44"/>
      <c r="M38" s="45"/>
      <c r="N38" s="44"/>
      <c r="O38" s="44"/>
      <c r="P38" s="44"/>
      <c r="Q38" s="43" t="str">
        <f>IF(COUNT('Cash Flow'!K38)=1,'Cash Flow'!K38,"")</f>
      </c>
      <c r="R38" s="44"/>
      <c r="S38" s="44"/>
      <c r="T38" s="44"/>
      <c r="U38" s="43" t="str">
        <f>IF(COUNT('Cash Flow'!L38)=1,'Cash Flow'!L38,"")</f>
      </c>
      <c r="V38" s="44"/>
      <c r="W38" s="44"/>
      <c r="X38" s="44"/>
    </row>
    <row r="39" ht="22" customHeight="1">
      <c r="A39" s="4" t="str">
        <v>Gain associated with the Juice Transaction</v>
      </c>
      <c r="B39" s="2"/>
      <c r="C39" s="44"/>
      <c r="D39" s="44"/>
      <c r="E39" s="44"/>
      <c r="F39" s="44"/>
      <c r="G39" s="44" t="n">
        <v>0</v>
      </c>
      <c r="H39" s="44" t="n">
        <v>0</v>
      </c>
      <c r="I39" s="44" t="n">
        <v>-3321</v>
      </c>
      <c r="J39" s="44"/>
      <c r="K39" s="44"/>
      <c r="L39" s="44"/>
      <c r="M39" s="45"/>
      <c r="N39" s="44"/>
      <c r="O39" s="44"/>
      <c r="P39" s="44"/>
      <c r="Q39" s="43" t="str">
        <f>IF(COUNT('Cash Flow'!K39)=1,'Cash Flow'!K39,"")</f>
      </c>
      <c r="R39" s="44"/>
      <c r="S39" s="44"/>
      <c r="T39" s="44"/>
      <c r="U39" s="43" t="str">
        <f>IF(COUNT('Cash Flow'!L39)=1,'Cash Flow'!L39,"")</f>
      </c>
      <c r="V39" s="44"/>
      <c r="W39" s="44"/>
      <c r="X39" s="44"/>
    </row>
    <row r="40" ht="22" customHeight="1">
      <c r="A40" s="4" t="str">
        <v>Impairment and other charges</v>
      </c>
      <c r="B40" s="2"/>
      <c r="C40" s="44"/>
      <c r="D40" s="44"/>
      <c r="E40" s="44"/>
      <c r="F40" s="44"/>
      <c r="G40" s="44" t="n">
        <v>0</v>
      </c>
      <c r="H40" s="44" t="n">
        <v>0</v>
      </c>
      <c r="I40" s="44" t="n">
        <v>3618</v>
      </c>
      <c r="J40" s="44" t="n">
        <v>1230</v>
      </c>
      <c r="K40" s="44" t="n">
        <v>714</v>
      </c>
      <c r="L40" s="44" t="n">
        <v>1946</v>
      </c>
      <c r="M40" s="45"/>
      <c r="N40" s="44"/>
      <c r="O40" s="44" t="n">
        <v>0</v>
      </c>
      <c r="P40" s="44" t="n">
        <v>10</v>
      </c>
      <c r="Q40" s="43" t="n">
        <f>IF(COUNT('Cash Flow'!K40)=1,'Cash Flow'!K40,"")</f>
        <v>714</v>
      </c>
      <c r="R40" s="44"/>
      <c r="S40" s="44" t="n">
        <v>1860</v>
      </c>
      <c r="T40" s="44" t="n">
        <v>1960</v>
      </c>
      <c r="U40" s="43" t="n">
        <f>IF(COUNT('Cash Flow'!L40)=1,'Cash Flow'!L40,"")</f>
        <v>1946</v>
      </c>
      <c r="V40" s="44"/>
      <c r="W40" s="44" t="n">
        <v>0</v>
      </c>
      <c r="X40" s="44" t="n">
        <v>0</v>
      </c>
    </row>
    <row r="41" ht="22" customHeight="1">
      <c r="A41" s="4" t="str">
        <v>Tax expense related to the TCJ Act</v>
      </c>
      <c r="B41" s="2"/>
      <c r="C41" s="44"/>
      <c r="D41" s="44"/>
      <c r="E41" s="44"/>
      <c r="F41" s="44"/>
      <c r="G41" s="44" t="n">
        <v>0</v>
      </c>
      <c r="H41" s="44" t="n">
        <v>190</v>
      </c>
      <c r="I41" s="44" t="n">
        <v>86</v>
      </c>
      <c r="J41" s="44"/>
      <c r="K41" s="44"/>
      <c r="L41" s="44"/>
      <c r="M41" s="45"/>
      <c r="N41" s="44"/>
      <c r="O41" s="44"/>
      <c r="P41" s="44"/>
      <c r="Q41" s="43" t="str">
        <f>IF(COUNT('Cash Flow'!K41)=1,'Cash Flow'!K41,"")</f>
      </c>
      <c r="R41" s="44"/>
      <c r="S41" s="44"/>
      <c r="T41" s="44"/>
      <c r="U41" s="43" t="str">
        <f>IF(COUNT('Cash Flow'!L41)=1,'Cash Flow'!L41,"")</f>
      </c>
      <c r="V41" s="44"/>
      <c r="W41" s="44"/>
      <c r="X41" s="44"/>
    </row>
    <row r="42" ht="22" customHeight="1">
      <c r="A42" s="4" t="str">
        <v>Product recall-related impact</v>
      </c>
      <c r="B42" s="2"/>
      <c r="C42" s="44"/>
      <c r="D42" s="44"/>
      <c r="E42" s="44"/>
      <c r="F42" s="44"/>
      <c r="G42" s="44"/>
      <c r="H42" s="44" t="n">
        <v>0</v>
      </c>
      <c r="I42" s="44" t="n">
        <v>0</v>
      </c>
      <c r="J42" s="44" t="n">
        <v>136</v>
      </c>
      <c r="K42" s="44" t="n">
        <v>187</v>
      </c>
      <c r="L42" s="44" t="n">
        <v>0</v>
      </c>
      <c r="M42" s="45"/>
      <c r="N42" s="44" t="n">
        <v>167</v>
      </c>
      <c r="O42" s="44" t="n">
        <v>182</v>
      </c>
      <c r="P42" s="44" t="n">
        <v>184</v>
      </c>
      <c r="Q42" s="43" t="n">
        <f>IF(COUNT('Cash Flow'!K42)=1,'Cash Flow'!K42,"")</f>
        <v>187</v>
      </c>
      <c r="R42" s="44"/>
      <c r="S42" s="44"/>
      <c r="T42" s="44"/>
      <c r="U42" s="43" t="n">
        <f>IF(COUNT('Cash Flow'!L42)=1,'Cash Flow'!L42,"")</f>
        <v>0</v>
      </c>
      <c r="V42" s="44"/>
      <c r="W42" s="44"/>
      <c r="X42" s="44"/>
    </row>
    <row r="43" ht="22" customHeight="1">
      <c r="A43" s="4" t="str">
        <v>Cash payments for product recall-related impact</v>
      </c>
      <c r="B43" s="2"/>
      <c r="C43" s="44"/>
      <c r="D43" s="44"/>
      <c r="E43" s="44"/>
      <c r="F43" s="44"/>
      <c r="G43" s="44"/>
      <c r="H43" s="44"/>
      <c r="I43" s="44" t="n">
        <v>0</v>
      </c>
      <c r="J43" s="44" t="n">
        <v>0</v>
      </c>
      <c r="K43" s="44" t="n">
        <v>-148</v>
      </c>
      <c r="L43" s="44" t="n">
        <v>-6</v>
      </c>
      <c r="M43" s="45"/>
      <c r="N43" s="44" t="n">
        <v>-108</v>
      </c>
      <c r="O43" s="44" t="n">
        <v>-135</v>
      </c>
      <c r="P43" s="44" t="n">
        <v>-138</v>
      </c>
      <c r="Q43" s="43" t="n">
        <f>IF(COUNT('Cash Flow'!K43)=1,'Cash Flow'!K43,"")</f>
        <v>-148</v>
      </c>
      <c r="R43" s="44"/>
      <c r="S43" s="44"/>
      <c r="T43" s="44"/>
      <c r="U43" s="43" t="n">
        <f>IF(COUNT('Cash Flow'!L43)=1,'Cash Flow'!L43,"")</f>
        <v>-6</v>
      </c>
      <c r="V43" s="44"/>
      <c r="W43" s="44"/>
      <c r="X43" s="44"/>
    </row>
    <row r="44" ht="36" customHeight="1">
      <c r="A44" s="4" t="str">
        <v>Tax payments related to the Tax Cuts and Jobs Act (TCJ Act)</v>
      </c>
      <c r="B44" s="2"/>
      <c r="C44" s="44"/>
      <c r="D44" s="44"/>
      <c r="E44" s="44"/>
      <c r="F44" s="44"/>
      <c r="G44" s="44"/>
      <c r="H44" s="44"/>
      <c r="I44" s="44"/>
      <c r="J44" s="44"/>
      <c r="K44" s="44"/>
      <c r="L44" s="44"/>
      <c r="M44" s="45"/>
      <c r="N44" s="44"/>
      <c r="O44" s="44" t="n">
        <v>-579</v>
      </c>
      <c r="P44" s="44" t="n">
        <v>-579</v>
      </c>
      <c r="Q44" s="43" t="str">
        <f>IF(COUNT('Cash Flow'!K44)=1,'Cash Flow'!K44,"")</f>
      </c>
      <c r="R44" s="44"/>
      <c r="S44" s="44" t="n">
        <v>-772</v>
      </c>
      <c r="T44" s="44" t="n">
        <v>-772</v>
      </c>
      <c r="U44" s="43" t="str">
        <f>IF(COUNT('Cash Flow'!L44)=1,'Cash Flow'!L44,"")</f>
      </c>
      <c r="V44" s="44"/>
      <c r="W44" s="44" t="n">
        <v>-965</v>
      </c>
      <c r="X44" s="44" t="n">
        <v>-965</v>
      </c>
    </row>
    <row r="45" ht="22" customHeight="1">
      <c r="A45" s="4" t="str">
        <v>Indirect tax impact</v>
      </c>
      <c r="B45" s="2"/>
      <c r="C45" s="44"/>
      <c r="D45" s="44"/>
      <c r="E45" s="44"/>
      <c r="F45" s="44"/>
      <c r="G45" s="44"/>
      <c r="H45" s="44"/>
      <c r="I45" s="44" t="n">
        <v>0</v>
      </c>
      <c r="J45" s="44"/>
      <c r="K45" s="44"/>
      <c r="L45" s="44"/>
      <c r="M45" s="45"/>
      <c r="N45" s="44"/>
      <c r="O45" s="44"/>
      <c r="P45" s="44"/>
      <c r="Q45" s="43" t="str">
        <f>IF(COUNT('Cash Flow'!K45)=1,'Cash Flow'!K45,"")</f>
      </c>
      <c r="R45" s="44"/>
      <c r="S45" s="44"/>
      <c r="T45" s="44"/>
      <c r="U45" s="43" t="str">
        <f>IF(COUNT('Cash Flow'!L45)=1,'Cash Flow'!L45,"")</f>
      </c>
      <c r="V45" s="44"/>
      <c r="W45" s="44"/>
      <c r="X45" s="44"/>
    </row>
    <row r="46" ht="24" customHeight="1">
      <c r="A46" s="51" t="str">
        <v>Net Cash Provided by/(Used for) Operating Activities</v>
      </c>
      <c r="B46" s="52"/>
      <c r="C46" s="53" t="n">
        <v>10663</v>
      </c>
      <c r="D46" s="53" t="n">
        <v>10030</v>
      </c>
      <c r="E46" s="53" t="n">
        <v>9415</v>
      </c>
      <c r="F46" s="53" t="n">
        <v>9649</v>
      </c>
      <c r="G46" s="53" t="n">
        <v>10613</v>
      </c>
      <c r="H46" s="53" t="n">
        <v>11616</v>
      </c>
      <c r="I46" s="53" t="n">
        <v>10811</v>
      </c>
      <c r="J46" s="53" t="n">
        <v>13442</v>
      </c>
      <c r="K46" s="53" t="n">
        <v>12507</v>
      </c>
      <c r="L46" s="53" t="n">
        <v>12087</v>
      </c>
      <c r="M46" s="55"/>
      <c r="N46" s="53" t="n">
        <v>-1041</v>
      </c>
      <c r="O46" s="53" t="n">
        <v>1315</v>
      </c>
      <c r="P46" s="53" t="n">
        <v>6220</v>
      </c>
      <c r="Q46" s="54" t="n">
        <f>IF(COUNT('Cash Flow'!K46)=1,'Cash Flow'!K46,"")</f>
        <v>12507</v>
      </c>
      <c r="R46" s="53" t="n">
        <v>-973</v>
      </c>
      <c r="S46" s="53" t="n">
        <v>996</v>
      </c>
      <c r="T46" s="53" t="n">
        <v>5468</v>
      </c>
      <c r="U46" s="54" t="n">
        <f>IF(COUNT('Cash Flow'!L46)=1,'Cash Flow'!L46,"")</f>
        <v>12087</v>
      </c>
      <c r="V46" s="53" t="n">
        <v>41</v>
      </c>
      <c r="W46" s="53" t="n">
        <v>2365</v>
      </c>
      <c r="X46" s="53" t="n">
        <v>7950</v>
      </c>
    </row>
    <row r="47" ht="24" customHeight="1">
      <c r="A47" s="39" t="str">
        <v>Investing Activities</v>
      </c>
      <c r="B47" s="40"/>
      <c r="C47" s="41"/>
      <c r="D47" s="41"/>
      <c r="E47" s="41"/>
      <c r="F47" s="41"/>
      <c r="G47" s="41"/>
      <c r="H47" s="41"/>
      <c r="I47" s="41"/>
      <c r="J47" s="41"/>
      <c r="K47" s="41"/>
      <c r="L47" s="41"/>
      <c r="M47" s="42"/>
      <c r="N47" s="41"/>
      <c r="O47" s="41"/>
      <c r="P47" s="41"/>
      <c r="Q47" s="41"/>
      <c r="R47" s="41"/>
      <c r="S47" s="41"/>
      <c r="T47" s="41"/>
      <c r="U47" s="41"/>
      <c r="V47" s="41"/>
      <c r="W47" s="41"/>
      <c r="X47" s="41"/>
    </row>
    <row r="48" ht="22" customHeight="1">
      <c r="A48" s="4" t="str">
        <v>Capital spending (cash outflows negative)</v>
      </c>
      <c r="B48" s="2"/>
      <c r="C48" s="44" t="n">
        <v>-3040</v>
      </c>
      <c r="D48" s="44" t="n">
        <v>-2969</v>
      </c>
      <c r="E48" s="44" t="n">
        <v>-3282</v>
      </c>
      <c r="F48" s="44" t="n">
        <v>-4232</v>
      </c>
      <c r="G48" s="44" t="n">
        <v>-4240</v>
      </c>
      <c r="H48" s="44" t="n">
        <v>-4625</v>
      </c>
      <c r="I48" s="44" t="n">
        <v>-5207</v>
      </c>
      <c r="J48" s="44" t="n">
        <v>-5518</v>
      </c>
      <c r="K48" s="44" t="n">
        <v>-5318</v>
      </c>
      <c r="L48" s="44" t="n">
        <v>-4415</v>
      </c>
      <c r="M48" s="45"/>
      <c r="N48" s="44" t="n">
        <v>-614</v>
      </c>
      <c r="O48" s="44" t="n">
        <v>-1701</v>
      </c>
      <c r="P48" s="44" t="n">
        <v>-2850</v>
      </c>
      <c r="Q48" s="43" t="n">
        <f>IF(COUNT('Cash Flow'!K48)=1,'Cash Flow'!K48,"")</f>
        <v>-5318</v>
      </c>
      <c r="R48" s="44" t="n">
        <v>-603</v>
      </c>
      <c r="S48" s="44" t="n">
        <v>-1507</v>
      </c>
      <c r="T48" s="44" t="n">
        <v>-2499</v>
      </c>
      <c r="U48" s="43" t="n">
        <f>IF(COUNT('Cash Flow'!L48)=1,'Cash Flow'!L48,"")</f>
        <v>-4415</v>
      </c>
      <c r="V48" s="44" t="n">
        <v>-447</v>
      </c>
      <c r="W48" s="44" t="n">
        <v>-1266</v>
      </c>
      <c r="X48" s="44" t="n">
        <v>-2182</v>
      </c>
    </row>
    <row r="49" ht="22" customHeight="1">
      <c r="A49" s="4" t="str">
        <v>Sales of property, plant and equipment</v>
      </c>
      <c r="B49" s="2"/>
      <c r="C49" s="44" t="n">
        <v>99</v>
      </c>
      <c r="D49" s="44" t="n">
        <v>180</v>
      </c>
      <c r="E49" s="44" t="n">
        <v>134</v>
      </c>
      <c r="F49" s="44" t="n">
        <v>170</v>
      </c>
      <c r="G49" s="44" t="n">
        <v>55</v>
      </c>
      <c r="H49" s="44" t="n">
        <v>166</v>
      </c>
      <c r="I49" s="44" t="n">
        <v>251</v>
      </c>
      <c r="J49" s="44" t="n">
        <v>198</v>
      </c>
      <c r="K49" s="44" t="n">
        <v>342</v>
      </c>
      <c r="L49" s="44" t="n">
        <v>528</v>
      </c>
      <c r="M49" s="45"/>
      <c r="N49" s="44" t="n">
        <v>7</v>
      </c>
      <c r="O49" s="44" t="n">
        <v>127</v>
      </c>
      <c r="P49" s="44" t="n">
        <v>177</v>
      </c>
      <c r="Q49" s="43" t="n">
        <f>IF(COUNT('Cash Flow'!K49)=1,'Cash Flow'!K49,"")</f>
        <v>342</v>
      </c>
      <c r="R49" s="44" t="n">
        <v>132</v>
      </c>
      <c r="S49" s="44" t="n">
        <v>169</v>
      </c>
      <c r="T49" s="44" t="n">
        <v>272</v>
      </c>
      <c r="U49" s="43" t="n">
        <f>IF(COUNT('Cash Flow'!L49)=1,'Cash Flow'!L49,"")</f>
        <v>528</v>
      </c>
      <c r="V49" s="44" t="n">
        <v>13</v>
      </c>
      <c r="W49" s="44" t="n">
        <v>71</v>
      </c>
      <c r="X49" s="44" t="n">
        <v>89</v>
      </c>
    </row>
    <row r="50" ht="22" customHeight="1">
      <c r="A50" s="4" t="str">
        <v>Divestitures</v>
      </c>
      <c r="B50" s="2"/>
      <c r="C50" s="44" t="n">
        <v>85</v>
      </c>
      <c r="D50" s="44" t="n">
        <v>267</v>
      </c>
      <c r="E50" s="44" t="n">
        <v>505</v>
      </c>
      <c r="F50" s="44"/>
      <c r="G50" s="44"/>
      <c r="H50" s="44"/>
      <c r="I50" s="44"/>
      <c r="J50" s="44"/>
      <c r="K50" s="44"/>
      <c r="L50" s="44"/>
      <c r="M50" s="45"/>
      <c r="N50" s="44"/>
      <c r="O50" s="44"/>
      <c r="P50" s="44"/>
      <c r="Q50" s="43" t="str">
        <f>IF(COUNT('Cash Flow'!K50)=1,'Cash Flow'!K50,"")</f>
      </c>
      <c r="R50" s="44"/>
      <c r="S50" s="44"/>
      <c r="T50" s="44"/>
      <c r="U50" s="43" t="str">
        <f>IF(COUNT('Cash Flow'!L50)=1,'Cash Flow'!L50,"")</f>
      </c>
      <c r="V50" s="44"/>
      <c r="W50" s="44"/>
      <c r="X50" s="44"/>
    </row>
    <row r="51" ht="36" customHeight="1">
      <c r="A51" s="4" t="str">
        <v>Short-term investments — More than three months - purchases</v>
      </c>
      <c r="B51" s="2"/>
      <c r="C51" s="44" t="n">
        <v>-12504</v>
      </c>
      <c r="D51" s="44" t="n">
        <v>-18385</v>
      </c>
      <c r="E51" s="44" t="n">
        <v>-5637</v>
      </c>
      <c r="F51" s="44" t="n">
        <v>0</v>
      </c>
      <c r="G51" s="44" t="n">
        <v>-1135</v>
      </c>
      <c r="H51" s="44" t="n">
        <v>0</v>
      </c>
      <c r="I51" s="44" t="n">
        <v>-291</v>
      </c>
      <c r="J51" s="44" t="n">
        <v>-555</v>
      </c>
      <c r="K51" s="44" t="n">
        <v>-425</v>
      </c>
      <c r="L51" s="44" t="n">
        <v>-190</v>
      </c>
      <c r="M51" s="45"/>
      <c r="N51" s="44"/>
      <c r="O51" s="44"/>
      <c r="P51" s="44" t="n">
        <v>-425</v>
      </c>
      <c r="Q51" s="43" t="n">
        <f>IF(COUNT('Cash Flow'!K51)=1,'Cash Flow'!K51,"")</f>
        <v>-425</v>
      </c>
      <c r="R51" s="44"/>
      <c r="S51" s="44" t="n">
        <v>0</v>
      </c>
      <c r="T51" s="44" t="n">
        <v>-190</v>
      </c>
      <c r="U51" s="43" t="n">
        <f>IF(COUNT('Cash Flow'!L51)=1,'Cash Flow'!L51,"")</f>
        <v>-190</v>
      </c>
      <c r="V51" s="44"/>
      <c r="W51" s="44" t="n">
        <v>-80</v>
      </c>
      <c r="X51" s="44" t="n">
        <v>-105</v>
      </c>
    </row>
    <row r="52" ht="36" customHeight="1">
      <c r="A52" s="4" t="str">
        <v>Short-term investments — More than three months - maturities</v>
      </c>
      <c r="B52" s="2"/>
      <c r="C52" s="44" t="n">
        <v>8399</v>
      </c>
      <c r="D52" s="44" t="n">
        <v>15744</v>
      </c>
      <c r="E52" s="44" t="n">
        <v>12824</v>
      </c>
      <c r="F52" s="44" t="n">
        <v>16</v>
      </c>
      <c r="G52" s="44" t="n">
        <v>0</v>
      </c>
      <c r="H52" s="44" t="n">
        <v>1135</v>
      </c>
      <c r="I52" s="44" t="n">
        <v>150</v>
      </c>
      <c r="J52" s="44" t="n">
        <v>556</v>
      </c>
      <c r="K52" s="44" t="n">
        <v>0</v>
      </c>
      <c r="L52" s="44" t="n">
        <v>605</v>
      </c>
      <c r="M52" s="45"/>
      <c r="N52" s="44" t="n">
        <v>0</v>
      </c>
      <c r="O52" s="44" t="n">
        <v>0</v>
      </c>
      <c r="P52" s="44" t="n">
        <v>0</v>
      </c>
      <c r="Q52" s="43" t="n">
        <f>IF(COUNT('Cash Flow'!K52)=1,'Cash Flow'!K52,"")</f>
        <v>0</v>
      </c>
      <c r="R52" s="44" t="n">
        <v>425</v>
      </c>
      <c r="S52" s="44" t="n">
        <v>425</v>
      </c>
      <c r="T52" s="44" t="n">
        <v>425</v>
      </c>
      <c r="U52" s="43" t="n">
        <f>IF(COUNT('Cash Flow'!L52)=1,'Cash Flow'!L52,"")</f>
        <v>605</v>
      </c>
      <c r="V52" s="44" t="n">
        <v>0</v>
      </c>
      <c r="W52" s="44" t="n">
        <v>8</v>
      </c>
      <c r="X52" s="44" t="n">
        <v>17</v>
      </c>
    </row>
    <row r="53" ht="22" customHeight="1">
      <c r="A53" s="4" t="str">
        <v>Short-term investments — More than three months - sales</v>
      </c>
      <c r="B53" s="2"/>
      <c r="C53" s="44" t="n">
        <v>0</v>
      </c>
      <c r="D53" s="44" t="n">
        <v>790</v>
      </c>
      <c r="E53" s="44" t="n">
        <v>1498</v>
      </c>
      <c r="F53" s="44" t="n">
        <v>62</v>
      </c>
      <c r="G53" s="44"/>
      <c r="H53" s="44" t="n">
        <v>0</v>
      </c>
      <c r="I53" s="44" t="n">
        <v>0</v>
      </c>
      <c r="J53" s="44" t="n">
        <v>12</v>
      </c>
      <c r="K53" s="44" t="n">
        <v>0</v>
      </c>
      <c r="L53" s="44" t="n">
        <v>0</v>
      </c>
      <c r="M53" s="45"/>
      <c r="N53" s="44"/>
      <c r="O53" s="44"/>
      <c r="P53" s="44"/>
      <c r="Q53" s="43" t="n">
        <f>IF(COUNT('Cash Flow'!K53)=1,'Cash Flow'!K53,"")</f>
        <v>0</v>
      </c>
      <c r="R53" s="44" t="n">
        <v>0</v>
      </c>
      <c r="S53" s="44" t="n">
        <v>0</v>
      </c>
      <c r="T53" s="44" t="n">
        <v>0</v>
      </c>
      <c r="U53" s="43" t="n">
        <f>IF(COUNT('Cash Flow'!L53)=1,'Cash Flow'!L53,"")</f>
        <v>0</v>
      </c>
      <c r="V53" s="44" t="n">
        <v>14</v>
      </c>
      <c r="W53" s="44" t="n">
        <v>14</v>
      </c>
      <c r="X53" s="44" t="n">
        <v>14</v>
      </c>
    </row>
    <row r="54" ht="22" customHeight="1">
      <c r="A54" s="4" t="str">
        <v>Short-term investments — Three months or less, net</v>
      </c>
      <c r="B54" s="2"/>
      <c r="C54" s="44" t="n">
        <v>16</v>
      </c>
      <c r="D54" s="44" t="n">
        <v>2</v>
      </c>
      <c r="E54" s="44" t="n">
        <v>16</v>
      </c>
      <c r="F54" s="44" t="n">
        <v>19</v>
      </c>
      <c r="G54" s="44" t="n">
        <v>27</v>
      </c>
      <c r="H54" s="44" t="n">
        <v>-58</v>
      </c>
      <c r="I54" s="44" t="n">
        <v>24</v>
      </c>
      <c r="J54" s="44" t="n">
        <v>3</v>
      </c>
      <c r="K54" s="44" t="n">
        <v>5</v>
      </c>
      <c r="L54" s="44" t="n">
        <v>45</v>
      </c>
      <c r="M54" s="45"/>
      <c r="N54" s="44" t="n">
        <v>8</v>
      </c>
      <c r="O54" s="44" t="n">
        <v>1</v>
      </c>
      <c r="P54" s="44" t="n">
        <v>4</v>
      </c>
      <c r="Q54" s="43" t="n">
        <f>IF(COUNT('Cash Flow'!K54)=1,'Cash Flow'!K54,"")</f>
        <v>5</v>
      </c>
      <c r="R54" s="44" t="n">
        <v>16</v>
      </c>
      <c r="S54" s="44" t="n">
        <v>22</v>
      </c>
      <c r="T54" s="44" t="n">
        <v>43</v>
      </c>
      <c r="U54" s="43" t="n">
        <f>IF(COUNT('Cash Flow'!L54)=1,'Cash Flow'!L54,"")</f>
        <v>45</v>
      </c>
      <c r="V54" s="44" t="n">
        <v>-9</v>
      </c>
      <c r="W54" s="44" t="n">
        <v>-10</v>
      </c>
      <c r="X54" s="44" t="n">
        <v>-5</v>
      </c>
    </row>
    <row r="55" ht="22" customHeight="1">
      <c r="A55" s="4" t="str">
        <v>Other investing, net</v>
      </c>
      <c r="B55" s="2"/>
      <c r="C55" s="44" t="n">
        <v>7</v>
      </c>
      <c r="D55" s="44" t="n">
        <v>29</v>
      </c>
      <c r="E55" s="44" t="n">
        <v>2</v>
      </c>
      <c r="F55" s="44" t="n">
        <v>-8</v>
      </c>
      <c r="G55" s="44" t="n">
        <v>40</v>
      </c>
      <c r="H55" s="44" t="n">
        <v>5</v>
      </c>
      <c r="I55" s="44" t="n">
        <v>11</v>
      </c>
      <c r="J55" s="44" t="n">
        <v>48</v>
      </c>
      <c r="K55" s="44" t="n">
        <v>14</v>
      </c>
      <c r="L55" s="44" t="n">
        <v>-100</v>
      </c>
      <c r="M55" s="45"/>
      <c r="N55" s="44" t="n">
        <v>-10</v>
      </c>
      <c r="O55" s="44" t="n">
        <v>14</v>
      </c>
      <c r="P55" s="44" t="n">
        <v>15</v>
      </c>
      <c r="Q55" s="43" t="n">
        <f>IF(COUNT('Cash Flow'!K55)=1,'Cash Flow'!K55,"")</f>
        <v>14</v>
      </c>
      <c r="R55" s="44" t="n">
        <v>-2</v>
      </c>
      <c r="S55" s="44" t="n">
        <v>-106</v>
      </c>
      <c r="T55" s="44" t="n">
        <v>-112</v>
      </c>
      <c r="U55" s="43" t="n">
        <f>IF(COUNT('Cash Flow'!L55)=1,'Cash Flow'!L55,"")</f>
        <v>-100</v>
      </c>
      <c r="V55" s="44" t="n">
        <v>19</v>
      </c>
      <c r="W55" s="44" t="n">
        <v>19</v>
      </c>
      <c r="X55" s="44" t="n">
        <v>-27</v>
      </c>
    </row>
    <row r="56" ht="36" customHeight="1">
      <c r="A56" s="4" t="str">
        <v>Acquisition of SodaStream, net of cash and cash equivalents acquired</v>
      </c>
      <c r="B56" s="2"/>
      <c r="C56" s="44" t="n">
        <v>0</v>
      </c>
      <c r="D56" s="44" t="n">
        <v>0</v>
      </c>
      <c r="E56" s="44"/>
      <c r="F56" s="44"/>
      <c r="G56" s="44"/>
      <c r="H56" s="44"/>
      <c r="I56" s="44"/>
      <c r="J56" s="44"/>
      <c r="K56" s="44"/>
      <c r="L56" s="44"/>
      <c r="M56" s="45"/>
      <c r="N56" s="44"/>
      <c r="O56" s="44"/>
      <c r="P56" s="44"/>
      <c r="Q56" s="43" t="str">
        <f>IF(COUNT('Cash Flow'!K56)=1,'Cash Flow'!K56,"")</f>
      </c>
      <c r="R56" s="44"/>
      <c r="S56" s="44"/>
      <c r="T56" s="44"/>
      <c r="U56" s="43" t="str">
        <f>IF(COUNT('Cash Flow'!L56)=1,'Cash Flow'!L56,"")</f>
      </c>
      <c r="V56" s="44"/>
      <c r="W56" s="44"/>
      <c r="X56" s="44"/>
    </row>
    <row r="57" ht="36" customHeight="1">
      <c r="A57" s="4" t="str">
        <v>Other acquisitions and investments in noncontrolled affiliates</v>
      </c>
      <c r="B57" s="2"/>
      <c r="C57" s="44" t="n">
        <v>-212</v>
      </c>
      <c r="D57" s="44" t="n">
        <v>-61</v>
      </c>
      <c r="E57" s="44"/>
      <c r="F57" s="44"/>
      <c r="G57" s="44"/>
      <c r="H57" s="44"/>
      <c r="I57" s="44"/>
      <c r="J57" s="44"/>
      <c r="K57" s="44"/>
      <c r="L57" s="44"/>
      <c r="M57" s="45"/>
      <c r="N57" s="44"/>
      <c r="O57" s="44"/>
      <c r="P57" s="44"/>
      <c r="Q57" s="43" t="str">
        <f>IF(COUNT('Cash Flow'!K57)=1,'Cash Flow'!K57,"")</f>
      </c>
      <c r="R57" s="44"/>
      <c r="S57" s="44"/>
      <c r="T57" s="44"/>
      <c r="U57" s="43" t="str">
        <f>IF(COUNT('Cash Flow'!L57)=1,'Cash Flow'!L57,"")</f>
      </c>
      <c r="V57" s="44"/>
      <c r="W57" s="44"/>
      <c r="X57" s="44"/>
    </row>
    <row r="58" ht="36" customHeight="1">
      <c r="A58" s="4" t="str">
        <v>Acquisitions, net of cash acquired, and investments in noncontrolled affiliates</v>
      </c>
      <c r="B58" s="2"/>
      <c r="C58" s="44"/>
      <c r="D58" s="44"/>
      <c r="E58" s="44" t="n">
        <v>-1496</v>
      </c>
      <c r="F58" s="44" t="n">
        <v>-2717</v>
      </c>
      <c r="G58" s="44"/>
      <c r="H58" s="44"/>
      <c r="I58" s="44"/>
      <c r="J58" s="44"/>
      <c r="K58" s="44"/>
      <c r="L58" s="44"/>
      <c r="M58" s="45"/>
      <c r="N58" s="44"/>
      <c r="O58" s="44"/>
      <c r="P58" s="44"/>
      <c r="Q58" s="43" t="str">
        <f>IF(COUNT('Cash Flow'!K58)=1,'Cash Flow'!K58,"")</f>
      </c>
      <c r="R58" s="44"/>
      <c r="S58" s="44"/>
      <c r="T58" s="44"/>
      <c r="U58" s="43" t="str">
        <f>IF(COUNT('Cash Flow'!L58)=1,'Cash Flow'!L58,"")</f>
      </c>
      <c r="V58" s="44"/>
      <c r="W58" s="44"/>
      <c r="X58" s="44"/>
    </row>
    <row r="59" ht="36" customHeight="1">
      <c r="A59" s="4" t="str">
        <v>Divestitures and sales of investments in noncontrolled affiliates</v>
      </c>
      <c r="B59" s="2"/>
      <c r="C59" s="44"/>
      <c r="D59" s="44"/>
      <c r="E59" s="44"/>
      <c r="F59" s="44" t="n">
        <v>253</v>
      </c>
      <c r="G59" s="44"/>
      <c r="H59" s="44"/>
      <c r="I59" s="44"/>
      <c r="J59" s="44"/>
      <c r="K59" s="44"/>
      <c r="L59" s="44"/>
      <c r="M59" s="45"/>
      <c r="N59" s="44"/>
      <c r="O59" s="44"/>
      <c r="P59" s="44"/>
      <c r="Q59" s="43" t="str">
        <f>IF(COUNT('Cash Flow'!K59)=1,'Cash Flow'!K59,"")</f>
      </c>
      <c r="R59" s="44"/>
      <c r="S59" s="44"/>
      <c r="T59" s="44"/>
      <c r="U59" s="43" t="str">
        <f>IF(COUNT('Cash Flow'!L59)=1,'Cash Flow'!L59,"")</f>
      </c>
      <c r="V59" s="44"/>
      <c r="W59" s="44"/>
      <c r="X59" s="44"/>
    </row>
    <row r="60" ht="50" customHeight="1">
      <c r="A60" s="4" t="str">
        <v>Acquisitions, net of cash acquired, investments in noncontrolled affiliates and purchases of intangible and other assets</v>
      </c>
      <c r="B60" s="2"/>
      <c r="C60" s="44"/>
      <c r="D60" s="44"/>
      <c r="E60" s="44"/>
      <c r="F60" s="44"/>
      <c r="G60" s="44" t="n">
        <v>-6372</v>
      </c>
      <c r="H60" s="44" t="n">
        <v>-61</v>
      </c>
      <c r="I60" s="44" t="n">
        <v>-873</v>
      </c>
      <c r="J60" s="44" t="n">
        <v>-314</v>
      </c>
      <c r="K60" s="44" t="n">
        <v>-256</v>
      </c>
      <c r="L60" s="44" t="n">
        <v>-3391</v>
      </c>
      <c r="M60" s="45"/>
      <c r="N60" s="44" t="n">
        <v>-6</v>
      </c>
      <c r="O60" s="44" t="n">
        <v>-30</v>
      </c>
      <c r="P60" s="44" t="n">
        <v>-31</v>
      </c>
      <c r="Q60" s="43" t="n">
        <f>IF(COUNT('Cash Flow'!K60)=1,'Cash Flow'!K60,"")</f>
        <v>-256</v>
      </c>
      <c r="R60" s="44" t="n">
        <v>-1200</v>
      </c>
      <c r="S60" s="44" t="n">
        <v>-3130</v>
      </c>
      <c r="T60" s="44" t="n">
        <v>-3176</v>
      </c>
      <c r="U60" s="43" t="n">
        <f>IF(COUNT('Cash Flow'!L60)=1,'Cash Flow'!L60,"")</f>
        <v>-3391</v>
      </c>
      <c r="V60" s="44" t="n">
        <v>-67</v>
      </c>
      <c r="W60" s="44" t="n">
        <v>-148</v>
      </c>
      <c r="X60" s="44" t="n">
        <v>-148</v>
      </c>
    </row>
    <row r="61" ht="22" customHeight="1">
      <c r="A61" s="4" t="str">
        <v>Proceeds associated with the Juice Transaction</v>
      </c>
      <c r="B61" s="2"/>
      <c r="C61" s="44"/>
      <c r="D61" s="44"/>
      <c r="E61" s="44"/>
      <c r="F61" s="44"/>
      <c r="G61" s="44" t="n">
        <v>0</v>
      </c>
      <c r="H61" s="44" t="n">
        <v>0</v>
      </c>
      <c r="I61" s="44" t="n">
        <v>3456</v>
      </c>
      <c r="J61" s="44"/>
      <c r="K61" s="44"/>
      <c r="L61" s="44"/>
      <c r="M61" s="45"/>
      <c r="N61" s="44"/>
      <c r="O61" s="44"/>
      <c r="P61" s="44"/>
      <c r="Q61" s="43" t="str">
        <f>IF(COUNT('Cash Flow'!K61)=1,'Cash Flow'!K61,"")</f>
      </c>
      <c r="R61" s="44"/>
      <c r="S61" s="44"/>
      <c r="T61" s="44"/>
      <c r="U61" s="43" t="str">
        <f>IF(COUNT('Cash Flow'!L61)=1,'Cash Flow'!L61,"")</f>
      </c>
      <c r="V61" s="44"/>
      <c r="W61" s="44"/>
      <c r="X61" s="44"/>
    </row>
    <row r="62" ht="36" customHeight="1">
      <c r="A62" s="4" t="str">
        <v>Other divestitures, sales of investments in noncontrolled affiliates and other assets</v>
      </c>
      <c r="B62" s="2"/>
      <c r="C62" s="44"/>
      <c r="D62" s="44"/>
      <c r="E62" s="44"/>
      <c r="F62" s="44"/>
      <c r="G62" s="44" t="n">
        <v>6</v>
      </c>
      <c r="H62" s="44" t="n">
        <v>169</v>
      </c>
      <c r="I62" s="44" t="n">
        <v>49</v>
      </c>
      <c r="J62" s="44" t="n">
        <v>75</v>
      </c>
      <c r="K62" s="44" t="n">
        <v>166</v>
      </c>
      <c r="L62" s="44" t="n">
        <v>39</v>
      </c>
      <c r="M62" s="45"/>
      <c r="N62" s="44" t="n">
        <v>53</v>
      </c>
      <c r="O62" s="44" t="n">
        <v>135</v>
      </c>
      <c r="P62" s="44" t="n">
        <v>145</v>
      </c>
      <c r="Q62" s="43" t="n">
        <f>IF(COUNT('Cash Flow'!K62)=1,'Cash Flow'!K62,"")</f>
        <v>166</v>
      </c>
      <c r="R62" s="44"/>
      <c r="S62" s="44"/>
      <c r="T62" s="44"/>
      <c r="U62" s="43" t="n">
        <f>IF(COUNT('Cash Flow'!L62)=1,'Cash Flow'!L62,"")</f>
        <v>39</v>
      </c>
      <c r="V62" s="44"/>
      <c r="W62" s="44"/>
      <c r="X62" s="44"/>
    </row>
    <row r="63" ht="24" customHeight="1">
      <c r="A63" s="51" t="str">
        <v>Net Cash Provided by/(Used for) Investing Activities</v>
      </c>
      <c r="B63" s="52"/>
      <c r="C63" s="53" t="n">
        <v>-7150</v>
      </c>
      <c r="D63" s="53" t="n">
        <v>-4403</v>
      </c>
      <c r="E63" s="53" t="n">
        <v>4564</v>
      </c>
      <c r="F63" s="53" t="n">
        <v>-6437</v>
      </c>
      <c r="G63" s="53" t="n">
        <v>-11619</v>
      </c>
      <c r="H63" s="53" t="n">
        <v>-3269</v>
      </c>
      <c r="I63" s="53" t="n">
        <v>-2430</v>
      </c>
      <c r="J63" s="53" t="n">
        <v>-5495</v>
      </c>
      <c r="K63" s="53" t="n">
        <v>-5472</v>
      </c>
      <c r="L63" s="53" t="n">
        <v>-6879</v>
      </c>
      <c r="M63" s="55"/>
      <c r="N63" s="53" t="n">
        <v>-562</v>
      </c>
      <c r="O63" s="53" t="n">
        <v>-1454</v>
      </c>
      <c r="P63" s="53" t="n">
        <v>-2965</v>
      </c>
      <c r="Q63" s="54" t="n">
        <f>IF(COUNT('Cash Flow'!K63)=1,'Cash Flow'!K63,"")</f>
        <v>-5472</v>
      </c>
      <c r="R63" s="53" t="n">
        <v>-1232</v>
      </c>
      <c r="S63" s="53" t="n">
        <v>-4127</v>
      </c>
      <c r="T63" s="53" t="n">
        <v>-5237</v>
      </c>
      <c r="U63" s="54" t="n">
        <f>IF(COUNT('Cash Flow'!L63)=1,'Cash Flow'!L63,"")</f>
        <v>-6879</v>
      </c>
      <c r="V63" s="53" t="n">
        <v>-477</v>
      </c>
      <c r="W63" s="53" t="n">
        <v>-1392</v>
      </c>
      <c r="X63" s="53" t="n">
        <v>-2347</v>
      </c>
    </row>
    <row r="64" ht="22" customHeight="1">
      <c r="A64" s="4" t="str">
        <v>Proceeds from issuances of long-term debt</v>
      </c>
      <c r="B64" s="2"/>
      <c r="C64" s="44" t="n">
        <v>7818</v>
      </c>
      <c r="D64" s="44" t="n">
        <v>7509</v>
      </c>
      <c r="E64" s="44" t="n">
        <v>0</v>
      </c>
      <c r="F64" s="44" t="n">
        <v>4621</v>
      </c>
      <c r="G64" s="44" t="n">
        <v>13809</v>
      </c>
      <c r="H64" s="44" t="n">
        <v>4122</v>
      </c>
      <c r="I64" s="44" t="n">
        <v>3377</v>
      </c>
      <c r="J64" s="44" t="n">
        <v>5482</v>
      </c>
      <c r="K64" s="44" t="n">
        <v>4042</v>
      </c>
      <c r="L64" s="44" t="n">
        <v>8189</v>
      </c>
      <c r="M64" s="45"/>
      <c r="N64" s="44" t="n">
        <v>1761</v>
      </c>
      <c r="O64" s="44" t="n">
        <v>1765</v>
      </c>
      <c r="P64" s="44" t="n">
        <v>4014</v>
      </c>
      <c r="Q64" s="43" t="n">
        <f>IF(COUNT('Cash Flow'!K64)=1,'Cash Flow'!K64,"")</f>
        <v>4042</v>
      </c>
      <c r="R64" s="44" t="n">
        <v>3505</v>
      </c>
      <c r="S64" s="44" t="n">
        <v>3521</v>
      </c>
      <c r="T64" s="44" t="n">
        <v>8179</v>
      </c>
      <c r="U64" s="43" t="n">
        <f>IF(COUNT('Cash Flow'!L64)=1,'Cash Flow'!L64,"")</f>
        <v>8189</v>
      </c>
      <c r="V64" s="44" t="n">
        <v>2964</v>
      </c>
      <c r="W64" s="44" t="n">
        <v>2974</v>
      </c>
      <c r="X64" s="44" t="n">
        <v>2978</v>
      </c>
    </row>
    <row r="65" ht="22" customHeight="1">
      <c r="A65" s="4" t="str">
        <v>Payments of long-term debt</v>
      </c>
      <c r="B65" s="2"/>
      <c r="C65" s="44" t="n">
        <v>-3105</v>
      </c>
      <c r="D65" s="44" t="n">
        <v>-4406</v>
      </c>
      <c r="E65" s="44" t="n">
        <v>-4007</v>
      </c>
      <c r="F65" s="44" t="n">
        <v>-3970</v>
      </c>
      <c r="G65" s="44" t="n">
        <v>-1830</v>
      </c>
      <c r="H65" s="44" t="n">
        <v>-3455</v>
      </c>
      <c r="I65" s="44" t="n">
        <v>-2458</v>
      </c>
      <c r="J65" s="44" t="n">
        <v>-3005</v>
      </c>
      <c r="K65" s="44" t="n">
        <v>-3886</v>
      </c>
      <c r="L65" s="44" t="n">
        <v>-4082</v>
      </c>
      <c r="M65" s="45"/>
      <c r="N65" s="44" t="n">
        <v>-1252</v>
      </c>
      <c r="O65" s="44" t="n">
        <v>-2882</v>
      </c>
      <c r="P65" s="44" t="n">
        <v>-2883</v>
      </c>
      <c r="Q65" s="43" t="n">
        <f>IF(COUNT('Cash Flow'!K65)=1,'Cash Flow'!K65,"")</f>
        <v>-3886</v>
      </c>
      <c r="R65" s="44" t="n">
        <v>-1541</v>
      </c>
      <c r="S65" s="44" t="n">
        <v>-2543</v>
      </c>
      <c r="T65" s="44" t="n">
        <v>-3245</v>
      </c>
      <c r="U65" s="43" t="n">
        <f>IF(COUNT('Cash Flow'!L65)=1,'Cash Flow'!L65,"")</f>
        <v>-4082</v>
      </c>
      <c r="V65" s="44" t="n">
        <v>-1629</v>
      </c>
      <c r="W65" s="44" t="n">
        <v>-2221</v>
      </c>
      <c r="X65" s="44" t="n">
        <v>-2328</v>
      </c>
    </row>
    <row r="66" ht="22" customHeight="1">
      <c r="A66" s="4" t="str">
        <v>Debt redemptions</v>
      </c>
      <c r="B66" s="2"/>
      <c r="C66" s="44"/>
      <c r="D66" s="44"/>
      <c r="E66" s="44"/>
      <c r="F66" s="44"/>
      <c r="G66" s="44"/>
      <c r="H66" s="44"/>
      <c r="I66" s="44" t="n">
        <v>-1716</v>
      </c>
      <c r="J66" s="44"/>
      <c r="K66" s="44"/>
      <c r="L66" s="44"/>
      <c r="M66" s="45"/>
      <c r="N66" s="44"/>
      <c r="O66" s="44"/>
      <c r="P66" s="44"/>
      <c r="Q66" s="43" t="str">
        <f>IF(COUNT('Cash Flow'!K66)=1,'Cash Flow'!K66,"")</f>
      </c>
      <c r="R66" s="44"/>
      <c r="S66" s="44"/>
      <c r="T66" s="44"/>
      <c r="U66" s="43" t="str">
        <f>IF(COUNT('Cash Flow'!L66)=1,'Cash Flow'!L66,"")</f>
      </c>
      <c r="V66" s="44"/>
      <c r="W66" s="44"/>
      <c r="X66" s="44"/>
    </row>
    <row r="67" ht="22" customHeight="1">
      <c r="A67" s="4" t="str">
        <v>Short-term borrowings — More than three months - proceeds</v>
      </c>
      <c r="B67" s="2"/>
      <c r="C67" s="44" t="n">
        <v>59</v>
      </c>
      <c r="D67" s="44" t="n">
        <v>91</v>
      </c>
      <c r="E67" s="44" t="n">
        <v>3</v>
      </c>
      <c r="F67" s="44" t="n">
        <v>6</v>
      </c>
      <c r="G67" s="44" t="n">
        <v>4077</v>
      </c>
      <c r="H67" s="44" t="n">
        <v>8</v>
      </c>
      <c r="I67" s="44" t="n">
        <v>1969</v>
      </c>
      <c r="J67" s="44" t="n">
        <v>5428</v>
      </c>
      <c r="K67" s="44" t="n">
        <v>5786</v>
      </c>
      <c r="L67" s="44" t="n">
        <v>6391</v>
      </c>
      <c r="M67" s="45"/>
      <c r="N67" s="44" t="n">
        <v>2313</v>
      </c>
      <c r="O67" s="44" t="n">
        <v>3080</v>
      </c>
      <c r="P67" s="44" t="n">
        <v>3808</v>
      </c>
      <c r="Q67" s="43" t="n">
        <f>IF(COUNT('Cash Flow'!K67)=1,'Cash Flow'!K67,"")</f>
        <v>5786</v>
      </c>
      <c r="R67" s="44" t="n">
        <v>3656</v>
      </c>
      <c r="S67" s="44" t="n">
        <v>5251</v>
      </c>
      <c r="T67" s="44" t="n">
        <v>5528</v>
      </c>
      <c r="U67" s="43" t="n">
        <f>IF(COUNT('Cash Flow'!L67)=1,'Cash Flow'!L67,"")</f>
        <v>6391</v>
      </c>
      <c r="V67" s="44" t="n">
        <v>1937</v>
      </c>
      <c r="W67" s="44" t="n">
        <v>3987</v>
      </c>
      <c r="X67" s="44" t="n">
        <v>4562</v>
      </c>
    </row>
    <row r="68" ht="22" customHeight="1">
      <c r="A68" s="4" t="str">
        <v>Short-term borrowings — More than three months - payments</v>
      </c>
      <c r="B68" s="2"/>
      <c r="C68" s="44" t="n">
        <v>-27</v>
      </c>
      <c r="D68" s="44" t="n">
        <v>-128</v>
      </c>
      <c r="E68" s="44" t="n">
        <v>-17</v>
      </c>
      <c r="F68" s="44" t="n">
        <v>-2</v>
      </c>
      <c r="G68" s="44" t="n">
        <v>-3554</v>
      </c>
      <c r="H68" s="44" t="n">
        <v>-397</v>
      </c>
      <c r="I68" s="44" t="n">
        <v>-1951</v>
      </c>
      <c r="J68" s="44" t="n">
        <v>-3106</v>
      </c>
      <c r="K68" s="44" t="n">
        <v>-5639</v>
      </c>
      <c r="L68" s="44" t="n">
        <v>-7920</v>
      </c>
      <c r="M68" s="45"/>
      <c r="N68" s="44" t="n">
        <v>-1631</v>
      </c>
      <c r="O68" s="44" t="n">
        <v>-2138</v>
      </c>
      <c r="P68" s="44" t="n">
        <v>-4177</v>
      </c>
      <c r="Q68" s="43" t="n">
        <f>IF(COUNT('Cash Flow'!K68)=1,'Cash Flow'!K68,"")</f>
        <v>-5639</v>
      </c>
      <c r="R68" s="44" t="n">
        <v>-2119</v>
      </c>
      <c r="S68" s="44" t="n">
        <v>-2492</v>
      </c>
      <c r="T68" s="44" t="n">
        <v>-5417</v>
      </c>
      <c r="U68" s="43" t="n">
        <f>IF(COUNT('Cash Flow'!L68)=1,'Cash Flow'!L68,"")</f>
        <v>-7920</v>
      </c>
      <c r="V68" s="44" t="n">
        <v>-676</v>
      </c>
      <c r="W68" s="44" t="n">
        <v>-1750</v>
      </c>
      <c r="X68" s="44" t="n">
        <v>-3817</v>
      </c>
    </row>
    <row r="69" ht="22" customHeight="1">
      <c r="A69" s="4" t="str">
        <v>Short-term borrowings — Three months or less, net</v>
      </c>
      <c r="B69" s="2"/>
      <c r="C69" s="44" t="n">
        <v>1505</v>
      </c>
      <c r="D69" s="44" t="n">
        <v>-1016</v>
      </c>
      <c r="E69" s="44" t="n">
        <v>-1352</v>
      </c>
      <c r="F69" s="44" t="n">
        <v>-3</v>
      </c>
      <c r="G69" s="44" t="n">
        <v>-109</v>
      </c>
      <c r="H69" s="44" t="n">
        <v>434</v>
      </c>
      <c r="I69" s="44" t="n">
        <v>-31</v>
      </c>
      <c r="J69" s="44" t="n">
        <v>-29</v>
      </c>
      <c r="K69" s="44" t="n">
        <v>392</v>
      </c>
      <c r="L69" s="44" t="n">
        <v>1170</v>
      </c>
      <c r="M69" s="45"/>
      <c r="N69" s="44" t="n">
        <v>774</v>
      </c>
      <c r="O69" s="44" t="n">
        <v>1286</v>
      </c>
      <c r="P69" s="44" t="n">
        <v>101</v>
      </c>
      <c r="Q69" s="43" t="n">
        <f>IF(COUNT('Cash Flow'!K69)=1,'Cash Flow'!K69,"")</f>
        <v>392</v>
      </c>
      <c r="R69" s="44" t="n">
        <v>373</v>
      </c>
      <c r="S69" s="44" t="n">
        <v>2438</v>
      </c>
      <c r="T69" s="44" t="n">
        <v>445</v>
      </c>
      <c r="U69" s="43" t="n">
        <f>IF(COUNT('Cash Flow'!L69)=1,'Cash Flow'!L69,"")</f>
        <v>1170</v>
      </c>
      <c r="V69" s="44" t="n">
        <v>1198</v>
      </c>
      <c r="W69" s="44" t="n">
        <v>1271</v>
      </c>
      <c r="X69" s="44" t="n">
        <v>1365</v>
      </c>
    </row>
    <row r="70" ht="24" customHeight="1">
      <c r="A70" s="39" t="str">
        <v>Financing Activities</v>
      </c>
      <c r="B70" s="40"/>
      <c r="C70" s="41"/>
      <c r="D70" s="41"/>
      <c r="E70" s="41"/>
      <c r="F70" s="41"/>
      <c r="G70" s="41"/>
      <c r="H70" s="41"/>
      <c r="I70" s="41"/>
      <c r="J70" s="41"/>
      <c r="K70" s="41"/>
      <c r="L70" s="41"/>
      <c r="M70" s="42"/>
      <c r="N70" s="41"/>
      <c r="O70" s="41"/>
      <c r="P70" s="41"/>
      <c r="Q70" s="41"/>
      <c r="R70" s="41"/>
      <c r="S70" s="41"/>
      <c r="T70" s="41"/>
      <c r="U70" s="41"/>
      <c r="V70" s="41"/>
      <c r="W70" s="41"/>
      <c r="X70" s="41"/>
    </row>
    <row r="71" ht="22" customHeight="1">
      <c r="A71" s="4" t="str">
        <v>Cash dividends paid</v>
      </c>
      <c r="B71" s="2"/>
      <c r="C71" s="44" t="n">
        <v>-4227</v>
      </c>
      <c r="D71" s="44" t="n">
        <v>-4472</v>
      </c>
      <c r="E71" s="44" t="n">
        <v>-4930</v>
      </c>
      <c r="F71" s="44" t="n">
        <v>-5304</v>
      </c>
      <c r="G71" s="44" t="n">
        <v>-5509</v>
      </c>
      <c r="H71" s="44" t="n">
        <v>-5815</v>
      </c>
      <c r="I71" s="44" t="n">
        <v>-6172</v>
      </c>
      <c r="J71" s="44" t="n">
        <v>-6682</v>
      </c>
      <c r="K71" s="44" t="n">
        <v>-7229</v>
      </c>
      <c r="L71" s="44" t="n">
        <v>-7638</v>
      </c>
      <c r="M71" s="45"/>
      <c r="N71" s="44" t="n">
        <v>-1767</v>
      </c>
      <c r="O71" s="44" t="n">
        <v>-3506</v>
      </c>
      <c r="P71" s="44" t="n">
        <v>-5369</v>
      </c>
      <c r="Q71" s="43" t="n">
        <f>IF(COUNT('Cash Flow'!K71)=1,'Cash Flow'!K71,"")</f>
        <v>-7229</v>
      </c>
      <c r="R71" s="44" t="n">
        <v>-1882</v>
      </c>
      <c r="S71" s="44" t="n">
        <v>-3743</v>
      </c>
      <c r="T71" s="44" t="n">
        <v>-5692</v>
      </c>
      <c r="U71" s="43" t="n">
        <f>IF(COUNT('Cash Flow'!L71)=1,'Cash Flow'!L71,"")</f>
        <v>-7638</v>
      </c>
      <c r="V71" s="44" t="n">
        <v>-1966</v>
      </c>
      <c r="W71" s="44" t="n">
        <v>-3914</v>
      </c>
      <c r="X71" s="44" t="n">
        <v>-5935</v>
      </c>
    </row>
    <row r="72" ht="22" customHeight="1">
      <c r="A72" s="4" t="str">
        <v>Share repurchases - common</v>
      </c>
      <c r="B72" s="2"/>
      <c r="C72" s="44" t="n">
        <v>-3000</v>
      </c>
      <c r="D72" s="44" t="n">
        <v>-2000</v>
      </c>
      <c r="E72" s="44" t="n">
        <v>-2000</v>
      </c>
      <c r="F72" s="44" t="n">
        <v>-3000</v>
      </c>
      <c r="G72" s="44" t="n">
        <v>-2000</v>
      </c>
      <c r="H72" s="44" t="n">
        <v>-106</v>
      </c>
      <c r="I72" s="44" t="n">
        <v>-1500</v>
      </c>
      <c r="J72" s="44" t="n">
        <v>-1000</v>
      </c>
      <c r="K72" s="44" t="n">
        <v>-1000</v>
      </c>
      <c r="L72" s="44" t="n">
        <v>-1000</v>
      </c>
      <c r="M72" s="45"/>
      <c r="N72" s="44" t="n">
        <v>-146</v>
      </c>
      <c r="O72" s="44" t="n">
        <v>-461</v>
      </c>
      <c r="P72" s="44" t="n">
        <v>-760</v>
      </c>
      <c r="Q72" s="43" t="n">
        <f>IF(COUNT('Cash Flow'!K72)=1,'Cash Flow'!K72,"")</f>
        <v>-1000</v>
      </c>
      <c r="R72" s="44" t="n">
        <v>-183</v>
      </c>
      <c r="S72" s="44" t="n">
        <v>-494</v>
      </c>
      <c r="T72" s="44" t="n">
        <v>-752</v>
      </c>
      <c r="U72" s="43" t="n">
        <f>IF(COUNT('Cash Flow'!L72)=1,'Cash Flow'!L72,"")</f>
        <v>-1000</v>
      </c>
      <c r="V72" s="44" t="n">
        <v>-182</v>
      </c>
      <c r="W72" s="44" t="n">
        <v>-479</v>
      </c>
      <c r="X72" s="44" t="n">
        <v>-739</v>
      </c>
    </row>
    <row r="73" ht="22" customHeight="1">
      <c r="A73" s="4" t="str">
        <v>Share repurchases - preferred</v>
      </c>
      <c r="B73" s="2"/>
      <c r="C73" s="44" t="n">
        <v>-7</v>
      </c>
      <c r="D73" s="44" t="n">
        <v>-5</v>
      </c>
      <c r="E73" s="44"/>
      <c r="F73" s="44"/>
      <c r="G73" s="44"/>
      <c r="H73" s="44"/>
      <c r="I73" s="44"/>
      <c r="J73" s="44"/>
      <c r="K73" s="44"/>
      <c r="L73" s="44"/>
      <c r="M73" s="45"/>
      <c r="N73" s="44"/>
      <c r="O73" s="44"/>
      <c r="P73" s="44"/>
      <c r="Q73" s="43" t="str">
        <f>IF(COUNT('Cash Flow'!K73)=1,'Cash Flow'!K73,"")</f>
      </c>
      <c r="R73" s="44"/>
      <c r="S73" s="44"/>
      <c r="T73" s="44"/>
      <c r="U73" s="43" t="str">
        <f>IF(COUNT('Cash Flow'!L73)=1,'Cash Flow'!L73,"")</f>
      </c>
      <c r="V73" s="44"/>
      <c r="W73" s="44"/>
      <c r="X73" s="44"/>
    </row>
    <row r="74" ht="22" customHeight="1">
      <c r="A74" s="4" t="str">
        <v>Proceeds from exercises of stock options</v>
      </c>
      <c r="B74" s="2"/>
      <c r="C74" s="44" t="n">
        <v>465</v>
      </c>
      <c r="D74" s="44" t="n">
        <v>462</v>
      </c>
      <c r="E74" s="44" t="n">
        <v>281</v>
      </c>
      <c r="F74" s="44" t="n">
        <v>329</v>
      </c>
      <c r="G74" s="44" t="n">
        <v>179</v>
      </c>
      <c r="H74" s="44" t="n">
        <v>185</v>
      </c>
      <c r="I74" s="44" t="n">
        <v>138</v>
      </c>
      <c r="J74" s="44" t="n">
        <v>116</v>
      </c>
      <c r="K74" s="44" t="n">
        <v>166</v>
      </c>
      <c r="L74" s="44" t="n">
        <v>97</v>
      </c>
      <c r="M74" s="45"/>
      <c r="N74" s="44" t="n">
        <v>66</v>
      </c>
      <c r="O74" s="44" t="n">
        <v>107</v>
      </c>
      <c r="P74" s="44" t="n">
        <v>138</v>
      </c>
      <c r="Q74" s="43" t="n">
        <f>IF(COUNT('Cash Flow'!K74)=1,'Cash Flow'!K74,"")</f>
        <v>166</v>
      </c>
      <c r="R74" s="44" t="n">
        <v>50</v>
      </c>
      <c r="S74" s="44" t="n">
        <v>58</v>
      </c>
      <c r="T74" s="44" t="n">
        <v>76</v>
      </c>
      <c r="U74" s="43" t="n">
        <f>IF(COUNT('Cash Flow'!L74)=1,'Cash Flow'!L74,"")</f>
        <v>97</v>
      </c>
      <c r="V74" s="44" t="n">
        <v>93</v>
      </c>
      <c r="W74" s="44" t="n">
        <v>99</v>
      </c>
      <c r="X74" s="44" t="n">
        <v>107</v>
      </c>
    </row>
    <row r="75" ht="36" customHeight="1">
      <c r="A75" s="4" t="str">
        <v>Withholding tax payments on RSUs, PSUs and PEPunits converted</v>
      </c>
      <c r="B75" s="2"/>
      <c r="C75" s="44" t="n">
        <v>-130</v>
      </c>
      <c r="D75" s="44"/>
      <c r="E75" s="44"/>
      <c r="F75" s="44"/>
      <c r="G75" s="44"/>
      <c r="H75" s="44"/>
      <c r="I75" s="44"/>
      <c r="J75" s="44"/>
      <c r="K75" s="44"/>
      <c r="L75" s="44"/>
      <c r="M75" s="45"/>
      <c r="N75" s="44"/>
      <c r="O75" s="44"/>
      <c r="P75" s="44"/>
      <c r="Q75" s="43" t="str">
        <f>IF(COUNT('Cash Flow'!K75)=1,'Cash Flow'!K75,"")</f>
      </c>
      <c r="R75" s="44"/>
      <c r="S75" s="44"/>
      <c r="T75" s="44"/>
      <c r="U75" s="43" t="str">
        <f>IF(COUNT('Cash Flow'!L75)=1,'Cash Flow'!L75,"")</f>
      </c>
      <c r="V75" s="44"/>
      <c r="W75" s="44"/>
      <c r="X75" s="44"/>
    </row>
    <row r="76" ht="22" customHeight="1">
      <c r="A76" s="4" t="str">
        <v>Other financing</v>
      </c>
      <c r="B76" s="2"/>
      <c r="C76" s="44" t="n">
        <v>-58</v>
      </c>
      <c r="D76" s="44" t="n">
        <v>-76</v>
      </c>
      <c r="E76" s="44" t="n">
        <v>-55</v>
      </c>
      <c r="F76" s="44" t="n">
        <v>-45</v>
      </c>
      <c r="G76" s="44" t="n">
        <v>-48</v>
      </c>
      <c r="H76" s="44" t="n">
        <v>-47</v>
      </c>
      <c r="I76" s="44" t="n">
        <v>-72</v>
      </c>
      <c r="J76" s="44" t="n">
        <v>-73</v>
      </c>
      <c r="K76" s="44" t="n">
        <v>-53</v>
      </c>
      <c r="L76" s="44" t="n">
        <v>-73</v>
      </c>
      <c r="M76" s="45"/>
      <c r="N76" s="44" t="n">
        <v>0</v>
      </c>
      <c r="O76" s="44" t="n">
        <v>-20</v>
      </c>
      <c r="P76" s="44" t="n">
        <v>-22</v>
      </c>
      <c r="Q76" s="43" t="n">
        <f>IF(COUNT('Cash Flow'!K76)=1,'Cash Flow'!K76,"")</f>
        <v>-53</v>
      </c>
      <c r="R76" s="44" t="n">
        <v>-2</v>
      </c>
      <c r="S76" s="44" t="n">
        <v>-17</v>
      </c>
      <c r="T76" s="44" t="n">
        <v>-18</v>
      </c>
      <c r="U76" s="43" t="n">
        <f>IF(COUNT('Cash Flow'!L76)=1,'Cash Flow'!L76,"")</f>
        <v>-73</v>
      </c>
      <c r="V76" s="44" t="n">
        <v>-1</v>
      </c>
      <c r="W76" s="44" t="n">
        <v>-2</v>
      </c>
      <c r="X76" s="44" t="n">
        <v>-1</v>
      </c>
    </row>
    <row r="77" ht="22" customHeight="1">
      <c r="A77" s="4" t="str">
        <v>Cash tender and exchange offers/debt redemptions</v>
      </c>
      <c r="B77" s="2"/>
      <c r="C77" s="44" t="n">
        <v>-2504</v>
      </c>
      <c r="D77" s="44"/>
      <c r="E77" s="44"/>
      <c r="F77" s="44"/>
      <c r="G77" s="44"/>
      <c r="H77" s="44"/>
      <c r="I77" s="44"/>
      <c r="J77" s="44"/>
      <c r="K77" s="44"/>
      <c r="L77" s="44"/>
      <c r="M77" s="45"/>
      <c r="N77" s="44"/>
      <c r="O77" s="44"/>
      <c r="P77" s="44"/>
      <c r="Q77" s="43" t="str">
        <f>IF(COUNT('Cash Flow'!K77)=1,'Cash Flow'!K77,"")</f>
      </c>
      <c r="R77" s="44"/>
      <c r="S77" s="44"/>
      <c r="T77" s="44"/>
      <c r="U77" s="43" t="str">
        <f>IF(COUNT('Cash Flow'!L77)=1,'Cash Flow'!L77,"")</f>
      </c>
      <c r="V77" s="44"/>
      <c r="W77" s="44"/>
      <c r="X77" s="44"/>
    </row>
    <row r="78" ht="22" customHeight="1">
      <c r="A78" s="4" t="str">
        <v>Debt redemption/cash tender and exchange offers</v>
      </c>
      <c r="B78" s="2"/>
      <c r="C78" s="44"/>
      <c r="D78" s="44" t="n">
        <v>0</v>
      </c>
      <c r="E78" s="44" t="n">
        <v>-1589</v>
      </c>
      <c r="F78" s="44"/>
      <c r="G78" s="44"/>
      <c r="H78" s="44"/>
      <c r="I78" s="44"/>
      <c r="J78" s="44"/>
      <c r="K78" s="44"/>
      <c r="L78" s="44"/>
      <c r="M78" s="45"/>
      <c r="N78" s="44"/>
      <c r="O78" s="44"/>
      <c r="P78" s="44"/>
      <c r="Q78" s="43" t="str">
        <f>IF(COUNT('Cash Flow'!K78)=1,'Cash Flow'!K78,"")</f>
      </c>
      <c r="R78" s="44"/>
      <c r="S78" s="44"/>
      <c r="T78" s="44"/>
      <c r="U78" s="43" t="str">
        <f>IF(COUNT('Cash Flow'!L78)=1,'Cash Flow'!L78,"")</f>
      </c>
      <c r="V78" s="44"/>
      <c r="W78" s="44"/>
      <c r="X78" s="44"/>
    </row>
    <row r="79" ht="50" customHeight="1">
      <c r="A79" s="4" t="str">
        <v>Withholding tax payments on restricted stock units (RSUs), performance stock units (PSUs) and PepsiCo equity performance units (PEPunits) converted</v>
      </c>
      <c r="B79" s="2"/>
      <c r="C79" s="44"/>
      <c r="D79" s="44" t="n">
        <v>-145</v>
      </c>
      <c r="E79" s="44" t="n">
        <v>-103</v>
      </c>
      <c r="F79" s="44"/>
      <c r="G79" s="44"/>
      <c r="H79" s="44"/>
      <c r="I79" s="44"/>
      <c r="J79" s="44"/>
      <c r="K79" s="44"/>
      <c r="L79" s="44"/>
      <c r="M79" s="45"/>
      <c r="N79" s="44"/>
      <c r="O79" s="44"/>
      <c r="P79" s="44"/>
      <c r="Q79" s="43" t="str">
        <f>IF(COUNT('Cash Flow'!K79)=1,'Cash Flow'!K79,"")</f>
      </c>
      <c r="R79" s="44"/>
      <c r="S79" s="44"/>
      <c r="T79" s="44"/>
      <c r="U79" s="43" t="str">
        <f>IF(COUNT('Cash Flow'!L79)=1,'Cash Flow'!L79,"")</f>
      </c>
      <c r="V79" s="44"/>
      <c r="W79" s="44"/>
      <c r="X79" s="44"/>
    </row>
    <row r="80" ht="22" customHeight="1">
      <c r="A80" s="4" t="str">
        <v>Cash tender offers/debt redemption</v>
      </c>
      <c r="B80" s="2"/>
      <c r="C80" s="44"/>
      <c r="D80" s="44"/>
      <c r="E80" s="44"/>
      <c r="F80" s="44" t="n">
        <v>-1007</v>
      </c>
      <c r="G80" s="44"/>
      <c r="H80" s="44"/>
      <c r="I80" s="44"/>
      <c r="J80" s="44"/>
      <c r="K80" s="44"/>
      <c r="L80" s="44"/>
      <c r="M80" s="45"/>
      <c r="N80" s="44"/>
      <c r="O80" s="44"/>
      <c r="P80" s="44"/>
      <c r="Q80" s="43" t="str">
        <f>IF(COUNT('Cash Flow'!K80)=1,'Cash Flow'!K80,"")</f>
      </c>
      <c r="R80" s="44"/>
      <c r="S80" s="44"/>
      <c r="T80" s="44"/>
      <c r="U80" s="43" t="str">
        <f>IF(COUNT('Cash Flow'!L80)=1,'Cash Flow'!L80,"")</f>
      </c>
      <c r="V80" s="44"/>
      <c r="W80" s="44"/>
      <c r="X80" s="44"/>
    </row>
    <row r="81" ht="22" customHeight="1">
      <c r="A81" s="4" t="str">
        <v>Payments of acquisition-related contingent consideration</v>
      </c>
      <c r="B81" s="2"/>
      <c r="C81" s="44"/>
      <c r="D81" s="44"/>
      <c r="E81" s="44"/>
      <c r="F81" s="44" t="n">
        <v>0</v>
      </c>
      <c r="G81" s="44" t="n">
        <v>0</v>
      </c>
      <c r="H81" s="44" t="n">
        <v>-773</v>
      </c>
      <c r="I81" s="44"/>
      <c r="J81" s="44"/>
      <c r="K81" s="44"/>
      <c r="L81" s="44"/>
      <c r="M81" s="45"/>
      <c r="N81" s="44"/>
      <c r="O81" s="44"/>
      <c r="P81" s="44"/>
      <c r="Q81" s="43" t="str">
        <f>IF(COUNT('Cash Flow'!K81)=1,'Cash Flow'!K81,"")</f>
      </c>
      <c r="R81" s="44"/>
      <c r="S81" s="44"/>
      <c r="T81" s="44"/>
      <c r="U81" s="43" t="str">
        <f>IF(COUNT('Cash Flow'!L81)=1,'Cash Flow'!L81,"")</f>
      </c>
      <c r="V81" s="44"/>
      <c r="W81" s="44"/>
      <c r="X81" s="44"/>
    </row>
    <row r="82" ht="36" customHeight="1">
      <c r="A82" s="4" t="str">
        <v>Withholding tax payments on restricted stock units (RSUs) and performance stock units (PSUs) converted</v>
      </c>
      <c r="B82" s="2"/>
      <c r="C82" s="44"/>
      <c r="D82" s="44"/>
      <c r="E82" s="44"/>
      <c r="F82" s="44" t="n">
        <v>-114</v>
      </c>
      <c r="G82" s="44" t="n">
        <v>-96</v>
      </c>
      <c r="H82" s="44" t="n">
        <v>-92</v>
      </c>
      <c r="I82" s="44" t="n">
        <v>-107</v>
      </c>
      <c r="J82" s="44" t="n">
        <v>-140</v>
      </c>
      <c r="K82" s="44" t="n">
        <v>-135</v>
      </c>
      <c r="L82" s="44" t="n">
        <v>-113</v>
      </c>
      <c r="M82" s="45"/>
      <c r="N82" s="44" t="n">
        <v>-108</v>
      </c>
      <c r="O82" s="44" t="n">
        <v>-131</v>
      </c>
      <c r="P82" s="44" t="n">
        <v>-132</v>
      </c>
      <c r="Q82" s="43" t="n">
        <f>IF(COUNT('Cash Flow'!K82)=1,'Cash Flow'!K82,"")</f>
        <v>-135</v>
      </c>
      <c r="R82" s="44" t="n">
        <v>-89</v>
      </c>
      <c r="S82" s="44" t="n">
        <v>-111</v>
      </c>
      <c r="T82" s="44" t="n">
        <v>-112</v>
      </c>
      <c r="U82" s="43" t="n">
        <f>IF(COUNT('Cash Flow'!L82)=1,'Cash Flow'!L82,"")</f>
        <v>-113</v>
      </c>
      <c r="V82" s="44" t="n">
        <v>-76</v>
      </c>
      <c r="W82" s="44" t="n">
        <v>-95</v>
      </c>
      <c r="X82" s="44" t="n">
        <v>-96</v>
      </c>
    </row>
    <row r="83" ht="22" customHeight="1">
      <c r="A83" s="4" t="str">
        <v>Debt redemptions/cash tender offers</v>
      </c>
      <c r="B83" s="2"/>
      <c r="C83" s="44"/>
      <c r="D83" s="44"/>
      <c r="E83" s="44"/>
      <c r="F83" s="44"/>
      <c r="G83" s="44" t="n">
        <v>-1100</v>
      </c>
      <c r="H83" s="44" t="n">
        <v>-4844</v>
      </c>
      <c r="I83" s="44"/>
      <c r="J83" s="44"/>
      <c r="K83" s="44"/>
      <c r="L83" s="44"/>
      <c r="M83" s="45"/>
      <c r="N83" s="44"/>
      <c r="O83" s="44"/>
      <c r="P83" s="44"/>
      <c r="Q83" s="43" t="str">
        <f>IF(COUNT('Cash Flow'!K83)=1,'Cash Flow'!K83,"")</f>
      </c>
      <c r="R83" s="44"/>
      <c r="S83" s="44"/>
      <c r="T83" s="44"/>
      <c r="U83" s="43" t="str">
        <f>IF(COUNT('Cash Flow'!L83)=1,'Cash Flow'!L83,"")</f>
      </c>
      <c r="V83" s="44"/>
      <c r="W83" s="44"/>
      <c r="X83" s="44"/>
    </row>
    <row r="84" ht="24" customHeight="1">
      <c r="A84" s="51" t="str">
        <v>Net Cash Provided by/(Used for) Financing Activities</v>
      </c>
      <c r="B84" s="52"/>
      <c r="C84" s="53" t="n">
        <v>-3211</v>
      </c>
      <c r="D84" s="53" t="n">
        <v>-4186</v>
      </c>
      <c r="E84" s="53" t="n">
        <v>-13769</v>
      </c>
      <c r="F84" s="53" t="n">
        <v>-8489</v>
      </c>
      <c r="G84" s="53" t="n">
        <v>3819</v>
      </c>
      <c r="H84" s="53" t="n">
        <v>-10780</v>
      </c>
      <c r="I84" s="53" t="n">
        <v>-8523</v>
      </c>
      <c r="J84" s="53" t="n">
        <v>-3009</v>
      </c>
      <c r="K84" s="53" t="n">
        <v>-7556</v>
      </c>
      <c r="L84" s="53" t="n">
        <v>-4979</v>
      </c>
      <c r="M84" s="55"/>
      <c r="N84" s="53" t="n">
        <v>10</v>
      </c>
      <c r="O84" s="53" t="n">
        <v>-2900</v>
      </c>
      <c r="P84" s="53" t="n">
        <v>-5282</v>
      </c>
      <c r="Q84" s="54" t="n">
        <f>IF(COUNT('Cash Flow'!K84)=1,'Cash Flow'!K84,"")</f>
        <v>-7556</v>
      </c>
      <c r="R84" s="53" t="n">
        <v>1768</v>
      </c>
      <c r="S84" s="53" t="n">
        <v>1868</v>
      </c>
      <c r="T84" s="53" t="n">
        <v>-1008</v>
      </c>
      <c r="U84" s="54" t="n">
        <f>IF(COUNT('Cash Flow'!L84)=1,'Cash Flow'!L84,"")</f>
        <v>-4979</v>
      </c>
      <c r="V84" s="53" t="n">
        <v>1662</v>
      </c>
      <c r="W84" s="53" t="n">
        <v>-130</v>
      </c>
      <c r="X84" s="53" t="n">
        <v>-3904</v>
      </c>
    </row>
    <row r="85" ht="24" customHeight="1">
      <c r="A85" s="39" t="str">
        <v>Cash, cash equivalents and restricted cash reconciliation</v>
      </c>
      <c r="B85" s="40"/>
      <c r="C85" s="41"/>
      <c r="D85" s="41"/>
      <c r="E85" s="41"/>
      <c r="F85" s="41"/>
      <c r="G85" s="41"/>
      <c r="H85" s="41"/>
      <c r="I85" s="41"/>
      <c r="J85" s="41"/>
      <c r="K85" s="41"/>
      <c r="L85" s="41"/>
      <c r="M85" s="42"/>
      <c r="N85" s="41"/>
      <c r="O85" s="41"/>
      <c r="P85" s="41"/>
      <c r="Q85" s="41"/>
      <c r="R85" s="41"/>
      <c r="S85" s="41"/>
      <c r="T85" s="41"/>
      <c r="U85" s="41"/>
      <c r="V85" s="41"/>
      <c r="W85" s="41"/>
      <c r="X85" s="41"/>
    </row>
    <row r="86" ht="36" customHeight="1">
      <c r="A86" s="4" t="str">
        <v>Effect of exchange rate changes on cash, cash equivalents and restricted cash</v>
      </c>
      <c r="B86" s="2"/>
      <c r="C86" s="44" t="n">
        <v>-252</v>
      </c>
      <c r="D86" s="44" t="n">
        <v>47</v>
      </c>
      <c r="E86" s="44" t="n">
        <v>-98</v>
      </c>
      <c r="F86" s="44" t="n">
        <v>78</v>
      </c>
      <c r="G86" s="44" t="n">
        <v>-129</v>
      </c>
      <c r="H86" s="44" t="n">
        <v>-114</v>
      </c>
      <c r="I86" s="44" t="n">
        <v>-465</v>
      </c>
      <c r="J86" s="44" t="n">
        <v>-277</v>
      </c>
      <c r="K86" s="44" t="n">
        <v>-687</v>
      </c>
      <c r="L86" s="44" t="n">
        <v>422</v>
      </c>
      <c r="M86" s="45"/>
      <c r="N86" s="44" t="n">
        <v>-38</v>
      </c>
      <c r="O86" s="44" t="n">
        <v>-304</v>
      </c>
      <c r="P86" s="44" t="n">
        <v>-391</v>
      </c>
      <c r="Q86" s="43" t="n">
        <f>IF(COUNT('Cash Flow'!K86)=1,'Cash Flow'!K86,"")</f>
        <v>-687</v>
      </c>
      <c r="R86" s="44" t="n">
        <v>203</v>
      </c>
      <c r="S86" s="44" t="n">
        <v>422</v>
      </c>
      <c r="T86" s="44" t="n">
        <v>395</v>
      </c>
      <c r="U86" s="43" t="n">
        <f>IF(COUNT('Cash Flow'!L86)=1,'Cash Flow'!L86,"")</f>
        <v>422</v>
      </c>
      <c r="V86" s="44" t="n">
        <v>121</v>
      </c>
      <c r="W86" s="44" t="n">
        <v>256</v>
      </c>
      <c r="X86" s="44" t="n">
        <v>-175</v>
      </c>
    </row>
    <row r="87" ht="24" customHeight="1">
      <c r="A87" s="51" t="str">
        <v>Net change in cash, cash equivalents and restricted cash</v>
      </c>
      <c r="B87" s="52"/>
      <c r="C87" s="53" t="n">
        <v>50</v>
      </c>
      <c r="D87" s="53" t="n">
        <v>1488</v>
      </c>
      <c r="E87" s="53" t="n">
        <v>112</v>
      </c>
      <c r="F87" s="53" t="n">
        <v>-5199</v>
      </c>
      <c r="G87" s="53" t="n">
        <v>2684</v>
      </c>
      <c r="H87" s="53" t="n">
        <v>-2547</v>
      </c>
      <c r="I87" s="53" t="n">
        <v>-607</v>
      </c>
      <c r="J87" s="53" t="n">
        <v>4661</v>
      </c>
      <c r="K87" s="53" t="n">
        <v>-1208</v>
      </c>
      <c r="L87" s="53" t="n">
        <v>651</v>
      </c>
      <c r="M87" s="55"/>
      <c r="N87" s="53" t="n">
        <v>-1631</v>
      </c>
      <c r="O87" s="53" t="n">
        <v>-3343</v>
      </c>
      <c r="P87" s="53" t="n">
        <v>-2418</v>
      </c>
      <c r="Q87" s="54" t="n">
        <f>IF(COUNT('Cash Flow'!K87)=1,'Cash Flow'!K87,"")</f>
        <v>-1208</v>
      </c>
      <c r="R87" s="53" t="n">
        <v>-234</v>
      </c>
      <c r="S87" s="53" t="n">
        <v>-841</v>
      </c>
      <c r="T87" s="53" t="n">
        <v>-382</v>
      </c>
      <c r="U87" s="54" t="n">
        <f>IF(COUNT('Cash Flow'!L87)=1,'Cash Flow'!L87,"")</f>
        <v>651</v>
      </c>
      <c r="V87" s="53" t="n">
        <v>1347</v>
      </c>
      <c r="W87" s="53" t="n">
        <v>1099</v>
      </c>
      <c r="X87" s="53" t="n">
        <v>1524</v>
      </c>
    </row>
    <row r="88" ht="36" customHeight="1">
      <c r="A88" s="4" t="str">
        <v>Cash, cash equivalents and restricted cash, beginning of period</v>
      </c>
      <c r="B88" s="2"/>
      <c r="C88" s="44" t="n">
        <v>9119</v>
      </c>
      <c r="D88" s="44" t="n">
        <v>9169</v>
      </c>
      <c r="E88" s="44" t="n">
        <v>10657</v>
      </c>
      <c r="F88" s="44" t="n">
        <v>10769</v>
      </c>
      <c r="G88" s="44" t="n">
        <v>5570</v>
      </c>
      <c r="H88" s="44" t="n">
        <v>8254</v>
      </c>
      <c r="I88" s="44" t="n">
        <v>5707</v>
      </c>
      <c r="J88" s="44" t="n">
        <v>5100</v>
      </c>
      <c r="K88" s="44" t="n">
        <v>9761</v>
      </c>
      <c r="L88" s="44" t="n">
        <v>8553</v>
      </c>
      <c r="M88" s="45"/>
      <c r="N88" s="44" t="n">
        <v>9761</v>
      </c>
      <c r="O88" s="44" t="n">
        <v>9761</v>
      </c>
      <c r="P88" s="44" t="n">
        <v>9761</v>
      </c>
      <c r="Q88" s="43" t="n">
        <f>IF(COUNT('Cash Flow'!K88)=1,'Cash Flow'!K88,"")</f>
        <v>9761</v>
      </c>
      <c r="R88" s="44" t="n">
        <v>8553</v>
      </c>
      <c r="S88" s="44" t="n">
        <v>8553</v>
      </c>
      <c r="T88" s="44" t="n">
        <v>8553</v>
      </c>
      <c r="U88" s="43" t="n">
        <f>IF(COUNT('Cash Flow'!L88)=1,'Cash Flow'!L88,"")</f>
        <v>8553</v>
      </c>
      <c r="V88" s="44" t="n">
        <v>9204</v>
      </c>
      <c r="W88" s="44" t="n">
        <v>9204</v>
      </c>
      <c r="X88" s="44" t="n">
        <v>9204</v>
      </c>
    </row>
    <row r="89" ht="24" customHeight="1">
      <c r="A89" s="51" t="str">
        <v>Cash, cash equivalents and restricted cash, end of period</v>
      </c>
      <c r="B89" s="52"/>
      <c r="C89" s="53" t="n">
        <v>9169</v>
      </c>
      <c r="D89" s="53" t="n">
        <v>10657</v>
      </c>
      <c r="E89" s="53" t="n">
        <v>10769</v>
      </c>
      <c r="F89" s="53" t="n">
        <v>5570</v>
      </c>
      <c r="G89" s="53" t="n">
        <v>8254</v>
      </c>
      <c r="H89" s="53" t="n">
        <v>5707</v>
      </c>
      <c r="I89" s="53" t="n">
        <v>5100</v>
      </c>
      <c r="J89" s="53" t="n">
        <v>9761</v>
      </c>
      <c r="K89" s="53" t="n">
        <v>8553</v>
      </c>
      <c r="L89" s="53" t="n">
        <v>9204</v>
      </c>
      <c r="M89" s="55"/>
      <c r="N89" s="53" t="n">
        <v>8130</v>
      </c>
      <c r="O89" s="53" t="n">
        <v>6418</v>
      </c>
      <c r="P89" s="53" t="n">
        <v>7343</v>
      </c>
      <c r="Q89" s="54" t="n">
        <f>IF(COUNT('Cash Flow'!K89)=1,'Cash Flow'!K89,"")</f>
        <v>8553</v>
      </c>
      <c r="R89" s="53" t="n">
        <v>8319</v>
      </c>
      <c r="S89" s="53" t="n">
        <v>7712</v>
      </c>
      <c r="T89" s="53" t="n">
        <v>8171</v>
      </c>
      <c r="U89" s="54" t="n">
        <f>IF(COUNT('Cash Flow'!L89)=1,'Cash Flow'!L89,"")</f>
        <v>9204</v>
      </c>
      <c r="V89" s="53" t="n">
        <v>10551</v>
      </c>
      <c r="W89" s="53" t="n">
        <v>10303</v>
      </c>
      <c r="X89" s="53" t="n">
        <v>10728</v>
      </c>
    </row>
    <row r="90" ht="24" customHeight="1">
      <c r="A90" s="39" t="str">
        <v>Supplemental Non-Cash Activity</v>
      </c>
      <c r="B90" s="40"/>
      <c r="C90" s="41"/>
      <c r="D90" s="41"/>
      <c r="E90" s="41"/>
      <c r="F90" s="41"/>
      <c r="G90" s="41"/>
      <c r="H90" s="41"/>
      <c r="I90" s="41"/>
      <c r="J90" s="41"/>
      <c r="K90" s="41"/>
      <c r="L90" s="41"/>
      <c r="M90" s="42"/>
      <c r="N90" s="41"/>
      <c r="O90" s="41"/>
      <c r="P90" s="41"/>
      <c r="Q90" s="41"/>
      <c r="R90" s="41"/>
      <c r="S90" s="41"/>
      <c r="T90" s="41"/>
      <c r="U90" s="41"/>
      <c r="V90" s="41"/>
      <c r="W90" s="41"/>
      <c r="X90" s="41"/>
    </row>
    <row r="91" ht="36" customHeight="1">
      <c r="A91" s="4" t="str">
        <v>Right-of-use assets obtained in exchange for lease obligations</v>
      </c>
      <c r="B91" s="2"/>
      <c r="C91" s="44"/>
      <c r="D91" s="44"/>
      <c r="E91" s="44"/>
      <c r="F91" s="44"/>
      <c r="G91" s="44"/>
      <c r="H91" s="44"/>
      <c r="I91" s="44"/>
      <c r="J91" s="44"/>
      <c r="K91" s="44"/>
      <c r="L91" s="44"/>
      <c r="M91" s="45"/>
      <c r="N91" s="44" t="n">
        <v>259</v>
      </c>
      <c r="O91" s="44" t="n">
        <v>541</v>
      </c>
      <c r="P91" s="44" t="n">
        <v>869</v>
      </c>
      <c r="Q91" s="43" t="str">
        <f>IF(COUNT('Cash Flow'!K91)=1,'Cash Flow'!K91,"")</f>
      </c>
      <c r="R91" s="44" t="n">
        <v>166</v>
      </c>
      <c r="S91" s="44" t="n">
        <v>329</v>
      </c>
      <c r="T91" s="44" t="n">
        <v>542</v>
      </c>
      <c r="U91" s="43" t="str">
        <f>IF(COUNT('Cash Flow'!L91)=1,'Cash Flow'!L91,"")</f>
      </c>
      <c r="V91" s="44" t="n">
        <v>114</v>
      </c>
      <c r="W91" s="44" t="n">
        <v>292</v>
      </c>
      <c r="X91" s="44" t="n">
        <v>625</v>
      </c>
    </row>
    <row r="92" ht="22" customHeight="1">
      <c r="A92" s="4" t="str">
        <v>Investment obtained for certain assets</v>
      </c>
      <c r="B92" s="2"/>
      <c r="C92" s="44"/>
      <c r="D92" s="44"/>
      <c r="E92" s="44"/>
      <c r="F92" s="44"/>
      <c r="G92" s="44"/>
      <c r="H92" s="44"/>
      <c r="I92" s="44"/>
      <c r="J92" s="44"/>
      <c r="K92" s="44"/>
      <c r="L92" s="44"/>
      <c r="M92" s="45"/>
      <c r="N92" s="44"/>
      <c r="O92" s="44"/>
      <c r="P92" s="44" t="n">
        <v>0</v>
      </c>
      <c r="Q92" s="43" t="str">
        <f>IF(COUNT('Cash Flow'!K92)=1,'Cash Flow'!K92,"")</f>
      </c>
      <c r="R92" s="44"/>
      <c r="S92" s="44"/>
      <c r="T92" s="44"/>
      <c r="U92" s="43" t="str">
        <f>IF(COUNT('Cash Flow'!L92)=1,'Cash Flow'!L92,"")</f>
      </c>
      <c r="V92" s="44"/>
      <c r="W92" s="44"/>
      <c r="X92" s="44"/>
    </row>
    <row r="93" ht="22" customHeight="1">
      <c r="A93" s="4" t="str">
        <v>Investment obtained for certain assets</v>
      </c>
      <c r="B93" s="2"/>
      <c r="C93" s="44"/>
      <c r="D93" s="44"/>
      <c r="E93" s="44"/>
      <c r="F93" s="44"/>
      <c r="G93" s="44"/>
      <c r="H93" s="44"/>
      <c r="I93" s="44"/>
      <c r="J93" s="44"/>
      <c r="K93" s="44"/>
      <c r="L93" s="44"/>
      <c r="M93" s="45"/>
      <c r="N93" s="44"/>
      <c r="O93" s="44"/>
      <c r="P93" s="44"/>
      <c r="Q93" s="43" t="str">
        <f>IF(COUNT('Cash Flow'!K93)=1,'Cash Flow'!K93,"")</f>
      </c>
      <c r="R93" s="44"/>
      <c r="S93" s="44"/>
      <c r="T93" s="44" t="n">
        <v>554</v>
      </c>
      <c r="U93" s="43" t="str">
        <f>IF(COUNT('Cash Flow'!L93)=1,'Cash Flow'!L93,"")</f>
      </c>
      <c r="V93" s="44"/>
      <c r="W93" s="44"/>
      <c r="X93" s="44" t="n">
        <v>0</v>
      </c>
    </row>
    <row r="94" ht="22" customHeight="1">
      <c r="A94" s="4"/>
      <c r="B94" s="2"/>
      <c r="C94" s="3"/>
      <c r="D94" s="3"/>
      <c r="E94" s="3"/>
      <c r="F94" s="3"/>
      <c r="G94" s="3"/>
      <c r="H94" s="3"/>
      <c r="I94" s="3"/>
      <c r="J94" s="3"/>
      <c r="K94" s="3"/>
      <c r="L94" s="3"/>
      <c r="M94" s="3"/>
      <c r="N94" s="3"/>
      <c r="O94" s="3"/>
      <c r="P94" s="3"/>
      <c r="Q94" s="3"/>
      <c r="R94" s="3"/>
      <c r="S94" s="3"/>
      <c r="T94" s="3"/>
      <c r="U94" s="3"/>
      <c r="V94" s="3"/>
      <c r="W94" s="3"/>
      <c r="X94" s="3"/>
    </row>
    <row r="95" ht="22" customHeight="1">
      <c r="A95" s="29" t="str">
        <v>Cash flow statement: discrete quarters</v>
      </c>
      <c r="B95" s="29"/>
      <c r="C95" s="32"/>
      <c r="D95" s="32"/>
      <c r="E95" s="32"/>
      <c r="F95" s="32"/>
      <c r="G95" s="32"/>
      <c r="H95" s="32"/>
      <c r="I95" s="32"/>
      <c r="J95" s="32"/>
      <c r="K95" s="32"/>
      <c r="L95" s="32"/>
      <c r="M95" s="32"/>
      <c r="N95" s="32"/>
      <c r="O95" s="32"/>
      <c r="P95" s="32"/>
      <c r="Q95" s="32"/>
      <c r="R95" s="32"/>
      <c r="S95" s="32"/>
      <c r="T95" s="32"/>
      <c r="U95" s="32"/>
      <c r="V95" s="32"/>
      <c r="W95" s="32"/>
      <c r="X95" s="32"/>
    </row>
    <row r="96" ht="18" customHeight="1">
      <c r="A96" s="33" t="str">
        <v>Q2/Q3 = current YTD less previous YTD; Q4 = full year less Q3 YTD. Beginning and ending cash are point-in-time balances, not differences.</v>
      </c>
      <c r="B96" s="33"/>
      <c r="C96" s="35"/>
      <c r="D96" s="35"/>
      <c r="E96" s="35"/>
      <c r="F96" s="35"/>
      <c r="G96" s="35"/>
      <c r="H96" s="35"/>
      <c r="I96" s="35"/>
      <c r="J96" s="35"/>
      <c r="K96" s="35"/>
      <c r="L96" s="35"/>
      <c r="M96" s="35"/>
      <c r="N96" s="35"/>
      <c r="O96" s="35"/>
      <c r="P96" s="35"/>
      <c r="Q96" s="35"/>
      <c r="R96" s="35"/>
      <c r="S96" s="35"/>
      <c r="T96" s="35"/>
      <c r="U96" s="35"/>
      <c r="V96" s="35"/>
      <c r="W96" s="35"/>
      <c r="X96" s="35"/>
    </row>
    <row r="97" ht="24" customHeight="1">
      <c r="A97" s="39" t="str">
        <v>Operating Activities</v>
      </c>
      <c r="B97" s="40"/>
      <c r="C97" s="41"/>
      <c r="D97" s="41"/>
      <c r="E97" s="41"/>
      <c r="F97" s="41"/>
      <c r="G97" s="41"/>
      <c r="H97" s="41"/>
      <c r="I97" s="41"/>
      <c r="J97" s="41"/>
      <c r="K97" s="41"/>
      <c r="L97" s="41"/>
      <c r="M97" s="42"/>
      <c r="N97" s="41"/>
      <c r="O97" s="41"/>
      <c r="P97" s="41"/>
      <c r="Q97" s="41"/>
      <c r="R97" s="41"/>
      <c r="S97" s="41"/>
      <c r="T97" s="41"/>
      <c r="U97" s="41"/>
      <c r="V97" s="41"/>
      <c r="W97" s="41"/>
      <c r="X97" s="41"/>
    </row>
    <row r="98" ht="24" customHeight="1">
      <c r="A98" s="51" t="str">
        <v>Net income</v>
      </c>
      <c r="B98" s="52"/>
      <c r="C98" s="53"/>
      <c r="D98" s="53"/>
      <c r="E98" s="53"/>
      <c r="F98" s="53"/>
      <c r="G98" s="53"/>
      <c r="H98" s="53"/>
      <c r="I98" s="53"/>
      <c r="J98" s="53"/>
      <c r="K98" s="53"/>
      <c r="L98" s="53"/>
      <c r="M98" s="55"/>
      <c r="N98" s="54" t="n">
        <f>IF(COUNT('Cash Flow'!N14)=1,'Cash Flow'!N14,"")</f>
        <v>2053</v>
      </c>
      <c r="O98" s="54" t="n">
        <f>IF(COUNT('Cash Flow'!O14,'Cash Flow'!N14)=2,'Cash Flow'!O14-'Cash Flow'!N14,"")</f>
        <v>3094</v>
      </c>
      <c r="P98" s="54" t="n">
        <f>IF(COUNT('Cash Flow'!P14,'Cash Flow'!O14)=2,'Cash Flow'!P14-'Cash Flow'!O14,"")</f>
        <v>2945</v>
      </c>
      <c r="Q98" s="54" t="n">
        <f>IF(COUNT('Cash Flow'!Q14,'Cash Flow'!P14)=2,'Cash Flow'!Q14-'Cash Flow'!P14,"")</f>
        <v>1534</v>
      </c>
      <c r="R98" s="54" t="n">
        <f>IF(COUNT('Cash Flow'!R14)=1,'Cash Flow'!R14,"")</f>
        <v>1843</v>
      </c>
      <c r="S98" s="54" t="n">
        <f>IF(COUNT('Cash Flow'!S14,'Cash Flow'!R14)=2,'Cash Flow'!S14-'Cash Flow'!R14,"")</f>
        <v>1279</v>
      </c>
      <c r="T98" s="54" t="n">
        <f>IF(COUNT('Cash Flow'!T14,'Cash Flow'!S14)=2,'Cash Flow'!T14-'Cash Flow'!S14,"")</f>
        <v>2618</v>
      </c>
      <c r="U98" s="54" t="n">
        <f>IF(COUNT('Cash Flow'!U14,'Cash Flow'!T14)=2,'Cash Flow'!U14-'Cash Flow'!T14,"")</f>
        <v>2555</v>
      </c>
      <c r="V98" s="54" t="n">
        <f>IF(COUNT('Cash Flow'!V14)=1,'Cash Flow'!V14,"")</f>
        <v>2338</v>
      </c>
      <c r="W98" s="54" t="n">
        <f>IF(COUNT('Cash Flow'!W14,'Cash Flow'!V14)=2,'Cash Flow'!W14-'Cash Flow'!V14,"")</f>
        <v>3004</v>
      </c>
      <c r="X98" s="54" t="n">
        <f>IF(COUNT('Cash Flow'!X14,'Cash Flow'!W14)=2,'Cash Flow'!X14-'Cash Flow'!W14,"")</f>
        <v>3070</v>
      </c>
    </row>
    <row r="99" ht="22" customHeight="1">
      <c r="A99" s="4" t="str">
        <v>Depreciation and amortization</v>
      </c>
      <c r="B99" s="2"/>
      <c r="C99" s="44"/>
      <c r="D99" s="44"/>
      <c r="E99" s="44"/>
      <c r="F99" s="44"/>
      <c r="G99" s="44"/>
      <c r="H99" s="44"/>
      <c r="I99" s="44"/>
      <c r="J99" s="44"/>
      <c r="K99" s="44"/>
      <c r="L99" s="44"/>
      <c r="M99" s="45"/>
      <c r="N99" s="43" t="n">
        <f>IF(COUNT('Cash Flow'!N15)=1,'Cash Flow'!N15,"")</f>
        <v>641</v>
      </c>
      <c r="O99" s="43" t="n">
        <f>IF(COUNT('Cash Flow'!O15,'Cash Flow'!N15)=2,'Cash Flow'!O15-'Cash Flow'!N15,"")</f>
        <v>738</v>
      </c>
      <c r="P99" s="43" t="n">
        <f>IF(COUNT('Cash Flow'!P15,'Cash Flow'!O15)=2,'Cash Flow'!P15-'Cash Flow'!O15,"")</f>
        <v>739</v>
      </c>
      <c r="Q99" s="43" t="n">
        <f>IF(COUNT('Cash Flow'!Q15,'Cash Flow'!P15)=2,'Cash Flow'!Q15-'Cash Flow'!P15,"")</f>
        <v>1042</v>
      </c>
      <c r="R99" s="43" t="n">
        <f>IF(COUNT('Cash Flow'!R15)=1,'Cash Flow'!R15,"")</f>
        <v>684</v>
      </c>
      <c r="S99" s="43" t="n">
        <f>IF(COUNT('Cash Flow'!S15,'Cash Flow'!R15)=2,'Cash Flow'!S15-'Cash Flow'!R15,"")</f>
        <v>807</v>
      </c>
      <c r="T99" s="43" t="n">
        <f>IF(COUNT('Cash Flow'!T15,'Cash Flow'!S15)=2,'Cash Flow'!T15-'Cash Flow'!S15,"")</f>
        <v>824</v>
      </c>
      <c r="U99" s="43" t="n">
        <f>IF(COUNT('Cash Flow'!U15,'Cash Flow'!T15)=2,'Cash Flow'!U15-'Cash Flow'!T15,"")</f>
        <v>1136</v>
      </c>
      <c r="V99" s="43" t="n">
        <f>IF(COUNT('Cash Flow'!V15)=1,'Cash Flow'!V15,"")</f>
        <v>742</v>
      </c>
      <c r="W99" s="43" t="n">
        <f>IF(COUNT('Cash Flow'!W15,'Cash Flow'!V15)=2,'Cash Flow'!W15-'Cash Flow'!V15,"")</f>
        <v>897</v>
      </c>
      <c r="X99" s="43" t="n">
        <f>IF(COUNT('Cash Flow'!X15,'Cash Flow'!W15)=2,'Cash Flow'!X15-'Cash Flow'!W15,"")</f>
        <v>892</v>
      </c>
    </row>
    <row r="100" ht="22" customHeight="1">
      <c r="A100" s="4" t="str">
        <v>Share-based compensation expense</v>
      </c>
      <c r="B100" s="2"/>
      <c r="C100" s="44"/>
      <c r="D100" s="44"/>
      <c r="E100" s="44"/>
      <c r="F100" s="44"/>
      <c r="G100" s="44"/>
      <c r="H100" s="44"/>
      <c r="I100" s="44"/>
      <c r="J100" s="44"/>
      <c r="K100" s="44"/>
      <c r="L100" s="44"/>
      <c r="M100" s="45"/>
      <c r="N100" s="43" t="n">
        <f>IF(COUNT('Cash Flow'!N16)=1,'Cash Flow'!N16,"")</f>
        <v>97</v>
      </c>
      <c r="O100" s="43" t="n">
        <f>IF(COUNT('Cash Flow'!O16,'Cash Flow'!N16)=2,'Cash Flow'!O16-'Cash Flow'!N16,"")</f>
        <v>86</v>
      </c>
      <c r="P100" s="43" t="n">
        <f>IF(COUNT('Cash Flow'!P16,'Cash Flow'!O16)=2,'Cash Flow'!P16-'Cash Flow'!O16,"")</f>
        <v>77</v>
      </c>
      <c r="Q100" s="43" t="n">
        <f>IF(COUNT('Cash Flow'!Q16,'Cash Flow'!P16)=2,'Cash Flow'!Q16-'Cash Flow'!P16,"")</f>
        <v>102</v>
      </c>
      <c r="R100" s="43" t="n">
        <f>IF(COUNT('Cash Flow'!R16)=1,'Cash Flow'!R16,"")</f>
        <v>77</v>
      </c>
      <c r="S100" s="43" t="n">
        <f>IF(COUNT('Cash Flow'!S16,'Cash Flow'!R16)=2,'Cash Flow'!S16-'Cash Flow'!R16,"")</f>
        <v>54</v>
      </c>
      <c r="T100" s="43" t="n">
        <f>IF(COUNT('Cash Flow'!T16,'Cash Flow'!S16)=2,'Cash Flow'!T16-'Cash Flow'!S16,"")</f>
        <v>76</v>
      </c>
      <c r="U100" s="43" t="n">
        <f>IF(COUNT('Cash Flow'!U16,'Cash Flow'!T16)=2,'Cash Flow'!U16-'Cash Flow'!T16,"")</f>
        <v>81</v>
      </c>
      <c r="V100" s="43" t="n">
        <f>IF(COUNT('Cash Flow'!V16)=1,'Cash Flow'!V16,"")</f>
        <v>93</v>
      </c>
      <c r="W100" s="43" t="n">
        <f>IF(COUNT('Cash Flow'!W16,'Cash Flow'!V16)=2,'Cash Flow'!W16-'Cash Flow'!V16,"")</f>
        <v>69</v>
      </c>
      <c r="X100" s="43" t="n">
        <f>IF(COUNT('Cash Flow'!X16,'Cash Flow'!W16)=2,'Cash Flow'!X16-'Cash Flow'!W16,"")</f>
        <v>78</v>
      </c>
    </row>
    <row r="101" ht="22" customHeight="1">
      <c r="A101" s="4" t="str">
        <v>Restructuring and impairment charges</v>
      </c>
      <c r="B101" s="2"/>
      <c r="C101" s="44"/>
      <c r="D101" s="44"/>
      <c r="E101" s="44"/>
      <c r="F101" s="44"/>
      <c r="G101" s="44"/>
      <c r="H101" s="44"/>
      <c r="I101" s="44"/>
      <c r="J101" s="44"/>
      <c r="K101" s="44"/>
      <c r="L101" s="44"/>
      <c r="M101" s="45"/>
      <c r="N101" s="43" t="n">
        <f>IF(COUNT('Cash Flow'!N17)=1,'Cash Flow'!N17,"")</f>
        <v>96</v>
      </c>
      <c r="O101" s="43" t="n">
        <f>IF(COUNT('Cash Flow'!O17,'Cash Flow'!N17)=2,'Cash Flow'!O17-'Cash Flow'!N17,"")</f>
        <v>74</v>
      </c>
      <c r="P101" s="43" t="n">
        <f>IF(COUNT('Cash Flow'!P17,'Cash Flow'!O17)=2,'Cash Flow'!P17-'Cash Flow'!O17,"")</f>
        <v>245</v>
      </c>
      <c r="Q101" s="43" t="n">
        <f>IF(COUNT('Cash Flow'!Q17,'Cash Flow'!P17)=2,'Cash Flow'!Q17-'Cash Flow'!P17,"")</f>
        <v>312</v>
      </c>
      <c r="R101" s="43" t="n">
        <f>IF(COUNT('Cash Flow'!R17)=1,'Cash Flow'!R17,"")</f>
        <v>213</v>
      </c>
      <c r="S101" s="43" t="n">
        <f>IF(COUNT('Cash Flow'!S17,'Cash Flow'!R17)=2,'Cash Flow'!S17-'Cash Flow'!R17,"")</f>
        <v>213</v>
      </c>
      <c r="T101" s="43" t="n">
        <f>IF(COUNT('Cash Flow'!T17,'Cash Flow'!S17)=2,'Cash Flow'!T17-'Cash Flow'!S17,"")</f>
        <v>141</v>
      </c>
      <c r="U101" s="43" t="n">
        <f>IF(COUNT('Cash Flow'!U17,'Cash Flow'!T17)=2,'Cash Flow'!U17-'Cash Flow'!T17,"")</f>
        <v>416</v>
      </c>
      <c r="V101" s="43" t="n">
        <f>IF(COUNT('Cash Flow'!V17)=1,'Cash Flow'!V17,"")</f>
        <v>133</v>
      </c>
      <c r="W101" s="43" t="n">
        <f>IF(COUNT('Cash Flow'!W17,'Cash Flow'!V17)=2,'Cash Flow'!W17-'Cash Flow'!V17,"")</f>
        <v>49</v>
      </c>
      <c r="X101" s="43" t="n">
        <f>IF(COUNT('Cash Flow'!X17,'Cash Flow'!W17)=2,'Cash Flow'!X17-'Cash Flow'!W17,"")</f>
        <v>185</v>
      </c>
    </row>
    <row r="102" ht="22" customHeight="1">
      <c r="A102" s="4" t="str">
        <v>Cash payments for restructuring charges</v>
      </c>
      <c r="B102" s="2"/>
      <c r="C102" s="44"/>
      <c r="D102" s="44"/>
      <c r="E102" s="44"/>
      <c r="F102" s="44"/>
      <c r="G102" s="44"/>
      <c r="H102" s="44"/>
      <c r="I102" s="44"/>
      <c r="J102" s="44"/>
      <c r="K102" s="44"/>
      <c r="L102" s="44"/>
      <c r="M102" s="45"/>
      <c r="N102" s="43" t="n">
        <f>IF(COUNT('Cash Flow'!N18)=1,'Cash Flow'!N18,"")</f>
        <v>-60</v>
      </c>
      <c r="O102" s="43" t="n">
        <f>IF(COUNT('Cash Flow'!O18,'Cash Flow'!N18)=2,'Cash Flow'!O18-'Cash Flow'!N18,"")</f>
        <v>-113</v>
      </c>
      <c r="P102" s="43" t="n">
        <f>IF(COUNT('Cash Flow'!P18,'Cash Flow'!O18)=2,'Cash Flow'!P18-'Cash Flow'!O18,"")</f>
        <v>-111</v>
      </c>
      <c r="Q102" s="43" t="n">
        <f>IF(COUNT('Cash Flow'!Q18,'Cash Flow'!P18)=2,'Cash Flow'!Q18-'Cash Flow'!P18,"")</f>
        <v>-152</v>
      </c>
      <c r="R102" s="43" t="n">
        <f>IF(COUNT('Cash Flow'!R18)=1,'Cash Flow'!R18,"")</f>
        <v>-232</v>
      </c>
      <c r="S102" s="43" t="n">
        <f>IF(COUNT('Cash Flow'!S18,'Cash Flow'!R18)=2,'Cash Flow'!S18-'Cash Flow'!R18,"")</f>
        <v>-155</v>
      </c>
      <c r="T102" s="43" t="n">
        <f>IF(COUNT('Cash Flow'!T18,'Cash Flow'!S18)=2,'Cash Flow'!T18-'Cash Flow'!S18,"")</f>
        <v>-167</v>
      </c>
      <c r="U102" s="43" t="n">
        <f>IF(COUNT('Cash Flow'!U18,'Cash Flow'!T18)=2,'Cash Flow'!U18-'Cash Flow'!T18,"")</f>
        <v>-242</v>
      </c>
      <c r="V102" s="43" t="n">
        <f>IF(COUNT('Cash Flow'!V18)=1,'Cash Flow'!V18,"")</f>
        <v>-145</v>
      </c>
      <c r="W102" s="43" t="n">
        <f>IF(COUNT('Cash Flow'!W18,'Cash Flow'!V18)=2,'Cash Flow'!W18-'Cash Flow'!V18,"")</f>
        <v>-119</v>
      </c>
      <c r="X102" s="43" t="n">
        <f>IF(COUNT('Cash Flow'!X18,'Cash Flow'!W18)=2,'Cash Flow'!X18-'Cash Flow'!W18,"")</f>
        <v>-109</v>
      </c>
    </row>
    <row r="103" ht="22" customHeight="1">
      <c r="A103" s="4" t="str">
        <v>Pension and retiree medical plan expenses</v>
      </c>
      <c r="B103" s="2"/>
      <c r="C103" s="44"/>
      <c r="D103" s="44"/>
      <c r="E103" s="44"/>
      <c r="F103" s="44"/>
      <c r="G103" s="44"/>
      <c r="H103" s="44"/>
      <c r="I103" s="44"/>
      <c r="J103" s="44"/>
      <c r="K103" s="44"/>
      <c r="L103" s="44"/>
      <c r="M103" s="45"/>
      <c r="N103" s="43" t="n">
        <f>IF(COUNT('Cash Flow'!N19)=1,'Cash Flow'!N19,"")</f>
        <v>31</v>
      </c>
      <c r="O103" s="43" t="n">
        <f>IF(COUNT('Cash Flow'!O19,'Cash Flow'!N19)=2,'Cash Flow'!O19-'Cash Flow'!N19,"")</f>
        <v>36</v>
      </c>
      <c r="P103" s="43" t="n">
        <f>IF(COUNT('Cash Flow'!P19,'Cash Flow'!O19)=2,'Cash Flow'!P19-'Cash Flow'!O19,"")</f>
        <v>47</v>
      </c>
      <c r="Q103" s="43" t="n">
        <f>IF(COUNT('Cash Flow'!Q19,'Cash Flow'!P19)=2,'Cash Flow'!Q19-'Cash Flow'!P19,"")</f>
        <v>300</v>
      </c>
      <c r="R103" s="43" t="n">
        <f>IF(COUNT('Cash Flow'!R19)=1,'Cash Flow'!R19,"")</f>
        <v>48</v>
      </c>
      <c r="S103" s="43" t="n">
        <f>IF(COUNT('Cash Flow'!S19,'Cash Flow'!R19)=2,'Cash Flow'!S19-'Cash Flow'!R19,"")</f>
        <v>51</v>
      </c>
      <c r="T103" s="43" t="n">
        <f>IF(COUNT('Cash Flow'!T19,'Cash Flow'!S19)=2,'Cash Flow'!T19-'Cash Flow'!S19,"")</f>
        <v>65</v>
      </c>
      <c r="U103" s="43" t="n">
        <f>IF(COUNT('Cash Flow'!U19,'Cash Flow'!T19)=2,'Cash Flow'!U19-'Cash Flow'!T19,"")</f>
        <v>340</v>
      </c>
      <c r="V103" s="43" t="n">
        <f>IF(COUNT('Cash Flow'!V19)=1,'Cash Flow'!V19,"")</f>
        <v>13</v>
      </c>
      <c r="W103" s="43" t="n">
        <f>IF(COUNT('Cash Flow'!W19,'Cash Flow'!V19)=2,'Cash Flow'!W19-'Cash Flow'!V19,"")</f>
        <v>17</v>
      </c>
      <c r="X103" s="43" t="n">
        <f>IF(COUNT('Cash Flow'!X19,'Cash Flow'!W19)=2,'Cash Flow'!X19-'Cash Flow'!W19,"")</f>
        <v>197</v>
      </c>
    </row>
    <row r="104" ht="22" customHeight="1">
      <c r="A104" s="4" t="str">
        <v>Pension and retiree medical plan contributions</v>
      </c>
      <c r="B104" s="2"/>
      <c r="C104" s="44"/>
      <c r="D104" s="44"/>
      <c r="E104" s="44"/>
      <c r="F104" s="44"/>
      <c r="G104" s="44"/>
      <c r="H104" s="44"/>
      <c r="I104" s="44"/>
      <c r="J104" s="44"/>
      <c r="K104" s="44"/>
      <c r="L104" s="44"/>
      <c r="M104" s="45"/>
      <c r="N104" s="43" t="n">
        <f>IF(COUNT('Cash Flow'!N20)=1,'Cash Flow'!N20,"")</f>
        <v>-218</v>
      </c>
      <c r="O104" s="43" t="n">
        <f>IF(COUNT('Cash Flow'!O20,'Cash Flow'!N20)=2,'Cash Flow'!O20-'Cash Flow'!N20,"")</f>
        <v>-45</v>
      </c>
      <c r="P104" s="43" t="n">
        <f>IF(COUNT('Cash Flow'!P20,'Cash Flow'!O20)=2,'Cash Flow'!P20-'Cash Flow'!O20,"")</f>
        <v>-37</v>
      </c>
      <c r="Q104" s="43" t="n">
        <f>IF(COUNT('Cash Flow'!Q20,'Cash Flow'!P20)=2,'Cash Flow'!Q20-'Cash Flow'!P20,"")</f>
        <v>-48</v>
      </c>
      <c r="R104" s="43" t="n">
        <f>IF(COUNT('Cash Flow'!R20)=1,'Cash Flow'!R20,"")</f>
        <v>-317</v>
      </c>
      <c r="S104" s="43" t="n">
        <f>IF(COUNT('Cash Flow'!S20,'Cash Flow'!R20)=2,'Cash Flow'!S20-'Cash Flow'!R20,"")</f>
        <v>-37</v>
      </c>
      <c r="T104" s="43" t="n">
        <f>IF(COUNT('Cash Flow'!T20,'Cash Flow'!S20)=2,'Cash Flow'!T20-'Cash Flow'!S20,"")</f>
        <v>-46</v>
      </c>
      <c r="U104" s="43" t="n">
        <f>IF(COUNT('Cash Flow'!U20,'Cash Flow'!T20)=2,'Cash Flow'!U20-'Cash Flow'!T20,"")</f>
        <v>-72</v>
      </c>
      <c r="V104" s="43" t="n">
        <f>IF(COUNT('Cash Flow'!V20)=1,'Cash Flow'!V20,"")</f>
        <v>-270</v>
      </c>
      <c r="W104" s="43" t="n">
        <f>IF(COUNT('Cash Flow'!W20,'Cash Flow'!V20)=2,'Cash Flow'!W20-'Cash Flow'!V20,"")</f>
        <v>-45</v>
      </c>
      <c r="X104" s="43" t="n">
        <f>IF(COUNT('Cash Flow'!X20,'Cash Flow'!W20)=2,'Cash Flow'!X20-'Cash Flow'!W20,"")</f>
        <v>-40</v>
      </c>
    </row>
    <row r="105" ht="22" customHeight="1">
      <c r="A105" s="4" t="str">
        <v>Deferred income taxes and other tax charges and credits</v>
      </c>
      <c r="B105" s="2"/>
      <c r="C105" s="44"/>
      <c r="D105" s="44"/>
      <c r="E105" s="44"/>
      <c r="F105" s="44"/>
      <c r="G105" s="44"/>
      <c r="H105" s="44"/>
      <c r="I105" s="44"/>
      <c r="J105" s="44"/>
      <c r="K105" s="44"/>
      <c r="L105" s="44"/>
      <c r="M105" s="45"/>
      <c r="N105" s="43" t="n">
        <f>IF(COUNT('Cash Flow'!N21)=1,'Cash Flow'!N21,"")</f>
        <v>116</v>
      </c>
      <c r="O105" s="43" t="n">
        <f>IF(COUNT('Cash Flow'!O21,'Cash Flow'!N21)=2,'Cash Flow'!O21-'Cash Flow'!N21,"")</f>
        <v>26</v>
      </c>
      <c r="P105" s="43" t="n">
        <f>IF(COUNT('Cash Flow'!P21,'Cash Flow'!O21)=2,'Cash Flow'!P21-'Cash Flow'!O21,"")</f>
        <v>-18</v>
      </c>
      <c r="Q105" s="43" t="n">
        <f>IF(COUNT('Cash Flow'!Q21,'Cash Flow'!P21)=2,'Cash Flow'!Q21-'Cash Flow'!P21,"")</f>
        <v>-166</v>
      </c>
      <c r="R105" s="43" t="n">
        <f>IF(COUNT('Cash Flow'!R21)=1,'Cash Flow'!R21,"")</f>
        <v>111</v>
      </c>
      <c r="S105" s="43" t="n">
        <f>IF(COUNT('Cash Flow'!S21,'Cash Flow'!R21)=2,'Cash Flow'!S21-'Cash Flow'!R21,"")</f>
        <v>-371</v>
      </c>
      <c r="T105" s="43" t="n">
        <f>IF(COUNT('Cash Flow'!T21,'Cash Flow'!S21)=2,'Cash Flow'!T21-'Cash Flow'!S21,"")</f>
        <v>290</v>
      </c>
      <c r="U105" s="43" t="n">
        <f>IF(COUNT('Cash Flow'!U21,'Cash Flow'!T21)=2,'Cash Flow'!U21-'Cash Flow'!T21,"")</f>
        <v>41</v>
      </c>
      <c r="V105" s="43" t="n">
        <f>IF(COUNT('Cash Flow'!V21)=1,'Cash Flow'!V21,"")</f>
        <v>226</v>
      </c>
      <c r="W105" s="43" t="n">
        <f>IF(COUNT('Cash Flow'!W21,'Cash Flow'!V21)=2,'Cash Flow'!W21-'Cash Flow'!V21,"")</f>
        <v>268</v>
      </c>
      <c r="X105" s="43" t="n">
        <f>IF(COUNT('Cash Flow'!X21,'Cash Flow'!W21)=2,'Cash Flow'!X21-'Cash Flow'!W21,"")</f>
        <v>169</v>
      </c>
    </row>
    <row r="106" ht="22" customHeight="1">
      <c r="A106" s="4" t="str">
        <v>Accounts and notes receivable</v>
      </c>
      <c r="B106" s="2"/>
      <c r="C106" s="44"/>
      <c r="D106" s="44"/>
      <c r="E106" s="44"/>
      <c r="F106" s="44"/>
      <c r="G106" s="44"/>
      <c r="H106" s="44"/>
      <c r="I106" s="44"/>
      <c r="J106" s="44"/>
      <c r="K106" s="44"/>
      <c r="L106" s="44"/>
      <c r="M106" s="45"/>
      <c r="N106" s="43" t="n">
        <f>IF(COUNT('Cash Flow'!N22)=1,'Cash Flow'!N22,"")</f>
        <v>-96</v>
      </c>
      <c r="O106" s="43" t="n">
        <f>IF(COUNT('Cash Flow'!O22,'Cash Flow'!N22)=2,'Cash Flow'!O22-'Cash Flow'!N22,"")</f>
        <v>-1042</v>
      </c>
      <c r="P106" s="43" t="n">
        <f>IF(COUNT('Cash Flow'!P22,'Cash Flow'!O22)=2,'Cash Flow'!P22-'Cash Flow'!O22,"")</f>
        <v>-383</v>
      </c>
      <c r="Q106" s="43" t="n">
        <f>IF(COUNT('Cash Flow'!Q22,'Cash Flow'!P22)=2,'Cash Flow'!Q22-'Cash Flow'!P22,"")</f>
        <v>1383</v>
      </c>
      <c r="R106" s="43" t="n">
        <f>IF(COUNT('Cash Flow'!R22)=1,'Cash Flow'!R22,"")</f>
        <v>-318</v>
      </c>
      <c r="S106" s="43" t="n">
        <f>IF(COUNT('Cash Flow'!S22,'Cash Flow'!R22)=2,'Cash Flow'!S22-'Cash Flow'!R22,"")</f>
        <v>-1264</v>
      </c>
      <c r="T106" s="43" t="n">
        <f>IF(COUNT('Cash Flow'!T22,'Cash Flow'!S22)=2,'Cash Flow'!T22-'Cash Flow'!S22,"")</f>
        <v>-165</v>
      </c>
      <c r="U106" s="43" t="n">
        <f>IF(COUNT('Cash Flow'!U22,'Cash Flow'!T22)=2,'Cash Flow'!U22-'Cash Flow'!T22,"")</f>
        <v>1167</v>
      </c>
      <c r="V106" s="43" t="n">
        <f>IF(COUNT('Cash Flow'!V22)=1,'Cash Flow'!V22,"")</f>
        <v>-530</v>
      </c>
      <c r="W106" s="43" t="n">
        <f>IF(COUNT('Cash Flow'!W22,'Cash Flow'!V22)=2,'Cash Flow'!W22-'Cash Flow'!V22,"")</f>
        <v>-1327</v>
      </c>
      <c r="X106" s="43" t="n">
        <f>IF(COUNT('Cash Flow'!X22,'Cash Flow'!W22)=2,'Cash Flow'!X22-'Cash Flow'!W22,"")</f>
        <v>-267</v>
      </c>
    </row>
    <row r="107" ht="22" customHeight="1">
      <c r="A107" s="4" t="str">
        <v>Inventories</v>
      </c>
      <c r="B107" s="2"/>
      <c r="C107" s="44"/>
      <c r="D107" s="44"/>
      <c r="E107" s="44"/>
      <c r="F107" s="44"/>
      <c r="G107" s="44"/>
      <c r="H107" s="44"/>
      <c r="I107" s="44"/>
      <c r="J107" s="44"/>
      <c r="K107" s="44"/>
      <c r="L107" s="44"/>
      <c r="M107" s="45"/>
      <c r="N107" s="43" t="n">
        <f>IF(COUNT('Cash Flow'!N23)=1,'Cash Flow'!N23,"")</f>
        <v>-291</v>
      </c>
      <c r="O107" s="43" t="n">
        <f>IF(COUNT('Cash Flow'!O23,'Cash Flow'!N23)=2,'Cash Flow'!O23-'Cash Flow'!N23,"")</f>
        <v>-405</v>
      </c>
      <c r="P107" s="43" t="n">
        <f>IF(COUNT('Cash Flow'!P23,'Cash Flow'!O23)=2,'Cash Flow'!P23-'Cash Flow'!O23,"")</f>
        <v>204</v>
      </c>
      <c r="Q107" s="43" t="n">
        <f>IF(COUNT('Cash Flow'!Q23,'Cash Flow'!P23)=2,'Cash Flow'!Q23-'Cash Flow'!P23,"")</f>
        <v>178</v>
      </c>
      <c r="R107" s="43" t="n">
        <f>IF(COUNT('Cash Flow'!R23)=1,'Cash Flow'!R23,"")</f>
        <v>-238</v>
      </c>
      <c r="S107" s="43" t="n">
        <f>IF(COUNT('Cash Flow'!S23,'Cash Flow'!R23)=2,'Cash Flow'!S23-'Cash Flow'!R23,"")</f>
        <v>-562</v>
      </c>
      <c r="T107" s="43" t="n">
        <f>IF(COUNT('Cash Flow'!T23,'Cash Flow'!S23)=2,'Cash Flow'!T23-'Cash Flow'!S23,"")</f>
        <v>351</v>
      </c>
      <c r="U107" s="43" t="n">
        <f>IF(COUNT('Cash Flow'!U23,'Cash Flow'!T23)=2,'Cash Flow'!U23-'Cash Flow'!T23,"")</f>
        <v>299</v>
      </c>
      <c r="V107" s="43" t="n">
        <f>IF(COUNT('Cash Flow'!V23)=1,'Cash Flow'!V23,"")</f>
        <v>-315</v>
      </c>
      <c r="W107" s="43" t="n">
        <f>IF(COUNT('Cash Flow'!W23,'Cash Flow'!V23)=2,'Cash Flow'!W23-'Cash Flow'!V23,"")</f>
        <v>-487</v>
      </c>
      <c r="X107" s="43" t="n">
        <f>IF(COUNT('Cash Flow'!X23,'Cash Flow'!W23)=2,'Cash Flow'!X23-'Cash Flow'!W23,"")</f>
        <v>214</v>
      </c>
    </row>
    <row r="108" ht="22" customHeight="1">
      <c r="A108" s="4" t="str">
        <v>Prepaid expenses and other current assets</v>
      </c>
      <c r="B108" s="2"/>
      <c r="C108" s="44"/>
      <c r="D108" s="44"/>
      <c r="E108" s="44"/>
      <c r="F108" s="44"/>
      <c r="G108" s="44"/>
      <c r="H108" s="44"/>
      <c r="I108" s="44"/>
      <c r="J108" s="44"/>
      <c r="K108" s="44"/>
      <c r="L108" s="44"/>
      <c r="M108" s="45"/>
      <c r="N108" s="43" t="n">
        <f>IF(COUNT('Cash Flow'!N24)=1,'Cash Flow'!N24,"")</f>
        <v>-342</v>
      </c>
      <c r="O108" s="43" t="n">
        <f>IF(COUNT('Cash Flow'!O24,'Cash Flow'!N24)=2,'Cash Flow'!O24-'Cash Flow'!N24,"")</f>
        <v>-23</v>
      </c>
      <c r="P108" s="43" t="n">
        <f>IF(COUNT('Cash Flow'!P24,'Cash Flow'!O24)=2,'Cash Flow'!P24-'Cash Flow'!O24,"")</f>
        <v>165</v>
      </c>
      <c r="Q108" s="43" t="n">
        <f>IF(COUNT('Cash Flow'!Q24,'Cash Flow'!P24)=2,'Cash Flow'!Q24-'Cash Flow'!P24,"")</f>
        <v>240</v>
      </c>
      <c r="R108" s="43" t="n">
        <f>IF(COUNT('Cash Flow'!R24)=1,'Cash Flow'!R24,"")</f>
        <v>-307</v>
      </c>
      <c r="S108" s="43" t="n">
        <f>IF(COUNT('Cash Flow'!S24,'Cash Flow'!R24)=2,'Cash Flow'!S24-'Cash Flow'!R24,"")</f>
        <v>-47</v>
      </c>
      <c r="T108" s="43" t="n">
        <f>IF(COUNT('Cash Flow'!T24,'Cash Flow'!S24)=2,'Cash Flow'!T24-'Cash Flow'!S24,"")</f>
        <v>131</v>
      </c>
      <c r="U108" s="43" t="n">
        <f>IF(COUNT('Cash Flow'!U24,'Cash Flow'!T24)=2,'Cash Flow'!U24-'Cash Flow'!T24,"")</f>
        <v>418</v>
      </c>
      <c r="V108" s="43" t="n">
        <f>IF(COUNT('Cash Flow'!V24)=1,'Cash Flow'!V24,"")</f>
        <v>-406</v>
      </c>
      <c r="W108" s="43" t="n">
        <f>IF(COUNT('Cash Flow'!W24,'Cash Flow'!V24)=2,'Cash Flow'!W24-'Cash Flow'!V24,"")</f>
        <v>135</v>
      </c>
      <c r="X108" s="43" t="n">
        <f>IF(COUNT('Cash Flow'!X24,'Cash Flow'!W24)=2,'Cash Flow'!X24-'Cash Flow'!W24,"")</f>
        <v>298</v>
      </c>
    </row>
    <row r="109" ht="22" customHeight="1">
      <c r="A109" s="4" t="str">
        <v>Accounts payable and other current liabilities</v>
      </c>
      <c r="B109" s="2"/>
      <c r="C109" s="44"/>
      <c r="D109" s="44"/>
      <c r="E109" s="44"/>
      <c r="F109" s="44"/>
      <c r="G109" s="44"/>
      <c r="H109" s="44"/>
      <c r="I109" s="44"/>
      <c r="J109" s="44"/>
      <c r="K109" s="44"/>
      <c r="L109" s="44"/>
      <c r="M109" s="45"/>
      <c r="N109" s="43" t="n">
        <f>IF(COUNT('Cash Flow'!N25)=1,'Cash Flow'!N25,"")</f>
        <v>-3408</v>
      </c>
      <c r="O109" s="43" t="n">
        <f>IF(COUNT('Cash Flow'!O25,'Cash Flow'!N25)=2,'Cash Flow'!O25-'Cash Flow'!N25,"")</f>
        <v>440</v>
      </c>
      <c r="P109" s="43" t="n">
        <f>IF(COUNT('Cash Flow'!P25,'Cash Flow'!O25)=2,'Cash Flow'!P25-'Cash Flow'!O25,"")</f>
        <v>656</v>
      </c>
      <c r="Q109" s="43" t="n">
        <f>IF(COUNT('Cash Flow'!Q25,'Cash Flow'!P25)=2,'Cash Flow'!Q25-'Cash Flow'!P25,"")</f>
        <v>1369</v>
      </c>
      <c r="R109" s="43" t="n">
        <f>IF(COUNT('Cash Flow'!R25)=1,'Cash Flow'!R25,"")</f>
        <v>-2671</v>
      </c>
      <c r="S109" s="43" t="n">
        <f>IF(COUNT('Cash Flow'!S25,'Cash Flow'!R25)=2,'Cash Flow'!S25-'Cash Flow'!R25,"")</f>
        <v>588</v>
      </c>
      <c r="T109" s="43" t="n">
        <f>IF(COUNT('Cash Flow'!T25,'Cash Flow'!S25)=2,'Cash Flow'!T25-'Cash Flow'!S25,"")</f>
        <v>436</v>
      </c>
      <c r="U109" s="43" t="n">
        <f>IF(COUNT('Cash Flow'!U25,'Cash Flow'!T25)=2,'Cash Flow'!U25-'Cash Flow'!T25,"")</f>
        <v>970</v>
      </c>
      <c r="V109" s="43" t="n">
        <f>IF(COUNT('Cash Flow'!V25)=1,'Cash Flow'!V25,"")</f>
        <v>-1847</v>
      </c>
      <c r="W109" s="43" t="n">
        <f>IF(COUNT('Cash Flow'!W25,'Cash Flow'!V25)=2,'Cash Flow'!W25-'Cash Flow'!V25,"")</f>
        <v>647</v>
      </c>
      <c r="X109" s="43" t="n">
        <f>IF(COUNT('Cash Flow'!X25,'Cash Flow'!W25)=2,'Cash Flow'!X25-'Cash Flow'!W25,"")</f>
        <v>842</v>
      </c>
    </row>
    <row r="110" ht="22" customHeight="1">
      <c r="A110" s="4" t="str">
        <v>Income taxes payable</v>
      </c>
      <c r="B110" s="2"/>
      <c r="C110" s="44"/>
      <c r="D110" s="44"/>
      <c r="E110" s="44"/>
      <c r="F110" s="44"/>
      <c r="G110" s="44"/>
      <c r="H110" s="44"/>
      <c r="I110" s="44"/>
      <c r="J110" s="44"/>
      <c r="K110" s="44"/>
      <c r="L110" s="44"/>
      <c r="M110" s="45"/>
      <c r="N110" s="43" t="n">
        <f>IF(COUNT('Cash Flow'!N26)=1,'Cash Flow'!N26,"")</f>
        <v>222</v>
      </c>
      <c r="O110" s="43" t="n">
        <f>IF(COUNT('Cash Flow'!O26,'Cash Flow'!N26)=2,'Cash Flow'!O26-'Cash Flow'!N26,"")</f>
        <v>65</v>
      </c>
      <c r="P110" s="43" t="n">
        <f>IF(COUNT('Cash Flow'!P26,'Cash Flow'!O26)=2,'Cash Flow'!P26-'Cash Flow'!O26,"")</f>
        <v>139</v>
      </c>
      <c r="Q110" s="43" t="n">
        <f>IF(COUNT('Cash Flow'!Q26,'Cash Flow'!P26)=2,'Cash Flow'!Q26-'Cash Flow'!P26,"")</f>
        <v>-549</v>
      </c>
      <c r="R110" s="43" t="n">
        <f>IF(COUNT('Cash Flow'!R26)=1,'Cash Flow'!R26,"")</f>
        <v>223</v>
      </c>
      <c r="S110" s="43" t="n">
        <f>IF(COUNT('Cash Flow'!S26,'Cash Flow'!R26)=2,'Cash Flow'!S26-'Cash Flow'!R26,"")</f>
        <v>192</v>
      </c>
      <c r="T110" s="43" t="n">
        <f>IF(COUNT('Cash Flow'!T26,'Cash Flow'!S26)=2,'Cash Flow'!T26-'Cash Flow'!S26,"")</f>
        <v>-409</v>
      </c>
      <c r="U110" s="43" t="n">
        <f>IF(COUNT('Cash Flow'!U26,'Cash Flow'!T26)=2,'Cash Flow'!U26-'Cash Flow'!T26,"")</f>
        <v>-439</v>
      </c>
      <c r="V110" s="43" t="n">
        <f>IF(COUNT('Cash Flow'!V26)=1,'Cash Flow'!V26,"")</f>
        <v>131</v>
      </c>
      <c r="W110" s="43" t="n">
        <f>IF(COUNT('Cash Flow'!W26,'Cash Flow'!V26)=2,'Cash Flow'!W26-'Cash Flow'!V26,"")</f>
        <v>182</v>
      </c>
      <c r="X110" s="43" t="n">
        <f>IF(COUNT('Cash Flow'!X26,'Cash Flow'!W26)=2,'Cash Flow'!X26-'Cash Flow'!W26,"")</f>
        <v>102</v>
      </c>
    </row>
    <row r="111" ht="22" customHeight="1">
      <c r="A111" s="4" t="str">
        <v>Other, net</v>
      </c>
      <c r="B111" s="2"/>
      <c r="C111" s="44"/>
      <c r="D111" s="44"/>
      <c r="E111" s="44"/>
      <c r="F111" s="44"/>
      <c r="G111" s="44"/>
      <c r="H111" s="44"/>
      <c r="I111" s="44"/>
      <c r="J111" s="44"/>
      <c r="K111" s="44"/>
      <c r="L111" s="44"/>
      <c r="M111" s="45"/>
      <c r="N111" s="43" t="n">
        <f>IF(COUNT('Cash Flow'!N27)=1,'Cash Flow'!N27,"")</f>
        <v>-68</v>
      </c>
      <c r="O111" s="43" t="n">
        <f>IF(COUNT('Cash Flow'!O27,'Cash Flow'!N27)=2,'Cash Flow'!O27-'Cash Flow'!N27,"")</f>
        <v>-135</v>
      </c>
      <c r="P111" s="43" t="n">
        <f>IF(COUNT('Cash Flow'!P27,'Cash Flow'!O27)=2,'Cash Flow'!P27-'Cash Flow'!O27,"")</f>
        <v>65</v>
      </c>
      <c r="Q111" s="43" t="n">
        <f>IF(COUNT('Cash Flow'!Q27,'Cash Flow'!P27)=2,'Cash Flow'!Q27-'Cash Flow'!P27,"")</f>
        <v>-173</v>
      </c>
      <c r="R111" s="43" t="n">
        <f>IF(COUNT('Cash Flow'!R27)=1,'Cash Flow'!R27,"")</f>
        <v>-246</v>
      </c>
      <c r="S111" s="43" t="n">
        <f>IF(COUNT('Cash Flow'!S27,'Cash Flow'!R27)=2,'Cash Flow'!S27-'Cash Flow'!R27,"")</f>
        <v>-54</v>
      </c>
      <c r="T111" s="43" t="n">
        <f>IF(COUNT('Cash Flow'!T27,'Cash Flow'!S27)=2,'Cash Flow'!T27-'Cash Flow'!S27,"")</f>
        <v>-146</v>
      </c>
      <c r="U111" s="43" t="n">
        <f>IF(COUNT('Cash Flow'!U27,'Cash Flow'!T27)=2,'Cash Flow'!U27-'Cash Flow'!T27,"")</f>
        <v>-266</v>
      </c>
      <c r="V111" s="43" t="n">
        <f>IF(COUNT('Cash Flow'!V27)=1,'Cash Flow'!V27,"")</f>
        <v>-157</v>
      </c>
      <c r="W111" s="43" t="n">
        <f>IF(COUNT('Cash Flow'!W27,'Cash Flow'!V27)=2,'Cash Flow'!W27-'Cash Flow'!V27,"")</f>
        <v>-141</v>
      </c>
      <c r="X111" s="43" t="n">
        <f>IF(COUNT('Cash Flow'!X27,'Cash Flow'!W27)=2,'Cash Flow'!X27-'Cash Flow'!W27,"")</f>
        <v>-124</v>
      </c>
    </row>
    <row r="112" ht="24" customHeight="1">
      <c r="A112" s="51" t="str">
        <v>Net Cash Provided by/(Used for) Operating Activities</v>
      </c>
      <c r="B112" s="52"/>
      <c r="C112" s="53"/>
      <c r="D112" s="53"/>
      <c r="E112" s="53"/>
      <c r="F112" s="53"/>
      <c r="G112" s="53"/>
      <c r="H112" s="53"/>
      <c r="I112" s="53"/>
      <c r="J112" s="53"/>
      <c r="K112" s="53"/>
      <c r="L112" s="53"/>
      <c r="M112" s="55"/>
      <c r="N112" s="54" t="n">
        <f>IF(COUNT('Cash Flow'!N46)=1,'Cash Flow'!N46,"")</f>
        <v>-1041</v>
      </c>
      <c r="O112" s="54" t="n">
        <f>IF(COUNT('Cash Flow'!O46,'Cash Flow'!N46)=2,'Cash Flow'!O46-'Cash Flow'!N46,"")</f>
        <v>2356</v>
      </c>
      <c r="P112" s="54" t="n">
        <f>IF(COUNT('Cash Flow'!P46,'Cash Flow'!O46)=2,'Cash Flow'!P46-'Cash Flow'!O46,"")</f>
        <v>4905</v>
      </c>
      <c r="Q112" s="54" t="n">
        <f>IF(COUNT('Cash Flow'!Q46,'Cash Flow'!P46)=2,'Cash Flow'!Q46-'Cash Flow'!P46,"")</f>
        <v>6287</v>
      </c>
      <c r="R112" s="54" t="n">
        <f>IF(COUNT('Cash Flow'!R46)=1,'Cash Flow'!R46,"")</f>
        <v>-973</v>
      </c>
      <c r="S112" s="54" t="n">
        <f>IF(COUNT('Cash Flow'!S46,'Cash Flow'!R46)=2,'Cash Flow'!S46-'Cash Flow'!R46,"")</f>
        <v>1969</v>
      </c>
      <c r="T112" s="54" t="n">
        <f>IF(COUNT('Cash Flow'!T46,'Cash Flow'!S46)=2,'Cash Flow'!T46-'Cash Flow'!S46,"")</f>
        <v>4472</v>
      </c>
      <c r="U112" s="54" t="n">
        <f>IF(COUNT('Cash Flow'!U46,'Cash Flow'!T46)=2,'Cash Flow'!U46-'Cash Flow'!T46,"")</f>
        <v>6619</v>
      </c>
      <c r="V112" s="54" t="n">
        <f>IF(COUNT('Cash Flow'!V46)=1,'Cash Flow'!V46,"")</f>
        <v>41</v>
      </c>
      <c r="W112" s="54" t="n">
        <f>IF(COUNT('Cash Flow'!W46,'Cash Flow'!V46)=2,'Cash Flow'!W46-'Cash Flow'!V46,"")</f>
        <v>2324</v>
      </c>
      <c r="X112" s="54" t="n">
        <f>IF(COUNT('Cash Flow'!X46,'Cash Flow'!W46)=2,'Cash Flow'!X46-'Cash Flow'!W46,"")</f>
        <v>5585</v>
      </c>
    </row>
    <row r="113" ht="24" customHeight="1">
      <c r="A113" s="39" t="str">
        <v>Investing Activities</v>
      </c>
      <c r="B113" s="40"/>
      <c r="C113" s="41"/>
      <c r="D113" s="41"/>
      <c r="E113" s="41"/>
      <c r="F113" s="41"/>
      <c r="G113" s="41"/>
      <c r="H113" s="41"/>
      <c r="I113" s="41"/>
      <c r="J113" s="41"/>
      <c r="K113" s="41"/>
      <c r="L113" s="41"/>
      <c r="M113" s="42"/>
      <c r="N113" s="41"/>
      <c r="O113" s="41"/>
      <c r="P113" s="41"/>
      <c r="Q113" s="41"/>
      <c r="R113" s="41"/>
      <c r="S113" s="41"/>
      <c r="T113" s="41"/>
      <c r="U113" s="41"/>
      <c r="V113" s="41"/>
      <c r="W113" s="41"/>
      <c r="X113" s="41"/>
    </row>
    <row r="114" ht="22" customHeight="1">
      <c r="A114" s="4" t="str">
        <v>Capital spending (cash outflows negative)</v>
      </c>
      <c r="B114" s="2"/>
      <c r="C114" s="44"/>
      <c r="D114" s="44"/>
      <c r="E114" s="44"/>
      <c r="F114" s="44"/>
      <c r="G114" s="44"/>
      <c r="H114" s="44"/>
      <c r="I114" s="44"/>
      <c r="J114" s="44"/>
      <c r="K114" s="44"/>
      <c r="L114" s="44"/>
      <c r="M114" s="45"/>
      <c r="N114" s="43" t="n">
        <f>IF(COUNT('Cash Flow'!N48)=1,'Cash Flow'!N48,"")</f>
        <v>-614</v>
      </c>
      <c r="O114" s="43" t="n">
        <f>IF(COUNT('Cash Flow'!O48,'Cash Flow'!N48)=2,'Cash Flow'!O48-'Cash Flow'!N48,"")</f>
        <v>-1087</v>
      </c>
      <c r="P114" s="43" t="n">
        <f>IF(COUNT('Cash Flow'!P48,'Cash Flow'!O48)=2,'Cash Flow'!P48-'Cash Flow'!O48,"")</f>
        <v>-1149</v>
      </c>
      <c r="Q114" s="43" t="n">
        <f>IF(COUNT('Cash Flow'!Q48,'Cash Flow'!P48)=2,'Cash Flow'!Q48-'Cash Flow'!P48,"")</f>
        <v>-2468</v>
      </c>
      <c r="R114" s="43" t="n">
        <f>IF(COUNT('Cash Flow'!R48)=1,'Cash Flow'!R48,"")</f>
        <v>-603</v>
      </c>
      <c r="S114" s="43" t="n">
        <f>IF(COUNT('Cash Flow'!S48,'Cash Flow'!R48)=2,'Cash Flow'!S48-'Cash Flow'!R48,"")</f>
        <v>-904</v>
      </c>
      <c r="T114" s="43" t="n">
        <f>IF(COUNT('Cash Flow'!T48,'Cash Flow'!S48)=2,'Cash Flow'!T48-'Cash Flow'!S48,"")</f>
        <v>-992</v>
      </c>
      <c r="U114" s="43" t="n">
        <f>IF(COUNT('Cash Flow'!U48,'Cash Flow'!T48)=2,'Cash Flow'!U48-'Cash Flow'!T48,"")</f>
        <v>-1916</v>
      </c>
      <c r="V114" s="43" t="n">
        <f>IF(COUNT('Cash Flow'!V48)=1,'Cash Flow'!V48,"")</f>
        <v>-447</v>
      </c>
      <c r="W114" s="43" t="n">
        <f>IF(COUNT('Cash Flow'!W48,'Cash Flow'!V48)=2,'Cash Flow'!W48-'Cash Flow'!V48,"")</f>
        <v>-819</v>
      </c>
      <c r="X114" s="43" t="n">
        <f>IF(COUNT('Cash Flow'!X48,'Cash Flow'!W48)=2,'Cash Flow'!X48-'Cash Flow'!W48,"")</f>
        <v>-916</v>
      </c>
    </row>
    <row r="115" ht="22" customHeight="1">
      <c r="A115" s="4" t="str">
        <v>Sales of property, plant and equipment</v>
      </c>
      <c r="B115" s="2"/>
      <c r="C115" s="44"/>
      <c r="D115" s="44"/>
      <c r="E115" s="44"/>
      <c r="F115" s="44"/>
      <c r="G115" s="44"/>
      <c r="H115" s="44"/>
      <c r="I115" s="44"/>
      <c r="J115" s="44"/>
      <c r="K115" s="44"/>
      <c r="L115" s="44"/>
      <c r="M115" s="45"/>
      <c r="N115" s="43" t="n">
        <f>IF(COUNT('Cash Flow'!N49)=1,'Cash Flow'!N49,"")</f>
        <v>7</v>
      </c>
      <c r="O115" s="43" t="n">
        <f>IF(COUNT('Cash Flow'!O49,'Cash Flow'!N49)=2,'Cash Flow'!O49-'Cash Flow'!N49,"")</f>
        <v>120</v>
      </c>
      <c r="P115" s="43" t="n">
        <f>IF(COUNT('Cash Flow'!P49,'Cash Flow'!O49)=2,'Cash Flow'!P49-'Cash Flow'!O49,"")</f>
        <v>50</v>
      </c>
      <c r="Q115" s="43" t="n">
        <f>IF(COUNT('Cash Flow'!Q49,'Cash Flow'!P49)=2,'Cash Flow'!Q49-'Cash Flow'!P49,"")</f>
        <v>165</v>
      </c>
      <c r="R115" s="43" t="n">
        <f>IF(COUNT('Cash Flow'!R49)=1,'Cash Flow'!R49,"")</f>
        <v>132</v>
      </c>
      <c r="S115" s="43" t="n">
        <f>IF(COUNT('Cash Flow'!S49,'Cash Flow'!R49)=2,'Cash Flow'!S49-'Cash Flow'!R49,"")</f>
        <v>37</v>
      </c>
      <c r="T115" s="43" t="n">
        <f>IF(COUNT('Cash Flow'!T49,'Cash Flow'!S49)=2,'Cash Flow'!T49-'Cash Flow'!S49,"")</f>
        <v>103</v>
      </c>
      <c r="U115" s="43" t="n">
        <f>IF(COUNT('Cash Flow'!U49,'Cash Flow'!T49)=2,'Cash Flow'!U49-'Cash Flow'!T49,"")</f>
        <v>256</v>
      </c>
      <c r="V115" s="43" t="n">
        <f>IF(COUNT('Cash Flow'!V49)=1,'Cash Flow'!V49,"")</f>
        <v>13</v>
      </c>
      <c r="W115" s="43" t="n">
        <f>IF(COUNT('Cash Flow'!W49,'Cash Flow'!V49)=2,'Cash Flow'!W49-'Cash Flow'!V49,"")</f>
        <v>58</v>
      </c>
      <c r="X115" s="43" t="n">
        <f>IF(COUNT('Cash Flow'!X49,'Cash Flow'!W49)=2,'Cash Flow'!X49-'Cash Flow'!W49,"")</f>
        <v>18</v>
      </c>
    </row>
    <row r="116" ht="36" customHeight="1">
      <c r="A116" s="4" t="str">
        <v>Short-term investments — More than three months - purchases</v>
      </c>
      <c r="B116" s="2"/>
      <c r="C116" s="44"/>
      <c r="D116" s="44"/>
      <c r="E116" s="44"/>
      <c r="F116" s="44"/>
      <c r="G116" s="44"/>
      <c r="H116" s="44"/>
      <c r="I116" s="44"/>
      <c r="J116" s="44"/>
      <c r="K116" s="44"/>
      <c r="L116" s="44"/>
      <c r="M116" s="45"/>
      <c r="N116" s="43" t="str">
        <f>IF(COUNT('Cash Flow'!N51)=1,'Cash Flow'!N51,"")</f>
      </c>
      <c r="O116" s="43" t="str">
        <f>IF(COUNT('Cash Flow'!O51,'Cash Flow'!N51)=2,'Cash Flow'!O51-'Cash Flow'!N51,"")</f>
      </c>
      <c r="P116" s="43" t="str">
        <f>IF(COUNT('Cash Flow'!P51,'Cash Flow'!O51)=2,'Cash Flow'!P51-'Cash Flow'!O51,"")</f>
      </c>
      <c r="Q116" s="43" t="n">
        <f>IF(COUNT('Cash Flow'!Q51,'Cash Flow'!P51)=2,'Cash Flow'!Q51-'Cash Flow'!P51,"")</f>
        <v>0</v>
      </c>
      <c r="R116" s="43" t="str">
        <f>IF(COUNT('Cash Flow'!R51)=1,'Cash Flow'!R51,"")</f>
      </c>
      <c r="S116" s="43" t="str">
        <f>IF(COUNT('Cash Flow'!S51,'Cash Flow'!R51)=2,'Cash Flow'!S51-'Cash Flow'!R51,"")</f>
      </c>
      <c r="T116" s="43" t="n">
        <f>IF(COUNT('Cash Flow'!T51,'Cash Flow'!S51)=2,'Cash Flow'!T51-'Cash Flow'!S51,"")</f>
        <v>-190</v>
      </c>
      <c r="U116" s="43" t="n">
        <f>IF(COUNT('Cash Flow'!U51,'Cash Flow'!T51)=2,'Cash Flow'!U51-'Cash Flow'!T51,"")</f>
        <v>0</v>
      </c>
      <c r="V116" s="43" t="str">
        <f>IF(COUNT('Cash Flow'!V51)=1,'Cash Flow'!V51,"")</f>
      </c>
      <c r="W116" s="43" t="str">
        <f>IF(COUNT('Cash Flow'!W51,'Cash Flow'!V51)=2,'Cash Flow'!W51-'Cash Flow'!V51,"")</f>
      </c>
      <c r="X116" s="43" t="n">
        <f>IF(COUNT('Cash Flow'!X51,'Cash Flow'!W51)=2,'Cash Flow'!X51-'Cash Flow'!W51,"")</f>
        <v>-25</v>
      </c>
    </row>
    <row r="117" ht="36" customHeight="1">
      <c r="A117" s="4" t="str">
        <v>Short-term investments — More than three months - maturities</v>
      </c>
      <c r="B117" s="2"/>
      <c r="C117" s="44"/>
      <c r="D117" s="44"/>
      <c r="E117" s="44"/>
      <c r="F117" s="44"/>
      <c r="G117" s="44"/>
      <c r="H117" s="44"/>
      <c r="I117" s="44"/>
      <c r="J117" s="44"/>
      <c r="K117" s="44"/>
      <c r="L117" s="44"/>
      <c r="M117" s="45"/>
      <c r="N117" s="43" t="n">
        <f>IF(COUNT('Cash Flow'!N52)=1,'Cash Flow'!N52,"")</f>
        <v>0</v>
      </c>
      <c r="O117" s="43" t="n">
        <f>IF(COUNT('Cash Flow'!O52,'Cash Flow'!N52)=2,'Cash Flow'!O52-'Cash Flow'!N52,"")</f>
        <v>0</v>
      </c>
      <c r="P117" s="43" t="n">
        <f>IF(COUNT('Cash Flow'!P52,'Cash Flow'!O52)=2,'Cash Flow'!P52-'Cash Flow'!O52,"")</f>
        <v>0</v>
      </c>
      <c r="Q117" s="43" t="n">
        <f>IF(COUNT('Cash Flow'!Q52,'Cash Flow'!P52)=2,'Cash Flow'!Q52-'Cash Flow'!P52,"")</f>
        <v>0</v>
      </c>
      <c r="R117" s="43" t="n">
        <f>IF(COUNT('Cash Flow'!R52)=1,'Cash Flow'!R52,"")</f>
        <v>425</v>
      </c>
      <c r="S117" s="43" t="n">
        <f>IF(COUNT('Cash Flow'!S52,'Cash Flow'!R52)=2,'Cash Flow'!S52-'Cash Flow'!R52,"")</f>
        <v>0</v>
      </c>
      <c r="T117" s="43" t="n">
        <f>IF(COUNT('Cash Flow'!T52,'Cash Flow'!S52)=2,'Cash Flow'!T52-'Cash Flow'!S52,"")</f>
        <v>0</v>
      </c>
      <c r="U117" s="43" t="n">
        <f>IF(COUNT('Cash Flow'!U52,'Cash Flow'!T52)=2,'Cash Flow'!U52-'Cash Flow'!T52,"")</f>
        <v>180</v>
      </c>
      <c r="V117" s="43" t="n">
        <f>IF(COUNT('Cash Flow'!V52)=1,'Cash Flow'!V52,"")</f>
        <v>0</v>
      </c>
      <c r="W117" s="43" t="n">
        <f>IF(COUNT('Cash Flow'!W52,'Cash Flow'!V52)=2,'Cash Flow'!W52-'Cash Flow'!V52,"")</f>
        <v>8</v>
      </c>
      <c r="X117" s="43" t="n">
        <f>IF(COUNT('Cash Flow'!X52,'Cash Flow'!W52)=2,'Cash Flow'!X52-'Cash Flow'!W52,"")</f>
        <v>9</v>
      </c>
    </row>
    <row r="118" ht="22" customHeight="1">
      <c r="A118" s="4" t="str">
        <v>Short-term investments — More than three months - sales</v>
      </c>
      <c r="B118" s="2"/>
      <c r="C118" s="44"/>
      <c r="D118" s="44"/>
      <c r="E118" s="44"/>
      <c r="F118" s="44"/>
      <c r="G118" s="44"/>
      <c r="H118" s="44"/>
      <c r="I118" s="44"/>
      <c r="J118" s="44"/>
      <c r="K118" s="44"/>
      <c r="L118" s="44"/>
      <c r="M118" s="45"/>
      <c r="N118" s="43" t="str">
        <f>IF(COUNT('Cash Flow'!N53)=1,'Cash Flow'!N53,"")</f>
      </c>
      <c r="O118" s="43" t="str">
        <f>IF(COUNT('Cash Flow'!O53,'Cash Flow'!N53)=2,'Cash Flow'!O53-'Cash Flow'!N53,"")</f>
      </c>
      <c r="P118" s="43" t="str">
        <f>IF(COUNT('Cash Flow'!P53,'Cash Flow'!O53)=2,'Cash Flow'!P53-'Cash Flow'!O53,"")</f>
      </c>
      <c r="Q118" s="43" t="str">
        <f>IF(COUNT('Cash Flow'!Q53,'Cash Flow'!P53)=2,'Cash Flow'!Q53-'Cash Flow'!P53,"")</f>
      </c>
      <c r="R118" s="43" t="n">
        <f>IF(COUNT('Cash Flow'!R53)=1,'Cash Flow'!R53,"")</f>
        <v>0</v>
      </c>
      <c r="S118" s="43" t="n">
        <f>IF(COUNT('Cash Flow'!S53,'Cash Flow'!R53)=2,'Cash Flow'!S53-'Cash Flow'!R53,"")</f>
        <v>0</v>
      </c>
      <c r="T118" s="43" t="n">
        <f>IF(COUNT('Cash Flow'!T53,'Cash Flow'!S53)=2,'Cash Flow'!T53-'Cash Flow'!S53,"")</f>
        <v>0</v>
      </c>
      <c r="U118" s="43" t="n">
        <f>IF(COUNT('Cash Flow'!U53,'Cash Flow'!T53)=2,'Cash Flow'!U53-'Cash Flow'!T53,"")</f>
        <v>0</v>
      </c>
      <c r="V118" s="43" t="n">
        <f>IF(COUNT('Cash Flow'!V53)=1,'Cash Flow'!V53,"")</f>
        <v>14</v>
      </c>
      <c r="W118" s="43" t="n">
        <f>IF(COUNT('Cash Flow'!W53,'Cash Flow'!V53)=2,'Cash Flow'!W53-'Cash Flow'!V53,"")</f>
        <v>0</v>
      </c>
      <c r="X118" s="43" t="n">
        <f>IF(COUNT('Cash Flow'!X53,'Cash Flow'!W53)=2,'Cash Flow'!X53-'Cash Flow'!W53,"")</f>
        <v>0</v>
      </c>
    </row>
    <row r="119" ht="22" customHeight="1">
      <c r="A119" s="4" t="str">
        <v>Short-term investments — Three months or less, net</v>
      </c>
      <c r="B119" s="2"/>
      <c r="C119" s="44"/>
      <c r="D119" s="44"/>
      <c r="E119" s="44"/>
      <c r="F119" s="44"/>
      <c r="G119" s="44"/>
      <c r="H119" s="44"/>
      <c r="I119" s="44"/>
      <c r="J119" s="44"/>
      <c r="K119" s="44"/>
      <c r="L119" s="44"/>
      <c r="M119" s="45"/>
      <c r="N119" s="43" t="n">
        <f>IF(COUNT('Cash Flow'!N54)=1,'Cash Flow'!N54,"")</f>
        <v>8</v>
      </c>
      <c r="O119" s="43" t="n">
        <f>IF(COUNT('Cash Flow'!O54,'Cash Flow'!N54)=2,'Cash Flow'!O54-'Cash Flow'!N54,"")</f>
        <v>-7</v>
      </c>
      <c r="P119" s="43" t="n">
        <f>IF(COUNT('Cash Flow'!P54,'Cash Flow'!O54)=2,'Cash Flow'!P54-'Cash Flow'!O54,"")</f>
        <v>3</v>
      </c>
      <c r="Q119" s="43" t="n">
        <f>IF(COUNT('Cash Flow'!Q54,'Cash Flow'!P54)=2,'Cash Flow'!Q54-'Cash Flow'!P54,"")</f>
        <v>1</v>
      </c>
      <c r="R119" s="43" t="n">
        <f>IF(COUNT('Cash Flow'!R54)=1,'Cash Flow'!R54,"")</f>
        <v>16</v>
      </c>
      <c r="S119" s="43" t="n">
        <f>IF(COUNT('Cash Flow'!S54,'Cash Flow'!R54)=2,'Cash Flow'!S54-'Cash Flow'!R54,"")</f>
        <v>6</v>
      </c>
      <c r="T119" s="43" t="n">
        <f>IF(COUNT('Cash Flow'!T54,'Cash Flow'!S54)=2,'Cash Flow'!T54-'Cash Flow'!S54,"")</f>
        <v>21</v>
      </c>
      <c r="U119" s="43" t="n">
        <f>IF(COUNT('Cash Flow'!U54,'Cash Flow'!T54)=2,'Cash Flow'!U54-'Cash Flow'!T54,"")</f>
        <v>2</v>
      </c>
      <c r="V119" s="43" t="n">
        <f>IF(COUNT('Cash Flow'!V54)=1,'Cash Flow'!V54,"")</f>
        <v>-9</v>
      </c>
      <c r="W119" s="43" t="n">
        <f>IF(COUNT('Cash Flow'!W54,'Cash Flow'!V54)=2,'Cash Flow'!W54-'Cash Flow'!V54,"")</f>
        <v>-1</v>
      </c>
      <c r="X119" s="43" t="n">
        <f>IF(COUNT('Cash Flow'!X54,'Cash Flow'!W54)=2,'Cash Flow'!X54-'Cash Flow'!W54,"")</f>
        <v>5</v>
      </c>
    </row>
    <row r="120" ht="22" customHeight="1">
      <c r="A120" s="4" t="str">
        <v>Other investing, net</v>
      </c>
      <c r="B120" s="2"/>
      <c r="C120" s="44"/>
      <c r="D120" s="44"/>
      <c r="E120" s="44"/>
      <c r="F120" s="44"/>
      <c r="G120" s="44"/>
      <c r="H120" s="44"/>
      <c r="I120" s="44"/>
      <c r="J120" s="44"/>
      <c r="K120" s="44"/>
      <c r="L120" s="44"/>
      <c r="M120" s="45"/>
      <c r="N120" s="43" t="n">
        <f>IF(COUNT('Cash Flow'!N55)=1,'Cash Flow'!N55,"")</f>
        <v>-10</v>
      </c>
      <c r="O120" s="43" t="n">
        <f>IF(COUNT('Cash Flow'!O55,'Cash Flow'!N55)=2,'Cash Flow'!O55-'Cash Flow'!N55,"")</f>
        <v>24</v>
      </c>
      <c r="P120" s="43" t="n">
        <f>IF(COUNT('Cash Flow'!P55,'Cash Flow'!O55)=2,'Cash Flow'!P55-'Cash Flow'!O55,"")</f>
        <v>1</v>
      </c>
      <c r="Q120" s="43" t="n">
        <f>IF(COUNT('Cash Flow'!Q55,'Cash Flow'!P55)=2,'Cash Flow'!Q55-'Cash Flow'!P55,"")</f>
        <v>-1</v>
      </c>
      <c r="R120" s="43" t="n">
        <f>IF(COUNT('Cash Flow'!R55)=1,'Cash Flow'!R55,"")</f>
        <v>-2</v>
      </c>
      <c r="S120" s="43" t="n">
        <f>IF(COUNT('Cash Flow'!S55,'Cash Flow'!R55)=2,'Cash Flow'!S55-'Cash Flow'!R55,"")</f>
        <v>-104</v>
      </c>
      <c r="T120" s="43" t="n">
        <f>IF(COUNT('Cash Flow'!T55,'Cash Flow'!S55)=2,'Cash Flow'!T55-'Cash Flow'!S55,"")</f>
        <v>-6</v>
      </c>
      <c r="U120" s="43" t="n">
        <f>IF(COUNT('Cash Flow'!U55,'Cash Flow'!T55)=2,'Cash Flow'!U55-'Cash Flow'!T55,"")</f>
        <v>12</v>
      </c>
      <c r="V120" s="43" t="n">
        <f>IF(COUNT('Cash Flow'!V55)=1,'Cash Flow'!V55,"")</f>
        <v>19</v>
      </c>
      <c r="W120" s="43" t="n">
        <f>IF(COUNT('Cash Flow'!W55,'Cash Flow'!V55)=2,'Cash Flow'!W55-'Cash Flow'!V55,"")</f>
        <v>0</v>
      </c>
      <c r="X120" s="43" t="n">
        <f>IF(COUNT('Cash Flow'!X55,'Cash Flow'!W55)=2,'Cash Flow'!X55-'Cash Flow'!W55,"")</f>
        <v>-46</v>
      </c>
    </row>
    <row r="121" ht="24" customHeight="1">
      <c r="A121" s="51" t="str">
        <v>Net Cash Provided by/(Used for) Investing Activities</v>
      </c>
      <c r="B121" s="52"/>
      <c r="C121" s="53"/>
      <c r="D121" s="53"/>
      <c r="E121" s="53"/>
      <c r="F121" s="53"/>
      <c r="G121" s="53"/>
      <c r="H121" s="53"/>
      <c r="I121" s="53"/>
      <c r="J121" s="53"/>
      <c r="K121" s="53"/>
      <c r="L121" s="53"/>
      <c r="M121" s="55"/>
      <c r="N121" s="54" t="n">
        <f>IF(COUNT('Cash Flow'!N63)=1,'Cash Flow'!N63,"")</f>
        <v>-562</v>
      </c>
      <c r="O121" s="54" t="n">
        <f>IF(COUNT('Cash Flow'!O63,'Cash Flow'!N63)=2,'Cash Flow'!O63-'Cash Flow'!N63,"")</f>
        <v>-892</v>
      </c>
      <c r="P121" s="54" t="n">
        <f>IF(COUNT('Cash Flow'!P63,'Cash Flow'!O63)=2,'Cash Flow'!P63-'Cash Flow'!O63,"")</f>
        <v>-1511</v>
      </c>
      <c r="Q121" s="54" t="n">
        <f>IF(COUNT('Cash Flow'!Q63,'Cash Flow'!P63)=2,'Cash Flow'!Q63-'Cash Flow'!P63,"")</f>
        <v>-2507</v>
      </c>
      <c r="R121" s="54" t="n">
        <f>IF(COUNT('Cash Flow'!R63)=1,'Cash Flow'!R63,"")</f>
        <v>-1232</v>
      </c>
      <c r="S121" s="54" t="n">
        <f>IF(COUNT('Cash Flow'!S63,'Cash Flow'!R63)=2,'Cash Flow'!S63-'Cash Flow'!R63,"")</f>
        <v>-2895</v>
      </c>
      <c r="T121" s="54" t="n">
        <f>IF(COUNT('Cash Flow'!T63,'Cash Flow'!S63)=2,'Cash Flow'!T63-'Cash Flow'!S63,"")</f>
        <v>-1110</v>
      </c>
      <c r="U121" s="54" t="n">
        <f>IF(COUNT('Cash Flow'!U63,'Cash Flow'!T63)=2,'Cash Flow'!U63-'Cash Flow'!T63,"")</f>
        <v>-1642</v>
      </c>
      <c r="V121" s="54" t="n">
        <f>IF(COUNT('Cash Flow'!V63)=1,'Cash Flow'!V63,"")</f>
        <v>-477</v>
      </c>
      <c r="W121" s="54" t="n">
        <f>IF(COUNT('Cash Flow'!W63,'Cash Flow'!V63)=2,'Cash Flow'!W63-'Cash Flow'!V63,"")</f>
        <v>-915</v>
      </c>
      <c r="X121" s="54" t="n">
        <f>IF(COUNT('Cash Flow'!X63,'Cash Flow'!W63)=2,'Cash Flow'!X63-'Cash Flow'!W63,"")</f>
        <v>-955</v>
      </c>
    </row>
    <row r="122" ht="22" customHeight="1">
      <c r="A122" s="4" t="str">
        <v>Proceeds from issuances of long-term debt</v>
      </c>
      <c r="B122" s="2"/>
      <c r="C122" s="44"/>
      <c r="D122" s="44"/>
      <c r="E122" s="44"/>
      <c r="F122" s="44"/>
      <c r="G122" s="44"/>
      <c r="H122" s="44"/>
      <c r="I122" s="44"/>
      <c r="J122" s="44"/>
      <c r="K122" s="44"/>
      <c r="L122" s="44"/>
      <c r="M122" s="45"/>
      <c r="N122" s="43" t="n">
        <f>IF(COUNT('Cash Flow'!N64)=1,'Cash Flow'!N64,"")</f>
        <v>1761</v>
      </c>
      <c r="O122" s="43" t="n">
        <f>IF(COUNT('Cash Flow'!O64,'Cash Flow'!N64)=2,'Cash Flow'!O64-'Cash Flow'!N64,"")</f>
        <v>4</v>
      </c>
      <c r="P122" s="43" t="n">
        <f>IF(COUNT('Cash Flow'!P64,'Cash Flow'!O64)=2,'Cash Flow'!P64-'Cash Flow'!O64,"")</f>
        <v>2249</v>
      </c>
      <c r="Q122" s="43" t="n">
        <f>IF(COUNT('Cash Flow'!Q64,'Cash Flow'!P64)=2,'Cash Flow'!Q64-'Cash Flow'!P64,"")</f>
        <v>28</v>
      </c>
      <c r="R122" s="43" t="n">
        <f>IF(COUNT('Cash Flow'!R64)=1,'Cash Flow'!R64,"")</f>
        <v>3505</v>
      </c>
      <c r="S122" s="43" t="n">
        <f>IF(COUNT('Cash Flow'!S64,'Cash Flow'!R64)=2,'Cash Flow'!S64-'Cash Flow'!R64,"")</f>
        <v>16</v>
      </c>
      <c r="T122" s="43" t="n">
        <f>IF(COUNT('Cash Flow'!T64,'Cash Flow'!S64)=2,'Cash Flow'!T64-'Cash Flow'!S64,"")</f>
        <v>4658</v>
      </c>
      <c r="U122" s="43" t="n">
        <f>IF(COUNT('Cash Flow'!U64,'Cash Flow'!T64)=2,'Cash Flow'!U64-'Cash Flow'!T64,"")</f>
        <v>10</v>
      </c>
      <c r="V122" s="43" t="n">
        <f>IF(COUNT('Cash Flow'!V64)=1,'Cash Flow'!V64,"")</f>
        <v>2964</v>
      </c>
      <c r="W122" s="43" t="n">
        <f>IF(COUNT('Cash Flow'!W64,'Cash Flow'!V64)=2,'Cash Flow'!W64-'Cash Flow'!V64,"")</f>
        <v>10</v>
      </c>
      <c r="X122" s="43" t="n">
        <f>IF(COUNT('Cash Flow'!X64,'Cash Flow'!W64)=2,'Cash Flow'!X64-'Cash Flow'!W64,"")</f>
        <v>4</v>
      </c>
    </row>
    <row r="123" ht="22" customHeight="1">
      <c r="A123" s="4" t="str">
        <v>Payments of long-term debt</v>
      </c>
      <c r="B123" s="2"/>
      <c r="C123" s="44"/>
      <c r="D123" s="44"/>
      <c r="E123" s="44"/>
      <c r="F123" s="44"/>
      <c r="G123" s="44"/>
      <c r="H123" s="44"/>
      <c r="I123" s="44"/>
      <c r="J123" s="44"/>
      <c r="K123" s="44"/>
      <c r="L123" s="44"/>
      <c r="M123" s="45"/>
      <c r="N123" s="43" t="n">
        <f>IF(COUNT('Cash Flow'!N65)=1,'Cash Flow'!N65,"")</f>
        <v>-1252</v>
      </c>
      <c r="O123" s="43" t="n">
        <f>IF(COUNT('Cash Flow'!O65,'Cash Flow'!N65)=2,'Cash Flow'!O65-'Cash Flow'!N65,"")</f>
        <v>-1630</v>
      </c>
      <c r="P123" s="43" t="n">
        <f>IF(COUNT('Cash Flow'!P65,'Cash Flow'!O65)=2,'Cash Flow'!P65-'Cash Flow'!O65,"")</f>
        <v>-1</v>
      </c>
      <c r="Q123" s="43" t="n">
        <f>IF(COUNT('Cash Flow'!Q65,'Cash Flow'!P65)=2,'Cash Flow'!Q65-'Cash Flow'!P65,"")</f>
        <v>-1003</v>
      </c>
      <c r="R123" s="43" t="n">
        <f>IF(COUNT('Cash Flow'!R65)=1,'Cash Flow'!R65,"")</f>
        <v>-1541</v>
      </c>
      <c r="S123" s="43" t="n">
        <f>IF(COUNT('Cash Flow'!S65,'Cash Flow'!R65)=2,'Cash Flow'!S65-'Cash Flow'!R65,"")</f>
        <v>-1002</v>
      </c>
      <c r="T123" s="43" t="n">
        <f>IF(COUNT('Cash Flow'!T65,'Cash Flow'!S65)=2,'Cash Flow'!T65-'Cash Flow'!S65,"")</f>
        <v>-702</v>
      </c>
      <c r="U123" s="43" t="n">
        <f>IF(COUNT('Cash Flow'!U65,'Cash Flow'!T65)=2,'Cash Flow'!U65-'Cash Flow'!T65,"")</f>
        <v>-837</v>
      </c>
      <c r="V123" s="43" t="n">
        <f>IF(COUNT('Cash Flow'!V65)=1,'Cash Flow'!V65,"")</f>
        <v>-1629</v>
      </c>
      <c r="W123" s="43" t="n">
        <f>IF(COUNT('Cash Flow'!W65,'Cash Flow'!V65)=2,'Cash Flow'!W65-'Cash Flow'!V65,"")</f>
        <v>-592</v>
      </c>
      <c r="X123" s="43" t="n">
        <f>IF(COUNT('Cash Flow'!X65,'Cash Flow'!W65)=2,'Cash Flow'!X65-'Cash Flow'!W65,"")</f>
        <v>-107</v>
      </c>
    </row>
    <row r="124" ht="22" customHeight="1">
      <c r="A124" s="4" t="str">
        <v>Short-term borrowings — More than three months - proceeds</v>
      </c>
      <c r="B124" s="2"/>
      <c r="C124" s="44"/>
      <c r="D124" s="44"/>
      <c r="E124" s="44"/>
      <c r="F124" s="44"/>
      <c r="G124" s="44"/>
      <c r="H124" s="44"/>
      <c r="I124" s="44"/>
      <c r="J124" s="44"/>
      <c r="K124" s="44"/>
      <c r="L124" s="44"/>
      <c r="M124" s="45"/>
      <c r="N124" s="43" t="n">
        <f>IF(COUNT('Cash Flow'!N67)=1,'Cash Flow'!N67,"")</f>
        <v>2313</v>
      </c>
      <c r="O124" s="43" t="n">
        <f>IF(COUNT('Cash Flow'!O67,'Cash Flow'!N67)=2,'Cash Flow'!O67-'Cash Flow'!N67,"")</f>
        <v>767</v>
      </c>
      <c r="P124" s="43" t="n">
        <f>IF(COUNT('Cash Flow'!P67,'Cash Flow'!O67)=2,'Cash Flow'!P67-'Cash Flow'!O67,"")</f>
        <v>728</v>
      </c>
      <c r="Q124" s="43" t="n">
        <f>IF(COUNT('Cash Flow'!Q67,'Cash Flow'!P67)=2,'Cash Flow'!Q67-'Cash Flow'!P67,"")</f>
        <v>1978</v>
      </c>
      <c r="R124" s="43" t="n">
        <f>IF(COUNT('Cash Flow'!R67)=1,'Cash Flow'!R67,"")</f>
        <v>3656</v>
      </c>
      <c r="S124" s="43" t="n">
        <f>IF(COUNT('Cash Flow'!S67,'Cash Flow'!R67)=2,'Cash Flow'!S67-'Cash Flow'!R67,"")</f>
        <v>1595</v>
      </c>
      <c r="T124" s="43" t="n">
        <f>IF(COUNT('Cash Flow'!T67,'Cash Flow'!S67)=2,'Cash Flow'!T67-'Cash Flow'!S67,"")</f>
        <v>277</v>
      </c>
      <c r="U124" s="43" t="n">
        <f>IF(COUNT('Cash Flow'!U67,'Cash Flow'!T67)=2,'Cash Flow'!U67-'Cash Flow'!T67,"")</f>
        <v>863</v>
      </c>
      <c r="V124" s="43" t="n">
        <f>IF(COUNT('Cash Flow'!V67)=1,'Cash Flow'!V67,"")</f>
        <v>1937</v>
      </c>
      <c r="W124" s="43" t="n">
        <f>IF(COUNT('Cash Flow'!W67,'Cash Flow'!V67)=2,'Cash Flow'!W67-'Cash Flow'!V67,"")</f>
        <v>2050</v>
      </c>
      <c r="X124" s="43" t="n">
        <f>IF(COUNT('Cash Flow'!X67,'Cash Flow'!W67)=2,'Cash Flow'!X67-'Cash Flow'!W67,"")</f>
        <v>575</v>
      </c>
    </row>
    <row r="125" ht="22" customHeight="1">
      <c r="A125" s="4" t="str">
        <v>Short-term borrowings — More than three months - payments</v>
      </c>
      <c r="B125" s="2"/>
      <c r="C125" s="44"/>
      <c r="D125" s="44"/>
      <c r="E125" s="44"/>
      <c r="F125" s="44"/>
      <c r="G125" s="44"/>
      <c r="H125" s="44"/>
      <c r="I125" s="44"/>
      <c r="J125" s="44"/>
      <c r="K125" s="44"/>
      <c r="L125" s="44"/>
      <c r="M125" s="45"/>
      <c r="N125" s="43" t="n">
        <f>IF(COUNT('Cash Flow'!N68)=1,'Cash Flow'!N68,"")</f>
        <v>-1631</v>
      </c>
      <c r="O125" s="43" t="n">
        <f>IF(COUNT('Cash Flow'!O68,'Cash Flow'!N68)=2,'Cash Flow'!O68-'Cash Flow'!N68,"")</f>
        <v>-507</v>
      </c>
      <c r="P125" s="43" t="n">
        <f>IF(COUNT('Cash Flow'!P68,'Cash Flow'!O68)=2,'Cash Flow'!P68-'Cash Flow'!O68,"")</f>
        <v>-2039</v>
      </c>
      <c r="Q125" s="43" t="n">
        <f>IF(COUNT('Cash Flow'!Q68,'Cash Flow'!P68)=2,'Cash Flow'!Q68-'Cash Flow'!P68,"")</f>
        <v>-1462</v>
      </c>
      <c r="R125" s="43" t="n">
        <f>IF(COUNT('Cash Flow'!R68)=1,'Cash Flow'!R68,"")</f>
        <v>-2119</v>
      </c>
      <c r="S125" s="43" t="n">
        <f>IF(COUNT('Cash Flow'!S68,'Cash Flow'!R68)=2,'Cash Flow'!S68-'Cash Flow'!R68,"")</f>
        <v>-373</v>
      </c>
      <c r="T125" s="43" t="n">
        <f>IF(COUNT('Cash Flow'!T68,'Cash Flow'!S68)=2,'Cash Flow'!T68-'Cash Flow'!S68,"")</f>
        <v>-2925</v>
      </c>
      <c r="U125" s="43" t="n">
        <f>IF(COUNT('Cash Flow'!U68,'Cash Flow'!T68)=2,'Cash Flow'!U68-'Cash Flow'!T68,"")</f>
        <v>-2503</v>
      </c>
      <c r="V125" s="43" t="n">
        <f>IF(COUNT('Cash Flow'!V68)=1,'Cash Flow'!V68,"")</f>
        <v>-676</v>
      </c>
      <c r="W125" s="43" t="n">
        <f>IF(COUNT('Cash Flow'!W68,'Cash Flow'!V68)=2,'Cash Flow'!W68-'Cash Flow'!V68,"")</f>
        <v>-1074</v>
      </c>
      <c r="X125" s="43" t="n">
        <f>IF(COUNT('Cash Flow'!X68,'Cash Flow'!W68)=2,'Cash Flow'!X68-'Cash Flow'!W68,"")</f>
        <v>-2067</v>
      </c>
    </row>
    <row r="126" ht="22" customHeight="1">
      <c r="A126" s="4" t="str">
        <v>Short-term borrowings — Three months or less, net</v>
      </c>
      <c r="B126" s="2"/>
      <c r="C126" s="44"/>
      <c r="D126" s="44"/>
      <c r="E126" s="44"/>
      <c r="F126" s="44"/>
      <c r="G126" s="44"/>
      <c r="H126" s="44"/>
      <c r="I126" s="44"/>
      <c r="J126" s="44"/>
      <c r="K126" s="44"/>
      <c r="L126" s="44"/>
      <c r="M126" s="45"/>
      <c r="N126" s="43" t="n">
        <f>IF(COUNT('Cash Flow'!N69)=1,'Cash Flow'!N69,"")</f>
        <v>774</v>
      </c>
      <c r="O126" s="43" t="n">
        <f>IF(COUNT('Cash Flow'!O69,'Cash Flow'!N69)=2,'Cash Flow'!O69-'Cash Flow'!N69,"")</f>
        <v>512</v>
      </c>
      <c r="P126" s="43" t="n">
        <f>IF(COUNT('Cash Flow'!P69,'Cash Flow'!O69)=2,'Cash Flow'!P69-'Cash Flow'!O69,"")</f>
        <v>-1185</v>
      </c>
      <c r="Q126" s="43" t="n">
        <f>IF(COUNT('Cash Flow'!Q69,'Cash Flow'!P69)=2,'Cash Flow'!Q69-'Cash Flow'!P69,"")</f>
        <v>291</v>
      </c>
      <c r="R126" s="43" t="n">
        <f>IF(COUNT('Cash Flow'!R69)=1,'Cash Flow'!R69,"")</f>
        <v>373</v>
      </c>
      <c r="S126" s="43" t="n">
        <f>IF(COUNT('Cash Flow'!S69,'Cash Flow'!R69)=2,'Cash Flow'!S69-'Cash Flow'!R69,"")</f>
        <v>2065</v>
      </c>
      <c r="T126" s="43" t="n">
        <f>IF(COUNT('Cash Flow'!T69,'Cash Flow'!S69)=2,'Cash Flow'!T69-'Cash Flow'!S69,"")</f>
        <v>-1993</v>
      </c>
      <c r="U126" s="43" t="n">
        <f>IF(COUNT('Cash Flow'!U69,'Cash Flow'!T69)=2,'Cash Flow'!U69-'Cash Flow'!T69,"")</f>
        <v>725</v>
      </c>
      <c r="V126" s="43" t="n">
        <f>IF(COUNT('Cash Flow'!V69)=1,'Cash Flow'!V69,"")</f>
        <v>1198</v>
      </c>
      <c r="W126" s="43" t="n">
        <f>IF(COUNT('Cash Flow'!W69,'Cash Flow'!V69)=2,'Cash Flow'!W69-'Cash Flow'!V69,"")</f>
        <v>73</v>
      </c>
      <c r="X126" s="43" t="n">
        <f>IF(COUNT('Cash Flow'!X69,'Cash Flow'!W69)=2,'Cash Flow'!X69-'Cash Flow'!W69,"")</f>
        <v>94</v>
      </c>
    </row>
    <row r="127" ht="24" customHeight="1">
      <c r="A127" s="39" t="str">
        <v>Financing Activities</v>
      </c>
      <c r="B127" s="40"/>
      <c r="C127" s="41"/>
      <c r="D127" s="41"/>
      <c r="E127" s="41"/>
      <c r="F127" s="41"/>
      <c r="G127" s="41"/>
      <c r="H127" s="41"/>
      <c r="I127" s="41"/>
      <c r="J127" s="41"/>
      <c r="K127" s="41"/>
      <c r="L127" s="41"/>
      <c r="M127" s="42"/>
      <c r="N127" s="41"/>
      <c r="O127" s="41"/>
      <c r="P127" s="41"/>
      <c r="Q127" s="41"/>
      <c r="R127" s="41"/>
      <c r="S127" s="41"/>
      <c r="T127" s="41"/>
      <c r="U127" s="41"/>
      <c r="V127" s="41"/>
      <c r="W127" s="41"/>
      <c r="X127" s="41"/>
    </row>
    <row r="128" ht="22" customHeight="1">
      <c r="A128" s="4" t="str">
        <v>Cash dividends paid</v>
      </c>
      <c r="B128" s="2"/>
      <c r="C128" s="44"/>
      <c r="D128" s="44"/>
      <c r="E128" s="44"/>
      <c r="F128" s="44"/>
      <c r="G128" s="44"/>
      <c r="H128" s="44"/>
      <c r="I128" s="44"/>
      <c r="J128" s="44"/>
      <c r="K128" s="44"/>
      <c r="L128" s="44"/>
      <c r="M128" s="45"/>
      <c r="N128" s="43" t="n">
        <f>IF(COUNT('Cash Flow'!N71)=1,'Cash Flow'!N71,"")</f>
        <v>-1767</v>
      </c>
      <c r="O128" s="43" t="n">
        <f>IF(COUNT('Cash Flow'!O71,'Cash Flow'!N71)=2,'Cash Flow'!O71-'Cash Flow'!N71,"")</f>
        <v>-1739</v>
      </c>
      <c r="P128" s="43" t="n">
        <f>IF(COUNT('Cash Flow'!P71,'Cash Flow'!O71)=2,'Cash Flow'!P71-'Cash Flow'!O71,"")</f>
        <v>-1863</v>
      </c>
      <c r="Q128" s="43" t="n">
        <f>IF(COUNT('Cash Flow'!Q71,'Cash Flow'!P71)=2,'Cash Flow'!Q71-'Cash Flow'!P71,"")</f>
        <v>-1860</v>
      </c>
      <c r="R128" s="43" t="n">
        <f>IF(COUNT('Cash Flow'!R71)=1,'Cash Flow'!R71,"")</f>
        <v>-1882</v>
      </c>
      <c r="S128" s="43" t="n">
        <f>IF(COUNT('Cash Flow'!S71,'Cash Flow'!R71)=2,'Cash Flow'!S71-'Cash Flow'!R71,"")</f>
        <v>-1861</v>
      </c>
      <c r="T128" s="43" t="n">
        <f>IF(COUNT('Cash Flow'!T71,'Cash Flow'!S71)=2,'Cash Flow'!T71-'Cash Flow'!S71,"")</f>
        <v>-1949</v>
      </c>
      <c r="U128" s="43" t="n">
        <f>IF(COUNT('Cash Flow'!U71,'Cash Flow'!T71)=2,'Cash Flow'!U71-'Cash Flow'!T71,"")</f>
        <v>-1946</v>
      </c>
      <c r="V128" s="43" t="n">
        <f>IF(COUNT('Cash Flow'!V71)=1,'Cash Flow'!V71,"")</f>
        <v>-1966</v>
      </c>
      <c r="W128" s="43" t="n">
        <f>IF(COUNT('Cash Flow'!W71,'Cash Flow'!V71)=2,'Cash Flow'!W71-'Cash Flow'!V71,"")</f>
        <v>-1948</v>
      </c>
      <c r="X128" s="43" t="n">
        <f>IF(COUNT('Cash Flow'!X71,'Cash Flow'!W71)=2,'Cash Flow'!X71-'Cash Flow'!W71,"")</f>
        <v>-2021</v>
      </c>
    </row>
    <row r="129" ht="22" customHeight="1">
      <c r="A129" s="4" t="str">
        <v>Share repurchases - common</v>
      </c>
      <c r="B129" s="2"/>
      <c r="C129" s="44"/>
      <c r="D129" s="44"/>
      <c r="E129" s="44"/>
      <c r="F129" s="44"/>
      <c r="G129" s="44"/>
      <c r="H129" s="44"/>
      <c r="I129" s="44"/>
      <c r="J129" s="44"/>
      <c r="K129" s="44"/>
      <c r="L129" s="44"/>
      <c r="M129" s="45"/>
      <c r="N129" s="43" t="n">
        <f>IF(COUNT('Cash Flow'!N72)=1,'Cash Flow'!N72,"")</f>
        <v>-146</v>
      </c>
      <c r="O129" s="43" t="n">
        <f>IF(COUNT('Cash Flow'!O72,'Cash Flow'!N72)=2,'Cash Flow'!O72-'Cash Flow'!N72,"")</f>
        <v>-315</v>
      </c>
      <c r="P129" s="43" t="n">
        <f>IF(COUNT('Cash Flow'!P72,'Cash Flow'!O72)=2,'Cash Flow'!P72-'Cash Flow'!O72,"")</f>
        <v>-299</v>
      </c>
      <c r="Q129" s="43" t="n">
        <f>IF(COUNT('Cash Flow'!Q72,'Cash Flow'!P72)=2,'Cash Flow'!Q72-'Cash Flow'!P72,"")</f>
        <v>-240</v>
      </c>
      <c r="R129" s="43" t="n">
        <f>IF(COUNT('Cash Flow'!R72)=1,'Cash Flow'!R72,"")</f>
        <v>-183</v>
      </c>
      <c r="S129" s="43" t="n">
        <f>IF(COUNT('Cash Flow'!S72,'Cash Flow'!R72)=2,'Cash Flow'!S72-'Cash Flow'!R72,"")</f>
        <v>-311</v>
      </c>
      <c r="T129" s="43" t="n">
        <f>IF(COUNT('Cash Flow'!T72,'Cash Flow'!S72)=2,'Cash Flow'!T72-'Cash Flow'!S72,"")</f>
        <v>-258</v>
      </c>
      <c r="U129" s="43" t="n">
        <f>IF(COUNT('Cash Flow'!U72,'Cash Flow'!T72)=2,'Cash Flow'!U72-'Cash Flow'!T72,"")</f>
        <v>-248</v>
      </c>
      <c r="V129" s="43" t="n">
        <f>IF(COUNT('Cash Flow'!V72)=1,'Cash Flow'!V72,"")</f>
        <v>-182</v>
      </c>
      <c r="W129" s="43" t="n">
        <f>IF(COUNT('Cash Flow'!W72,'Cash Flow'!V72)=2,'Cash Flow'!W72-'Cash Flow'!V72,"")</f>
        <v>-297</v>
      </c>
      <c r="X129" s="43" t="n">
        <f>IF(COUNT('Cash Flow'!X72,'Cash Flow'!W72)=2,'Cash Flow'!X72-'Cash Flow'!W72,"")</f>
        <v>-260</v>
      </c>
    </row>
    <row r="130" ht="22" customHeight="1">
      <c r="A130" s="4" t="str">
        <v>Proceeds from exercises of stock options</v>
      </c>
      <c r="B130" s="2"/>
      <c r="C130" s="44"/>
      <c r="D130" s="44"/>
      <c r="E130" s="44"/>
      <c r="F130" s="44"/>
      <c r="G130" s="44"/>
      <c r="H130" s="44"/>
      <c r="I130" s="44"/>
      <c r="J130" s="44"/>
      <c r="K130" s="44"/>
      <c r="L130" s="44"/>
      <c r="M130" s="45"/>
      <c r="N130" s="43" t="n">
        <f>IF(COUNT('Cash Flow'!N74)=1,'Cash Flow'!N74,"")</f>
        <v>66</v>
      </c>
      <c r="O130" s="43" t="n">
        <f>IF(COUNT('Cash Flow'!O74,'Cash Flow'!N74)=2,'Cash Flow'!O74-'Cash Flow'!N74,"")</f>
        <v>41</v>
      </c>
      <c r="P130" s="43" t="n">
        <f>IF(COUNT('Cash Flow'!P74,'Cash Flow'!O74)=2,'Cash Flow'!P74-'Cash Flow'!O74,"")</f>
        <v>31</v>
      </c>
      <c r="Q130" s="43" t="n">
        <f>IF(COUNT('Cash Flow'!Q74,'Cash Flow'!P74)=2,'Cash Flow'!Q74-'Cash Flow'!P74,"")</f>
        <v>28</v>
      </c>
      <c r="R130" s="43" t="n">
        <f>IF(COUNT('Cash Flow'!R74)=1,'Cash Flow'!R74,"")</f>
        <v>50</v>
      </c>
      <c r="S130" s="43" t="n">
        <f>IF(COUNT('Cash Flow'!S74,'Cash Flow'!R74)=2,'Cash Flow'!S74-'Cash Flow'!R74,"")</f>
        <v>8</v>
      </c>
      <c r="T130" s="43" t="n">
        <f>IF(COUNT('Cash Flow'!T74,'Cash Flow'!S74)=2,'Cash Flow'!T74-'Cash Flow'!S74,"")</f>
        <v>18</v>
      </c>
      <c r="U130" s="43" t="n">
        <f>IF(COUNT('Cash Flow'!U74,'Cash Flow'!T74)=2,'Cash Flow'!U74-'Cash Flow'!T74,"")</f>
        <v>21</v>
      </c>
      <c r="V130" s="43" t="n">
        <f>IF(COUNT('Cash Flow'!V74)=1,'Cash Flow'!V74,"")</f>
        <v>93</v>
      </c>
      <c r="W130" s="43" t="n">
        <f>IF(COUNT('Cash Flow'!W74,'Cash Flow'!V74)=2,'Cash Flow'!W74-'Cash Flow'!V74,"")</f>
        <v>6</v>
      </c>
      <c r="X130" s="43" t="n">
        <f>IF(COUNT('Cash Flow'!X74,'Cash Flow'!W74)=2,'Cash Flow'!X74-'Cash Flow'!W74,"")</f>
        <v>8</v>
      </c>
    </row>
    <row r="131" ht="22" customHeight="1">
      <c r="A131" s="4" t="str">
        <v>Other financing</v>
      </c>
      <c r="B131" s="2"/>
      <c r="C131" s="44"/>
      <c r="D131" s="44"/>
      <c r="E131" s="44"/>
      <c r="F131" s="44"/>
      <c r="G131" s="44"/>
      <c r="H131" s="44"/>
      <c r="I131" s="44"/>
      <c r="J131" s="44"/>
      <c r="K131" s="44"/>
      <c r="L131" s="44"/>
      <c r="M131" s="45"/>
      <c r="N131" s="43" t="n">
        <f>IF(COUNT('Cash Flow'!N76)=1,'Cash Flow'!N76,"")</f>
        <v>0</v>
      </c>
      <c r="O131" s="43" t="n">
        <f>IF(COUNT('Cash Flow'!O76,'Cash Flow'!N76)=2,'Cash Flow'!O76-'Cash Flow'!N76,"")</f>
        <v>-20</v>
      </c>
      <c r="P131" s="43" t="n">
        <f>IF(COUNT('Cash Flow'!P76,'Cash Flow'!O76)=2,'Cash Flow'!P76-'Cash Flow'!O76,"")</f>
        <v>-2</v>
      </c>
      <c r="Q131" s="43" t="n">
        <f>IF(COUNT('Cash Flow'!Q76,'Cash Flow'!P76)=2,'Cash Flow'!Q76-'Cash Flow'!P76,"")</f>
        <v>-31</v>
      </c>
      <c r="R131" s="43" t="n">
        <f>IF(COUNT('Cash Flow'!R76)=1,'Cash Flow'!R76,"")</f>
        <v>-2</v>
      </c>
      <c r="S131" s="43" t="n">
        <f>IF(COUNT('Cash Flow'!S76,'Cash Flow'!R76)=2,'Cash Flow'!S76-'Cash Flow'!R76,"")</f>
        <v>-15</v>
      </c>
      <c r="T131" s="43" t="n">
        <f>IF(COUNT('Cash Flow'!T76,'Cash Flow'!S76)=2,'Cash Flow'!T76-'Cash Flow'!S76,"")</f>
        <v>-1</v>
      </c>
      <c r="U131" s="43" t="n">
        <f>IF(COUNT('Cash Flow'!U76,'Cash Flow'!T76)=2,'Cash Flow'!U76-'Cash Flow'!T76,"")</f>
        <v>-55</v>
      </c>
      <c r="V131" s="43" t="n">
        <f>IF(COUNT('Cash Flow'!V76)=1,'Cash Flow'!V76,"")</f>
        <v>-1</v>
      </c>
      <c r="W131" s="43" t="n">
        <f>IF(COUNT('Cash Flow'!W76,'Cash Flow'!V76)=2,'Cash Flow'!W76-'Cash Flow'!V76,"")</f>
        <v>-1</v>
      </c>
      <c r="X131" s="43" t="n">
        <f>IF(COUNT('Cash Flow'!X76,'Cash Flow'!W76)=2,'Cash Flow'!X76-'Cash Flow'!W76,"")</f>
        <v>1</v>
      </c>
    </row>
    <row r="132" ht="24" customHeight="1">
      <c r="A132" s="51" t="str">
        <v>Net Cash Provided by/(Used for) Financing Activities</v>
      </c>
      <c r="B132" s="52"/>
      <c r="C132" s="53"/>
      <c r="D132" s="53"/>
      <c r="E132" s="53"/>
      <c r="F132" s="53"/>
      <c r="G132" s="53"/>
      <c r="H132" s="53"/>
      <c r="I132" s="53"/>
      <c r="J132" s="53"/>
      <c r="K132" s="53"/>
      <c r="L132" s="53"/>
      <c r="M132" s="55"/>
      <c r="N132" s="54" t="n">
        <f>IF(COUNT('Cash Flow'!N84)=1,'Cash Flow'!N84,"")</f>
        <v>10</v>
      </c>
      <c r="O132" s="54" t="n">
        <f>IF(COUNT('Cash Flow'!O84,'Cash Flow'!N84)=2,'Cash Flow'!O84-'Cash Flow'!N84,"")</f>
        <v>-2910</v>
      </c>
      <c r="P132" s="54" t="n">
        <f>IF(COUNT('Cash Flow'!P84,'Cash Flow'!O84)=2,'Cash Flow'!P84-'Cash Flow'!O84,"")</f>
        <v>-2382</v>
      </c>
      <c r="Q132" s="54" t="n">
        <f>IF(COUNT('Cash Flow'!Q84,'Cash Flow'!P84)=2,'Cash Flow'!Q84-'Cash Flow'!P84,"")</f>
        <v>-2274</v>
      </c>
      <c r="R132" s="54" t="n">
        <f>IF(COUNT('Cash Flow'!R84)=1,'Cash Flow'!R84,"")</f>
        <v>1768</v>
      </c>
      <c r="S132" s="54" t="n">
        <f>IF(COUNT('Cash Flow'!S84,'Cash Flow'!R84)=2,'Cash Flow'!S84-'Cash Flow'!R84,"")</f>
        <v>100</v>
      </c>
      <c r="T132" s="54" t="n">
        <f>IF(COUNT('Cash Flow'!T84,'Cash Flow'!S84)=2,'Cash Flow'!T84-'Cash Flow'!S84,"")</f>
        <v>-2876</v>
      </c>
      <c r="U132" s="54" t="n">
        <f>IF(COUNT('Cash Flow'!U84,'Cash Flow'!T84)=2,'Cash Flow'!U84-'Cash Flow'!T84,"")</f>
        <v>-3971</v>
      </c>
      <c r="V132" s="54" t="n">
        <f>IF(COUNT('Cash Flow'!V84)=1,'Cash Flow'!V84,"")</f>
        <v>1662</v>
      </c>
      <c r="W132" s="54" t="n">
        <f>IF(COUNT('Cash Flow'!W84,'Cash Flow'!V84)=2,'Cash Flow'!W84-'Cash Flow'!V84,"")</f>
        <v>-1792</v>
      </c>
      <c r="X132" s="54" t="n">
        <f>IF(COUNT('Cash Flow'!X84,'Cash Flow'!W84)=2,'Cash Flow'!X84-'Cash Flow'!W84,"")</f>
        <v>-3774</v>
      </c>
    </row>
    <row r="133" ht="24" customHeight="1">
      <c r="A133" s="39" t="str">
        <v>Cash, cash equivalents and restricted cash reconciliation</v>
      </c>
      <c r="B133" s="40"/>
      <c r="C133" s="41"/>
      <c r="D133" s="41"/>
      <c r="E133" s="41"/>
      <c r="F133" s="41"/>
      <c r="G133" s="41"/>
      <c r="H133" s="41"/>
      <c r="I133" s="41"/>
      <c r="J133" s="41"/>
      <c r="K133" s="41"/>
      <c r="L133" s="41"/>
      <c r="M133" s="42"/>
      <c r="N133" s="41"/>
      <c r="O133" s="41"/>
      <c r="P133" s="41"/>
      <c r="Q133" s="41"/>
      <c r="R133" s="41"/>
      <c r="S133" s="41"/>
      <c r="T133" s="41"/>
      <c r="U133" s="41"/>
      <c r="V133" s="41"/>
      <c r="W133" s="41"/>
      <c r="X133" s="41"/>
    </row>
    <row r="134" ht="36" customHeight="1">
      <c r="A134" s="4" t="str">
        <v>Effect of exchange rate changes on cash, cash equivalents and restricted cash</v>
      </c>
      <c r="B134" s="2"/>
      <c r="C134" s="44"/>
      <c r="D134" s="44"/>
      <c r="E134" s="44"/>
      <c r="F134" s="44"/>
      <c r="G134" s="44"/>
      <c r="H134" s="44"/>
      <c r="I134" s="44"/>
      <c r="J134" s="44"/>
      <c r="K134" s="44"/>
      <c r="L134" s="44"/>
      <c r="M134" s="45"/>
      <c r="N134" s="43" t="n">
        <f>IF(COUNT('Cash Flow'!N86)=1,'Cash Flow'!N86,"")</f>
        <v>-38</v>
      </c>
      <c r="O134" s="43" t="n">
        <f>IF(COUNT('Cash Flow'!O86,'Cash Flow'!N86)=2,'Cash Flow'!O86-'Cash Flow'!N86,"")</f>
        <v>-266</v>
      </c>
      <c r="P134" s="43" t="n">
        <f>IF(COUNT('Cash Flow'!P86,'Cash Flow'!O86)=2,'Cash Flow'!P86-'Cash Flow'!O86,"")</f>
        <v>-87</v>
      </c>
      <c r="Q134" s="43" t="n">
        <f>IF(COUNT('Cash Flow'!Q86,'Cash Flow'!P86)=2,'Cash Flow'!Q86-'Cash Flow'!P86,"")</f>
        <v>-296</v>
      </c>
      <c r="R134" s="43" t="n">
        <f>IF(COUNT('Cash Flow'!R86)=1,'Cash Flow'!R86,"")</f>
        <v>203</v>
      </c>
      <c r="S134" s="43" t="n">
        <f>IF(COUNT('Cash Flow'!S86,'Cash Flow'!R86)=2,'Cash Flow'!S86-'Cash Flow'!R86,"")</f>
        <v>219</v>
      </c>
      <c r="T134" s="43" t="n">
        <f>IF(COUNT('Cash Flow'!T86,'Cash Flow'!S86)=2,'Cash Flow'!T86-'Cash Flow'!S86,"")</f>
        <v>-27</v>
      </c>
      <c r="U134" s="43" t="n">
        <f>IF(COUNT('Cash Flow'!U86,'Cash Flow'!T86)=2,'Cash Flow'!U86-'Cash Flow'!T86,"")</f>
        <v>27</v>
      </c>
      <c r="V134" s="43" t="n">
        <f>IF(COUNT('Cash Flow'!V86)=1,'Cash Flow'!V86,"")</f>
        <v>121</v>
      </c>
      <c r="W134" s="43" t="n">
        <f>IF(COUNT('Cash Flow'!W86,'Cash Flow'!V86)=2,'Cash Flow'!W86-'Cash Flow'!V86,"")</f>
        <v>135</v>
      </c>
      <c r="X134" s="43" t="n">
        <f>IF(COUNT('Cash Flow'!X86,'Cash Flow'!W86)=2,'Cash Flow'!X86-'Cash Flow'!W86,"")</f>
        <v>-431</v>
      </c>
    </row>
    <row r="135" ht="24" customHeight="1">
      <c r="A135" s="51" t="str">
        <v>Net change in cash, cash equivalents and restricted cash</v>
      </c>
      <c r="B135" s="52"/>
      <c r="C135" s="53"/>
      <c r="D135" s="53"/>
      <c r="E135" s="53"/>
      <c r="F135" s="53"/>
      <c r="G135" s="53"/>
      <c r="H135" s="53"/>
      <c r="I135" s="53"/>
      <c r="J135" s="53"/>
      <c r="K135" s="53"/>
      <c r="L135" s="53"/>
      <c r="M135" s="55"/>
      <c r="N135" s="54" t="n">
        <f>IF(COUNT('Cash Flow'!N87)=1,'Cash Flow'!N87,"")</f>
        <v>-1631</v>
      </c>
      <c r="O135" s="54" t="n">
        <f>IF(COUNT('Cash Flow'!O87,'Cash Flow'!N87)=2,'Cash Flow'!O87-'Cash Flow'!N87,"")</f>
        <v>-1712</v>
      </c>
      <c r="P135" s="54" t="n">
        <f>IF(COUNT('Cash Flow'!P87,'Cash Flow'!O87)=2,'Cash Flow'!P87-'Cash Flow'!O87,"")</f>
        <v>925</v>
      </c>
      <c r="Q135" s="54" t="n">
        <f>IF(COUNT('Cash Flow'!Q87,'Cash Flow'!P87)=2,'Cash Flow'!Q87-'Cash Flow'!P87,"")</f>
        <v>1210</v>
      </c>
      <c r="R135" s="54" t="n">
        <f>IF(COUNT('Cash Flow'!R87)=1,'Cash Flow'!R87,"")</f>
        <v>-234</v>
      </c>
      <c r="S135" s="54" t="n">
        <f>IF(COUNT('Cash Flow'!S87,'Cash Flow'!R87)=2,'Cash Flow'!S87-'Cash Flow'!R87,"")</f>
        <v>-607</v>
      </c>
      <c r="T135" s="54" t="n">
        <f>IF(COUNT('Cash Flow'!T87,'Cash Flow'!S87)=2,'Cash Flow'!T87-'Cash Flow'!S87,"")</f>
        <v>459</v>
      </c>
      <c r="U135" s="54" t="n">
        <f>IF(COUNT('Cash Flow'!U87,'Cash Flow'!T87)=2,'Cash Flow'!U87-'Cash Flow'!T87,"")</f>
        <v>1033</v>
      </c>
      <c r="V135" s="54" t="n">
        <f>IF(COUNT('Cash Flow'!V87)=1,'Cash Flow'!V87,"")</f>
        <v>1347</v>
      </c>
      <c r="W135" s="54" t="n">
        <f>IF(COUNT('Cash Flow'!W87,'Cash Flow'!V87)=2,'Cash Flow'!W87-'Cash Flow'!V87,"")</f>
        <v>-248</v>
      </c>
      <c r="X135" s="54" t="n">
        <f>IF(COUNT('Cash Flow'!X87,'Cash Flow'!W87)=2,'Cash Flow'!X87-'Cash Flow'!W87,"")</f>
        <v>425</v>
      </c>
    </row>
    <row r="136" ht="36" customHeight="1">
      <c r="A136" s="4" t="str">
        <v>Cash, cash equivalents and restricted cash, beginning of period</v>
      </c>
      <c r="B136" s="2"/>
      <c r="C136" s="44"/>
      <c r="D136" s="44"/>
      <c r="E136" s="44"/>
      <c r="F136" s="44"/>
      <c r="G136" s="44"/>
      <c r="H136" s="44"/>
      <c r="I136" s="44"/>
      <c r="J136" s="44"/>
      <c r="K136" s="44"/>
      <c r="L136" s="44"/>
      <c r="M136" s="45"/>
      <c r="N136" s="43" t="n">
        <f>IF(COUNT('Cash Flow'!N88)=1,'Cash Flow'!N88,"")</f>
        <v>9761</v>
      </c>
      <c r="O136" s="43" t="n">
        <f>IF(COUNT('Cash Flow'!N89)=1,'Cash Flow'!N89,"")</f>
        <v>8130</v>
      </c>
      <c r="P136" s="43" t="n">
        <f>IF(COUNT('Cash Flow'!O89)=1,'Cash Flow'!O89,"")</f>
        <v>6418</v>
      </c>
      <c r="Q136" s="43" t="n">
        <f>IF(COUNT('Cash Flow'!P89)=1,'Cash Flow'!P89,"")</f>
        <v>7343</v>
      </c>
      <c r="R136" s="43" t="n">
        <f>IF(COUNT('Cash Flow'!R88)=1,'Cash Flow'!R88,"")</f>
        <v>8553</v>
      </c>
      <c r="S136" s="43" t="n">
        <f>IF(COUNT('Cash Flow'!R89)=1,'Cash Flow'!R89,"")</f>
        <v>8319</v>
      </c>
      <c r="T136" s="43" t="n">
        <f>IF(COUNT('Cash Flow'!S89)=1,'Cash Flow'!S89,"")</f>
        <v>7712</v>
      </c>
      <c r="U136" s="43" t="n">
        <f>IF(COUNT('Cash Flow'!T89)=1,'Cash Flow'!T89,"")</f>
        <v>8171</v>
      </c>
      <c r="V136" s="43" t="n">
        <f>IF(COUNT('Cash Flow'!V88)=1,'Cash Flow'!V88,"")</f>
        <v>9204</v>
      </c>
      <c r="W136" s="43" t="n">
        <f>IF(COUNT('Cash Flow'!V89)=1,'Cash Flow'!V89,"")</f>
        <v>10551</v>
      </c>
      <c r="X136" s="43" t="n">
        <f>IF(COUNT('Cash Flow'!W89)=1,'Cash Flow'!W89,"")</f>
        <v>10303</v>
      </c>
    </row>
    <row r="137" ht="24" customHeight="1">
      <c r="A137" s="51" t="str">
        <v>Cash, cash equivalents and restricted cash, end of period</v>
      </c>
      <c r="B137" s="52"/>
      <c r="C137" s="53"/>
      <c r="D137" s="53"/>
      <c r="E137" s="53"/>
      <c r="F137" s="53"/>
      <c r="G137" s="53"/>
      <c r="H137" s="53"/>
      <c r="I137" s="53"/>
      <c r="J137" s="53"/>
      <c r="K137" s="53"/>
      <c r="L137" s="53"/>
      <c r="M137" s="55"/>
      <c r="N137" s="54" t="n">
        <f>IF(COUNT('Cash Flow'!N89)=1,'Cash Flow'!N89,"")</f>
        <v>8130</v>
      </c>
      <c r="O137" s="54" t="n">
        <f>IF(COUNT('Cash Flow'!O89)=1,'Cash Flow'!O89,"")</f>
        <v>6418</v>
      </c>
      <c r="P137" s="54" t="n">
        <f>IF(COUNT('Cash Flow'!P89)=1,'Cash Flow'!P89,"")</f>
        <v>7343</v>
      </c>
      <c r="Q137" s="54" t="n">
        <f>IF(COUNT('Cash Flow'!Q89)=1,'Cash Flow'!Q89,"")</f>
        <v>8553</v>
      </c>
      <c r="R137" s="54" t="n">
        <f>IF(COUNT('Cash Flow'!R89)=1,'Cash Flow'!R89,"")</f>
        <v>8319</v>
      </c>
      <c r="S137" s="54" t="n">
        <f>IF(COUNT('Cash Flow'!S89)=1,'Cash Flow'!S89,"")</f>
        <v>7712</v>
      </c>
      <c r="T137" s="54" t="n">
        <f>IF(COUNT('Cash Flow'!T89)=1,'Cash Flow'!T89,"")</f>
        <v>8171</v>
      </c>
      <c r="U137" s="54" t="n">
        <f>IF(COUNT('Cash Flow'!U89)=1,'Cash Flow'!U89,"")</f>
        <v>9204</v>
      </c>
      <c r="V137" s="54" t="n">
        <f>IF(COUNT('Cash Flow'!V89)=1,'Cash Flow'!V89,"")</f>
        <v>10551</v>
      </c>
      <c r="W137" s="54" t="n">
        <f>IF(COUNT('Cash Flow'!W89)=1,'Cash Flow'!W89,"")</f>
        <v>10303</v>
      </c>
      <c r="X137" s="54" t="n">
        <f>IF(COUNT('Cash Flow'!X89)=1,'Cash Flow'!X89,"")</f>
        <v>10728</v>
      </c>
    </row>
    <row r="138" ht="22" customHeight="1">
      <c r="A138" s="4" t="str">
        <v>Operating lease right-of-use asset amortization</v>
      </c>
      <c r="B138" s="2"/>
      <c r="C138" s="44"/>
      <c r="D138" s="44"/>
      <c r="E138" s="44"/>
      <c r="F138" s="44"/>
      <c r="G138" s="44"/>
      <c r="H138" s="44"/>
      <c r="I138" s="44"/>
      <c r="J138" s="44"/>
      <c r="K138" s="44"/>
      <c r="L138" s="44"/>
      <c r="M138" s="45"/>
      <c r="N138" s="43" t="n">
        <f>IF(COUNT('Cash Flow'!N35)=1,'Cash Flow'!N35,"")</f>
        <v>127</v>
      </c>
      <c r="O138" s="43" t="n">
        <f>IF(COUNT('Cash Flow'!O35,'Cash Flow'!N35)=2,'Cash Flow'!O35-'Cash Flow'!N35,"")</f>
        <v>151</v>
      </c>
      <c r="P138" s="43" t="n">
        <f>IF(COUNT('Cash Flow'!P35,'Cash Flow'!O35)=2,'Cash Flow'!P35-'Cash Flow'!O35,"")</f>
        <v>160</v>
      </c>
      <c r="Q138" s="43" t="n">
        <f>IF(COUNT('Cash Flow'!Q35,'Cash Flow'!P35)=2,'Cash Flow'!Q35-'Cash Flow'!P35,"")</f>
        <v>217</v>
      </c>
      <c r="R138" s="43" t="n">
        <f>IF(COUNT('Cash Flow'!R35)=1,'Cash Flow'!R35,"")</f>
        <v>145</v>
      </c>
      <c r="S138" s="43" t="n">
        <f>IF(COUNT('Cash Flow'!S35,'Cash Flow'!R35)=2,'Cash Flow'!S35-'Cash Flow'!R35,"")</f>
        <v>170</v>
      </c>
      <c r="T138" s="43" t="n">
        <f>IF(COUNT('Cash Flow'!T35,'Cash Flow'!S35)=2,'Cash Flow'!T35-'Cash Flow'!S35,"")</f>
        <v>174</v>
      </c>
      <c r="U138" s="43" t="n">
        <f>IF(COUNT('Cash Flow'!U35,'Cash Flow'!T35)=2,'Cash Flow'!U35-'Cash Flow'!T35,"")</f>
        <v>238</v>
      </c>
      <c r="V138" s="43" t="n">
        <f>IF(COUNT('Cash Flow'!V35)=1,'Cash Flow'!V35,"")</f>
        <v>162</v>
      </c>
      <c r="W138" s="43" t="n">
        <f>IF(COUNT('Cash Flow'!W35,'Cash Flow'!V35)=2,'Cash Flow'!W35-'Cash Flow'!V35,"")</f>
        <v>185</v>
      </c>
      <c r="X138" s="43" t="n">
        <f>IF(COUNT('Cash Flow'!X35,'Cash Flow'!W35)=2,'Cash Flow'!X35-'Cash Flow'!W35,"")</f>
        <v>184</v>
      </c>
    </row>
    <row r="139" ht="22" customHeight="1">
      <c r="A139" s="4" t="str">
        <v>Acquisition and divestiture-related charges</v>
      </c>
      <c r="B139" s="2"/>
      <c r="C139" s="44"/>
      <c r="D139" s="44"/>
      <c r="E139" s="44"/>
      <c r="F139" s="44"/>
      <c r="G139" s="44"/>
      <c r="H139" s="44"/>
      <c r="I139" s="44"/>
      <c r="J139" s="44"/>
      <c r="K139" s="44"/>
      <c r="L139" s="44"/>
      <c r="M139" s="45"/>
      <c r="N139" s="43" t="str">
        <f>IF(COUNT('Cash Flow'!N36)=1,'Cash Flow'!N36,"")</f>
      </c>
      <c r="O139" s="43" t="str">
        <f>IF(COUNT('Cash Flow'!O36,'Cash Flow'!N36)=2,'Cash Flow'!O36-'Cash Flow'!N36,"")</f>
      </c>
      <c r="P139" s="43" t="str">
        <f>IF(COUNT('Cash Flow'!P36,'Cash Flow'!O36)=2,'Cash Flow'!P36-'Cash Flow'!O36,"")</f>
      </c>
      <c r="Q139" s="43" t="n">
        <f>IF(COUNT('Cash Flow'!Q36,'Cash Flow'!P36)=2,'Cash Flow'!Q36-'Cash Flow'!P36,"")</f>
        <v>15</v>
      </c>
      <c r="R139" s="43" t="n">
        <f>IF(COUNT('Cash Flow'!R36)=1,'Cash Flow'!R36,"")</f>
        <v>25</v>
      </c>
      <c r="S139" s="43" t="n">
        <f>IF(COUNT('Cash Flow'!S36,'Cash Flow'!R36)=2,'Cash Flow'!S36-'Cash Flow'!R36,"")</f>
        <v>62</v>
      </c>
      <c r="T139" s="43" t="n">
        <f>IF(COUNT('Cash Flow'!T36,'Cash Flow'!S36)=2,'Cash Flow'!T36-'Cash Flow'!S36,"")</f>
        <v>221</v>
      </c>
      <c r="U139" s="43" t="n">
        <f>IF(COUNT('Cash Flow'!U36,'Cash Flow'!T36)=2,'Cash Flow'!U36-'Cash Flow'!T36,"")</f>
        <v>145</v>
      </c>
      <c r="V139" s="43" t="n">
        <f>IF(COUNT('Cash Flow'!V36)=1,'Cash Flow'!V36,"")</f>
        <v>-113</v>
      </c>
      <c r="W139" s="43" t="n">
        <f>IF(COUNT('Cash Flow'!W36,'Cash Flow'!V36)=2,'Cash Flow'!W36-'Cash Flow'!V36,"")</f>
        <v>-45</v>
      </c>
      <c r="X139" s="43" t="n">
        <f>IF(COUNT('Cash Flow'!X36,'Cash Flow'!W36)=2,'Cash Flow'!X36-'Cash Flow'!W36,"")</f>
        <v>-96</v>
      </c>
    </row>
    <row r="140" ht="36" customHeight="1">
      <c r="A140" s="4" t="str">
        <v>Cash payments for acquisition and divestiture-related charges</v>
      </c>
      <c r="B140" s="2"/>
      <c r="C140" s="44"/>
      <c r="D140" s="44"/>
      <c r="E140" s="44"/>
      <c r="F140" s="44"/>
      <c r="G140" s="44"/>
      <c r="H140" s="44"/>
      <c r="I140" s="44"/>
      <c r="J140" s="44"/>
      <c r="K140" s="44"/>
      <c r="L140" s="44"/>
      <c r="M140" s="45"/>
      <c r="N140" s="43" t="str">
        <f>IF(COUNT('Cash Flow'!N37)=1,'Cash Flow'!N37,"")</f>
      </c>
      <c r="O140" s="43" t="str">
        <f>IF(COUNT('Cash Flow'!O37,'Cash Flow'!N37)=2,'Cash Flow'!O37-'Cash Flow'!N37,"")</f>
      </c>
      <c r="P140" s="43" t="str">
        <f>IF(COUNT('Cash Flow'!P37,'Cash Flow'!O37)=2,'Cash Flow'!P37-'Cash Flow'!O37,"")</f>
      </c>
      <c r="Q140" s="43" t="n">
        <f>IF(COUNT('Cash Flow'!Q37,'Cash Flow'!P37)=2,'Cash Flow'!Q37-'Cash Flow'!P37,"")</f>
        <v>-14</v>
      </c>
      <c r="R140" s="43" t="n">
        <f>IF(COUNT('Cash Flow'!R37)=1,'Cash Flow'!R37,"")</f>
        <v>-13</v>
      </c>
      <c r="S140" s="43" t="n">
        <f>IF(COUNT('Cash Flow'!S37,'Cash Flow'!R37)=2,'Cash Flow'!S37-'Cash Flow'!R37,"")</f>
        <v>-45</v>
      </c>
      <c r="T140" s="43" t="n">
        <f>IF(COUNT('Cash Flow'!T37,'Cash Flow'!S37)=2,'Cash Flow'!T37-'Cash Flow'!S37,"")</f>
        <v>-22</v>
      </c>
      <c r="U140" s="43" t="n">
        <f>IF(COUNT('Cash Flow'!U37,'Cash Flow'!T37)=2,'Cash Flow'!U37-'Cash Flow'!T37,"")</f>
        <v>-148</v>
      </c>
      <c r="V140" s="43" t="n">
        <f>IF(COUNT('Cash Flow'!V37)=1,'Cash Flow'!V37,"")</f>
        <v>-14</v>
      </c>
      <c r="W140" s="43" t="n">
        <f>IF(COUNT('Cash Flow'!W37,'Cash Flow'!V37)=2,'Cash Flow'!W37-'Cash Flow'!V37,"")</f>
        <v>0</v>
      </c>
      <c r="X140" s="43" t="n">
        <f>IF(COUNT('Cash Flow'!X37,'Cash Flow'!W37)=2,'Cash Flow'!X37-'Cash Flow'!W37,"")</f>
        <v>-10</v>
      </c>
    </row>
    <row r="141" ht="36" customHeight="1">
      <c r="A141" s="4" t="str">
        <v>Withholding tax payments on restricted stock units (RSUs) and performance stock units (PSUs) converted</v>
      </c>
      <c r="B141" s="2"/>
      <c r="C141" s="44"/>
      <c r="D141" s="44"/>
      <c r="E141" s="44"/>
      <c r="F141" s="44"/>
      <c r="G141" s="44"/>
      <c r="H141" s="44"/>
      <c r="I141" s="44"/>
      <c r="J141" s="44"/>
      <c r="K141" s="44"/>
      <c r="L141" s="44"/>
      <c r="M141" s="45"/>
      <c r="N141" s="43" t="n">
        <f>IF(COUNT('Cash Flow'!N82)=1,'Cash Flow'!N82,"")</f>
        <v>-108</v>
      </c>
      <c r="O141" s="43" t="n">
        <f>IF(COUNT('Cash Flow'!O82,'Cash Flow'!N82)=2,'Cash Flow'!O82-'Cash Flow'!N82,"")</f>
        <v>-23</v>
      </c>
      <c r="P141" s="43" t="n">
        <f>IF(COUNT('Cash Flow'!P82,'Cash Flow'!O82)=2,'Cash Flow'!P82-'Cash Flow'!O82,"")</f>
        <v>-1</v>
      </c>
      <c r="Q141" s="43" t="n">
        <f>IF(COUNT('Cash Flow'!Q82,'Cash Flow'!P82)=2,'Cash Flow'!Q82-'Cash Flow'!P82,"")</f>
        <v>-3</v>
      </c>
      <c r="R141" s="43" t="n">
        <f>IF(COUNT('Cash Flow'!R82)=1,'Cash Flow'!R82,"")</f>
        <v>-89</v>
      </c>
      <c r="S141" s="43" t="n">
        <f>IF(COUNT('Cash Flow'!S82,'Cash Flow'!R82)=2,'Cash Flow'!S82-'Cash Flow'!R82,"")</f>
        <v>-22</v>
      </c>
      <c r="T141" s="43" t="n">
        <f>IF(COUNT('Cash Flow'!T82,'Cash Flow'!S82)=2,'Cash Flow'!T82-'Cash Flow'!S82,"")</f>
        <v>-1</v>
      </c>
      <c r="U141" s="43" t="n">
        <f>IF(COUNT('Cash Flow'!U82,'Cash Flow'!T82)=2,'Cash Flow'!U82-'Cash Flow'!T82,"")</f>
        <v>-1</v>
      </c>
      <c r="V141" s="43" t="n">
        <f>IF(COUNT('Cash Flow'!V82)=1,'Cash Flow'!V82,"")</f>
        <v>-76</v>
      </c>
      <c r="W141" s="43" t="n">
        <f>IF(COUNT('Cash Flow'!W82,'Cash Flow'!V82)=2,'Cash Flow'!W82-'Cash Flow'!V82,"")</f>
        <v>-19</v>
      </c>
      <c r="X141" s="43" t="n">
        <f>IF(COUNT('Cash Flow'!X82,'Cash Flow'!W82)=2,'Cash Flow'!X82-'Cash Flow'!W82,"")</f>
        <v>-1</v>
      </c>
    </row>
    <row r="142" ht="22" customHeight="1">
      <c r="A142" s="4" t="str">
        <v>Impairment and other charges</v>
      </c>
      <c r="B142" s="2"/>
      <c r="C142" s="44"/>
      <c r="D142" s="44"/>
      <c r="E142" s="44"/>
      <c r="F142" s="44"/>
      <c r="G142" s="44"/>
      <c r="H142" s="44"/>
      <c r="I142" s="44"/>
      <c r="J142" s="44"/>
      <c r="K142" s="44"/>
      <c r="L142" s="44"/>
      <c r="M142" s="45"/>
      <c r="N142" s="43" t="str">
        <f>IF(COUNT('Cash Flow'!N40)=1,'Cash Flow'!N40,"")</f>
      </c>
      <c r="O142" s="43" t="str">
        <f>IF(COUNT('Cash Flow'!O40,'Cash Flow'!N40)=2,'Cash Flow'!O40-'Cash Flow'!N40,"")</f>
      </c>
      <c r="P142" s="43" t="n">
        <f>IF(COUNT('Cash Flow'!P40,'Cash Flow'!O40)=2,'Cash Flow'!P40-'Cash Flow'!O40,"")</f>
        <v>10</v>
      </c>
      <c r="Q142" s="43" t="n">
        <f>IF(COUNT('Cash Flow'!Q40,'Cash Flow'!P40)=2,'Cash Flow'!Q40-'Cash Flow'!P40,"")</f>
        <v>704</v>
      </c>
      <c r="R142" s="43" t="str">
        <f>IF(COUNT('Cash Flow'!R40)=1,'Cash Flow'!R40,"")</f>
      </c>
      <c r="S142" s="43" t="str">
        <f>IF(COUNT('Cash Flow'!S40,'Cash Flow'!R40)=2,'Cash Flow'!S40-'Cash Flow'!R40,"")</f>
      </c>
      <c r="T142" s="43" t="n">
        <f>IF(COUNT('Cash Flow'!T40,'Cash Flow'!S40)=2,'Cash Flow'!T40-'Cash Flow'!S40,"")</f>
        <v>100</v>
      </c>
      <c r="U142" s="43" t="n">
        <f>IF(COUNT('Cash Flow'!U40,'Cash Flow'!T40)=2,'Cash Flow'!U40-'Cash Flow'!T40,"")</f>
        <v>-14</v>
      </c>
      <c r="V142" s="43" t="str">
        <f>IF(COUNT('Cash Flow'!V40)=1,'Cash Flow'!V40,"")</f>
      </c>
      <c r="W142" s="43" t="str">
        <f>IF(COUNT('Cash Flow'!W40,'Cash Flow'!V40)=2,'Cash Flow'!W40-'Cash Flow'!V40,"")</f>
      </c>
      <c r="X142" s="43" t="n">
        <f>IF(COUNT('Cash Flow'!X40,'Cash Flow'!W40)=2,'Cash Flow'!X40-'Cash Flow'!W40,"")</f>
        <v>0</v>
      </c>
    </row>
    <row r="143" ht="50" customHeight="1">
      <c r="A143" s="4" t="str">
        <v>Acquisitions, net of cash acquired, investments in noncontrolled affiliates and purchases of intangible and other assets</v>
      </c>
      <c r="B143" s="2"/>
      <c r="C143" s="44"/>
      <c r="D143" s="44"/>
      <c r="E143" s="44"/>
      <c r="F143" s="44"/>
      <c r="G143" s="44"/>
      <c r="H143" s="44"/>
      <c r="I143" s="44"/>
      <c r="J143" s="44"/>
      <c r="K143" s="44"/>
      <c r="L143" s="44"/>
      <c r="M143" s="45"/>
      <c r="N143" s="43" t="n">
        <f>IF(COUNT('Cash Flow'!N60)=1,'Cash Flow'!N60,"")</f>
        <v>-6</v>
      </c>
      <c r="O143" s="43" t="n">
        <f>IF(COUNT('Cash Flow'!O60,'Cash Flow'!N60)=2,'Cash Flow'!O60-'Cash Flow'!N60,"")</f>
        <v>-24</v>
      </c>
      <c r="P143" s="43" t="n">
        <f>IF(COUNT('Cash Flow'!P60,'Cash Flow'!O60)=2,'Cash Flow'!P60-'Cash Flow'!O60,"")</f>
        <v>-1</v>
      </c>
      <c r="Q143" s="43" t="n">
        <f>IF(COUNT('Cash Flow'!Q60,'Cash Flow'!P60)=2,'Cash Flow'!Q60-'Cash Flow'!P60,"")</f>
        <v>-225</v>
      </c>
      <c r="R143" s="43" t="n">
        <f>IF(COUNT('Cash Flow'!R60)=1,'Cash Flow'!R60,"")</f>
        <v>-1200</v>
      </c>
      <c r="S143" s="43" t="n">
        <f>IF(COUNT('Cash Flow'!S60,'Cash Flow'!R60)=2,'Cash Flow'!S60-'Cash Flow'!R60,"")</f>
        <v>-1930</v>
      </c>
      <c r="T143" s="43" t="n">
        <f>IF(COUNT('Cash Flow'!T60,'Cash Flow'!S60)=2,'Cash Flow'!T60-'Cash Flow'!S60,"")</f>
        <v>-46</v>
      </c>
      <c r="U143" s="43" t="n">
        <f>IF(COUNT('Cash Flow'!U60,'Cash Flow'!T60)=2,'Cash Flow'!U60-'Cash Flow'!T60,"")</f>
        <v>-215</v>
      </c>
      <c r="V143" s="43" t="n">
        <f>IF(COUNT('Cash Flow'!V60)=1,'Cash Flow'!V60,"")</f>
        <v>-67</v>
      </c>
      <c r="W143" s="43" t="n">
        <f>IF(COUNT('Cash Flow'!W60,'Cash Flow'!V60)=2,'Cash Flow'!W60-'Cash Flow'!V60,"")</f>
        <v>-81</v>
      </c>
      <c r="X143" s="43" t="n">
        <f>IF(COUNT('Cash Flow'!X60,'Cash Flow'!W60)=2,'Cash Flow'!X60-'Cash Flow'!W60,"")</f>
        <v>0</v>
      </c>
    </row>
    <row r="144" ht="36" customHeight="1">
      <c r="A144" s="4" t="str">
        <v>Other divestitures, sales of investments in noncontrolled affiliates and other assets</v>
      </c>
      <c r="B144" s="2"/>
      <c r="C144" s="44"/>
      <c r="D144" s="44"/>
      <c r="E144" s="44"/>
      <c r="F144" s="44"/>
      <c r="G144" s="44"/>
      <c r="H144" s="44"/>
      <c r="I144" s="44"/>
      <c r="J144" s="44"/>
      <c r="K144" s="44"/>
      <c r="L144" s="44"/>
      <c r="M144" s="45"/>
      <c r="N144" s="43" t="n">
        <f>IF(COUNT('Cash Flow'!N62)=1,'Cash Flow'!N62,"")</f>
        <v>53</v>
      </c>
      <c r="O144" s="43" t="n">
        <f>IF(COUNT('Cash Flow'!O62,'Cash Flow'!N62)=2,'Cash Flow'!O62-'Cash Flow'!N62,"")</f>
        <v>82</v>
      </c>
      <c r="P144" s="43" t="n">
        <f>IF(COUNT('Cash Flow'!P62,'Cash Flow'!O62)=2,'Cash Flow'!P62-'Cash Flow'!O62,"")</f>
        <v>10</v>
      </c>
      <c r="Q144" s="43" t="n">
        <f>IF(COUNT('Cash Flow'!Q62,'Cash Flow'!P62)=2,'Cash Flow'!Q62-'Cash Flow'!P62,"")</f>
        <v>21</v>
      </c>
      <c r="R144" s="43" t="str">
        <f>IF(COUNT('Cash Flow'!R62)=1,'Cash Flow'!R62,"")</f>
      </c>
      <c r="S144" s="43" t="str">
        <f>IF(COUNT('Cash Flow'!S62,'Cash Flow'!R62)=2,'Cash Flow'!S62-'Cash Flow'!R62,"")</f>
      </c>
      <c r="T144" s="43" t="str">
        <f>IF(COUNT('Cash Flow'!T62,'Cash Flow'!S62)=2,'Cash Flow'!T62-'Cash Flow'!S62,"")</f>
      </c>
      <c r="U144" s="43" t="str">
        <f>IF(COUNT('Cash Flow'!U62,'Cash Flow'!T62)=2,'Cash Flow'!U62-'Cash Flow'!T62,"")</f>
      </c>
      <c r="V144" s="43" t="str">
        <f>IF(COUNT('Cash Flow'!V62)=1,'Cash Flow'!V62,"")</f>
      </c>
      <c r="W144" s="43" t="str">
        <f>IF(COUNT('Cash Flow'!W62,'Cash Flow'!V62)=2,'Cash Flow'!W62-'Cash Flow'!V62,"")</f>
      </c>
      <c r="X144" s="43" t="str">
        <f>IF(COUNT('Cash Flow'!X62,'Cash Flow'!W62)=2,'Cash Flow'!X62-'Cash Flow'!W62,"")</f>
      </c>
    </row>
    <row r="145" ht="22" customHeight="1">
      <c r="A145" s="4" t="str">
        <v>Product recall-related impact</v>
      </c>
      <c r="B145" s="2"/>
      <c r="C145" s="44"/>
      <c r="D145" s="44"/>
      <c r="E145" s="44"/>
      <c r="F145" s="44"/>
      <c r="G145" s="44"/>
      <c r="H145" s="44"/>
      <c r="I145" s="44"/>
      <c r="J145" s="44"/>
      <c r="K145" s="44"/>
      <c r="L145" s="44"/>
      <c r="M145" s="45"/>
      <c r="N145" s="43" t="n">
        <f>IF(COUNT('Cash Flow'!N42)=1,'Cash Flow'!N42,"")</f>
        <v>167</v>
      </c>
      <c r="O145" s="43" t="n">
        <f>IF(COUNT('Cash Flow'!O42,'Cash Flow'!N42)=2,'Cash Flow'!O42-'Cash Flow'!N42,"")</f>
        <v>15</v>
      </c>
      <c r="P145" s="43" t="n">
        <f>IF(COUNT('Cash Flow'!P42,'Cash Flow'!O42)=2,'Cash Flow'!P42-'Cash Flow'!O42,"")</f>
        <v>2</v>
      </c>
      <c r="Q145" s="43" t="n">
        <f>IF(COUNT('Cash Flow'!Q42,'Cash Flow'!P42)=2,'Cash Flow'!Q42-'Cash Flow'!P42,"")</f>
        <v>3</v>
      </c>
      <c r="R145" s="43" t="str">
        <f>IF(COUNT('Cash Flow'!R42)=1,'Cash Flow'!R42,"")</f>
      </c>
      <c r="S145" s="43" t="str">
        <f>IF(COUNT('Cash Flow'!S42,'Cash Flow'!R42)=2,'Cash Flow'!S42-'Cash Flow'!R42,"")</f>
      </c>
      <c r="T145" s="43" t="str">
        <f>IF(COUNT('Cash Flow'!T42,'Cash Flow'!S42)=2,'Cash Flow'!T42-'Cash Flow'!S42,"")</f>
      </c>
      <c r="U145" s="43" t="str">
        <f>IF(COUNT('Cash Flow'!U42,'Cash Flow'!T42)=2,'Cash Flow'!U42-'Cash Flow'!T42,"")</f>
      </c>
      <c r="V145" s="43" t="str">
        <f>IF(COUNT('Cash Flow'!V42)=1,'Cash Flow'!V42,"")</f>
      </c>
      <c r="W145" s="43" t="str">
        <f>IF(COUNT('Cash Flow'!W42,'Cash Flow'!V42)=2,'Cash Flow'!W42-'Cash Flow'!V42,"")</f>
      </c>
      <c r="X145" s="43" t="str">
        <f>IF(COUNT('Cash Flow'!X42,'Cash Flow'!W42)=2,'Cash Flow'!X42-'Cash Flow'!W42,"")</f>
      </c>
    </row>
    <row r="146" ht="22" customHeight="1">
      <c r="A146" s="4" t="str">
        <v>Cash payments for product recall-related impact</v>
      </c>
      <c r="B146" s="2"/>
      <c r="C146" s="44"/>
      <c r="D146" s="44"/>
      <c r="E146" s="44"/>
      <c r="F146" s="44"/>
      <c r="G146" s="44"/>
      <c r="H146" s="44"/>
      <c r="I146" s="44"/>
      <c r="J146" s="44"/>
      <c r="K146" s="44"/>
      <c r="L146" s="44"/>
      <c r="M146" s="45"/>
      <c r="N146" s="43" t="n">
        <f>IF(COUNT('Cash Flow'!N43)=1,'Cash Flow'!N43,"")</f>
        <v>-108</v>
      </c>
      <c r="O146" s="43" t="n">
        <f>IF(COUNT('Cash Flow'!O43,'Cash Flow'!N43)=2,'Cash Flow'!O43-'Cash Flow'!N43,"")</f>
        <v>-27</v>
      </c>
      <c r="P146" s="43" t="n">
        <f>IF(COUNT('Cash Flow'!P43,'Cash Flow'!O43)=2,'Cash Flow'!P43-'Cash Flow'!O43,"")</f>
        <v>-3</v>
      </c>
      <c r="Q146" s="43" t="n">
        <f>IF(COUNT('Cash Flow'!Q43,'Cash Flow'!P43)=2,'Cash Flow'!Q43-'Cash Flow'!P43,"")</f>
        <v>-10</v>
      </c>
      <c r="R146" s="43" t="str">
        <f>IF(COUNT('Cash Flow'!R43)=1,'Cash Flow'!R43,"")</f>
      </c>
      <c r="S146" s="43" t="str">
        <f>IF(COUNT('Cash Flow'!S43,'Cash Flow'!R43)=2,'Cash Flow'!S43-'Cash Flow'!R43,"")</f>
      </c>
      <c r="T146" s="43" t="str">
        <f>IF(COUNT('Cash Flow'!T43,'Cash Flow'!S43)=2,'Cash Flow'!T43-'Cash Flow'!S43,"")</f>
      </c>
      <c r="U146" s="43" t="str">
        <f>IF(COUNT('Cash Flow'!U43,'Cash Flow'!T43)=2,'Cash Flow'!U43-'Cash Flow'!T43,"")</f>
      </c>
      <c r="V146" s="43" t="str">
        <f>IF(COUNT('Cash Flow'!V43)=1,'Cash Flow'!V43,"")</f>
      </c>
      <c r="W146" s="43" t="str">
        <f>IF(COUNT('Cash Flow'!W43,'Cash Flow'!V43)=2,'Cash Flow'!W43-'Cash Flow'!V43,"")</f>
      </c>
      <c r="X146" s="43" t="str">
        <f>IF(COUNT('Cash Flow'!X43,'Cash Flow'!W43)=2,'Cash Flow'!X43-'Cash Flow'!W43,"")</f>
      </c>
    </row>
    <row r="147" ht="24" customHeight="1">
      <c r="A147" s="39" t="str">
        <v>Supplemental Non-Cash Activity</v>
      </c>
      <c r="B147" s="40"/>
      <c r="C147" s="41"/>
      <c r="D147" s="41"/>
      <c r="E147" s="41"/>
      <c r="F147" s="41"/>
      <c r="G147" s="41"/>
      <c r="H147" s="41"/>
      <c r="I147" s="41"/>
      <c r="J147" s="41"/>
      <c r="K147" s="41"/>
      <c r="L147" s="41"/>
      <c r="M147" s="42"/>
      <c r="N147" s="41"/>
      <c r="O147" s="41"/>
      <c r="P147" s="41"/>
      <c r="Q147" s="41"/>
      <c r="R147" s="41"/>
      <c r="S147" s="41"/>
      <c r="T147" s="41"/>
      <c r="U147" s="41"/>
      <c r="V147" s="41"/>
      <c r="W147" s="41"/>
      <c r="X147" s="41"/>
    </row>
    <row r="148" ht="36" customHeight="1">
      <c r="A148" s="4" t="str">
        <v>Right-of-use assets obtained in exchange for lease obligations</v>
      </c>
      <c r="B148" s="2"/>
      <c r="C148" s="44"/>
      <c r="D148" s="44"/>
      <c r="E148" s="44"/>
      <c r="F148" s="44"/>
      <c r="G148" s="44"/>
      <c r="H148" s="44"/>
      <c r="I148" s="44"/>
      <c r="J148" s="44"/>
      <c r="K148" s="44"/>
      <c r="L148" s="44"/>
      <c r="M148" s="45"/>
      <c r="N148" s="43" t="n">
        <f>IF(COUNT('Cash Flow'!N91)=1,'Cash Flow'!N91,"")</f>
        <v>259</v>
      </c>
      <c r="O148" s="43" t="n">
        <f>IF(COUNT('Cash Flow'!O91,'Cash Flow'!N91)=2,'Cash Flow'!O91-'Cash Flow'!N91,"")</f>
        <v>282</v>
      </c>
      <c r="P148" s="43" t="n">
        <f>IF(COUNT('Cash Flow'!P91,'Cash Flow'!O91)=2,'Cash Flow'!P91-'Cash Flow'!O91,"")</f>
        <v>328</v>
      </c>
      <c r="Q148" s="43" t="str">
        <f>IF(COUNT('Cash Flow'!Q91,'Cash Flow'!P91)=2,'Cash Flow'!Q91-'Cash Flow'!P91,"")</f>
      </c>
      <c r="R148" s="43" t="n">
        <f>IF(COUNT('Cash Flow'!R91)=1,'Cash Flow'!R91,"")</f>
        <v>166</v>
      </c>
      <c r="S148" s="43" t="n">
        <f>IF(COUNT('Cash Flow'!S91,'Cash Flow'!R91)=2,'Cash Flow'!S91-'Cash Flow'!R91,"")</f>
        <v>163</v>
      </c>
      <c r="T148" s="43" t="n">
        <f>IF(COUNT('Cash Flow'!T91,'Cash Flow'!S91)=2,'Cash Flow'!T91-'Cash Flow'!S91,"")</f>
        <v>213</v>
      </c>
      <c r="U148" s="43" t="str">
        <f>IF(COUNT('Cash Flow'!U91,'Cash Flow'!T91)=2,'Cash Flow'!U91-'Cash Flow'!T91,"")</f>
      </c>
      <c r="V148" s="43" t="n">
        <f>IF(COUNT('Cash Flow'!V91)=1,'Cash Flow'!V91,"")</f>
        <v>114</v>
      </c>
      <c r="W148" s="43" t="n">
        <f>IF(COUNT('Cash Flow'!W91,'Cash Flow'!V91)=2,'Cash Flow'!W91-'Cash Flow'!V91,"")</f>
        <v>178</v>
      </c>
      <c r="X148" s="43" t="n">
        <f>IF(COUNT('Cash Flow'!X91,'Cash Flow'!W91)=2,'Cash Flow'!X91-'Cash Flow'!W91,"")</f>
        <v>333</v>
      </c>
    </row>
    <row r="149" ht="36" customHeight="1">
      <c r="A149" s="4" t="str">
        <v>Tax payments related to the Tax Cuts and Jobs Act (TCJ Act)</v>
      </c>
      <c r="B149" s="2"/>
      <c r="C149" s="44"/>
      <c r="D149" s="44"/>
      <c r="E149" s="44"/>
      <c r="F149" s="44"/>
      <c r="G149" s="44"/>
      <c r="H149" s="44"/>
      <c r="I149" s="44"/>
      <c r="J149" s="44"/>
      <c r="K149" s="44"/>
      <c r="L149" s="44"/>
      <c r="M149" s="45"/>
      <c r="N149" s="43" t="str">
        <f>IF(COUNT('Cash Flow'!N44)=1,'Cash Flow'!N44,"")</f>
      </c>
      <c r="O149" s="43" t="str">
        <f>IF(COUNT('Cash Flow'!O44,'Cash Flow'!N44)=2,'Cash Flow'!O44-'Cash Flow'!N44,"")</f>
      </c>
      <c r="P149" s="43" t="n">
        <f>IF(COUNT('Cash Flow'!P44,'Cash Flow'!O44)=2,'Cash Flow'!P44-'Cash Flow'!O44,"")</f>
        <v>0</v>
      </c>
      <c r="Q149" s="43" t="str">
        <f>IF(COUNT('Cash Flow'!Q44,'Cash Flow'!P44)=2,'Cash Flow'!Q44-'Cash Flow'!P44,"")</f>
      </c>
      <c r="R149" s="43" t="str">
        <f>IF(COUNT('Cash Flow'!R44)=1,'Cash Flow'!R44,"")</f>
      </c>
      <c r="S149" s="43" t="str">
        <f>IF(COUNT('Cash Flow'!S44,'Cash Flow'!R44)=2,'Cash Flow'!S44-'Cash Flow'!R44,"")</f>
      </c>
      <c r="T149" s="43" t="n">
        <f>IF(COUNT('Cash Flow'!T44,'Cash Flow'!S44)=2,'Cash Flow'!T44-'Cash Flow'!S44,"")</f>
        <v>0</v>
      </c>
      <c r="U149" s="43" t="str">
        <f>IF(COUNT('Cash Flow'!U44,'Cash Flow'!T44)=2,'Cash Flow'!U44-'Cash Flow'!T44,"")</f>
      </c>
      <c r="V149" s="43" t="str">
        <f>IF(COUNT('Cash Flow'!V44)=1,'Cash Flow'!V44,"")</f>
      </c>
      <c r="W149" s="43" t="str">
        <f>IF(COUNT('Cash Flow'!W44,'Cash Flow'!V44)=2,'Cash Flow'!W44-'Cash Flow'!V44,"")</f>
      </c>
      <c r="X149" s="43" t="n">
        <f>IF(COUNT('Cash Flow'!X44,'Cash Flow'!W44)=2,'Cash Flow'!X44-'Cash Flow'!W44,"")</f>
        <v>0</v>
      </c>
    </row>
    <row r="150" ht="22" customHeight="1">
      <c r="A150" s="4" t="str">
        <v>Investment obtained for certain assets</v>
      </c>
      <c r="B150" s="2"/>
      <c r="C150" s="44"/>
      <c r="D150" s="44"/>
      <c r="E150" s="44"/>
      <c r="F150" s="44"/>
      <c r="G150" s="44"/>
      <c r="H150" s="44"/>
      <c r="I150" s="44"/>
      <c r="J150" s="44"/>
      <c r="K150" s="44"/>
      <c r="L150" s="44"/>
      <c r="M150" s="45"/>
      <c r="N150" s="43" t="str">
        <f>IF(COUNT('Cash Flow'!N92)=1,'Cash Flow'!N92,"")</f>
      </c>
      <c r="O150" s="43" t="str">
        <f>IF(COUNT('Cash Flow'!O92,'Cash Flow'!N92)=2,'Cash Flow'!O92-'Cash Flow'!N92,"")</f>
      </c>
      <c r="P150" s="43" t="str">
        <f>IF(COUNT('Cash Flow'!P92,'Cash Flow'!O92)=2,'Cash Flow'!P92-'Cash Flow'!O92,"")</f>
      </c>
      <c r="Q150" s="43" t="str">
        <f>IF(COUNT('Cash Flow'!Q92,'Cash Flow'!P92)=2,'Cash Flow'!Q92-'Cash Flow'!P92,"")</f>
      </c>
      <c r="R150" s="43" t="str">
        <f>IF(COUNT('Cash Flow'!R92)=1,'Cash Flow'!R92,"")</f>
      </c>
      <c r="S150" s="43" t="str">
        <f>IF(COUNT('Cash Flow'!S92,'Cash Flow'!R92)=2,'Cash Flow'!S92-'Cash Flow'!R92,"")</f>
      </c>
      <c r="T150" s="43" t="str">
        <f>IF(COUNT('Cash Flow'!T92,'Cash Flow'!S92)=2,'Cash Flow'!T92-'Cash Flow'!S92,"")</f>
      </c>
      <c r="U150" s="43" t="str">
        <f>IF(COUNT('Cash Flow'!U92,'Cash Flow'!T92)=2,'Cash Flow'!U92-'Cash Flow'!T92,"")</f>
      </c>
      <c r="V150" s="43" t="str">
        <f>IF(COUNT('Cash Flow'!V92)=1,'Cash Flow'!V92,"")</f>
      </c>
      <c r="W150" s="43" t="str">
        <f>IF(COUNT('Cash Flow'!W92,'Cash Flow'!V92)=2,'Cash Flow'!W92-'Cash Flow'!V92,"")</f>
      </c>
      <c r="X150" s="43" t="str">
        <f>IF(COUNT('Cash Flow'!X92,'Cash Flow'!W92)=2,'Cash Flow'!X92-'Cash Flow'!W92,"")</f>
      </c>
    </row>
    <row r="151" ht="22" customHeight="1">
      <c r="A151" s="4" t="str">
        <v>Investment obtained for certain assets</v>
      </c>
      <c r="B151" s="2"/>
      <c r="C151" s="44"/>
      <c r="D151" s="44"/>
      <c r="E151" s="44"/>
      <c r="F151" s="44"/>
      <c r="G151" s="44"/>
      <c r="H151" s="44"/>
      <c r="I151" s="44"/>
      <c r="J151" s="44"/>
      <c r="K151" s="44"/>
      <c r="L151" s="44"/>
      <c r="M151" s="45"/>
      <c r="N151" s="43" t="str">
        <f>IF(COUNT('Cash Flow'!N93)=1,'Cash Flow'!N93,"")</f>
      </c>
      <c r="O151" s="43" t="str">
        <f>IF(COUNT('Cash Flow'!O93,'Cash Flow'!N93)=2,'Cash Flow'!O93-'Cash Flow'!N93,"")</f>
      </c>
      <c r="P151" s="43" t="str">
        <f>IF(COUNT('Cash Flow'!P93,'Cash Flow'!O93)=2,'Cash Flow'!P93-'Cash Flow'!O93,"")</f>
      </c>
      <c r="Q151" s="43" t="str">
        <f>IF(COUNT('Cash Flow'!Q93,'Cash Flow'!P93)=2,'Cash Flow'!Q93-'Cash Flow'!P93,"")</f>
      </c>
      <c r="R151" s="43" t="str">
        <f>IF(COUNT('Cash Flow'!R93)=1,'Cash Flow'!R93,"")</f>
      </c>
      <c r="S151" s="43" t="str">
        <f>IF(COUNT('Cash Flow'!S93,'Cash Flow'!R93)=2,'Cash Flow'!S93-'Cash Flow'!R93,"")</f>
      </c>
      <c r="T151" s="43" t="str">
        <f>IF(COUNT('Cash Flow'!T93,'Cash Flow'!S93)=2,'Cash Flow'!T93-'Cash Flow'!S93,"")</f>
      </c>
      <c r="U151" s="43" t="str">
        <f>IF(COUNT('Cash Flow'!U93,'Cash Flow'!T93)=2,'Cash Flow'!U93-'Cash Flow'!T93,"")</f>
      </c>
      <c r="V151" s="43" t="str">
        <f>IF(COUNT('Cash Flow'!V93)=1,'Cash Flow'!V93,"")</f>
      </c>
      <c r="W151" s="43" t="str">
        <f>IF(COUNT('Cash Flow'!W93,'Cash Flow'!V93)=2,'Cash Flow'!W93-'Cash Flow'!V93,"")</f>
      </c>
      <c r="X151" s="43" t="str">
        <f>IF(COUNT('Cash Flow'!X93,'Cash Flow'!W93)=2,'Cash Flow'!X93-'Cash Flow'!W93,"")</f>
      </c>
    </row>
    <row r="152" ht="22" customHeight="1">
      <c r="A152" s="4"/>
      <c r="B152" s="2"/>
      <c r="C152" s="3"/>
      <c r="D152" s="3"/>
      <c r="E152" s="3"/>
      <c r="F152" s="3"/>
      <c r="G152" s="3"/>
      <c r="H152" s="3"/>
      <c r="I152" s="3"/>
      <c r="J152" s="3"/>
      <c r="K152" s="3"/>
      <c r="L152" s="3"/>
      <c r="M152" s="3"/>
      <c r="N152" s="3"/>
      <c r="O152" s="3"/>
      <c r="P152" s="3"/>
      <c r="Q152" s="3"/>
      <c r="R152" s="3"/>
      <c r="S152" s="3"/>
      <c r="T152" s="3"/>
      <c r="U152" s="3"/>
      <c r="V152" s="3"/>
      <c r="W152" s="3"/>
      <c r="X152" s="3"/>
    </row>
  </sheetData>
  <mergeCells>
    <mergeCell ref="A1:X1"/>
    <mergeCell ref="A2:X2"/>
    <mergeCell ref="C7:L7"/>
    <mergeCell ref="N7:X7"/>
    <mergeCell ref="A11:X11"/>
    <mergeCell ref="A12:X12"/>
    <mergeCell ref="A13:L13"/>
    <mergeCell ref="N13:X13"/>
    <mergeCell ref="A47:L47"/>
    <mergeCell ref="N47:X47"/>
    <mergeCell ref="A70:L70"/>
    <mergeCell ref="N70:X70"/>
    <mergeCell ref="A85:L85"/>
    <mergeCell ref="N85:X85"/>
    <mergeCell ref="A90:L90"/>
    <mergeCell ref="N90:X90"/>
    <mergeCell ref="A95:X95"/>
    <mergeCell ref="A96:X96"/>
    <mergeCell ref="A97:L97"/>
    <mergeCell ref="N97:X97"/>
    <mergeCell ref="A113:L113"/>
    <mergeCell ref="N113:X113"/>
    <mergeCell ref="A127:L127"/>
    <mergeCell ref="N127:X127"/>
    <mergeCell ref="A133:L133"/>
    <mergeCell ref="N133:X133"/>
    <mergeCell ref="A147:L147"/>
    <mergeCell ref="N147:X147"/>
  </mergeCells>
  <hyperlinks>
    <hyperlink ref="A3" location="'Contents'!A1" display="Metric (Return to Contents)"/>
    <hyperlink ref="C7" location="'Cash Flow'!A11" display="Cash flow statement: annual and YTD"/>
    <hyperlink ref="N7" location="'Cash Flow'!A95" display="Cash flow statement: discrete quarters"/>
  </hyperlinks>
  <pageMargins left="0.7" right="0.7" top="0.75" bottom="0.75" header="0.3" footer="0.3"/>
</worksheet>
</file>

<file path=xl/worksheets/sheet8.xml><?xml version="1.0" encoding="utf-8"?>
<worksheet xmlns="http://schemas.openxmlformats.org/spreadsheetml/2006/main">
  <sheetPr>
    <tabColor rgb="FF8064A2"/>
  </sheetPr>
  <sheetViews>
    <sheetView showGridLines="0" workbookViewId="0">
      <pane xSplit="2" ySplit="5" topLeftCell="C6" activePane="bottomRight" state="frozen"/>
    </sheetView>
  </sheetViews>
  <sheetFormatPr defaultRowHeight="15"/>
  <cols>
    <col min="1" max="1" width="60" hidden="0" customWidth="1"/>
    <col min="2" max="2" width="2.200000047683716" hidden="0" customWidth="1"/>
    <col min="3" max="3" width="12.199999809265137" hidden="0" customWidth="1"/>
    <col min="4" max="4" width="12.199999809265137" hidden="0" customWidth="1"/>
    <col min="5" max="5" width="12.199999809265137" hidden="0" customWidth="1"/>
    <col min="6" max="6" width="12.199999809265137" hidden="0" customWidth="1"/>
    <col min="7" max="7" width="12.199999809265137" hidden="0" customWidth="1"/>
    <col min="8" max="8" width="12.199999809265137" hidden="0" customWidth="1"/>
    <col min="9" max="9" width="12.199999809265137" hidden="0" customWidth="1"/>
    <col min="10" max="10" width="12.199999809265137" hidden="0" customWidth="1"/>
    <col min="11" max="11" width="12.199999809265137" hidden="0" customWidth="1"/>
    <col min="12" max="12" width="12.199999809265137" hidden="0" customWidth="1"/>
    <col min="13" max="13" width="3" hidden="0" customWidth="1"/>
    <col min="14" max="14" width="12.199999809265137" hidden="0" customWidth="1"/>
    <col min="15" max="15" width="12.199999809265137" hidden="0" customWidth="1"/>
    <col min="16" max="16" width="12.199999809265137" hidden="0" customWidth="1"/>
    <col min="17" max="17" width="12.199999809265137" hidden="0" customWidth="1"/>
    <col min="18" max="18" width="12.199999809265137" hidden="0" customWidth="1"/>
    <col min="19" max="19" width="12.199999809265137" hidden="0" customWidth="1"/>
    <col min="20" max="20" width="12.199999809265137" hidden="0" customWidth="1"/>
    <col min="21" max="21" width="12.199999809265137" hidden="0" customWidth="1"/>
    <col min="22" max="22" width="12.199999809265137" hidden="0" customWidth="1"/>
    <col min="23" max="23" width="12.199999809265137" hidden="0" customWidth="1"/>
    <col min="24" max="24" width="12.199999809265137" hidden="0" customWidth="1"/>
  </cols>
  <sheetData>
    <row r="1" ht="28" customHeight="1">
      <c r="A1" s="7" t="str">
        <v>PepsiCo PEP — Derived Metrics</v>
      </c>
      <c r="B1" s="7"/>
      <c r="C1" s="7"/>
      <c r="D1" s="7"/>
      <c r="E1" s="7"/>
      <c r="F1" s="7"/>
      <c r="G1" s="7"/>
      <c r="H1" s="7"/>
      <c r="I1" s="7"/>
      <c r="J1" s="7"/>
      <c r="K1" s="7"/>
      <c r="L1" s="7"/>
      <c r="M1" s="7"/>
      <c r="N1" s="7"/>
      <c r="O1" s="7"/>
      <c r="P1" s="7"/>
      <c r="Q1" s="7"/>
      <c r="R1" s="7"/>
      <c r="S1" s="7"/>
      <c r="T1" s="7"/>
      <c r="U1" s="7"/>
      <c r="V1" s="7"/>
      <c r="W1" s="7"/>
      <c r="X1" s="7"/>
    </row>
    <row r="2" ht="18" customHeight="1">
      <c r="A2" s="8" t="str">
        <v>USD millions; per-share amounts, share counts and percentages as labeled. US GAAP. As of 2026-10-20.</v>
      </c>
      <c r="B2" s="8"/>
      <c r="C2" s="8"/>
      <c r="D2" s="8"/>
      <c r="E2" s="8"/>
      <c r="F2" s="8"/>
      <c r="G2" s="8"/>
      <c r="H2" s="8"/>
      <c r="I2" s="8"/>
      <c r="J2" s="8"/>
      <c r="K2" s="8"/>
      <c r="L2" s="8"/>
      <c r="M2" s="8"/>
      <c r="N2" s="8"/>
      <c r="O2" s="8"/>
      <c r="P2" s="8"/>
      <c r="Q2" s="8"/>
      <c r="R2" s="8"/>
      <c r="S2" s="8"/>
      <c r="T2" s="8"/>
      <c r="U2" s="8"/>
      <c r="V2" s="8"/>
      <c r="W2" s="8"/>
      <c r="X2" s="8"/>
    </row>
    <row r="3" ht="24" customHeight="1">
      <c r="A3" s="9" t="str">
        <v>Metric (Return to Contents)</v>
      </c>
      <c r="B3" s="2"/>
      <c r="C3" s="13" t="str">
        <v>FY2016</v>
      </c>
      <c r="D3" s="13" t="str">
        <v>FY2017</v>
      </c>
      <c r="E3" s="13" t="str">
        <v>FY2018</v>
      </c>
      <c r="F3" s="13" t="str">
        <v>FY2019</v>
      </c>
      <c r="G3" s="13" t="str">
        <v>FY2020</v>
      </c>
      <c r="H3" s="13" t="str">
        <v>FY2021</v>
      </c>
      <c r="I3" s="13" t="str">
        <v>FY2022</v>
      </c>
      <c r="J3" s="13" t="str">
        <v>FY2023</v>
      </c>
      <c r="K3" s="13" t="str">
        <v>FY2024</v>
      </c>
      <c r="L3" s="13" t="str">
        <v>FY2025</v>
      </c>
      <c r="M3" s="2"/>
      <c r="N3" s="22" t="str">
        <v>FY2024Q1</v>
      </c>
      <c r="O3" s="22" t="str">
        <v>FY2024Q2</v>
      </c>
      <c r="P3" s="22" t="str">
        <v>FY2024Q3</v>
      </c>
      <c r="Q3" s="22" t="str">
        <v>FY2024Q4</v>
      </c>
      <c r="R3" s="22" t="str">
        <v>FY2025Q1</v>
      </c>
      <c r="S3" s="22" t="str">
        <v>FY2025Q2</v>
      </c>
      <c r="T3" s="22" t="str">
        <v>FY2025Q3</v>
      </c>
      <c r="U3" s="22" t="str">
        <v>FY2025Q4</v>
      </c>
      <c r="V3" s="22" t="str">
        <v>FY2026Q1</v>
      </c>
      <c r="W3" s="22" t="str">
        <v>FY2026Q2</v>
      </c>
      <c r="X3" s="22" t="str">
        <v>FY2026Q3</v>
      </c>
    </row>
    <row r="4" ht="18" customHeight="1">
      <c r="A4" s="2"/>
      <c r="B4" s="2"/>
      <c r="C4" s="17" t="d">
        <v>2016-12-31T00:00:00.000Z</v>
      </c>
      <c r="D4" s="17" t="d">
        <v>2017-12-30T00:00:00.000Z</v>
      </c>
      <c r="E4" s="17" t="d">
        <v>2018-12-29T00:00:00.000Z</v>
      </c>
      <c r="F4" s="17" t="d">
        <v>2019-12-28T00:00:00.000Z</v>
      </c>
      <c r="G4" s="17" t="d">
        <v>2020-12-26T00:00:00.000Z</v>
      </c>
      <c r="H4" s="17" t="d">
        <v>2021-12-25T00:00:00.000Z</v>
      </c>
      <c r="I4" s="17" t="d">
        <v>2022-12-31T00:00:00.000Z</v>
      </c>
      <c r="J4" s="17" t="d">
        <v>2023-12-30T00:00:00.000Z</v>
      </c>
      <c r="K4" s="17" t="d">
        <v>2024-12-28T00:00:00.000Z</v>
      </c>
      <c r="L4" s="17" t="d">
        <v>2025-12-27T00:00:00.000Z</v>
      </c>
      <c r="M4" s="2"/>
      <c r="N4" s="17" t="d">
        <v>2024-03-23T00:00:00.000Z</v>
      </c>
      <c r="O4" s="17" t="d">
        <v>2024-06-15T00:00:00.000Z</v>
      </c>
      <c r="P4" s="17" t="d">
        <v>2024-09-07T00:00:00.000Z</v>
      </c>
      <c r="Q4" s="17" t="d">
        <v>2024-12-28T00:00:00.000Z</v>
      </c>
      <c r="R4" s="17" t="d">
        <v>2025-03-22T00:00:00.000Z</v>
      </c>
      <c r="S4" s="17" t="d">
        <v>2025-06-14T00:00:00.000Z</v>
      </c>
      <c r="T4" s="17" t="d">
        <v>2025-09-06T00:00:00.000Z</v>
      </c>
      <c r="U4" s="17" t="d">
        <v>2025-12-27T00:00:00.000Z</v>
      </c>
      <c r="V4" s="17" t="d">
        <v>2026-03-21T00:00:00.000Z</v>
      </c>
      <c r="W4" s="17" t="d">
        <v>2026-06-13T00:00:00.000Z</v>
      </c>
      <c r="X4" s="17" t="d">
        <v>2026-09-05T00:00:00.000Z</v>
      </c>
    </row>
    <row r="5" ht="18" customHeight="1">
      <c r="A5" s="8" t="str">
        <v>Annual at left; quarterly / period-end at right; YTD as labeled</v>
      </c>
      <c r="B5" s="2"/>
      <c r="C5" s="18" t="str">
        <v>Year / year-end</v>
      </c>
      <c r="D5" s="18" t="str">
        <v>Year / year-end</v>
      </c>
      <c r="E5" s="18" t="str">
        <v>Year / year-end</v>
      </c>
      <c r="F5" s="18" t="str">
        <v>Year / year-end</v>
      </c>
      <c r="G5" s="18" t="str">
        <v>Year / year-end</v>
      </c>
      <c r="H5" s="18" t="str">
        <v>Year / year-end</v>
      </c>
      <c r="I5" s="18" t="str">
        <v>Year / year-end</v>
      </c>
      <c r="J5" s="18" t="str">
        <v>Year / year-end</v>
      </c>
      <c r="K5" s="18" t="str">
        <v>Year / year-end</v>
      </c>
      <c r="L5" s="18" t="str">
        <v>Year / year-end</v>
      </c>
      <c r="M5" s="2"/>
      <c r="N5" s="18" t="str">
        <v>Quarter / end</v>
      </c>
      <c r="O5" s="18" t="str">
        <v>Quarter / end</v>
      </c>
      <c r="P5" s="18" t="str">
        <v>Quarter / end</v>
      </c>
      <c r="Q5" s="18" t="str">
        <v>Quarter / end</v>
      </c>
      <c r="R5" s="18" t="str">
        <v>Quarter / end</v>
      </c>
      <c r="S5" s="18" t="str">
        <v>Quarter / end</v>
      </c>
      <c r="T5" s="18" t="str">
        <v>Quarter / end</v>
      </c>
      <c r="U5" s="18" t="str">
        <v>Quarter / end</v>
      </c>
      <c r="V5" s="18" t="str">
        <v>Quarter / end</v>
      </c>
      <c r="W5" s="18" t="str">
        <v>Quarter / end</v>
      </c>
      <c r="X5" s="18" t="str">
        <v>Quarter / end</v>
      </c>
    </row>
    <row r="6" ht="8" customHeight="1">
      <c r="A6" s="2"/>
      <c r="B6" s="2"/>
      <c r="C6" s="2"/>
      <c r="D6" s="2"/>
      <c r="E6" s="2"/>
      <c r="F6" s="2"/>
      <c r="G6" s="2"/>
      <c r="H6" s="2"/>
      <c r="I6" s="2"/>
      <c r="J6" s="2"/>
      <c r="K6" s="2"/>
      <c r="L6" s="2"/>
      <c r="M6" s="2"/>
      <c r="N6" s="2"/>
      <c r="O6" s="2"/>
      <c r="P6" s="2"/>
      <c r="Q6" s="2"/>
      <c r="R6" s="2"/>
      <c r="S6" s="2"/>
      <c r="T6" s="2"/>
      <c r="U6" s="2"/>
      <c r="V6" s="2"/>
      <c r="W6" s="2"/>
      <c r="X6" s="2"/>
    </row>
    <row r="7" ht="22" customHeight="1">
      <c r="A7" s="23" t="str">
        <v>On this sheet</v>
      </c>
      <c r="B7" s="2"/>
      <c r="C7" s="26" t="str">
        <v>Profitability</v>
      </c>
      <c r="D7" s="26"/>
      <c r="E7" s="26"/>
      <c r="F7" s="26"/>
      <c r="G7" s="26"/>
      <c r="H7" s="26"/>
      <c r="I7" s="26"/>
      <c r="J7" s="26"/>
      <c r="K7" s="26"/>
      <c r="L7" s="26"/>
      <c r="M7" s="3"/>
      <c r="N7" s="26" t="str">
        <v>Cash generation and shareholder returns</v>
      </c>
      <c r="O7" s="26"/>
      <c r="P7" s="26"/>
      <c r="Q7" s="26"/>
      <c r="R7" s="26"/>
      <c r="S7" s="26"/>
      <c r="T7" s="26"/>
      <c r="U7" s="26"/>
      <c r="V7" s="26"/>
      <c r="W7" s="26"/>
      <c r="X7" s="26"/>
    </row>
    <row r="8" ht="22" customHeight="1">
      <c r="A8" s="4"/>
      <c r="B8" s="2"/>
      <c r="C8" s="26" t="str">
        <v>Debt and cash</v>
      </c>
      <c r="D8" s="26"/>
      <c r="E8" s="26"/>
      <c r="F8" s="26"/>
      <c r="G8" s="26"/>
      <c r="H8" s="26"/>
      <c r="I8" s="26"/>
      <c r="J8" s="26"/>
      <c r="K8" s="26"/>
      <c r="L8" s="26"/>
      <c r="M8" s="3"/>
      <c r="N8" s="26" t="str">
        <v>Operating invested capital and returns</v>
      </c>
      <c r="O8" s="26"/>
      <c r="P8" s="26"/>
      <c r="Q8" s="26"/>
      <c r="R8" s="26"/>
      <c r="S8" s="26"/>
      <c r="T8" s="26"/>
      <c r="U8" s="26"/>
      <c r="V8" s="26"/>
      <c r="W8" s="26"/>
      <c r="X8" s="26"/>
    </row>
    <row r="9" ht="22" customHeight="1">
      <c r="A9" s="4"/>
      <c r="B9" s="2"/>
      <c r="C9" s="26" t="str">
        <v>Working capital and turnover</v>
      </c>
      <c r="D9" s="26"/>
      <c r="E9" s="26"/>
      <c r="F9" s="26"/>
      <c r="G9" s="26"/>
      <c r="H9" s="26"/>
      <c r="I9" s="26"/>
      <c r="J9" s="26"/>
      <c r="K9" s="26"/>
      <c r="L9" s="26"/>
      <c r="M9" s="3"/>
      <c r="N9" s="26" t="str">
        <v>Recent trailing twelve months</v>
      </c>
      <c r="O9" s="26"/>
      <c r="P9" s="26"/>
      <c r="Q9" s="26"/>
      <c r="R9" s="26"/>
      <c r="S9" s="26"/>
      <c r="T9" s="26"/>
      <c r="U9" s="26"/>
      <c r="V9" s="26"/>
      <c r="W9" s="26"/>
      <c r="X9" s="26"/>
    </row>
    <row r="10" ht="22" customHeight="1">
      <c r="A10" s="4"/>
      <c r="B10" s="2"/>
      <c r="C10"/>
      <c r="D10"/>
      <c r="E10"/>
      <c r="F10"/>
      <c r="G10"/>
      <c r="H10"/>
      <c r="I10"/>
      <c r="J10"/>
      <c r="K10"/>
      <c r="L10"/>
      <c r="M10" s="3"/>
      <c r="N10" s="3"/>
      <c r="O10" s="3"/>
      <c r="P10" s="3"/>
      <c r="Q10" s="3"/>
      <c r="R10" s="3"/>
      <c r="S10" s="3"/>
      <c r="T10" s="3"/>
      <c r="U10" s="3"/>
      <c r="V10" s="3"/>
      <c r="W10" s="3"/>
      <c r="X10" s="3"/>
    </row>
    <row r="11" ht="22" customHeight="1">
      <c r="A11" s="4"/>
      <c r="B11" s="2"/>
      <c r="C11" s="3"/>
      <c r="D11" s="3"/>
      <c r="E11" s="3"/>
      <c r="F11" s="3"/>
      <c r="G11" s="3"/>
      <c r="H11" s="3"/>
      <c r="I11" s="3"/>
      <c r="J11" s="3"/>
      <c r="K11" s="3"/>
      <c r="L11" s="3"/>
      <c r="M11" s="3"/>
      <c r="N11" s="3"/>
      <c r="O11" s="3"/>
      <c r="P11" s="3"/>
      <c r="Q11" s="3"/>
      <c r="R11" s="3"/>
      <c r="S11" s="3"/>
      <c r="T11" s="3"/>
      <c r="U11" s="3"/>
      <c r="V11" s="3"/>
      <c r="W11" s="3"/>
      <c r="X11" s="3"/>
    </row>
    <row r="12" ht="22" customHeight="1">
      <c r="A12" s="4"/>
      <c r="B12" s="2"/>
      <c r="C12" s="3"/>
      <c r="D12" s="3"/>
      <c r="E12" s="3"/>
      <c r="F12" s="3"/>
      <c r="G12" s="3"/>
      <c r="H12" s="3"/>
      <c r="I12" s="3"/>
      <c r="J12" s="3"/>
      <c r="K12" s="3"/>
      <c r="L12" s="3"/>
      <c r="M12" s="3"/>
      <c r="N12" s="3"/>
      <c r="O12" s="3"/>
      <c r="P12" s="3"/>
      <c r="Q12" s="3"/>
      <c r="R12" s="3"/>
      <c r="S12" s="3"/>
      <c r="T12" s="3"/>
      <c r="U12" s="3"/>
      <c r="V12" s="3"/>
      <c r="W12" s="3"/>
      <c r="X12" s="3"/>
    </row>
    <row r="13" ht="22" customHeight="1">
      <c r="A13" s="4"/>
      <c r="B13" s="2"/>
      <c r="C13" s="3"/>
      <c r="D13" s="3"/>
      <c r="E13" s="3"/>
      <c r="F13" s="3"/>
      <c r="G13" s="3"/>
      <c r="H13" s="3"/>
      <c r="I13" s="3"/>
      <c r="J13" s="3"/>
      <c r="K13" s="3"/>
      <c r="L13" s="3"/>
      <c r="M13" s="3"/>
      <c r="N13" s="3"/>
      <c r="O13" s="3"/>
      <c r="P13" s="3"/>
      <c r="Q13" s="3"/>
      <c r="R13" s="3"/>
      <c r="S13" s="3"/>
      <c r="T13" s="3"/>
      <c r="U13" s="3"/>
      <c r="V13" s="3"/>
      <c r="W13" s="3"/>
      <c r="X13" s="3"/>
    </row>
    <row r="14" ht="22" customHeight="1">
      <c r="A14" s="29" t="str">
        <v>Profitability</v>
      </c>
      <c r="B14" s="29"/>
      <c r="C14" s="32"/>
      <c r="D14" s="32"/>
      <c r="E14" s="32"/>
      <c r="F14" s="32"/>
      <c r="G14" s="32"/>
      <c r="H14" s="32"/>
      <c r="I14" s="32"/>
      <c r="J14" s="32"/>
      <c r="K14" s="32"/>
      <c r="L14" s="32"/>
      <c r="M14" s="32"/>
      <c r="N14" s="32"/>
      <c r="O14" s="32"/>
      <c r="P14" s="32"/>
      <c r="Q14" s="32"/>
      <c r="R14" s="32"/>
      <c r="S14" s="32"/>
      <c r="T14" s="32"/>
      <c r="U14" s="32"/>
      <c r="V14" s="32"/>
      <c r="W14" s="32"/>
      <c r="X14" s="32"/>
    </row>
    <row r="15" ht="20" customHeight="1">
      <c r="A15" s="56" t="str">
        <v>Gross profit margin</v>
      </c>
      <c r="B15" s="2"/>
      <c r="C15" s="72" t="n">
        <f>IF(COUNT('Income Statement'!C16,'Income Statement'!C13)=2,IF('Income Statement'!C13&lt;&gt;0,'Income Statement'!C16/'Income Statement'!C13,""),"")</f>
        <v>0.5505979394576347</v>
      </c>
      <c r="D15" s="72" t="n">
        <f>IF(COUNT('Income Statement'!D16,'Income Statement'!D13)=2,IF('Income Statement'!D13&lt;&gt;0,'Income Statement'!D16/'Income Statement'!D13,""),"")</f>
        <v>0.546698150334514</v>
      </c>
      <c r="E15" s="72" t="n">
        <f>IF(COUNT('Income Statement'!E16,'Income Statement'!E13)=2,IF('Income Statement'!E13&lt;&gt;0,'Income Statement'!E16/'Income Statement'!E13,""),"")</f>
        <v>0.5456148219173845</v>
      </c>
      <c r="F15" s="72" t="n">
        <f>IF(COUNT('Income Statement'!F16,'Income Statement'!F13)=2,IF('Income Statement'!F13&lt;&gt;0,'Income Statement'!F16/'Income Statement'!F13,""),"")</f>
        <v>0.5513467637468173</v>
      </c>
      <c r="G15" s="72" t="n">
        <f>IF(COUNT('Income Statement'!G16,'Income Statement'!G13)=2,IF('Income Statement'!G13&lt;&gt;0,'Income Statement'!G16/'Income Statement'!G13,""),"")</f>
        <v>0.5481583584380151</v>
      </c>
      <c r="H15" s="72" t="n">
        <f>IF(COUNT('Income Statement'!H16,'Income Statement'!H13)=2,IF('Income Statement'!H13&lt;&gt;0,'Income Statement'!H16/'Income Statement'!H13,""),"")</f>
        <v>0.5334952311447769</v>
      </c>
      <c r="I15" s="72" t="n">
        <f>IF(COUNT('Income Statement'!I16,'Income Statement'!I13)=2,IF('Income Statement'!I13&lt;&gt;0,'Income Statement'!I16/'Income Statement'!I13,""),"")</f>
        <v>0.5303268821187147</v>
      </c>
      <c r="J15" s="72" t="n">
        <f>IF(COUNT('Income Statement'!J16,'Income Statement'!J13)=2,IF('Income Statement'!J13&lt;&gt;0,'Income Statement'!J16/'Income Statement'!J13,""),"")</f>
        <v>0.5421390386023985</v>
      </c>
      <c r="K15" s="72" t="n">
        <f>IF(COUNT('Income Statement'!K16,'Income Statement'!K13)=2,IF('Income Statement'!K13&lt;&gt;0,'Income Statement'!K16/'Income Statement'!K13,""),"")</f>
        <v>0.5455396607659982</v>
      </c>
      <c r="L15" s="72" t="n">
        <f>IF(COUNT('Income Statement'!L16,'Income Statement'!L13)=2,IF('Income Statement'!L13&lt;&gt;0,'Income Statement'!L16/'Income Statement'!L13,""),"")</f>
        <v>0.541485227575193</v>
      </c>
      <c r="M15" s="60"/>
      <c r="N15" s="72" t="n">
        <f>IF(COUNT('Income Statement'!N16,'Income Statement'!N13)=2,IF('Income Statement'!N13&lt;&gt;0,'Income Statement'!N16/'Income Statement'!N13,""),"")</f>
        <v>0.548054794520548</v>
      </c>
      <c r="O15" s="72" t="n">
        <f>IF(COUNT('Income Statement'!O16,'Income Statement'!O13)=2,IF('Income Statement'!O13&lt;&gt;0,'Income Statement'!O16/'Income Statement'!O13,""),"")</f>
        <v>0.5591751477712101</v>
      </c>
      <c r="P15" s="72" t="n">
        <f>IF(COUNT('Income Statement'!P16,'Income Statement'!P13)=2,IF('Income Statement'!P13&lt;&gt;0,'Income Statement'!P16/'Income Statement'!P13,""),"")</f>
        <v>0.554183284017325</v>
      </c>
      <c r="Q15" s="72" t="n">
        <f>IF(COUNT('Income Statement'!Q16,'Income Statement'!Q13)=2,IF('Income Statement'!Q13&lt;&gt;0,'Income Statement'!Q16/'Income Statement'!Q13,""),"")</f>
        <v>0.5255902677800173</v>
      </c>
      <c r="R15" s="72" t="n">
        <f>IF(COUNT('Income Statement'!R16,'Income Statement'!R13)=2,IF('Income Statement'!R13&lt;&gt;0,'Income Statement'!R16/'Income Statement'!R13,""),"")</f>
        <v>0.5576762096099113</v>
      </c>
      <c r="S15" s="72" t="n">
        <f>IF(COUNT('Income Statement'!S16,'Income Statement'!S13)=2,IF('Income Statement'!S13&lt;&gt;0,'Income Statement'!S16/'Income Statement'!S13,""),"")</f>
        <v>0.5465986095221332</v>
      </c>
      <c r="T15" s="72" t="n">
        <f>IF(COUNT('Income Statement'!T16,'Income Statement'!T13)=2,IF('Income Statement'!T13&lt;&gt;0,'Income Statement'!T16/'Income Statement'!T13,""),"")</f>
        <v>0.5357396499143585</v>
      </c>
      <c r="U15" s="72" t="n">
        <f>IF(COUNT('Income Statement'!U16,'Income Statement'!U13)=2,IF('Income Statement'!U13&lt;&gt;0,'Income Statement'!U16/'Income Statement'!U13,""),"")</f>
        <v>0.5323245748560134</v>
      </c>
      <c r="V15" s="72" t="n">
        <f>IF(COUNT('Income Statement'!V16,'Income Statement'!V13)=2,IF('Income Statement'!V13&lt;&gt;0,'Income Statement'!V16/'Income Statement'!V13,""),"")</f>
        <v>0.5519209998457029</v>
      </c>
      <c r="W15" s="72" t="n">
        <f>IF(COUNT('Income Statement'!W16,'Income Statement'!W13)=2,IF('Income Statement'!W13&lt;&gt;0,'Income Statement'!W16/'Income Statement'!W13,""),"")</f>
        <v>0.5422025557255696</v>
      </c>
      <c r="X15" s="72" t="n">
        <f>IF(COUNT('Income Statement'!X16,'Income Statement'!X13)=2,IF('Income Statement'!X13&lt;&gt;0,'Income Statement'!X16/'Income Statement'!X13,""),"")</f>
        <v>0.5441956160481127</v>
      </c>
    </row>
    <row r="16" ht="20" customHeight="1">
      <c r="A16" s="56" t="str">
        <v>Operating profit margin</v>
      </c>
      <c r="B16" s="2"/>
      <c r="C16" s="72" t="n">
        <f>IF(COUNT('Income Statement'!C21,'Income Statement'!C13)=2,IF('Income Statement'!C13&lt;&gt;0,'Income Statement'!C21/'Income Statement'!C13,""),"")</f>
        <v>0.15611713562317872</v>
      </c>
      <c r="D16" s="72" t="n">
        <f>IF(COUNT('Income Statement'!D21,'Income Statement'!D13)=2,IF('Income Statement'!D13&lt;&gt;0,'Income Statement'!D21/'Income Statement'!D13,""),"")</f>
        <v>0.16176308539944903</v>
      </c>
      <c r="E16" s="72" t="n">
        <f>IF(COUNT('Income Statement'!E21,'Income Statement'!E13)=2,IF('Income Statement'!E13&lt;&gt;0,'Income Statement'!E21/'Income Statement'!E13,""),"")</f>
        <v>0.15635390730115525</v>
      </c>
      <c r="F16" s="72" t="n">
        <f>IF(COUNT('Income Statement'!F21,'Income Statement'!F13)=2,IF('Income Statement'!F13&lt;&gt;0,'Income Statement'!F21/'Income Statement'!F13,""),"")</f>
        <v>0.15322880838581915</v>
      </c>
      <c r="G16" s="72" t="n">
        <f>IF(COUNT('Income Statement'!G21,'Income Statement'!G13)=2,IF('Income Statement'!G13&lt;&gt;0,'Income Statement'!G21/'Income Statement'!G13,""),"")</f>
        <v>0.14323878815437957</v>
      </c>
      <c r="H16" s="72" t="n">
        <f>IF(COUNT('Income Statement'!H21,'Income Statement'!H13)=2,IF('Income Statement'!H13&lt;&gt;0,'Income Statement'!H21/'Income Statement'!H13,""),"")</f>
        <v>0.14044844854921107</v>
      </c>
      <c r="I16" s="72" t="n">
        <f>IF(COUNT('Income Statement'!I21,'Income Statement'!I13)=2,IF('Income Statement'!I13&lt;&gt;0,'Income Statement'!I21/'Income Statement'!I13,""),"")</f>
        <v>0.13325307898879526</v>
      </c>
      <c r="J16" s="72" t="n">
        <f>IF(COUNT('Income Statement'!J21,'Income Statement'!J13)=2,IF('Income Statement'!J13&lt;&gt;0,'Income Statement'!J21/'Income Statement'!J13,""),"")</f>
        <v>0.1310360660755868</v>
      </c>
      <c r="K16" s="72" t="n">
        <f>IF(COUNT('Income Statement'!K21,'Income Statement'!K13)=2,IF('Income Statement'!K13&lt;&gt;0,'Income Statement'!K21/'Income Statement'!K13,""),"")</f>
        <v>0.1402987349489407</v>
      </c>
      <c r="L16" s="72" t="n">
        <f>IF(COUNT('Income Statement'!L21,'Income Statement'!L13)=2,IF('Income Statement'!L13&lt;&gt;0,'Income Statement'!L21/'Income Statement'!L13,""),"")</f>
        <v>0.12241682193239287</v>
      </c>
      <c r="M16" s="60"/>
      <c r="N16" s="72" t="n">
        <f>IF(COUNT('Income Statement'!N21,'Income Statement'!N13)=2,IF('Income Statement'!N13&lt;&gt;0,'Income Statement'!N21/'Income Statement'!N13,""),"")</f>
        <v>0.14887671232876712</v>
      </c>
      <c r="O16" s="72" t="n">
        <f>IF(COUNT('Income Statement'!O21,'Income Statement'!O13)=2,IF('Income Statement'!O13&lt;&gt;0,'Income Statement'!O21/'Income Statement'!O13,""),"")</f>
        <v>0.17990311541709259</v>
      </c>
      <c r="P16" s="72" t="n">
        <f>IF(COUNT('Income Statement'!P21,'Income Statement'!P13)=2,IF('Income Statement'!P13&lt;&gt;0,'Income Statement'!P21/'Income Statement'!P13,""),"")</f>
        <v>0.16604485612590592</v>
      </c>
      <c r="Q16" s="72" t="n">
        <f>IF(COUNT('Income Statement'!Q21,'Income Statement'!Q13)=2,IF('Income Statement'!Q13&lt;&gt;0,'Income Statement'!Q21/'Income Statement'!Q13,""),"")</f>
        <v>0.08098186006334582</v>
      </c>
      <c r="R16" s="72" t="n">
        <f>IF(COUNT('Income Statement'!R21,'Income Statement'!R13)=2,IF('Income Statement'!R13&lt;&gt;0,'Income Statement'!R21/'Income Statement'!R13,""),"")</f>
        <v>0.14414866901054746</v>
      </c>
      <c r="S16" s="72" t="n">
        <f>IF(COUNT('Income Statement'!S21,'Income Statement'!S13)=2,IF('Income Statement'!S13&lt;&gt;0,'Income Statement'!S21/'Income Statement'!S13,""),"")</f>
        <v>0.0787204083428672</v>
      </c>
      <c r="T16" s="72" t="n">
        <f>IF(COUNT('Income Statement'!T21,'Income Statement'!T13)=2,IF('Income Statement'!T13&lt;&gt;0,'Income Statement'!T21/'Income Statement'!T13,""),"")</f>
        <v>0.14909972009859213</v>
      </c>
      <c r="U16" s="72" t="n">
        <f>IF(COUNT('Income Statement'!U21,'Income Statement'!U13)=2,IF('Income Statement'!U13&lt;&gt;0,'Income Statement'!U21/'Income Statement'!U13,""),"")</f>
        <v>0.12122141566983607</v>
      </c>
      <c r="V16" s="72" t="n">
        <f>IF(COUNT('Income Statement'!V21,'Income Statement'!V13)=2,IF('Income Statement'!V13&lt;&gt;0,'Income Statement'!V21/'Income Statement'!V13,""),"")</f>
        <v>0.16525227588335134</v>
      </c>
      <c r="W16" s="72" t="n">
        <f>IF(COUNT('Income Statement'!W21,'Income Statement'!W13)=2,IF('Income Statement'!W13&lt;&gt;0,'Income Statement'!W21/'Income Statement'!W13,""),"")</f>
        <v>0.16637029072412224</v>
      </c>
      <c r="X16" s="72" t="n">
        <f>IF(COUNT('Income Statement'!X21,'Income Statement'!X13)=2,IF('Income Statement'!X13&lt;&gt;0,'Income Statement'!X21/'Income Statement'!X13,""),"")</f>
        <v>0.16855266281554165</v>
      </c>
    </row>
    <row r="17" ht="20" customHeight="1">
      <c r="A17" s="56" t="str">
        <v>Net income attributable to PepsiCo / revenue</v>
      </c>
      <c r="B17" s="2"/>
      <c r="C17" s="72" t="n">
        <f>IF(COUNT('Income Statement'!C31,'Income Statement'!C13)=2,IF('Income Statement'!C13&lt;&gt;0,'Income Statement'!C31/'Income Statement'!C13,""),"")</f>
        <v>0.10078185958375134</v>
      </c>
      <c r="D17" s="72" t="n">
        <f>IF(COUNT('Income Statement'!D31,'Income Statement'!D13)=2,IF('Income Statement'!D13&lt;&gt;0,'Income Statement'!D31/'Income Statement'!D13,""),"")</f>
        <v>0.07645808736717828</v>
      </c>
      <c r="E17" s="72" t="n">
        <f>IF(COUNT('Income Statement'!E31,'Income Statement'!E13)=2,IF('Income Statement'!E13&lt;&gt;0,'Income Statement'!E31/'Income Statement'!E13,""),"")</f>
        <v>0.19354788821700872</v>
      </c>
      <c r="F17" s="72" t="n">
        <f>IF(COUNT('Income Statement'!F31,'Income Statement'!F13)=2,IF('Income Statement'!F13&lt;&gt;0,'Income Statement'!F31/'Income Statement'!F13,""),"")</f>
        <v>0.10890248805110109</v>
      </c>
      <c r="G17" s="72" t="n">
        <f>IF(COUNT('Income Statement'!G31,'Income Statement'!G13)=2,IF('Income Statement'!G13&lt;&gt;0,'Income Statement'!G31/'Income Statement'!G13,""),"")</f>
        <v>0.10117660433126811</v>
      </c>
      <c r="H17" s="72" t="n">
        <f>IF(COUNT('Income Statement'!H31,'Income Statement'!H13)=2,IF('Income Statement'!H13&lt;&gt;0,'Income Statement'!H31/'Income Statement'!H13,""),"")</f>
        <v>0.09585524825729169</v>
      </c>
      <c r="I17" s="72" t="n">
        <f>IF(COUNT('Income Statement'!I31,'Income Statement'!I13)=2,IF('Income Statement'!I13&lt;&gt;0,'Income Statement'!I31/'Income Statement'!I13,""),"")</f>
        <v>0.10313454949532364</v>
      </c>
      <c r="J17" s="72" t="n">
        <f>IF(COUNT('Income Statement'!J31,'Income Statement'!J13)=2,IF('Income Statement'!J13&lt;&gt;0,'Income Statement'!J31/'Income Statement'!J13,""),"")</f>
        <v>0.09920083961036831</v>
      </c>
      <c r="K17" s="72" t="n">
        <f>IF(COUNT('Income Statement'!K31,'Income Statement'!K13)=2,IF('Income Statement'!K13&lt;&gt;0,'Income Statement'!K31/'Income Statement'!K13,""),"")</f>
        <v>0.10427417423302197</v>
      </c>
      <c r="L17" s="72" t="n">
        <f>IF(COUNT('Income Statement'!L31,'Income Statement'!L13)=2,IF('Income Statement'!L13&lt;&gt;0,'Income Statement'!L31/'Income Statement'!L13,""),"")</f>
        <v>0.08772957146659568</v>
      </c>
      <c r="M17" s="60"/>
      <c r="N17" s="72" t="n">
        <f>IF(COUNT('Income Statement'!N31,'Income Statement'!N13)=2,IF('Income Statement'!N13&lt;&gt;0,'Income Statement'!N31/'Income Statement'!N13,""),"")</f>
        <v>0.1118904109589041</v>
      </c>
      <c r="O17" s="72" t="n">
        <f>IF(COUNT('Income Statement'!O31,'Income Statement'!O13)=2,IF('Income Statement'!O13&lt;&gt;0,'Income Statement'!O31/'Income Statement'!O13,""),"")</f>
        <v>0.13701613261632817</v>
      </c>
      <c r="P17" s="72" t="n">
        <f>IF(COUNT('Income Statement'!P31,'Income Statement'!P13)=2,IF('Income Statement'!P13&lt;&gt;0,'Income Statement'!P31/'Income Statement'!P13,""),"")</f>
        <v>0.12564861271924183</v>
      </c>
      <c r="Q17" s="72" t="n">
        <f>IF(COUNT('Income Statement'!Q31,'Income Statement'!Q13)=2,IF('Income Statement'!Q13&lt;&gt;0,'Income Statement'!Q31/'Income Statement'!Q13,""),"")</f>
        <v>0.05481572127843363</v>
      </c>
      <c r="R17" s="72" t="n">
        <f>IF(COUNT('Income Statement'!R31,'Income Statement'!R13)=2,IF('Income Statement'!R13&lt;&gt;0,'Income Statement'!R31/'Income Statement'!R13,""),"")</f>
        <v>0.10234946146548357</v>
      </c>
      <c r="S17" s="72" t="n">
        <f>IF(COUNT('Income Statement'!S31,'Income Statement'!S13)=2,IF('Income Statement'!S13&lt;&gt;0,'Income Statement'!S31/'Income Statement'!S13,""),"")</f>
        <v>0.05557511220628355</v>
      </c>
      <c r="T17" s="72" t="n">
        <f>IF(COUNT('Income Statement'!T31,'Income Statement'!T13)=2,IF('Income Statement'!T13&lt;&gt;0,'Income Statement'!T31/'Income Statement'!T13,""),"")</f>
        <v>0.10874378577098216</v>
      </c>
      <c r="U17" s="72" t="n">
        <f>IF(COUNT('Income Statement'!U31,'Income Statement'!U13)=2,IF('Income Statement'!U13&lt;&gt;0,'Income Statement'!U31/'Income Statement'!U13,""),"")</f>
        <v>0.08656238285110589</v>
      </c>
      <c r="V17" s="72" t="n">
        <f>IF(COUNT('Income Statement'!V31,'Income Statement'!V13)=2,IF('Income Statement'!V13&lt;&gt;0,'Income Statement'!V31/'Income Statement'!V13,""),"")</f>
        <v>0.11968317646453737</v>
      </c>
      <c r="W17" s="72" t="n">
        <f>IF(COUNT('Income Statement'!W31,'Income Statement'!W13)=2,IF('Income Statement'!W13&lt;&gt;0,'Income Statement'!W31/'Income Statement'!W13,""),"")</f>
        <v>0.12327860717091932</v>
      </c>
      <c r="X17" s="72" t="n">
        <f>IF(COUNT('Income Statement'!X31,'Income Statement'!X13)=2,IF('Income Statement'!X13&lt;&gt;0,'Income Statement'!X31/'Income Statement'!X13,""),"")</f>
        <v>0.12059824325393685</v>
      </c>
    </row>
    <row r="18" ht="20" customHeight="1">
      <c r="A18" s="56" t="str">
        <v>Effective income tax rate</v>
      </c>
      <c r="B18" s="2"/>
      <c r="C18" s="72" t="n">
        <f>IF(COUNT('Income Statement'!C28,'Income Statement'!C27)=2,IF('Income Statement'!C27&lt;&gt;0,'Income Statement'!C28/'Income Statement'!C27,""),"")</f>
        <v>0.2541798199462177</v>
      </c>
      <c r="D18" s="72" t="n">
        <f>IF(COUNT('Income Statement'!D28,'Income Statement'!D27)=2,IF('Income Statement'!D27&lt;&gt;0,'Income Statement'!D28/'Income Statement'!D27,""),"")</f>
        <v>0.4888564882316184</v>
      </c>
      <c r="E18" s="72" t="n">
        <f>IF(COUNT('Income Statement'!E28,'Income Statement'!E27)=2,IF('Income Statement'!E27&lt;&gt;0,'Income Statement'!E28/'Income Statement'!E27,""),"")</f>
        <v>-0.3667428447056263</v>
      </c>
      <c r="F18" s="72" t="n">
        <f>IF(COUNT('Income Statement'!F28,'Income Statement'!F27)=2,IF('Income Statement'!F27&lt;&gt;0,'Income Statement'!F28/'Income Statement'!F27,""),"")</f>
        <v>0.2103737113402062</v>
      </c>
      <c r="G18" s="72" t="n">
        <f>IF(COUNT('Income Statement'!G28,'Income Statement'!G27)=2,IF('Income Statement'!G27&lt;&gt;0,'Income Statement'!G28/'Income Statement'!G27,""),"")</f>
        <v>0.20884331238284265</v>
      </c>
      <c r="H18" s="72" t="n">
        <f>IF(COUNT('Income Statement'!H28,'Income Statement'!H27)=2,IF('Income Statement'!H27&lt;&gt;0,'Income Statement'!H28/'Income Statement'!H27,""),"")</f>
        <v>0.218104062722737</v>
      </c>
      <c r="I18" s="72" t="n">
        <f>IF(COUNT('Income Statement'!I28,'Income Statement'!I27)=2,IF('Income Statement'!I27&lt;&gt;0,'Income Statement'!I28/'Income Statement'!I27,""),"")</f>
        <v>0.16132648295189164</v>
      </c>
      <c r="J18" s="72" t="n">
        <f>IF(COUNT('Income Statement'!J28,'Income Statement'!J27)=2,IF('Income Statement'!J27&lt;&gt;0,'Income Statement'!J28/'Income Statement'!J27,""),"")</f>
        <v>0.19812560217219935</v>
      </c>
      <c r="K18" s="72" t="n">
        <f>IF(COUNT('Income Statement'!K28,'Income Statement'!K27)=2,IF('Income Statement'!K27&lt;&gt;0,'Income Statement'!K28/'Income Statement'!K27,""),"")</f>
        <v>0.19420726603047045</v>
      </c>
      <c r="L18" s="72" t="n">
        <f>IF(COUNT('Income Statement'!L28,'Income Statement'!L27)=2,IF('Income Statement'!L27&lt;&gt;0,'Income Statement'!L28/'Income Statement'!L27,""),"")</f>
        <v>0.1902577118313159</v>
      </c>
      <c r="M18" s="60"/>
      <c r="N18" s="72" t="n">
        <f>IF(COUNT('Income Statement'!N28,'Income Statement'!N27)=2,IF('Income Statement'!N27&lt;&gt;0,'Income Statement'!N28/'Income Statement'!N27,""),"")</f>
        <v>0.20209871745044694</v>
      </c>
      <c r="O18" s="72" t="n">
        <f>IF(COUNT('Income Statement'!O28,'Income Statement'!O27)=2,IF('Income Statement'!O27&lt;&gt;0,'Income Statement'!O28/'Income Statement'!O27,""),"")</f>
        <v>0.20051679586563306</v>
      </c>
      <c r="P18" s="72" t="n">
        <f>IF(COUNT('Income Statement'!P28,'Income Statement'!P27)=2,IF('Income Statement'!P27&lt;&gt;0,'Income Statement'!P28/'Income Statement'!P27,""),"")</f>
        <v>0.20276123443421765</v>
      </c>
      <c r="Q18" s="72" t="n">
        <f>IF(COUNT('Income Statement'!Q28,'Income Statement'!Q27)=2,IF('Income Statement'!Q27&lt;&gt;0,'Income Statement'!Q28/'Income Statement'!Q27,""),"")</f>
        <v>0.15201768933112217</v>
      </c>
      <c r="R18" s="72" t="n">
        <f>IF(COUNT('Income Statement'!R28,'Income Statement'!R27)=2,IF('Income Statement'!R27&lt;&gt;0,'Income Statement'!R28/'Income Statement'!R27,""),"")</f>
        <v>0.213065755764304</v>
      </c>
      <c r="S18" s="72" t="n">
        <f>IF(COUNT('Income Statement'!S28,'Income Statement'!S27)=2,IF('Income Statement'!S27&lt;&gt;0,'Income Statement'!S28/'Income Statement'!S27,""),"")</f>
        <v>0.18586887332908975</v>
      </c>
      <c r="T18" s="72" t="n">
        <f>IF(COUNT('Income Statement'!T28,'Income Statement'!T27)=2,IF('Income Statement'!T27&lt;&gt;0,'Income Statement'!T28/'Income Statement'!T27,""),"")</f>
        <v>0.2140498348844191</v>
      </c>
      <c r="U18" s="72" t="n">
        <f>IF(COUNT('Income Statement'!U28,'Income Statement'!U27)=2,IF('Income Statement'!U27&lt;&gt;0,'Income Statement'!U28/'Income Statement'!U27,""),"")</f>
        <v>0.14833333333333334</v>
      </c>
      <c r="V18" s="72" t="n">
        <f>IF(COUNT('Income Statement'!V28,'Income Statement'!V27)=2,IF('Income Statement'!V27&lt;&gt;0,'Income Statement'!V28/'Income Statement'!V27,""),"")</f>
        <v>0.2127946127946128</v>
      </c>
      <c r="W18" s="72" t="n">
        <f>IF(COUNT('Income Statement'!W28,'Income Statement'!W27)=2,IF('Income Statement'!W27&lt;&gt;0,'Income Statement'!W28/'Income Statement'!W27,""),"")</f>
        <v>0.2201453790238837</v>
      </c>
      <c r="X18" s="72" t="n">
        <f>IF(COUNT('Income Statement'!X28,'Income Statement'!X27)=2,IF('Income Statement'!X27&lt;&gt;0,'Income Statement'!X28/'Income Statement'!X27,""),"")</f>
        <v>0.21362704918032788</v>
      </c>
    </row>
    <row r="19" ht="22" customHeight="1">
      <c r="A19" s="4" t="str">
        <v>Depreciation and amortization</v>
      </c>
      <c r="B19" s="2"/>
      <c r="C19" s="74" t="n">
        <f>IF(COUNT('Cash Flow'!C15)=1,'Cash Flow'!C15,"")</f>
        <v>2368</v>
      </c>
      <c r="D19" s="74" t="n">
        <f>IF(COUNT('Cash Flow'!D15)=1,'Cash Flow'!D15,"")</f>
        <v>2369</v>
      </c>
      <c r="E19" s="74" t="n">
        <f>IF(COUNT('Cash Flow'!E15)=1,'Cash Flow'!E15,"")</f>
        <v>2399</v>
      </c>
      <c r="F19" s="74" t="n">
        <f>IF(COUNT('Cash Flow'!F15)=1,'Cash Flow'!F15,"")</f>
        <v>2432</v>
      </c>
      <c r="G19" s="74" t="n">
        <f>IF(COUNT('Cash Flow'!G15)=1,'Cash Flow'!G15,"")</f>
        <v>2548</v>
      </c>
      <c r="H19" s="74" t="n">
        <f>IF(COUNT('Cash Flow'!H15)=1,'Cash Flow'!H15,"")</f>
        <v>2710</v>
      </c>
      <c r="I19" s="74" t="n">
        <f>IF(COUNT('Cash Flow'!I15)=1,'Cash Flow'!I15,"")</f>
        <v>2763</v>
      </c>
      <c r="J19" s="74" t="n">
        <f>IF(COUNT('Cash Flow'!J15)=1,'Cash Flow'!J15,"")</f>
        <v>2948</v>
      </c>
      <c r="K19" s="74" t="n">
        <f>IF(COUNT('Cash Flow'!K15)=1,'Cash Flow'!K15,"")</f>
        <v>3160</v>
      </c>
      <c r="L19" s="74" t="n">
        <f>IF(COUNT('Cash Flow'!L15)=1,'Cash Flow'!L15,"")</f>
        <v>3451</v>
      </c>
      <c r="M19" s="45"/>
      <c r="N19" s="74" t="n">
        <f>IF(COUNT('Cash Flow'!N99)=1,'Cash Flow'!N99,"")</f>
        <v>641</v>
      </c>
      <c r="O19" s="74" t="n">
        <f>IF(COUNT('Cash Flow'!O99)=1,'Cash Flow'!O99,"")</f>
        <v>738</v>
      </c>
      <c r="P19" s="74" t="n">
        <f>IF(COUNT('Cash Flow'!P99)=1,'Cash Flow'!P99,"")</f>
        <v>739</v>
      </c>
      <c r="Q19" s="74" t="n">
        <f>IF(COUNT('Cash Flow'!Q99)=1,'Cash Flow'!Q99,"")</f>
        <v>1042</v>
      </c>
      <c r="R19" s="74" t="n">
        <f>IF(COUNT('Cash Flow'!R99)=1,'Cash Flow'!R99,"")</f>
        <v>684</v>
      </c>
      <c r="S19" s="74" t="n">
        <f>IF(COUNT('Cash Flow'!S99)=1,'Cash Flow'!S99,"")</f>
        <v>807</v>
      </c>
      <c r="T19" s="74" t="n">
        <f>IF(COUNT('Cash Flow'!T99)=1,'Cash Flow'!T99,"")</f>
        <v>824</v>
      </c>
      <c r="U19" s="74" t="n">
        <f>IF(COUNT('Cash Flow'!U99)=1,'Cash Flow'!U99,"")</f>
        <v>1136</v>
      </c>
      <c r="V19" s="74" t="n">
        <f>IF(COUNT('Cash Flow'!V99)=1,'Cash Flow'!V99,"")</f>
        <v>742</v>
      </c>
      <c r="W19" s="74" t="n">
        <f>IF(COUNT('Cash Flow'!W99)=1,'Cash Flow'!W99,"")</f>
        <v>897</v>
      </c>
      <c r="X19" s="74" t="n">
        <f>IF(COUNT('Cash Flow'!X99)=1,'Cash Flow'!X99,"")</f>
        <v>892</v>
      </c>
    </row>
    <row r="20" ht="36" customHeight="1">
      <c r="A20" s="4" t="str">
        <v>Calculated EBITDA (operating profit + depreciation and amortization)</v>
      </c>
      <c r="B20" s="2"/>
      <c r="C20" s="74" t="n">
        <f>IF(COUNT('Income Statement'!C21,'Derived Metrics'!C19)=2,'Income Statement'!C21+'Derived Metrics'!C19,"")</f>
        <v>12172</v>
      </c>
      <c r="D20" s="74" t="n">
        <f>IF(COUNT('Income Statement'!D21,'Derived Metrics'!D19)=2,'Income Statement'!D21+'Derived Metrics'!D19,"")</f>
        <v>12645</v>
      </c>
      <c r="E20" s="74" t="n">
        <f>IF(COUNT('Income Statement'!E21,'Derived Metrics'!E19)=2,'Income Statement'!E21+'Derived Metrics'!E19,"")</f>
        <v>12509</v>
      </c>
      <c r="F20" s="74" t="n">
        <f>IF(COUNT('Income Statement'!F21,'Derived Metrics'!F19)=2,'Income Statement'!F21+'Derived Metrics'!F19,"")</f>
        <v>12723</v>
      </c>
      <c r="G20" s="74" t="n">
        <f>IF(COUNT('Income Statement'!G21,'Derived Metrics'!G19)=2,'Income Statement'!G21+'Derived Metrics'!G19,"")</f>
        <v>12628</v>
      </c>
      <c r="H20" s="74" t="n">
        <f>IF(COUNT('Income Statement'!H21,'Derived Metrics'!H19)=2,'Income Statement'!H21+'Derived Metrics'!H19,"")</f>
        <v>13872</v>
      </c>
      <c r="I20" s="74" t="n">
        <f>IF(COUNT('Income Statement'!I21,'Derived Metrics'!I19)=2,'Income Statement'!I21+'Derived Metrics'!I19,"")</f>
        <v>14275</v>
      </c>
      <c r="J20" s="74" t="n">
        <f>IF(COUNT('Income Statement'!J21,'Derived Metrics'!J19)=2,'Income Statement'!J21+'Derived Metrics'!J19,"")</f>
        <v>14934</v>
      </c>
      <c r="K20" s="74" t="n">
        <f>IF(COUNT('Income Statement'!K21,'Derived Metrics'!K19)=2,'Income Statement'!K21+'Derived Metrics'!K19,"")</f>
        <v>16047</v>
      </c>
      <c r="L20" s="74" t="n">
        <f>IF(COUNT('Income Statement'!L21,'Derived Metrics'!L19)=2,'Income Statement'!L21+'Derived Metrics'!L19,"")</f>
        <v>14949</v>
      </c>
      <c r="M20" s="45"/>
      <c r="N20" s="74" t="n">
        <f>IF(COUNT('Income Statement'!N21,'Derived Metrics'!N19)=2,'Income Statement'!N21+'Derived Metrics'!N19,"")</f>
        <v>3358</v>
      </c>
      <c r="O20" s="74" t="n">
        <f>IF(COUNT('Income Statement'!O21,'Derived Metrics'!O19)=2,'Income Statement'!O21+'Derived Metrics'!O19,"")</f>
        <v>4786</v>
      </c>
      <c r="P20" s="74" t="n">
        <f>IF(COUNT('Income Statement'!P21,'Derived Metrics'!P19)=2,'Income Statement'!P21+'Derived Metrics'!P19,"")</f>
        <v>4611</v>
      </c>
      <c r="Q20" s="74" t="n">
        <f>IF(COUNT('Income Statement'!Q21,'Derived Metrics'!Q19)=2,'Income Statement'!Q21+'Derived Metrics'!Q19,"")</f>
        <v>3292</v>
      </c>
      <c r="R20" s="74" t="n">
        <f>IF(COUNT('Income Statement'!R21,'Derived Metrics'!R19)=2,'Income Statement'!R21+'Derived Metrics'!R19,"")</f>
        <v>3267</v>
      </c>
      <c r="S20" s="74" t="n">
        <f>IF(COUNT('Income Statement'!S21,'Derived Metrics'!S19)=2,'Income Statement'!S21+'Derived Metrics'!S19,"")</f>
        <v>2596</v>
      </c>
      <c r="T20" s="74" t="n">
        <f>IF(COUNT('Income Statement'!T21,'Derived Metrics'!T19)=2,'Income Statement'!T21+'Derived Metrics'!T19,"")</f>
        <v>4393</v>
      </c>
      <c r="U20" s="74" t="n">
        <f>IF(COUNT('Income Statement'!U21,'Derived Metrics'!U19)=2,'Income Statement'!U21+'Derived Metrics'!U19,"")</f>
        <v>4693</v>
      </c>
      <c r="V20" s="74" t="n">
        <f>IF(COUNT('Income Statement'!V21,'Derived Metrics'!V19)=2,'Income Statement'!V21+'Derived Metrics'!V19,"")</f>
        <v>3955</v>
      </c>
      <c r="W20" s="74" t="n">
        <f>IF(COUNT('Income Statement'!W21,'Derived Metrics'!W19)=2,'Income Statement'!W21+'Derived Metrics'!W19,"")</f>
        <v>4920</v>
      </c>
      <c r="X20" s="74" t="n">
        <f>IF(COUNT('Income Statement'!X21,'Derived Metrics'!X19)=2,'Income Statement'!X21+'Derived Metrics'!X19,"")</f>
        <v>5152</v>
      </c>
    </row>
    <row r="21" ht="22" customHeight="1">
      <c r="A21" s="4"/>
      <c r="B21" s="2"/>
      <c r="C21" s="3"/>
      <c r="D21" s="3"/>
      <c r="E21" s="3"/>
      <c r="F21" s="3"/>
      <c r="G21" s="3"/>
      <c r="H21" s="3"/>
      <c r="I21" s="3"/>
      <c r="J21" s="3"/>
      <c r="K21" s="3"/>
      <c r="L21" s="3"/>
      <c r="M21" s="3"/>
      <c r="N21" s="3"/>
      <c r="O21" s="3"/>
      <c r="P21" s="3"/>
      <c r="Q21" s="3"/>
      <c r="R21" s="3"/>
      <c r="S21" s="3"/>
      <c r="T21" s="3"/>
      <c r="U21" s="3"/>
      <c r="V21" s="3"/>
      <c r="W21" s="3"/>
      <c r="X21" s="3"/>
    </row>
    <row r="22" ht="22" customHeight="1">
      <c r="A22" s="29" t="str">
        <v>Cash generation and shareholder returns</v>
      </c>
      <c r="B22" s="29"/>
      <c r="C22" s="32"/>
      <c r="D22" s="32"/>
      <c r="E22" s="32"/>
      <c r="F22" s="32"/>
      <c r="G22" s="32"/>
      <c r="H22" s="32"/>
      <c r="I22" s="32"/>
      <c r="J22" s="32"/>
      <c r="K22" s="32"/>
      <c r="L22" s="32"/>
      <c r="M22" s="32"/>
      <c r="N22" s="32"/>
      <c r="O22" s="32"/>
      <c r="P22" s="32"/>
      <c r="Q22" s="32"/>
      <c r="R22" s="32"/>
      <c r="S22" s="32"/>
      <c r="T22" s="32"/>
      <c r="U22" s="32"/>
      <c r="V22" s="32"/>
      <c r="W22" s="32"/>
      <c r="X22" s="32"/>
    </row>
    <row r="23" ht="22" customHeight="1">
      <c r="A23" s="4" t="str">
        <v>Operating cash flow</v>
      </c>
      <c r="B23" s="2"/>
      <c r="C23" s="74" t="n">
        <f>IF(COUNT('Cash Flow'!C46)=1,'Cash Flow'!C46,"")</f>
        <v>10663</v>
      </c>
      <c r="D23" s="74" t="n">
        <f>IF(COUNT('Cash Flow'!D46)=1,'Cash Flow'!D46,"")</f>
        <v>10030</v>
      </c>
      <c r="E23" s="74" t="n">
        <f>IF(COUNT('Cash Flow'!E46)=1,'Cash Flow'!E46,"")</f>
        <v>9415</v>
      </c>
      <c r="F23" s="74" t="n">
        <f>IF(COUNT('Cash Flow'!F46)=1,'Cash Flow'!F46,"")</f>
        <v>9649</v>
      </c>
      <c r="G23" s="74" t="n">
        <f>IF(COUNT('Cash Flow'!G46)=1,'Cash Flow'!G46,"")</f>
        <v>10613</v>
      </c>
      <c r="H23" s="74" t="n">
        <f>IF(COUNT('Cash Flow'!H46)=1,'Cash Flow'!H46,"")</f>
        <v>11616</v>
      </c>
      <c r="I23" s="74" t="n">
        <f>IF(COUNT('Cash Flow'!I46)=1,'Cash Flow'!I46,"")</f>
        <v>10811</v>
      </c>
      <c r="J23" s="74" t="n">
        <f>IF(COUNT('Cash Flow'!J46)=1,'Cash Flow'!J46,"")</f>
        <v>13442</v>
      </c>
      <c r="K23" s="74" t="n">
        <f>IF(COUNT('Cash Flow'!K46)=1,'Cash Flow'!K46,"")</f>
        <v>12507</v>
      </c>
      <c r="L23" s="74" t="n">
        <f>IF(COUNT('Cash Flow'!L46)=1,'Cash Flow'!L46,"")</f>
        <v>12087</v>
      </c>
      <c r="M23" s="45"/>
      <c r="N23" s="74" t="n">
        <f>IF(COUNT('Cash Flow'!N112)=1,'Cash Flow'!N112,"")</f>
        <v>-1041</v>
      </c>
      <c r="O23" s="74" t="n">
        <f>IF(COUNT('Cash Flow'!O112)=1,'Cash Flow'!O112,"")</f>
        <v>2356</v>
      </c>
      <c r="P23" s="74" t="n">
        <f>IF(COUNT('Cash Flow'!P112)=1,'Cash Flow'!P112,"")</f>
        <v>4905</v>
      </c>
      <c r="Q23" s="74" t="n">
        <f>IF(COUNT('Cash Flow'!Q112)=1,'Cash Flow'!Q112,"")</f>
        <v>6287</v>
      </c>
      <c r="R23" s="74" t="n">
        <f>IF(COUNT('Cash Flow'!R112)=1,'Cash Flow'!R112,"")</f>
        <v>-973</v>
      </c>
      <c r="S23" s="74" t="n">
        <f>IF(COUNT('Cash Flow'!S112)=1,'Cash Flow'!S112,"")</f>
        <v>1969</v>
      </c>
      <c r="T23" s="74" t="n">
        <f>IF(COUNT('Cash Flow'!T112)=1,'Cash Flow'!T112,"")</f>
        <v>4472</v>
      </c>
      <c r="U23" s="74" t="n">
        <f>IF(COUNT('Cash Flow'!U112)=1,'Cash Flow'!U112,"")</f>
        <v>6619</v>
      </c>
      <c r="V23" s="74" t="n">
        <f>IF(COUNT('Cash Flow'!V112)=1,'Cash Flow'!V112,"")</f>
        <v>41</v>
      </c>
      <c r="W23" s="74" t="n">
        <f>IF(COUNT('Cash Flow'!W112)=1,'Cash Flow'!W112,"")</f>
        <v>2324</v>
      </c>
      <c r="X23" s="74" t="n">
        <f>IF(COUNT('Cash Flow'!X112)=1,'Cash Flow'!X112,"")</f>
        <v>5585</v>
      </c>
    </row>
    <row r="24" ht="22" customHeight="1">
      <c r="A24" s="4" t="str">
        <v>Capital spending (positive)</v>
      </c>
      <c r="B24" s="2"/>
      <c r="C24" s="74" t="n">
        <f>IF(COUNT('Cash Flow'!C48)=1,-'Cash Flow'!C48,"")</f>
        <v>3040</v>
      </c>
      <c r="D24" s="74" t="n">
        <f>IF(COUNT('Cash Flow'!D48)=1,-'Cash Flow'!D48,"")</f>
        <v>2969</v>
      </c>
      <c r="E24" s="74" t="n">
        <f>IF(COUNT('Cash Flow'!E48)=1,-'Cash Flow'!E48,"")</f>
        <v>3282</v>
      </c>
      <c r="F24" s="74" t="n">
        <f>IF(COUNT('Cash Flow'!F48)=1,-'Cash Flow'!F48,"")</f>
        <v>4232</v>
      </c>
      <c r="G24" s="74" t="n">
        <f>IF(COUNT('Cash Flow'!G48)=1,-'Cash Flow'!G48,"")</f>
        <v>4240</v>
      </c>
      <c r="H24" s="74" t="n">
        <f>IF(COUNT('Cash Flow'!H48)=1,-'Cash Flow'!H48,"")</f>
        <v>4625</v>
      </c>
      <c r="I24" s="74" t="n">
        <f>IF(COUNT('Cash Flow'!I48)=1,-'Cash Flow'!I48,"")</f>
        <v>5207</v>
      </c>
      <c r="J24" s="74" t="n">
        <f>IF(COUNT('Cash Flow'!J48)=1,-'Cash Flow'!J48,"")</f>
        <v>5518</v>
      </c>
      <c r="K24" s="74" t="n">
        <f>IF(COUNT('Cash Flow'!K48)=1,-'Cash Flow'!K48,"")</f>
        <v>5318</v>
      </c>
      <c r="L24" s="74" t="n">
        <f>IF(COUNT('Cash Flow'!L48)=1,-'Cash Flow'!L48,"")</f>
        <v>4415</v>
      </c>
      <c r="M24" s="45"/>
      <c r="N24" s="74" t="n">
        <f>IF(COUNT('Cash Flow'!N114)=1,-'Cash Flow'!N114,"")</f>
        <v>614</v>
      </c>
      <c r="O24" s="74" t="n">
        <f>IF(COUNT('Cash Flow'!O114)=1,-'Cash Flow'!O114,"")</f>
        <v>1087</v>
      </c>
      <c r="P24" s="74" t="n">
        <f>IF(COUNT('Cash Flow'!P114)=1,-'Cash Flow'!P114,"")</f>
        <v>1149</v>
      </c>
      <c r="Q24" s="74" t="n">
        <f>IF(COUNT('Cash Flow'!Q114)=1,-'Cash Flow'!Q114,"")</f>
        <v>2468</v>
      </c>
      <c r="R24" s="74" t="n">
        <f>IF(COUNT('Cash Flow'!R114)=1,-'Cash Flow'!R114,"")</f>
        <v>603</v>
      </c>
      <c r="S24" s="74" t="n">
        <f>IF(COUNT('Cash Flow'!S114)=1,-'Cash Flow'!S114,"")</f>
        <v>904</v>
      </c>
      <c r="T24" s="74" t="n">
        <f>IF(COUNT('Cash Flow'!T114)=1,-'Cash Flow'!T114,"")</f>
        <v>992</v>
      </c>
      <c r="U24" s="74" t="n">
        <f>IF(COUNT('Cash Flow'!U114)=1,-'Cash Flow'!U114,"")</f>
        <v>1916</v>
      </c>
      <c r="V24" s="74" t="n">
        <f>IF(COUNT('Cash Flow'!V114)=1,-'Cash Flow'!V114,"")</f>
        <v>447</v>
      </c>
      <c r="W24" s="74" t="n">
        <f>IF(COUNT('Cash Flow'!W114)=1,-'Cash Flow'!W114,"")</f>
        <v>819</v>
      </c>
      <c r="X24" s="74" t="n">
        <f>IF(COUNT('Cash Flow'!X114)=1,-'Cash Flow'!X114,"")</f>
        <v>916</v>
      </c>
    </row>
    <row r="25" ht="24" customHeight="1">
      <c r="A25" s="51" t="str">
        <v>Analyst FCF (OCF − capital spending)</v>
      </c>
      <c r="B25" s="52"/>
      <c r="C25" s="54" t="n">
        <f>IF(COUNT('Derived Metrics'!C23,'Derived Metrics'!C24)=2,'Derived Metrics'!C23-'Derived Metrics'!C24,"")</f>
        <v>7623</v>
      </c>
      <c r="D25" s="54" t="n">
        <f>IF(COUNT('Derived Metrics'!D23,'Derived Metrics'!D24)=2,'Derived Metrics'!D23-'Derived Metrics'!D24,"")</f>
        <v>7061</v>
      </c>
      <c r="E25" s="54" t="n">
        <f>IF(COUNT('Derived Metrics'!E23,'Derived Metrics'!E24)=2,'Derived Metrics'!E23-'Derived Metrics'!E24,"")</f>
        <v>6133</v>
      </c>
      <c r="F25" s="54" t="n">
        <f>IF(COUNT('Derived Metrics'!F23,'Derived Metrics'!F24)=2,'Derived Metrics'!F23-'Derived Metrics'!F24,"")</f>
        <v>5417</v>
      </c>
      <c r="G25" s="54" t="n">
        <f>IF(COUNT('Derived Metrics'!G23,'Derived Metrics'!G24)=2,'Derived Metrics'!G23-'Derived Metrics'!G24,"")</f>
        <v>6373</v>
      </c>
      <c r="H25" s="54" t="n">
        <f>IF(COUNT('Derived Metrics'!H23,'Derived Metrics'!H24)=2,'Derived Metrics'!H23-'Derived Metrics'!H24,"")</f>
        <v>6991</v>
      </c>
      <c r="I25" s="54" t="n">
        <f>IF(COUNT('Derived Metrics'!I23,'Derived Metrics'!I24)=2,'Derived Metrics'!I23-'Derived Metrics'!I24,"")</f>
        <v>5604</v>
      </c>
      <c r="J25" s="54" t="n">
        <f>IF(COUNT('Derived Metrics'!J23,'Derived Metrics'!J24)=2,'Derived Metrics'!J23-'Derived Metrics'!J24,"")</f>
        <v>7924</v>
      </c>
      <c r="K25" s="54" t="n">
        <f>IF(COUNT('Derived Metrics'!K23,'Derived Metrics'!K24)=2,'Derived Metrics'!K23-'Derived Metrics'!K24,"")</f>
        <v>7189</v>
      </c>
      <c r="L25" s="54" t="n">
        <f>IF(COUNT('Derived Metrics'!L23,'Derived Metrics'!L24)=2,'Derived Metrics'!L23-'Derived Metrics'!L24,"")</f>
        <v>7672</v>
      </c>
      <c r="M25" s="55"/>
      <c r="N25" s="54" t="n">
        <f>IF(COUNT('Derived Metrics'!N23,'Derived Metrics'!N24)=2,'Derived Metrics'!N23-'Derived Metrics'!N24,"")</f>
        <v>-1655</v>
      </c>
      <c r="O25" s="54" t="n">
        <f>IF(COUNT('Derived Metrics'!O23,'Derived Metrics'!O24)=2,'Derived Metrics'!O23-'Derived Metrics'!O24,"")</f>
        <v>1269</v>
      </c>
      <c r="P25" s="54" t="n">
        <f>IF(COUNT('Derived Metrics'!P23,'Derived Metrics'!P24)=2,'Derived Metrics'!P23-'Derived Metrics'!P24,"")</f>
        <v>3756</v>
      </c>
      <c r="Q25" s="54" t="n">
        <f>IF(COUNT('Derived Metrics'!Q23,'Derived Metrics'!Q24)=2,'Derived Metrics'!Q23-'Derived Metrics'!Q24,"")</f>
        <v>3819</v>
      </c>
      <c r="R25" s="54" t="n">
        <f>IF(COUNT('Derived Metrics'!R23,'Derived Metrics'!R24)=2,'Derived Metrics'!R23-'Derived Metrics'!R24,"")</f>
        <v>-1576</v>
      </c>
      <c r="S25" s="54" t="n">
        <f>IF(COUNT('Derived Metrics'!S23,'Derived Metrics'!S24)=2,'Derived Metrics'!S23-'Derived Metrics'!S24,"")</f>
        <v>1065</v>
      </c>
      <c r="T25" s="54" t="n">
        <f>IF(COUNT('Derived Metrics'!T23,'Derived Metrics'!T24)=2,'Derived Metrics'!T23-'Derived Metrics'!T24,"")</f>
        <v>3480</v>
      </c>
      <c r="U25" s="54" t="n">
        <f>IF(COUNT('Derived Metrics'!U23,'Derived Metrics'!U24)=2,'Derived Metrics'!U23-'Derived Metrics'!U24,"")</f>
        <v>4703</v>
      </c>
      <c r="V25" s="54" t="n">
        <f>IF(COUNT('Derived Metrics'!V23,'Derived Metrics'!V24)=2,'Derived Metrics'!V23-'Derived Metrics'!V24,"")</f>
        <v>-406</v>
      </c>
      <c r="W25" s="54" t="n">
        <f>IF(COUNT('Derived Metrics'!W23,'Derived Metrics'!W24)=2,'Derived Metrics'!W23-'Derived Metrics'!W24,"")</f>
        <v>1505</v>
      </c>
      <c r="X25" s="54" t="n">
        <f>IF(COUNT('Derived Metrics'!X23,'Derived Metrics'!X24)=2,'Derived Metrics'!X23-'Derived Metrics'!X24,"")</f>
        <v>4669</v>
      </c>
    </row>
    <row r="26" ht="22" customHeight="1">
      <c r="A26" s="4" t="str">
        <v>Company-defined FCF (including PP&amp;E sale proceeds)</v>
      </c>
      <c r="B26" s="2"/>
      <c r="C26" s="74" t="n">
        <f>IF(COUNT('Derived Metrics'!C25,'Cash Flow'!C49)=2,'Derived Metrics'!C25+'Cash Flow'!C49,"")</f>
        <v>7722</v>
      </c>
      <c r="D26" s="74" t="n">
        <f>IF(COUNT('Derived Metrics'!D25,'Cash Flow'!D49)=2,'Derived Metrics'!D25+'Cash Flow'!D49,"")</f>
        <v>7241</v>
      </c>
      <c r="E26" s="74" t="n">
        <f>IF(COUNT('Derived Metrics'!E25,'Cash Flow'!E49)=2,'Derived Metrics'!E25+'Cash Flow'!E49,"")</f>
        <v>6267</v>
      </c>
      <c r="F26" s="74" t="n">
        <f>IF(COUNT('Derived Metrics'!F25,'Cash Flow'!F49)=2,'Derived Metrics'!F25+'Cash Flow'!F49,"")</f>
        <v>5587</v>
      </c>
      <c r="G26" s="74" t="n">
        <f>IF(COUNT('Derived Metrics'!G25,'Cash Flow'!G49)=2,'Derived Metrics'!G25+'Cash Flow'!G49,"")</f>
        <v>6428</v>
      </c>
      <c r="H26" s="74" t="n">
        <f>IF(COUNT('Derived Metrics'!H25,'Cash Flow'!H49)=2,'Derived Metrics'!H25+'Cash Flow'!H49,"")</f>
        <v>7157</v>
      </c>
      <c r="I26" s="74" t="n">
        <f>IF(COUNT('Derived Metrics'!I25,'Cash Flow'!I49)=2,'Derived Metrics'!I25+'Cash Flow'!I49,"")</f>
        <v>5855</v>
      </c>
      <c r="J26" s="74" t="n">
        <f>IF(COUNT('Derived Metrics'!J25,'Cash Flow'!J49)=2,'Derived Metrics'!J25+'Cash Flow'!J49,"")</f>
        <v>8122</v>
      </c>
      <c r="K26" s="74" t="n">
        <f>IF(COUNT('Derived Metrics'!K25,'Cash Flow'!K49)=2,'Derived Metrics'!K25+'Cash Flow'!K49,"")</f>
        <v>7531</v>
      </c>
      <c r="L26" s="74" t="n">
        <f>IF(COUNT('Derived Metrics'!L25,'Cash Flow'!L49)=2,'Derived Metrics'!L25+'Cash Flow'!L49,"")</f>
        <v>8200</v>
      </c>
      <c r="M26" s="45"/>
      <c r="N26" s="74" t="n">
        <f>IF(COUNT('Derived Metrics'!N25,'Cash Flow'!N115)=2,'Derived Metrics'!N25+'Cash Flow'!N115,"")</f>
        <v>-1648</v>
      </c>
      <c r="O26" s="74" t="n">
        <f>IF(COUNT('Derived Metrics'!O25,'Cash Flow'!O115)=2,'Derived Metrics'!O25+'Cash Flow'!O115,"")</f>
        <v>1389</v>
      </c>
      <c r="P26" s="74" t="n">
        <f>IF(COUNT('Derived Metrics'!P25,'Cash Flow'!P115)=2,'Derived Metrics'!P25+'Cash Flow'!P115,"")</f>
        <v>3806</v>
      </c>
      <c r="Q26" s="74" t="n">
        <f>IF(COUNT('Derived Metrics'!Q25,'Cash Flow'!Q115)=2,'Derived Metrics'!Q25+'Cash Flow'!Q115,"")</f>
        <v>3984</v>
      </c>
      <c r="R26" s="74" t="n">
        <f>IF(COUNT('Derived Metrics'!R25,'Cash Flow'!R115)=2,'Derived Metrics'!R25+'Cash Flow'!R115,"")</f>
        <v>-1444</v>
      </c>
      <c r="S26" s="74" t="n">
        <f>IF(COUNT('Derived Metrics'!S25,'Cash Flow'!S115)=2,'Derived Metrics'!S25+'Cash Flow'!S115,"")</f>
        <v>1102</v>
      </c>
      <c r="T26" s="74" t="n">
        <f>IF(COUNT('Derived Metrics'!T25,'Cash Flow'!T115)=2,'Derived Metrics'!T25+'Cash Flow'!T115,"")</f>
        <v>3583</v>
      </c>
      <c r="U26" s="74" t="n">
        <f>IF(COUNT('Derived Metrics'!U25,'Cash Flow'!U115)=2,'Derived Metrics'!U25+'Cash Flow'!U115,"")</f>
        <v>4959</v>
      </c>
      <c r="V26" s="74" t="n">
        <f>IF(COUNT('Derived Metrics'!V25,'Cash Flow'!V115)=2,'Derived Metrics'!V25+'Cash Flow'!V115,"")</f>
        <v>-393</v>
      </c>
      <c r="W26" s="74" t="n">
        <f>IF(COUNT('Derived Metrics'!W25,'Cash Flow'!W115)=2,'Derived Metrics'!W25+'Cash Flow'!W115,"")</f>
        <v>1563</v>
      </c>
      <c r="X26" s="74" t="n">
        <f>IF(COUNT('Derived Metrics'!X25,'Cash Flow'!X115)=2,'Derived Metrics'!X25+'Cash Flow'!X115,"")</f>
        <v>4687</v>
      </c>
    </row>
    <row r="27" ht="20" customHeight="1">
      <c r="A27" s="56" t="str">
        <v>Operating cash flow / revenue</v>
      </c>
      <c r="B27" s="2"/>
      <c r="C27" s="72" t="n">
        <f>IF(COUNT('Derived Metrics'!C23,'Income Statement'!C13)=2,IF('Income Statement'!C13&lt;&gt;0,'Derived Metrics'!C23/'Income Statement'!C13,""),"")</f>
        <v>0.1697956973837163</v>
      </c>
      <c r="D27" s="72" t="n">
        <f>IF(COUNT('Derived Metrics'!D23,'Income Statement'!D13)=2,IF('Income Statement'!D13&lt;&gt;0,'Derived Metrics'!D23/'Income Statement'!D13,""),"")</f>
        <v>0.1578905942542306</v>
      </c>
      <c r="E27" s="72" t="n">
        <f>IF(COUNT('Derived Metrics'!E23,'Income Statement'!E13)=2,IF('Income Statement'!E13&lt;&gt;0,'Derived Metrics'!E23/'Income Statement'!E13,""),"")</f>
        <v>0.14560554275374646</v>
      </c>
      <c r="F27" s="72" t="n">
        <f>IF(COUNT('Derived Metrics'!F23,'Income Statement'!F13)=2,IF('Income Statement'!F13&lt;&gt;0,'Derived Metrics'!F23/'Income Statement'!F13,""),"")</f>
        <v>0.14366968925418025</v>
      </c>
      <c r="G27" s="72" t="n">
        <f>IF(COUNT('Derived Metrics'!G23,'Income Statement'!G13)=2,IF('Income Statement'!G13&lt;&gt;0,'Derived Metrics'!G23/'Income Statement'!G13,""),"")</f>
        <v>0.15081282328198714</v>
      </c>
      <c r="H27" s="72" t="n">
        <f>IF(COUNT('Derived Metrics'!H23,'Income Statement'!H13)=2,IF('Income Statement'!H13&lt;&gt;0,'Derived Metrics'!H23/'Income Statement'!H13,""),"")</f>
        <v>0.14616100863175377</v>
      </c>
      <c r="I27" s="72" t="n">
        <f>IF(COUNT('Derived Metrics'!I23,'Income Statement'!I13)=2,IF('Income Statement'!I13&lt;&gt;0,'Derived Metrics'!I23/'Income Statement'!I13,""),"")</f>
        <v>0.12513890175016204</v>
      </c>
      <c r="J27" s="72" t="n">
        <f>IF(COUNT('Derived Metrics'!J23,'Income Statement'!J13)=2,IF('Income Statement'!J13&lt;&gt;0,'Derived Metrics'!J23/'Income Statement'!J13,""),"")</f>
        <v>0.14695367930819603</v>
      </c>
      <c r="K27" s="72" t="n">
        <f>IF(COUNT('Derived Metrics'!K23,'Income Statement'!K13)=2,IF('Income Statement'!K13&lt;&gt;0,'Derived Metrics'!K23/'Income Statement'!K13,""),"")</f>
        <v>0.13616173492716702</v>
      </c>
      <c r="L27" s="72" t="n">
        <f>IF(COUNT('Derived Metrics'!L23,'Income Statement'!L13)=2,IF('Income Statement'!L13&lt;&gt;0,'Derived Metrics'!L23/'Income Statement'!L13,""),"")</f>
        <v>0.12868778280542986</v>
      </c>
      <c r="M27" s="60"/>
      <c r="N27" s="72" t="n">
        <f>IF(COUNT('Derived Metrics'!N23,'Income Statement'!N13)=2,IF('Income Statement'!N13&lt;&gt;0,'Derived Metrics'!N23/'Income Statement'!N13,""),"")</f>
        <v>-0.05704109589041096</v>
      </c>
      <c r="O27" s="72" t="n">
        <f>IF(COUNT('Derived Metrics'!O23,'Income Statement'!O13)=2,IF('Income Statement'!O13&lt;&gt;0,'Derived Metrics'!O23/'Income Statement'!O13,""),"")</f>
        <v>0.10470645749077818</v>
      </c>
      <c r="P27" s="72" t="n">
        <f>IF(COUNT('Derived Metrics'!P23,'Income Statement'!P13)=2,IF('Income Statement'!P13&lt;&gt;0,'Derived Metrics'!P23/'Income Statement'!P13,""),"")</f>
        <v>0.21034349671941335</v>
      </c>
      <c r="Q27" s="72" t="n">
        <f>IF(COUNT('Derived Metrics'!Q23,'Income Statement'!Q13)=2,IF('Income Statement'!Q13&lt;&gt;0,'Derived Metrics'!Q23/'Income Statement'!Q13,""),"")</f>
        <v>0.22628131298589116</v>
      </c>
      <c r="R27" s="72" t="n">
        <f>IF(COUNT('Derived Metrics'!R23,'Income Statement'!R13)=2,IF('Income Statement'!R13&lt;&gt;0,'Derived Metrics'!R23/'Income Statement'!R13,""),"")</f>
        <v>-0.05429990512863441</v>
      </c>
      <c r="S27" s="72" t="n">
        <f>IF(COUNT('Derived Metrics'!S23,'Income Statement'!S13)=2,IF('Income Statement'!S13&lt;&gt;0,'Derived Metrics'!S23/'Income Statement'!S13,""),"")</f>
        <v>0.0866408518877057</v>
      </c>
      <c r="T27" s="72" t="n">
        <f>IF(COUNT('Derived Metrics'!T23,'Income Statement'!T13)=2,IF('Income Statement'!T13&lt;&gt;0,'Derived Metrics'!T23/'Income Statement'!T13,""),"")</f>
        <v>0.1868237456657058</v>
      </c>
      <c r="U27" s="72" t="n">
        <f>IF(COUNT('Derived Metrics'!U23,'Income Statement'!U13)=2,IF('Income Statement'!U13&lt;&gt;0,'Derived Metrics'!U23/'Income Statement'!U13,""),"")</f>
        <v>0.22557339058719286</v>
      </c>
      <c r="V27" s="72" t="n">
        <f>IF(COUNT('Derived Metrics'!V23,'Income Statement'!V13)=2,IF('Income Statement'!V13&lt;&gt;0,'Derived Metrics'!V23/'Income Statement'!V13,""),"")</f>
        <v>0.0021087280769428586</v>
      </c>
      <c r="W27" s="72" t="n">
        <f>IF(COUNT('Derived Metrics'!W23,'Income Statement'!W13)=2,IF('Income Statement'!W13&lt;&gt;0,'Derived Metrics'!W23/'Income Statement'!W13,""),"")</f>
        <v>0.09610851494975393</v>
      </c>
      <c r="X27" s="72" t="n">
        <f>IF(COUNT('Derived Metrics'!X23,'Income Statement'!X13)=2,IF('Income Statement'!X13&lt;&gt;0,'Derived Metrics'!X23/'Income Statement'!X13,""),"")</f>
        <v>0.22097808024056342</v>
      </c>
    </row>
    <row r="28" ht="20" customHeight="1">
      <c r="A28" s="56" t="str">
        <v>Operating cash flow / consolidated net income</v>
      </c>
      <c r="B28" s="2"/>
      <c r="C28" s="77" t="n">
        <f>IF(COUNT('Derived Metrics'!C23,'Income Statement'!C29)=2,IF('Income Statement'!C29&lt;&gt;0,'Derived Metrics'!C23/'Income Statement'!C29,""),"")</f>
        <v>1.6715786173381408</v>
      </c>
      <c r="D28" s="77" t="n">
        <f>IF(COUNT('Derived Metrics'!D23,'Income Statement'!D29)=2,IF('Income Statement'!D29&lt;&gt;0,'Derived Metrics'!D23/'Income Statement'!D29,""),"")</f>
        <v>2.04360228198859</v>
      </c>
      <c r="E28" s="77" t="n">
        <f>IF(COUNT('Derived Metrics'!E23,'Income Statement'!E29)=2,IF('Income Statement'!E29&lt;&gt;0,'Derived Metrics'!E23/'Income Statement'!E29,""),"")</f>
        <v>0.7496615972609284</v>
      </c>
      <c r="F28" s="77" t="n">
        <f>IF(COUNT('Derived Metrics'!F23,'Income Statement'!F29)=2,IF('Income Statement'!F29&lt;&gt;0,'Derived Metrics'!F23/'Income Statement'!F29,""),"")</f>
        <v>1.3122535019719843</v>
      </c>
      <c r="G28" s="77" t="n">
        <f>IF(COUNT('Derived Metrics'!G23,'Income Statement'!G29)=2,IF('Income Statement'!G29&lt;&gt;0,'Derived Metrics'!G23/'Income Statement'!G29,""),"")</f>
        <v>1.479163763066202</v>
      </c>
      <c r="H28" s="77" t="n">
        <f>IF(COUNT('Derived Metrics'!H23,'Income Statement'!H29)=2,IF('Income Statement'!H29&lt;&gt;0,'Derived Metrics'!H23/'Income Statement'!H29,""),"")</f>
        <v>1.5126969657507487</v>
      </c>
      <c r="I28" s="77" t="n">
        <f>IF(COUNT('Derived Metrics'!I23,'Income Statement'!I29)=2,IF('Income Statement'!I29&lt;&gt;0,'Derived Metrics'!I23/'Income Statement'!I29,""),"")</f>
        <v>1.20416573847182</v>
      </c>
      <c r="J28" s="77" t="n">
        <f>IF(COUNT('Derived Metrics'!J23,'Income Statement'!J29)=2,IF('Income Statement'!J29&lt;&gt;0,'Derived Metrics'!J23/'Income Statement'!J29,""),"")</f>
        <v>1.4682687056253414</v>
      </c>
      <c r="K28" s="77" t="n">
        <f>IF(COUNT('Derived Metrics'!K23,'Income Statement'!K29)=2,IF('Income Statement'!K29&lt;&gt;0,'Derived Metrics'!K23/'Income Statement'!K29,""),"")</f>
        <v>1.2992935798878038</v>
      </c>
      <c r="L28" s="77" t="n">
        <f>IF(COUNT('Derived Metrics'!L23,'Income Statement'!L29)=2,IF('Income Statement'!L29&lt;&gt;0,'Derived Metrics'!L23/'Income Statement'!L29,""),"")</f>
        <v>1.457142857142857</v>
      </c>
      <c r="M28" s="78"/>
      <c r="N28" s="77" t="n">
        <f>IF(COUNT('Derived Metrics'!N23,'Income Statement'!N29)=2,IF('Income Statement'!N29&lt;&gt;0,'Derived Metrics'!N23/'Income Statement'!N29,""),"")</f>
        <v>-0.5070628348757915</v>
      </c>
      <c r="O28" s="77" t="n">
        <f>IF(COUNT('Derived Metrics'!O23,'Income Statement'!O29)=2,IF('Income Statement'!O29&lt;&gt;0,'Derived Metrics'!O23/'Income Statement'!O29,""),"")</f>
        <v>0.7614738202973497</v>
      </c>
      <c r="P28" s="77" t="n">
        <f>IF(COUNT('Derived Metrics'!P23,'Income Statement'!P29)=2,IF('Income Statement'!P29&lt;&gt;0,'Derived Metrics'!P23/'Income Statement'!P29,""),"")</f>
        <v>1.66553480475382</v>
      </c>
      <c r="Q28" s="77" t="n">
        <f>IF(COUNT('Derived Metrics'!Q23,'Income Statement'!Q29)=2,IF('Income Statement'!Q29&lt;&gt;0,'Derived Metrics'!Q23/'Income Statement'!Q29,""),"")</f>
        <v>4.098435462842242</v>
      </c>
      <c r="R28" s="77" t="n">
        <f>IF(COUNT('Derived Metrics'!R23,'Income Statement'!R29)=2,IF('Income Statement'!R29&lt;&gt;0,'Derived Metrics'!R23/'Income Statement'!R29,""),"")</f>
        <v>-0.5279435702658709</v>
      </c>
      <c r="S28" s="77" t="n">
        <f>IF(COUNT('Derived Metrics'!S23,'Income Statement'!S29)=2,IF('Income Statement'!S29&lt;&gt;0,'Derived Metrics'!S23/'Income Statement'!S29,""),"")</f>
        <v>1.5394839718530102</v>
      </c>
      <c r="T28" s="77" t="n">
        <f>IF(COUNT('Derived Metrics'!T23,'Income Statement'!T29)=2,IF('Income Statement'!T29&lt;&gt;0,'Derived Metrics'!T23/'Income Statement'!T29,""),"")</f>
        <v>1.708174178762414</v>
      </c>
      <c r="U28" s="77" t="n">
        <f>IF(COUNT('Derived Metrics'!U23,'Income Statement'!U29)=2,IF('Income Statement'!U29&lt;&gt;0,'Derived Metrics'!U23/'Income Statement'!U29,""),"")</f>
        <v>2.5906066536203523</v>
      </c>
      <c r="V28" s="77" t="n">
        <f>IF(COUNT('Derived Metrics'!V23,'Income Statement'!V29)=2,IF('Income Statement'!V29&lt;&gt;0,'Derived Metrics'!V23/'Income Statement'!V29,""),"")</f>
        <v>0.017536355859709155</v>
      </c>
      <c r="W28" s="77" t="n">
        <f>IF(COUNT('Derived Metrics'!W23,'Income Statement'!W29)=2,IF('Income Statement'!W29&lt;&gt;0,'Derived Metrics'!W23/'Income Statement'!W29,""),"")</f>
        <v>0.7736351531291611</v>
      </c>
      <c r="X28" s="77" t="n">
        <f>IF(COUNT('Derived Metrics'!X23,'Income Statement'!X29)=2,IF('Income Statement'!X29&lt;&gt;0,'Derived Metrics'!X23/'Income Statement'!X29,""),"")</f>
        <v>1.8192182410423452</v>
      </c>
    </row>
    <row r="29" ht="20" customHeight="1">
      <c r="A29" s="56" t="str">
        <v>Capital spending / revenue</v>
      </c>
      <c r="B29" s="2"/>
      <c r="C29" s="72" t="n">
        <f>IF(COUNT('Derived Metrics'!C24,'Income Statement'!C13)=2,IF('Income Statement'!C13&lt;&gt;0,'Derived Metrics'!C24/'Income Statement'!C13,""),"")</f>
        <v>0.04840841414672208</v>
      </c>
      <c r="D29" s="72" t="n">
        <f>IF(COUNT('Derived Metrics'!D24,'Income Statement'!D13)=2,IF('Income Statement'!D13&lt;&gt;0,'Derived Metrics'!D24/'Income Statement'!D13,""),"")</f>
        <v>0.0467375049193231</v>
      </c>
      <c r="E29" s="72" t="n">
        <f>IF(COUNT('Derived Metrics'!E24,'Income Statement'!E13)=2,IF('Income Statement'!E13&lt;&gt;0,'Derived Metrics'!E24/'Income Statement'!E13,""),"")</f>
        <v>0.05075702510013764</v>
      </c>
      <c r="F29" s="72" t="n">
        <f>IF(COUNT('Derived Metrics'!F24,'Income Statement'!F13)=2,IF('Income Statement'!F13&lt;&gt;0,'Derived Metrics'!F24/'Income Statement'!F13,""),"")</f>
        <v>0.06301276038176919</v>
      </c>
      <c r="G29" s="72" t="n">
        <f>IF(COUNT('Derived Metrics'!G24,'Income Statement'!G13)=2,IF('Income Statement'!G13&lt;&gt;0,'Derived Metrics'!G24/'Income Statement'!G13,""),"")</f>
        <v>0.060251236287159664</v>
      </c>
      <c r="H29" s="72" t="n">
        <f>IF(COUNT('Derived Metrics'!H24,'Income Statement'!H13)=2,IF('Income Statement'!H13&lt;&gt;0,'Derived Metrics'!H24/'Income Statement'!H13,""),"")</f>
        <v>0.05819513299947152</v>
      </c>
      <c r="I29" s="72" t="n">
        <f>IF(COUNT('Derived Metrics'!I24,'Income Statement'!I13)=2,IF('Income Statement'!I13&lt;&gt;0,'Derived Metrics'!I24/'Income Statement'!I13,""),"")</f>
        <v>0.06027178442448375</v>
      </c>
      <c r="J29" s="72" t="n">
        <f>IF(COUNT('Derived Metrics'!J24,'Income Statement'!J13)=2,IF('Income Statement'!J13&lt;&gt;0,'Derived Metrics'!J24/'Income Statement'!J13,""),"")</f>
        <v>0.060325130369188046</v>
      </c>
      <c r="K29" s="72" t="n">
        <f>IF(COUNT('Derived Metrics'!K24,'Income Statement'!K13)=2,IF('Income Statement'!K13&lt;&gt;0,'Derived Metrics'!K24/'Income Statement'!K13,""),"")</f>
        <v>0.057896226620506454</v>
      </c>
      <c r="L29" s="72" t="n">
        <f>IF(COUNT('Derived Metrics'!L24,'Income Statement'!L13)=2,IF('Income Statement'!L13&lt;&gt;0,'Derived Metrics'!L24/'Income Statement'!L13,""),"")</f>
        <v>0.0470055895661432</v>
      </c>
      <c r="M29" s="60"/>
      <c r="N29" s="72" t="n">
        <f>IF(COUNT('Derived Metrics'!N24,'Income Statement'!N13)=2,IF('Income Statement'!N13&lt;&gt;0,'Derived Metrics'!N24/'Income Statement'!N13,""),"")</f>
        <v>0.033643835616438356</v>
      </c>
      <c r="O29" s="72" t="n">
        <f>IF(COUNT('Derived Metrics'!O24,'Income Statement'!O13)=2,IF('Income Statement'!O13&lt;&gt;0,'Derived Metrics'!O24/'Income Statement'!O13,""),"")</f>
        <v>0.048308964046042395</v>
      </c>
      <c r="P29" s="72" t="n">
        <f>IF(COUNT('Derived Metrics'!P24,'Income Statement'!P13)=2,IF('Income Statement'!P13&lt;&gt;0,'Derived Metrics'!P24/'Income Statement'!P13,""),"")</f>
        <v>0.049273124919593465</v>
      </c>
      <c r="Q29" s="72" t="n">
        <f>IF(COUNT('Derived Metrics'!Q24,'Income Statement'!Q13)=2,IF('Income Statement'!Q13&lt;&gt;0,'Derived Metrics'!Q24/'Income Statement'!Q13,""),"")</f>
        <v>0.08882810250503888</v>
      </c>
      <c r="R29" s="72" t="n">
        <f>IF(COUNT('Derived Metrics'!R24,'Income Statement'!R13)=2,IF('Income Statement'!R13&lt;&gt;0,'Derived Metrics'!R24/'Income Statement'!R13,""),"")</f>
        <v>0.03365143144148669</v>
      </c>
      <c r="S29" s="72" t="n">
        <f>IF(COUNT('Derived Metrics'!S24,'Income Statement'!S13)=2,IF('Income Statement'!S13&lt;&gt;0,'Derived Metrics'!S24/'Income Statement'!S13,""),"")</f>
        <v>0.03977822758074452</v>
      </c>
      <c r="T29" s="72" t="n">
        <f>IF(COUNT('Derived Metrics'!T24,'Income Statement'!T13)=2,IF('Income Statement'!T13&lt;&gt;0,'Derived Metrics'!T24/'Income Statement'!T13,""),"")</f>
        <v>0.041442118895433845</v>
      </c>
      <c r="U29" s="72" t="n">
        <f>IF(COUNT('Derived Metrics'!U24,'Income Statement'!U13)=2,IF('Income Statement'!U13&lt;&gt;0,'Derived Metrics'!U24/'Income Statement'!U13,""),"")</f>
        <v>0.06529666359949562</v>
      </c>
      <c r="V29" s="72" t="n">
        <f>IF(COUNT('Derived Metrics'!V24,'Income Statement'!V13)=2,IF('Income Statement'!V13&lt;&gt;0,'Derived Metrics'!V24/'Income Statement'!V13,""),"")</f>
        <v>0.022990279277889214</v>
      </c>
      <c r="W29" s="72" t="n">
        <f>IF(COUNT('Derived Metrics'!W24,'Income Statement'!W13)=2,IF('Income Statement'!W13&lt;&gt;0,'Derived Metrics'!W24/'Income Statement'!W13,""),"")</f>
        <v>0.03386956701542533</v>
      </c>
      <c r="X29" s="72" t="n">
        <f>IF(COUNT('Derived Metrics'!X24,'Income Statement'!X13)=2,IF('Income Statement'!X13&lt;&gt;0,'Derived Metrics'!X24/'Income Statement'!X13,""),"")</f>
        <v>0.03624277914061882</v>
      </c>
    </row>
    <row r="30" ht="22" customHeight="1">
      <c r="A30" s="4" t="str">
        <v>Cash dividends paid (positive)</v>
      </c>
      <c r="B30" s="2"/>
      <c r="C30" s="74" t="n">
        <f>IF(COUNT('Cash Flow'!C71)=1,-'Cash Flow'!C71,"")</f>
        <v>4227</v>
      </c>
      <c r="D30" s="74" t="n">
        <f>IF(COUNT('Cash Flow'!D71)=1,-'Cash Flow'!D71,"")</f>
        <v>4472</v>
      </c>
      <c r="E30" s="74" t="n">
        <f>IF(COUNT('Cash Flow'!E71)=1,-'Cash Flow'!E71,"")</f>
        <v>4930</v>
      </c>
      <c r="F30" s="74" t="n">
        <f>IF(COUNT('Cash Flow'!F71)=1,-'Cash Flow'!F71,"")</f>
        <v>5304</v>
      </c>
      <c r="G30" s="74" t="n">
        <f>IF(COUNT('Cash Flow'!G71)=1,-'Cash Flow'!G71,"")</f>
        <v>5509</v>
      </c>
      <c r="H30" s="74" t="n">
        <f>IF(COUNT('Cash Flow'!H71)=1,-'Cash Flow'!H71,"")</f>
        <v>5815</v>
      </c>
      <c r="I30" s="74" t="n">
        <f>IF(COUNT('Cash Flow'!I71)=1,-'Cash Flow'!I71,"")</f>
        <v>6172</v>
      </c>
      <c r="J30" s="74" t="n">
        <f>IF(COUNT('Cash Flow'!J71)=1,-'Cash Flow'!J71,"")</f>
        <v>6682</v>
      </c>
      <c r="K30" s="74" t="n">
        <f>IF(COUNT('Cash Flow'!K71)=1,-'Cash Flow'!K71,"")</f>
        <v>7229</v>
      </c>
      <c r="L30" s="74" t="n">
        <f>IF(COUNT('Cash Flow'!L71)=1,-'Cash Flow'!L71,"")</f>
        <v>7638</v>
      </c>
      <c r="M30" s="45"/>
      <c r="N30" s="74" t="n">
        <f>IF(COUNT('Cash Flow'!N128)=1,-'Cash Flow'!N128,"")</f>
        <v>1767</v>
      </c>
      <c r="O30" s="74" t="n">
        <f>IF(COUNT('Cash Flow'!O128)=1,-'Cash Flow'!O128,"")</f>
        <v>1739</v>
      </c>
      <c r="P30" s="74" t="n">
        <f>IF(COUNT('Cash Flow'!P128)=1,-'Cash Flow'!P128,"")</f>
        <v>1863</v>
      </c>
      <c r="Q30" s="74" t="n">
        <f>IF(COUNT('Cash Flow'!Q128)=1,-'Cash Flow'!Q128,"")</f>
        <v>1860</v>
      </c>
      <c r="R30" s="74" t="n">
        <f>IF(COUNT('Cash Flow'!R128)=1,-'Cash Flow'!R128,"")</f>
        <v>1882</v>
      </c>
      <c r="S30" s="74" t="n">
        <f>IF(COUNT('Cash Flow'!S128)=1,-'Cash Flow'!S128,"")</f>
        <v>1861</v>
      </c>
      <c r="T30" s="74" t="n">
        <f>IF(COUNT('Cash Flow'!T128)=1,-'Cash Flow'!T128,"")</f>
        <v>1949</v>
      </c>
      <c r="U30" s="74" t="n">
        <f>IF(COUNT('Cash Flow'!U128)=1,-'Cash Flow'!U128,"")</f>
        <v>1946</v>
      </c>
      <c r="V30" s="74" t="n">
        <f>IF(COUNT('Cash Flow'!V128)=1,-'Cash Flow'!V128,"")</f>
        <v>1966</v>
      </c>
      <c r="W30" s="74" t="n">
        <f>IF(COUNT('Cash Flow'!W128)=1,-'Cash Flow'!W128,"")</f>
        <v>1948</v>
      </c>
      <c r="X30" s="74" t="n">
        <f>IF(COUNT('Cash Flow'!X128)=1,-'Cash Flow'!X128,"")</f>
        <v>2021</v>
      </c>
    </row>
    <row r="31" ht="22" customHeight="1">
      <c r="A31" s="4" t="str">
        <v>Common share repurchase spending (positive)</v>
      </c>
      <c r="B31" s="2"/>
      <c r="C31" s="74" t="n">
        <f>IF(COUNT('Cash Flow'!C72)=1,-'Cash Flow'!C72,"")</f>
        <v>3000</v>
      </c>
      <c r="D31" s="74" t="n">
        <f>IF(COUNT('Cash Flow'!D72)=1,-'Cash Flow'!D72,"")</f>
        <v>2000</v>
      </c>
      <c r="E31" s="74" t="n">
        <f>IF(COUNT('Cash Flow'!E72)=1,-'Cash Flow'!E72,"")</f>
        <v>2000</v>
      </c>
      <c r="F31" s="74" t="n">
        <f>IF(COUNT('Cash Flow'!F72)=1,-'Cash Flow'!F72,"")</f>
        <v>3000</v>
      </c>
      <c r="G31" s="74" t="n">
        <f>IF(COUNT('Cash Flow'!G72)=1,-'Cash Flow'!G72,"")</f>
        <v>2000</v>
      </c>
      <c r="H31" s="74" t="n">
        <f>IF(COUNT('Cash Flow'!H72)=1,-'Cash Flow'!H72,"")</f>
        <v>106</v>
      </c>
      <c r="I31" s="74" t="n">
        <f>IF(COUNT('Cash Flow'!I72)=1,-'Cash Flow'!I72,"")</f>
        <v>1500</v>
      </c>
      <c r="J31" s="74" t="n">
        <f>IF(COUNT('Cash Flow'!J72)=1,-'Cash Flow'!J72,"")</f>
        <v>1000</v>
      </c>
      <c r="K31" s="74" t="n">
        <f>IF(COUNT('Cash Flow'!K72)=1,-'Cash Flow'!K72,"")</f>
        <v>1000</v>
      </c>
      <c r="L31" s="74" t="n">
        <f>IF(COUNT('Cash Flow'!L72)=1,-'Cash Flow'!L72,"")</f>
        <v>1000</v>
      </c>
      <c r="M31" s="45"/>
      <c r="N31" s="74" t="n">
        <f>IF(COUNT('Cash Flow'!N129)=1,-'Cash Flow'!N129,"")</f>
        <v>146</v>
      </c>
      <c r="O31" s="74" t="n">
        <f>IF(COUNT('Cash Flow'!O129)=1,-'Cash Flow'!O129,"")</f>
        <v>315</v>
      </c>
      <c r="P31" s="74" t="n">
        <f>IF(COUNT('Cash Flow'!P129)=1,-'Cash Flow'!P129,"")</f>
        <v>299</v>
      </c>
      <c r="Q31" s="74" t="n">
        <f>IF(COUNT('Cash Flow'!Q129)=1,-'Cash Flow'!Q129,"")</f>
        <v>240</v>
      </c>
      <c r="R31" s="74" t="n">
        <f>IF(COUNT('Cash Flow'!R129)=1,-'Cash Flow'!R129,"")</f>
        <v>183</v>
      </c>
      <c r="S31" s="74" t="n">
        <f>IF(COUNT('Cash Flow'!S129)=1,-'Cash Flow'!S129,"")</f>
        <v>311</v>
      </c>
      <c r="T31" s="74" t="n">
        <f>IF(COUNT('Cash Flow'!T129)=1,-'Cash Flow'!T129,"")</f>
        <v>258</v>
      </c>
      <c r="U31" s="74" t="n">
        <f>IF(COUNT('Cash Flow'!U129)=1,-'Cash Flow'!U129,"")</f>
        <v>248</v>
      </c>
      <c r="V31" s="74" t="n">
        <f>IF(COUNT('Cash Flow'!V129)=1,-'Cash Flow'!V129,"")</f>
        <v>182</v>
      </c>
      <c r="W31" s="74" t="n">
        <f>IF(COUNT('Cash Flow'!W129)=1,-'Cash Flow'!W129,"")</f>
        <v>297</v>
      </c>
      <c r="X31" s="74" t="n">
        <f>IF(COUNT('Cash Flow'!X129)=1,-'Cash Flow'!X129,"")</f>
        <v>260</v>
      </c>
    </row>
    <row r="32" ht="20" customHeight="1">
      <c r="A32" s="56" t="str">
        <v>Diluted weighted-average shares YoY change</v>
      </c>
      <c r="B32" s="2"/>
      <c r="C32" s="58"/>
      <c r="D32" s="72" t="n">
        <f>IF(COUNT('Income Statement'!D36,'Income Statement'!C36)=2,IF('Income Statement'!C36&lt;&gt;0,'Income Statement'!D36/'Income Statement'!C36-1,""),"")</f>
        <v>-0.009641873278236957</v>
      </c>
      <c r="E32" s="72" t="n">
        <f>IF(COUNT('Income Statement'!E36,'Income Statement'!D36)=2,IF('Income Statement'!D36&lt;&gt;0,'Income Statement'!E36/'Income Statement'!D36-1,""),"")</f>
        <v>-0.009040333796940248</v>
      </c>
      <c r="F32" s="72" t="n">
        <f>IF(COUNT('Income Statement'!F36,'Income Statement'!E36)=2,IF('Income Statement'!E36&lt;&gt;0,'Income Statement'!F36/'Income Statement'!E36-1,""),"")</f>
        <v>-0.012631578947368438</v>
      </c>
      <c r="G32" s="72" t="n">
        <f>IF(COUNT('Income Statement'!G36,'Income Statement'!F36)=2,IF('Income Statement'!F36&lt;&gt;0,'Income Statement'!G36/'Income Statement'!F36-1,""),"")</f>
        <v>-0.010660980810234588</v>
      </c>
      <c r="H32" s="72" t="n">
        <f>IF(COUNT('Income Statement'!H36,'Income Statement'!G36)=2,IF('Income Statement'!G36&lt;&gt;0,'Income Statement'!H36/'Income Statement'!G36-1,""),"")</f>
        <v>-0.0021551724137931494</v>
      </c>
      <c r="I32" s="72" t="n">
        <f>IF(COUNT('Income Statement'!I36,'Income Statement'!H36)=2,IF('Income Statement'!H36&lt;&gt;0,'Income Statement'!I36/'Income Statement'!H36-1,""),"")</f>
        <v>-0.0014398848092153083</v>
      </c>
      <c r="J32" s="72" t="n">
        <f>IF(COUNT('Income Statement'!J36,'Income Statement'!I36)=2,IF('Income Statement'!I36&lt;&gt;0,'Income Statement'!J36/'Income Statement'!I36-1,""),"")</f>
        <v>-0.002883922134102379</v>
      </c>
      <c r="K32" s="72" t="n">
        <f>IF(COUNT('Income Statement'!K36,'Income Statement'!J36)=2,IF('Income Statement'!J36&lt;&gt;0,'Income Statement'!K36/'Income Statement'!J36-1,""),"")</f>
        <v>-0.003615328994938549</v>
      </c>
      <c r="L32" s="72" t="n">
        <f>IF(COUNT('Income Statement'!L36,'Income Statement'!K36)=2,IF('Income Statement'!K36&lt;&gt;0,'Income Statement'!L36/'Income Statement'!K36-1,""),"")</f>
        <v>-0.0036284470246734646</v>
      </c>
      <c r="M32" s="60"/>
      <c r="N32" s="58"/>
      <c r="O32" s="58"/>
      <c r="P32" s="58"/>
      <c r="Q32" s="58"/>
      <c r="R32" s="72" t="n">
        <f>IF(COUNT('Income Statement'!R36,'Income Statement'!N36)=2,IF('Income Statement'!N36&lt;&gt;0,'Income Statement'!R36/'Income Statement'!N36-1,""),"")</f>
        <v>-0.0028985507246376274</v>
      </c>
      <c r="S32" s="72" t="n">
        <f>IF(COUNT('Income Statement'!S36,'Income Statement'!O36)=2,IF('Income Statement'!O36&lt;&gt;0,'Income Statement'!S36/'Income Statement'!O36-1,""),"")</f>
        <v>-0.00435097897026826</v>
      </c>
      <c r="T32" s="72" t="n">
        <f>IF(COUNT('Income Statement'!T36,'Income Statement'!P36)=2,IF('Income Statement'!P36&lt;&gt;0,'Income Statement'!T36/'Income Statement'!P36-1,""),"")</f>
        <v>-0.004354136429608135</v>
      </c>
      <c r="U32" s="72" t="str">
        <f>IF(COUNT('Income Statement'!U36,'Income Statement'!Q36)=2,IF('Income Statement'!Q36&lt;&gt;0,'Income Statement'!U36/'Income Statement'!Q36-1,""),"")</f>
      </c>
      <c r="V32" s="72" t="n">
        <f>IF(COUNT('Income Statement'!V36,'Income Statement'!R36)=2,IF('Income Statement'!R36&lt;&gt;0,'Income Statement'!V36/'Income Statement'!R36-1,""),"")</f>
        <v>-0.003633720930232509</v>
      </c>
      <c r="W32" s="72" t="n">
        <f>IF(COUNT('Income Statement'!W36,'Income Statement'!S36)=2,IF('Income Statement'!S36&lt;&gt;0,'Income Statement'!W36/'Income Statement'!S36-1,""),"")</f>
        <v>-0.0029133284777859147</v>
      </c>
      <c r="X32" s="72" t="n">
        <f>IF(COUNT('Income Statement'!X36,'Income Statement'!T36)=2,IF('Income Statement'!T36&lt;&gt;0,'Income Statement'!X36/'Income Statement'!T36-1,""),"")</f>
        <v>-0.0036443148688046767</v>
      </c>
    </row>
    <row r="33" ht="22" customHeight="1">
      <c r="A33" s="4"/>
      <c r="B33" s="2"/>
      <c r="C33" s="3"/>
      <c r="D33" s="3"/>
      <c r="E33" s="3"/>
      <c r="F33" s="3"/>
      <c r="G33" s="3"/>
      <c r="H33" s="3"/>
      <c r="I33" s="3"/>
      <c r="J33" s="3"/>
      <c r="K33" s="3"/>
      <c r="L33" s="3"/>
      <c r="M33" s="3"/>
      <c r="N33" s="3"/>
      <c r="O33" s="3"/>
      <c r="P33" s="3"/>
      <c r="Q33" s="3"/>
      <c r="R33" s="3"/>
      <c r="S33" s="3"/>
      <c r="T33" s="3"/>
      <c r="U33" s="3"/>
      <c r="V33" s="3"/>
      <c r="W33" s="3"/>
      <c r="X33" s="3"/>
    </row>
    <row r="34" ht="22" customHeight="1">
      <c r="A34" s="29" t="str">
        <v>Debt and cash</v>
      </c>
      <c r="B34" s="29"/>
      <c r="C34" s="32"/>
      <c r="D34" s="32"/>
      <c r="E34" s="32"/>
      <c r="F34" s="32"/>
      <c r="G34" s="32"/>
      <c r="H34" s="32"/>
      <c r="I34" s="32"/>
      <c r="J34" s="32"/>
      <c r="K34" s="32"/>
      <c r="L34" s="32"/>
      <c r="M34" s="32"/>
      <c r="N34" s="32"/>
      <c r="O34" s="32"/>
      <c r="P34" s="32"/>
      <c r="Q34" s="32"/>
      <c r="R34" s="32"/>
      <c r="S34" s="32"/>
      <c r="T34" s="32"/>
      <c r="U34" s="32"/>
      <c r="V34" s="32"/>
      <c r="W34" s="32"/>
      <c r="X34" s="32"/>
    </row>
    <row r="35" ht="24" customHeight="1">
      <c r="A35" s="51" t="str">
        <v>Total interest-bearing debt (excluding operating leases)</v>
      </c>
      <c r="B35" s="52"/>
      <c r="C35" s="79" t="n">
        <f>IF(COUNT('Balance Sheet'!C38,'Balance Sheet'!C43)=2,'Balance Sheet'!C38+'Balance Sheet'!C43,"")</f>
        <v>36945</v>
      </c>
      <c r="D35" s="79" t="n">
        <f>IF(COUNT('Balance Sheet'!D38,'Balance Sheet'!D43)=2,'Balance Sheet'!D38+'Balance Sheet'!D43,"")</f>
        <v>39281</v>
      </c>
      <c r="E35" s="79" t="n">
        <f>IF(COUNT('Balance Sheet'!E38,'Balance Sheet'!E43)=2,'Balance Sheet'!E38+'Balance Sheet'!E43,"")</f>
        <v>32321</v>
      </c>
      <c r="F35" s="79" t="n">
        <f>IF(COUNT('Balance Sheet'!F38,'Balance Sheet'!F43)=2,'Balance Sheet'!F38+'Balance Sheet'!F43,"")</f>
        <v>32068</v>
      </c>
      <c r="G35" s="79" t="n">
        <f>IF(COUNT('Balance Sheet'!G38,'Balance Sheet'!G43)=2,'Balance Sheet'!G38+'Balance Sheet'!G43,"")</f>
        <v>44150</v>
      </c>
      <c r="H35" s="79" t="n">
        <f>IF(COUNT('Balance Sheet'!H38,'Balance Sheet'!H43)=2,'Balance Sheet'!H38+'Balance Sheet'!H43,"")</f>
        <v>40334</v>
      </c>
      <c r="I35" s="79" t="n">
        <f>IF(COUNT('Balance Sheet'!I38,'Balance Sheet'!I43)=2,'Balance Sheet'!I38+'Balance Sheet'!I43,"")</f>
        <v>39071</v>
      </c>
      <c r="J35" s="79" t="n">
        <f>IF(COUNT('Balance Sheet'!J38,'Balance Sheet'!J43)=2,'Balance Sheet'!J38+'Balance Sheet'!J43,"")</f>
        <v>44105</v>
      </c>
      <c r="K35" s="79" t="n">
        <f>IF(COUNT('Balance Sheet'!K38,'Balance Sheet'!K43)=2,'Balance Sheet'!K38+'Balance Sheet'!K43,"")</f>
        <v>44306</v>
      </c>
      <c r="L35" s="79" t="n">
        <f>IF(COUNT('Balance Sheet'!L38,'Balance Sheet'!L43)=2,'Balance Sheet'!L38+'Balance Sheet'!L43,"")</f>
        <v>49182</v>
      </c>
      <c r="M35" s="55"/>
      <c r="N35" s="79" t="n">
        <f>IF(COUNT('Balance Sheet'!N38,'Balance Sheet'!N43)=2,'Balance Sheet'!N38+'Balance Sheet'!N43,"")</f>
        <v>45868</v>
      </c>
      <c r="O35" s="79" t="n">
        <f>IF(COUNT('Balance Sheet'!O38,'Balance Sheet'!O43)=2,'Balance Sheet'!O38+'Balance Sheet'!O43,"")</f>
        <v>44927</v>
      </c>
      <c r="P35" s="79" t="n">
        <f>IF(COUNT('Balance Sheet'!P38,'Balance Sheet'!P43)=2,'Balance Sheet'!P38+'Balance Sheet'!P43,"")</f>
        <v>45014</v>
      </c>
      <c r="Q35" s="79" t="n">
        <f>IF(COUNT('Balance Sheet'!Q38,'Balance Sheet'!Q43)=2,'Balance Sheet'!Q38+'Balance Sheet'!Q43,"")</f>
        <v>44306</v>
      </c>
      <c r="R35" s="79" t="n">
        <f>IF(COUNT('Balance Sheet'!R38,'Balance Sheet'!R43)=2,'Balance Sheet'!R38+'Balance Sheet'!R43,"")</f>
        <v>48518</v>
      </c>
      <c r="S35" s="79" t="n">
        <f>IF(COUNT('Balance Sheet'!S38,'Balance Sheet'!S43)=2,'Balance Sheet'!S38+'Balance Sheet'!S43,"")</f>
        <v>51384</v>
      </c>
      <c r="T35" s="79" t="n">
        <f>IF(COUNT('Balance Sheet'!T38,'Balance Sheet'!T43)=2,'Balance Sheet'!T38+'Balance Sheet'!T43,"")</f>
        <v>50849</v>
      </c>
      <c r="U35" s="79" t="n">
        <f>IF(COUNT('Balance Sheet'!U38,'Balance Sheet'!U43)=2,'Balance Sheet'!U38+'Balance Sheet'!U43,"")</f>
        <v>49182</v>
      </c>
      <c r="V35" s="79" t="n">
        <f>IF(COUNT('Balance Sheet'!V38,'Balance Sheet'!V43)=2,'Balance Sheet'!V38+'Balance Sheet'!V43,"")</f>
        <v>52728</v>
      </c>
      <c r="W35" s="79" t="n">
        <f>IF(COUNT('Balance Sheet'!W38,'Balance Sheet'!W43)=2,'Balance Sheet'!W38+'Balance Sheet'!W43,"")</f>
        <v>53214</v>
      </c>
      <c r="X35" s="79" t="n">
        <f>IF(COUNT('Balance Sheet'!X38,'Balance Sheet'!X43)=2,'Balance Sheet'!X38+'Balance Sheet'!X43,"")</f>
        <v>51881</v>
      </c>
    </row>
    <row r="36" ht="22" customHeight="1">
      <c r="A36" s="4" t="str">
        <v>Net debt (less cash only; excluding operating leases)</v>
      </c>
      <c r="B36" s="2"/>
      <c r="C36" s="74" t="n">
        <f>IF(COUNT('Derived Metrics'!C35,'Balance Sheet'!C14)=2,'Derived Metrics'!C35-'Balance Sheet'!C14,"")</f>
        <v>27787</v>
      </c>
      <c r="D36" s="74" t="n">
        <f>IF(COUNT('Derived Metrics'!D35,'Balance Sheet'!D14)=2,'Derived Metrics'!D35-'Balance Sheet'!D14,"")</f>
        <v>28671</v>
      </c>
      <c r="E36" s="74" t="n">
        <f>IF(COUNT('Derived Metrics'!E35,'Balance Sheet'!E14)=2,'Derived Metrics'!E35-'Balance Sheet'!E14,"")</f>
        <v>23600</v>
      </c>
      <c r="F36" s="74" t="n">
        <f>IF(COUNT('Derived Metrics'!F35,'Balance Sheet'!F14)=2,'Derived Metrics'!F35-'Balance Sheet'!F14,"")</f>
        <v>26559</v>
      </c>
      <c r="G36" s="74" t="n">
        <f>IF(COUNT('Derived Metrics'!G35,'Balance Sheet'!G14)=2,'Derived Metrics'!G35-'Balance Sheet'!G14,"")</f>
        <v>35965</v>
      </c>
      <c r="H36" s="74" t="n">
        <f>IF(COUNT('Derived Metrics'!H35,'Balance Sheet'!H14)=2,'Derived Metrics'!H35-'Balance Sheet'!H14,"")</f>
        <v>34738</v>
      </c>
      <c r="I36" s="74" t="n">
        <f>IF(COUNT('Derived Metrics'!I35,'Balance Sheet'!I14)=2,'Derived Metrics'!I35-'Balance Sheet'!I14,"")</f>
        <v>34117</v>
      </c>
      <c r="J36" s="74" t="n">
        <f>IF(COUNT('Derived Metrics'!J35,'Balance Sheet'!J14)=2,'Derived Metrics'!J35-'Balance Sheet'!J14,"")</f>
        <v>34394</v>
      </c>
      <c r="K36" s="74" t="n">
        <f>IF(COUNT('Derived Metrics'!K35,'Balance Sheet'!K14)=2,'Derived Metrics'!K35-'Balance Sheet'!K14,"")</f>
        <v>35801</v>
      </c>
      <c r="L36" s="74" t="n">
        <f>IF(COUNT('Derived Metrics'!L35,'Balance Sheet'!L14)=2,'Derived Metrics'!L35-'Balance Sheet'!L14,"")</f>
        <v>40023</v>
      </c>
      <c r="M36" s="45"/>
      <c r="N36" s="74" t="n">
        <f>IF(COUNT('Derived Metrics'!N35,'Balance Sheet'!N14)=2,'Derived Metrics'!N35-'Balance Sheet'!N14,"")</f>
        <v>37821</v>
      </c>
      <c r="O36" s="74" t="n">
        <f>IF(COUNT('Derived Metrics'!O35,'Balance Sheet'!O14)=2,'Derived Metrics'!O35-'Balance Sheet'!O14,"")</f>
        <v>38574</v>
      </c>
      <c r="P36" s="74" t="n">
        <f>IF(COUNT('Derived Metrics'!P35,'Balance Sheet'!P14)=2,'Derived Metrics'!P35-'Balance Sheet'!P14,"")</f>
        <v>37706</v>
      </c>
      <c r="Q36" s="74" t="n">
        <f>IF(COUNT('Derived Metrics'!Q35,'Balance Sheet'!Q14)=2,'Derived Metrics'!Q35-'Balance Sheet'!Q14,"")</f>
        <v>35801</v>
      </c>
      <c r="R36" s="74" t="n">
        <f>IF(COUNT('Derived Metrics'!R35,'Balance Sheet'!R14)=2,'Derived Metrics'!R35-'Balance Sheet'!R14,"")</f>
        <v>40250</v>
      </c>
      <c r="S36" s="74" t="n">
        <f>IF(COUNT('Derived Metrics'!S35,'Balance Sheet'!S14)=2,'Derived Metrics'!S35-'Balance Sheet'!S14,"")</f>
        <v>43753</v>
      </c>
      <c r="T36" s="74" t="n">
        <f>IF(COUNT('Derived Metrics'!T35,'Balance Sheet'!T14)=2,'Derived Metrics'!T35-'Balance Sheet'!T14,"")</f>
        <v>42723</v>
      </c>
      <c r="U36" s="74" t="n">
        <f>IF(COUNT('Derived Metrics'!U35,'Balance Sheet'!U14)=2,'Derived Metrics'!U35-'Balance Sheet'!U14,"")</f>
        <v>40023</v>
      </c>
      <c r="V36" s="74" t="n">
        <f>IF(COUNT('Derived Metrics'!V35,'Balance Sheet'!V14)=2,'Derived Metrics'!V35-'Balance Sheet'!V14,"")</f>
        <v>42253</v>
      </c>
      <c r="W36" s="74" t="n">
        <f>IF(COUNT('Derived Metrics'!W35,'Balance Sheet'!W14)=2,'Derived Metrics'!W35-'Balance Sheet'!W14,"")</f>
        <v>42963</v>
      </c>
      <c r="X36" s="74" t="n">
        <f>IF(COUNT('Derived Metrics'!X35,'Balance Sheet'!X14)=2,'Derived Metrics'!X35-'Balance Sheet'!X14,"")</f>
        <v>41206</v>
      </c>
    </row>
    <row r="37" ht="36" customHeight="1">
      <c r="A37" s="4" t="str">
        <v>Net debt (less cash and short-term investments; excluding operating leases)</v>
      </c>
      <c r="B37" s="2"/>
      <c r="C37" s="74" t="n">
        <f>IF(COUNT('Derived Metrics'!C35,'Balance Sheet'!C14,'Balance Sheet'!C15)=3,'Derived Metrics'!C35-'Balance Sheet'!C14-'Balance Sheet'!C15,"")</f>
        <v>20820</v>
      </c>
      <c r="D37" s="74" t="n">
        <f>IF(COUNT('Derived Metrics'!D35,'Balance Sheet'!D14,'Balance Sheet'!D15)=3,'Derived Metrics'!D35-'Balance Sheet'!D14-'Balance Sheet'!D15,"")</f>
        <v>19771</v>
      </c>
      <c r="E37" s="74" t="n">
        <f>IF(COUNT('Derived Metrics'!E35,'Balance Sheet'!E14,'Balance Sheet'!E15)=3,'Derived Metrics'!E35-'Balance Sheet'!E14-'Balance Sheet'!E15,"")</f>
        <v>23328</v>
      </c>
      <c r="F37" s="74" t="n">
        <f>IF(COUNT('Derived Metrics'!F35,'Balance Sheet'!F14,'Balance Sheet'!F15)=3,'Derived Metrics'!F35-'Balance Sheet'!F14-'Balance Sheet'!F15,"")</f>
        <v>26330</v>
      </c>
      <c r="G37" s="74" t="n">
        <f>IF(COUNT('Derived Metrics'!G35,'Balance Sheet'!G14,'Balance Sheet'!G15)=3,'Derived Metrics'!G35-'Balance Sheet'!G14-'Balance Sheet'!G15,"")</f>
        <v>34599</v>
      </c>
      <c r="H37" s="74" t="n">
        <f>IF(COUNT('Derived Metrics'!H35,'Balance Sheet'!H14,'Balance Sheet'!H15)=3,'Derived Metrics'!H35-'Balance Sheet'!H14-'Balance Sheet'!H15,"")</f>
        <v>34346</v>
      </c>
      <c r="I37" s="74" t="n">
        <f>IF(COUNT('Derived Metrics'!I35,'Balance Sheet'!I14,'Balance Sheet'!I15)=3,'Derived Metrics'!I35-'Balance Sheet'!I14-'Balance Sheet'!I15,"")</f>
        <v>33723</v>
      </c>
      <c r="J37" s="74" t="n">
        <f>IF(COUNT('Derived Metrics'!J35,'Balance Sheet'!J14,'Balance Sheet'!J15)=3,'Derived Metrics'!J35-'Balance Sheet'!J14-'Balance Sheet'!J15,"")</f>
        <v>34102</v>
      </c>
      <c r="K37" s="74" t="n">
        <f>IF(COUNT('Derived Metrics'!K35,'Balance Sheet'!K14,'Balance Sheet'!K15)=3,'Derived Metrics'!K35-'Balance Sheet'!K14-'Balance Sheet'!K15,"")</f>
        <v>35040</v>
      </c>
      <c r="L37" s="74" t="n">
        <f>IF(COUNT('Derived Metrics'!L35,'Balance Sheet'!L14,'Balance Sheet'!L15)=3,'Derived Metrics'!L35-'Balance Sheet'!L14-'Balance Sheet'!L15,"")</f>
        <v>39652</v>
      </c>
      <c r="M37" s="45"/>
      <c r="N37" s="74" t="n">
        <f>IF(COUNT('Derived Metrics'!N35,'Balance Sheet'!N14,'Balance Sheet'!N15)=3,'Derived Metrics'!N35-'Balance Sheet'!N14-'Balance Sheet'!N15,"")</f>
        <v>37518</v>
      </c>
      <c r="O37" s="74" t="n">
        <f>IF(COUNT('Derived Metrics'!O35,'Balance Sheet'!O14,'Balance Sheet'!O15)=3,'Derived Metrics'!O35-'Balance Sheet'!O14-'Balance Sheet'!O15,"")</f>
        <v>38259</v>
      </c>
      <c r="P37" s="74" t="n">
        <f>IF(COUNT('Derived Metrics'!P35,'Balance Sheet'!P14,'Balance Sheet'!P15)=3,'Derived Metrics'!P35-'Balance Sheet'!P14-'Balance Sheet'!P15,"")</f>
        <v>36963</v>
      </c>
      <c r="Q37" s="74" t="n">
        <f>IF(COUNT('Derived Metrics'!Q35,'Balance Sheet'!Q14,'Balance Sheet'!Q15)=3,'Derived Metrics'!Q35-'Balance Sheet'!Q14-'Balance Sheet'!Q15,"")</f>
        <v>35040</v>
      </c>
      <c r="R37" s="74" t="n">
        <f>IF(COUNT('Derived Metrics'!R35,'Balance Sheet'!R14,'Balance Sheet'!R15)=3,'Derived Metrics'!R35-'Balance Sheet'!R14-'Balance Sheet'!R15,"")</f>
        <v>39936</v>
      </c>
      <c r="S37" s="74" t="n">
        <f>IF(COUNT('Derived Metrics'!S35,'Balance Sheet'!S14,'Balance Sheet'!S15)=3,'Derived Metrics'!S35-'Balance Sheet'!S14-'Balance Sheet'!S15,"")</f>
        <v>43411</v>
      </c>
      <c r="T37" s="74" t="n">
        <f>IF(COUNT('Derived Metrics'!T35,'Balance Sheet'!T14,'Balance Sheet'!T15)=3,'Derived Metrics'!T35-'Balance Sheet'!T14-'Balance Sheet'!T15,"")</f>
        <v>42188</v>
      </c>
      <c r="U37" s="74" t="n">
        <f>IF(COUNT('Derived Metrics'!U35,'Balance Sheet'!U14,'Balance Sheet'!U15)=3,'Derived Metrics'!U35-'Balance Sheet'!U14-'Balance Sheet'!U15,"")</f>
        <v>39652</v>
      </c>
      <c r="V37" s="74" t="n">
        <f>IF(COUNT('Derived Metrics'!V35,'Balance Sheet'!V14,'Balance Sheet'!V15)=3,'Derived Metrics'!V35-'Balance Sheet'!V14-'Balance Sheet'!V15,"")</f>
        <v>41900</v>
      </c>
      <c r="W37" s="74" t="n">
        <f>IF(COUNT('Derived Metrics'!W35,'Balance Sheet'!W14,'Balance Sheet'!W15)=3,'Derived Metrics'!W35-'Balance Sheet'!W14-'Balance Sheet'!W15,"")</f>
        <v>42498</v>
      </c>
      <c r="X37" s="74" t="n">
        <f>IF(COUNT('Derived Metrics'!X35,'Balance Sheet'!X14,'Balance Sheet'!X15)=3,'Derived Metrics'!X35-'Balance Sheet'!X14-'Balance Sheet'!X15,"")</f>
        <v>40718</v>
      </c>
    </row>
    <row r="38" ht="22" customHeight="1">
      <c r="A38" s="4" t="str">
        <v>Identifiable restricted cash</v>
      </c>
      <c r="B38" s="2"/>
      <c r="C38" s="74" t="n">
        <f>IF(COUNT('Derived Metrics'!C39,'Balance Sheet'!C14)=2,'Derived Metrics'!C39-'Balance Sheet'!C14,"")</f>
        <v>11</v>
      </c>
      <c r="D38" s="74" t="n">
        <f>IF(COUNT('Derived Metrics'!D39,'Balance Sheet'!D14)=2,'Derived Metrics'!D39-'Balance Sheet'!D14,"")</f>
        <v>47</v>
      </c>
      <c r="E38" s="74" t="n">
        <f>IF(COUNT('Derived Metrics'!E39,'Balance Sheet'!E14)=2,'Derived Metrics'!E39-'Balance Sheet'!E14,"")</f>
        <v>2048</v>
      </c>
      <c r="F38" s="74" t="n">
        <f>IF(COUNT('Derived Metrics'!F39,'Balance Sheet'!F14)=2,'Derived Metrics'!F39-'Balance Sheet'!F14,"")</f>
        <v>61</v>
      </c>
      <c r="G38" s="74" t="n">
        <f>IF(COUNT('Derived Metrics'!G39,'Balance Sheet'!G14)=2,'Derived Metrics'!G39-'Balance Sheet'!G14,"")</f>
        <v>69</v>
      </c>
      <c r="H38" s="74" t="n">
        <f>IF(COUNT('Derived Metrics'!H39,'Balance Sheet'!H14)=2,'Derived Metrics'!H39-'Balance Sheet'!H14,"")</f>
        <v>111</v>
      </c>
      <c r="I38" s="74" t="n">
        <f>IF(COUNT('Derived Metrics'!I39,'Balance Sheet'!I14)=2,'Derived Metrics'!I39-'Balance Sheet'!I14,"")</f>
        <v>146</v>
      </c>
      <c r="J38" s="74" t="n">
        <f>IF(COUNT('Derived Metrics'!J39,'Balance Sheet'!J14)=2,'Derived Metrics'!J39-'Balance Sheet'!J14,"")</f>
        <v>50</v>
      </c>
      <c r="K38" s="74" t="n">
        <f>IF(COUNT('Derived Metrics'!K39,'Balance Sheet'!K14)=2,'Derived Metrics'!K39-'Balance Sheet'!K14,"")</f>
        <v>48</v>
      </c>
      <c r="L38" s="74" t="n">
        <f>IF(COUNT('Derived Metrics'!L39,'Balance Sheet'!L14)=2,'Derived Metrics'!L39-'Balance Sheet'!L14,"")</f>
        <v>45</v>
      </c>
      <c r="M38" s="45"/>
      <c r="N38" s="74" t="n">
        <f>IF(COUNT('Derived Metrics'!N39,'Balance Sheet'!N14)=2,'Derived Metrics'!N39-'Balance Sheet'!N14,"")</f>
        <v>83</v>
      </c>
      <c r="O38" s="74" t="n">
        <f>IF(COUNT('Derived Metrics'!O39,'Balance Sheet'!O14)=2,'Derived Metrics'!O39-'Balance Sheet'!O14,"")</f>
        <v>65</v>
      </c>
      <c r="P38" s="74" t="n">
        <f>IF(COUNT('Derived Metrics'!P39,'Balance Sheet'!P14)=2,'Derived Metrics'!P39-'Balance Sheet'!P14,"")</f>
        <v>35</v>
      </c>
      <c r="Q38" s="74" t="n">
        <f>IF(COUNT('Derived Metrics'!Q39,'Balance Sheet'!Q14)=2,'Derived Metrics'!Q39-'Balance Sheet'!Q14,"")</f>
        <v>48</v>
      </c>
      <c r="R38" s="74" t="n">
        <f>IF(COUNT('Derived Metrics'!R39,'Balance Sheet'!R14)=2,'Derived Metrics'!R39-'Balance Sheet'!R14,"")</f>
        <v>51</v>
      </c>
      <c r="S38" s="74" t="n">
        <f>IF(COUNT('Derived Metrics'!S39,'Balance Sheet'!S14)=2,'Derived Metrics'!S39-'Balance Sheet'!S14,"")</f>
        <v>81</v>
      </c>
      <c r="T38" s="74" t="n">
        <f>IF(COUNT('Derived Metrics'!T39,'Balance Sheet'!T14)=2,'Derived Metrics'!T39-'Balance Sheet'!T14,"")</f>
        <v>45</v>
      </c>
      <c r="U38" s="74" t="n">
        <f>IF(COUNT('Derived Metrics'!U39,'Balance Sheet'!U14)=2,'Derived Metrics'!U39-'Balance Sheet'!U14,"")</f>
        <v>45</v>
      </c>
      <c r="V38" s="74" t="n">
        <f>IF(COUNT('Derived Metrics'!V39,'Balance Sheet'!V14)=2,'Derived Metrics'!V39-'Balance Sheet'!V14,"")</f>
        <v>76</v>
      </c>
      <c r="W38" s="74" t="n">
        <f>IF(COUNT('Derived Metrics'!W39,'Balance Sheet'!W14)=2,'Derived Metrics'!W39-'Balance Sheet'!W14,"")</f>
        <v>52</v>
      </c>
      <c r="X38" s="74" t="n">
        <f>IF(COUNT('Derived Metrics'!X39,'Balance Sheet'!X14)=2,'Derived Metrics'!X39-'Balance Sheet'!X14,"")</f>
        <v>53</v>
      </c>
    </row>
    <row r="39" ht="22" customHeight="1">
      <c r="A39" s="4" t="str">
        <v>Cash, cash equivalents and restricted cash</v>
      </c>
      <c r="B39" s="2"/>
      <c r="C39" s="74" t="n">
        <f>IF(COUNT('Cash Flow'!C89)=1,'Cash Flow'!C89,"")</f>
        <v>9169</v>
      </c>
      <c r="D39" s="74" t="n">
        <f>IF(COUNT('Cash Flow'!D89)=1,'Cash Flow'!D89,"")</f>
        <v>10657</v>
      </c>
      <c r="E39" s="74" t="n">
        <f>IF(COUNT('Cash Flow'!E89)=1,'Cash Flow'!E89,"")</f>
        <v>10769</v>
      </c>
      <c r="F39" s="74" t="n">
        <f>IF(COUNT('Cash Flow'!F89)=1,'Cash Flow'!F89,"")</f>
        <v>5570</v>
      </c>
      <c r="G39" s="74" t="n">
        <f>IF(COUNT('Cash Flow'!G89)=1,'Cash Flow'!G89,"")</f>
        <v>8254</v>
      </c>
      <c r="H39" s="74" t="n">
        <f>IF(COUNT('Cash Flow'!H89)=1,'Cash Flow'!H89,"")</f>
        <v>5707</v>
      </c>
      <c r="I39" s="74" t="n">
        <f>IF(COUNT('Cash Flow'!I89)=1,'Cash Flow'!I89,"")</f>
        <v>5100</v>
      </c>
      <c r="J39" s="74" t="n">
        <f>IF(COUNT('Cash Flow'!J89)=1,'Cash Flow'!J89,"")</f>
        <v>9761</v>
      </c>
      <c r="K39" s="74" t="n">
        <f>IF(COUNT('Cash Flow'!K89)=1,'Cash Flow'!K89,"")</f>
        <v>8553</v>
      </c>
      <c r="L39" s="74" t="n">
        <f>IF(COUNT('Cash Flow'!L89)=1,'Cash Flow'!L89,"")</f>
        <v>9204</v>
      </c>
      <c r="M39" s="45"/>
      <c r="N39" s="74" t="n">
        <f>IF(COUNT('Cash Flow'!N89)=1,'Cash Flow'!N89,"")</f>
        <v>8130</v>
      </c>
      <c r="O39" s="74" t="n">
        <f>IF(COUNT('Cash Flow'!O89)=1,'Cash Flow'!O89,"")</f>
        <v>6418</v>
      </c>
      <c r="P39" s="74" t="n">
        <f>IF(COUNT('Cash Flow'!P89)=1,'Cash Flow'!P89,"")</f>
        <v>7343</v>
      </c>
      <c r="Q39" s="74" t="n">
        <f>IF(COUNT('Cash Flow'!Q89)=1,'Cash Flow'!Q89,"")</f>
        <v>8553</v>
      </c>
      <c r="R39" s="74" t="n">
        <f>IF(COUNT('Cash Flow'!R89)=1,'Cash Flow'!R89,"")</f>
        <v>8319</v>
      </c>
      <c r="S39" s="74" t="n">
        <f>IF(COUNT('Cash Flow'!S89)=1,'Cash Flow'!S89,"")</f>
        <v>7712</v>
      </c>
      <c r="T39" s="74" t="n">
        <f>IF(COUNT('Cash Flow'!T89)=1,'Cash Flow'!T89,"")</f>
        <v>8171</v>
      </c>
      <c r="U39" s="74" t="n">
        <f>IF(COUNT('Cash Flow'!U89)=1,'Cash Flow'!U89,"")</f>
        <v>9204</v>
      </c>
      <c r="V39" s="74" t="n">
        <f>IF(COUNT('Cash Flow'!V89)=1,'Cash Flow'!V89,"")</f>
        <v>10551</v>
      </c>
      <c r="W39" s="74" t="n">
        <f>IF(COUNT('Cash Flow'!W89)=1,'Cash Flow'!W89,"")</f>
        <v>10303</v>
      </c>
      <c r="X39" s="74" t="n">
        <f>IF(COUNT('Cash Flow'!X89)=1,'Cash Flow'!X89,"")</f>
        <v>10728</v>
      </c>
    </row>
    <row r="40" ht="22" customHeight="1">
      <c r="A40" s="4"/>
      <c r="B40" s="2"/>
      <c r="C40" s="3"/>
      <c r="D40" s="3"/>
      <c r="E40" s="3"/>
      <c r="F40" s="3"/>
      <c r="G40" s="3"/>
      <c r="H40" s="3"/>
      <c r="I40" s="3"/>
      <c r="J40" s="3"/>
      <c r="K40" s="3"/>
      <c r="L40" s="3"/>
      <c r="M40" s="3"/>
      <c r="N40" s="3"/>
      <c r="O40" s="3"/>
      <c r="P40" s="3"/>
      <c r="Q40" s="3"/>
      <c r="R40" s="3"/>
      <c r="S40" s="3"/>
      <c r="T40" s="3"/>
      <c r="U40" s="3"/>
      <c r="V40" s="3"/>
      <c r="W40" s="3"/>
      <c r="X40" s="3"/>
    </row>
    <row r="41" ht="22" customHeight="1">
      <c r="A41" s="29" t="str">
        <v>Operating invested capital and returns</v>
      </c>
      <c r="B41" s="29"/>
      <c r="C41" s="32"/>
      <c r="D41" s="32"/>
      <c r="E41" s="32"/>
      <c r="F41" s="32"/>
      <c r="G41" s="32"/>
      <c r="H41" s="32"/>
      <c r="I41" s="32"/>
      <c r="J41" s="32"/>
      <c r="K41" s="32"/>
      <c r="L41" s="32"/>
      <c r="M41" s="32"/>
      <c r="N41" s="32"/>
      <c r="O41" s="32"/>
      <c r="P41" s="32"/>
      <c r="Q41" s="32"/>
      <c r="R41" s="32"/>
      <c r="S41" s="32"/>
      <c r="T41" s="32"/>
      <c r="U41" s="32"/>
      <c r="V41" s="32"/>
      <c r="W41" s="32"/>
      <c r="X41" s="32"/>
    </row>
    <row r="42" ht="18" customHeight="1">
      <c r="A42" s="33" t="str">
        <v>Operating IC/ROIC remains blank without complete investment balances; NOPAT uses actual income tax expense.</v>
      </c>
      <c r="B42" s="33"/>
      <c r="C42" s="35"/>
      <c r="D42" s="35"/>
      <c r="E42" s="35"/>
      <c r="F42" s="35"/>
      <c r="G42" s="35"/>
      <c r="H42" s="35"/>
      <c r="I42" s="35"/>
      <c r="J42" s="35"/>
      <c r="K42" s="35"/>
      <c r="L42" s="35"/>
      <c r="M42" s="35"/>
      <c r="N42" s="35"/>
      <c r="O42" s="35"/>
      <c r="P42" s="35"/>
      <c r="Q42" s="35"/>
      <c r="R42" s="35"/>
      <c r="S42" s="35"/>
      <c r="T42" s="35"/>
      <c r="U42" s="35"/>
      <c r="V42" s="35"/>
      <c r="W42" s="35"/>
      <c r="X42" s="35"/>
    </row>
    <row r="43" ht="36" customHeight="1">
      <c r="A43" s="4" t="str">
        <v>Investments within Other Assets (without duplicate securities deductions)</v>
      </c>
      <c r="B43" s="2"/>
      <c r="C43" s="44"/>
      <c r="D43" s="44"/>
      <c r="E43" s="44"/>
      <c r="F43" s="44"/>
      <c r="G43" s="44"/>
      <c r="H43" s="74" t="n">
        <f>IF(COUNT('Note Schedules'!H50)=1,'Note Schedules'!H50,"")</f>
        <v>277</v>
      </c>
      <c r="I43" s="74" t="n">
        <f>IF(COUNT('Note Schedules'!I50)=1,'Note Schedules'!I50,"")</f>
        <v>813</v>
      </c>
      <c r="J43" s="74" t="n">
        <f>IF(COUNT('Note Schedules'!J50)=1,'Note Schedules'!J50,"")</f>
        <v>1616</v>
      </c>
      <c r="K43" s="74" t="n">
        <f>IF(COUNT('Note Schedules'!K50)=1,'Note Schedules'!K50,"")</f>
        <v>1346</v>
      </c>
      <c r="L43" s="74" t="n">
        <f>IF(COUNT('Note Schedules'!L50)=1,'Note Schedules'!L50,"")</f>
        <v>2526</v>
      </c>
      <c r="M43" s="45"/>
      <c r="N43" s="44"/>
      <c r="O43" s="44"/>
      <c r="P43" s="44"/>
      <c r="Q43" s="43" t="n">
        <f>IF(COUNT('Derived Metrics'!K43)=1,'Derived Metrics'!K43,"")</f>
        <v>1346</v>
      </c>
      <c r="R43" s="44"/>
      <c r="S43" s="44"/>
      <c r="T43" s="44"/>
      <c r="U43" s="43" t="n">
        <f>IF(COUNT('Derived Metrics'!L43)=1,'Derived Metrics'!L43,"")</f>
        <v>2526</v>
      </c>
      <c r="V43" s="44"/>
      <c r="W43" s="44"/>
      <c r="X43" s="44"/>
    </row>
    <row r="44" ht="22" customHeight="1">
      <c r="A44" s="4" t="str">
        <v>Total identifiable investment deductions</v>
      </c>
      <c r="B44" s="2"/>
      <c r="C44" s="44"/>
      <c r="D44" s="44"/>
      <c r="E44" s="44"/>
      <c r="F44" s="44"/>
      <c r="G44" s="44"/>
      <c r="H44" s="74" t="n">
        <f>IF(COUNT('Balance Sheet'!H15,'Balance Sheet'!H33,'Derived Metrics'!H43)=3,'Balance Sheet'!H15+'Balance Sheet'!H33+'Derived Metrics'!H43,"")</f>
        <v>3019</v>
      </c>
      <c r="I44" s="74" t="n">
        <f>IF(COUNT('Balance Sheet'!I15,'Balance Sheet'!I33,'Derived Metrics'!I43)=3,'Balance Sheet'!I15+'Balance Sheet'!I33+'Derived Metrics'!I43,"")</f>
        <v>4280</v>
      </c>
      <c r="J44" s="74" t="n">
        <f>IF(COUNT('Balance Sheet'!J15,'Balance Sheet'!J33,'Derived Metrics'!J43)=3,'Balance Sheet'!J15+'Balance Sheet'!J33+'Derived Metrics'!J43,"")</f>
        <v>4622</v>
      </c>
      <c r="K44" s="74" t="n">
        <f>IF(COUNT('Balance Sheet'!K15,'Balance Sheet'!K33,'Derived Metrics'!K43)=3,'Balance Sheet'!K15+'Balance Sheet'!K33+'Derived Metrics'!K43,"")</f>
        <v>4092</v>
      </c>
      <c r="L44" s="74" t="n">
        <f>IF(COUNT('Balance Sheet'!L15,'Balance Sheet'!L33,'Derived Metrics'!L43)=3,'Balance Sheet'!L15+'Balance Sheet'!L33+'Derived Metrics'!L43,"")</f>
        <v>4935</v>
      </c>
      <c r="M44" s="45"/>
      <c r="N44" s="44"/>
      <c r="O44" s="44"/>
      <c r="P44" s="44"/>
      <c r="Q44" s="43" t="n">
        <f>IF(COUNT('Derived Metrics'!K44)=1,'Derived Metrics'!K44,"")</f>
        <v>4092</v>
      </c>
      <c r="R44" s="44"/>
      <c r="S44" s="44"/>
      <c r="T44" s="44"/>
      <c r="U44" s="43" t="n">
        <f>IF(COUNT('Derived Metrics'!L44)=1,'Derived Metrics'!L44,"")</f>
        <v>4935</v>
      </c>
      <c r="V44" s="44"/>
      <c r="W44" s="44"/>
      <c r="X44" s="44"/>
    </row>
    <row r="45" ht="24" customHeight="1">
      <c r="A45" s="51" t="str">
        <v>Operating IC (complete identifiable deductions)</v>
      </c>
      <c r="B45" s="52"/>
      <c r="C45" s="53"/>
      <c r="D45" s="53"/>
      <c r="E45" s="53"/>
      <c r="F45" s="53"/>
      <c r="G45" s="53"/>
      <c r="H45" s="79" t="n">
        <f>IF(COUNT('Balance Sheet'!H36,'Derived Metrics'!H39,'Derived Metrics'!H44)=3,'Balance Sheet'!H36-'Derived Metrics'!H39-'Derived Metrics'!H44,"")</f>
        <v>83651</v>
      </c>
      <c r="I45" s="79" t="n">
        <f>IF(COUNT('Balance Sheet'!I36,'Derived Metrics'!I39,'Derived Metrics'!I44)=3,'Balance Sheet'!I36-'Derived Metrics'!I39-'Derived Metrics'!I44,"")</f>
        <v>82807</v>
      </c>
      <c r="J45" s="79" t="n">
        <f>IF(COUNT('Balance Sheet'!J36,'Derived Metrics'!J39,'Derived Metrics'!J44)=3,'Balance Sheet'!J36-'Derived Metrics'!J39-'Derived Metrics'!J44,"")</f>
        <v>86112</v>
      </c>
      <c r="K45" s="79" t="n">
        <f>IF(COUNT('Balance Sheet'!K36,'Derived Metrics'!K39,'Derived Metrics'!K44)=3,'Balance Sheet'!K36-'Derived Metrics'!K39-'Derived Metrics'!K44,"")</f>
        <v>86822</v>
      </c>
      <c r="L45" s="79" t="n">
        <f>IF(COUNT('Balance Sheet'!L36,'Derived Metrics'!L39,'Derived Metrics'!L44)=3,'Balance Sheet'!L36-'Derived Metrics'!L39-'Derived Metrics'!L44,"")</f>
        <v>93260</v>
      </c>
      <c r="M45" s="55"/>
      <c r="N45" s="53"/>
      <c r="O45" s="53"/>
      <c r="P45" s="53"/>
      <c r="Q45" s="54" t="n">
        <f>IF(COUNT('Derived Metrics'!K45)=1,'Derived Metrics'!K45,"")</f>
        <v>86822</v>
      </c>
      <c r="R45" s="53"/>
      <c r="S45" s="53"/>
      <c r="T45" s="53"/>
      <c r="U45" s="54" t="n">
        <f>IF(COUNT('Derived Metrics'!L45)=1,'Derived Metrics'!L45,"")</f>
        <v>93260</v>
      </c>
      <c r="V45" s="53"/>
      <c r="W45" s="53"/>
      <c r="X45" s="53"/>
    </row>
    <row r="46" ht="22" customHeight="1">
      <c r="A46" s="4" t="str">
        <v>Opening operating IC</v>
      </c>
      <c r="B46" s="2"/>
      <c r="C46" s="44"/>
      <c r="D46" s="44"/>
      <c r="E46" s="44"/>
      <c r="F46" s="44"/>
      <c r="G46" s="44"/>
      <c r="H46" s="44"/>
      <c r="I46" s="43" t="n">
        <f>IF(COUNT('Derived Metrics'!H45)=1,'Derived Metrics'!H45,"")</f>
        <v>83651</v>
      </c>
      <c r="J46" s="43" t="n">
        <f>IF(COUNT('Derived Metrics'!I45)=1,'Derived Metrics'!I45,"")</f>
        <v>82807</v>
      </c>
      <c r="K46" s="43" t="n">
        <f>IF(COUNT('Derived Metrics'!J45)=1,'Derived Metrics'!J45,"")</f>
        <v>86112</v>
      </c>
      <c r="L46" s="43" t="n">
        <f>IF(COUNT('Derived Metrics'!K45)=1,'Derived Metrics'!K45,"")</f>
        <v>86822</v>
      </c>
      <c r="M46" s="45"/>
      <c r="N46" s="44"/>
      <c r="O46" s="44"/>
      <c r="P46" s="44"/>
      <c r="Q46" s="43" t="n">
        <f>IF(COUNT('Derived Metrics'!K46)=1,'Derived Metrics'!K46,"")</f>
        <v>86112</v>
      </c>
      <c r="R46" s="44"/>
      <c r="S46" s="44"/>
      <c r="T46" s="44"/>
      <c r="U46" s="43" t="n">
        <f>IF(COUNT('Derived Metrics'!L46)=1,'Derived Metrics'!L46,"")</f>
        <v>86822</v>
      </c>
      <c r="V46" s="44"/>
      <c r="W46" s="44"/>
      <c r="X46" s="44"/>
    </row>
    <row r="47" ht="22" customHeight="1">
      <c r="A47" s="4" t="str">
        <v>Average operating IC</v>
      </c>
      <c r="B47" s="2"/>
      <c r="C47" s="44"/>
      <c r="D47" s="44"/>
      <c r="E47" s="44"/>
      <c r="F47" s="44"/>
      <c r="G47" s="44"/>
      <c r="H47" s="44"/>
      <c r="I47" s="43" t="n">
        <f>IF(COUNT('Derived Metrics'!I45,'Derived Metrics'!I46)=2,('Derived Metrics'!I45+'Derived Metrics'!I46)/2,"")</f>
        <v>83229</v>
      </c>
      <c r="J47" s="43" t="n">
        <f>IF(COUNT('Derived Metrics'!J45,'Derived Metrics'!J46)=2,('Derived Metrics'!J45+'Derived Metrics'!J46)/2,"")</f>
        <v>84459.5</v>
      </c>
      <c r="K47" s="43" t="n">
        <f>IF(COUNT('Derived Metrics'!K45,'Derived Metrics'!K46)=2,('Derived Metrics'!K45+'Derived Metrics'!K46)/2,"")</f>
        <v>86467</v>
      </c>
      <c r="L47" s="43" t="n">
        <f>IF(COUNT('Derived Metrics'!L45,'Derived Metrics'!L46)=2,('Derived Metrics'!L45+'Derived Metrics'!L46)/2,"")</f>
        <v>90041</v>
      </c>
      <c r="M47" s="45"/>
      <c r="N47" s="44"/>
      <c r="O47" s="44"/>
      <c r="P47" s="44"/>
      <c r="Q47" s="43" t="n">
        <f>IF(COUNT('Derived Metrics'!K47)=1,'Derived Metrics'!K47,"")</f>
        <v>86467</v>
      </c>
      <c r="R47" s="44"/>
      <c r="S47" s="44"/>
      <c r="T47" s="44"/>
      <c r="U47" s="43" t="n">
        <f>IF(COUNT('Derived Metrics'!L47)=1,'Derived Metrics'!L47,"")</f>
        <v>90041</v>
      </c>
      <c r="V47" s="44"/>
      <c r="W47" s="44"/>
      <c r="X47" s="44"/>
    </row>
    <row r="48" ht="24" customHeight="1">
      <c r="A48" s="51" t="str">
        <v>NOPAT (operating profit − actual income tax expense)</v>
      </c>
      <c r="B48" s="52"/>
      <c r="C48" s="79" t="n">
        <f>IF(COUNT('Income Statement'!C21,'Income Statement'!C28)=2,'Income Statement'!C21-'Income Statement'!C28,"")</f>
        <v>7630</v>
      </c>
      <c r="D48" s="79" t="n">
        <f>IF(COUNT('Income Statement'!D21,'Income Statement'!D28)=2,'Income Statement'!D21-'Income Statement'!D28,"")</f>
        <v>5582</v>
      </c>
      <c r="E48" s="79" t="n">
        <f>IF(COUNT('Income Statement'!E21,'Income Statement'!E28)=2,'Income Statement'!E21-'Income Statement'!E28,"")</f>
        <v>13480</v>
      </c>
      <c r="F48" s="79" t="n">
        <f>IF(COUNT('Income Statement'!F21,'Income Statement'!F28)=2,'Income Statement'!F21-'Income Statement'!F28,"")</f>
        <v>8332</v>
      </c>
      <c r="G48" s="79" t="n">
        <f>IF(COUNT('Income Statement'!G21,'Income Statement'!G28)=2,'Income Statement'!G21-'Income Statement'!G28,"")</f>
        <v>8186</v>
      </c>
      <c r="H48" s="79" t="n">
        <f>IF(COUNT('Income Statement'!H21,'Income Statement'!H28)=2,'Income Statement'!H21-'Income Statement'!H28,"")</f>
        <v>9020</v>
      </c>
      <c r="I48" s="79" t="n">
        <f>IF(COUNT('Income Statement'!I21,'Income Statement'!I28)=2,'Income Statement'!I21-'Income Statement'!I28,"")</f>
        <v>9785</v>
      </c>
      <c r="J48" s="79" t="n">
        <f>IF(COUNT('Income Statement'!J21,'Income Statement'!J28)=2,'Income Statement'!J21-'Income Statement'!J28,"")</f>
        <v>9724</v>
      </c>
      <c r="K48" s="79" t="n">
        <f>IF(COUNT('Income Statement'!K21,'Income Statement'!K28)=2,'Income Statement'!K21-'Income Statement'!K28,"")</f>
        <v>10567</v>
      </c>
      <c r="L48" s="79" t="n">
        <f>IF(COUNT('Income Statement'!L21,'Income Statement'!L28)=2,'Income Statement'!L21-'Income Statement'!L28,"")</f>
        <v>9549</v>
      </c>
      <c r="M48" s="55"/>
      <c r="N48" s="79" t="n">
        <f>IF(COUNT('Income Statement'!N21,'Income Statement'!N28)=2,'Income Statement'!N21-'Income Statement'!N28,"")</f>
        <v>2197</v>
      </c>
      <c r="O48" s="79" t="n">
        <f>IF(COUNT('Income Statement'!O21,'Income Statement'!O28)=2,'Income Statement'!O21-'Income Statement'!O28,"")</f>
        <v>3272</v>
      </c>
      <c r="P48" s="79" t="n">
        <f>IF(COUNT('Income Statement'!P21,'Income Statement'!P28)=2,'Income Statement'!P21-'Income Statement'!P28,"")</f>
        <v>3123</v>
      </c>
      <c r="Q48" s="79" t="n">
        <f>IF(COUNT('Income Statement'!Q21,'Income Statement'!Q28)=2,'Income Statement'!Q21-'Income Statement'!Q28,"")</f>
        <v>1975</v>
      </c>
      <c r="R48" s="79" t="n">
        <f>IF(COUNT('Income Statement'!R21,'Income Statement'!R28)=2,'Income Statement'!R21-'Income Statement'!R28,"")</f>
        <v>2084</v>
      </c>
      <c r="S48" s="79" t="n">
        <f>IF(COUNT('Income Statement'!S21,'Income Statement'!S28)=2,'Income Statement'!S21-'Income Statement'!S28,"")</f>
        <v>1497</v>
      </c>
      <c r="T48" s="79" t="n">
        <f>IF(COUNT('Income Statement'!T21,'Income Statement'!T28)=2,'Income Statement'!T21-'Income Statement'!T28,"")</f>
        <v>2856</v>
      </c>
      <c r="U48" s="79" t="n">
        <f>IF(COUNT('Income Statement'!U21,'Income Statement'!U28)=2,'Income Statement'!U21-'Income Statement'!U28,"")</f>
        <v>3112</v>
      </c>
      <c r="V48" s="79" t="n">
        <f>IF(COUNT('Income Statement'!V21,'Income Statement'!V28)=2,'Income Statement'!V21-'Income Statement'!V28,"")</f>
        <v>2581</v>
      </c>
      <c r="W48" s="79" t="n">
        <f>IF(COUNT('Income Statement'!W21,'Income Statement'!W28)=2,'Income Statement'!W21-'Income Statement'!W28,"")</f>
        <v>3175</v>
      </c>
      <c r="X48" s="79" t="n">
        <f>IF(COUNT('Income Statement'!X21,'Income Statement'!X28)=2,'Income Statement'!X21-'Income Statement'!X28,"")</f>
        <v>3426</v>
      </c>
    </row>
    <row r="49" ht="24" customHeight="1">
      <c r="A49" s="68" t="str">
        <v>Operating ROIC</v>
      </c>
      <c r="B49" s="52"/>
      <c r="C49" s="69"/>
      <c r="D49" s="69"/>
      <c r="E49" s="69"/>
      <c r="F49" s="69"/>
      <c r="G49" s="69"/>
      <c r="H49" s="69"/>
      <c r="I49" s="71" t="n">
        <f>IF(COUNT('Derived Metrics'!I48,'Derived Metrics'!I47)=2,IF('Derived Metrics'!I47&lt;&gt;0,'Derived Metrics'!I48/'Derived Metrics'!I47,""),"")</f>
        <v>0.11756719412704707</v>
      </c>
      <c r="J49" s="71" t="n">
        <f>IF(COUNT('Derived Metrics'!J48,'Derived Metrics'!J47)=2,IF('Derived Metrics'!J47&lt;&gt;0,'Derived Metrics'!J48/'Derived Metrics'!J47,""),"")</f>
        <v>0.11513210473658973</v>
      </c>
      <c r="K49" s="71" t="n">
        <f>IF(COUNT('Derived Metrics'!K48,'Derived Metrics'!K47)=2,IF('Derived Metrics'!K47&lt;&gt;0,'Derived Metrics'!K48/'Derived Metrics'!K47,""),"")</f>
        <v>0.12220847259648189</v>
      </c>
      <c r="L49" s="71" t="n">
        <f>IF(COUNT('Derived Metrics'!L48,'Derived Metrics'!L47)=2,IF('Derived Metrics'!L47&lt;&gt;0,'Derived Metrics'!L48/'Derived Metrics'!L47,""),"")</f>
        <v>0.10605168756455392</v>
      </c>
      <c r="M49" s="70"/>
      <c r="N49" s="69"/>
      <c r="O49" s="69"/>
      <c r="P49" s="69"/>
      <c r="Q49" s="71" t="n">
        <f>IF(COUNT('Derived Metrics'!K49)=1,'Derived Metrics'!K49,"")</f>
        <v>0.12220847259648189</v>
      </c>
      <c r="R49" s="69"/>
      <c r="S49" s="69"/>
      <c r="T49" s="69"/>
      <c r="U49" s="71" t="n">
        <f>IF(COUNT('Derived Metrics'!L49)=1,'Derived Metrics'!L49,"")</f>
        <v>0.10605168756455392</v>
      </c>
      <c r="V49" s="69"/>
      <c r="W49" s="69"/>
      <c r="X49" s="69"/>
    </row>
    <row r="50" ht="20" customHeight="1">
      <c r="A50" s="56" t="str">
        <v>Operating IC turnover</v>
      </c>
      <c r="B50" s="2"/>
      <c r="C50" s="76"/>
      <c r="D50" s="76"/>
      <c r="E50" s="76"/>
      <c r="F50" s="76"/>
      <c r="G50" s="76"/>
      <c r="H50" s="76"/>
      <c r="I50" s="77" t="n">
        <f>IF(COUNT('Income Statement'!I13,'Derived Metrics'!I47)=2,IF('Derived Metrics'!I47&lt;&gt;0,'Income Statement'!I13/'Derived Metrics'!I47,""),"")</f>
        <v>1.0380035804827645</v>
      </c>
      <c r="J50" s="77" t="n">
        <f>IF(COUNT('Income Statement'!J13,'Derived Metrics'!J47)=2,IF('Derived Metrics'!J47&lt;&gt;0,'Income Statement'!J13/'Derived Metrics'!J47,""),"")</f>
        <v>1.0830161201522623</v>
      </c>
      <c r="K50" s="77" t="n">
        <f>IF(COUNT('Income Statement'!K13,'Derived Metrics'!K47)=2,IF('Derived Metrics'!K47&lt;&gt;0,'Income Statement'!K13/'Derived Metrics'!K47,""),"")</f>
        <v>1.0623012247447003</v>
      </c>
      <c r="L50" s="77" t="n">
        <f>IF(COUNT('Income Statement'!L13,'Derived Metrics'!L47)=2,IF('Derived Metrics'!L47&lt;&gt;0,'Income Statement'!L13/'Derived Metrics'!L47,""),"")</f>
        <v>1.0431359047545008</v>
      </c>
      <c r="M50" s="78"/>
      <c r="N50" s="76"/>
      <c r="O50" s="76"/>
      <c r="P50" s="76"/>
      <c r="Q50" s="80" t="n">
        <f>IF(COUNT('Derived Metrics'!K50)=1,'Derived Metrics'!K50,"")</f>
        <v>1.0623012247447003</v>
      </c>
      <c r="R50" s="76"/>
      <c r="S50" s="76"/>
      <c r="T50" s="76"/>
      <c r="U50" s="80" t="n">
        <f>IF(COUNT('Derived Metrics'!L50)=1,'Derived Metrics'!L50,"")</f>
        <v>1.0431359047545008</v>
      </c>
      <c r="V50" s="76"/>
      <c r="W50" s="76"/>
      <c r="X50" s="76"/>
    </row>
    <row r="51" ht="36" customHeight="1">
      <c r="A51" s="56" t="str">
        <v>ROE (net income attributable to PepsiCo / average common equity)</v>
      </c>
      <c r="B51" s="2"/>
      <c r="C51" s="72" t="n">
        <f>IF(COUNT('Balance Sheet'!C55,'Note Schedules'!C311,'Income Statement'!C31)=3,IF(('Balance Sheet'!C55+'Note Schedules'!C311)/2&lt;&gt;0,'Income Statement'!C31/(('Balance Sheet'!C55+'Note Schedules'!C311)/2),""),"")</f>
        <v>0.5429355751908724</v>
      </c>
      <c r="D51" s="72" t="n">
        <f>IF(COUNT('Balance Sheet'!D55,'Balance Sheet'!C55,'Income Statement'!D31)=3,IF(('Balance Sheet'!D55+'Balance Sheet'!C55)/2&lt;&gt;0,'Income Statement'!D31/(('Balance Sheet'!D55+'Balance Sheet'!C55)/2),""),"")</f>
        <v>0.43578125700955544</v>
      </c>
      <c r="E51" s="72" t="n">
        <f>IF(COUNT('Balance Sheet'!E55,'Balance Sheet'!D55,'Income Statement'!E31)=3,IF(('Balance Sheet'!E55+'Balance Sheet'!D55)/2&lt;&gt;0,'Income Statement'!E31/(('Balance Sheet'!E55+'Balance Sheet'!D55)/2),""),"")</f>
        <v>0.9791495520870007</v>
      </c>
      <c r="F51" s="72" t="n">
        <f>IF(COUNT('Balance Sheet'!F55,'Balance Sheet'!E55,'Income Statement'!F31)=3,IF(('Balance Sheet'!F55+'Balance Sheet'!E55)/2&lt;&gt;0,'Income Statement'!F31/(('Balance Sheet'!F55+'Balance Sheet'!E55)/2),""),"")</f>
        <v>0.4991809991809992</v>
      </c>
      <c r="G51" s="72" t="n">
        <f>IF(COUNT('Balance Sheet'!G55,'Balance Sheet'!F55,'Income Statement'!G31)=3,IF(('Balance Sheet'!G55+'Balance Sheet'!F55)/2&lt;&gt;0,'Income Statement'!G31/(('Balance Sheet'!G55+'Balance Sheet'!F55)/2),""),"")</f>
        <v>0.5042492917847026</v>
      </c>
      <c r="H51" s="72" t="n">
        <f>IF(COUNT('Balance Sheet'!H55,'Balance Sheet'!G55,'Income Statement'!H31)=3,IF(('Balance Sheet'!H55+'Balance Sheet'!G55)/2&lt;&gt;0,'Income Statement'!H31/(('Balance Sheet'!H55+'Balance Sheet'!G55)/2),""),"")</f>
        <v>0.5165271044513001</v>
      </c>
      <c r="I51" s="72" t="n">
        <f>IF(COUNT('Balance Sheet'!I55,'Balance Sheet'!H55,'Income Statement'!I31)=3,IF(('Balance Sheet'!I55+'Balance Sheet'!H55)/2&lt;&gt;0,'Income Statement'!I31/(('Balance Sheet'!I55+'Balance Sheet'!H55)/2),""),"")</f>
        <v>0.5368763557483731</v>
      </c>
      <c r="J51" s="72" t="n">
        <f>IF(COUNT('Balance Sheet'!J55,'Balance Sheet'!I55,'Income Statement'!J31)=3,IF(('Balance Sheet'!J55+'Balance Sheet'!I55)/2&lt;&gt;0,'Income Statement'!J31/(('Balance Sheet'!J55+'Balance Sheet'!I55)/2),""),"")</f>
        <v>0.5090317513743969</v>
      </c>
      <c r="K51" s="72" t="n">
        <f>IF(COUNT('Balance Sheet'!K55,'Balance Sheet'!J55,'Income Statement'!K31)=3,IF(('Balance Sheet'!K55+'Balance Sheet'!J55)/2&lt;&gt;0,'Income Statement'!K31/(('Balance Sheet'!K55+'Balance Sheet'!J55)/2),""),"")</f>
        <v>0.5241900175131349</v>
      </c>
      <c r="L51" s="72" t="n">
        <f>IF(COUNT('Balance Sheet'!L55,'Balance Sheet'!K55,'Income Statement'!L31)=3,IF(('Balance Sheet'!L55+'Balance Sheet'!K55)/2&lt;&gt;0,'Income Statement'!L31/(('Balance Sheet'!L55+'Balance Sheet'!K55)/2),""),"")</f>
        <v>0.42864202668608736</v>
      </c>
      <c r="M51" s="60"/>
      <c r="N51" s="58"/>
      <c r="O51" s="58"/>
      <c r="P51" s="58"/>
      <c r="Q51" s="59" t="n">
        <f>IF(COUNT('Derived Metrics'!K51)=1,'Derived Metrics'!K51,"")</f>
        <v>0.5241900175131349</v>
      </c>
      <c r="R51" s="58"/>
      <c r="S51" s="58"/>
      <c r="T51" s="58"/>
      <c r="U51" s="59" t="n">
        <f>IF(COUNT('Derived Metrics'!L51)=1,'Derived Metrics'!L51,"")</f>
        <v>0.42864202668608736</v>
      </c>
      <c r="V51" s="58"/>
      <c r="W51" s="58"/>
      <c r="X51" s="58"/>
    </row>
    <row r="52" ht="22" customHeight="1">
      <c r="A52" s="4"/>
      <c r="B52" s="2"/>
      <c r="C52" s="3"/>
      <c r="D52" s="3"/>
      <c r="E52" s="3"/>
      <c r="F52" s="3"/>
      <c r="G52" s="3"/>
      <c r="H52" s="3"/>
      <c r="I52" s="3"/>
      <c r="J52" s="3"/>
      <c r="K52" s="3"/>
      <c r="L52" s="3"/>
      <c r="M52" s="3"/>
      <c r="N52" s="3"/>
      <c r="O52" s="3"/>
      <c r="P52" s="3"/>
      <c r="Q52" s="3"/>
      <c r="R52" s="3"/>
      <c r="S52" s="3"/>
      <c r="T52" s="3"/>
      <c r="U52" s="3"/>
      <c r="V52" s="3"/>
      <c r="W52" s="3"/>
      <c r="X52" s="3"/>
    </row>
    <row r="53" ht="22" customHeight="1">
      <c r="A53" s="29" t="str">
        <v>Working capital and turnover</v>
      </c>
      <c r="B53" s="29"/>
      <c r="C53" s="32"/>
      <c r="D53" s="32"/>
      <c r="E53" s="32"/>
      <c r="F53" s="32"/>
      <c r="G53" s="32"/>
      <c r="H53" s="32"/>
      <c r="I53" s="32"/>
      <c r="J53" s="32"/>
      <c r="K53" s="32"/>
      <c r="L53" s="32"/>
      <c r="M53" s="32"/>
      <c r="N53" s="32"/>
      <c r="O53" s="32"/>
      <c r="P53" s="32"/>
      <c r="Q53" s="32"/>
      <c r="R53" s="32"/>
      <c r="S53" s="32"/>
      <c r="T53" s="32"/>
      <c r="U53" s="32"/>
      <c r="V53" s="32"/>
      <c r="W53" s="32"/>
      <c r="X53" s="32"/>
    </row>
    <row r="54" ht="18" customHeight="1">
      <c r="A54" s="33" t="str">
        <v>Accounts payable includes unseparated capital-expenditure payables; DPO/CCC is not calculated.</v>
      </c>
      <c r="B54" s="33"/>
      <c r="C54" s="35"/>
      <c r="D54" s="35"/>
      <c r="E54" s="35"/>
      <c r="F54" s="35"/>
      <c r="G54" s="35"/>
      <c r="H54" s="35"/>
      <c r="I54" s="35"/>
      <c r="J54" s="35"/>
      <c r="K54" s="35"/>
      <c r="L54" s="35"/>
      <c r="M54" s="35"/>
      <c r="N54" s="35"/>
      <c r="O54" s="35"/>
      <c r="P54" s="35"/>
      <c r="Q54" s="35"/>
      <c r="R54" s="35"/>
      <c r="S54" s="35"/>
      <c r="T54" s="35"/>
      <c r="U54" s="35"/>
      <c r="V54" s="35"/>
      <c r="W54" s="35"/>
      <c r="X54" s="35"/>
    </row>
    <row r="55" ht="22" customHeight="1">
      <c r="A55" s="4" t="str">
        <v>Current assets less cash and short-term investments</v>
      </c>
      <c r="B55" s="2"/>
      <c r="C55" s="74" t="n">
        <f>IF(COUNT('Balance Sheet'!C24,'Balance Sheet'!C14,'Balance Sheet'!C15)=3,'Balance Sheet'!C24-'Balance Sheet'!C14-'Balance Sheet'!C15,"")</f>
        <v>10325</v>
      </c>
      <c r="D55" s="74" t="n">
        <f>IF(COUNT('Balance Sheet'!D24,'Balance Sheet'!D14,'Balance Sheet'!D15,'Balance Sheet'!D16)=4,'Balance Sheet'!D24-'Balance Sheet'!D14-'Balance Sheet'!D15-'Balance Sheet'!D16,"")</f>
        <v>11517</v>
      </c>
      <c r="E55" s="74" t="n">
        <f>IF(COUNT('Balance Sheet'!E24,'Balance Sheet'!E14,'Balance Sheet'!E15,'Balance Sheet'!E16)=4,'Balance Sheet'!E24-'Balance Sheet'!E14-'Balance Sheet'!E15-'Balance Sheet'!E16,"")</f>
        <v>10903</v>
      </c>
      <c r="F55" s="74" t="n">
        <f>IF(COUNT('Balance Sheet'!F24,'Balance Sheet'!F14,'Balance Sheet'!F15)=3,'Balance Sheet'!F24-'Balance Sheet'!F14-'Balance Sheet'!F15,"")</f>
        <v>11907</v>
      </c>
      <c r="G55" s="74" t="n">
        <f>IF(COUNT('Balance Sheet'!G24,'Balance Sheet'!G14,'Balance Sheet'!G15,'Balance Sheet'!G23)=4,'Balance Sheet'!G24-'Balance Sheet'!G14-'Balance Sheet'!G15-'Balance Sheet'!G23,"")</f>
        <v>13450</v>
      </c>
      <c r="H55" s="74" t="n">
        <f>IF(COUNT('Balance Sheet'!H24,'Balance Sheet'!H14,'Balance Sheet'!H15,'Balance Sheet'!H23)=4,'Balance Sheet'!H24-'Balance Sheet'!H14-'Balance Sheet'!H15-'Balance Sheet'!H23,"")</f>
        <v>14007</v>
      </c>
      <c r="I55" s="74" t="n">
        <f>IF(COUNT('Balance Sheet'!I24,'Balance Sheet'!I14,'Balance Sheet'!I15)=3,'Balance Sheet'!I24-'Balance Sheet'!I14-'Balance Sheet'!I15,"")</f>
        <v>16191</v>
      </c>
      <c r="J55" s="74" t="n">
        <f>IF(COUNT('Balance Sheet'!J24,'Balance Sheet'!J14,'Balance Sheet'!J15)=3,'Balance Sheet'!J24-'Balance Sheet'!J14-'Balance Sheet'!J15,"")</f>
        <v>16947</v>
      </c>
      <c r="K55" s="74" t="n">
        <f>IF(COUNT('Balance Sheet'!K24,'Balance Sheet'!K14,'Balance Sheet'!K15)=3,'Balance Sheet'!K24-'Balance Sheet'!K14-'Balance Sheet'!K15,"")</f>
        <v>16560</v>
      </c>
      <c r="L55" s="74" t="n">
        <f>IF(COUNT('Balance Sheet'!L24,'Balance Sheet'!L14,'Balance Sheet'!L15)=3,'Balance Sheet'!L24-'Balance Sheet'!L14-'Balance Sheet'!L15,"")</f>
        <v>18419</v>
      </c>
      <c r="M55" s="45"/>
      <c r="N55" s="74" t="n">
        <f>IF(COUNT('Balance Sheet'!N24,'Balance Sheet'!N14,'Balance Sheet'!N15)=3,'Balance Sheet'!N24-'Balance Sheet'!N14-'Balance Sheet'!N15,"")</f>
        <v>17655</v>
      </c>
      <c r="O55" s="74" t="n">
        <f>IF(COUNT('Balance Sheet'!O24,'Balance Sheet'!O14,'Balance Sheet'!O15)=3,'Balance Sheet'!O24-'Balance Sheet'!O14-'Balance Sheet'!O15,"")</f>
        <v>19035</v>
      </c>
      <c r="P55" s="74" t="n">
        <f>IF(COUNT('Balance Sheet'!P24,'Balance Sheet'!P14,'Balance Sheet'!P15)=3,'Balance Sheet'!P24-'Balance Sheet'!P14-'Balance Sheet'!P15,"")</f>
        <v>18801</v>
      </c>
      <c r="Q55" s="74" t="n">
        <f>IF(COUNT('Balance Sheet'!Q24,'Balance Sheet'!Q14,'Balance Sheet'!Q15)=3,'Balance Sheet'!Q24-'Balance Sheet'!Q14-'Balance Sheet'!Q15,"")</f>
        <v>16560</v>
      </c>
      <c r="R55" s="74" t="n">
        <f>IF(COUNT('Balance Sheet'!R24,'Balance Sheet'!R14,'Balance Sheet'!R15)=3,'Balance Sheet'!R24-'Balance Sheet'!R14-'Balance Sheet'!R15,"")</f>
        <v>17706</v>
      </c>
      <c r="S55" s="74" t="n">
        <f>IF(COUNT('Balance Sheet'!S24,'Balance Sheet'!S14,'Balance Sheet'!S15)=3,'Balance Sheet'!S24-'Balance Sheet'!S14-'Balance Sheet'!S15,"")</f>
        <v>20237</v>
      </c>
      <c r="T55" s="74" t="n">
        <f>IF(COUNT('Balance Sheet'!T24,'Balance Sheet'!T14,'Balance Sheet'!T15)=3,'Balance Sheet'!T24-'Balance Sheet'!T14-'Balance Sheet'!T15,"")</f>
        <v>20061</v>
      </c>
      <c r="U55" s="74" t="n">
        <f>IF(COUNT('Balance Sheet'!U24,'Balance Sheet'!U14,'Balance Sheet'!U15)=3,'Balance Sheet'!U24-'Balance Sheet'!U14-'Balance Sheet'!U15,"")</f>
        <v>18419</v>
      </c>
      <c r="V55" s="74" t="n">
        <f>IF(COUNT('Balance Sheet'!V24,'Balance Sheet'!V14,'Balance Sheet'!V15)=3,'Balance Sheet'!V24-'Balance Sheet'!V14-'Balance Sheet'!V15,"")</f>
        <v>20088</v>
      </c>
      <c r="W55" s="74" t="n">
        <f>IF(COUNT('Balance Sheet'!W24,'Balance Sheet'!W14,'Balance Sheet'!W15)=3,'Balance Sheet'!W24-'Balance Sheet'!W14-'Balance Sheet'!W15,"")</f>
        <v>22059</v>
      </c>
      <c r="X55" s="74" t="n">
        <f>IF(COUNT('Balance Sheet'!X24,'Balance Sheet'!X14,'Balance Sheet'!X15)=3,'Balance Sheet'!X24-'Balance Sheet'!X14-'Balance Sheet'!X15,"")</f>
        <v>21396</v>
      </c>
    </row>
    <row r="56" ht="22" customHeight="1">
      <c r="A56" s="4" t="str">
        <v>Dividends payable (disclosed)</v>
      </c>
      <c r="B56" s="2"/>
      <c r="C56" s="74" t="n">
        <f>IF(COUNT('Note Schedules'!C39)=1,'Note Schedules'!C39,"")</f>
        <v>1097</v>
      </c>
      <c r="D56" s="74" t="n">
        <f>IF(COUNT('Note Schedules'!D39)=1,'Note Schedules'!D39,"")</f>
        <v>1161</v>
      </c>
      <c r="E56" s="74" t="n">
        <f>IF(COUNT('Note Schedules'!E39)=1,'Note Schedules'!E39,"")</f>
        <v>1329</v>
      </c>
      <c r="F56" s="74" t="n">
        <f>IF(COUNT('Note Schedules'!F39)=1,'Note Schedules'!F39,"")</f>
        <v>1351</v>
      </c>
      <c r="G56" s="74" t="n">
        <f>IF(COUNT('Note Schedules'!G39)=1,'Note Schedules'!G39,"")</f>
        <v>1430</v>
      </c>
      <c r="H56" s="74" t="n">
        <f>IF(COUNT('Note Schedules'!H39)=1,'Note Schedules'!H39,"")</f>
        <v>1508</v>
      </c>
      <c r="I56" s="74" t="n">
        <f>IF(COUNT('Note Schedules'!I39)=1,'Note Schedules'!I39,"")</f>
        <v>1610</v>
      </c>
      <c r="J56" s="74" t="n">
        <f>IF(COUNT('Note Schedules'!J39)=1,'Note Schedules'!J39,"")</f>
        <v>1767</v>
      </c>
      <c r="K56" s="74" t="n">
        <f>IF(COUNT('Note Schedules'!K39)=1,'Note Schedules'!K39,"")</f>
        <v>1885</v>
      </c>
      <c r="L56" s="74" t="n">
        <f>IF(COUNT('Note Schedules'!L39)=1,'Note Schedules'!L39,"")</f>
        <v>1967</v>
      </c>
      <c r="M56" s="45"/>
      <c r="N56" s="44"/>
      <c r="O56" s="44"/>
      <c r="P56" s="44"/>
      <c r="Q56" s="43" t="n">
        <f>IF(COUNT('Derived Metrics'!K56)=1,'Derived Metrics'!K56,"")</f>
        <v>1885</v>
      </c>
      <c r="R56" s="44"/>
      <c r="S56" s="44"/>
      <c r="T56" s="44"/>
      <c r="U56" s="43" t="n">
        <f>IF(COUNT('Derived Metrics'!L56)=1,'Derived Metrics'!L56,"")</f>
        <v>1967</v>
      </c>
      <c r="V56" s="44"/>
      <c r="W56" s="44"/>
      <c r="X56" s="44"/>
    </row>
    <row r="57" ht="22" customHeight="1">
      <c r="A57" s="4" t="str">
        <v>Acquisition settlement payable (disclosed)</v>
      </c>
      <c r="B57" s="2"/>
      <c r="C57" s="44"/>
      <c r="D57" s="44"/>
      <c r="E57" s="74" t="n">
        <f>IF(COUNT('Note Schedules'!E41)=1,'Note Schedules'!E41,"")</f>
        <v>1997</v>
      </c>
      <c r="F57" s="74" t="n">
        <f>IF(COUNT('Note Schedules'!F41)=1,'Note Schedules'!F41,"")</f>
        <v>58</v>
      </c>
      <c r="G57" s="44"/>
      <c r="H57" s="44"/>
      <c r="I57" s="44"/>
      <c r="J57" s="44"/>
      <c r="K57" s="44"/>
      <c r="L57" s="44"/>
      <c r="M57" s="45"/>
      <c r="N57" s="44"/>
      <c r="O57" s="44"/>
      <c r="P57" s="44"/>
      <c r="Q57" s="43" t="str">
        <f>IF(COUNT('Derived Metrics'!K57)=1,'Derived Metrics'!K57,"")</f>
      </c>
      <c r="R57" s="44"/>
      <c r="S57" s="44"/>
      <c r="T57" s="44"/>
      <c r="U57" s="43" t="str">
        <f>IF(COUNT('Derived Metrics'!L57)=1,'Derived Metrics'!L57,"")</f>
      </c>
      <c r="V57" s="44"/>
      <c r="W57" s="44"/>
      <c r="X57" s="44"/>
    </row>
    <row r="58" ht="36" customHeight="1">
      <c r="A58" s="4" t="str">
        <v>Current liabilities after identified nonoperating adjustments</v>
      </c>
      <c r="B58" s="2"/>
      <c r="C58" s="74" t="n">
        <f>IF(COUNT('Balance Sheet'!C41,'Balance Sheet'!C38,'Derived Metrics'!C56)=3,'Balance Sheet'!C41-'Balance Sheet'!C38-'Derived Metrics'!C56,"")</f>
        <v>13146</v>
      </c>
      <c r="D58" s="74" t="n">
        <f>IF(COUNT('Balance Sheet'!D41,'Balance Sheet'!D38,'Derived Metrics'!D56)=3,'Balance Sheet'!D41-'Balance Sheet'!D38-'Derived Metrics'!D56,"")</f>
        <v>13856</v>
      </c>
      <c r="E58" s="74" t="n">
        <f>IF(COUNT('Balance Sheet'!E41,'Balance Sheet'!E38,'Derived Metrics'!E56,'Derived Metrics'!E57)=4,'Balance Sheet'!E41-'Balance Sheet'!E38-'Derived Metrics'!E56-'Derived Metrics'!E57,"")</f>
        <v>14786</v>
      </c>
      <c r="F58" s="74" t="n">
        <f>IF(COUNT('Balance Sheet'!F41,'Balance Sheet'!F38,'Derived Metrics'!F56,'Derived Metrics'!F57)=4,'Balance Sheet'!F41-'Balance Sheet'!F38-'Derived Metrics'!F56-'Derived Metrics'!F57,"")</f>
        <v>16132</v>
      </c>
      <c r="G58" s="74" t="n">
        <f>IF(COUNT('Balance Sheet'!G41,'Balance Sheet'!G38,'Derived Metrics'!G56,'Balance Sheet'!G40)=4,'Balance Sheet'!G41-'Balance Sheet'!G38-'Derived Metrics'!G56-'Balance Sheet'!G40,"")</f>
        <v>18162</v>
      </c>
      <c r="H58" s="74" t="n">
        <f>IF(COUNT('Balance Sheet'!H41,'Balance Sheet'!H38,'Derived Metrics'!H56,'Balance Sheet'!H40)=4,'Balance Sheet'!H41-'Balance Sheet'!H38-'Derived Metrics'!H56-'Balance Sheet'!H40,"")</f>
        <v>19651</v>
      </c>
      <c r="I58" s="74" t="n">
        <f>IF(COUNT('Balance Sheet'!I41,'Balance Sheet'!I38,'Derived Metrics'!I56)=3,'Balance Sheet'!I41-'Balance Sheet'!I38-'Derived Metrics'!I56,"")</f>
        <v>21761</v>
      </c>
      <c r="J58" s="74" t="n">
        <f>IF(COUNT('Balance Sheet'!J41,'Balance Sheet'!J38,'Derived Metrics'!J56)=3,'Balance Sheet'!J41-'Balance Sheet'!J38-'Derived Metrics'!J56,"")</f>
        <v>23370</v>
      </c>
      <c r="K58" s="74" t="n">
        <f>IF(COUNT('Balance Sheet'!K41,'Balance Sheet'!K38,'Derived Metrics'!K56)=3,'Balance Sheet'!K41-'Balance Sheet'!K38-'Derived Metrics'!K56,"")</f>
        <v>22569</v>
      </c>
      <c r="L58" s="74" t="n">
        <f>IF(COUNT('Balance Sheet'!L41,'Balance Sheet'!L38,'Derived Metrics'!L56)=3,'Balance Sheet'!L41-'Balance Sheet'!L38-'Derived Metrics'!L56,"")</f>
        <v>23936</v>
      </c>
      <c r="M58" s="45"/>
      <c r="N58" s="44"/>
      <c r="O58" s="44"/>
      <c r="P58" s="44"/>
      <c r="Q58" s="43" t="n">
        <f>IF(COUNT('Derived Metrics'!K58)=1,'Derived Metrics'!K58,"")</f>
        <v>22569</v>
      </c>
      <c r="R58" s="44"/>
      <c r="S58" s="44"/>
      <c r="T58" s="44"/>
      <c r="U58" s="43" t="n">
        <f>IF(COUNT('Derived Metrics'!L58)=1,'Derived Metrics'!L58,"")</f>
        <v>23936</v>
      </c>
      <c r="V58" s="44"/>
      <c r="W58" s="44"/>
      <c r="X58" s="44"/>
    </row>
    <row r="59" ht="36" customHeight="1">
      <c r="A59" s="51" t="str">
        <v>NWC after identifiable adjustments (includes capital-expenditure payables)</v>
      </c>
      <c r="B59" s="52"/>
      <c r="C59" s="54" t="n">
        <f>IF(COUNT('Derived Metrics'!C55,'Derived Metrics'!C58)=2,'Derived Metrics'!C55-'Derived Metrics'!C58,"")</f>
        <v>-2821</v>
      </c>
      <c r="D59" s="54" t="n">
        <f>IF(COUNT('Derived Metrics'!D55,'Derived Metrics'!D58)=2,'Derived Metrics'!D55-'Derived Metrics'!D58,"")</f>
        <v>-2339</v>
      </c>
      <c r="E59" s="54" t="n">
        <f>IF(COUNT('Derived Metrics'!E55,'Derived Metrics'!E58)=2,'Derived Metrics'!E55-'Derived Metrics'!E58,"")</f>
        <v>-3883</v>
      </c>
      <c r="F59" s="54" t="n">
        <f>IF(COUNT('Derived Metrics'!F55,'Derived Metrics'!F58)=2,'Derived Metrics'!F55-'Derived Metrics'!F58,"")</f>
        <v>-4225</v>
      </c>
      <c r="G59" s="54" t="n">
        <f>IF(COUNT('Derived Metrics'!G55,'Derived Metrics'!G58)=2,'Derived Metrics'!G55-'Derived Metrics'!G58,"")</f>
        <v>-4712</v>
      </c>
      <c r="H59" s="54" t="n">
        <f>IF(COUNT('Derived Metrics'!H55,'Derived Metrics'!H58)=2,'Derived Metrics'!H55-'Derived Metrics'!H58,"")</f>
        <v>-5644</v>
      </c>
      <c r="I59" s="54" t="n">
        <f>IF(COUNT('Derived Metrics'!I55,'Derived Metrics'!I58)=2,'Derived Metrics'!I55-'Derived Metrics'!I58,"")</f>
        <v>-5570</v>
      </c>
      <c r="J59" s="54" t="n">
        <f>IF(COUNT('Derived Metrics'!J55,'Derived Metrics'!J58)=2,'Derived Metrics'!J55-'Derived Metrics'!J58,"")</f>
        <v>-6423</v>
      </c>
      <c r="K59" s="54" t="n">
        <f>IF(COUNT('Derived Metrics'!K55,'Derived Metrics'!K58)=2,'Derived Metrics'!K55-'Derived Metrics'!K58,"")</f>
        <v>-6009</v>
      </c>
      <c r="L59" s="54" t="n">
        <f>IF(COUNT('Derived Metrics'!L55,'Derived Metrics'!L58)=2,'Derived Metrics'!L55-'Derived Metrics'!L58,"")</f>
        <v>-5517</v>
      </c>
      <c r="M59" s="55"/>
      <c r="N59" s="53"/>
      <c r="O59" s="53"/>
      <c r="P59" s="53"/>
      <c r="Q59" s="54" t="n">
        <f>IF(COUNT('Derived Metrics'!K59)=1,'Derived Metrics'!K59,"")</f>
        <v>-6009</v>
      </c>
      <c r="R59" s="53"/>
      <c r="S59" s="53"/>
      <c r="T59" s="53"/>
      <c r="U59" s="54" t="n">
        <f>IF(COUNT('Derived Metrics'!L59)=1,'Derived Metrics'!L59,"")</f>
        <v>-5517</v>
      </c>
      <c r="V59" s="53"/>
      <c r="W59" s="53"/>
      <c r="X59" s="53"/>
    </row>
    <row r="60" ht="20" customHeight="1">
      <c r="A60" s="56" t="str">
        <v>Adjusted NWC / annual or TTM revenue</v>
      </c>
      <c r="B60" s="2"/>
      <c r="C60" s="72" t="n">
        <f>IF(COUNT('Derived Metrics'!C59,'Income Statement'!C13)=2,IF('Income Statement'!C13&lt;&gt;0,'Derived Metrics'!C59/'Income Statement'!C13,""),"")</f>
        <v>-0.044921097469704935</v>
      </c>
      <c r="D60" s="72" t="n">
        <f>IF(COUNT('Derived Metrics'!D59,'Income Statement'!D13)=2,IF('Income Statement'!D13&lt;&gt;0,'Derived Metrics'!D59/'Income Statement'!D13,""),"")</f>
        <v>-0.03682014954742228</v>
      </c>
      <c r="E60" s="72" t="n">
        <f>IF(COUNT('Derived Metrics'!E59,'Income Statement'!E13)=2,IF('Income Statement'!E13&lt;&gt;0,'Derived Metrics'!E59/'Income Statement'!E13,""),"")</f>
        <v>-0.060051654010918484</v>
      </c>
      <c r="F60" s="72" t="n">
        <f>IF(COUNT('Derived Metrics'!F59,'Income Statement'!F13)=2,IF('Income Statement'!F13&lt;&gt;0,'Derived Metrics'!F59/'Income Statement'!F13,""),"")</f>
        <v>-0.06290853322612826</v>
      </c>
      <c r="G60" s="72" t="n">
        <f>IF(COUNT('Derived Metrics'!G59,'Income Statement'!G13)=2,IF('Income Statement'!G13&lt;&gt;0,'Derived Metrics'!G59/'Income Statement'!G13,""),"")</f>
        <v>-0.06695844938327744</v>
      </c>
      <c r="H60" s="72" t="n">
        <f>IF(COUNT('Derived Metrics'!H59,'Income Statement'!H13)=2,IF('Income Statement'!H13&lt;&gt;0,'Derived Metrics'!H59/'Income Statement'!H13,""),"")</f>
        <v>-0.07101693635654428</v>
      </c>
      <c r="I60" s="72" t="n">
        <f>IF(COUNT('Derived Metrics'!I59,'Income Statement'!I13)=2,IF('Income Statement'!I13&lt;&gt;0,'Derived Metrics'!I59/'Income Statement'!I13,""),"")</f>
        <v>-0.06447356236688583</v>
      </c>
      <c r="J60" s="72" t="n">
        <f>IF(COUNT('Derived Metrics'!J59,'Income Statement'!J13)=2,IF('Income Statement'!J13&lt;&gt;0,'Derived Metrics'!J59/'Income Statement'!J13,""),"")</f>
        <v>-0.07021897650621509</v>
      </c>
      <c r="K60" s="72" t="n">
        <f>IF(COUNT('Derived Metrics'!K59,'Income Statement'!K13)=2,IF('Income Statement'!K13&lt;&gt;0,'Derived Metrics'!K59/'Income Statement'!K13,""),"")</f>
        <v>-0.06541903455483702</v>
      </c>
      <c r="L60" s="72" t="n">
        <f>IF(COUNT('Derived Metrics'!L59,'Income Statement'!L13)=2,IF('Income Statement'!L13&lt;&gt;0,'Derived Metrics'!L59/'Income Statement'!L13,""),"")</f>
        <v>-0.058738355070535</v>
      </c>
      <c r="M60" s="60"/>
      <c r="N60" s="58"/>
      <c r="O60" s="58"/>
      <c r="P60" s="58"/>
      <c r="Q60" s="59" t="n">
        <f>IF(COUNT('Derived Metrics'!K60)=1,'Derived Metrics'!K60,"")</f>
        <v>-0.06541903455483702</v>
      </c>
      <c r="R60" s="58"/>
      <c r="S60" s="58"/>
      <c r="T60" s="58"/>
      <c r="U60" s="59" t="n">
        <f>IF(COUNT('Derived Metrics'!L60)=1,'Derived Metrics'!L60,"")</f>
        <v>-0.058738355070535</v>
      </c>
      <c r="V60" s="58"/>
      <c r="W60" s="58"/>
      <c r="X60" s="58"/>
    </row>
    <row r="61" ht="22" customHeight="1">
      <c r="A61" s="4" t="str">
        <v>Gross trade receivables</v>
      </c>
      <c r="B61" s="2"/>
      <c r="C61" s="74" t="n">
        <f>IF(COUNT('Note Schedules'!C19)=1,'Note Schedules'!C19,"")</f>
        <v>5709</v>
      </c>
      <c r="D61" s="74" t="n">
        <f>IF(COUNT('Note Schedules'!D19)=1,'Note Schedules'!D19,"")</f>
        <v>5956</v>
      </c>
      <c r="E61" s="74" t="n">
        <f>IF(COUNT('Note Schedules'!E19)=1,'Note Schedules'!E19,"")</f>
        <v>6079</v>
      </c>
      <c r="F61" s="74" t="n">
        <f>IF(COUNT('Note Schedules'!F19)=1,'Note Schedules'!F19,"")</f>
        <v>6447</v>
      </c>
      <c r="G61" s="74" t="n">
        <f>IF(COUNT('Note Schedules'!G19)=1,'Note Schedules'!G19,"")</f>
        <v>6892</v>
      </c>
      <c r="H61" s="74" t="n">
        <f>IF(COUNT('Note Schedules'!H19)=1,'Note Schedules'!H19,"")</f>
        <v>7172</v>
      </c>
      <c r="I61" s="74" t="n">
        <f>IF(COUNT('Note Schedules'!I19)=1,'Note Schedules'!I19,"")</f>
        <v>8192</v>
      </c>
      <c r="J61" s="74" t="n">
        <f>IF(COUNT('Note Schedules'!J19)=1,'Note Schedules'!J19,"")</f>
        <v>8675</v>
      </c>
      <c r="K61" s="74" t="n">
        <f>IF(COUNT('Note Schedules'!K19)=1,'Note Schedules'!K19,"")</f>
        <v>8487</v>
      </c>
      <c r="L61" s="74" t="n">
        <f>IF(COUNT('Note Schedules'!L19)=1,'Note Schedules'!L19,"")</f>
        <v>9265</v>
      </c>
      <c r="M61" s="45"/>
      <c r="N61" s="44"/>
      <c r="O61" s="44"/>
      <c r="P61" s="44"/>
      <c r="Q61" s="43" t="n">
        <f>IF(COUNT('Derived Metrics'!K61)=1,'Derived Metrics'!K61,"")</f>
        <v>8487</v>
      </c>
      <c r="R61" s="44"/>
      <c r="S61" s="44"/>
      <c r="T61" s="44"/>
      <c r="U61" s="43" t="n">
        <f>IF(COUNT('Derived Metrics'!L61)=1,'Derived Metrics'!L61,"")</f>
        <v>9265</v>
      </c>
      <c r="V61" s="44"/>
      <c r="W61" s="44"/>
      <c r="X61" s="44"/>
    </row>
    <row r="62" ht="36" customHeight="1">
      <c r="A62" s="4" t="str">
        <v>Reported accounts payable (includes unseparated capital-expenditure payables)</v>
      </c>
      <c r="B62" s="2"/>
      <c r="C62" s="74" t="n">
        <f>IF(COUNT('Note Schedules'!C36)=1,'Note Schedules'!C36,"")</f>
        <v>6158</v>
      </c>
      <c r="D62" s="74" t="n">
        <f>IF(COUNT('Note Schedules'!D36)=1,'Note Schedules'!D36,"")</f>
        <v>6727</v>
      </c>
      <c r="E62" s="74" t="n">
        <f>IF(COUNT('Note Schedules'!E36)=1,'Note Schedules'!E36,"")</f>
        <v>7213</v>
      </c>
      <c r="F62" s="74" t="n">
        <f>IF(COUNT('Note Schedules'!F36)=1,'Note Schedules'!F36,"")</f>
        <v>8013</v>
      </c>
      <c r="G62" s="74" t="n">
        <f>IF(COUNT('Note Schedules'!G36)=1,'Note Schedules'!G36,"")</f>
        <v>8853</v>
      </c>
      <c r="H62" s="74" t="n">
        <f>IF(COUNT('Note Schedules'!H36)=1,'Note Schedules'!H36,"")</f>
        <v>9834</v>
      </c>
      <c r="I62" s="74" t="n">
        <f>IF(COUNT('Note Schedules'!I36)=1,'Note Schedules'!I36,"")</f>
        <v>10732</v>
      </c>
      <c r="J62" s="74" t="n">
        <f>IF(COUNT('Note Schedules'!J36)=1,'Note Schedules'!J36,"")</f>
        <v>11635</v>
      </c>
      <c r="K62" s="74" t="n">
        <f>IF(COUNT('Note Schedules'!K36)=1,'Note Schedules'!K36,"")</f>
        <v>10997</v>
      </c>
      <c r="L62" s="74" t="n">
        <f>IF(COUNT('Note Schedules'!L36)=1,'Note Schedules'!L36,"")</f>
        <v>11704</v>
      </c>
      <c r="M62" s="45"/>
      <c r="N62" s="44"/>
      <c r="O62" s="44"/>
      <c r="P62" s="44"/>
      <c r="Q62" s="43" t="n">
        <f>IF(COUNT('Derived Metrics'!K62)=1,'Derived Metrics'!K62,"")</f>
        <v>10997</v>
      </c>
      <c r="R62" s="44"/>
      <c r="S62" s="44"/>
      <c r="T62" s="44"/>
      <c r="U62" s="43" t="n">
        <f>IF(COUNT('Derived Metrics'!L62)=1,'Derived Metrics'!L62,"")</f>
        <v>11704</v>
      </c>
      <c r="V62" s="44"/>
      <c r="W62" s="44"/>
      <c r="X62" s="44"/>
    </row>
    <row r="63" ht="22" customHeight="1">
      <c r="A63" s="4" t="str">
        <v>DSO (gross trade receivables basis; days)</v>
      </c>
      <c r="B63" s="2"/>
      <c r="C63" s="82"/>
      <c r="D63" s="83" t="n">
        <f>IF(COUNT('Derived Metrics'!D61,'Derived Metrics'!C61,'Income Statement'!D13)=3,IF('Income Statement'!D13&lt;&gt;0,('Derived Metrics'!D61+'Derived Metrics'!C61)/2/'Income Statement'!D13*364,""),"")</f>
        <v>33.42038567493113</v>
      </c>
      <c r="E63" s="83" t="n">
        <f>IF(COUNT('Derived Metrics'!E61,'Derived Metrics'!D61,'Income Statement'!E13)=3,IF('Income Statement'!E13&lt;&gt;0,('Derived Metrics'!E61+'Derived Metrics'!D61)/2/'Income Statement'!E13*364,""),"")</f>
        <v>33.8746694297954</v>
      </c>
      <c r="F63" s="83" t="n">
        <f>IF(COUNT('Derived Metrics'!F61,'Derived Metrics'!E61,'Income Statement'!F13)=3,IF('Income Statement'!F13&lt;&gt;0,('Derived Metrics'!F61+'Derived Metrics'!E61)/2/'Income Statement'!F13*364,""),"")</f>
        <v>33.94428314051309</v>
      </c>
      <c r="G63" s="83" t="n">
        <f>IF(COUNT('Derived Metrics'!G61,'Derived Metrics'!F61,'Income Statement'!G13)=3,IF('Income Statement'!G13&lt;&gt;0,('Derived Metrics'!G61+'Derived Metrics'!F61)/2/'Income Statement'!G13*364,""),"")</f>
        <v>34.4980674131757</v>
      </c>
      <c r="H63" s="83" t="n">
        <f>IF(COUNT('Derived Metrics'!H61,'Derived Metrics'!G61,'Income Statement'!H13)=3,IF('Income Statement'!H13&lt;&gt;0,('Derived Metrics'!H61+'Derived Metrics'!G61)/2/'Income Statement'!H13*364,""),"")</f>
        <v>32.20736341445001</v>
      </c>
      <c r="I63" s="83" t="n">
        <f>IF(COUNT('Derived Metrics'!I61,'Derived Metrics'!H61,'Income Statement'!I13)=3,IF('Income Statement'!I13&lt;&gt;0,('Derived Metrics'!I61+'Derived Metrics'!H61)/2/'Income Statement'!I13*371,""),"")</f>
        <v>32.98942031669599</v>
      </c>
      <c r="J63" s="83" t="n">
        <f>IF(COUNT('Derived Metrics'!J61,'Derived Metrics'!I61,'Income Statement'!J13)=3,IF('Income Statement'!J13&lt;&gt;0,('Derived Metrics'!J61+'Derived Metrics'!I61)/2/'Income Statement'!J13*364,""),"")</f>
        <v>33.56029779930251</v>
      </c>
      <c r="K63" s="83" t="n">
        <f>IF(COUNT('Derived Metrics'!K61,'Derived Metrics'!J61,'Income Statement'!K13)=3,IF('Income Statement'!K13&lt;&gt;0,('Derived Metrics'!K61+'Derived Metrics'!J61)/2/'Income Statement'!K13*364,""),"")</f>
        <v>34.00487730528883</v>
      </c>
      <c r="L63" s="83" t="n">
        <f>IF(COUNT('Derived Metrics'!L61,'Derived Metrics'!K61,'Income Statement'!L13)=3,IF('Income Statement'!L13&lt;&gt;0,('Derived Metrics'!L61+'Derived Metrics'!K61)/2/'Income Statement'!L13*364,""),"")</f>
        <v>34.39833910034602</v>
      </c>
      <c r="M63" s="84"/>
      <c r="N63" s="82"/>
      <c r="O63" s="82"/>
      <c r="P63" s="82"/>
      <c r="Q63" s="81" t="n">
        <f>IF(COUNT('Derived Metrics'!K63)=1,'Derived Metrics'!K63,"")</f>
        <v>34.00487730528883</v>
      </c>
      <c r="R63" s="82"/>
      <c r="S63" s="82"/>
      <c r="T63" s="82"/>
      <c r="U63" s="81" t="n">
        <f>IF(COUNT('Derived Metrics'!L63)=1,'Derived Metrics'!L63,"")</f>
        <v>34.39833910034602</v>
      </c>
      <c r="V63" s="82"/>
      <c r="W63" s="82"/>
      <c r="X63" s="82"/>
    </row>
    <row r="64" ht="22" customHeight="1">
      <c r="A64" s="4" t="str">
        <v>DIO (days)</v>
      </c>
      <c r="B64" s="2"/>
      <c r="C64" s="83" t="n">
        <f>IF(COUNT('Balance Sheet'!C21,'Note Schedules'!C312,'Income Statement'!C15)=3,IF('Income Statement'!C15&lt;&gt;0,('Balance Sheet'!C21+'Note Schedules'!C312)/2/'Income Statement'!C15*371,""),"")</f>
        <v>35.77622067890298</v>
      </c>
      <c r="D64" s="83" t="n">
        <f>IF(COUNT('Balance Sheet'!D21,'Balance Sheet'!C21,'Income Statement'!D15)=3,IF('Income Statement'!D15&lt;&gt;0,('Balance Sheet'!D21+'Balance Sheet'!C21)/2/'Income Statement'!D15*364,""),"")</f>
        <v>35.836227253785246</v>
      </c>
      <c r="E64" s="83" t="n">
        <f>IF(COUNT('Balance Sheet'!E21,'Balance Sheet'!D21,'Income Statement'!E15)=3,IF('Income Statement'!E15&lt;&gt;0,('Balance Sheet'!E21+'Balance Sheet'!D21)/2/'Income Statement'!E15*364,""),"")</f>
        <v>37.63146250978524</v>
      </c>
      <c r="F64" s="83" t="n">
        <f>IF(COUNT('Balance Sheet'!F21,'Balance Sheet'!E21,'Income Statement'!F15)=3,IF('Income Statement'!F15&lt;&gt;0,('Balance Sheet'!F21+'Balance Sheet'!E21)/2/'Income Statement'!F15*364,""),"")</f>
        <v>39.055223682463826</v>
      </c>
      <c r="G64" s="83" t="n">
        <f>IF(COUNT('Balance Sheet'!G21,'Balance Sheet'!F21,'Income Statement'!G15)=3,IF('Income Statement'!G15&lt;&gt;0,('Balance Sheet'!G21+'Balance Sheet'!F21)/2/'Income Statement'!G15*364,""),"")</f>
        <v>42.985816271975345</v>
      </c>
      <c r="H64" s="83" t="n">
        <f>IF(COUNT('Balance Sheet'!H21,'Balance Sheet'!G21,'Income Statement'!H15)=3,IF('Income Statement'!H15&lt;&gt;0,('Balance Sheet'!H21+'Balance Sheet'!G21)/2/'Income Statement'!H15*364,""),"")</f>
        <v>41.819501011463245</v>
      </c>
      <c r="I64" s="83" t="n">
        <f>IF(COUNT('Balance Sheet'!I21,'Balance Sheet'!H21,'Income Statement'!I15)=3,IF('Income Statement'!I15&lt;&gt;0,('Balance Sheet'!I21+'Balance Sheet'!H21)/2/'Income Statement'!I15*371,""),"")</f>
        <v>43.74629091088328</v>
      </c>
      <c r="J64" s="83" t="n">
        <f>IF(COUNT('Balance Sheet'!J21,'Balance Sheet'!I21,'Income Statement'!J15)=3,IF('Income Statement'!J15&lt;&gt;0,('Balance Sheet'!J21+'Balance Sheet'!I21)/2/'Income Statement'!J15*364,""),"")</f>
        <v>45.872639144242015</v>
      </c>
      <c r="K64" s="83" t="n">
        <f>IF(COUNT('Balance Sheet'!K21,'Balance Sheet'!J21,'Income Statement'!K15)=3,IF('Income Statement'!K15&lt;&gt;0,('Balance Sheet'!K21+'Balance Sheet'!J21)/2/'Income Statement'!K15*364,""),"")</f>
        <v>46.38942123418935</v>
      </c>
      <c r="L64" s="83" t="n">
        <f>IF(COUNT('Balance Sheet'!L21,'Balance Sheet'!K21,'Income Statement'!L15)=3,IF('Income Statement'!L15&lt;&gt;0,('Balance Sheet'!L21+'Balance Sheet'!K21)/2/'Income Statement'!L15*364,""),"")</f>
        <v>47.124924534435515</v>
      </c>
      <c r="M64" s="84"/>
      <c r="N64" s="82"/>
      <c r="O64" s="82"/>
      <c r="P64" s="82"/>
      <c r="Q64" s="81" t="n">
        <f>IF(COUNT('Derived Metrics'!K64)=1,'Derived Metrics'!K64,"")</f>
        <v>46.38942123418935</v>
      </c>
      <c r="R64" s="82"/>
      <c r="S64" s="82"/>
      <c r="T64" s="82"/>
      <c r="U64" s="81" t="n">
        <f>IF(COUNT('Derived Metrics'!L64)=1,'Derived Metrics'!L64,"")</f>
        <v>47.124924534435515</v>
      </c>
      <c r="V64" s="82"/>
      <c r="W64" s="82"/>
      <c r="X64" s="82"/>
    </row>
    <row r="65" ht="22" customHeight="1">
      <c r="A65" s="4"/>
      <c r="B65" s="2"/>
      <c r="C65" s="3"/>
      <c r="D65" s="3"/>
      <c r="E65" s="3"/>
      <c r="F65" s="3"/>
      <c r="G65" s="3"/>
      <c r="H65" s="3"/>
      <c r="I65" s="3"/>
      <c r="J65" s="3"/>
      <c r="K65" s="3"/>
      <c r="L65" s="3"/>
      <c r="M65" s="3"/>
      <c r="N65" s="3"/>
      <c r="O65" s="3"/>
      <c r="P65" s="3"/>
      <c r="Q65" s="3"/>
      <c r="R65" s="3"/>
      <c r="S65" s="3"/>
      <c r="T65" s="3"/>
      <c r="U65" s="3"/>
      <c r="V65" s="3"/>
      <c r="W65" s="3"/>
      <c r="X65" s="3"/>
    </row>
    <row r="66" ht="22" customHeight="1">
      <c r="A66" s="29" t="str">
        <v>Recent trailing twelve months</v>
      </c>
      <c r="B66" s="29"/>
      <c r="C66" s="32"/>
      <c r="D66" s="32"/>
      <c r="E66" s="32"/>
      <c r="F66" s="32"/>
      <c r="G66" s="32"/>
      <c r="H66" s="32"/>
      <c r="I66" s="32"/>
      <c r="J66" s="32"/>
      <c r="K66" s="32"/>
      <c r="L66" s="32"/>
      <c r="M66" s="32"/>
      <c r="N66" s="32"/>
      <c r="O66" s="32"/>
      <c r="P66" s="32"/>
      <c r="Q66" s="32"/>
      <c r="R66" s="32"/>
      <c r="S66" s="32"/>
      <c r="T66" s="32"/>
      <c r="U66" s="32"/>
      <c r="V66" s="32"/>
      <c r="W66" s="32"/>
      <c r="X66" s="32"/>
    </row>
    <row r="67" ht="18" customHeight="1">
      <c r="A67" s="33" t="str">
        <v>TTM = prior full year + current YTD − prior-year matching YTD; quarterly amounts are not simply multiplied by four.</v>
      </c>
      <c r="B67" s="33"/>
      <c r="C67" s="35"/>
      <c r="D67" s="35"/>
      <c r="E67" s="35"/>
      <c r="F67" s="35"/>
      <c r="G67" s="35"/>
      <c r="H67" s="35"/>
      <c r="I67" s="35"/>
      <c r="J67" s="35"/>
      <c r="K67" s="35"/>
      <c r="L67" s="35"/>
      <c r="M67" s="35"/>
      <c r="N67" s="35"/>
      <c r="O67" s="35"/>
      <c r="P67" s="35"/>
      <c r="Q67" s="35"/>
      <c r="R67" s="35"/>
      <c r="S67" s="35"/>
      <c r="T67" s="35"/>
      <c r="U67" s="35"/>
      <c r="V67" s="35"/>
      <c r="W67" s="35"/>
      <c r="X67" s="35"/>
    </row>
    <row r="68" ht="22" customHeight="1">
      <c r="A68" s="4" t="str">
        <v>TTM revenue</v>
      </c>
      <c r="B68" s="2"/>
      <c r="C68" s="44"/>
      <c r="D68" s="44"/>
      <c r="E68" s="44"/>
      <c r="F68" s="44"/>
      <c r="G68" s="44"/>
      <c r="H68" s="44"/>
      <c r="I68" s="44"/>
      <c r="J68" s="44"/>
      <c r="K68" s="44"/>
      <c r="L68" s="44"/>
      <c r="M68" s="45"/>
      <c r="N68" s="74" t="n">
        <f>IF(COUNT('Income Statement'!J13,'Income Statement'!N40,'Note Schedules'!N320)=3,'Income Statement'!J13+'Income Statement'!N40-'Note Schedules'!N320,"")</f>
        <v>91875</v>
      </c>
      <c r="O68" s="74" t="n">
        <f>IF(COUNT('Income Statement'!J13,'Income Statement'!O40,'Note Schedules'!O320)=3,'Income Statement'!J13+'Income Statement'!O40-'Note Schedules'!O320,"")</f>
        <v>92054</v>
      </c>
      <c r="P68" s="74" t="n">
        <f>IF(COUNT('Income Statement'!J13,'Income Statement'!P40,'Note Schedules'!P320)=3,'Income Statement'!J13+'Income Statement'!P40-'Note Schedules'!P320,"")</f>
        <v>91920</v>
      </c>
      <c r="Q68" s="74" t="str">
        <f>IF(COUNT('Income Statement'!J13,'Income Statement'!Q40,'Note Schedules'!Q320)=3,'Income Statement'!J13+'Income Statement'!Q40-'Note Schedules'!Q320,"")</f>
      </c>
      <c r="R68" s="74" t="n">
        <f>IF(COUNT('Income Statement'!K13,'Income Statement'!R40,'Income Statement'!N40)=3,'Income Statement'!K13+'Income Statement'!R40-'Income Statement'!N40,"")</f>
        <v>91523</v>
      </c>
      <c r="S68" s="74" t="n">
        <f>IF(COUNT('Income Statement'!K13,'Income Statement'!S40,'Income Statement'!O40)=3,'Income Statement'!K13+'Income Statement'!S40-'Income Statement'!O40,"")</f>
        <v>91748</v>
      </c>
      <c r="T68" s="74" t="n">
        <f>IF(COUNT('Income Statement'!K13,'Income Statement'!T40,'Income Statement'!P40)=3,'Income Statement'!K13+'Income Statement'!T40-'Income Statement'!P40,"")</f>
        <v>92366</v>
      </c>
      <c r="U68" s="74" t="n">
        <f>IF(COUNT('Income Statement'!K13,'Income Statement'!U40,'Income Statement'!Q40)=3,'Income Statement'!K13+'Income Statement'!U40-'Income Statement'!Q40,"")</f>
        <v>93925</v>
      </c>
      <c r="V68" s="74" t="n">
        <f>IF(COUNT('Income Statement'!L13,'Income Statement'!V40,'Income Statement'!R40)=3,'Income Statement'!L13+'Income Statement'!V40-'Income Statement'!R40,"")</f>
        <v>95449</v>
      </c>
      <c r="W68" s="74" t="n">
        <f>IF(COUNT('Income Statement'!L13,'Income Statement'!W40,'Income Statement'!S40)=3,'Income Statement'!L13+'Income Statement'!W40-'Income Statement'!S40,"")</f>
        <v>96904</v>
      </c>
      <c r="X68" s="74" t="n">
        <f>IF(COUNT('Income Statement'!L13,'Income Statement'!X40,'Income Statement'!T40)=3,'Income Statement'!L13+'Income Statement'!X40-'Income Statement'!T40,"")</f>
        <v>98241</v>
      </c>
    </row>
    <row r="69" ht="22" customHeight="1">
      <c r="A69" s="4" t="str">
        <v>TTM operating profit</v>
      </c>
      <c r="B69" s="2"/>
      <c r="C69" s="44"/>
      <c r="D69" s="44"/>
      <c r="E69" s="44"/>
      <c r="F69" s="44"/>
      <c r="G69" s="44"/>
      <c r="H69" s="44"/>
      <c r="I69" s="44"/>
      <c r="J69" s="44"/>
      <c r="K69" s="44"/>
      <c r="L69" s="44"/>
      <c r="M69" s="45"/>
      <c r="N69" s="74" t="n">
        <f>IF(COUNT('Income Statement'!J21,'Income Statement'!N45,'Note Schedules'!N322)=3,'Income Statement'!J21+'Income Statement'!N45-'Note Schedules'!N322,"")</f>
        <v>12074</v>
      </c>
      <c r="O69" s="74" t="n">
        <f>IF(COUNT('Income Statement'!J21,'Income Statement'!O45,'Note Schedules'!O322)=3,'Income Statement'!J21+'Income Statement'!O45-'Note Schedules'!O322,"")</f>
        <v>12463</v>
      </c>
      <c r="P69" s="74" t="n">
        <f>IF(COUNT('Income Statement'!J21,'Income Statement'!P45,'Note Schedules'!P322)=3,'Income Statement'!J21+'Income Statement'!P45-'Note Schedules'!P322,"")</f>
        <v>12320</v>
      </c>
      <c r="Q69" s="74" t="str">
        <f>IF(COUNT('Income Statement'!J21,'Income Statement'!Q45,'Note Schedules'!Q322)=3,'Income Statement'!J21+'Income Statement'!Q45-'Note Schedules'!Q322,"")</f>
      </c>
      <c r="R69" s="74" t="n">
        <f>IF(COUNT('Income Statement'!K21,'Income Statement'!R45,'Income Statement'!N45)=3,'Income Statement'!K21+'Income Statement'!R45-'Income Statement'!N45,"")</f>
        <v>12753</v>
      </c>
      <c r="S69" s="74" t="n">
        <f>IF(COUNT('Income Statement'!K21,'Income Statement'!S45,'Income Statement'!O45)=3,'Income Statement'!K21+'Income Statement'!S45-'Income Statement'!O45,"")</f>
        <v>10494</v>
      </c>
      <c r="T69" s="74" t="n">
        <f>IF(COUNT('Income Statement'!K21,'Income Statement'!T45,'Income Statement'!P45)=3,'Income Statement'!K21+'Income Statement'!T45-'Income Statement'!P45,"")</f>
        <v>10191</v>
      </c>
      <c r="U69" s="74" t="n">
        <f>IF(COUNT('Income Statement'!K21,'Income Statement'!U45,'Income Statement'!Q45)=3,'Income Statement'!K21+'Income Statement'!U45-'Income Statement'!Q45,"")</f>
        <v>11498</v>
      </c>
      <c r="V69" s="74" t="n">
        <f>IF(COUNT('Income Statement'!L21,'Income Statement'!V45,'Income Statement'!R45)=3,'Income Statement'!L21+'Income Statement'!V45-'Income Statement'!R45,"")</f>
        <v>12128</v>
      </c>
      <c r="W69" s="74" t="n">
        <f>IF(COUNT('Income Statement'!L21,'Income Statement'!W45,'Income Statement'!S45)=3,'Income Statement'!L21+'Income Statement'!W45-'Income Statement'!S45,"")</f>
        <v>14362</v>
      </c>
      <c r="X69" s="74" t="n">
        <f>IF(COUNT('Income Statement'!L21,'Income Statement'!X45,'Income Statement'!T45)=3,'Income Statement'!L21+'Income Statement'!X45-'Income Statement'!T45,"")</f>
        <v>15053</v>
      </c>
    </row>
    <row r="70" ht="22" customHeight="1">
      <c r="A70" s="4" t="str">
        <v>TTM actual income tax expense</v>
      </c>
      <c r="B70" s="2"/>
      <c r="C70" s="44"/>
      <c r="D70" s="44"/>
      <c r="E70" s="44"/>
      <c r="F70" s="44"/>
      <c r="G70" s="44"/>
      <c r="H70" s="44"/>
      <c r="I70" s="44"/>
      <c r="J70" s="44"/>
      <c r="K70" s="44"/>
      <c r="L70" s="44"/>
      <c r="M70" s="45"/>
      <c r="N70" s="74" t="n">
        <f>IF(COUNT('Income Statement'!J28,'Income Statement'!N49,'Note Schedules'!N323)=3,'Income Statement'!J28+'Income Statement'!N49-'Note Schedules'!N323,"")</f>
        <v>2236</v>
      </c>
      <c r="O70" s="74" t="n">
        <f>IF(COUNT('Income Statement'!J28,'Income Statement'!O49,'Note Schedules'!O323)=3,'Income Statement'!J28+'Income Statement'!O49-'Note Schedules'!O323,"")</f>
        <v>2265</v>
      </c>
      <c r="P70" s="74" t="n">
        <f>IF(COUNT('Income Statement'!J28,'Income Statement'!P49,'Note Schedules'!P323)=3,'Income Statement'!J28+'Income Statement'!P49-'Note Schedules'!P323,"")</f>
        <v>2254</v>
      </c>
      <c r="Q70" s="74" t="str">
        <f>IF(COUNT('Income Statement'!J28,'Income Statement'!Q49,'Note Schedules'!Q323)=3,'Income Statement'!J28+'Income Statement'!Q49-'Note Schedules'!Q323,"")</f>
      </c>
      <c r="R70" s="74" t="n">
        <f>IF(COUNT('Income Statement'!K28,'Income Statement'!R49,'Income Statement'!N49)=3,'Income Statement'!K28+'Income Statement'!R49-'Income Statement'!N49,"")</f>
        <v>2299</v>
      </c>
      <c r="S70" s="74" t="n">
        <f>IF(COUNT('Income Statement'!K28,'Income Statement'!S49,'Income Statement'!O49)=3,'Income Statement'!K28+'Income Statement'!S49-'Income Statement'!O49,"")</f>
        <v>1815</v>
      </c>
      <c r="T70" s="74" t="n">
        <f>IF(COUNT('Income Statement'!K28,'Income Statement'!T49,'Income Statement'!P49)=3,'Income Statement'!K28+'Income Statement'!T49-'Income Statement'!P49,"")</f>
        <v>1779</v>
      </c>
      <c r="U70" s="74" t="n">
        <f>IF(COUNT('Income Statement'!K28,'Income Statement'!U49,'Income Statement'!Q49)=3,'Income Statement'!K28+'Income Statement'!U49-'Income Statement'!Q49,"")</f>
        <v>1949</v>
      </c>
      <c r="V70" s="74" t="n">
        <f>IF(COUNT('Income Statement'!L28,'Income Statement'!V49,'Income Statement'!R49)=3,'Income Statement'!L28+'Income Statement'!V49-'Income Statement'!R49,"")</f>
        <v>2082</v>
      </c>
      <c r="W70" s="74" t="n">
        <f>IF(COUNT('Income Statement'!L28,'Income Statement'!W49,'Income Statement'!S49)=3,'Income Statement'!L28+'Income Statement'!W49-'Income Statement'!S49,"")</f>
        <v>2638</v>
      </c>
      <c r="X70" s="74" t="n">
        <f>IF(COUNT('Income Statement'!L28,'Income Statement'!X49,'Income Statement'!T49)=3,'Income Statement'!L28+'Income Statement'!X49-'Income Statement'!T49,"")</f>
        <v>2759</v>
      </c>
    </row>
    <row r="71" ht="22" customHeight="1">
      <c r="A71" s="4" t="str">
        <v>TTM net income attributable to PepsiCo</v>
      </c>
      <c r="B71" s="2"/>
      <c r="C71" s="44"/>
      <c r="D71" s="44"/>
      <c r="E71" s="44"/>
      <c r="F71" s="44"/>
      <c r="G71" s="44"/>
      <c r="H71" s="44"/>
      <c r="I71" s="44"/>
      <c r="J71" s="44"/>
      <c r="K71" s="44"/>
      <c r="L71" s="44"/>
      <c r="M71" s="45"/>
      <c r="N71" s="74" t="n">
        <f>IF(COUNT('Income Statement'!J31,'Income Statement'!N52,'Note Schedules'!N324)=3,'Income Statement'!J31+'Income Statement'!N52-'Note Schedules'!N324,"")</f>
        <v>9184</v>
      </c>
      <c r="O71" s="74" t="n">
        <f>IF(COUNT('Income Statement'!J31,'Income Statement'!O52,'Note Schedules'!O324)=3,'Income Statement'!J31+'Income Statement'!O52-'Note Schedules'!O324,"")</f>
        <v>9519</v>
      </c>
      <c r="P71" s="74" t="n">
        <f>IF(COUNT('Income Statement'!J31,'Income Statement'!P52,'Note Schedules'!P324)=3,'Income Statement'!J31+'Income Statement'!P52-'Note Schedules'!P324,"")</f>
        <v>9357</v>
      </c>
      <c r="Q71" s="74" t="str">
        <f>IF(COUNT('Income Statement'!J31,'Income Statement'!Q52,'Note Schedules'!Q324)=3,'Income Statement'!J31+'Income Statement'!Q52-'Note Schedules'!Q324,"")</f>
      </c>
      <c r="R71" s="74" t="n">
        <f>IF(COUNT('Income Statement'!K31,'Income Statement'!R52,'Income Statement'!N52)=3,'Income Statement'!K31+'Income Statement'!R52-'Income Statement'!N52,"")</f>
        <v>9370</v>
      </c>
      <c r="S71" s="74" t="n">
        <f>IF(COUNT('Income Statement'!K31,'Income Statement'!S52,'Income Statement'!O52)=3,'Income Statement'!K31+'Income Statement'!S52-'Income Statement'!O52,"")</f>
        <v>7550</v>
      </c>
      <c r="T71" s="74" t="n">
        <f>IF(COUNT('Income Statement'!K31,'Income Statement'!T52,'Income Statement'!P52)=3,'Income Statement'!K31+'Income Statement'!T52-'Income Statement'!P52,"")</f>
        <v>7223</v>
      </c>
      <c r="U71" s="74" t="n">
        <f>IF(COUNT('Income Statement'!K31,'Income Statement'!U52,'Income Statement'!Q52)=3,'Income Statement'!K31+'Income Statement'!U52-'Income Statement'!Q52,"")</f>
        <v>8240</v>
      </c>
      <c r="V71" s="74" t="n">
        <f>IF(COUNT('Income Statement'!L31,'Income Statement'!V52,'Income Statement'!R52)=3,'Income Statement'!L31+'Income Statement'!V52-'Income Statement'!R52,"")</f>
        <v>8733</v>
      </c>
      <c r="W71" s="74" t="n">
        <f>IF(COUNT('Income Statement'!L31,'Income Statement'!W52,'Income Statement'!S52)=3,'Income Statement'!L31+'Income Statement'!W52-'Income Statement'!S52,"")</f>
        <v>10451</v>
      </c>
      <c r="X71" s="74" t="n">
        <f>IF(COUNT('Income Statement'!L31,'Income Statement'!X52,'Income Statement'!T52)=3,'Income Statement'!L31+'Income Statement'!X52-'Income Statement'!T52,"")</f>
        <v>10896</v>
      </c>
    </row>
    <row r="72" ht="22" customHeight="1">
      <c r="A72" s="4" t="str">
        <v>TTM consolidated net income</v>
      </c>
      <c r="B72" s="2"/>
      <c r="C72" s="44"/>
      <c r="D72" s="44"/>
      <c r="E72" s="44"/>
      <c r="F72" s="44"/>
      <c r="G72" s="44"/>
      <c r="H72" s="44"/>
      <c r="I72" s="44"/>
      <c r="J72" s="44"/>
      <c r="K72" s="44"/>
      <c r="L72" s="44"/>
      <c r="M72" s="45"/>
      <c r="N72" s="74" t="n">
        <f>IF(COUNT('Income Statement'!J29,'Income Statement'!N50,'Note Schedules'!N325)=3,'Income Statement'!J29+'Income Statement'!N50-'Note Schedules'!N325,"")</f>
        <v>9264</v>
      </c>
      <c r="O72" s="74" t="n">
        <f>IF(COUNT('Income Statement'!J29,'Income Statement'!O50,'Note Schedules'!O325)=3,'Income Statement'!J29+'Income Statement'!O50-'Note Schedules'!O325,"")</f>
        <v>9587</v>
      </c>
      <c r="P72" s="74" t="n">
        <f>IF(COUNT('Income Statement'!J29,'Income Statement'!P50,'Note Schedules'!P325)=3,'Income Statement'!J29+'Income Statement'!P50-'Note Schedules'!P325,"")</f>
        <v>9416</v>
      </c>
      <c r="Q72" s="74" t="str">
        <f>IF(COUNT('Income Statement'!J29,'Income Statement'!Q50,'Note Schedules'!Q325)=3,'Income Statement'!J29+'Income Statement'!Q50-'Note Schedules'!Q325,"")</f>
      </c>
      <c r="R72" s="74" t="n">
        <f>IF(COUNT('Income Statement'!K29,'Income Statement'!R50,'Income Statement'!N50)=3,'Income Statement'!K29+'Income Statement'!R50-'Income Statement'!N50,"")</f>
        <v>9416</v>
      </c>
      <c r="S72" s="74" t="n">
        <f>IF(COUNT('Income Statement'!K29,'Income Statement'!S50,'Income Statement'!O50)=3,'Income Statement'!K29+'Income Statement'!S50-'Income Statement'!O50,"")</f>
        <v>7601</v>
      </c>
      <c r="T72" s="74" t="n">
        <f>IF(COUNT('Income Statement'!K29,'Income Statement'!T50,'Income Statement'!P50)=3,'Income Statement'!K29+'Income Statement'!T50-'Income Statement'!P50,"")</f>
        <v>7274</v>
      </c>
      <c r="U72" s="74" t="n">
        <f>IF(COUNT('Income Statement'!K29,'Income Statement'!U50,'Income Statement'!Q50)=3,'Income Statement'!K29+'Income Statement'!U50-'Income Statement'!Q50,"")</f>
        <v>8295</v>
      </c>
      <c r="V72" s="74" t="n">
        <f>IF(COUNT('Income Statement'!L29,'Income Statement'!V50,'Income Statement'!R50)=3,'Income Statement'!L29+'Income Statement'!V50-'Income Statement'!R50,"")</f>
        <v>8790</v>
      </c>
      <c r="W72" s="74" t="n">
        <f>IF(COUNT('Income Statement'!L29,'Income Statement'!W50,'Income Statement'!S50)=3,'Income Statement'!L29+'Income Statement'!W50-'Income Statement'!S50,"")</f>
        <v>10515</v>
      </c>
      <c r="X72" s="74" t="n">
        <f>IF(COUNT('Income Statement'!L29,'Income Statement'!X50,'Income Statement'!T50)=3,'Income Statement'!L29+'Income Statement'!X50-'Income Statement'!T50,"")</f>
        <v>10967</v>
      </c>
    </row>
    <row r="73" ht="22" customHeight="1">
      <c r="A73" s="4" t="str">
        <v>TTM operating cash flow</v>
      </c>
      <c r="B73" s="2"/>
      <c r="C73" s="44"/>
      <c r="D73" s="44"/>
      <c r="E73" s="44"/>
      <c r="F73" s="44"/>
      <c r="G73" s="44"/>
      <c r="H73" s="44"/>
      <c r="I73" s="44"/>
      <c r="J73" s="44"/>
      <c r="K73" s="44"/>
      <c r="L73" s="44"/>
      <c r="M73" s="45"/>
      <c r="N73" s="74" t="n">
        <f>IF(COUNT('Cash Flow'!J46,'Cash Flow'!N46,'Note Schedules'!N326)=3,('Cash Flow'!J46+'Cash Flow'!N46-'Note Schedules'!N326),"")</f>
        <v>12793</v>
      </c>
      <c r="O73" s="74" t="n">
        <f>IF(COUNT('Cash Flow'!J46,'Cash Flow'!O46,'Note Schedules'!O326)=3,('Cash Flow'!J46+'Cash Flow'!O46-'Note Schedules'!O326),"")</f>
        <v>12738</v>
      </c>
      <c r="P73" s="74" t="n">
        <f>IF(COUNT('Cash Flow'!J46,'Cash Flow'!P46,'Note Schedules'!P326)=3,('Cash Flow'!J46+'Cash Flow'!P46-'Note Schedules'!P326),"")</f>
        <v>12032</v>
      </c>
      <c r="Q73" s="74" t="str">
        <f>IF(COUNT('Cash Flow'!J46,'Cash Flow'!Q46,'Note Schedules'!Q326)=3,('Cash Flow'!J46+'Cash Flow'!Q46-'Note Schedules'!Q326),"")</f>
      </c>
      <c r="R73" s="74" t="n">
        <f>IF(COUNT('Cash Flow'!K46,'Cash Flow'!R46,'Cash Flow'!N46)=3,('Cash Flow'!K46+'Cash Flow'!R46-'Cash Flow'!N46),"")</f>
        <v>12575</v>
      </c>
      <c r="S73" s="74" t="n">
        <f>IF(COUNT('Cash Flow'!K46,'Cash Flow'!S46,'Cash Flow'!O46)=3,('Cash Flow'!K46+'Cash Flow'!S46-'Cash Flow'!O46),"")</f>
        <v>12188</v>
      </c>
      <c r="T73" s="74" t="n">
        <f>IF(COUNT('Cash Flow'!K46,'Cash Flow'!T46,'Cash Flow'!P46)=3,('Cash Flow'!K46+'Cash Flow'!T46-'Cash Flow'!P46),"")</f>
        <v>11755</v>
      </c>
      <c r="U73" s="74" t="n">
        <f>IF(COUNT('Cash Flow'!K46,'Cash Flow'!U46,'Cash Flow'!Q46)=3,('Cash Flow'!K46+'Cash Flow'!U46-'Cash Flow'!Q46),"")</f>
        <v>12087</v>
      </c>
      <c r="V73" s="74" t="n">
        <f>IF(COUNT('Cash Flow'!L46,'Cash Flow'!V46,'Cash Flow'!R46)=3,('Cash Flow'!L46+'Cash Flow'!V46-'Cash Flow'!R46),"")</f>
        <v>13101</v>
      </c>
      <c r="W73" s="74" t="n">
        <f>IF(COUNT('Cash Flow'!L46,'Cash Flow'!W46,'Cash Flow'!S46)=3,('Cash Flow'!L46+'Cash Flow'!W46-'Cash Flow'!S46),"")</f>
        <v>13456</v>
      </c>
      <c r="X73" s="74" t="n">
        <f>IF(COUNT('Cash Flow'!L46,'Cash Flow'!X46,'Cash Flow'!T46)=3,('Cash Flow'!L46+'Cash Flow'!X46-'Cash Flow'!T46),"")</f>
        <v>14569</v>
      </c>
    </row>
    <row r="74" ht="22" customHeight="1">
      <c r="A74" s="4" t="str">
        <v>TTM capital spending (positive)</v>
      </c>
      <c r="B74" s="2"/>
      <c r="C74" s="44"/>
      <c r="D74" s="44"/>
      <c r="E74" s="44"/>
      <c r="F74" s="44"/>
      <c r="G74" s="44"/>
      <c r="H74" s="44"/>
      <c r="I74" s="44"/>
      <c r="J74" s="44"/>
      <c r="K74" s="44"/>
      <c r="L74" s="44"/>
      <c r="M74" s="45"/>
      <c r="N74" s="74" t="n">
        <f>IF(COUNT('Cash Flow'!J48,'Cash Flow'!N48,'Note Schedules'!N327)=3,-('Cash Flow'!J48+'Cash Flow'!N48-'Note Schedules'!N327),"")</f>
        <v>5551</v>
      </c>
      <c r="O74" s="74" t="n">
        <f>IF(COUNT('Cash Flow'!J48,'Cash Flow'!O48,'Note Schedules'!O327)=3,-('Cash Flow'!J48+'Cash Flow'!O48-'Note Schedules'!O327),"")</f>
        <v>5706</v>
      </c>
      <c r="P74" s="74" t="n">
        <f>IF(COUNT('Cash Flow'!J48,'Cash Flow'!P48,'Note Schedules'!P327)=3,-('Cash Flow'!J48+'Cash Flow'!P48-'Note Schedules'!P327),"")</f>
        <v>5831</v>
      </c>
      <c r="Q74" s="74" t="str">
        <f>IF(COUNT('Cash Flow'!J48,'Cash Flow'!Q48,'Note Schedules'!Q327)=3,-('Cash Flow'!J48+'Cash Flow'!Q48-'Note Schedules'!Q327),"")</f>
      </c>
      <c r="R74" s="74" t="n">
        <f>IF(COUNT('Cash Flow'!K48,'Cash Flow'!R48,'Cash Flow'!N48)=3,-('Cash Flow'!K48+'Cash Flow'!R48-'Cash Flow'!N48),"")</f>
        <v>5307</v>
      </c>
      <c r="S74" s="74" t="n">
        <f>IF(COUNT('Cash Flow'!K48,'Cash Flow'!S48,'Cash Flow'!O48)=3,-('Cash Flow'!K48+'Cash Flow'!S48-'Cash Flow'!O48),"")</f>
        <v>5124</v>
      </c>
      <c r="T74" s="74" t="n">
        <f>IF(COUNT('Cash Flow'!K48,'Cash Flow'!T48,'Cash Flow'!P48)=3,-('Cash Flow'!K48+'Cash Flow'!T48-'Cash Flow'!P48),"")</f>
        <v>4967</v>
      </c>
      <c r="U74" s="74" t="n">
        <f>IF(COUNT('Cash Flow'!K48,'Cash Flow'!U48,'Cash Flow'!Q48)=3,-('Cash Flow'!K48+'Cash Flow'!U48-'Cash Flow'!Q48),"")</f>
        <v>4415</v>
      </c>
      <c r="V74" s="74" t="n">
        <f>IF(COUNT('Cash Flow'!L48,'Cash Flow'!V48,'Cash Flow'!R48)=3,-('Cash Flow'!L48+'Cash Flow'!V48-'Cash Flow'!R48),"")</f>
        <v>4259</v>
      </c>
      <c r="W74" s="74" t="n">
        <f>IF(COUNT('Cash Flow'!L48,'Cash Flow'!W48,'Cash Flow'!S48)=3,-('Cash Flow'!L48+'Cash Flow'!W48-'Cash Flow'!S48),"")</f>
        <v>4174</v>
      </c>
      <c r="X74" s="74" t="n">
        <f>IF(COUNT('Cash Flow'!L48,'Cash Flow'!X48,'Cash Flow'!T48)=3,-('Cash Flow'!L48+'Cash Flow'!X48-'Cash Flow'!T48),"")</f>
        <v>4098</v>
      </c>
    </row>
    <row r="75" ht="22" customHeight="1">
      <c r="A75" s="4" t="str">
        <v>TTM analyst FCF</v>
      </c>
      <c r="B75" s="2"/>
      <c r="C75" s="44"/>
      <c r="D75" s="44"/>
      <c r="E75" s="44"/>
      <c r="F75" s="44"/>
      <c r="G75" s="44"/>
      <c r="H75" s="44"/>
      <c r="I75" s="44"/>
      <c r="J75" s="44"/>
      <c r="K75" s="44"/>
      <c r="L75" s="44"/>
      <c r="M75" s="45"/>
      <c r="N75" s="43" t="n">
        <f>IF(COUNT('Derived Metrics'!N73,'Derived Metrics'!N74)=2,'Derived Metrics'!N73-'Derived Metrics'!N74,"")</f>
        <v>7242</v>
      </c>
      <c r="O75" s="43" t="n">
        <f>IF(COUNT('Derived Metrics'!O73,'Derived Metrics'!O74)=2,'Derived Metrics'!O73-'Derived Metrics'!O74,"")</f>
        <v>7032</v>
      </c>
      <c r="P75" s="43" t="n">
        <f>IF(COUNT('Derived Metrics'!P73,'Derived Metrics'!P74)=2,'Derived Metrics'!P73-'Derived Metrics'!P74,"")</f>
        <v>6201</v>
      </c>
      <c r="Q75" s="43" t="str">
        <f>IF(COUNT('Derived Metrics'!Q73,'Derived Metrics'!Q74)=2,'Derived Metrics'!Q73-'Derived Metrics'!Q74,"")</f>
      </c>
      <c r="R75" s="43" t="n">
        <f>IF(COUNT('Derived Metrics'!R73,'Derived Metrics'!R74)=2,'Derived Metrics'!R73-'Derived Metrics'!R74,"")</f>
        <v>7268</v>
      </c>
      <c r="S75" s="43" t="n">
        <f>IF(COUNT('Derived Metrics'!S73,'Derived Metrics'!S74)=2,'Derived Metrics'!S73-'Derived Metrics'!S74,"")</f>
        <v>7064</v>
      </c>
      <c r="T75" s="43" t="n">
        <f>IF(COUNT('Derived Metrics'!T73,'Derived Metrics'!T74)=2,'Derived Metrics'!T73-'Derived Metrics'!T74,"")</f>
        <v>6788</v>
      </c>
      <c r="U75" s="43" t="n">
        <f>IF(COUNT('Derived Metrics'!U73,'Derived Metrics'!U74)=2,'Derived Metrics'!U73-'Derived Metrics'!U74,"")</f>
        <v>7672</v>
      </c>
      <c r="V75" s="43" t="n">
        <f>IF(COUNT('Derived Metrics'!V73,'Derived Metrics'!V74)=2,'Derived Metrics'!V73-'Derived Metrics'!V74,"")</f>
        <v>8842</v>
      </c>
      <c r="W75" s="43" t="n">
        <f>IF(COUNT('Derived Metrics'!W73,'Derived Metrics'!W74)=2,'Derived Metrics'!W73-'Derived Metrics'!W74,"")</f>
        <v>9282</v>
      </c>
      <c r="X75" s="43" t="n">
        <f>IF(COUNT('Derived Metrics'!X73,'Derived Metrics'!X74)=2,'Derived Metrics'!X73-'Derived Metrics'!X74,"")</f>
        <v>10471</v>
      </c>
    </row>
    <row r="76" ht="22" customHeight="1">
      <c r="A76" s="4" t="str">
        <v>TTM NOPAT</v>
      </c>
      <c r="B76" s="2"/>
      <c r="C76" s="44"/>
      <c r="D76" s="44"/>
      <c r="E76" s="44"/>
      <c r="F76" s="44"/>
      <c r="G76" s="44"/>
      <c r="H76" s="44"/>
      <c r="I76" s="44"/>
      <c r="J76" s="44"/>
      <c r="K76" s="44"/>
      <c r="L76" s="44"/>
      <c r="M76" s="45"/>
      <c r="N76" s="43" t="n">
        <f>IF(COUNT('Derived Metrics'!N69,'Derived Metrics'!N70)=2,'Derived Metrics'!N69-'Derived Metrics'!N70,"")</f>
        <v>9838</v>
      </c>
      <c r="O76" s="43" t="n">
        <f>IF(COUNT('Derived Metrics'!O69,'Derived Metrics'!O70)=2,'Derived Metrics'!O69-'Derived Metrics'!O70,"")</f>
        <v>10198</v>
      </c>
      <c r="P76" s="43" t="n">
        <f>IF(COUNT('Derived Metrics'!P69,'Derived Metrics'!P70)=2,'Derived Metrics'!P69-'Derived Metrics'!P70,"")</f>
        <v>10066</v>
      </c>
      <c r="Q76" s="43" t="str">
        <f>IF(COUNT('Derived Metrics'!Q69,'Derived Metrics'!Q70)=2,'Derived Metrics'!Q69-'Derived Metrics'!Q70,"")</f>
      </c>
      <c r="R76" s="43" t="n">
        <f>IF(COUNT('Derived Metrics'!R69,'Derived Metrics'!R70)=2,'Derived Metrics'!R69-'Derived Metrics'!R70,"")</f>
        <v>10454</v>
      </c>
      <c r="S76" s="43" t="n">
        <f>IF(COUNT('Derived Metrics'!S69,'Derived Metrics'!S70)=2,'Derived Metrics'!S69-'Derived Metrics'!S70,"")</f>
        <v>8679</v>
      </c>
      <c r="T76" s="43" t="n">
        <f>IF(COUNT('Derived Metrics'!T69,'Derived Metrics'!T70)=2,'Derived Metrics'!T69-'Derived Metrics'!T70,"")</f>
        <v>8412</v>
      </c>
      <c r="U76" s="43" t="n">
        <f>IF(COUNT('Derived Metrics'!U69,'Derived Metrics'!U70)=2,'Derived Metrics'!U69-'Derived Metrics'!U70,"")</f>
        <v>9549</v>
      </c>
      <c r="V76" s="43" t="n">
        <f>IF(COUNT('Derived Metrics'!V69,'Derived Metrics'!V70)=2,'Derived Metrics'!V69-'Derived Metrics'!V70,"")</f>
        <v>10046</v>
      </c>
      <c r="W76" s="43" t="n">
        <f>IF(COUNT('Derived Metrics'!W69,'Derived Metrics'!W70)=2,'Derived Metrics'!W69-'Derived Metrics'!W70,"")</f>
        <v>11724</v>
      </c>
      <c r="X76" s="43" t="n">
        <f>IF(COUNT('Derived Metrics'!X69,'Derived Metrics'!X70)=2,'Derived Metrics'!X69-'Derived Metrics'!X70,"")</f>
        <v>12294</v>
      </c>
    </row>
    <row r="77" ht="36" customHeight="1">
      <c r="A77" s="56" t="str">
        <v>TTM operating ROIC (blank without complete investment balances)</v>
      </c>
      <c r="B77" s="2"/>
      <c r="C77" s="58"/>
      <c r="D77" s="58"/>
      <c r="E77" s="58"/>
      <c r="F77" s="58"/>
      <c r="G77" s="58"/>
      <c r="H77" s="58"/>
      <c r="I77" s="58"/>
      <c r="J77" s="58"/>
      <c r="K77" s="58"/>
      <c r="L77" s="58"/>
      <c r="M77" s="60"/>
      <c r="N77" s="58"/>
      <c r="O77" s="58"/>
      <c r="P77" s="58"/>
      <c r="Q77" s="59" t="n">
        <f>IF(COUNT('Derived Metrics'!K49)=1,'Derived Metrics'!K49,"")</f>
        <v>0.12220847259648189</v>
      </c>
      <c r="R77" s="58"/>
      <c r="S77" s="58"/>
      <c r="T77" s="58"/>
      <c r="U77" s="59" t="n">
        <f>IF(COUNT('Derived Metrics'!L49)=1,'Derived Metrics'!L49,"")</f>
        <v>0.10605168756455392</v>
      </c>
      <c r="V77" s="58"/>
      <c r="W77" s="58"/>
      <c r="X77" s="58"/>
    </row>
    <row r="78" ht="22" customHeight="1">
      <c r="A78" s="4"/>
      <c r="B78" s="2"/>
      <c r="C78" s="3"/>
      <c r="D78" s="3"/>
      <c r="E78" s="3"/>
      <c r="F78" s="3"/>
      <c r="G78" s="3"/>
      <c r="H78" s="3"/>
      <c r="I78" s="3"/>
      <c r="J78" s="3"/>
      <c r="K78" s="3"/>
      <c r="L78" s="3"/>
      <c r="M78" s="3"/>
      <c r="N78" s="3"/>
      <c r="O78" s="3"/>
      <c r="P78" s="3"/>
      <c r="Q78" s="3"/>
      <c r="R78" s="3"/>
      <c r="S78" s="3"/>
      <c r="T78" s="3"/>
      <c r="U78" s="3"/>
      <c r="V78" s="3"/>
      <c r="W78" s="3"/>
      <c r="X78" s="3"/>
    </row>
    <row r="79" ht="22" customHeight="1">
      <c r="A79"/>
      <c r="B79"/>
      <c r="C79"/>
      <c r="D79"/>
      <c r="E79"/>
      <c r="F79"/>
      <c r="G79"/>
      <c r="H79"/>
      <c r="I79"/>
      <c r="J79"/>
      <c r="K79"/>
      <c r="L79"/>
      <c r="M79"/>
      <c r="N79"/>
      <c r="O79"/>
      <c r="P79"/>
      <c r="Q79"/>
      <c r="R79"/>
      <c r="S79"/>
      <c r="T79"/>
      <c r="U79"/>
      <c r="V79"/>
      <c r="W79"/>
      <c r="X79"/>
    </row>
  </sheetData>
  <mergeCells>
    <mergeCell ref="A1:X1"/>
    <mergeCell ref="A2:X2"/>
    <mergeCell ref="C7:L7"/>
    <mergeCell ref="N7:X7"/>
    <mergeCell ref="C8:L8"/>
    <mergeCell ref="N8:X8"/>
    <mergeCell ref="C9:L9"/>
    <mergeCell ref="N9:X9"/>
    <mergeCell ref="A14:X14"/>
    <mergeCell ref="A22:X22"/>
    <mergeCell ref="A34:X34"/>
    <mergeCell ref="A41:X41"/>
    <mergeCell ref="A42:X42"/>
    <mergeCell ref="A53:X53"/>
    <mergeCell ref="A54:X54"/>
    <mergeCell ref="A66:X66"/>
    <mergeCell ref="A67:X67"/>
  </mergeCells>
  <hyperlinks>
    <hyperlink ref="A3" location="'Contents'!A1" display="Metric (Return to Contents)"/>
    <hyperlink ref="C7" location="'Derived Metrics'!A14" display="Profitability"/>
    <hyperlink ref="N7" location="'Derived Metrics'!A22" display="Cash generation and shareholder returns"/>
    <hyperlink ref="C8" location="'Derived Metrics'!A34" display="Debt and cash"/>
    <hyperlink ref="N8" location="'Derived Metrics'!A41" display="Operating invested capital and returns"/>
    <hyperlink ref="C9" location="'Derived Metrics'!A53" display="Working capital and turnover"/>
    <hyperlink ref="N9" location="'Derived Metrics'!A66" display="Recent trailing twelve months"/>
  </hyperlinks>
  <pageMargins left="0.7" right="0.7" top="0.75" bottom="0.75" header="0.3" footer="0.3"/>
</worksheet>
</file>

<file path=xl/worksheets/sheet9.xml><?xml version="1.0" encoding="utf-8"?>
<worksheet xmlns="http://schemas.openxmlformats.org/spreadsheetml/2006/main">
  <sheetPr>
    <tabColor rgb="FFB08958"/>
  </sheetPr>
  <sheetViews>
    <sheetView showGridLines="0" workbookViewId="0">
      <pane xSplit="2" ySplit="5" topLeftCell="C6" activePane="bottomRight" state="frozen"/>
    </sheetView>
  </sheetViews>
  <sheetFormatPr defaultRowHeight="15"/>
  <cols>
    <col min="1" max="1" width="60" hidden="0" customWidth="1"/>
    <col min="2" max="2" width="2.200000047683716" hidden="0" customWidth="1"/>
    <col min="3" max="3" width="12.199999809265137" hidden="0" customWidth="1"/>
    <col min="4" max="4" width="12.199999809265137" hidden="0" customWidth="1"/>
    <col min="5" max="5" width="12.199999809265137" hidden="0" customWidth="1"/>
    <col min="6" max="6" width="12.199999809265137" hidden="0" customWidth="1"/>
    <col min="7" max="7" width="12.199999809265137" hidden="0" customWidth="1"/>
    <col min="8" max="8" width="12.199999809265137" hidden="0" customWidth="1"/>
    <col min="9" max="9" width="12.199999809265137" hidden="0" customWidth="1"/>
    <col min="10" max="10" width="12.199999809265137" hidden="0" customWidth="1"/>
    <col min="11" max="11" width="12.199999809265137" hidden="0" customWidth="1"/>
    <col min="12" max="12" width="12.199999809265137" hidden="0" customWidth="1"/>
    <col min="13" max="13" width="3" hidden="0" customWidth="1"/>
    <col min="14" max="14" width="12.199999809265137" hidden="0" customWidth="1"/>
    <col min="15" max="15" width="12.199999809265137" hidden="0" customWidth="1"/>
    <col min="16" max="16" width="12.199999809265137" hidden="0" customWidth="1"/>
    <col min="17" max="17" width="12.199999809265137" hidden="0" customWidth="1"/>
    <col min="18" max="18" width="12.199999809265137" hidden="0" customWidth="1"/>
    <col min="19" max="19" width="12.199999809265137" hidden="0" customWidth="1"/>
    <col min="20" max="20" width="12.199999809265137" hidden="0" customWidth="1"/>
    <col min="21" max="21" width="12.199999809265137" hidden="0" customWidth="1"/>
    <col min="22" max="22" width="12.199999809265137" hidden="0" customWidth="1"/>
    <col min="23" max="23" width="12.199999809265137" hidden="0" customWidth="1"/>
    <col min="24" max="24" width="12.199999809265137" hidden="0" customWidth="1"/>
  </cols>
  <sheetData>
    <row r="1" ht="28" customHeight="1">
      <c r="A1" s="7" t="str">
        <v>PepsiCo PEP — Note Schedules</v>
      </c>
      <c r="B1" s="7"/>
      <c r="C1" s="7"/>
      <c r="D1" s="7"/>
      <c r="E1" s="7"/>
      <c r="F1" s="7"/>
      <c r="G1" s="7"/>
      <c r="H1" s="7"/>
      <c r="I1" s="7"/>
      <c r="J1" s="7"/>
      <c r="K1" s="7"/>
      <c r="L1" s="7"/>
      <c r="M1" s="7"/>
      <c r="N1" s="7"/>
      <c r="O1" s="7"/>
      <c r="P1" s="7"/>
      <c r="Q1" s="7"/>
      <c r="R1" s="7"/>
      <c r="S1" s="7"/>
      <c r="T1" s="7"/>
      <c r="U1" s="7"/>
      <c r="V1" s="7"/>
      <c r="W1" s="7"/>
      <c r="X1" s="7"/>
    </row>
    <row r="2" ht="18" customHeight="1">
      <c r="A2" s="8" t="str">
        <v>USD millions; per-share amounts, share counts and percentages as labeled. US GAAP. As of 2026-10-20.</v>
      </c>
      <c r="B2" s="8"/>
      <c r="C2" s="8"/>
      <c r="D2" s="8"/>
      <c r="E2" s="8"/>
      <c r="F2" s="8"/>
      <c r="G2" s="8"/>
      <c r="H2" s="8"/>
      <c r="I2" s="8"/>
      <c r="J2" s="8"/>
      <c r="K2" s="8"/>
      <c r="L2" s="8"/>
      <c r="M2" s="8"/>
      <c r="N2" s="8"/>
      <c r="O2" s="8"/>
      <c r="P2" s="8"/>
      <c r="Q2" s="8"/>
      <c r="R2" s="8"/>
      <c r="S2" s="8"/>
      <c r="T2" s="8"/>
      <c r="U2" s="8"/>
      <c r="V2" s="8"/>
      <c r="W2" s="8"/>
      <c r="X2" s="8"/>
    </row>
    <row r="3" ht="24" customHeight="1">
      <c r="A3" s="9" t="str">
        <v>Metric (Return to Contents)</v>
      </c>
      <c r="B3" s="2"/>
      <c r="C3" s="13" t="str">
        <v>FY2016</v>
      </c>
      <c r="D3" s="13" t="str">
        <v>FY2017</v>
      </c>
      <c r="E3" s="13" t="str">
        <v>FY2018</v>
      </c>
      <c r="F3" s="13" t="str">
        <v>FY2019</v>
      </c>
      <c r="G3" s="13" t="str">
        <v>FY2020</v>
      </c>
      <c r="H3" s="13" t="str">
        <v>FY2021</v>
      </c>
      <c r="I3" s="13" t="str">
        <v>FY2022</v>
      </c>
      <c r="J3" s="13" t="str">
        <v>FY2023</v>
      </c>
      <c r="K3" s="13" t="str">
        <v>FY2024</v>
      </c>
      <c r="L3" s="13" t="str">
        <v>FY2025</v>
      </c>
      <c r="M3" s="2"/>
      <c r="N3" s="22" t="str">
        <v>FY2024Q1</v>
      </c>
      <c r="O3" s="22" t="str">
        <v>FY2024Q2</v>
      </c>
      <c r="P3" s="22" t="str">
        <v>FY2024Q3</v>
      </c>
      <c r="Q3" s="22" t="str">
        <v>FY2024Q4</v>
      </c>
      <c r="R3" s="22" t="str">
        <v>FY2025Q1</v>
      </c>
      <c r="S3" s="22" t="str">
        <v>FY2025Q2</v>
      </c>
      <c r="T3" s="22" t="str">
        <v>FY2025Q3</v>
      </c>
      <c r="U3" s="22" t="str">
        <v>FY2025Q4</v>
      </c>
      <c r="V3" s="22" t="str">
        <v>FY2026Q1</v>
      </c>
      <c r="W3" s="22" t="str">
        <v>FY2026Q2</v>
      </c>
      <c r="X3" s="22" t="str">
        <v>FY2026Q3</v>
      </c>
    </row>
    <row r="4" ht="18" customHeight="1">
      <c r="A4" s="2"/>
      <c r="B4" s="2"/>
      <c r="C4" s="17" t="d">
        <v>2016-12-31T00:00:00.000Z</v>
      </c>
      <c r="D4" s="17" t="d">
        <v>2017-12-30T00:00:00.000Z</v>
      </c>
      <c r="E4" s="17" t="d">
        <v>2018-12-29T00:00:00.000Z</v>
      </c>
      <c r="F4" s="17" t="d">
        <v>2019-12-28T00:00:00.000Z</v>
      </c>
      <c r="G4" s="17" t="d">
        <v>2020-12-26T00:00:00.000Z</v>
      </c>
      <c r="H4" s="17" t="d">
        <v>2021-12-25T00:00:00.000Z</v>
      </c>
      <c r="I4" s="17" t="d">
        <v>2022-12-31T00:00:00.000Z</v>
      </c>
      <c r="J4" s="17" t="d">
        <v>2023-12-30T00:00:00.000Z</v>
      </c>
      <c r="K4" s="17" t="d">
        <v>2024-12-28T00:00:00.000Z</v>
      </c>
      <c r="L4" s="17" t="d">
        <v>2025-12-27T00:00:00.000Z</v>
      </c>
      <c r="M4" s="2"/>
      <c r="N4" s="17" t="d">
        <v>2024-03-23T00:00:00.000Z</v>
      </c>
      <c r="O4" s="17" t="d">
        <v>2024-06-15T00:00:00.000Z</v>
      </c>
      <c r="P4" s="17" t="d">
        <v>2024-09-07T00:00:00.000Z</v>
      </c>
      <c r="Q4" s="17" t="d">
        <v>2024-12-28T00:00:00.000Z</v>
      </c>
      <c r="R4" s="17" t="d">
        <v>2025-03-22T00:00:00.000Z</v>
      </c>
      <c r="S4" s="17" t="d">
        <v>2025-06-14T00:00:00.000Z</v>
      </c>
      <c r="T4" s="17" t="d">
        <v>2025-09-06T00:00:00.000Z</v>
      </c>
      <c r="U4" s="17" t="d">
        <v>2025-12-27T00:00:00.000Z</v>
      </c>
      <c r="V4" s="17" t="d">
        <v>2026-03-21T00:00:00.000Z</v>
      </c>
      <c r="W4" s="17" t="d">
        <v>2026-06-13T00:00:00.000Z</v>
      </c>
      <c r="X4" s="17" t="d">
        <v>2026-09-05T00:00:00.000Z</v>
      </c>
    </row>
    <row r="5" ht="18" customHeight="1">
      <c r="A5" s="8" t="str">
        <v>Annual at left; quarterly / period-end at right; YTD as labeled</v>
      </c>
      <c r="B5" s="2"/>
      <c r="C5" s="18" t="str">
        <v>Year / year-end</v>
      </c>
      <c r="D5" s="18" t="str">
        <v>Year / year-end</v>
      </c>
      <c r="E5" s="18" t="str">
        <v>Year / year-end</v>
      </c>
      <c r="F5" s="18" t="str">
        <v>Year / year-end</v>
      </c>
      <c r="G5" s="18" t="str">
        <v>Year / year-end</v>
      </c>
      <c r="H5" s="18" t="str">
        <v>Year / year-end</v>
      </c>
      <c r="I5" s="18" t="str">
        <v>Year / year-end</v>
      </c>
      <c r="J5" s="18" t="str">
        <v>Year / year-end</v>
      </c>
      <c r="K5" s="18" t="str">
        <v>Year / year-end</v>
      </c>
      <c r="L5" s="18" t="str">
        <v>Year / year-end</v>
      </c>
      <c r="M5" s="2"/>
      <c r="N5" s="18" t="str">
        <v>Quarter / end</v>
      </c>
      <c r="O5" s="18" t="str">
        <v>Quarter / end</v>
      </c>
      <c r="P5" s="18" t="str">
        <v>Quarter / end</v>
      </c>
      <c r="Q5" s="18" t="str">
        <v>Quarter / end</v>
      </c>
      <c r="R5" s="18" t="str">
        <v>Quarter / end</v>
      </c>
      <c r="S5" s="18" t="str">
        <v>Quarter / end</v>
      </c>
      <c r="T5" s="18" t="str">
        <v>Quarter / end</v>
      </c>
      <c r="U5" s="18" t="str">
        <v>Quarter / end</v>
      </c>
      <c r="V5" s="18" t="str">
        <v>Quarter / end</v>
      </c>
      <c r="W5" s="18" t="str">
        <v>Quarter / end</v>
      </c>
      <c r="X5" s="18" t="str">
        <v>Quarter / end</v>
      </c>
    </row>
    <row r="6" ht="8" customHeight="1">
      <c r="A6" s="2"/>
      <c r="B6" s="2"/>
      <c r="C6" s="2"/>
      <c r="D6" s="2"/>
      <c r="E6" s="2"/>
      <c r="F6" s="2"/>
      <c r="G6" s="2"/>
      <c r="H6" s="2"/>
      <c r="I6" s="2"/>
      <c r="J6" s="2"/>
      <c r="K6" s="2"/>
      <c r="L6" s="2"/>
      <c r="M6" s="2"/>
      <c r="N6" s="2"/>
      <c r="O6" s="2"/>
      <c r="P6" s="2"/>
      <c r="Q6" s="2"/>
      <c r="R6" s="2"/>
      <c r="S6" s="2"/>
      <c r="T6" s="2"/>
      <c r="U6" s="2"/>
      <c r="V6" s="2"/>
      <c r="W6" s="2"/>
      <c r="X6" s="2"/>
    </row>
    <row r="7" ht="22" customHeight="1">
      <c r="A7" s="23" t="str">
        <v>On this sheet</v>
      </c>
      <c r="B7" s="2"/>
      <c r="C7" s="26" t="str">
        <v>Accounts and notes receivable and credit losses</v>
      </c>
      <c r="D7" s="26"/>
      <c r="E7" s="26"/>
      <c r="F7" s="26"/>
      <c r="G7" s="26"/>
      <c r="H7" s="26"/>
      <c r="I7" s="26"/>
      <c r="J7" s="26"/>
      <c r="K7" s="26"/>
      <c r="L7" s="26"/>
      <c r="M7" s="3"/>
      <c r="N7" s="26" t="str">
        <v>Inventories</v>
      </c>
      <c r="O7" s="26"/>
      <c r="P7" s="26"/>
      <c r="Q7" s="26"/>
      <c r="R7" s="26"/>
      <c r="S7" s="26"/>
      <c r="T7" s="26"/>
      <c r="U7" s="26"/>
      <c r="V7" s="26"/>
      <c r="W7" s="26"/>
      <c r="X7" s="26"/>
    </row>
    <row r="8" ht="22" customHeight="1">
      <c r="A8" s="4"/>
      <c r="B8" s="2"/>
      <c r="C8" s="26" t="str">
        <v>Accounts payable and other current liabilities</v>
      </c>
      <c r="D8" s="26"/>
      <c r="E8" s="26"/>
      <c r="F8" s="26"/>
      <c r="G8" s="26"/>
      <c r="H8" s="26"/>
      <c r="I8" s="26"/>
      <c r="J8" s="26"/>
      <c r="K8" s="26"/>
      <c r="L8" s="26"/>
      <c r="M8" s="3"/>
      <c r="N8" s="26" t="str">
        <v>Other assets and investments</v>
      </c>
      <c r="O8" s="26"/>
      <c r="P8" s="26"/>
      <c r="Q8" s="26"/>
      <c r="R8" s="26"/>
      <c r="S8" s="26"/>
      <c r="T8" s="26"/>
      <c r="U8" s="26"/>
      <c r="V8" s="26"/>
      <c r="W8" s="26"/>
      <c r="X8" s="26"/>
    </row>
    <row r="9" ht="22" customHeight="1">
      <c r="A9" s="4"/>
      <c r="B9" s="2"/>
      <c r="C9" s="26" t="str">
        <v>Property, plant and equipment components</v>
      </c>
      <c r="D9" s="26"/>
      <c r="E9" s="26"/>
      <c r="F9" s="26"/>
      <c r="G9" s="26"/>
      <c r="H9" s="26"/>
      <c r="I9" s="26"/>
      <c r="J9" s="26"/>
      <c r="K9" s="26"/>
      <c r="L9" s="26"/>
      <c r="M9" s="3"/>
      <c r="N9" s="26" t="str">
        <v>Pretax income and current / deferred income taxes</v>
      </c>
      <c r="O9" s="26"/>
      <c r="P9" s="26"/>
      <c r="Q9" s="26"/>
      <c r="R9" s="26"/>
      <c r="S9" s="26"/>
      <c r="T9" s="26"/>
      <c r="U9" s="26"/>
      <c r="V9" s="26"/>
      <c r="W9" s="26"/>
      <c r="X9" s="26"/>
    </row>
    <row r="10" ht="22" customHeight="1">
      <c r="A10" s="4"/>
      <c r="B10" s="2"/>
      <c r="C10" s="26" t="str">
        <v>Income tax rate reconciliation and FY2025 tax disaggregation</v>
      </c>
      <c r="D10" s="26"/>
      <c r="E10" s="26"/>
      <c r="F10" s="26"/>
      <c r="G10" s="26"/>
      <c r="H10" s="26"/>
      <c r="I10" s="26"/>
      <c r="J10" s="26"/>
      <c r="K10" s="26"/>
      <c r="L10" s="26"/>
      <c r="M10" s="3"/>
      <c r="N10" s="26" t="str">
        <v>Deferred income tax assets and liabilities</v>
      </c>
      <c r="O10" s="26"/>
      <c r="P10" s="26"/>
      <c r="Q10" s="26"/>
      <c r="R10" s="26"/>
      <c r="S10" s="26"/>
      <c r="T10" s="26"/>
      <c r="U10" s="26"/>
      <c r="V10" s="26"/>
      <c r="W10" s="26"/>
      <c r="X10" s="26"/>
    </row>
    <row r="11" ht="22" customHeight="1">
      <c r="A11" s="4"/>
      <c r="B11" s="2"/>
      <c r="C11" s="26" t="str">
        <v>Share-based compensation expense</v>
      </c>
      <c r="D11" s="26"/>
      <c r="E11" s="26"/>
      <c r="F11" s="26"/>
      <c r="G11" s="26"/>
      <c r="H11" s="26"/>
      <c r="I11" s="26"/>
      <c r="J11" s="26"/>
      <c r="K11" s="26"/>
      <c r="L11" s="26"/>
      <c r="M11" s="3"/>
      <c r="N11" s="26" t="str">
        <v>Share-based compensation expense: YTD</v>
      </c>
      <c r="O11" s="26"/>
      <c r="P11" s="26"/>
      <c r="Q11" s="26"/>
      <c r="R11" s="26"/>
      <c r="S11" s="26"/>
      <c r="T11" s="26"/>
      <c r="U11" s="26"/>
      <c r="V11" s="26"/>
      <c r="W11" s="26"/>
      <c r="X11" s="26"/>
    </row>
    <row r="12" ht="22" customHeight="1">
      <c r="A12" s="4"/>
      <c r="B12" s="2"/>
      <c r="C12" s="26" t="str">
        <v>Comprehensive income</v>
      </c>
      <c r="D12" s="26"/>
      <c r="E12" s="26"/>
      <c r="F12" s="26"/>
      <c r="G12" s="26"/>
      <c r="H12" s="26"/>
      <c r="I12" s="26"/>
      <c r="J12" s="26"/>
      <c r="K12" s="26"/>
      <c r="L12" s="26"/>
      <c r="M12" s="3"/>
      <c r="N12" s="26" t="str">
        <v>Comprehensive income: YTD</v>
      </c>
      <c r="O12" s="26"/>
      <c r="P12" s="26"/>
      <c r="Q12" s="26"/>
      <c r="R12" s="26"/>
      <c r="S12" s="26"/>
      <c r="T12" s="26"/>
      <c r="U12" s="26"/>
      <c r="V12" s="26"/>
      <c r="W12" s="26"/>
      <c r="X12" s="26"/>
    </row>
    <row r="13" ht="22" customHeight="1">
      <c r="A13" s="4"/>
      <c r="B13" s="2"/>
      <c r="C13" s="26" t="str">
        <v>Supplemental cash flow information</v>
      </c>
      <c r="D13" s="26"/>
      <c r="E13" s="26"/>
      <c r="F13" s="26"/>
      <c r="G13" s="26"/>
      <c r="H13" s="26"/>
      <c r="I13" s="26"/>
      <c r="J13" s="26"/>
      <c r="K13" s="26"/>
      <c r="L13" s="26"/>
      <c r="M13" s="3"/>
      <c r="N13" s="26" t="str">
        <v>Cash and restricted cash reconciliation</v>
      </c>
      <c r="O13" s="26"/>
      <c r="P13" s="26"/>
      <c r="Q13" s="26"/>
      <c r="R13" s="26"/>
      <c r="S13" s="26"/>
      <c r="T13" s="26"/>
      <c r="U13" s="26"/>
      <c r="V13" s="26"/>
      <c r="W13" s="26"/>
      <c r="X13" s="26"/>
    </row>
    <row r="14" ht="22" customHeight="1">
      <c r="A14" s="4"/>
      <c r="B14" s="2"/>
      <c r="C14" s="26" t="str">
        <v>Accounting policies and comparability</v>
      </c>
      <c r="D14" s="26"/>
      <c r="E14" s="26"/>
      <c r="F14" s="26"/>
      <c r="G14" s="26"/>
      <c r="H14" s="26"/>
      <c r="I14" s="26"/>
      <c r="J14" s="26"/>
      <c r="K14" s="26"/>
      <c r="L14" s="26"/>
      <c r="M14" s="3"/>
      <c r="N14" s="26" t="str">
        <v>Accumulated other comprehensive income components</v>
      </c>
      <c r="O14" s="26"/>
      <c r="P14" s="26"/>
      <c r="Q14" s="26"/>
      <c r="R14" s="26"/>
      <c r="S14" s="26"/>
      <c r="T14" s="26"/>
      <c r="U14" s="26"/>
      <c r="V14" s="26"/>
      <c r="W14" s="26"/>
      <c r="X14" s="26"/>
    </row>
    <row r="15" ht="22" customHeight="1">
      <c r="A15" s="4"/>
      <c r="B15" s="2"/>
      <c r="C15" s="3"/>
      <c r="D15" s="3"/>
      <c r="E15" s="3"/>
      <c r="F15" s="3"/>
      <c r="G15" s="3"/>
      <c r="H15" s="3"/>
      <c r="I15" s="3"/>
      <c r="J15" s="3"/>
      <c r="K15" s="3"/>
      <c r="L15" s="3"/>
      <c r="M15" s="3"/>
      <c r="N15" s="3"/>
      <c r="O15" s="3"/>
      <c r="P15" s="3"/>
      <c r="Q15" s="3"/>
      <c r="R15" s="3"/>
      <c r="S15" s="3"/>
      <c r="T15" s="3"/>
      <c r="U15" s="3"/>
      <c r="V15" s="3"/>
      <c r="W15" s="3"/>
      <c r="X15" s="3"/>
    </row>
    <row r="16" ht="22" customHeight="1">
      <c r="A16" s="4"/>
      <c r="B16" s="2"/>
      <c r="C16" s="3"/>
      <c r="D16" s="3"/>
      <c r="E16" s="3"/>
      <c r="F16" s="3"/>
      <c r="G16" s="3"/>
      <c r="H16" s="3"/>
      <c r="I16" s="3"/>
      <c r="J16" s="3"/>
      <c r="K16" s="3"/>
      <c r="L16" s="3"/>
      <c r="M16" s="3"/>
      <c r="N16" s="3"/>
      <c r="O16" s="3"/>
      <c r="P16" s="3"/>
      <c r="Q16" s="3"/>
      <c r="R16" s="3"/>
      <c r="S16" s="3"/>
      <c r="T16" s="3"/>
      <c r="U16" s="3"/>
      <c r="V16" s="3"/>
      <c r="W16" s="3"/>
      <c r="X16" s="3"/>
    </row>
    <row r="17" ht="22" customHeight="1">
      <c r="A17" s="4"/>
      <c r="B17" s="2"/>
      <c r="C17" s="3"/>
      <c r="D17" s="3"/>
      <c r="E17" s="3"/>
      <c r="F17" s="3"/>
      <c r="G17" s="3"/>
      <c r="H17" s="3"/>
      <c r="I17" s="3"/>
      <c r="J17" s="3"/>
      <c r="K17" s="3"/>
      <c r="L17" s="3"/>
      <c r="M17" s="3"/>
      <c r="N17" s="3"/>
      <c r="O17" s="3"/>
      <c r="P17" s="3"/>
      <c r="Q17" s="3"/>
      <c r="R17" s="3"/>
      <c r="S17" s="3"/>
      <c r="T17" s="3"/>
      <c r="U17" s="3"/>
      <c r="V17" s="3"/>
      <c r="W17" s="3"/>
      <c r="X17" s="3"/>
    </row>
    <row r="18" ht="22" customHeight="1">
      <c r="A18" s="29" t="str">
        <v>Accounts and notes receivable and credit losses</v>
      </c>
      <c r="B18" s="29"/>
      <c r="C18" s="32"/>
      <c r="D18" s="32"/>
      <c r="E18" s="32"/>
      <c r="F18" s="32"/>
      <c r="G18" s="32"/>
      <c r="H18" s="32"/>
      <c r="I18" s="32"/>
      <c r="J18" s="32"/>
      <c r="K18" s="32"/>
      <c r="L18" s="32"/>
      <c r="M18" s="32"/>
      <c r="N18" s="32"/>
      <c r="O18" s="32"/>
      <c r="P18" s="32"/>
      <c r="Q18" s="32"/>
      <c r="R18" s="32"/>
      <c r="S18" s="32"/>
      <c r="T18" s="32"/>
      <c r="U18" s="32"/>
      <c r="V18" s="32"/>
      <c r="W18" s="32"/>
      <c r="X18" s="32"/>
    </row>
    <row r="19" ht="22" customHeight="1">
      <c r="A19" s="4" t="str">
        <v>Trade receivables</v>
      </c>
      <c r="B19" s="2"/>
      <c r="C19" s="44" t="n">
        <v>5709</v>
      </c>
      <c r="D19" s="44" t="n">
        <v>5956</v>
      </c>
      <c r="E19" s="44" t="n">
        <v>6079</v>
      </c>
      <c r="F19" s="44" t="n">
        <v>6447</v>
      </c>
      <c r="G19" s="44" t="n">
        <v>6892</v>
      </c>
      <c r="H19" s="44" t="n">
        <v>7172</v>
      </c>
      <c r="I19" s="44" t="n">
        <v>8192</v>
      </c>
      <c r="J19" s="44" t="n">
        <v>8675</v>
      </c>
      <c r="K19" s="44" t="n">
        <v>8487</v>
      </c>
      <c r="L19" s="44" t="n">
        <v>9265</v>
      </c>
      <c r="M19" s="45"/>
      <c r="N19" s="44"/>
      <c r="O19" s="44"/>
      <c r="P19" s="44"/>
      <c r="Q19" s="44"/>
      <c r="R19" s="44"/>
      <c r="S19" s="44"/>
      <c r="T19" s="44"/>
      <c r="U19" s="44"/>
      <c r="V19" s="44"/>
      <c r="W19" s="44"/>
      <c r="X19" s="44"/>
    </row>
    <row r="20" ht="22" customHeight="1">
      <c r="A20" s="4" t="str">
        <v>Other receivables</v>
      </c>
      <c r="B20" s="2"/>
      <c r="C20" s="44" t="n">
        <v>1119</v>
      </c>
      <c r="D20" s="44" t="n">
        <v>1197</v>
      </c>
      <c r="E20" s="44" t="n">
        <v>1164</v>
      </c>
      <c r="F20" s="44" t="n">
        <v>1480</v>
      </c>
      <c r="G20" s="44" t="n">
        <v>1713</v>
      </c>
      <c r="H20" s="44" t="n">
        <v>1655</v>
      </c>
      <c r="I20" s="44" t="n">
        <v>2121</v>
      </c>
      <c r="J20" s="44" t="n">
        <v>2315</v>
      </c>
      <c r="K20" s="44" t="n">
        <v>2202</v>
      </c>
      <c r="L20" s="44" t="n">
        <v>2471</v>
      </c>
      <c r="M20" s="45"/>
      <c r="N20" s="44"/>
      <c r="O20" s="44"/>
      <c r="P20" s="44"/>
      <c r="Q20" s="44"/>
      <c r="R20" s="44"/>
      <c r="S20" s="44"/>
      <c r="T20" s="44"/>
      <c r="U20" s="44"/>
      <c r="V20" s="44"/>
      <c r="W20" s="44"/>
      <c r="X20" s="44"/>
    </row>
    <row r="21" ht="22" customHeight="1">
      <c r="A21" s="4" t="str">
        <v>Allowance, beginning of year</v>
      </c>
      <c r="B21" s="2"/>
      <c r="C21" s="44" t="n">
        <v>130</v>
      </c>
      <c r="D21" s="44" t="n">
        <v>134</v>
      </c>
      <c r="E21" s="44" t="n">
        <v>129</v>
      </c>
      <c r="F21" s="44" t="n">
        <v>101</v>
      </c>
      <c r="G21" s="44" t="n">
        <v>105</v>
      </c>
      <c r="H21" s="44" t="n">
        <v>201</v>
      </c>
      <c r="I21" s="44" t="n">
        <v>147</v>
      </c>
      <c r="J21" s="44" t="n">
        <v>150</v>
      </c>
      <c r="K21" s="44" t="n">
        <v>175</v>
      </c>
      <c r="L21" s="44" t="n">
        <v>356</v>
      </c>
      <c r="M21" s="45"/>
      <c r="N21" s="44"/>
      <c r="O21" s="44"/>
      <c r="P21" s="44"/>
      <c r="Q21" s="44"/>
      <c r="R21" s="44"/>
      <c r="S21" s="44"/>
      <c r="T21" s="44"/>
      <c r="U21" s="44"/>
      <c r="V21" s="44"/>
      <c r="W21" s="44"/>
      <c r="X21" s="44"/>
    </row>
    <row r="22" ht="22" customHeight="1">
      <c r="A22" s="4" t="str">
        <v>Net amounts charged to expense</v>
      </c>
      <c r="B22" s="2"/>
      <c r="C22" s="44" t="n">
        <v>37</v>
      </c>
      <c r="D22" s="44" t="n">
        <v>26</v>
      </c>
      <c r="E22" s="44" t="n">
        <v>16</v>
      </c>
      <c r="F22" s="44" t="n">
        <v>22</v>
      </c>
      <c r="G22" s="44" t="n">
        <v>79</v>
      </c>
      <c r="H22" s="44" t="n">
        <v>-19</v>
      </c>
      <c r="I22" s="44" t="n">
        <v>21</v>
      </c>
      <c r="J22" s="44" t="n">
        <v>55</v>
      </c>
      <c r="K22" s="44" t="n">
        <v>228</v>
      </c>
      <c r="L22" s="44" t="n">
        <v>61</v>
      </c>
      <c r="M22" s="45"/>
      <c r="N22" s="44"/>
      <c r="O22" s="44"/>
      <c r="P22" s="44"/>
      <c r="Q22" s="44"/>
      <c r="R22" s="44"/>
      <c r="S22" s="44"/>
      <c r="T22" s="44"/>
      <c r="U22" s="44"/>
      <c r="V22" s="44"/>
      <c r="W22" s="44"/>
      <c r="X22" s="44"/>
    </row>
    <row r="23" ht="22" customHeight="1">
      <c r="A23" s="4" t="str">
        <v>Deductions</v>
      </c>
      <c r="B23" s="2"/>
      <c r="C23" s="44" t="n">
        <v>-30</v>
      </c>
      <c r="D23" s="44" t="n">
        <v>-35</v>
      </c>
      <c r="E23" s="44" t="n">
        <v>-33</v>
      </c>
      <c r="F23" s="44" t="n">
        <v>-30</v>
      </c>
      <c r="G23" s="44" t="n">
        <v>-32</v>
      </c>
      <c r="H23" s="44" t="n">
        <v>-25</v>
      </c>
      <c r="I23" s="44" t="n">
        <v>-12</v>
      </c>
      <c r="J23" s="44" t="n">
        <v>-26</v>
      </c>
      <c r="K23" s="44" t="n">
        <v>-36</v>
      </c>
      <c r="L23" s="44" t="n">
        <v>-55</v>
      </c>
      <c r="M23" s="45"/>
      <c r="N23" s="44"/>
      <c r="O23" s="44"/>
      <c r="P23" s="44"/>
      <c r="Q23" s="44"/>
      <c r="R23" s="44"/>
      <c r="S23" s="44"/>
      <c r="T23" s="44"/>
      <c r="U23" s="44"/>
      <c r="V23" s="44"/>
      <c r="W23" s="44"/>
      <c r="X23" s="44"/>
    </row>
    <row r="24" ht="22" customHeight="1">
      <c r="A24" s="4" t="str">
        <v>Other</v>
      </c>
      <c r="B24" s="2"/>
      <c r="C24" s="44" t="n">
        <v>-3</v>
      </c>
      <c r="D24" s="44" t="n">
        <v>4</v>
      </c>
      <c r="E24" s="44" t="n">
        <v>-11</v>
      </c>
      <c r="F24" s="44" t="n">
        <v>12</v>
      </c>
      <c r="G24" s="44" t="n">
        <v>5</v>
      </c>
      <c r="H24" s="44" t="n">
        <v>-10</v>
      </c>
      <c r="I24" s="44" t="n">
        <v>-6</v>
      </c>
      <c r="J24" s="44" t="n">
        <v>-4</v>
      </c>
      <c r="K24" s="44"/>
      <c r="L24" s="44"/>
      <c r="M24" s="45"/>
      <c r="N24" s="44"/>
      <c r="O24" s="44"/>
      <c r="P24" s="44"/>
      <c r="Q24" s="44"/>
      <c r="R24" s="44"/>
      <c r="S24" s="44"/>
      <c r="T24" s="44"/>
      <c r="U24" s="44"/>
      <c r="V24" s="44"/>
      <c r="W24" s="44"/>
      <c r="X24" s="44"/>
    </row>
    <row r="25" ht="22" customHeight="1">
      <c r="A25" s="4" t="str">
        <v>Allowance, end of year</v>
      </c>
      <c r="B25" s="2"/>
      <c r="C25" s="44" t="n">
        <v>134</v>
      </c>
      <c r="D25" s="44" t="n">
        <v>129</v>
      </c>
      <c r="E25" s="44" t="n">
        <v>101</v>
      </c>
      <c r="F25" s="44" t="n">
        <v>105</v>
      </c>
      <c r="G25" s="44" t="n">
        <v>201</v>
      </c>
      <c r="H25" s="44" t="n">
        <v>147</v>
      </c>
      <c r="I25" s="44" t="n">
        <v>150</v>
      </c>
      <c r="J25" s="44" t="n">
        <v>175</v>
      </c>
      <c r="K25" s="44" t="n">
        <v>356</v>
      </c>
      <c r="L25" s="44" t="n">
        <v>230</v>
      </c>
      <c r="M25" s="45"/>
      <c r="N25" s="44"/>
      <c r="O25" s="44"/>
      <c r="P25" s="44"/>
      <c r="Q25" s="44"/>
      <c r="R25" s="44"/>
      <c r="S25" s="44"/>
      <c r="T25" s="44"/>
      <c r="U25" s="44"/>
      <c r="V25" s="44"/>
      <c r="W25" s="44"/>
      <c r="X25" s="44"/>
    </row>
    <row r="26" ht="22" customHeight="1">
      <c r="A26" s="4" t="str">
        <v>Net receivables</v>
      </c>
      <c r="B26" s="2"/>
      <c r="C26" s="44" t="n">
        <v>6694</v>
      </c>
      <c r="D26" s="44" t="n">
        <v>7024</v>
      </c>
      <c r="E26" s="44" t="n">
        <v>7142</v>
      </c>
      <c r="F26" s="44" t="n">
        <v>7822</v>
      </c>
      <c r="G26" s="44" t="n">
        <v>8404</v>
      </c>
      <c r="H26" s="44" t="n">
        <v>8680</v>
      </c>
      <c r="I26" s="44" t="n">
        <v>10163</v>
      </c>
      <c r="J26" s="44"/>
      <c r="K26" s="44"/>
      <c r="L26" s="44"/>
      <c r="M26" s="45"/>
      <c r="N26" s="44"/>
      <c r="O26" s="44"/>
      <c r="P26" s="44"/>
      <c r="Q26" s="44"/>
      <c r="R26" s="44"/>
      <c r="S26" s="44"/>
      <c r="T26" s="44"/>
      <c r="U26" s="44"/>
      <c r="V26" s="44"/>
      <c r="W26" s="44"/>
      <c r="X26" s="44"/>
    </row>
    <row r="27" ht="22" customHeight="1">
      <c r="A27" s="4" t="str">
        <v>Accounts and notes receivable, net</v>
      </c>
      <c r="B27" s="2"/>
      <c r="C27" s="44"/>
      <c r="D27" s="44"/>
      <c r="E27" s="44"/>
      <c r="F27" s="44"/>
      <c r="G27" s="44"/>
      <c r="H27" s="44"/>
      <c r="I27" s="44" t="n">
        <v>10163</v>
      </c>
      <c r="J27" s="44" t="n">
        <v>10815</v>
      </c>
      <c r="K27" s="44" t="n">
        <v>10333</v>
      </c>
      <c r="L27" s="44" t="n">
        <v>11506</v>
      </c>
      <c r="M27" s="45"/>
      <c r="N27" s="44"/>
      <c r="O27" s="44"/>
      <c r="P27" s="44"/>
      <c r="Q27" s="44"/>
      <c r="R27" s="44"/>
      <c r="S27" s="44"/>
      <c r="T27" s="44"/>
      <c r="U27" s="44"/>
      <c r="V27" s="44"/>
      <c r="W27" s="44"/>
      <c r="X27" s="44"/>
    </row>
    <row r="28" ht="22" customHeight="1">
      <c r="A28" s="4" t="str">
        <v>Translation and other</v>
      </c>
      <c r="B28" s="2"/>
      <c r="C28" s="44"/>
      <c r="D28" s="44"/>
      <c r="E28" s="44"/>
      <c r="F28" s="44"/>
      <c r="G28" s="44"/>
      <c r="H28" s="44"/>
      <c r="I28" s="44" t="n">
        <v>-6</v>
      </c>
      <c r="J28" s="44" t="n">
        <v>-4</v>
      </c>
      <c r="K28" s="44" t="n">
        <v>-11</v>
      </c>
      <c r="L28" s="44" t="n">
        <v>-132</v>
      </c>
      <c r="M28" s="45"/>
      <c r="N28" s="44"/>
      <c r="O28" s="44"/>
      <c r="P28" s="44"/>
      <c r="Q28" s="44"/>
      <c r="R28" s="44"/>
      <c r="S28" s="44"/>
      <c r="T28" s="44"/>
      <c r="U28" s="44"/>
      <c r="V28" s="44"/>
      <c r="W28" s="44"/>
      <c r="X28" s="44"/>
    </row>
    <row r="29" ht="22" customHeight="1">
      <c r="A29" s="4"/>
      <c r="B29" s="2"/>
      <c r="C29" s="3"/>
      <c r="D29" s="3"/>
      <c r="E29" s="3"/>
      <c r="F29" s="3"/>
      <c r="G29" s="3"/>
      <c r="H29" s="3"/>
      <c r="I29" s="3"/>
      <c r="J29" s="3"/>
      <c r="K29" s="3"/>
      <c r="L29" s="3"/>
      <c r="M29" s="3"/>
      <c r="N29" s="3"/>
      <c r="O29" s="3"/>
      <c r="P29" s="3"/>
      <c r="Q29" s="3"/>
      <c r="R29" s="3"/>
      <c r="S29" s="3"/>
      <c r="T29" s="3"/>
      <c r="U29" s="3"/>
      <c r="V29" s="3"/>
      <c r="W29" s="3"/>
      <c r="X29" s="3"/>
    </row>
    <row r="30" ht="22" customHeight="1">
      <c r="A30" s="29" t="str">
        <v>Inventories</v>
      </c>
      <c r="B30" s="29"/>
      <c r="C30" s="32"/>
      <c r="D30" s="32"/>
      <c r="E30" s="32"/>
      <c r="F30" s="32"/>
      <c r="G30" s="32"/>
      <c r="H30" s="32"/>
      <c r="I30" s="32"/>
      <c r="J30" s="32"/>
      <c r="K30" s="32"/>
      <c r="L30" s="32"/>
      <c r="M30" s="32"/>
      <c r="N30" s="32"/>
      <c r="O30" s="32"/>
      <c r="P30" s="32"/>
      <c r="Q30" s="32"/>
      <c r="R30" s="32"/>
      <c r="S30" s="32"/>
      <c r="T30" s="32"/>
      <c r="U30" s="32"/>
      <c r="V30" s="32"/>
      <c r="W30" s="32"/>
      <c r="X30" s="32"/>
    </row>
    <row r="31" ht="22" customHeight="1">
      <c r="A31" s="4" t="str">
        <v>Raw materials and packaging</v>
      </c>
      <c r="B31" s="2"/>
      <c r="C31" s="44" t="n">
        <v>1315</v>
      </c>
      <c r="D31" s="44" t="n">
        <v>1344</v>
      </c>
      <c r="E31" s="44" t="n">
        <v>1312</v>
      </c>
      <c r="F31" s="44" t="n">
        <v>1395</v>
      </c>
      <c r="G31" s="44" t="n">
        <v>1720</v>
      </c>
      <c r="H31" s="44" t="n">
        <v>1898</v>
      </c>
      <c r="I31" s="44" t="n">
        <v>2366</v>
      </c>
      <c r="J31" s="44"/>
      <c r="K31" s="44"/>
      <c r="L31" s="44"/>
      <c r="M31" s="45"/>
      <c r="N31" s="44"/>
      <c r="O31" s="44"/>
      <c r="P31" s="44"/>
      <c r="Q31" s="44"/>
      <c r="R31" s="44"/>
      <c r="S31" s="44"/>
      <c r="T31" s="44"/>
      <c r="U31" s="44"/>
      <c r="V31" s="44"/>
      <c r="W31" s="44"/>
      <c r="X31" s="44"/>
    </row>
    <row r="32" ht="22" customHeight="1">
      <c r="A32" s="4" t="str">
        <v>Work-in-process</v>
      </c>
      <c r="B32" s="2"/>
      <c r="C32" s="44" t="n">
        <v>150</v>
      </c>
      <c r="D32" s="44" t="n">
        <v>167</v>
      </c>
      <c r="E32" s="44" t="n">
        <v>178</v>
      </c>
      <c r="F32" s="44" t="n">
        <v>200</v>
      </c>
      <c r="G32" s="44" t="n">
        <v>205</v>
      </c>
      <c r="H32" s="44" t="n">
        <v>151</v>
      </c>
      <c r="I32" s="44" t="n">
        <v>114</v>
      </c>
      <c r="J32" s="44"/>
      <c r="K32" s="44"/>
      <c r="L32" s="44"/>
      <c r="M32" s="45"/>
      <c r="N32" s="44"/>
      <c r="O32" s="44"/>
      <c r="P32" s="44"/>
      <c r="Q32" s="44"/>
      <c r="R32" s="44"/>
      <c r="S32" s="44"/>
      <c r="T32" s="44"/>
      <c r="U32" s="44"/>
      <c r="V32" s="44"/>
      <c r="W32" s="44"/>
      <c r="X32" s="44"/>
    </row>
    <row r="33" ht="22" customHeight="1">
      <c r="A33" s="4" t="str">
        <v>Finished goods</v>
      </c>
      <c r="B33" s="2"/>
      <c r="C33" s="44" t="n">
        <v>1258</v>
      </c>
      <c r="D33" s="44" t="n">
        <v>1436</v>
      </c>
      <c r="E33" s="44" t="n">
        <v>1638</v>
      </c>
      <c r="F33" s="44" t="n">
        <v>1743</v>
      </c>
      <c r="G33" s="44" t="n">
        <v>2247</v>
      </c>
      <c r="H33" s="44" t="n">
        <v>2298</v>
      </c>
      <c r="I33" s="44" t="n">
        <v>2742</v>
      </c>
      <c r="J33" s="44"/>
      <c r="K33" s="44"/>
      <c r="L33" s="44"/>
      <c r="M33" s="45"/>
      <c r="N33" s="44"/>
      <c r="O33" s="44"/>
      <c r="P33" s="44"/>
      <c r="Q33" s="44"/>
      <c r="R33" s="44"/>
      <c r="S33" s="44"/>
      <c r="T33" s="44"/>
      <c r="U33" s="44"/>
      <c r="V33" s="44"/>
      <c r="W33" s="44"/>
      <c r="X33" s="44"/>
    </row>
    <row r="34" ht="22" customHeight="1">
      <c r="A34" s="4"/>
      <c r="B34" s="2"/>
      <c r="C34" s="3"/>
      <c r="D34" s="3"/>
      <c r="E34" s="3"/>
      <c r="F34" s="3"/>
      <c r="G34" s="3"/>
      <c r="H34" s="3"/>
      <c r="I34" s="3"/>
      <c r="J34" s="3"/>
      <c r="K34" s="3"/>
      <c r="L34" s="3"/>
      <c r="M34" s="3"/>
      <c r="N34" s="3"/>
      <c r="O34" s="3"/>
      <c r="P34" s="3"/>
      <c r="Q34" s="3"/>
      <c r="R34" s="3"/>
      <c r="S34" s="3"/>
      <c r="T34" s="3"/>
      <c r="U34" s="3"/>
      <c r="V34" s="3"/>
      <c r="W34" s="3"/>
      <c r="X34" s="3"/>
    </row>
    <row r="35" ht="22" customHeight="1">
      <c r="A35" s="29" t="str">
        <v>Accounts payable and other current liabilities</v>
      </c>
      <c r="B35" s="29"/>
      <c r="C35" s="32"/>
      <c r="D35" s="32"/>
      <c r="E35" s="32"/>
      <c r="F35" s="32"/>
      <c r="G35" s="32"/>
      <c r="H35" s="32"/>
      <c r="I35" s="32"/>
      <c r="J35" s="32"/>
      <c r="K35" s="32"/>
      <c r="L35" s="32"/>
      <c r="M35" s="32"/>
      <c r="N35" s="32"/>
      <c r="O35" s="32"/>
      <c r="P35" s="32"/>
      <c r="Q35" s="32"/>
      <c r="R35" s="32"/>
      <c r="S35" s="32"/>
      <c r="T35" s="32"/>
      <c r="U35" s="32"/>
      <c r="V35" s="32"/>
      <c r="W35" s="32"/>
      <c r="X35" s="32"/>
    </row>
    <row r="36" ht="22" customHeight="1">
      <c r="A36" s="4" t="str">
        <v>Accounts payable</v>
      </c>
      <c r="B36" s="2"/>
      <c r="C36" s="44" t="n">
        <v>6158</v>
      </c>
      <c r="D36" s="44" t="n">
        <v>6727</v>
      </c>
      <c r="E36" s="44" t="n">
        <v>7213</v>
      </c>
      <c r="F36" s="44" t="n">
        <v>8013</v>
      </c>
      <c r="G36" s="44" t="n">
        <v>8853</v>
      </c>
      <c r="H36" s="44" t="n">
        <v>9834</v>
      </c>
      <c r="I36" s="44" t="n">
        <v>10732</v>
      </c>
      <c r="J36" s="44" t="n">
        <v>11635</v>
      </c>
      <c r="K36" s="44" t="n">
        <v>10997</v>
      </c>
      <c r="L36" s="44" t="n">
        <v>11704</v>
      </c>
      <c r="M36" s="45"/>
      <c r="N36" s="44"/>
      <c r="O36" s="44"/>
      <c r="P36" s="44"/>
      <c r="Q36" s="44"/>
      <c r="R36" s="44"/>
      <c r="S36" s="44"/>
      <c r="T36" s="44"/>
      <c r="U36" s="44"/>
      <c r="V36" s="44"/>
      <c r="W36" s="44"/>
      <c r="X36" s="44"/>
    </row>
    <row r="37" ht="22" customHeight="1">
      <c r="A37" s="4" t="str">
        <v>Accrued marketplace spending</v>
      </c>
      <c r="B37" s="2"/>
      <c r="C37" s="44" t="n">
        <v>2444</v>
      </c>
      <c r="D37" s="44" t="n">
        <v>2390</v>
      </c>
      <c r="E37" s="44" t="n">
        <v>2541</v>
      </c>
      <c r="F37" s="44" t="n">
        <v>2765</v>
      </c>
      <c r="G37" s="44" t="n">
        <v>2935</v>
      </c>
      <c r="H37" s="44" t="n">
        <v>3087</v>
      </c>
      <c r="I37" s="44" t="n">
        <v>3637</v>
      </c>
      <c r="J37" s="44" t="n">
        <v>3523</v>
      </c>
      <c r="K37" s="44" t="n">
        <v>3458</v>
      </c>
      <c r="L37" s="44" t="n">
        <v>3512</v>
      </c>
      <c r="M37" s="45"/>
      <c r="N37" s="44"/>
      <c r="O37" s="44"/>
      <c r="P37" s="44"/>
      <c r="Q37" s="44"/>
      <c r="R37" s="44"/>
      <c r="S37" s="44"/>
      <c r="T37" s="44"/>
      <c r="U37" s="44"/>
      <c r="V37" s="44"/>
      <c r="W37" s="44"/>
      <c r="X37" s="44"/>
    </row>
    <row r="38" ht="22" customHeight="1">
      <c r="A38" s="4" t="str">
        <v>Accrued compensation and benefits</v>
      </c>
      <c r="B38" s="2"/>
      <c r="C38" s="44" t="n">
        <v>1770</v>
      </c>
      <c r="D38" s="44" t="n">
        <v>1785</v>
      </c>
      <c r="E38" s="44" t="n">
        <v>1755</v>
      </c>
      <c r="F38" s="44" t="n">
        <v>1835</v>
      </c>
      <c r="G38" s="44" t="n">
        <v>2059</v>
      </c>
      <c r="H38" s="44" t="n">
        <v>2324</v>
      </c>
      <c r="I38" s="44" t="n">
        <v>2519</v>
      </c>
      <c r="J38" s="44" t="n">
        <v>2687</v>
      </c>
      <c r="K38" s="44" t="n">
        <v>2256</v>
      </c>
      <c r="L38" s="44" t="n">
        <v>2230</v>
      </c>
      <c r="M38" s="45"/>
      <c r="N38" s="44"/>
      <c r="O38" s="44"/>
      <c r="P38" s="44"/>
      <c r="Q38" s="44"/>
      <c r="R38" s="44"/>
      <c r="S38" s="44"/>
      <c r="T38" s="44"/>
      <c r="U38" s="44"/>
      <c r="V38" s="44"/>
      <c r="W38" s="44"/>
      <c r="X38" s="44"/>
    </row>
    <row r="39" ht="22" customHeight="1">
      <c r="A39" s="4" t="str">
        <v>Dividends payable</v>
      </c>
      <c r="B39" s="2"/>
      <c r="C39" s="44" t="n">
        <v>1097</v>
      </c>
      <c r="D39" s="44" t="n">
        <v>1161</v>
      </c>
      <c r="E39" s="44" t="n">
        <v>1329</v>
      </c>
      <c r="F39" s="44" t="n">
        <v>1351</v>
      </c>
      <c r="G39" s="44" t="n">
        <v>1430</v>
      </c>
      <c r="H39" s="44" t="n">
        <v>1508</v>
      </c>
      <c r="I39" s="44" t="n">
        <v>1610</v>
      </c>
      <c r="J39" s="44" t="n">
        <v>1767</v>
      </c>
      <c r="K39" s="44" t="n">
        <v>1885</v>
      </c>
      <c r="L39" s="44" t="n">
        <v>1967</v>
      </c>
      <c r="M39" s="45"/>
      <c r="N39" s="44"/>
      <c r="O39" s="44"/>
      <c r="P39" s="44"/>
      <c r="Q39" s="44"/>
      <c r="R39" s="44"/>
      <c r="S39" s="44"/>
      <c r="T39" s="44"/>
      <c r="U39" s="44"/>
      <c r="V39" s="44"/>
      <c r="W39" s="44"/>
      <c r="X39" s="44"/>
    </row>
    <row r="40" ht="22" customHeight="1">
      <c r="A40" s="4" t="str">
        <v>Other current liabilities</v>
      </c>
      <c r="B40" s="2"/>
      <c r="C40" s="44" t="n">
        <v>2774</v>
      </c>
      <c r="D40" s="44" t="n">
        <v>2954</v>
      </c>
      <c r="E40" s="44" t="n">
        <v>3277</v>
      </c>
      <c r="F40" s="44" t="n">
        <v>3135</v>
      </c>
      <c r="G40" s="44" t="n">
        <v>3855</v>
      </c>
      <c r="H40" s="44" t="n">
        <v>3960</v>
      </c>
      <c r="I40" s="44" t="n">
        <v>4390</v>
      </c>
      <c r="J40" s="44" t="n">
        <v>4969</v>
      </c>
      <c r="K40" s="44" t="n">
        <v>5216</v>
      </c>
      <c r="L40" s="44" t="n">
        <v>5771</v>
      </c>
      <c r="M40" s="45"/>
      <c r="N40" s="44"/>
      <c r="O40" s="44"/>
      <c r="P40" s="44"/>
      <c r="Q40" s="44"/>
      <c r="R40" s="44"/>
      <c r="S40" s="44"/>
      <c r="T40" s="44"/>
      <c r="U40" s="44"/>
      <c r="V40" s="44"/>
      <c r="W40" s="44"/>
      <c r="X40" s="44"/>
    </row>
    <row r="41" ht="22" customHeight="1">
      <c r="A41" s="4" t="str">
        <v>SodaStream consideration payable</v>
      </c>
      <c r="B41" s="2"/>
      <c r="C41" s="44"/>
      <c r="D41" s="44" t="n">
        <v>0</v>
      </c>
      <c r="E41" s="44" t="n">
        <v>1997</v>
      </c>
      <c r="F41" s="44" t="n">
        <v>58</v>
      </c>
      <c r="G41" s="44"/>
      <c r="H41" s="44"/>
      <c r="I41" s="44"/>
      <c r="J41" s="44"/>
      <c r="K41" s="44"/>
      <c r="L41" s="44"/>
      <c r="M41" s="45"/>
      <c r="N41" s="44"/>
      <c r="O41" s="44"/>
      <c r="P41" s="44"/>
      <c r="Q41" s="44"/>
      <c r="R41" s="44"/>
      <c r="S41" s="44"/>
      <c r="T41" s="44"/>
      <c r="U41" s="44"/>
      <c r="V41" s="44"/>
      <c r="W41" s="44"/>
      <c r="X41" s="44"/>
    </row>
    <row r="42" ht="22" customHeight="1">
      <c r="A42" s="4" t="str">
        <v>Current lease liabilities</v>
      </c>
      <c r="B42" s="2"/>
      <c r="C42" s="44"/>
      <c r="D42" s="44"/>
      <c r="E42" s="44" t="n">
        <v>0</v>
      </c>
      <c r="F42" s="44" t="n">
        <v>442</v>
      </c>
      <c r="G42" s="44" t="n">
        <v>460</v>
      </c>
      <c r="H42" s="44" t="n">
        <v>446</v>
      </c>
      <c r="I42" s="44" t="n">
        <v>483</v>
      </c>
      <c r="J42" s="44" t="n">
        <v>556</v>
      </c>
      <c r="K42" s="44" t="n">
        <v>642</v>
      </c>
      <c r="L42" s="44" t="n">
        <v>719</v>
      </c>
      <c r="M42" s="45"/>
      <c r="N42" s="44"/>
      <c r="O42" s="44"/>
      <c r="P42" s="44"/>
      <c r="Q42" s="44"/>
      <c r="R42" s="44"/>
      <c r="S42" s="44"/>
      <c r="T42" s="44"/>
      <c r="U42" s="44"/>
      <c r="V42" s="44"/>
      <c r="W42" s="44"/>
      <c r="X42" s="44"/>
    </row>
    <row r="43" ht="22" customHeight="1">
      <c r="A43" s="4"/>
      <c r="B43" s="2"/>
      <c r="C43" s="3"/>
      <c r="D43" s="3"/>
      <c r="E43" s="3"/>
      <c r="F43" s="3"/>
      <c r="G43" s="3"/>
      <c r="H43" s="3"/>
      <c r="I43" s="3"/>
      <c r="J43" s="3"/>
      <c r="K43" s="3"/>
      <c r="L43" s="3"/>
      <c r="M43" s="3"/>
      <c r="N43" s="3"/>
      <c r="O43" s="3"/>
      <c r="P43" s="3"/>
      <c r="Q43" s="3"/>
      <c r="R43" s="3"/>
      <c r="S43" s="3"/>
      <c r="T43" s="3"/>
      <c r="U43" s="3"/>
      <c r="V43" s="3"/>
      <c r="W43" s="3"/>
      <c r="X43" s="3"/>
    </row>
    <row r="44" ht="22" customHeight="1">
      <c r="A44" s="29" t="str">
        <v>Other assets and investments</v>
      </c>
      <c r="B44" s="29"/>
      <c r="C44" s="32"/>
      <c r="D44" s="32"/>
      <c r="E44" s="32"/>
      <c r="F44" s="32"/>
      <c r="G44" s="32"/>
      <c r="H44" s="32"/>
      <c r="I44" s="32"/>
      <c r="J44" s="32"/>
      <c r="K44" s="32"/>
      <c r="L44" s="32"/>
      <c r="M44" s="32"/>
      <c r="N44" s="32"/>
      <c r="O44" s="32"/>
      <c r="P44" s="32"/>
      <c r="Q44" s="32"/>
      <c r="R44" s="32"/>
      <c r="S44" s="32"/>
      <c r="T44" s="32"/>
      <c r="U44" s="32"/>
      <c r="V44" s="32"/>
      <c r="W44" s="32"/>
      <c r="X44" s="32"/>
    </row>
    <row r="45" ht="22" customHeight="1">
      <c r="A45" s="4" t="str">
        <v>Noncurrent notes and accounts receivable</v>
      </c>
      <c r="B45" s="2"/>
      <c r="C45" s="44" t="n">
        <v>105</v>
      </c>
      <c r="D45" s="44" t="n">
        <v>59</v>
      </c>
      <c r="E45" s="44" t="n">
        <v>86</v>
      </c>
      <c r="F45" s="44" t="n">
        <v>85</v>
      </c>
      <c r="G45" s="44" t="n">
        <v>109</v>
      </c>
      <c r="H45" s="44" t="n">
        <v>111</v>
      </c>
      <c r="I45" s="44" t="n">
        <v>202</v>
      </c>
      <c r="J45" s="44" t="n">
        <v>200</v>
      </c>
      <c r="K45" s="44" t="n">
        <v>111</v>
      </c>
      <c r="L45" s="44" t="n">
        <v>136</v>
      </c>
      <c r="M45" s="45"/>
      <c r="N45" s="44"/>
      <c r="O45" s="44"/>
      <c r="P45" s="44"/>
      <c r="Q45" s="44"/>
      <c r="R45" s="44"/>
      <c r="S45" s="44"/>
      <c r="T45" s="44"/>
      <c r="U45" s="44"/>
      <c r="V45" s="44"/>
      <c r="W45" s="44"/>
      <c r="X45" s="44"/>
    </row>
    <row r="46" ht="22" customHeight="1">
      <c r="A46" s="4" t="str">
        <v>Deferred marketplace spending</v>
      </c>
      <c r="B46" s="2"/>
      <c r="C46" s="44" t="n">
        <v>140</v>
      </c>
      <c r="D46" s="44" t="n">
        <v>134</v>
      </c>
      <c r="E46" s="44" t="n">
        <v>112</v>
      </c>
      <c r="F46" s="44" t="n">
        <v>147</v>
      </c>
      <c r="G46" s="44" t="n">
        <v>130</v>
      </c>
      <c r="H46" s="44" t="n">
        <v>119</v>
      </c>
      <c r="I46" s="44" t="n">
        <v>123</v>
      </c>
      <c r="J46" s="44" t="n">
        <v>103</v>
      </c>
      <c r="K46" s="44" t="n">
        <v>100</v>
      </c>
      <c r="L46" s="44" t="n">
        <v>205</v>
      </c>
      <c r="M46" s="45"/>
      <c r="N46" s="44"/>
      <c r="O46" s="44"/>
      <c r="P46" s="44"/>
      <c r="Q46" s="44"/>
      <c r="R46" s="44"/>
      <c r="S46" s="44"/>
      <c r="T46" s="44"/>
      <c r="U46" s="44"/>
      <c r="V46" s="44"/>
      <c r="W46" s="44"/>
      <c r="X46" s="44"/>
    </row>
    <row r="47" ht="22" customHeight="1">
      <c r="A47" s="4" t="str">
        <v>Pension plans</v>
      </c>
      <c r="B47" s="2"/>
      <c r="C47" s="44" t="n">
        <v>53</v>
      </c>
      <c r="D47" s="44" t="n">
        <v>374</v>
      </c>
      <c r="E47" s="44" t="n">
        <v>269</v>
      </c>
      <c r="F47" s="44" t="n">
        <v>846</v>
      </c>
      <c r="G47" s="44" t="n">
        <v>910</v>
      </c>
      <c r="H47" s="44" t="n">
        <v>1260</v>
      </c>
      <c r="I47" s="44" t="n">
        <v>948</v>
      </c>
      <c r="J47" s="44" t="n">
        <v>1057</v>
      </c>
      <c r="K47" s="44" t="n">
        <v>1190</v>
      </c>
      <c r="L47" s="44" t="n">
        <v>1449</v>
      </c>
      <c r="M47" s="45"/>
      <c r="N47" s="44"/>
      <c r="O47" s="44"/>
      <c r="P47" s="44"/>
      <c r="Q47" s="44"/>
      <c r="R47" s="44"/>
      <c r="S47" s="44"/>
      <c r="T47" s="44"/>
      <c r="U47" s="44"/>
      <c r="V47" s="44"/>
      <c r="W47" s="44"/>
      <c r="X47" s="44"/>
    </row>
    <row r="48" ht="22" customHeight="1">
      <c r="A48" s="4" t="str">
        <v>Other</v>
      </c>
      <c r="B48" s="2"/>
      <c r="C48" s="44" t="n">
        <v>338</v>
      </c>
      <c r="D48" s="44" t="n">
        <v>346</v>
      </c>
      <c r="E48" s="44" t="n">
        <v>293</v>
      </c>
      <c r="F48" s="44" t="n">
        <v>385</v>
      </c>
      <c r="G48" s="44" t="n">
        <v>493</v>
      </c>
      <c r="H48" s="44" t="n">
        <v>694</v>
      </c>
      <c r="I48" s="44" t="n">
        <v>833</v>
      </c>
      <c r="J48" s="44" t="n">
        <v>780</v>
      </c>
      <c r="K48" s="44" t="n">
        <v>821</v>
      </c>
      <c r="L48" s="44" t="n">
        <v>923</v>
      </c>
      <c r="M48" s="45"/>
      <c r="N48" s="44"/>
      <c r="O48" s="44"/>
      <c r="P48" s="44"/>
      <c r="Q48" s="44"/>
      <c r="R48" s="44"/>
      <c r="S48" s="44"/>
      <c r="T48" s="44"/>
      <c r="U48" s="44"/>
      <c r="V48" s="44"/>
      <c r="W48" s="44"/>
      <c r="X48" s="44"/>
    </row>
    <row r="49" ht="22" customHeight="1">
      <c r="A49" s="4" t="str">
        <v>Right-of-use assets</v>
      </c>
      <c r="B49" s="2"/>
      <c r="C49" s="44"/>
      <c r="D49" s="44"/>
      <c r="E49" s="44" t="n">
        <v>0</v>
      </c>
      <c r="F49" s="44" t="n">
        <v>1548</v>
      </c>
      <c r="G49" s="44" t="n">
        <v>1670</v>
      </c>
      <c r="H49" s="44" t="n">
        <v>2020</v>
      </c>
      <c r="I49" s="44" t="n">
        <v>2373</v>
      </c>
      <c r="J49" s="44" t="n">
        <v>2905</v>
      </c>
      <c r="K49" s="44" t="n">
        <v>3383</v>
      </c>
      <c r="L49" s="44" t="n">
        <v>3745</v>
      </c>
      <c r="M49" s="45"/>
      <c r="N49" s="44"/>
      <c r="O49" s="44"/>
      <c r="P49" s="44"/>
      <c r="Q49" s="44"/>
      <c r="R49" s="44"/>
      <c r="S49" s="44"/>
      <c r="T49" s="44"/>
      <c r="U49" s="44"/>
      <c r="V49" s="44"/>
      <c r="W49" s="44"/>
      <c r="X49" s="44"/>
    </row>
    <row r="50" ht="22" customHeight="1">
      <c r="A50" s="4" t="str">
        <v>Other investments</v>
      </c>
      <c r="B50" s="2"/>
      <c r="C50" s="44"/>
      <c r="D50" s="44"/>
      <c r="E50" s="44"/>
      <c r="F50" s="44"/>
      <c r="G50" s="44"/>
      <c r="H50" s="44" t="n">
        <v>277</v>
      </c>
      <c r="I50" s="44" t="n">
        <v>813</v>
      </c>
      <c r="J50" s="44" t="n">
        <v>1616</v>
      </c>
      <c r="K50" s="44" t="n">
        <v>1346</v>
      </c>
      <c r="L50" s="44" t="n">
        <v>2526</v>
      </c>
      <c r="M50" s="45"/>
      <c r="N50" s="44"/>
      <c r="O50" s="44"/>
      <c r="P50" s="44"/>
      <c r="Q50" s="44"/>
      <c r="R50" s="44"/>
      <c r="S50" s="44"/>
      <c r="T50" s="44"/>
      <c r="U50" s="44"/>
      <c r="V50" s="44"/>
      <c r="W50" s="44"/>
      <c r="X50" s="44"/>
    </row>
    <row r="51" ht="22" customHeight="1">
      <c r="A51" s="4"/>
      <c r="B51" s="2"/>
      <c r="C51" s="3"/>
      <c r="D51" s="3"/>
      <c r="E51" s="3"/>
      <c r="F51" s="3"/>
      <c r="G51" s="3"/>
      <c r="H51" s="3"/>
      <c r="I51" s="3"/>
      <c r="J51" s="3"/>
      <c r="K51" s="3"/>
      <c r="L51" s="3"/>
      <c r="M51" s="3"/>
      <c r="N51" s="3"/>
      <c r="O51" s="3"/>
      <c r="P51" s="3"/>
      <c r="Q51" s="3"/>
      <c r="R51" s="3"/>
      <c r="S51" s="3"/>
      <c r="T51" s="3"/>
      <c r="U51" s="3"/>
      <c r="V51" s="3"/>
      <c r="W51" s="3"/>
      <c r="X51" s="3"/>
    </row>
    <row r="52" ht="22" customHeight="1">
      <c r="A52" s="29" t="str">
        <v>Property, plant and equipment components</v>
      </c>
      <c r="B52" s="29"/>
      <c r="C52" s="32"/>
      <c r="D52" s="32"/>
      <c r="E52" s="32"/>
      <c r="F52" s="32"/>
      <c r="G52" s="32"/>
      <c r="H52" s="32"/>
      <c r="I52" s="32"/>
      <c r="J52" s="32"/>
      <c r="K52" s="32"/>
      <c r="L52" s="32"/>
      <c r="M52" s="32"/>
      <c r="N52" s="32"/>
      <c r="O52" s="32"/>
      <c r="P52" s="32"/>
      <c r="Q52" s="32"/>
      <c r="R52" s="32"/>
      <c r="S52" s="32"/>
      <c r="T52" s="32"/>
      <c r="U52" s="32"/>
      <c r="V52" s="32"/>
      <c r="W52" s="32"/>
      <c r="X52" s="32"/>
    </row>
    <row r="53" ht="22" customHeight="1">
      <c r="A53" s="4" t="str">
        <v>Land</v>
      </c>
      <c r="B53" s="2"/>
      <c r="C53" s="44" t="n">
        <v>1153</v>
      </c>
      <c r="D53" s="44" t="n">
        <v>1148</v>
      </c>
      <c r="E53" s="44" t="n">
        <v>1078</v>
      </c>
      <c r="F53" s="44" t="n">
        <v>1130</v>
      </c>
      <c r="G53" s="44" t="n">
        <v>1171</v>
      </c>
      <c r="H53" s="44" t="n">
        <v>1123</v>
      </c>
      <c r="I53" s="44" t="n">
        <v>1142</v>
      </c>
      <c r="J53" s="44" t="n">
        <v>1159</v>
      </c>
      <c r="K53" s="44" t="n">
        <v>1136</v>
      </c>
      <c r="L53" s="44" t="n">
        <v>1110</v>
      </c>
      <c r="M53" s="45"/>
      <c r="N53" s="44"/>
      <c r="O53" s="44"/>
      <c r="P53" s="44"/>
      <c r="Q53" s="44"/>
      <c r="R53" s="44"/>
      <c r="S53" s="44"/>
      <c r="T53" s="44"/>
      <c r="U53" s="44"/>
      <c r="V53" s="44"/>
      <c r="W53" s="44"/>
      <c r="X53" s="44"/>
    </row>
    <row r="54" ht="22" customHeight="1">
      <c r="A54" s="4" t="str">
        <v>Buildings and improvements</v>
      </c>
      <c r="B54" s="2"/>
      <c r="C54" s="44" t="n">
        <v>8306</v>
      </c>
      <c r="D54" s="44" t="n">
        <v>8796</v>
      </c>
      <c r="E54" s="44" t="n">
        <v>8941</v>
      </c>
      <c r="F54" s="44" t="n">
        <v>9314</v>
      </c>
      <c r="G54" s="44" t="n">
        <v>10214</v>
      </c>
      <c r="H54" s="44" t="n">
        <v>10279</v>
      </c>
      <c r="I54" s="44" t="n">
        <v>10816</v>
      </c>
      <c r="J54" s="44" t="n">
        <v>11579</v>
      </c>
      <c r="K54" s="44" t="n">
        <v>11938</v>
      </c>
      <c r="L54" s="44" t="n">
        <v>13875</v>
      </c>
      <c r="M54" s="45"/>
      <c r="N54" s="44"/>
      <c r="O54" s="44"/>
      <c r="P54" s="44"/>
      <c r="Q54" s="44"/>
      <c r="R54" s="44"/>
      <c r="S54" s="44"/>
      <c r="T54" s="44"/>
      <c r="U54" s="44"/>
      <c r="V54" s="44"/>
      <c r="W54" s="44"/>
      <c r="X54" s="44"/>
    </row>
    <row r="55" ht="22" customHeight="1">
      <c r="A55" s="4" t="str">
        <v>Machinery and equipment, including fleet and software</v>
      </c>
      <c r="B55" s="2"/>
      <c r="C55" s="44" t="n">
        <v>25277</v>
      </c>
      <c r="D55" s="44" t="n">
        <v>27018</v>
      </c>
      <c r="E55" s="44" t="n">
        <v>27715</v>
      </c>
      <c r="F55" s="44" t="n">
        <v>29390</v>
      </c>
      <c r="G55" s="44" t="n">
        <v>31276</v>
      </c>
      <c r="H55" s="44" t="n">
        <v>31486</v>
      </c>
      <c r="I55" s="44" t="n">
        <v>33335</v>
      </c>
      <c r="J55" s="44" t="n">
        <v>36006</v>
      </c>
      <c r="K55" s="44" t="n">
        <v>36990</v>
      </c>
      <c r="L55" s="44" t="n">
        <v>41113</v>
      </c>
      <c r="M55" s="45"/>
      <c r="N55" s="44"/>
      <c r="O55" s="44"/>
      <c r="P55" s="44"/>
      <c r="Q55" s="44"/>
      <c r="R55" s="44"/>
      <c r="S55" s="44"/>
      <c r="T55" s="44"/>
      <c r="U55" s="44"/>
      <c r="V55" s="44"/>
      <c r="W55" s="44"/>
      <c r="X55" s="44"/>
    </row>
    <row r="56" ht="22" customHeight="1">
      <c r="A56" s="4" t="str">
        <v>Construction in progress</v>
      </c>
      <c r="B56" s="2"/>
      <c r="C56" s="44" t="n">
        <v>2082</v>
      </c>
      <c r="D56" s="44" t="n">
        <v>2144</v>
      </c>
      <c r="E56" s="44" t="n">
        <v>2430</v>
      </c>
      <c r="F56" s="44" t="n">
        <v>3169</v>
      </c>
      <c r="G56" s="44" t="n">
        <v>3679</v>
      </c>
      <c r="H56" s="44" t="n">
        <v>3940</v>
      </c>
      <c r="I56" s="44" t="n">
        <v>4491</v>
      </c>
      <c r="J56" s="44" t="n">
        <v>5695</v>
      </c>
      <c r="K56" s="44" t="n">
        <v>5941</v>
      </c>
      <c r="L56" s="44" t="n">
        <v>4811</v>
      </c>
      <c r="M56" s="45"/>
      <c r="N56" s="44"/>
      <c r="O56" s="44"/>
      <c r="P56" s="44"/>
      <c r="Q56" s="44"/>
      <c r="R56" s="44"/>
      <c r="S56" s="44"/>
      <c r="T56" s="44"/>
      <c r="U56" s="44"/>
      <c r="V56" s="44"/>
      <c r="W56" s="44"/>
      <c r="X56" s="44"/>
    </row>
    <row r="57" ht="22" customHeight="1">
      <c r="A57" s="4" t="str">
        <v>Accumulated depreciation</v>
      </c>
      <c r="B57" s="2"/>
      <c r="C57" s="44" t="n">
        <v>-20227</v>
      </c>
      <c r="D57" s="44" t="n">
        <v>-21866</v>
      </c>
      <c r="E57" s="44" t="n">
        <v>-22575</v>
      </c>
      <c r="F57" s="44" t="n">
        <v>-23698</v>
      </c>
      <c r="G57" s="44" t="n">
        <v>-24971</v>
      </c>
      <c r="H57" s="44" t="n">
        <v>-24421</v>
      </c>
      <c r="I57" s="44" t="n">
        <v>-25493</v>
      </c>
      <c r="J57" s="44" t="n">
        <v>-27400</v>
      </c>
      <c r="K57" s="44" t="n">
        <v>-27997</v>
      </c>
      <c r="L57" s="44" t="n">
        <v>-31004</v>
      </c>
      <c r="M57" s="45"/>
      <c r="N57" s="44"/>
      <c r="O57" s="44"/>
      <c r="P57" s="44"/>
      <c r="Q57" s="44"/>
      <c r="R57" s="44"/>
      <c r="S57" s="44"/>
      <c r="T57" s="44"/>
      <c r="U57" s="44"/>
      <c r="V57" s="44"/>
      <c r="W57" s="44"/>
      <c r="X57" s="44"/>
    </row>
    <row r="58" ht="22" customHeight="1">
      <c r="A58" s="4" t="str">
        <v>Depreciation expense</v>
      </c>
      <c r="B58" s="2"/>
      <c r="C58" s="44" t="n">
        <v>2217</v>
      </c>
      <c r="D58" s="44" t="n">
        <v>2227</v>
      </c>
      <c r="E58" s="44" t="n">
        <v>2241</v>
      </c>
      <c r="F58" s="44" t="n">
        <v>2257</v>
      </c>
      <c r="G58" s="44" t="n">
        <v>2335</v>
      </c>
      <c r="H58" s="44" t="n">
        <v>2484</v>
      </c>
      <c r="I58" s="44" t="n">
        <v>2523</v>
      </c>
      <c r="J58" s="44" t="n">
        <v>2714</v>
      </c>
      <c r="K58" s="44" t="n">
        <v>2945</v>
      </c>
      <c r="L58" s="44" t="n">
        <v>3213</v>
      </c>
      <c r="M58" s="45"/>
      <c r="N58" s="44"/>
      <c r="O58" s="44"/>
      <c r="P58" s="44"/>
      <c r="Q58" s="44"/>
      <c r="R58" s="44"/>
      <c r="S58" s="44"/>
      <c r="T58" s="44"/>
      <c r="U58" s="44"/>
      <c r="V58" s="44"/>
      <c r="W58" s="44"/>
      <c r="X58" s="44"/>
    </row>
    <row r="59" ht="22" customHeight="1">
      <c r="A59" s="4"/>
      <c r="B59" s="2"/>
      <c r="C59" s="3"/>
      <c r="D59" s="3"/>
      <c r="E59" s="3"/>
      <c r="F59" s="3"/>
      <c r="G59" s="3"/>
      <c r="H59" s="3"/>
      <c r="I59" s="3"/>
      <c r="J59" s="3"/>
      <c r="K59" s="3"/>
      <c r="L59" s="3"/>
      <c r="M59" s="3"/>
      <c r="N59" s="3"/>
      <c r="O59" s="3"/>
      <c r="P59" s="3"/>
      <c r="Q59" s="3"/>
      <c r="R59" s="3"/>
      <c r="S59" s="3"/>
      <c r="T59" s="3"/>
      <c r="U59" s="3"/>
      <c r="V59" s="3"/>
      <c r="W59" s="3"/>
      <c r="X59" s="3"/>
    </row>
    <row r="60" ht="22" customHeight="1">
      <c r="A60" s="29" t="str">
        <v>Pretax income and current / deferred income taxes</v>
      </c>
      <c r="B60" s="29"/>
      <c r="C60" s="32"/>
      <c r="D60" s="32"/>
      <c r="E60" s="32"/>
      <c r="F60" s="32"/>
      <c r="G60" s="32"/>
      <c r="H60" s="32"/>
      <c r="I60" s="32"/>
      <c r="J60" s="32"/>
      <c r="K60" s="32"/>
      <c r="L60" s="32"/>
      <c r="M60" s="32"/>
      <c r="N60" s="32"/>
      <c r="O60" s="32"/>
      <c r="P60" s="32"/>
      <c r="Q60" s="32"/>
      <c r="R60" s="32"/>
      <c r="S60" s="32"/>
      <c r="T60" s="32"/>
      <c r="U60" s="32"/>
      <c r="V60" s="32"/>
      <c r="W60" s="32"/>
      <c r="X60" s="32"/>
    </row>
    <row r="61" ht="18" customHeight="1">
      <c r="A61" s="33" t="str">
        <v>FY2025 uses expanded tax-rate disclosures. Identical Other labels retain their original reconciliation scopes and are not combined.</v>
      </c>
      <c r="B61" s="33"/>
      <c r="C61" s="35"/>
      <c r="D61" s="35"/>
      <c r="E61" s="35"/>
      <c r="F61" s="35"/>
      <c r="G61" s="35"/>
      <c r="H61" s="35"/>
      <c r="I61" s="35"/>
      <c r="J61" s="35"/>
      <c r="K61" s="35"/>
      <c r="L61" s="35"/>
      <c r="M61" s="35"/>
      <c r="N61" s="35"/>
      <c r="O61" s="35"/>
      <c r="P61" s="35"/>
      <c r="Q61" s="35"/>
      <c r="R61" s="35"/>
      <c r="S61" s="35"/>
      <c r="T61" s="35"/>
      <c r="U61" s="35"/>
      <c r="V61" s="35"/>
      <c r="W61" s="35"/>
      <c r="X61" s="35"/>
    </row>
    <row r="62" ht="22" customHeight="1">
      <c r="A62" s="4" t="str">
        <v>United States</v>
      </c>
      <c r="B62" s="2"/>
      <c r="C62" s="44" t="n">
        <v>2630</v>
      </c>
      <c r="D62" s="44" t="n">
        <v>3452</v>
      </c>
      <c r="E62" s="44" t="n">
        <v>3864</v>
      </c>
      <c r="F62" s="44" t="n">
        <v>4123</v>
      </c>
      <c r="G62" s="44" t="n">
        <v>4070</v>
      </c>
      <c r="H62" s="44" t="n">
        <v>3740</v>
      </c>
      <c r="I62" s="44" t="n">
        <v>7305</v>
      </c>
      <c r="J62" s="44" t="n">
        <v>4120</v>
      </c>
      <c r="K62" s="44" t="n">
        <v>2590</v>
      </c>
      <c r="L62" s="44" t="n">
        <v>806</v>
      </c>
      <c r="M62" s="45"/>
      <c r="N62" s="44"/>
      <c r="O62" s="44"/>
      <c r="P62" s="44"/>
      <c r="Q62" s="44"/>
      <c r="R62" s="44"/>
      <c r="S62" s="44"/>
      <c r="T62" s="44"/>
      <c r="U62" s="44"/>
      <c r="V62" s="44"/>
      <c r="W62" s="44"/>
      <c r="X62" s="44"/>
    </row>
    <row r="63" ht="22" customHeight="1">
      <c r="A63" s="4" t="str">
        <v>Foreign</v>
      </c>
      <c r="B63" s="2"/>
      <c r="C63" s="44" t="n">
        <v>5923</v>
      </c>
      <c r="D63" s="44" t="n">
        <v>6150</v>
      </c>
      <c r="E63" s="44" t="n">
        <v>5325</v>
      </c>
      <c r="F63" s="44" t="n">
        <v>5189</v>
      </c>
      <c r="G63" s="44" t="n">
        <v>4999</v>
      </c>
      <c r="H63" s="44" t="n">
        <v>6081</v>
      </c>
      <c r="I63" s="44" t="n">
        <v>3400</v>
      </c>
      <c r="J63" s="44" t="n">
        <v>7297</v>
      </c>
      <c r="K63" s="44" t="n">
        <v>9356</v>
      </c>
      <c r="L63" s="44" t="n">
        <v>9438</v>
      </c>
      <c r="M63" s="45"/>
      <c r="N63" s="44"/>
      <c r="O63" s="44"/>
      <c r="P63" s="44"/>
      <c r="Q63" s="44"/>
      <c r="R63" s="44"/>
      <c r="S63" s="44"/>
      <c r="T63" s="44"/>
      <c r="U63" s="44"/>
      <c r="V63" s="44"/>
      <c r="W63" s="44"/>
      <c r="X63" s="44"/>
    </row>
    <row r="64" ht="36" customHeight="1">
      <c r="A64" s="4" t="str">
        <v>Income before income taxes — subtotal (unlabeled in filing)</v>
      </c>
      <c r="B64" s="2"/>
      <c r="C64" s="44" t="n">
        <v>8553</v>
      </c>
      <c r="D64" s="44" t="n">
        <v>9602</v>
      </c>
      <c r="E64" s="44" t="n">
        <v>9189</v>
      </c>
      <c r="F64" s="44" t="n">
        <v>9312</v>
      </c>
      <c r="G64" s="44" t="n">
        <v>9069</v>
      </c>
      <c r="H64" s="44" t="n">
        <v>9821</v>
      </c>
      <c r="I64" s="44" t="n">
        <v>10705</v>
      </c>
      <c r="J64" s="44" t="n">
        <v>11417</v>
      </c>
      <c r="K64" s="44" t="n">
        <v>11946</v>
      </c>
      <c r="L64" s="44" t="n">
        <v>10244</v>
      </c>
      <c r="M64" s="45"/>
      <c r="N64" s="44"/>
      <c r="O64" s="44"/>
      <c r="P64" s="44"/>
      <c r="Q64" s="44"/>
      <c r="R64" s="44"/>
      <c r="S64" s="44"/>
      <c r="T64" s="44"/>
      <c r="U64" s="44"/>
      <c r="V64" s="44"/>
      <c r="W64" s="44"/>
      <c r="X64" s="44"/>
    </row>
    <row r="65" ht="22" customHeight="1">
      <c r="A65" s="4" t="str">
        <v>Current:</v>
      </c>
      <c r="B65" s="2"/>
      <c r="C65" s="44" t="n">
        <v>1219</v>
      </c>
      <c r="D65" s="44" t="n">
        <v>4925</v>
      </c>
      <c r="E65" s="44"/>
      <c r="F65" s="44"/>
      <c r="G65" s="44"/>
      <c r="H65" s="44"/>
      <c r="I65" s="44"/>
      <c r="J65" s="44"/>
      <c r="K65" s="44"/>
      <c r="L65" s="44"/>
      <c r="M65" s="45"/>
      <c r="N65" s="44"/>
      <c r="O65" s="44"/>
      <c r="P65" s="44"/>
      <c r="Q65" s="44"/>
      <c r="R65" s="44"/>
      <c r="S65" s="44"/>
      <c r="T65" s="44"/>
      <c r="U65" s="44"/>
      <c r="V65" s="44"/>
      <c r="W65" s="44"/>
      <c r="X65" s="44"/>
    </row>
    <row r="66" ht="22" customHeight="1">
      <c r="A66" s="4" t="str">
        <v>Foreign</v>
      </c>
      <c r="B66" s="2"/>
      <c r="C66" s="44" t="n">
        <v>824</v>
      </c>
      <c r="D66" s="44" t="n">
        <v>724</v>
      </c>
      <c r="E66" s="44"/>
      <c r="F66" s="44"/>
      <c r="G66" s="44"/>
      <c r="H66" s="44"/>
      <c r="I66" s="44"/>
      <c r="J66" s="44"/>
      <c r="K66" s="44"/>
      <c r="L66" s="44"/>
      <c r="M66" s="45"/>
      <c r="N66" s="44"/>
      <c r="O66" s="44"/>
      <c r="P66" s="44"/>
      <c r="Q66" s="44"/>
      <c r="R66" s="44"/>
      <c r="S66" s="44"/>
      <c r="T66" s="44"/>
      <c r="U66" s="44"/>
      <c r="V66" s="44"/>
      <c r="W66" s="44"/>
      <c r="X66" s="44"/>
    </row>
    <row r="67" ht="22" customHeight="1">
      <c r="A67" s="4" t="str">
        <v>State</v>
      </c>
      <c r="B67" s="2"/>
      <c r="C67" s="44" t="n">
        <v>77</v>
      </c>
      <c r="D67" s="44" t="n">
        <v>136</v>
      </c>
      <c r="E67" s="44"/>
      <c r="F67" s="44"/>
      <c r="G67" s="44"/>
      <c r="H67" s="44"/>
      <c r="I67" s="44"/>
      <c r="J67" s="44"/>
      <c r="K67" s="44"/>
      <c r="L67" s="44"/>
      <c r="M67" s="45"/>
      <c r="N67" s="44"/>
      <c r="O67" s="44"/>
      <c r="P67" s="44"/>
      <c r="Q67" s="44"/>
      <c r="R67" s="44"/>
      <c r="S67" s="44"/>
      <c r="T67" s="44"/>
      <c r="U67" s="44"/>
      <c r="V67" s="44"/>
      <c r="W67" s="44"/>
      <c r="X67" s="44"/>
    </row>
    <row r="68" ht="22" customHeight="1">
      <c r="A68" s="4" t="str">
        <v>Deferred:</v>
      </c>
      <c r="B68" s="2"/>
      <c r="C68" s="44" t="n">
        <v>109</v>
      </c>
      <c r="D68" s="44" t="n">
        <v>-1159</v>
      </c>
      <c r="E68" s="44"/>
      <c r="F68" s="44"/>
      <c r="G68" s="44"/>
      <c r="H68" s="44"/>
      <c r="I68" s="44"/>
      <c r="J68" s="44"/>
      <c r="K68" s="44"/>
      <c r="L68" s="44"/>
      <c r="M68" s="45"/>
      <c r="N68" s="44"/>
      <c r="O68" s="44"/>
      <c r="P68" s="44"/>
      <c r="Q68" s="44"/>
      <c r="R68" s="44"/>
      <c r="S68" s="44"/>
      <c r="T68" s="44"/>
      <c r="U68" s="44"/>
      <c r="V68" s="44"/>
      <c r="W68" s="44"/>
      <c r="X68" s="44"/>
    </row>
    <row r="69" ht="22" customHeight="1">
      <c r="A69" s="4" t="str">
        <v>Other</v>
      </c>
      <c r="B69" s="2"/>
      <c r="C69" s="44" t="n">
        <v>245</v>
      </c>
      <c r="D69" s="44" t="n">
        <v>50</v>
      </c>
      <c r="E69" s="44" t="n">
        <v>71</v>
      </c>
      <c r="F69" s="44" t="n">
        <v>167</v>
      </c>
      <c r="G69" s="44" t="n">
        <v>159</v>
      </c>
      <c r="H69" s="44" t="n">
        <v>254</v>
      </c>
      <c r="I69" s="44" t="n">
        <v>232</v>
      </c>
      <c r="J69" s="44" t="n">
        <v>350</v>
      </c>
      <c r="K69" s="44" t="n">
        <v>301</v>
      </c>
      <c r="L69" s="44" t="n">
        <v>486</v>
      </c>
      <c r="M69" s="45"/>
      <c r="N69" s="44"/>
      <c r="O69" s="44"/>
      <c r="P69" s="44"/>
      <c r="Q69" s="44"/>
      <c r="R69" s="44"/>
      <c r="S69" s="44"/>
      <c r="T69" s="44"/>
      <c r="U69" s="44"/>
      <c r="V69" s="44"/>
      <c r="W69" s="44"/>
      <c r="X69" s="44"/>
    </row>
    <row r="70" ht="22" customHeight="1">
      <c r="A70" s="4" t="str">
        <v>Current:</v>
      </c>
      <c r="B70" s="2"/>
      <c r="C70" s="44" t="n">
        <v>1219</v>
      </c>
      <c r="D70" s="44" t="n">
        <v>4925</v>
      </c>
      <c r="E70" s="44" t="n">
        <v>437</v>
      </c>
      <c r="F70" s="44"/>
      <c r="G70" s="44"/>
      <c r="H70" s="44"/>
      <c r="I70" s="44"/>
      <c r="J70" s="44"/>
      <c r="K70" s="44"/>
      <c r="L70" s="44"/>
      <c r="M70" s="45"/>
      <c r="N70" s="44"/>
      <c r="O70" s="44"/>
      <c r="P70" s="44"/>
      <c r="Q70" s="44"/>
      <c r="R70" s="44"/>
      <c r="S70" s="44"/>
      <c r="T70" s="44"/>
      <c r="U70" s="44"/>
      <c r="V70" s="44"/>
      <c r="W70" s="44"/>
      <c r="X70" s="44"/>
    </row>
    <row r="71" ht="22" customHeight="1">
      <c r="A71" s="4" t="str">
        <v>Foreign</v>
      </c>
      <c r="B71" s="2"/>
      <c r="C71" s="44" t="n">
        <v>824</v>
      </c>
      <c r="D71" s="44" t="n">
        <v>724</v>
      </c>
      <c r="E71" s="44" t="n">
        <v>378</v>
      </c>
      <c r="F71" s="44"/>
      <c r="G71" s="44"/>
      <c r="H71" s="44"/>
      <c r="I71" s="44"/>
      <c r="J71" s="44"/>
      <c r="K71" s="44"/>
      <c r="L71" s="44"/>
      <c r="M71" s="45"/>
      <c r="N71" s="44"/>
      <c r="O71" s="44"/>
      <c r="P71" s="44"/>
      <c r="Q71" s="44"/>
      <c r="R71" s="44"/>
      <c r="S71" s="44"/>
      <c r="T71" s="44"/>
      <c r="U71" s="44"/>
      <c r="V71" s="44"/>
      <c r="W71" s="44"/>
      <c r="X71" s="44"/>
    </row>
    <row r="72" ht="22" customHeight="1">
      <c r="A72" s="4" t="str">
        <v>State</v>
      </c>
      <c r="B72" s="2"/>
      <c r="C72" s="44" t="n">
        <v>77</v>
      </c>
      <c r="D72" s="44" t="n">
        <v>136</v>
      </c>
      <c r="E72" s="44" t="n">
        <v>63</v>
      </c>
      <c r="F72" s="44"/>
      <c r="G72" s="44"/>
      <c r="H72" s="44"/>
      <c r="I72" s="44"/>
      <c r="J72" s="44"/>
      <c r="K72" s="44"/>
      <c r="L72" s="44"/>
      <c r="M72" s="45"/>
      <c r="N72" s="44"/>
      <c r="O72" s="44"/>
      <c r="P72" s="44"/>
      <c r="Q72" s="44"/>
      <c r="R72" s="44"/>
      <c r="S72" s="44"/>
      <c r="T72" s="44"/>
      <c r="U72" s="44"/>
      <c r="V72" s="44"/>
      <c r="W72" s="44"/>
      <c r="X72" s="44"/>
    </row>
    <row r="73" ht="22" customHeight="1">
      <c r="A73" s="4" t="str">
        <v>Deferred:</v>
      </c>
      <c r="B73" s="2"/>
      <c r="C73" s="44" t="n">
        <v>109</v>
      </c>
      <c r="D73" s="44" t="n">
        <v>-1159</v>
      </c>
      <c r="E73" s="44" t="n">
        <v>140</v>
      </c>
      <c r="F73" s="44"/>
      <c r="G73" s="44"/>
      <c r="H73" s="44"/>
      <c r="I73" s="44"/>
      <c r="J73" s="44"/>
      <c r="K73" s="44"/>
      <c r="L73" s="44"/>
      <c r="M73" s="45"/>
      <c r="N73" s="44"/>
      <c r="O73" s="44"/>
      <c r="P73" s="44"/>
      <c r="Q73" s="44"/>
      <c r="R73" s="44"/>
      <c r="S73" s="44"/>
      <c r="T73" s="44"/>
      <c r="U73" s="44"/>
      <c r="V73" s="44"/>
      <c r="W73" s="44"/>
      <c r="X73" s="44"/>
    </row>
    <row r="74" ht="22" customHeight="1">
      <c r="A74" s="4" t="str">
        <v>Current:</v>
      </c>
      <c r="B74" s="2"/>
      <c r="C74" s="44"/>
      <c r="D74" s="44" t="n">
        <v>4925</v>
      </c>
      <c r="E74" s="44" t="n">
        <v>437</v>
      </c>
      <c r="F74" s="44" t="n">
        <v>652</v>
      </c>
      <c r="G74" s="44"/>
      <c r="H74" s="44"/>
      <c r="I74" s="44"/>
      <c r="J74" s="44"/>
      <c r="K74" s="44"/>
      <c r="L74" s="44"/>
      <c r="M74" s="45"/>
      <c r="N74" s="44"/>
      <c r="O74" s="44"/>
      <c r="P74" s="44"/>
      <c r="Q74" s="44"/>
      <c r="R74" s="44"/>
      <c r="S74" s="44"/>
      <c r="T74" s="44"/>
      <c r="U74" s="44"/>
      <c r="V74" s="44"/>
      <c r="W74" s="44"/>
      <c r="X74" s="44"/>
    </row>
    <row r="75" ht="22" customHeight="1">
      <c r="A75" s="4" t="str">
        <v>State</v>
      </c>
      <c r="B75" s="2"/>
      <c r="C75" s="44"/>
      <c r="D75" s="44" t="n">
        <v>136</v>
      </c>
      <c r="E75" s="44" t="n">
        <v>63</v>
      </c>
      <c r="F75" s="44" t="n">
        <v>196</v>
      </c>
      <c r="G75" s="44" t="n">
        <v>110</v>
      </c>
      <c r="H75" s="44" t="n">
        <v>44</v>
      </c>
      <c r="I75" s="44" t="n">
        <v>246</v>
      </c>
      <c r="J75" s="44" t="n">
        <v>309</v>
      </c>
      <c r="K75" s="44" t="n">
        <v>255</v>
      </c>
      <c r="L75" s="44" t="n">
        <v>42</v>
      </c>
      <c r="M75" s="45"/>
      <c r="N75" s="44"/>
      <c r="O75" s="44"/>
      <c r="P75" s="44"/>
      <c r="Q75" s="44"/>
      <c r="R75" s="44"/>
      <c r="S75" s="44"/>
      <c r="T75" s="44"/>
      <c r="U75" s="44"/>
      <c r="V75" s="44"/>
      <c r="W75" s="44"/>
      <c r="X75" s="44"/>
    </row>
    <row r="76" ht="22" customHeight="1">
      <c r="A76" s="4" t="str">
        <v>Deferred:</v>
      </c>
      <c r="B76" s="2"/>
      <c r="C76" s="44"/>
      <c r="D76" s="44" t="n">
        <v>-1159</v>
      </c>
      <c r="E76" s="44" t="n">
        <v>140</v>
      </c>
      <c r="F76" s="44" t="n">
        <v>325</v>
      </c>
      <c r="G76" s="44"/>
      <c r="H76" s="44"/>
      <c r="I76" s="44"/>
      <c r="J76" s="44"/>
      <c r="K76" s="44"/>
      <c r="L76" s="44"/>
      <c r="M76" s="45"/>
      <c r="N76" s="44"/>
      <c r="O76" s="44"/>
      <c r="P76" s="44"/>
      <c r="Q76" s="44"/>
      <c r="R76" s="44"/>
      <c r="S76" s="44"/>
      <c r="T76" s="44"/>
      <c r="U76" s="44"/>
      <c r="V76" s="44"/>
      <c r="W76" s="44"/>
      <c r="X76" s="44"/>
    </row>
    <row r="77" ht="22" customHeight="1">
      <c r="A77" s="4" t="str">
        <v>U.S. Federal</v>
      </c>
      <c r="B77" s="2"/>
      <c r="C77" s="44"/>
      <c r="D77" s="44"/>
      <c r="E77" s="44" t="n">
        <v>437</v>
      </c>
      <c r="F77" s="44" t="n">
        <v>652</v>
      </c>
      <c r="G77" s="44" t="n">
        <v>715</v>
      </c>
      <c r="H77" s="44" t="n">
        <v>702</v>
      </c>
      <c r="I77" s="44" t="n">
        <v>1137</v>
      </c>
      <c r="J77" s="44" t="n">
        <v>1133</v>
      </c>
      <c r="K77" s="44" t="n">
        <v>1033</v>
      </c>
      <c r="L77" s="44" t="n">
        <v>299</v>
      </c>
      <c r="M77" s="45"/>
      <c r="N77" s="44"/>
      <c r="O77" s="44"/>
      <c r="P77" s="44"/>
      <c r="Q77" s="44"/>
      <c r="R77" s="44"/>
      <c r="S77" s="44"/>
      <c r="T77" s="44"/>
      <c r="U77" s="44"/>
      <c r="V77" s="44"/>
      <c r="W77" s="44"/>
      <c r="X77" s="44"/>
    </row>
    <row r="78" ht="22" customHeight="1">
      <c r="A78" s="4" t="str">
        <v>U.S. Federal</v>
      </c>
      <c r="B78" s="2"/>
      <c r="C78" s="44"/>
      <c r="D78" s="44"/>
      <c r="E78" s="44" t="n">
        <v>140</v>
      </c>
      <c r="F78" s="44" t="n">
        <v>325</v>
      </c>
      <c r="G78" s="44" t="n">
        <v>273</v>
      </c>
      <c r="H78" s="44" t="n">
        <v>375</v>
      </c>
      <c r="I78" s="44" t="n">
        <v>22</v>
      </c>
      <c r="J78" s="44" t="n">
        <v>-109</v>
      </c>
      <c r="K78" s="44" t="n">
        <v>-306</v>
      </c>
      <c r="L78" s="44" t="n">
        <v>116</v>
      </c>
      <c r="M78" s="45"/>
      <c r="N78" s="44"/>
      <c r="O78" s="44"/>
      <c r="P78" s="44"/>
      <c r="Q78" s="44"/>
      <c r="R78" s="44"/>
      <c r="S78" s="44"/>
      <c r="T78" s="44"/>
      <c r="U78" s="44"/>
      <c r="V78" s="44"/>
      <c r="W78" s="44"/>
      <c r="X78" s="44"/>
    </row>
    <row r="79" ht="22" customHeight="1">
      <c r="A79" s="4" t="str">
        <v>Foreign</v>
      </c>
      <c r="B79" s="2"/>
      <c r="C79" s="44"/>
      <c r="D79" s="44"/>
      <c r="E79" s="44" t="n">
        <v>-4379</v>
      </c>
      <c r="F79" s="44" t="n">
        <v>-31</v>
      </c>
      <c r="G79" s="44" t="n">
        <v>-167</v>
      </c>
      <c r="H79" s="44" t="n">
        <v>-14</v>
      </c>
      <c r="I79" s="44" t="n">
        <v>-709</v>
      </c>
      <c r="J79" s="44" t="n">
        <v>-212</v>
      </c>
      <c r="K79" s="44" t="n">
        <v>-10</v>
      </c>
      <c r="L79" s="44" t="n">
        <v>-116</v>
      </c>
      <c r="M79" s="45"/>
      <c r="N79" s="44"/>
      <c r="O79" s="44"/>
      <c r="P79" s="44"/>
      <c r="Q79" s="44"/>
      <c r="R79" s="44"/>
      <c r="S79" s="44"/>
      <c r="T79" s="44"/>
      <c r="U79" s="44"/>
      <c r="V79" s="44"/>
      <c r="W79" s="44"/>
      <c r="X79" s="44"/>
    </row>
    <row r="80" ht="22" customHeight="1">
      <c r="A80" s="4" t="str">
        <v>State</v>
      </c>
      <c r="B80" s="2"/>
      <c r="C80" s="44"/>
      <c r="D80" s="44"/>
      <c r="E80" s="44" t="n">
        <v>-9</v>
      </c>
      <c r="F80" s="44" t="n">
        <v>10</v>
      </c>
      <c r="G80" s="44" t="n">
        <v>31</v>
      </c>
      <c r="H80" s="44" t="n">
        <v>80</v>
      </c>
      <c r="I80" s="44" t="n">
        <v>4</v>
      </c>
      <c r="J80" s="44" t="n">
        <v>-60</v>
      </c>
      <c r="K80" s="44" t="n">
        <v>-58</v>
      </c>
      <c r="L80" s="44" t="n">
        <v>25</v>
      </c>
      <c r="M80" s="45"/>
      <c r="N80" s="44"/>
      <c r="O80" s="44"/>
      <c r="P80" s="44"/>
      <c r="Q80" s="44"/>
      <c r="R80" s="44"/>
      <c r="S80" s="44"/>
      <c r="T80" s="44"/>
      <c r="U80" s="44"/>
      <c r="V80" s="44"/>
      <c r="W80" s="44"/>
      <c r="X80" s="44"/>
    </row>
    <row r="81" ht="22" customHeight="1">
      <c r="A81" s="4" t="str">
        <v>Subtotal (unlabeled in filing): Deferred:</v>
      </c>
      <c r="B81" s="2"/>
      <c r="C81" s="44"/>
      <c r="D81" s="44"/>
      <c r="E81" s="44" t="n">
        <v>-4248</v>
      </c>
      <c r="F81" s="44" t="n">
        <v>304</v>
      </c>
      <c r="G81" s="44" t="n">
        <v>137</v>
      </c>
      <c r="H81" s="44" t="n">
        <v>441</v>
      </c>
      <c r="I81" s="44" t="n">
        <v>-683</v>
      </c>
      <c r="J81" s="44" t="n">
        <v>-381</v>
      </c>
      <c r="K81" s="44" t="n">
        <v>-374</v>
      </c>
      <c r="L81" s="44" t="n">
        <v>25</v>
      </c>
      <c r="M81" s="45"/>
      <c r="N81" s="44"/>
      <c r="O81" s="44"/>
      <c r="P81" s="44"/>
      <c r="Q81" s="44"/>
      <c r="R81" s="44"/>
      <c r="S81" s="44"/>
      <c r="T81" s="44"/>
      <c r="U81" s="44"/>
      <c r="V81" s="44"/>
      <c r="W81" s="44"/>
      <c r="X81" s="44"/>
    </row>
    <row r="82" ht="22" customHeight="1">
      <c r="A82" s="4"/>
      <c r="B82" s="2"/>
      <c r="C82" s="3"/>
      <c r="D82" s="3"/>
      <c r="E82" s="3"/>
      <c r="F82" s="3"/>
      <c r="G82" s="3"/>
      <c r="H82" s="3"/>
      <c r="I82" s="3"/>
      <c r="J82" s="3"/>
      <c r="K82" s="3"/>
      <c r="L82" s="3"/>
      <c r="M82" s="3"/>
      <c r="N82" s="3"/>
      <c r="O82" s="3"/>
      <c r="P82" s="3"/>
      <c r="Q82" s="3"/>
      <c r="R82" s="3"/>
      <c r="S82" s="3"/>
      <c r="T82" s="3"/>
      <c r="U82" s="3"/>
      <c r="V82" s="3"/>
      <c r="W82" s="3"/>
      <c r="X82" s="3"/>
    </row>
    <row r="83" ht="22" customHeight="1">
      <c r="A83" s="29" t="str">
        <v>Income tax rate reconciliation and FY2025 tax disaggregation</v>
      </c>
      <c r="B83" s="29"/>
      <c r="C83" s="32"/>
      <c r="D83" s="32"/>
      <c r="E83" s="32"/>
      <c r="F83" s="32"/>
      <c r="G83" s="32"/>
      <c r="H83" s="32"/>
      <c r="I83" s="32"/>
      <c r="J83" s="32"/>
      <c r="K83" s="32"/>
      <c r="L83" s="32"/>
      <c r="M83" s="32"/>
      <c r="N83" s="32"/>
      <c r="O83" s="32"/>
      <c r="P83" s="32"/>
      <c r="Q83" s="32"/>
      <c r="R83" s="32"/>
      <c r="S83" s="32"/>
      <c r="T83" s="32"/>
      <c r="U83" s="32"/>
      <c r="V83" s="32"/>
      <c r="W83" s="32"/>
      <c r="X83" s="32"/>
    </row>
    <row r="84" ht="18" customHeight="1">
      <c r="A84" s="33" t="str">
        <v>FY2025 uses expanded tax-rate disclosures. Identical Other labels retain their original reconciliation scopes and are not combined.</v>
      </c>
      <c r="B84" s="33"/>
      <c r="C84" s="35"/>
      <c r="D84" s="35"/>
      <c r="E84" s="35"/>
      <c r="F84" s="35"/>
      <c r="G84" s="35"/>
      <c r="H84" s="35"/>
      <c r="I84" s="35"/>
      <c r="J84" s="35"/>
      <c r="K84" s="35"/>
      <c r="L84" s="35"/>
      <c r="M84" s="35"/>
      <c r="N84" s="35"/>
      <c r="O84" s="35"/>
      <c r="P84" s="35"/>
      <c r="Q84" s="35"/>
      <c r="R84" s="35"/>
      <c r="S84" s="35"/>
      <c r="T84" s="35"/>
      <c r="U84" s="35"/>
      <c r="V84" s="35"/>
      <c r="W84" s="35"/>
      <c r="X84" s="35"/>
    </row>
    <row r="85" ht="36" customHeight="1">
      <c r="A85" s="56" t="str">
        <v>U.S. Federal statutory tax rate — Tax rate reconciliation（%）</v>
      </c>
      <c r="B85" s="2"/>
      <c r="C85" s="58" t="n">
        <v>0.35000000000000003</v>
      </c>
      <c r="D85" s="58" t="n">
        <v>0.35000000000000003</v>
      </c>
      <c r="E85" s="58" t="n">
        <v>0.21</v>
      </c>
      <c r="F85" s="58" t="n">
        <v>0.21</v>
      </c>
      <c r="G85" s="58" t="n">
        <v>0.21</v>
      </c>
      <c r="H85" s="58" t="n">
        <v>0.21</v>
      </c>
      <c r="I85" s="58" t="n">
        <v>0.21</v>
      </c>
      <c r="J85" s="58" t="n">
        <v>0.21</v>
      </c>
      <c r="K85" s="58" t="n">
        <v>0.21</v>
      </c>
      <c r="L85" s="58"/>
      <c r="M85" s="60"/>
      <c r="N85" s="58"/>
      <c r="O85" s="58"/>
      <c r="P85" s="58"/>
      <c r="Q85" s="58"/>
      <c r="R85" s="58"/>
      <c r="S85" s="58"/>
      <c r="T85" s="58"/>
      <c r="U85" s="58"/>
      <c r="V85" s="58"/>
      <c r="W85" s="58"/>
      <c r="X85" s="58"/>
    </row>
    <row r="86" ht="36" customHeight="1">
      <c r="A86" s="56" t="str">
        <v>State income tax, net of U.S. Federal tax benefit — Tax rate reconciliation（%）</v>
      </c>
      <c r="B86" s="2"/>
      <c r="C86" s="58" t="n">
        <v>0.004</v>
      </c>
      <c r="D86" s="58" t="n">
        <v>0.009000000000000001</v>
      </c>
      <c r="E86" s="58" t="n">
        <v>0.005</v>
      </c>
      <c r="F86" s="58" t="n">
        <v>0.016</v>
      </c>
      <c r="G86" s="58" t="n">
        <v>0.012</v>
      </c>
      <c r="H86" s="58" t="n">
        <v>0.01</v>
      </c>
      <c r="I86" s="58" t="n">
        <v>0.018000000000000002</v>
      </c>
      <c r="J86" s="58" t="n">
        <v>0.018000000000000002</v>
      </c>
      <c r="K86" s="58" t="n">
        <v>0.013000000000000001</v>
      </c>
      <c r="L86" s="58" t="n">
        <v>0.002</v>
      </c>
      <c r="M86" s="60"/>
      <c r="N86" s="58"/>
      <c r="O86" s="58"/>
      <c r="P86" s="58"/>
      <c r="Q86" s="58"/>
      <c r="R86" s="58"/>
      <c r="S86" s="58"/>
      <c r="T86" s="58"/>
      <c r="U86" s="58"/>
      <c r="V86" s="58"/>
      <c r="W86" s="58"/>
      <c r="X86" s="58"/>
    </row>
    <row r="87" ht="36" customHeight="1">
      <c r="A87" s="56" t="str">
        <v>Lower taxes on foreign results — Tax rate reconciliation（%）</v>
      </c>
      <c r="B87" s="2"/>
      <c r="C87" s="58" t="n">
        <v>-0.08</v>
      </c>
      <c r="D87" s="58" t="n">
        <v>-0.094</v>
      </c>
      <c r="E87" s="58" t="n">
        <v>-0.022000000000000002</v>
      </c>
      <c r="F87" s="58" t="n">
        <v>-0.009000000000000001</v>
      </c>
      <c r="G87" s="58" t="n">
        <v>-0.008</v>
      </c>
      <c r="H87" s="58" t="n">
        <v>-0.016</v>
      </c>
      <c r="I87" s="58" t="n">
        <v>-0.015</v>
      </c>
      <c r="J87" s="58" t="n">
        <v>-0.025</v>
      </c>
      <c r="K87" s="58" t="n">
        <v>-0.025</v>
      </c>
      <c r="L87" s="58"/>
      <c r="M87" s="60"/>
      <c r="N87" s="58"/>
      <c r="O87" s="58"/>
      <c r="P87" s="58"/>
      <c r="Q87" s="58"/>
      <c r="R87" s="58"/>
      <c r="S87" s="58"/>
      <c r="T87" s="58"/>
      <c r="U87" s="58"/>
      <c r="V87" s="58"/>
      <c r="W87" s="58"/>
      <c r="X87" s="58"/>
    </row>
    <row r="88" ht="20" customHeight="1">
      <c r="A88" s="56" t="str">
        <v>Tax settlements — Tax rate reconciliation（%）</v>
      </c>
      <c r="B88" s="2"/>
      <c r="C88" s="58" t="n">
        <v>0</v>
      </c>
      <c r="D88" s="58" t="n">
        <v>0</v>
      </c>
      <c r="E88" s="58" t="n">
        <v>-0.078</v>
      </c>
      <c r="F88" s="58"/>
      <c r="G88" s="58" t="n">
        <v>0</v>
      </c>
      <c r="H88" s="58" t="n">
        <v>0</v>
      </c>
      <c r="I88" s="58" t="n">
        <v>-0.03</v>
      </c>
      <c r="J88" s="58"/>
      <c r="K88" s="58"/>
      <c r="L88" s="58"/>
      <c r="M88" s="60"/>
      <c r="N88" s="58"/>
      <c r="O88" s="58"/>
      <c r="P88" s="58"/>
      <c r="Q88" s="58"/>
      <c r="R88" s="58"/>
      <c r="S88" s="58"/>
      <c r="T88" s="58"/>
      <c r="U88" s="58"/>
      <c r="V88" s="58"/>
      <c r="W88" s="58"/>
      <c r="X88" s="58"/>
    </row>
    <row r="89" ht="20" customHeight="1">
      <c r="A89" s="56" t="str">
        <v>Other, net — Tax rate reconciliation（%）</v>
      </c>
      <c r="B89" s="2"/>
      <c r="C89" s="58" t="n">
        <v>-0.02</v>
      </c>
      <c r="D89" s="58" t="n">
        <v>-0.031000000000000003</v>
      </c>
      <c r="E89" s="58" t="n">
        <v>-0.006</v>
      </c>
      <c r="F89" s="58" t="n">
        <v>-0.006</v>
      </c>
      <c r="G89" s="58" t="n">
        <v>-0.005</v>
      </c>
      <c r="H89" s="58" t="n">
        <v>-0.005</v>
      </c>
      <c r="I89" s="58" t="n">
        <v>-0.006</v>
      </c>
      <c r="J89" s="58" t="n">
        <v>-0.004</v>
      </c>
      <c r="K89" s="58" t="n">
        <v>-0.004</v>
      </c>
      <c r="L89" s="58"/>
      <c r="M89" s="60"/>
      <c r="N89" s="58"/>
      <c r="O89" s="58"/>
      <c r="P89" s="58"/>
      <c r="Q89" s="58"/>
      <c r="R89" s="58"/>
      <c r="S89" s="58"/>
      <c r="T89" s="58"/>
      <c r="U89" s="58"/>
      <c r="V89" s="58"/>
      <c r="W89" s="58"/>
      <c r="X89" s="58"/>
    </row>
    <row r="90" ht="20" customHeight="1">
      <c r="A90" s="56" t="str">
        <v>Annual tax rate — Tax rate reconciliation（%）</v>
      </c>
      <c r="B90" s="2"/>
      <c r="C90" s="58" t="n">
        <v>0.254</v>
      </c>
      <c r="D90" s="58" t="n">
        <v>0.489</v>
      </c>
      <c r="E90" s="58" t="n">
        <v>-0.36700000000000005</v>
      </c>
      <c r="F90" s="58" t="n">
        <v>0.21</v>
      </c>
      <c r="G90" s="58" t="n">
        <v>0.209</v>
      </c>
      <c r="H90" s="58" t="n">
        <v>0.218</v>
      </c>
      <c r="I90" s="58" t="n">
        <v>0.161</v>
      </c>
      <c r="J90" s="58" t="n">
        <v>0.198</v>
      </c>
      <c r="K90" s="58" t="n">
        <v>0.19399999999999998</v>
      </c>
      <c r="L90" s="58"/>
      <c r="M90" s="60"/>
      <c r="N90" s="58"/>
      <c r="O90" s="58"/>
      <c r="P90" s="58"/>
      <c r="Q90" s="58"/>
      <c r="R90" s="58"/>
      <c r="S90" s="58"/>
      <c r="T90" s="58"/>
      <c r="U90" s="58"/>
      <c r="V90" s="58"/>
      <c r="W90" s="58"/>
      <c r="X90" s="58"/>
    </row>
    <row r="91" ht="36" customHeight="1">
      <c r="A91" s="56" t="str">
        <v>One-time mandatory transition tax - TCJ Act — Tax rate reconciliation（%）</v>
      </c>
      <c r="B91" s="2"/>
      <c r="C91" s="58" t="n">
        <v>0</v>
      </c>
      <c r="D91" s="58" t="n">
        <v>0.414</v>
      </c>
      <c r="E91" s="58" t="n">
        <v>0.001</v>
      </c>
      <c r="F91" s="58" t="n">
        <v>-0.001</v>
      </c>
      <c r="G91" s="58" t="n">
        <v>0</v>
      </c>
      <c r="H91" s="58" t="n">
        <v>0.019</v>
      </c>
      <c r="I91" s="58" t="n">
        <v>0.008</v>
      </c>
      <c r="J91" s="58"/>
      <c r="K91" s="58"/>
      <c r="L91" s="58"/>
      <c r="M91" s="60"/>
      <c r="N91" s="58"/>
      <c r="O91" s="58"/>
      <c r="P91" s="58"/>
      <c r="Q91" s="58"/>
      <c r="R91" s="58"/>
      <c r="S91" s="58"/>
      <c r="T91" s="58"/>
      <c r="U91" s="58"/>
      <c r="V91" s="58"/>
      <c r="W91" s="58"/>
      <c r="X91" s="58"/>
    </row>
    <row r="92" ht="36" customHeight="1">
      <c r="A92" s="56" t="str">
        <v>Remeasurement of deferred taxes - TCJ Act — Tax rate reconciliation（%）</v>
      </c>
      <c r="B92" s="2"/>
      <c r="C92" s="58" t="n">
        <v>0</v>
      </c>
      <c r="D92" s="58" t="n">
        <v>-0.159</v>
      </c>
      <c r="E92" s="58" t="n">
        <v>-0.004</v>
      </c>
      <c r="F92" s="58"/>
      <c r="G92" s="58"/>
      <c r="H92" s="58"/>
      <c r="I92" s="58"/>
      <c r="J92" s="58"/>
      <c r="K92" s="58"/>
      <c r="L92" s="58"/>
      <c r="M92" s="60"/>
      <c r="N92" s="58"/>
      <c r="O92" s="58"/>
      <c r="P92" s="58"/>
      <c r="Q92" s="58"/>
      <c r="R92" s="58"/>
      <c r="S92" s="58"/>
      <c r="T92" s="58"/>
      <c r="U92" s="58"/>
      <c r="V92" s="58"/>
      <c r="W92" s="58"/>
      <c r="X92" s="58"/>
    </row>
    <row r="93" ht="36" customHeight="1">
      <c r="A93" s="56" t="str">
        <v>International reorganizations — Tax rate reconciliation（%）</v>
      </c>
      <c r="B93" s="2"/>
      <c r="C93" s="58" t="n">
        <v>0</v>
      </c>
      <c r="D93" s="58" t="n">
        <v>0</v>
      </c>
      <c r="E93" s="58" t="n">
        <v>-0.473</v>
      </c>
      <c r="F93" s="58"/>
      <c r="G93" s="58"/>
      <c r="H93" s="58"/>
      <c r="I93" s="58"/>
      <c r="J93" s="58"/>
      <c r="K93" s="58"/>
      <c r="L93" s="58"/>
      <c r="M93" s="60"/>
      <c r="N93" s="58"/>
      <c r="O93" s="58"/>
      <c r="P93" s="58"/>
      <c r="Q93" s="58"/>
      <c r="R93" s="58"/>
      <c r="S93" s="58"/>
      <c r="T93" s="58"/>
      <c r="U93" s="58"/>
      <c r="V93" s="58"/>
      <c r="W93" s="58"/>
      <c r="X93" s="58"/>
    </row>
    <row r="94" ht="20" customHeight="1">
      <c r="A94" s="56" t="str">
        <v>Juice Transaction — Tax rate reconciliation（%）</v>
      </c>
      <c r="B94" s="2"/>
      <c r="C94" s="58"/>
      <c r="D94" s="58"/>
      <c r="E94" s="58"/>
      <c r="F94" s="58"/>
      <c r="G94" s="58" t="n">
        <v>0</v>
      </c>
      <c r="H94" s="58" t="n">
        <v>0</v>
      </c>
      <c r="I94" s="58" t="n">
        <v>-0.024</v>
      </c>
      <c r="J94" s="58" t="n">
        <v>-0.001</v>
      </c>
      <c r="K94" s="58" t="n">
        <v>0</v>
      </c>
      <c r="L94" s="58"/>
      <c r="M94" s="60"/>
      <c r="N94" s="58"/>
      <c r="O94" s="58"/>
      <c r="P94" s="58"/>
      <c r="Q94" s="58"/>
      <c r="R94" s="58"/>
      <c r="S94" s="58"/>
      <c r="T94" s="58"/>
      <c r="U94" s="58"/>
      <c r="V94" s="58"/>
      <c r="W94" s="58"/>
      <c r="X94" s="58"/>
    </row>
    <row r="95" ht="22" customHeight="1">
      <c r="A95" s="4" t="str">
        <v>U.S. Federal statutory tax — Amount</v>
      </c>
      <c r="B95" s="2"/>
      <c r="C95" s="44"/>
      <c r="D95" s="44"/>
      <c r="E95" s="44"/>
      <c r="F95" s="44"/>
      <c r="G95" s="44"/>
      <c r="H95" s="44"/>
      <c r="I95" s="44"/>
      <c r="J95" s="44"/>
      <c r="K95" s="44"/>
      <c r="L95" s="44" t="n">
        <v>2151</v>
      </c>
      <c r="M95" s="45"/>
      <c r="N95" s="44"/>
      <c r="O95" s="44"/>
      <c r="P95" s="44"/>
      <c r="Q95" s="44"/>
      <c r="R95" s="44"/>
      <c r="S95" s="44"/>
      <c r="T95" s="44"/>
      <c r="U95" s="44"/>
      <c r="V95" s="44"/>
      <c r="W95" s="44"/>
      <c r="X95" s="44"/>
    </row>
    <row r="96" ht="20" customHeight="1">
      <c r="A96" s="56" t="str">
        <v>U.S. Federal statutory tax — Tax rate reconciliation（%）</v>
      </c>
      <c r="B96" s="2"/>
      <c r="C96" s="58"/>
      <c r="D96" s="58"/>
      <c r="E96" s="58"/>
      <c r="F96" s="58"/>
      <c r="G96" s="58"/>
      <c r="H96" s="58"/>
      <c r="I96" s="58"/>
      <c r="J96" s="58"/>
      <c r="K96" s="58"/>
      <c r="L96" s="58" t="n">
        <v>0.21</v>
      </c>
      <c r="M96" s="60"/>
      <c r="N96" s="58"/>
      <c r="O96" s="58"/>
      <c r="P96" s="58"/>
      <c r="Q96" s="58"/>
      <c r="R96" s="58"/>
      <c r="S96" s="58"/>
      <c r="T96" s="58"/>
      <c r="U96" s="58"/>
      <c r="V96" s="58"/>
      <c r="W96" s="58"/>
      <c r="X96" s="58"/>
    </row>
    <row r="97" ht="36" customHeight="1">
      <c r="A97" s="4" t="str">
        <v>State income tax, net of U.S. Federal tax benefit — Amount</v>
      </c>
      <c r="B97" s="2"/>
      <c r="C97" s="44"/>
      <c r="D97" s="44"/>
      <c r="E97" s="44"/>
      <c r="F97" s="44"/>
      <c r="G97" s="44"/>
      <c r="H97" s="44"/>
      <c r="I97" s="44"/>
      <c r="J97" s="44"/>
      <c r="K97" s="44"/>
      <c r="L97" s="44" t="n">
        <v>25</v>
      </c>
      <c r="M97" s="45"/>
      <c r="N97" s="44"/>
      <c r="O97" s="44"/>
      <c r="P97" s="44"/>
      <c r="Q97" s="44"/>
      <c r="R97" s="44"/>
      <c r="S97" s="44"/>
      <c r="T97" s="44"/>
      <c r="U97" s="44"/>
      <c r="V97" s="44"/>
      <c r="W97" s="44"/>
      <c r="X97" s="44"/>
    </row>
    <row r="98" ht="36" customHeight="1">
      <c r="A98" s="56" t="str">
        <v>Changes in valuation allowances — Tax rate reconciliation（%）</v>
      </c>
      <c r="B98" s="2"/>
      <c r="C98" s="58"/>
      <c r="D98" s="58"/>
      <c r="E98" s="58"/>
      <c r="F98" s="58"/>
      <c r="G98" s="58"/>
      <c r="H98" s="58"/>
      <c r="I98" s="58"/>
      <c r="J98" s="58"/>
      <c r="K98" s="58"/>
      <c r="L98" s="58" t="n">
        <v>0.001</v>
      </c>
      <c r="M98" s="60"/>
      <c r="N98" s="58"/>
      <c r="O98" s="58"/>
      <c r="P98" s="58"/>
      <c r="Q98" s="58"/>
      <c r="R98" s="58"/>
      <c r="S98" s="58"/>
      <c r="T98" s="58"/>
      <c r="U98" s="58"/>
      <c r="V98" s="58"/>
      <c r="W98" s="58"/>
      <c r="X98" s="58"/>
    </row>
    <row r="99" ht="22" customHeight="1">
      <c r="A99" s="4" t="str">
        <v>Statutory income tax rate differential — Amount</v>
      </c>
      <c r="B99" s="2"/>
      <c r="C99" s="44"/>
      <c r="D99" s="44"/>
      <c r="E99" s="44"/>
      <c r="F99" s="44"/>
      <c r="G99" s="44"/>
      <c r="H99" s="44"/>
      <c r="I99" s="44"/>
      <c r="J99" s="44"/>
      <c r="K99" s="44"/>
      <c r="L99" s="44" t="n">
        <v>-119</v>
      </c>
      <c r="M99" s="45"/>
      <c r="N99" s="44"/>
      <c r="O99" s="44"/>
      <c r="P99" s="44"/>
      <c r="Q99" s="44"/>
      <c r="R99" s="44"/>
      <c r="S99" s="44"/>
      <c r="T99" s="44"/>
      <c r="U99" s="44"/>
      <c r="V99" s="44"/>
      <c r="W99" s="44"/>
      <c r="X99" s="44"/>
    </row>
    <row r="100" ht="36" customHeight="1">
      <c r="A100" s="56" t="str">
        <v>Statutory income tax rate differential — Tax rate reconciliation（%）</v>
      </c>
      <c r="B100" s="2"/>
      <c r="C100" s="58"/>
      <c r="D100" s="58"/>
      <c r="E100" s="58"/>
      <c r="F100" s="58"/>
      <c r="G100" s="58"/>
      <c r="H100" s="58"/>
      <c r="I100" s="58"/>
      <c r="J100" s="58"/>
      <c r="K100" s="58"/>
      <c r="L100" s="58" t="n">
        <v>-0.012</v>
      </c>
      <c r="M100" s="60"/>
      <c r="N100" s="58"/>
      <c r="O100" s="58"/>
      <c r="P100" s="58"/>
      <c r="Q100" s="58"/>
      <c r="R100" s="58"/>
      <c r="S100" s="58"/>
      <c r="T100" s="58"/>
      <c r="U100" s="58"/>
      <c r="V100" s="58"/>
      <c r="W100" s="58"/>
      <c r="X100" s="58"/>
    </row>
    <row r="101" ht="22" customHeight="1">
      <c r="A101" s="4" t="str">
        <v>Other — Amount</v>
      </c>
      <c r="B101" s="2"/>
      <c r="C101" s="44"/>
      <c r="D101" s="44"/>
      <c r="E101" s="44"/>
      <c r="F101" s="44"/>
      <c r="G101" s="44"/>
      <c r="H101" s="44"/>
      <c r="I101" s="44"/>
      <c r="J101" s="44"/>
      <c r="K101" s="44"/>
      <c r="L101" s="44" t="n">
        <v>24</v>
      </c>
      <c r="M101" s="45"/>
      <c r="N101" s="44"/>
      <c r="O101" s="44"/>
      <c r="P101" s="44"/>
      <c r="Q101" s="44"/>
      <c r="R101" s="44"/>
      <c r="S101" s="44"/>
      <c r="T101" s="44"/>
      <c r="U101" s="44"/>
      <c r="V101" s="44"/>
      <c r="W101" s="44"/>
      <c r="X101" s="44"/>
    </row>
    <row r="102" ht="20" customHeight="1">
      <c r="A102" s="56" t="str">
        <v>Other — Tax rate reconciliation（%）</v>
      </c>
      <c r="B102" s="2"/>
      <c r="C102" s="58"/>
      <c r="D102" s="58"/>
      <c r="E102" s="58"/>
      <c r="F102" s="58"/>
      <c r="G102" s="58"/>
      <c r="H102" s="58"/>
      <c r="I102" s="58"/>
      <c r="J102" s="58"/>
      <c r="K102" s="58"/>
      <c r="L102" s="58" t="n">
        <v>0.002</v>
      </c>
      <c r="M102" s="60"/>
      <c r="N102" s="58"/>
      <c r="O102" s="58"/>
      <c r="P102" s="58"/>
      <c r="Q102" s="58"/>
      <c r="R102" s="58"/>
      <c r="S102" s="58"/>
      <c r="T102" s="58"/>
      <c r="U102" s="58"/>
      <c r="V102" s="58"/>
      <c r="W102" s="58"/>
      <c r="X102" s="58"/>
    </row>
    <row r="103" ht="22" customHeight="1">
      <c r="A103" s="4" t="str">
        <v>Tax incentive — Amount</v>
      </c>
      <c r="B103" s="2"/>
      <c r="C103" s="44"/>
      <c r="D103" s="44"/>
      <c r="E103" s="44"/>
      <c r="F103" s="44"/>
      <c r="G103" s="44"/>
      <c r="H103" s="44"/>
      <c r="I103" s="44"/>
      <c r="J103" s="44"/>
      <c r="K103" s="44"/>
      <c r="L103" s="44" t="n">
        <v>-113</v>
      </c>
      <c r="M103" s="45"/>
      <c r="N103" s="44"/>
      <c r="O103" s="44"/>
      <c r="P103" s="44"/>
      <c r="Q103" s="44"/>
      <c r="R103" s="44"/>
      <c r="S103" s="44"/>
      <c r="T103" s="44"/>
      <c r="U103" s="44"/>
      <c r="V103" s="44"/>
      <c r="W103" s="44"/>
      <c r="X103" s="44"/>
    </row>
    <row r="104" ht="20" customHeight="1">
      <c r="A104" s="56" t="str">
        <v>Tax incentive — Tax rate reconciliation（%）</v>
      </c>
      <c r="B104" s="2"/>
      <c r="C104" s="58"/>
      <c r="D104" s="58"/>
      <c r="E104" s="58"/>
      <c r="F104" s="58"/>
      <c r="G104" s="58"/>
      <c r="H104" s="58"/>
      <c r="I104" s="58"/>
      <c r="J104" s="58"/>
      <c r="K104" s="58"/>
      <c r="L104" s="58" t="n">
        <v>-0.011000000000000001</v>
      </c>
      <c r="M104" s="60"/>
      <c r="N104" s="58"/>
      <c r="O104" s="58"/>
      <c r="P104" s="58"/>
      <c r="Q104" s="58"/>
      <c r="R104" s="58"/>
      <c r="S104" s="58"/>
      <c r="T104" s="58"/>
      <c r="U104" s="58"/>
      <c r="V104" s="58"/>
      <c r="W104" s="58"/>
      <c r="X104" s="58"/>
    </row>
    <row r="105" ht="22" customHeight="1">
      <c r="A105" s="4" t="str">
        <v>Other — Amount</v>
      </c>
      <c r="B105" s="2"/>
      <c r="C105" s="44"/>
      <c r="D105" s="44"/>
      <c r="E105" s="44"/>
      <c r="F105" s="44"/>
      <c r="G105" s="44"/>
      <c r="H105" s="44"/>
      <c r="I105" s="44"/>
      <c r="J105" s="44"/>
      <c r="K105" s="44"/>
      <c r="L105" s="44" t="n">
        <v>-26</v>
      </c>
      <c r="M105" s="45"/>
      <c r="N105" s="44"/>
      <c r="O105" s="44"/>
      <c r="P105" s="44"/>
      <c r="Q105" s="44"/>
      <c r="R105" s="44"/>
      <c r="S105" s="44"/>
      <c r="T105" s="44"/>
      <c r="U105" s="44"/>
      <c r="V105" s="44"/>
      <c r="W105" s="44"/>
      <c r="X105" s="44"/>
    </row>
    <row r="106" ht="20" customHeight="1">
      <c r="A106" s="56" t="str">
        <v>Other — Tax rate reconciliation（%）</v>
      </c>
      <c r="B106" s="2"/>
      <c r="C106" s="58"/>
      <c r="D106" s="58"/>
      <c r="E106" s="58"/>
      <c r="F106" s="58"/>
      <c r="G106" s="58"/>
      <c r="H106" s="58"/>
      <c r="I106" s="58"/>
      <c r="J106" s="58"/>
      <c r="K106" s="58"/>
      <c r="L106" s="58" t="n">
        <v>-0.003</v>
      </c>
      <c r="M106" s="60"/>
      <c r="N106" s="58"/>
      <c r="O106" s="58"/>
      <c r="P106" s="58"/>
      <c r="Q106" s="58"/>
      <c r="R106" s="58"/>
      <c r="S106" s="58"/>
      <c r="T106" s="58"/>
      <c r="U106" s="58"/>
      <c r="V106" s="58"/>
      <c r="W106" s="58"/>
      <c r="X106" s="58"/>
    </row>
    <row r="107" ht="36" customHeight="1">
      <c r="A107" s="56" t="str">
        <v>Changes in valuation allowances — Tax rate reconciliation（%）</v>
      </c>
      <c r="B107" s="2"/>
      <c r="C107" s="58"/>
      <c r="D107" s="58"/>
      <c r="E107" s="58"/>
      <c r="F107" s="58"/>
      <c r="G107" s="58"/>
      <c r="H107" s="58"/>
      <c r="I107" s="58"/>
      <c r="J107" s="58"/>
      <c r="K107" s="58"/>
      <c r="L107" s="58" t="n">
        <v>-0.015</v>
      </c>
      <c r="M107" s="60"/>
      <c r="N107" s="58"/>
      <c r="O107" s="58"/>
      <c r="P107" s="58"/>
      <c r="Q107" s="58"/>
      <c r="R107" s="58"/>
      <c r="S107" s="58"/>
      <c r="T107" s="58"/>
      <c r="U107" s="58"/>
      <c r="V107" s="58"/>
      <c r="W107" s="58"/>
      <c r="X107" s="58"/>
    </row>
    <row r="108" ht="22" customHeight="1">
      <c r="A108" s="4" t="str">
        <v>Other — Amount</v>
      </c>
      <c r="B108" s="2"/>
      <c r="C108" s="44"/>
      <c r="D108" s="44"/>
      <c r="E108" s="44"/>
      <c r="F108" s="44"/>
      <c r="G108" s="44"/>
      <c r="H108" s="44"/>
      <c r="I108" s="44"/>
      <c r="J108" s="44"/>
      <c r="K108" s="44"/>
      <c r="L108" s="44" t="n">
        <v>32</v>
      </c>
      <c r="M108" s="45"/>
      <c r="N108" s="44"/>
      <c r="O108" s="44"/>
      <c r="P108" s="44"/>
      <c r="Q108" s="44"/>
      <c r="R108" s="44"/>
      <c r="S108" s="44"/>
      <c r="T108" s="44"/>
      <c r="U108" s="44"/>
      <c r="V108" s="44"/>
      <c r="W108" s="44"/>
      <c r="X108" s="44"/>
    </row>
    <row r="109" ht="20" customHeight="1">
      <c r="A109" s="56" t="str">
        <v>Other — Tax rate reconciliation（%）</v>
      </c>
      <c r="B109" s="2"/>
      <c r="C109" s="58"/>
      <c r="D109" s="58"/>
      <c r="E109" s="58"/>
      <c r="F109" s="58"/>
      <c r="G109" s="58"/>
      <c r="H109" s="58"/>
      <c r="I109" s="58"/>
      <c r="J109" s="58"/>
      <c r="K109" s="58"/>
      <c r="L109" s="58" t="n">
        <v>0.003</v>
      </c>
      <c r="M109" s="60"/>
      <c r="N109" s="58"/>
      <c r="O109" s="58"/>
      <c r="P109" s="58"/>
      <c r="Q109" s="58"/>
      <c r="R109" s="58"/>
      <c r="S109" s="58"/>
      <c r="T109" s="58"/>
      <c r="U109" s="58"/>
      <c r="V109" s="58"/>
      <c r="W109" s="58"/>
      <c r="X109" s="58"/>
    </row>
    <row r="110" ht="22" customHeight="1">
      <c r="A110" s="4" t="str">
        <v>Statutory income tax rate differential — Amount</v>
      </c>
      <c r="B110" s="2"/>
      <c r="C110" s="44"/>
      <c r="D110" s="44"/>
      <c r="E110" s="44"/>
      <c r="F110" s="44"/>
      <c r="G110" s="44"/>
      <c r="H110" s="44"/>
      <c r="I110" s="44"/>
      <c r="J110" s="44"/>
      <c r="K110" s="44"/>
      <c r="L110" s="44" t="n">
        <v>-310</v>
      </c>
      <c r="M110" s="45"/>
      <c r="N110" s="44"/>
      <c r="O110" s="44"/>
      <c r="P110" s="44"/>
      <c r="Q110" s="44"/>
      <c r="R110" s="44"/>
      <c r="S110" s="44"/>
      <c r="T110" s="44"/>
      <c r="U110" s="44"/>
      <c r="V110" s="44"/>
      <c r="W110" s="44"/>
      <c r="X110" s="44"/>
    </row>
    <row r="111" ht="36" customHeight="1">
      <c r="A111" s="56" t="str">
        <v>Statutory income tax rate differential — Tax rate reconciliation（%）</v>
      </c>
      <c r="B111" s="2"/>
      <c r="C111" s="58"/>
      <c r="D111" s="58"/>
      <c r="E111" s="58"/>
      <c r="F111" s="58"/>
      <c r="G111" s="58"/>
      <c r="H111" s="58"/>
      <c r="I111" s="58"/>
      <c r="J111" s="58"/>
      <c r="K111" s="58"/>
      <c r="L111" s="58" t="n">
        <v>-0.03</v>
      </c>
      <c r="M111" s="60"/>
      <c r="N111" s="58"/>
      <c r="O111" s="58"/>
      <c r="P111" s="58"/>
      <c r="Q111" s="58"/>
      <c r="R111" s="58"/>
      <c r="S111" s="58"/>
      <c r="T111" s="58"/>
      <c r="U111" s="58"/>
      <c r="V111" s="58"/>
      <c r="W111" s="58"/>
      <c r="X111" s="58"/>
    </row>
    <row r="112" ht="22" customHeight="1">
      <c r="A112" s="4" t="str">
        <v>Other foreign jurisdictions — Amount</v>
      </c>
      <c r="B112" s="2"/>
      <c r="C112" s="44"/>
      <c r="D112" s="44"/>
      <c r="E112" s="44"/>
      <c r="F112" s="44"/>
      <c r="G112" s="44"/>
      <c r="H112" s="44"/>
      <c r="I112" s="44"/>
      <c r="J112" s="44"/>
      <c r="K112" s="44"/>
      <c r="L112" s="44" t="n">
        <v>21</v>
      </c>
      <c r="M112" s="45"/>
      <c r="N112" s="44"/>
      <c r="O112" s="44"/>
      <c r="P112" s="44"/>
      <c r="Q112" s="44"/>
      <c r="R112" s="44"/>
      <c r="S112" s="44"/>
      <c r="T112" s="44"/>
      <c r="U112" s="44"/>
      <c r="V112" s="44"/>
      <c r="W112" s="44"/>
      <c r="X112" s="44"/>
    </row>
    <row r="113" ht="36" customHeight="1">
      <c r="A113" s="56" t="str">
        <v>Other foreign jurisdictions — Tax rate reconciliation（%）</v>
      </c>
      <c r="B113" s="2"/>
      <c r="C113" s="58"/>
      <c r="D113" s="58"/>
      <c r="E113" s="58"/>
      <c r="F113" s="58"/>
      <c r="G113" s="58"/>
      <c r="H113" s="58"/>
      <c r="I113" s="58"/>
      <c r="J113" s="58"/>
      <c r="K113" s="58"/>
      <c r="L113" s="58" t="n">
        <v>0.002</v>
      </c>
      <c r="M113" s="60"/>
      <c r="N113" s="58"/>
      <c r="O113" s="58"/>
      <c r="P113" s="58"/>
      <c r="Q113" s="58"/>
      <c r="R113" s="58"/>
      <c r="S113" s="58"/>
      <c r="T113" s="58"/>
      <c r="U113" s="58"/>
      <c r="V113" s="58"/>
      <c r="W113" s="58"/>
      <c r="X113" s="58"/>
    </row>
    <row r="114" ht="22" customHeight="1">
      <c r="A114" s="4" t="str">
        <v>Transfer pricing adjustments — Amount</v>
      </c>
      <c r="B114" s="2"/>
      <c r="C114" s="44"/>
      <c r="D114" s="44"/>
      <c r="E114" s="44"/>
      <c r="F114" s="44"/>
      <c r="G114" s="44"/>
      <c r="H114" s="44"/>
      <c r="I114" s="44"/>
      <c r="J114" s="44"/>
      <c r="K114" s="44"/>
      <c r="L114" s="44" t="n">
        <v>128</v>
      </c>
      <c r="M114" s="45"/>
      <c r="N114" s="44"/>
      <c r="O114" s="44"/>
      <c r="P114" s="44"/>
      <c r="Q114" s="44"/>
      <c r="R114" s="44"/>
      <c r="S114" s="44"/>
      <c r="T114" s="44"/>
      <c r="U114" s="44"/>
      <c r="V114" s="44"/>
      <c r="W114" s="44"/>
      <c r="X114" s="44"/>
    </row>
    <row r="115" ht="36" customHeight="1">
      <c r="A115" s="56" t="str">
        <v>Transfer pricing adjustments — Tax rate reconciliation（%）</v>
      </c>
      <c r="B115" s="2"/>
      <c r="C115" s="58"/>
      <c r="D115" s="58"/>
      <c r="E115" s="58"/>
      <c r="F115" s="58"/>
      <c r="G115" s="58"/>
      <c r="H115" s="58"/>
      <c r="I115" s="58"/>
      <c r="J115" s="58"/>
      <c r="K115" s="58"/>
      <c r="L115" s="58" t="n">
        <v>0.013000000000000001</v>
      </c>
      <c r="M115" s="60"/>
      <c r="N115" s="58"/>
      <c r="O115" s="58"/>
      <c r="P115" s="58"/>
      <c r="Q115" s="58"/>
      <c r="R115" s="58"/>
      <c r="S115" s="58"/>
      <c r="T115" s="58"/>
      <c r="U115" s="58"/>
      <c r="V115" s="58"/>
      <c r="W115" s="58"/>
      <c r="X115" s="58"/>
    </row>
    <row r="116" ht="22" customHeight="1">
      <c r="A116" s="4" t="str">
        <v>Global intangible low-tax income (GILTI) — Amount</v>
      </c>
      <c r="B116" s="2"/>
      <c r="C116" s="44"/>
      <c r="D116" s="44"/>
      <c r="E116" s="44"/>
      <c r="F116" s="44"/>
      <c r="G116" s="44"/>
      <c r="H116" s="44"/>
      <c r="I116" s="44"/>
      <c r="J116" s="44"/>
      <c r="K116" s="44"/>
      <c r="L116" s="44" t="n">
        <v>115</v>
      </c>
      <c r="M116" s="45"/>
      <c r="N116" s="44"/>
      <c r="O116" s="44"/>
      <c r="P116" s="44"/>
      <c r="Q116" s="44"/>
      <c r="R116" s="44"/>
      <c r="S116" s="44"/>
      <c r="T116" s="44"/>
      <c r="U116" s="44"/>
      <c r="V116" s="44"/>
      <c r="W116" s="44"/>
      <c r="X116" s="44"/>
    </row>
    <row r="117" ht="36" customHeight="1">
      <c r="A117" s="56" t="str">
        <v>Global intangible low-tax income (GILTI) — Tax rate reconciliation（%）</v>
      </c>
      <c r="B117" s="2"/>
      <c r="C117" s="58"/>
      <c r="D117" s="58"/>
      <c r="E117" s="58"/>
      <c r="F117" s="58"/>
      <c r="G117" s="58"/>
      <c r="H117" s="58"/>
      <c r="I117" s="58"/>
      <c r="J117" s="58"/>
      <c r="K117" s="58"/>
      <c r="L117" s="58" t="n">
        <v>0.011000000000000001</v>
      </c>
      <c r="M117" s="60"/>
      <c r="N117" s="58"/>
      <c r="O117" s="58"/>
      <c r="P117" s="58"/>
      <c r="Q117" s="58"/>
      <c r="R117" s="58"/>
      <c r="S117" s="58"/>
      <c r="T117" s="58"/>
      <c r="U117" s="58"/>
      <c r="V117" s="58"/>
      <c r="W117" s="58"/>
      <c r="X117" s="58"/>
    </row>
    <row r="118" ht="22" customHeight="1">
      <c r="A118" s="4" t="str">
        <v>Other — Amount</v>
      </c>
      <c r="B118" s="2"/>
      <c r="C118" s="44"/>
      <c r="D118" s="44"/>
      <c r="E118" s="44"/>
      <c r="F118" s="44"/>
      <c r="G118" s="44"/>
      <c r="H118" s="44"/>
      <c r="I118" s="44"/>
      <c r="J118" s="44"/>
      <c r="K118" s="44"/>
      <c r="L118" s="44" t="n">
        <v>-110</v>
      </c>
      <c r="M118" s="45"/>
      <c r="N118" s="44"/>
      <c r="O118" s="44"/>
      <c r="P118" s="44"/>
      <c r="Q118" s="44"/>
      <c r="R118" s="44"/>
      <c r="S118" s="44"/>
      <c r="T118" s="44"/>
      <c r="U118" s="44"/>
      <c r="V118" s="44"/>
      <c r="W118" s="44"/>
      <c r="X118" s="44"/>
    </row>
    <row r="119" ht="20" customHeight="1">
      <c r="A119" s="56" t="str">
        <v>Other — Tax rate reconciliation（%）</v>
      </c>
      <c r="B119" s="2"/>
      <c r="C119" s="58"/>
      <c r="D119" s="58"/>
      <c r="E119" s="58"/>
      <c r="F119" s="58"/>
      <c r="G119" s="58"/>
      <c r="H119" s="58"/>
      <c r="I119" s="58"/>
      <c r="J119" s="58"/>
      <c r="K119" s="58"/>
      <c r="L119" s="58" t="n">
        <v>-0.01</v>
      </c>
      <c r="M119" s="60"/>
      <c r="N119" s="58"/>
      <c r="O119" s="58"/>
      <c r="P119" s="58"/>
      <c r="Q119" s="58"/>
      <c r="R119" s="58"/>
      <c r="S119" s="58"/>
      <c r="T119" s="58"/>
      <c r="U119" s="58"/>
      <c r="V119" s="58"/>
      <c r="W119" s="58"/>
      <c r="X119" s="58"/>
    </row>
    <row r="120" ht="22" customHeight="1">
      <c r="A120" s="4" t="str">
        <v>Tax credits — Amount</v>
      </c>
      <c r="B120" s="2"/>
      <c r="C120" s="44"/>
      <c r="D120" s="44"/>
      <c r="E120" s="44"/>
      <c r="F120" s="44"/>
      <c r="G120" s="44"/>
      <c r="H120" s="44"/>
      <c r="I120" s="44"/>
      <c r="J120" s="44"/>
      <c r="K120" s="44"/>
      <c r="L120" s="44" t="n">
        <v>-29</v>
      </c>
      <c r="M120" s="45"/>
      <c r="N120" s="44"/>
      <c r="O120" s="44"/>
      <c r="P120" s="44"/>
      <c r="Q120" s="44"/>
      <c r="R120" s="44"/>
      <c r="S120" s="44"/>
      <c r="T120" s="44"/>
      <c r="U120" s="44"/>
      <c r="V120" s="44"/>
      <c r="W120" s="44"/>
      <c r="X120" s="44"/>
    </row>
    <row r="121" ht="20" customHeight="1">
      <c r="A121" s="56" t="str">
        <v>Tax credits — Tax rate reconciliation（%）</v>
      </c>
      <c r="B121" s="2"/>
      <c r="C121" s="58"/>
      <c r="D121" s="58"/>
      <c r="E121" s="58"/>
      <c r="F121" s="58"/>
      <c r="G121" s="58"/>
      <c r="H121" s="58"/>
      <c r="I121" s="58"/>
      <c r="J121" s="58"/>
      <c r="K121" s="58"/>
      <c r="L121" s="58" t="n">
        <v>-0.003</v>
      </c>
      <c r="M121" s="60"/>
      <c r="N121" s="58"/>
      <c r="O121" s="58"/>
      <c r="P121" s="58"/>
      <c r="Q121" s="58"/>
      <c r="R121" s="58"/>
      <c r="S121" s="58"/>
      <c r="T121" s="58"/>
      <c r="U121" s="58"/>
      <c r="V121" s="58"/>
      <c r="W121" s="58"/>
      <c r="X121" s="58"/>
    </row>
    <row r="122" ht="22" customHeight="1">
      <c r="A122" s="4" t="str">
        <v>Changes in unrecognized tax benefits — Amount</v>
      </c>
      <c r="B122" s="2"/>
      <c r="C122" s="44"/>
      <c r="D122" s="44"/>
      <c r="E122" s="44"/>
      <c r="F122" s="44"/>
      <c r="G122" s="44"/>
      <c r="H122" s="44"/>
      <c r="I122" s="44"/>
      <c r="J122" s="44"/>
      <c r="K122" s="44"/>
      <c r="L122" s="44" t="n">
        <v>181</v>
      </c>
      <c r="M122" s="45"/>
      <c r="N122" s="44"/>
      <c r="O122" s="44"/>
      <c r="P122" s="44"/>
      <c r="Q122" s="44"/>
      <c r="R122" s="44"/>
      <c r="S122" s="44"/>
      <c r="T122" s="44"/>
      <c r="U122" s="44"/>
      <c r="V122" s="44"/>
      <c r="W122" s="44"/>
      <c r="X122" s="44"/>
    </row>
    <row r="123" ht="36" customHeight="1">
      <c r="A123" s="56" t="str">
        <v>Changes in unrecognized tax benefits — Tax rate reconciliation（%）</v>
      </c>
      <c r="B123" s="2"/>
      <c r="C123" s="58"/>
      <c r="D123" s="58"/>
      <c r="E123" s="58"/>
      <c r="F123" s="58"/>
      <c r="G123" s="58"/>
      <c r="H123" s="58"/>
      <c r="I123" s="58"/>
      <c r="J123" s="58"/>
      <c r="K123" s="58"/>
      <c r="L123" s="58" t="n">
        <v>0.018000000000000002</v>
      </c>
      <c r="M123" s="60"/>
      <c r="N123" s="58"/>
      <c r="O123" s="58"/>
      <c r="P123" s="58"/>
      <c r="Q123" s="58"/>
      <c r="R123" s="58"/>
      <c r="S123" s="58"/>
      <c r="T123" s="58"/>
      <c r="U123" s="58"/>
      <c r="V123" s="58"/>
      <c r="W123" s="58"/>
      <c r="X123" s="58"/>
    </row>
    <row r="124" ht="22" customHeight="1">
      <c r="A124" s="4" t="str">
        <v>Nondeductible and nontaxable items, net — Amount</v>
      </c>
      <c r="B124" s="2"/>
      <c r="C124" s="44"/>
      <c r="D124" s="44"/>
      <c r="E124" s="44"/>
      <c r="F124" s="44"/>
      <c r="G124" s="44"/>
      <c r="H124" s="44"/>
      <c r="I124" s="44"/>
      <c r="J124" s="44"/>
      <c r="K124" s="44"/>
      <c r="L124" s="44" t="n">
        <v>-31</v>
      </c>
      <c r="M124" s="45"/>
      <c r="N124" s="44"/>
      <c r="O124" s="44"/>
      <c r="P124" s="44"/>
      <c r="Q124" s="44"/>
      <c r="R124" s="44"/>
      <c r="S124" s="44"/>
      <c r="T124" s="44"/>
      <c r="U124" s="44"/>
      <c r="V124" s="44"/>
      <c r="W124" s="44"/>
      <c r="X124" s="44"/>
    </row>
    <row r="125" ht="36" customHeight="1">
      <c r="A125" s="56" t="str">
        <v>Nondeductible and nontaxable items, net — Tax rate reconciliation（%）</v>
      </c>
      <c r="B125" s="2"/>
      <c r="C125" s="58"/>
      <c r="D125" s="58"/>
      <c r="E125" s="58"/>
      <c r="F125" s="58"/>
      <c r="G125" s="58"/>
      <c r="H125" s="58"/>
      <c r="I125" s="58"/>
      <c r="J125" s="58"/>
      <c r="K125" s="58"/>
      <c r="L125" s="58" t="n">
        <v>-0.003</v>
      </c>
      <c r="M125" s="60"/>
      <c r="N125" s="58"/>
      <c r="O125" s="58"/>
      <c r="P125" s="58"/>
      <c r="Q125" s="58"/>
      <c r="R125" s="58"/>
      <c r="S125" s="58"/>
      <c r="T125" s="58"/>
      <c r="U125" s="58"/>
      <c r="V125" s="58"/>
      <c r="W125" s="58"/>
      <c r="X125" s="58"/>
    </row>
    <row r="126" ht="22" customHeight="1">
      <c r="A126" s="4" t="str">
        <v>Other — Amount</v>
      </c>
      <c r="B126" s="2"/>
      <c r="C126" s="44"/>
      <c r="D126" s="44"/>
      <c r="E126" s="44"/>
      <c r="F126" s="44"/>
      <c r="G126" s="44"/>
      <c r="H126" s="44"/>
      <c r="I126" s="44"/>
      <c r="J126" s="44"/>
      <c r="K126" s="44"/>
      <c r="L126" s="44" t="n">
        <v>147</v>
      </c>
      <c r="M126" s="45"/>
      <c r="N126" s="44"/>
      <c r="O126" s="44"/>
      <c r="P126" s="44"/>
      <c r="Q126" s="44"/>
      <c r="R126" s="44"/>
      <c r="S126" s="44"/>
      <c r="T126" s="44"/>
      <c r="U126" s="44"/>
      <c r="V126" s="44"/>
      <c r="W126" s="44"/>
      <c r="X126" s="44"/>
    </row>
    <row r="127" ht="20" customHeight="1">
      <c r="A127" s="56" t="str">
        <v>Other — Tax rate reconciliation（%）</v>
      </c>
      <c r="B127" s="2"/>
      <c r="C127" s="58"/>
      <c r="D127" s="58"/>
      <c r="E127" s="58"/>
      <c r="F127" s="58"/>
      <c r="G127" s="58"/>
      <c r="H127" s="58"/>
      <c r="I127" s="58"/>
      <c r="J127" s="58"/>
      <c r="K127" s="58"/>
      <c r="L127" s="58" t="n">
        <v>0.015</v>
      </c>
      <c r="M127" s="60"/>
      <c r="N127" s="58"/>
      <c r="O127" s="58"/>
      <c r="P127" s="58"/>
      <c r="Q127" s="58"/>
      <c r="R127" s="58"/>
      <c r="S127" s="58"/>
      <c r="T127" s="58"/>
      <c r="U127" s="58"/>
      <c r="V127" s="58"/>
      <c r="W127" s="58"/>
      <c r="X127" s="58"/>
    </row>
    <row r="128" ht="22" customHeight="1">
      <c r="A128" s="4" t="str">
        <v>Reported tax — Amount</v>
      </c>
      <c r="B128" s="2"/>
      <c r="C128" s="44"/>
      <c r="D128" s="44"/>
      <c r="E128" s="44"/>
      <c r="F128" s="44"/>
      <c r="G128" s="44"/>
      <c r="H128" s="44"/>
      <c r="I128" s="44"/>
      <c r="J128" s="44"/>
      <c r="K128" s="44"/>
      <c r="L128" s="44" t="n">
        <v>1949</v>
      </c>
      <c r="M128" s="45"/>
      <c r="N128" s="44"/>
      <c r="O128" s="44"/>
      <c r="P128" s="44"/>
      <c r="Q128" s="44"/>
      <c r="R128" s="44"/>
      <c r="S128" s="44"/>
      <c r="T128" s="44"/>
      <c r="U128" s="44"/>
      <c r="V128" s="44"/>
      <c r="W128" s="44"/>
      <c r="X128" s="44"/>
    </row>
    <row r="129" ht="20" customHeight="1">
      <c r="A129" s="56" t="str">
        <v>Reported tax — Tax rate reconciliation（%）</v>
      </c>
      <c r="B129" s="2"/>
      <c r="C129" s="58"/>
      <c r="D129" s="58"/>
      <c r="E129" s="58"/>
      <c r="F129" s="58"/>
      <c r="G129" s="58"/>
      <c r="H129" s="58"/>
      <c r="I129" s="58"/>
      <c r="J129" s="58"/>
      <c r="K129" s="58"/>
      <c r="L129" s="58" t="n">
        <v>0.19</v>
      </c>
      <c r="M129" s="60"/>
      <c r="N129" s="58"/>
      <c r="O129" s="58"/>
      <c r="P129" s="58"/>
      <c r="Q129" s="58"/>
      <c r="R129" s="58"/>
      <c r="S129" s="58"/>
      <c r="T129" s="58"/>
      <c r="U129" s="58"/>
      <c r="V129" s="58"/>
      <c r="W129" s="58"/>
      <c r="X129" s="58"/>
    </row>
    <row r="130" ht="22" customHeight="1">
      <c r="A130" s="4" t="str">
        <v>U.S. Federal — Amount</v>
      </c>
      <c r="B130" s="2"/>
      <c r="C130" s="44"/>
      <c r="D130" s="44"/>
      <c r="E130" s="44"/>
      <c r="F130" s="44"/>
      <c r="G130" s="44"/>
      <c r="H130" s="44"/>
      <c r="I130" s="44"/>
      <c r="J130" s="44"/>
      <c r="K130" s="44"/>
      <c r="L130" s="44" t="n">
        <v>1107</v>
      </c>
      <c r="M130" s="45"/>
      <c r="N130" s="44"/>
      <c r="O130" s="44"/>
      <c r="P130" s="44"/>
      <c r="Q130" s="44"/>
      <c r="R130" s="44"/>
      <c r="S130" s="44"/>
      <c r="T130" s="44"/>
      <c r="U130" s="44"/>
      <c r="V130" s="44"/>
      <c r="W130" s="44"/>
      <c r="X130" s="44"/>
    </row>
    <row r="131" ht="22" customHeight="1">
      <c r="A131" s="4" t="str">
        <v>U.S. State and Local — Amount</v>
      </c>
      <c r="B131" s="2"/>
      <c r="C131" s="44"/>
      <c r="D131" s="44"/>
      <c r="E131" s="44"/>
      <c r="F131" s="44"/>
      <c r="G131" s="44"/>
      <c r="H131" s="44"/>
      <c r="I131" s="44"/>
      <c r="J131" s="44"/>
      <c r="K131" s="44"/>
      <c r="L131" s="44" t="n">
        <v>243</v>
      </c>
      <c r="M131" s="45"/>
      <c r="N131" s="44"/>
      <c r="O131" s="44"/>
      <c r="P131" s="44"/>
      <c r="Q131" s="44"/>
      <c r="R131" s="44"/>
      <c r="S131" s="44"/>
      <c r="T131" s="44"/>
      <c r="U131" s="44"/>
      <c r="V131" s="44"/>
      <c r="W131" s="44"/>
      <c r="X131" s="44"/>
    </row>
    <row r="132" ht="22" customHeight="1">
      <c r="A132" s="4" t="str">
        <v>Ireland — Amount</v>
      </c>
      <c r="B132" s="2"/>
      <c r="C132" s="44"/>
      <c r="D132" s="44"/>
      <c r="E132" s="44"/>
      <c r="F132" s="44"/>
      <c r="G132" s="44"/>
      <c r="H132" s="44"/>
      <c r="I132" s="44"/>
      <c r="J132" s="44"/>
      <c r="K132" s="44"/>
      <c r="L132" s="44" t="n">
        <v>424</v>
      </c>
      <c r="M132" s="45"/>
      <c r="N132" s="44"/>
      <c r="O132" s="44"/>
      <c r="P132" s="44"/>
      <c r="Q132" s="44"/>
      <c r="R132" s="44"/>
      <c r="S132" s="44"/>
      <c r="T132" s="44"/>
      <c r="U132" s="44"/>
      <c r="V132" s="44"/>
      <c r="W132" s="44"/>
      <c r="X132" s="44"/>
    </row>
    <row r="133" ht="22" customHeight="1">
      <c r="A133" s="4" t="str">
        <v>Mexico — Amount</v>
      </c>
      <c r="B133" s="2"/>
      <c r="C133" s="44"/>
      <c r="D133" s="44"/>
      <c r="E133" s="44"/>
      <c r="F133" s="44"/>
      <c r="G133" s="44"/>
      <c r="H133" s="44"/>
      <c r="I133" s="44"/>
      <c r="J133" s="44"/>
      <c r="K133" s="44"/>
      <c r="L133" s="44" t="n">
        <v>313</v>
      </c>
      <c r="M133" s="45"/>
      <c r="N133" s="44"/>
      <c r="O133" s="44"/>
      <c r="P133" s="44"/>
      <c r="Q133" s="44"/>
      <c r="R133" s="44"/>
      <c r="S133" s="44"/>
      <c r="T133" s="44"/>
      <c r="U133" s="44"/>
      <c r="V133" s="44"/>
      <c r="W133" s="44"/>
      <c r="X133" s="44"/>
    </row>
    <row r="134" ht="22" customHeight="1">
      <c r="A134" s="4" t="str">
        <v>Russia — Amount</v>
      </c>
      <c r="B134" s="2"/>
      <c r="C134" s="44"/>
      <c r="D134" s="44"/>
      <c r="E134" s="44"/>
      <c r="F134" s="44"/>
      <c r="G134" s="44"/>
      <c r="H134" s="44"/>
      <c r="I134" s="44"/>
      <c r="J134" s="44"/>
      <c r="K134" s="44"/>
      <c r="L134" s="44" t="n">
        <v>237</v>
      </c>
      <c r="M134" s="45"/>
      <c r="N134" s="44"/>
      <c r="O134" s="44"/>
      <c r="P134" s="44"/>
      <c r="Q134" s="44"/>
      <c r="R134" s="44"/>
      <c r="S134" s="44"/>
      <c r="T134" s="44"/>
      <c r="U134" s="44"/>
      <c r="V134" s="44"/>
      <c r="W134" s="44"/>
      <c r="X134" s="44"/>
    </row>
    <row r="135" ht="22" customHeight="1">
      <c r="A135" s="4" t="str">
        <v>Other — Amount</v>
      </c>
      <c r="B135" s="2"/>
      <c r="C135" s="44"/>
      <c r="D135" s="44"/>
      <c r="E135" s="44"/>
      <c r="F135" s="44"/>
      <c r="G135" s="44"/>
      <c r="H135" s="44"/>
      <c r="I135" s="44"/>
      <c r="J135" s="44"/>
      <c r="K135" s="44"/>
      <c r="L135" s="44" t="n">
        <v>759</v>
      </c>
      <c r="M135" s="45"/>
      <c r="N135" s="44"/>
      <c r="O135" s="44"/>
      <c r="P135" s="44"/>
      <c r="Q135" s="44"/>
      <c r="R135" s="44"/>
      <c r="S135" s="44"/>
      <c r="T135" s="44"/>
      <c r="U135" s="44"/>
      <c r="V135" s="44"/>
      <c r="W135" s="44"/>
      <c r="X135" s="44"/>
    </row>
    <row r="136" ht="22" customHeight="1">
      <c r="A136" s="4" t="str">
        <v>Subtotal (unlabeled in filing): Foreign — Amount</v>
      </c>
      <c r="B136" s="2"/>
      <c r="C136" s="44"/>
      <c r="D136" s="44"/>
      <c r="E136" s="44"/>
      <c r="F136" s="44"/>
      <c r="G136" s="44"/>
      <c r="H136" s="44"/>
      <c r="I136" s="44"/>
      <c r="J136" s="44"/>
      <c r="K136" s="44"/>
      <c r="L136" s="44" t="n">
        <v>1733</v>
      </c>
      <c r="M136" s="45"/>
      <c r="N136" s="44"/>
      <c r="O136" s="44"/>
      <c r="P136" s="44"/>
      <c r="Q136" s="44"/>
      <c r="R136" s="44"/>
      <c r="S136" s="44"/>
      <c r="T136" s="44"/>
      <c r="U136" s="44"/>
      <c r="V136" s="44"/>
      <c r="W136" s="44"/>
      <c r="X136" s="44"/>
    </row>
    <row r="137" ht="24" customHeight="1">
      <c r="A137" s="51" t="str">
        <v>Total — Amount</v>
      </c>
      <c r="B137" s="52"/>
      <c r="C137" s="53"/>
      <c r="D137" s="53"/>
      <c r="E137" s="53"/>
      <c r="F137" s="53"/>
      <c r="G137" s="53"/>
      <c r="H137" s="53"/>
      <c r="I137" s="53"/>
      <c r="J137" s="53"/>
      <c r="K137" s="53"/>
      <c r="L137" s="53" t="n">
        <v>3083</v>
      </c>
      <c r="M137" s="55"/>
      <c r="N137" s="53"/>
      <c r="O137" s="53"/>
      <c r="P137" s="53"/>
      <c r="Q137" s="53"/>
      <c r="R137" s="53"/>
      <c r="S137" s="53"/>
      <c r="T137" s="53"/>
      <c r="U137" s="53"/>
      <c r="V137" s="53"/>
      <c r="W137" s="53"/>
      <c r="X137" s="53"/>
    </row>
    <row r="138" ht="22" customHeight="1">
      <c r="A138" s="4"/>
      <c r="B138" s="2"/>
      <c r="C138" s="3"/>
      <c r="D138" s="3"/>
      <c r="E138" s="3"/>
      <c r="F138" s="3"/>
      <c r="G138" s="3"/>
      <c r="H138" s="3"/>
      <c r="I138" s="3"/>
      <c r="J138" s="3"/>
      <c r="K138" s="3"/>
      <c r="L138" s="3"/>
      <c r="M138" s="3"/>
      <c r="N138" s="3"/>
      <c r="O138" s="3"/>
      <c r="P138" s="3"/>
      <c r="Q138" s="3"/>
      <c r="R138" s="3"/>
      <c r="S138" s="3"/>
      <c r="T138" s="3"/>
      <c r="U138" s="3"/>
      <c r="V138" s="3"/>
      <c r="W138" s="3"/>
      <c r="X138" s="3"/>
    </row>
    <row r="139" ht="22" customHeight="1">
      <c r="A139" s="29" t="str">
        <v>Deferred income tax assets and liabilities</v>
      </c>
      <c r="B139" s="29"/>
      <c r="C139" s="32"/>
      <c r="D139" s="32"/>
      <c r="E139" s="32"/>
      <c r="F139" s="32"/>
      <c r="G139" s="32"/>
      <c r="H139" s="32"/>
      <c r="I139" s="32"/>
      <c r="J139" s="32"/>
      <c r="K139" s="32"/>
      <c r="L139" s="32"/>
      <c r="M139" s="32"/>
      <c r="N139" s="32"/>
      <c r="O139" s="32"/>
      <c r="P139" s="32"/>
      <c r="Q139" s="32"/>
      <c r="R139" s="32"/>
      <c r="S139" s="32"/>
      <c r="T139" s="32"/>
      <c r="U139" s="32"/>
      <c r="V139" s="32"/>
      <c r="W139" s="32"/>
      <c r="X139" s="32"/>
    </row>
    <row r="140" ht="18" customHeight="1">
      <c r="A140" s="33" t="str">
        <v>FY2025 uses expanded tax-rate disclosures. Identical Other labels retain their original reconciliation scopes and are not combined.</v>
      </c>
      <c r="B140" s="33"/>
      <c r="C140" s="35"/>
      <c r="D140" s="35"/>
      <c r="E140" s="35"/>
      <c r="F140" s="35"/>
      <c r="G140" s="35"/>
      <c r="H140" s="35"/>
      <c r="I140" s="35"/>
      <c r="J140" s="35"/>
      <c r="K140" s="35"/>
      <c r="L140" s="35"/>
      <c r="M140" s="35"/>
      <c r="N140" s="35"/>
      <c r="O140" s="35"/>
      <c r="P140" s="35"/>
      <c r="Q140" s="35"/>
      <c r="R140" s="35"/>
      <c r="S140" s="35"/>
      <c r="T140" s="35"/>
      <c r="U140" s="35"/>
      <c r="V140" s="35"/>
      <c r="W140" s="35"/>
      <c r="X140" s="35"/>
    </row>
    <row r="141" ht="22" customHeight="1">
      <c r="A141" s="4" t="str">
        <v>Debt guarantee of wholly-owned subsidiary</v>
      </c>
      <c r="B141" s="2"/>
      <c r="C141" s="44" t="n">
        <v>839</v>
      </c>
      <c r="D141" s="44" t="n">
        <v>578</v>
      </c>
      <c r="E141" s="44" t="n">
        <v>578</v>
      </c>
      <c r="F141" s="44" t="n">
        <v>578</v>
      </c>
      <c r="G141" s="44" t="n">
        <v>578</v>
      </c>
      <c r="H141" s="44" t="n">
        <v>578</v>
      </c>
      <c r="I141" s="44" t="n">
        <v>578</v>
      </c>
      <c r="J141" s="44" t="n">
        <v>578</v>
      </c>
      <c r="K141" s="44" t="n">
        <v>578</v>
      </c>
      <c r="L141" s="44" t="n">
        <v>578</v>
      </c>
      <c r="M141" s="45"/>
      <c r="N141" s="44"/>
      <c r="O141" s="44"/>
      <c r="P141" s="44"/>
      <c r="Q141" s="44"/>
      <c r="R141" s="44"/>
      <c r="S141" s="44"/>
      <c r="T141" s="44"/>
      <c r="U141" s="44"/>
      <c r="V141" s="44"/>
      <c r="W141" s="44"/>
      <c r="X141" s="44"/>
    </row>
    <row r="142" ht="22" customHeight="1">
      <c r="A142" s="4" t="str">
        <v>Property, plant and equipment</v>
      </c>
      <c r="B142" s="2"/>
      <c r="C142" s="44" t="n">
        <v>1967</v>
      </c>
      <c r="D142" s="44" t="n">
        <v>1397</v>
      </c>
      <c r="E142" s="44" t="n">
        <v>1303</v>
      </c>
      <c r="F142" s="44" t="n">
        <v>1583</v>
      </c>
      <c r="G142" s="44" t="n">
        <v>1851</v>
      </c>
      <c r="H142" s="44" t="n">
        <v>2036</v>
      </c>
      <c r="I142" s="44" t="n">
        <v>2126</v>
      </c>
      <c r="J142" s="44" t="n">
        <v>1978</v>
      </c>
      <c r="K142" s="44" t="n">
        <v>1868</v>
      </c>
      <c r="L142" s="44" t="n">
        <v>2047</v>
      </c>
      <c r="M142" s="45"/>
      <c r="N142" s="44"/>
      <c r="O142" s="44"/>
      <c r="P142" s="44"/>
      <c r="Q142" s="44"/>
      <c r="R142" s="44"/>
      <c r="S142" s="44"/>
      <c r="T142" s="44"/>
      <c r="U142" s="44"/>
      <c r="V142" s="44"/>
      <c r="W142" s="44"/>
      <c r="X142" s="44"/>
    </row>
    <row r="143" ht="22" customHeight="1">
      <c r="A143" s="4" t="str">
        <v>Intangible assets other than nondeductible goodwill</v>
      </c>
      <c r="B143" s="2"/>
      <c r="C143" s="44" t="n">
        <v>4124</v>
      </c>
      <c r="D143" s="44" t="n">
        <v>3169</v>
      </c>
      <c r="E143" s="44" t="n">
        <v>0</v>
      </c>
      <c r="F143" s="44"/>
      <c r="G143" s="44"/>
      <c r="H143" s="44"/>
      <c r="I143" s="44"/>
      <c r="J143" s="44"/>
      <c r="K143" s="44"/>
      <c r="L143" s="44"/>
      <c r="M143" s="45"/>
      <c r="N143" s="44"/>
      <c r="O143" s="44"/>
      <c r="P143" s="44"/>
      <c r="Q143" s="44"/>
      <c r="R143" s="44"/>
      <c r="S143" s="44"/>
      <c r="T143" s="44"/>
      <c r="U143" s="44"/>
      <c r="V143" s="44"/>
      <c r="W143" s="44"/>
      <c r="X143" s="44"/>
    </row>
    <row r="144" ht="22" customHeight="1">
      <c r="A144" s="4" t="str">
        <v>Gross deferred tax liabilities</v>
      </c>
      <c r="B144" s="2"/>
      <c r="C144" s="44" t="n">
        <v>7175</v>
      </c>
      <c r="D144" s="44" t="n">
        <v>5194</v>
      </c>
      <c r="E144" s="44" t="n">
        <v>2366</v>
      </c>
      <c r="F144" s="44" t="n">
        <v>3008</v>
      </c>
      <c r="G144" s="44" t="n">
        <v>3463</v>
      </c>
      <c r="H144" s="44" t="n">
        <v>4038</v>
      </c>
      <c r="I144" s="44" t="n">
        <v>4337</v>
      </c>
      <c r="J144" s="44" t="n">
        <v>4318</v>
      </c>
      <c r="K144" s="44" t="n">
        <v>4119</v>
      </c>
      <c r="L144" s="44" t="n">
        <v>4656</v>
      </c>
      <c r="M144" s="45"/>
      <c r="N144" s="44"/>
      <c r="O144" s="44"/>
      <c r="P144" s="44"/>
      <c r="Q144" s="44"/>
      <c r="R144" s="44"/>
      <c r="S144" s="44"/>
      <c r="T144" s="44"/>
      <c r="U144" s="44"/>
      <c r="V144" s="44"/>
      <c r="W144" s="44"/>
      <c r="X144" s="44"/>
    </row>
    <row r="145" ht="22" customHeight="1">
      <c r="A145" s="4" t="str">
        <v>Net carryforwards</v>
      </c>
      <c r="B145" s="2"/>
      <c r="C145" s="44" t="n">
        <v>1255</v>
      </c>
      <c r="D145" s="44" t="n">
        <v>1400</v>
      </c>
      <c r="E145" s="44" t="n">
        <v>4353</v>
      </c>
      <c r="F145" s="44" t="n">
        <v>4168</v>
      </c>
      <c r="G145" s="44" t="n">
        <v>5008</v>
      </c>
      <c r="H145" s="44" t="n">
        <v>4974</v>
      </c>
      <c r="I145" s="44" t="n">
        <v>5342</v>
      </c>
      <c r="J145" s="44" t="n">
        <v>6877</v>
      </c>
      <c r="K145" s="44" t="n">
        <v>6737</v>
      </c>
      <c r="L145" s="44" t="n">
        <v>6849</v>
      </c>
      <c r="M145" s="45"/>
      <c r="N145" s="44"/>
      <c r="O145" s="44"/>
      <c r="P145" s="44"/>
      <c r="Q145" s="44"/>
      <c r="R145" s="44"/>
      <c r="S145" s="44"/>
      <c r="T145" s="44"/>
      <c r="U145" s="44"/>
      <c r="V145" s="44"/>
      <c r="W145" s="44"/>
      <c r="X145" s="44"/>
    </row>
    <row r="146" ht="22" customHeight="1">
      <c r="A146" s="4" t="str">
        <v>Share-based compensation</v>
      </c>
      <c r="B146" s="2"/>
      <c r="C146" s="44" t="n">
        <v>219</v>
      </c>
      <c r="D146" s="44" t="n">
        <v>107</v>
      </c>
      <c r="E146" s="44" t="n">
        <v>106</v>
      </c>
      <c r="F146" s="44" t="n">
        <v>94</v>
      </c>
      <c r="G146" s="44" t="n">
        <v>90</v>
      </c>
      <c r="H146" s="44" t="n">
        <v>98</v>
      </c>
      <c r="I146" s="44" t="n">
        <v>120</v>
      </c>
      <c r="J146" s="44" t="n">
        <v>137</v>
      </c>
      <c r="K146" s="44" t="n">
        <v>148</v>
      </c>
      <c r="L146" s="44" t="n">
        <v>141</v>
      </c>
      <c r="M146" s="45"/>
      <c r="N146" s="44"/>
      <c r="O146" s="44"/>
      <c r="P146" s="44"/>
      <c r="Q146" s="44"/>
      <c r="R146" s="44"/>
      <c r="S146" s="44"/>
      <c r="T146" s="44"/>
      <c r="U146" s="44"/>
      <c r="V146" s="44"/>
      <c r="W146" s="44"/>
      <c r="X146" s="44"/>
    </row>
    <row r="147" ht="22" customHeight="1">
      <c r="A147" s="4" t="str">
        <v>Retiree medical benefits</v>
      </c>
      <c r="B147" s="2"/>
      <c r="C147" s="44" t="n">
        <v>316</v>
      </c>
      <c r="D147" s="44" t="n">
        <v>198</v>
      </c>
      <c r="E147" s="44" t="n">
        <v>167</v>
      </c>
      <c r="F147" s="44" t="n">
        <v>154</v>
      </c>
      <c r="G147" s="44" t="n">
        <v>153</v>
      </c>
      <c r="H147" s="44" t="n">
        <v>147</v>
      </c>
      <c r="I147" s="44" t="n">
        <v>118</v>
      </c>
      <c r="J147" s="44" t="n">
        <v>114</v>
      </c>
      <c r="K147" s="44" t="n">
        <v>104</v>
      </c>
      <c r="L147" s="44" t="n">
        <v>96</v>
      </c>
      <c r="M147" s="45"/>
      <c r="N147" s="44"/>
      <c r="O147" s="44"/>
      <c r="P147" s="44"/>
      <c r="Q147" s="44"/>
      <c r="R147" s="44"/>
      <c r="S147" s="44"/>
      <c r="T147" s="44"/>
      <c r="U147" s="44"/>
      <c r="V147" s="44"/>
      <c r="W147" s="44"/>
      <c r="X147" s="44"/>
    </row>
    <row r="148" ht="22" customHeight="1">
      <c r="A148" s="4" t="str">
        <v>Other employee-related benefits</v>
      </c>
      <c r="B148" s="2"/>
      <c r="C148" s="44" t="n">
        <v>614</v>
      </c>
      <c r="D148" s="44" t="n">
        <v>338</v>
      </c>
      <c r="E148" s="44" t="n">
        <v>303</v>
      </c>
      <c r="F148" s="44" t="n">
        <v>350</v>
      </c>
      <c r="G148" s="44" t="n">
        <v>373</v>
      </c>
      <c r="H148" s="44" t="n">
        <v>379</v>
      </c>
      <c r="I148" s="44" t="n">
        <v>349</v>
      </c>
      <c r="J148" s="44" t="n">
        <v>412</v>
      </c>
      <c r="K148" s="44" t="n">
        <v>415</v>
      </c>
      <c r="L148" s="44" t="n">
        <v>372</v>
      </c>
      <c r="M148" s="45"/>
      <c r="N148" s="44"/>
      <c r="O148" s="44"/>
      <c r="P148" s="44"/>
      <c r="Q148" s="44"/>
      <c r="R148" s="44"/>
      <c r="S148" s="44"/>
      <c r="T148" s="44"/>
      <c r="U148" s="44"/>
      <c r="V148" s="44"/>
      <c r="W148" s="44"/>
      <c r="X148" s="44"/>
    </row>
    <row r="149" ht="22" customHeight="1">
      <c r="A149" s="4" t="str">
        <v>Pension benefits</v>
      </c>
      <c r="B149" s="2"/>
      <c r="C149" s="44" t="n">
        <v>419</v>
      </c>
      <c r="D149" s="44" t="n">
        <v>22</v>
      </c>
      <c r="E149" s="44" t="n">
        <v>221</v>
      </c>
      <c r="F149" s="44" t="n">
        <v>104</v>
      </c>
      <c r="G149" s="44" t="n">
        <v>80</v>
      </c>
      <c r="H149" s="44" t="n">
        <v>0</v>
      </c>
      <c r="I149" s="44"/>
      <c r="J149" s="44"/>
      <c r="K149" s="44"/>
      <c r="L149" s="44"/>
      <c r="M149" s="45"/>
      <c r="N149" s="44"/>
      <c r="O149" s="44"/>
      <c r="P149" s="44"/>
      <c r="Q149" s="44"/>
      <c r="R149" s="44"/>
      <c r="S149" s="44"/>
      <c r="T149" s="44"/>
      <c r="U149" s="44"/>
      <c r="V149" s="44"/>
      <c r="W149" s="44"/>
      <c r="X149" s="44"/>
    </row>
    <row r="150" ht="22" customHeight="1">
      <c r="A150" s="4" t="str">
        <v>Deductible state tax and interest benefits</v>
      </c>
      <c r="B150" s="2"/>
      <c r="C150" s="44" t="n">
        <v>189</v>
      </c>
      <c r="D150" s="44" t="n">
        <v>157</v>
      </c>
      <c r="E150" s="44" t="n">
        <v>110</v>
      </c>
      <c r="F150" s="44" t="n">
        <v>126</v>
      </c>
      <c r="G150" s="44" t="n">
        <v>150</v>
      </c>
      <c r="H150" s="44" t="n">
        <v>149</v>
      </c>
      <c r="I150" s="44" t="n">
        <v>144</v>
      </c>
      <c r="J150" s="44" t="n">
        <v>176</v>
      </c>
      <c r="K150" s="44" t="n">
        <v>202</v>
      </c>
      <c r="L150" s="44" t="n">
        <v>181</v>
      </c>
      <c r="M150" s="45"/>
      <c r="N150" s="44"/>
      <c r="O150" s="44"/>
      <c r="P150" s="44"/>
      <c r="Q150" s="44"/>
      <c r="R150" s="44"/>
      <c r="S150" s="44"/>
      <c r="T150" s="44"/>
      <c r="U150" s="44"/>
      <c r="V150" s="44"/>
      <c r="W150" s="44"/>
      <c r="X150" s="44"/>
    </row>
    <row r="151" ht="22" customHeight="1">
      <c r="A151" s="4" t="str">
        <v>Other</v>
      </c>
      <c r="B151" s="2"/>
      <c r="C151" s="44" t="n">
        <v>839</v>
      </c>
      <c r="D151" s="44" t="n">
        <v>893</v>
      </c>
      <c r="E151" s="44" t="n">
        <v>739</v>
      </c>
      <c r="F151" s="44" t="n">
        <v>741</v>
      </c>
      <c r="G151" s="44" t="n">
        <v>866</v>
      </c>
      <c r="H151" s="44" t="n">
        <v>842</v>
      </c>
      <c r="I151" s="44" t="n">
        <v>1050</v>
      </c>
      <c r="J151" s="44" t="n">
        <v>1031</v>
      </c>
      <c r="K151" s="44" t="n">
        <v>948</v>
      </c>
      <c r="L151" s="44" t="n">
        <v>927</v>
      </c>
      <c r="M151" s="45"/>
      <c r="N151" s="44"/>
      <c r="O151" s="44"/>
      <c r="P151" s="44"/>
      <c r="Q151" s="44"/>
      <c r="R151" s="44"/>
      <c r="S151" s="44"/>
      <c r="T151" s="44"/>
      <c r="U151" s="44"/>
      <c r="V151" s="44"/>
      <c r="W151" s="44"/>
      <c r="X151" s="44"/>
    </row>
    <row r="152" ht="22" customHeight="1">
      <c r="A152" s="4" t="str">
        <v>Gross deferred tax assets</v>
      </c>
      <c r="B152" s="2"/>
      <c r="C152" s="44" t="n">
        <v>3851</v>
      </c>
      <c r="D152" s="44" t="n">
        <v>3115</v>
      </c>
      <c r="E152" s="44" t="n">
        <v>6984</v>
      </c>
      <c r="F152" s="44" t="n">
        <v>6875</v>
      </c>
      <c r="G152" s="44" t="n">
        <v>8237</v>
      </c>
      <c r="H152" s="44" t="n">
        <v>8150</v>
      </c>
      <c r="I152" s="44" t="n">
        <v>9421</v>
      </c>
      <c r="J152" s="44" t="n">
        <v>11375</v>
      </c>
      <c r="K152" s="44" t="n">
        <v>11182</v>
      </c>
      <c r="L152" s="44" t="n">
        <v>11515</v>
      </c>
      <c r="M152" s="45"/>
      <c r="N152" s="44"/>
      <c r="O152" s="44"/>
      <c r="P152" s="44"/>
      <c r="Q152" s="44"/>
      <c r="R152" s="44"/>
      <c r="S152" s="44"/>
      <c r="T152" s="44"/>
      <c r="U152" s="44"/>
      <c r="V152" s="44"/>
      <c r="W152" s="44"/>
      <c r="X152" s="44"/>
    </row>
    <row r="153" ht="22" customHeight="1">
      <c r="A153" s="4" t="str">
        <v>Valuation allowances</v>
      </c>
      <c r="B153" s="2"/>
      <c r="C153" s="44" t="n">
        <v>-1110</v>
      </c>
      <c r="D153" s="44" t="n">
        <v>-1163</v>
      </c>
      <c r="E153" s="44" t="n">
        <v>-3753</v>
      </c>
      <c r="F153" s="44" t="n">
        <v>-3599</v>
      </c>
      <c r="G153" s="44" t="n">
        <v>-4686</v>
      </c>
      <c r="H153" s="44" t="n">
        <v>-4628</v>
      </c>
      <c r="I153" s="44" t="n">
        <v>-5013</v>
      </c>
      <c r="J153" s="44" t="n">
        <v>-6478</v>
      </c>
      <c r="K153" s="44" t="n">
        <v>-6185</v>
      </c>
      <c r="L153" s="44" t="n">
        <v>-6120</v>
      </c>
      <c r="M153" s="45"/>
      <c r="N153" s="44"/>
      <c r="O153" s="44"/>
      <c r="P153" s="44"/>
      <c r="Q153" s="44"/>
      <c r="R153" s="44"/>
      <c r="S153" s="44"/>
      <c r="T153" s="44"/>
      <c r="U153" s="44"/>
      <c r="V153" s="44"/>
      <c r="W153" s="44"/>
      <c r="X153" s="44"/>
    </row>
    <row r="154" ht="22" customHeight="1">
      <c r="A154" s="4" t="str">
        <v>Deferred tax assets, net</v>
      </c>
      <c r="B154" s="2"/>
      <c r="C154" s="44" t="n">
        <v>2741</v>
      </c>
      <c r="D154" s="44" t="n">
        <v>1952</v>
      </c>
      <c r="E154" s="44" t="n">
        <v>3231</v>
      </c>
      <c r="F154" s="44" t="n">
        <v>3276</v>
      </c>
      <c r="G154" s="44" t="n">
        <v>3551</v>
      </c>
      <c r="H154" s="44" t="n">
        <v>3522</v>
      </c>
      <c r="I154" s="44" t="n">
        <v>4408</v>
      </c>
      <c r="J154" s="44" t="n">
        <v>4897</v>
      </c>
      <c r="K154" s="44" t="n">
        <v>4997</v>
      </c>
      <c r="L154" s="44" t="n">
        <v>5395</v>
      </c>
      <c r="M154" s="45"/>
      <c r="N154" s="44"/>
      <c r="O154" s="44"/>
      <c r="P154" s="44"/>
      <c r="Q154" s="44"/>
      <c r="R154" s="44"/>
      <c r="S154" s="44"/>
      <c r="T154" s="44"/>
      <c r="U154" s="44"/>
      <c r="V154" s="44"/>
      <c r="W154" s="44"/>
      <c r="X154" s="44"/>
    </row>
    <row r="155" ht="22" customHeight="1">
      <c r="A155" s="4" t="str">
        <v>Net deferred tax liabilities</v>
      </c>
      <c r="B155" s="2"/>
      <c r="C155" s="44" t="n">
        <v>4434</v>
      </c>
      <c r="D155" s="44" t="n">
        <v>3242</v>
      </c>
      <c r="E155" s="44"/>
      <c r="F155" s="44"/>
      <c r="G155" s="44"/>
      <c r="H155" s="44"/>
      <c r="I155" s="44"/>
      <c r="J155" s="44"/>
      <c r="K155" s="44"/>
      <c r="L155" s="44"/>
      <c r="M155" s="45"/>
      <c r="N155" s="44"/>
      <c r="O155" s="44"/>
      <c r="P155" s="44"/>
      <c r="Q155" s="44"/>
      <c r="R155" s="44"/>
      <c r="S155" s="44"/>
      <c r="T155" s="44"/>
      <c r="U155" s="44"/>
      <c r="V155" s="44"/>
      <c r="W155" s="44"/>
      <c r="X155" s="44"/>
    </row>
    <row r="156" ht="22" customHeight="1">
      <c r="A156" s="4" t="str">
        <v>Recapture of net operating losses</v>
      </c>
      <c r="B156" s="2"/>
      <c r="C156" s="44"/>
      <c r="D156" s="44" t="n">
        <v>0</v>
      </c>
      <c r="E156" s="44" t="n">
        <v>414</v>
      </c>
      <c r="F156" s="44" t="n">
        <v>335</v>
      </c>
      <c r="G156" s="44" t="n">
        <v>504</v>
      </c>
      <c r="H156" s="44" t="n">
        <v>504</v>
      </c>
      <c r="I156" s="44" t="n">
        <v>492</v>
      </c>
      <c r="J156" s="44" t="n">
        <v>492</v>
      </c>
      <c r="K156" s="44" t="n">
        <v>488</v>
      </c>
      <c r="L156" s="44" t="n">
        <v>488</v>
      </c>
      <c r="M156" s="45"/>
      <c r="N156" s="44"/>
      <c r="O156" s="44"/>
      <c r="P156" s="44"/>
      <c r="Q156" s="44"/>
      <c r="R156" s="44"/>
      <c r="S156" s="44"/>
      <c r="T156" s="44"/>
      <c r="U156" s="44"/>
      <c r="V156" s="44"/>
      <c r="W156" s="44"/>
      <c r="X156" s="44"/>
    </row>
    <row r="157" ht="22" customHeight="1">
      <c r="A157" s="4" t="str">
        <v>Intangible assets other than nondeductible goodwill</v>
      </c>
      <c r="B157" s="2"/>
      <c r="C157" s="44"/>
      <c r="D157" s="44" t="n">
        <v>0</v>
      </c>
      <c r="E157" s="44" t="n">
        <v>985</v>
      </c>
      <c r="F157" s="44" t="n">
        <v>793</v>
      </c>
      <c r="G157" s="44" t="n">
        <v>1146</v>
      </c>
      <c r="H157" s="44" t="n">
        <v>1111</v>
      </c>
      <c r="I157" s="44" t="n">
        <v>1614</v>
      </c>
      <c r="J157" s="44" t="n">
        <v>1758</v>
      </c>
      <c r="K157" s="44" t="n">
        <v>1599</v>
      </c>
      <c r="L157" s="44" t="n">
        <v>1996</v>
      </c>
      <c r="M157" s="45"/>
      <c r="N157" s="44"/>
      <c r="O157" s="44"/>
      <c r="P157" s="44"/>
      <c r="Q157" s="44"/>
      <c r="R157" s="44"/>
      <c r="S157" s="44"/>
      <c r="T157" s="44"/>
      <c r="U157" s="44"/>
      <c r="V157" s="44"/>
      <c r="W157" s="44"/>
      <c r="X157" s="44"/>
    </row>
    <row r="158" ht="22" customHeight="1">
      <c r="A158" s="4" t="str">
        <v>Net deferred tax (assets)/liabilities</v>
      </c>
      <c r="B158" s="2"/>
      <c r="C158" s="44"/>
      <c r="D158" s="44" t="n">
        <v>3242</v>
      </c>
      <c r="E158" s="44" t="n">
        <v>-865</v>
      </c>
      <c r="F158" s="44"/>
      <c r="G158" s="44"/>
      <c r="H158" s="44" t="n">
        <v>516</v>
      </c>
      <c r="I158" s="44" t="n">
        <v>-71</v>
      </c>
      <c r="J158" s="44" t="n">
        <v>-579</v>
      </c>
      <c r="K158" s="44" t="n">
        <v>-878</v>
      </c>
      <c r="L158" s="44" t="n">
        <v>-739</v>
      </c>
      <c r="M158" s="45"/>
      <c r="N158" s="44"/>
      <c r="O158" s="44"/>
      <c r="P158" s="44"/>
      <c r="Q158" s="44"/>
      <c r="R158" s="44"/>
      <c r="S158" s="44"/>
      <c r="T158" s="44"/>
      <c r="U158" s="44"/>
      <c r="V158" s="44"/>
      <c r="W158" s="44"/>
      <c r="X158" s="44"/>
    </row>
    <row r="159" ht="22" customHeight="1">
      <c r="A159" s="4" t="str">
        <v>Right-of-use assets</v>
      </c>
      <c r="B159" s="2"/>
      <c r="C159" s="44"/>
      <c r="D159" s="44"/>
      <c r="E159" s="44" t="n">
        <v>0</v>
      </c>
      <c r="F159" s="44" t="n">
        <v>345</v>
      </c>
      <c r="G159" s="44" t="n">
        <v>371</v>
      </c>
      <c r="H159" s="44" t="n">
        <v>450</v>
      </c>
      <c r="I159" s="44" t="n">
        <v>534</v>
      </c>
      <c r="J159" s="44" t="n">
        <v>660</v>
      </c>
      <c r="K159" s="44" t="n">
        <v>772</v>
      </c>
      <c r="L159" s="44" t="n">
        <v>819</v>
      </c>
      <c r="M159" s="45"/>
      <c r="N159" s="44"/>
      <c r="O159" s="44"/>
      <c r="P159" s="44"/>
      <c r="Q159" s="44"/>
      <c r="R159" s="44"/>
      <c r="S159" s="44"/>
      <c r="T159" s="44"/>
      <c r="U159" s="44"/>
      <c r="V159" s="44"/>
      <c r="W159" s="44"/>
      <c r="X159" s="44"/>
    </row>
    <row r="160" ht="22" customHeight="1">
      <c r="A160" s="4" t="str">
        <v>Lease liabilities</v>
      </c>
      <c r="B160" s="2"/>
      <c r="C160" s="44"/>
      <c r="D160" s="44"/>
      <c r="E160" s="44" t="n">
        <v>0</v>
      </c>
      <c r="F160" s="44" t="n">
        <v>345</v>
      </c>
      <c r="G160" s="44" t="n">
        <v>371</v>
      </c>
      <c r="H160" s="44" t="n">
        <v>450</v>
      </c>
      <c r="I160" s="44" t="n">
        <v>534</v>
      </c>
      <c r="J160" s="44" t="n">
        <v>660</v>
      </c>
      <c r="K160" s="44" t="n">
        <v>773</v>
      </c>
      <c r="L160" s="44" t="n">
        <v>819</v>
      </c>
      <c r="M160" s="45"/>
      <c r="N160" s="44"/>
      <c r="O160" s="44"/>
      <c r="P160" s="44"/>
      <c r="Q160" s="44"/>
      <c r="R160" s="44"/>
      <c r="S160" s="44"/>
      <c r="T160" s="44"/>
      <c r="U160" s="44"/>
      <c r="V160" s="44"/>
      <c r="W160" s="44"/>
      <c r="X160" s="44"/>
    </row>
    <row r="161" ht="22" customHeight="1">
      <c r="A161" s="4" t="str">
        <v>Net deferred tax assets</v>
      </c>
      <c r="B161" s="2"/>
      <c r="C161" s="44"/>
      <c r="D161" s="44"/>
      <c r="E161" s="44" t="n">
        <v>-865</v>
      </c>
      <c r="F161" s="44" t="n">
        <v>-268</v>
      </c>
      <c r="G161" s="44" t="n">
        <v>-88</v>
      </c>
      <c r="H161" s="44"/>
      <c r="I161" s="44"/>
      <c r="J161" s="44"/>
      <c r="K161" s="44"/>
      <c r="L161" s="44"/>
      <c r="M161" s="45"/>
      <c r="N161" s="44"/>
      <c r="O161" s="44"/>
      <c r="P161" s="44"/>
      <c r="Q161" s="44"/>
      <c r="R161" s="44"/>
      <c r="S161" s="44"/>
      <c r="T161" s="44"/>
      <c r="U161" s="44"/>
      <c r="V161" s="44"/>
      <c r="W161" s="44"/>
      <c r="X161" s="44"/>
    </row>
    <row r="162" ht="22" customHeight="1">
      <c r="A162" s="4" t="str">
        <v>Pension liabilities</v>
      </c>
      <c r="B162" s="2"/>
      <c r="C162" s="44"/>
      <c r="D162" s="44"/>
      <c r="E162" s="44"/>
      <c r="F162" s="44"/>
      <c r="G162" s="44" t="n">
        <v>0</v>
      </c>
      <c r="H162" s="44" t="n">
        <v>216</v>
      </c>
      <c r="I162" s="44" t="n">
        <v>189</v>
      </c>
      <c r="J162" s="44" t="n">
        <v>167</v>
      </c>
      <c r="K162" s="44" t="n">
        <v>112</v>
      </c>
      <c r="L162" s="44" t="n">
        <v>238</v>
      </c>
      <c r="M162" s="45"/>
      <c r="N162" s="44"/>
      <c r="O162" s="44"/>
      <c r="P162" s="44"/>
      <c r="Q162" s="44"/>
      <c r="R162" s="44"/>
      <c r="S162" s="44"/>
      <c r="T162" s="44"/>
      <c r="U162" s="44"/>
      <c r="V162" s="44"/>
      <c r="W162" s="44"/>
      <c r="X162" s="44"/>
    </row>
    <row r="163" ht="22" customHeight="1">
      <c r="A163" s="4" t="str">
        <v>Net deferred tax liabilities/(assets)</v>
      </c>
      <c r="B163" s="2"/>
      <c r="C163" s="44"/>
      <c r="D163" s="44"/>
      <c r="E163" s="44"/>
      <c r="F163" s="44"/>
      <c r="G163" s="44" t="n">
        <v>-88</v>
      </c>
      <c r="H163" s="44" t="n">
        <v>516</v>
      </c>
      <c r="I163" s="44"/>
      <c r="J163" s="44"/>
      <c r="K163" s="44"/>
      <c r="L163" s="44"/>
      <c r="M163" s="45"/>
      <c r="N163" s="44"/>
      <c r="O163" s="44"/>
      <c r="P163" s="44"/>
      <c r="Q163" s="44"/>
      <c r="R163" s="44"/>
      <c r="S163" s="44"/>
      <c r="T163" s="44"/>
      <c r="U163" s="44"/>
      <c r="V163" s="44"/>
      <c r="W163" s="44"/>
      <c r="X163" s="44"/>
    </row>
    <row r="164" ht="22" customHeight="1">
      <c r="A164" s="4" t="str">
        <v>Investment in TBG</v>
      </c>
      <c r="B164" s="2"/>
      <c r="C164" s="44"/>
      <c r="D164" s="44"/>
      <c r="E164" s="44"/>
      <c r="F164" s="44"/>
      <c r="G164" s="44"/>
      <c r="H164" s="44" t="n">
        <v>0</v>
      </c>
      <c r="I164" s="44" t="n">
        <v>186</v>
      </c>
      <c r="J164" s="44" t="n">
        <v>93</v>
      </c>
      <c r="K164" s="44" t="n">
        <v>0</v>
      </c>
      <c r="L164" s="44"/>
      <c r="M164" s="45"/>
      <c r="N164" s="44"/>
      <c r="O164" s="44"/>
      <c r="P164" s="44"/>
      <c r="Q164" s="44"/>
      <c r="R164" s="44"/>
      <c r="S164" s="44"/>
      <c r="T164" s="44"/>
      <c r="U164" s="44"/>
      <c r="V164" s="44"/>
      <c r="W164" s="44"/>
      <c r="X164" s="44"/>
    </row>
    <row r="165" ht="22" customHeight="1">
      <c r="A165" s="4" t="str">
        <v>Capitalized research and development</v>
      </c>
      <c r="B165" s="2"/>
      <c r="C165" s="44"/>
      <c r="D165" s="44"/>
      <c r="E165" s="44"/>
      <c r="F165" s="44"/>
      <c r="G165" s="44"/>
      <c r="H165" s="44" t="n">
        <v>0</v>
      </c>
      <c r="I165" s="44" t="n">
        <v>150</v>
      </c>
      <c r="J165" s="44" t="n">
        <v>210</v>
      </c>
      <c r="K165" s="44" t="n">
        <v>256</v>
      </c>
      <c r="L165" s="44" t="n">
        <v>134</v>
      </c>
      <c r="M165" s="45"/>
      <c r="N165" s="44"/>
      <c r="O165" s="44"/>
      <c r="P165" s="44"/>
      <c r="Q165" s="44"/>
      <c r="R165" s="44"/>
      <c r="S165" s="44"/>
      <c r="T165" s="44"/>
      <c r="U165" s="44"/>
      <c r="V165" s="44"/>
      <c r="W165" s="44"/>
      <c r="X165" s="44"/>
    </row>
    <row r="166" ht="22" customHeight="1">
      <c r="A166" s="4" t="str">
        <v>Changes in valuation allowances — Amount</v>
      </c>
      <c r="B166" s="2"/>
      <c r="C166" s="44"/>
      <c r="D166" s="44"/>
      <c r="E166" s="44"/>
      <c r="F166" s="44"/>
      <c r="G166" s="44"/>
      <c r="H166" s="44"/>
      <c r="I166" s="44"/>
      <c r="J166" s="44"/>
      <c r="K166" s="44"/>
      <c r="L166" s="44" t="n">
        <v>12</v>
      </c>
      <c r="M166" s="45"/>
      <c r="N166" s="44"/>
      <c r="O166" s="44"/>
      <c r="P166" s="44"/>
      <c r="Q166" s="44"/>
      <c r="R166" s="44"/>
      <c r="S166" s="44"/>
      <c r="T166" s="44"/>
      <c r="U166" s="44"/>
      <c r="V166" s="44"/>
      <c r="W166" s="44"/>
      <c r="X166" s="44"/>
    </row>
    <row r="167" ht="22" customHeight="1">
      <c r="A167" s="4" t="str">
        <v>Changes in valuation allowances — Amount</v>
      </c>
      <c r="B167" s="2"/>
      <c r="C167" s="44"/>
      <c r="D167" s="44"/>
      <c r="E167" s="44"/>
      <c r="F167" s="44"/>
      <c r="G167" s="44"/>
      <c r="H167" s="44"/>
      <c r="I167" s="44"/>
      <c r="J167" s="44"/>
      <c r="K167" s="44"/>
      <c r="L167" s="44" t="n">
        <v>-149</v>
      </c>
      <c r="M167" s="45"/>
      <c r="N167" s="44"/>
      <c r="O167" s="44"/>
      <c r="P167" s="44"/>
      <c r="Q167" s="44"/>
      <c r="R167" s="44"/>
      <c r="S167" s="44"/>
      <c r="T167" s="44"/>
      <c r="U167" s="44"/>
      <c r="V167" s="44"/>
      <c r="W167" s="44"/>
      <c r="X167" s="44"/>
    </row>
    <row r="168" ht="22" customHeight="1">
      <c r="A168" s="4"/>
      <c r="B168" s="2"/>
      <c r="C168" s="3"/>
      <c r="D168" s="3"/>
      <c r="E168" s="3"/>
      <c r="F168" s="3"/>
      <c r="G168" s="3"/>
      <c r="H168" s="3"/>
      <c r="I168" s="3"/>
      <c r="J168" s="3"/>
      <c r="K168" s="3"/>
      <c r="L168" s="3"/>
      <c r="M168" s="3"/>
      <c r="N168" s="3"/>
      <c r="O168" s="3"/>
      <c r="P168" s="3"/>
      <c r="Q168" s="3"/>
      <c r="R168" s="3"/>
      <c r="S168" s="3"/>
      <c r="T168" s="3"/>
      <c r="U168" s="3"/>
      <c r="V168" s="3"/>
      <c r="W168" s="3"/>
      <c r="X168" s="3"/>
    </row>
    <row r="169" ht="22" customHeight="1">
      <c r="A169" s="29" t="str">
        <v>Share-based compensation expense</v>
      </c>
      <c r="B169" s="29"/>
      <c r="C169" s="32"/>
      <c r="D169" s="32"/>
      <c r="E169" s="32"/>
      <c r="F169" s="32"/>
      <c r="G169" s="32"/>
      <c r="H169" s="32"/>
      <c r="I169" s="32"/>
      <c r="J169" s="32"/>
      <c r="K169" s="32"/>
      <c r="L169" s="32"/>
      <c r="M169" s="32"/>
      <c r="N169" s="32"/>
      <c r="O169" s="32"/>
      <c r="P169" s="32"/>
      <c r="Q169" s="32"/>
      <c r="R169" s="32"/>
      <c r="S169" s="32"/>
      <c r="T169" s="32"/>
      <c r="U169" s="32"/>
      <c r="V169" s="32"/>
      <c r="W169" s="32"/>
      <c r="X169" s="32"/>
    </row>
    <row r="170" ht="18" customHeight="1">
      <c r="A170" s="33" t="str">
        <v>Equity and liability awards are shown separately. The cash flow adjustment is not treated as total share-based compensation expense.</v>
      </c>
      <c r="B170" s="33"/>
      <c r="C170" s="35"/>
      <c r="D170" s="35"/>
      <c r="E170" s="35"/>
      <c r="F170" s="35"/>
      <c r="G170" s="35"/>
      <c r="H170" s="35"/>
      <c r="I170" s="35"/>
      <c r="J170" s="35"/>
      <c r="K170" s="35"/>
      <c r="L170" s="35"/>
      <c r="M170" s="35"/>
      <c r="N170" s="35"/>
      <c r="O170" s="35"/>
      <c r="P170" s="35"/>
      <c r="Q170" s="35"/>
      <c r="R170" s="35"/>
      <c r="S170" s="35"/>
      <c r="T170" s="35"/>
      <c r="U170" s="35"/>
      <c r="V170" s="35"/>
      <c r="W170" s="35"/>
      <c r="X170" s="35"/>
    </row>
    <row r="171" ht="22" customHeight="1">
      <c r="A171" s="4" t="str">
        <v>Share-based compensation expense - equity awards</v>
      </c>
      <c r="B171" s="2"/>
      <c r="C171" s="44" t="n">
        <v>284</v>
      </c>
      <c r="D171" s="44" t="n">
        <v>292</v>
      </c>
      <c r="E171" s="44" t="n">
        <v>256</v>
      </c>
      <c r="F171" s="44" t="n">
        <v>237</v>
      </c>
      <c r="G171" s="44" t="n">
        <v>264</v>
      </c>
      <c r="H171" s="44" t="n">
        <v>301</v>
      </c>
      <c r="I171" s="44" t="n">
        <v>343</v>
      </c>
      <c r="J171" s="44" t="n">
        <v>380</v>
      </c>
      <c r="K171" s="44" t="n">
        <v>362</v>
      </c>
      <c r="L171" s="44" t="n">
        <v>288</v>
      </c>
      <c r="M171" s="45"/>
      <c r="N171" s="44" t="n">
        <v>97</v>
      </c>
      <c r="O171" s="44" t="n">
        <v>86</v>
      </c>
      <c r="P171" s="44" t="n">
        <v>77</v>
      </c>
      <c r="Q171" s="44"/>
      <c r="R171" s="44" t="n">
        <v>77</v>
      </c>
      <c r="S171" s="44" t="n">
        <v>54</v>
      </c>
      <c r="T171" s="44" t="n">
        <v>76</v>
      </c>
      <c r="U171" s="44"/>
      <c r="V171" s="44" t="n">
        <v>93</v>
      </c>
      <c r="W171" s="44" t="n">
        <v>69</v>
      </c>
      <c r="X171" s="44" t="n">
        <v>78</v>
      </c>
    </row>
    <row r="172" ht="22" customHeight="1">
      <c r="A172" s="4" t="str">
        <v>Share-based compensation expense - liability awards</v>
      </c>
      <c r="B172" s="2"/>
      <c r="C172" s="44" t="n">
        <v>5</v>
      </c>
      <c r="D172" s="44" t="n">
        <v>13</v>
      </c>
      <c r="E172" s="44" t="n">
        <v>20</v>
      </c>
      <c r="F172" s="44" t="n">
        <v>8</v>
      </c>
      <c r="G172" s="44" t="n">
        <v>11</v>
      </c>
      <c r="H172" s="44" t="n">
        <v>20</v>
      </c>
      <c r="I172" s="44" t="n">
        <v>30</v>
      </c>
      <c r="J172" s="44" t="n">
        <v>19</v>
      </c>
      <c r="K172" s="44" t="n">
        <v>7</v>
      </c>
      <c r="L172" s="44" t="n">
        <v>13</v>
      </c>
      <c r="M172" s="45"/>
      <c r="N172" s="44" t="n">
        <v>5</v>
      </c>
      <c r="O172" s="44" t="n">
        <v>5</v>
      </c>
      <c r="P172" s="44" t="n">
        <v>4</v>
      </c>
      <c r="Q172" s="44"/>
      <c r="R172" s="44" t="n">
        <v>4</v>
      </c>
      <c r="S172" s="44" t="n">
        <v>-7</v>
      </c>
      <c r="T172" s="44" t="n">
        <v>2</v>
      </c>
      <c r="U172" s="44"/>
      <c r="V172" s="44" t="n">
        <v>2</v>
      </c>
      <c r="W172" s="44" t="n">
        <v>3</v>
      </c>
      <c r="X172" s="44" t="n">
        <v>2</v>
      </c>
    </row>
    <row r="173" ht="22" customHeight="1">
      <c r="A173" s="4"/>
      <c r="B173" s="2"/>
      <c r="C173" s="3"/>
      <c r="D173" s="3"/>
      <c r="E173" s="3"/>
      <c r="F173" s="3"/>
      <c r="G173" s="3"/>
      <c r="H173" s="3"/>
      <c r="I173" s="3"/>
      <c r="J173" s="3"/>
      <c r="K173" s="3"/>
      <c r="L173" s="3"/>
      <c r="M173" s="3"/>
      <c r="N173" s="3"/>
      <c r="O173" s="3"/>
      <c r="P173" s="3"/>
      <c r="Q173" s="3"/>
      <c r="R173" s="3"/>
      <c r="S173" s="3"/>
      <c r="T173" s="3"/>
      <c r="U173" s="3"/>
      <c r="V173" s="3"/>
      <c r="W173" s="3"/>
      <c r="X173" s="3"/>
    </row>
    <row r="174" ht="22" customHeight="1">
      <c r="A174" s="29" t="str">
        <v>Share-based compensation expense: YTD</v>
      </c>
      <c r="B174" s="29"/>
      <c r="C174" s="32"/>
      <c r="D174" s="32"/>
      <c r="E174" s="32"/>
      <c r="F174" s="32"/>
      <c r="G174" s="32"/>
      <c r="H174" s="32"/>
      <c r="I174" s="32"/>
      <c r="J174" s="32"/>
      <c r="K174" s="32"/>
      <c r="L174" s="32"/>
      <c r="M174" s="32"/>
      <c r="N174" s="32"/>
      <c r="O174" s="32"/>
      <c r="P174" s="32"/>
      <c r="Q174" s="32"/>
      <c r="R174" s="32"/>
      <c r="S174" s="32"/>
      <c r="T174" s="32"/>
      <c r="U174" s="32"/>
      <c r="V174" s="32"/>
      <c r="W174" s="32"/>
      <c r="X174" s="32"/>
    </row>
    <row r="175" ht="18" customHeight="1">
      <c r="A175" s="33" t="str">
        <v>Equity and liability awards are shown separately. The cash flow adjustment is not treated as total share-based compensation expense.</v>
      </c>
      <c r="B175" s="33"/>
      <c r="C175" s="35"/>
      <c r="D175" s="35"/>
      <c r="E175" s="35"/>
      <c r="F175" s="35"/>
      <c r="G175" s="35"/>
      <c r="H175" s="35"/>
      <c r="I175" s="35"/>
      <c r="J175" s="35"/>
      <c r="K175" s="35"/>
      <c r="L175" s="35"/>
      <c r="M175" s="35"/>
      <c r="N175" s="35"/>
      <c r="O175" s="35"/>
      <c r="P175" s="35"/>
      <c r="Q175" s="35"/>
      <c r="R175" s="35"/>
      <c r="S175" s="35"/>
      <c r="T175" s="35"/>
      <c r="U175" s="35"/>
      <c r="V175" s="35"/>
      <c r="W175" s="35"/>
      <c r="X175" s="35"/>
    </row>
    <row r="176" ht="22" customHeight="1">
      <c r="A176" s="4" t="str">
        <v>Share-based compensation expense – equity awards</v>
      </c>
      <c r="B176" s="2"/>
      <c r="C176" s="44"/>
      <c r="D176" s="44"/>
      <c r="E176" s="44"/>
      <c r="F176" s="44"/>
      <c r="G176" s="44"/>
      <c r="H176" s="44"/>
      <c r="I176" s="44"/>
      <c r="J176" s="44"/>
      <c r="K176" s="44"/>
      <c r="L176" s="44"/>
      <c r="M176" s="45"/>
      <c r="N176" s="44"/>
      <c r="O176" s="44" t="n">
        <v>183</v>
      </c>
      <c r="P176" s="44" t="n">
        <v>260</v>
      </c>
      <c r="Q176" s="44"/>
      <c r="R176" s="44"/>
      <c r="S176" s="44" t="n">
        <v>131</v>
      </c>
      <c r="T176" s="44" t="n">
        <v>207</v>
      </c>
      <c r="U176" s="44"/>
      <c r="V176" s="44"/>
      <c r="W176" s="44" t="n">
        <v>162</v>
      </c>
      <c r="X176" s="44" t="n">
        <v>240</v>
      </c>
    </row>
    <row r="177" ht="22" customHeight="1">
      <c r="A177" s="4" t="str">
        <v>Share-based compensation expense – liability awards</v>
      </c>
      <c r="B177" s="2"/>
      <c r="C177" s="44"/>
      <c r="D177" s="44"/>
      <c r="E177" s="44"/>
      <c r="F177" s="44"/>
      <c r="G177" s="44"/>
      <c r="H177" s="44"/>
      <c r="I177" s="44"/>
      <c r="J177" s="44"/>
      <c r="K177" s="44"/>
      <c r="L177" s="44"/>
      <c r="M177" s="45"/>
      <c r="N177" s="44"/>
      <c r="O177" s="44" t="n">
        <v>10</v>
      </c>
      <c r="P177" s="44" t="n">
        <v>14</v>
      </c>
      <c r="Q177" s="44"/>
      <c r="R177" s="44"/>
      <c r="S177" s="44" t="n">
        <v>-3</v>
      </c>
      <c r="T177" s="44" t="n">
        <v>-1</v>
      </c>
      <c r="U177" s="44"/>
      <c r="V177" s="44"/>
      <c r="W177" s="44" t="n">
        <v>5</v>
      </c>
      <c r="X177" s="44" t="n">
        <v>7</v>
      </c>
    </row>
    <row r="178" ht="22" customHeight="1">
      <c r="A178" s="4"/>
      <c r="B178" s="2"/>
      <c r="C178" s="3"/>
      <c r="D178" s="3"/>
      <c r="E178" s="3"/>
      <c r="F178" s="3"/>
      <c r="G178" s="3"/>
      <c r="H178" s="3"/>
      <c r="I178" s="3"/>
      <c r="J178" s="3"/>
      <c r="K178" s="3"/>
      <c r="L178" s="3"/>
      <c r="M178" s="3"/>
      <c r="N178" s="3"/>
      <c r="O178" s="3"/>
      <c r="P178" s="3"/>
      <c r="Q178" s="3"/>
      <c r="R178" s="3"/>
      <c r="S178" s="3"/>
      <c r="T178" s="3"/>
      <c r="U178" s="3"/>
      <c r="V178" s="3"/>
      <c r="W178" s="3"/>
      <c r="X178" s="3"/>
    </row>
    <row r="179" ht="22" customHeight="1">
      <c r="A179" s="29" t="str">
        <v>Comprehensive income</v>
      </c>
      <c r="B179" s="29"/>
      <c r="C179" s="32"/>
      <c r="D179" s="32"/>
      <c r="E179" s="32"/>
      <c r="F179" s="32"/>
      <c r="G179" s="32"/>
      <c r="H179" s="32"/>
      <c r="I179" s="32"/>
      <c r="J179" s="32"/>
      <c r="K179" s="32"/>
      <c r="L179" s="32"/>
      <c r="M179" s="32"/>
      <c r="N179" s="32"/>
      <c r="O179" s="32"/>
      <c r="P179" s="32"/>
      <c r="Q179" s="32"/>
      <c r="R179" s="32"/>
      <c r="S179" s="32"/>
      <c r="T179" s="32"/>
      <c r="U179" s="32"/>
      <c r="V179" s="32"/>
      <c r="W179" s="32"/>
      <c r="X179" s="32"/>
    </row>
    <row r="180" ht="22" customHeight="1">
      <c r="A180" s="4" t="str">
        <v>Net income — After-tax amounts</v>
      </c>
      <c r="B180" s="2"/>
      <c r="C180" s="44" t="n">
        <v>6379</v>
      </c>
      <c r="D180" s="44"/>
      <c r="E180" s="44"/>
      <c r="F180" s="44"/>
      <c r="G180" s="44"/>
      <c r="H180" s="44"/>
      <c r="I180" s="44"/>
      <c r="J180" s="44"/>
      <c r="K180" s="44"/>
      <c r="L180" s="44"/>
      <c r="M180" s="45"/>
      <c r="N180" s="44"/>
      <c r="O180" s="44"/>
      <c r="P180" s="44"/>
      <c r="Q180" s="44"/>
      <c r="R180" s="44"/>
      <c r="S180" s="44"/>
      <c r="T180" s="44"/>
      <c r="U180" s="44"/>
      <c r="V180" s="44"/>
      <c r="W180" s="44"/>
      <c r="X180" s="44"/>
    </row>
    <row r="181" ht="22" customHeight="1">
      <c r="A181" s="4" t="str">
        <v>Currency translation adjustment — Pre-tax amounts</v>
      </c>
      <c r="B181" s="2"/>
      <c r="C181" s="44" t="n">
        <v>-309</v>
      </c>
      <c r="D181" s="44"/>
      <c r="E181" s="44"/>
      <c r="F181" s="44"/>
      <c r="G181" s="44"/>
      <c r="H181" s="44"/>
      <c r="I181" s="44"/>
      <c r="J181" s="44"/>
      <c r="K181" s="44"/>
      <c r="L181" s="44"/>
      <c r="M181" s="45"/>
      <c r="N181" s="44"/>
      <c r="O181" s="44"/>
      <c r="P181" s="44"/>
      <c r="Q181" s="44"/>
      <c r="R181" s="44"/>
      <c r="S181" s="44"/>
      <c r="T181" s="44"/>
      <c r="U181" s="44"/>
      <c r="V181" s="44"/>
      <c r="W181" s="44"/>
      <c r="X181" s="44"/>
    </row>
    <row r="182" ht="22" customHeight="1">
      <c r="A182" s="4" t="str">
        <v>Currency translation adjustment — Tax amounts</v>
      </c>
      <c r="B182" s="2"/>
      <c r="C182" s="44" t="n">
        <v>7</v>
      </c>
      <c r="D182" s="44"/>
      <c r="E182" s="44"/>
      <c r="F182" s="44"/>
      <c r="G182" s="44"/>
      <c r="H182" s="44"/>
      <c r="I182" s="44"/>
      <c r="J182" s="44"/>
      <c r="K182" s="44"/>
      <c r="L182" s="44"/>
      <c r="M182" s="45"/>
      <c r="N182" s="44"/>
      <c r="O182" s="44"/>
      <c r="P182" s="44"/>
      <c r="Q182" s="44"/>
      <c r="R182" s="44"/>
      <c r="S182" s="44"/>
      <c r="T182" s="44"/>
      <c r="U182" s="44"/>
      <c r="V182" s="44"/>
      <c r="W182" s="44"/>
      <c r="X182" s="44"/>
    </row>
    <row r="183" ht="22" customHeight="1">
      <c r="A183" s="4" t="str">
        <v>Currency translation adjustment — After-tax amounts</v>
      </c>
      <c r="B183" s="2"/>
      <c r="C183" s="44" t="n">
        <v>-302</v>
      </c>
      <c r="D183" s="44"/>
      <c r="E183" s="44"/>
      <c r="F183" s="44"/>
      <c r="G183" s="44"/>
      <c r="H183" s="44"/>
      <c r="I183" s="44"/>
      <c r="J183" s="44"/>
      <c r="K183" s="44"/>
      <c r="L183" s="44"/>
      <c r="M183" s="45"/>
      <c r="N183" s="44"/>
      <c r="O183" s="44"/>
      <c r="P183" s="44"/>
      <c r="Q183" s="44"/>
      <c r="R183" s="44"/>
      <c r="S183" s="44"/>
      <c r="T183" s="44"/>
      <c r="U183" s="44"/>
      <c r="V183" s="44"/>
      <c r="W183" s="44"/>
      <c r="X183" s="44"/>
    </row>
    <row r="184" ht="36" customHeight="1">
      <c r="A184" s="4" t="str">
        <v>Reclassification of net losses to net income — Pre-tax amounts</v>
      </c>
      <c r="B184" s="2"/>
      <c r="C184" s="44" t="n">
        <v>150</v>
      </c>
      <c r="D184" s="44"/>
      <c r="E184" s="44"/>
      <c r="F184" s="44"/>
      <c r="G184" s="44"/>
      <c r="H184" s="44"/>
      <c r="I184" s="44"/>
      <c r="J184" s="44"/>
      <c r="K184" s="44"/>
      <c r="L184" s="44"/>
      <c r="M184" s="45"/>
      <c r="N184" s="44"/>
      <c r="O184" s="44"/>
      <c r="P184" s="44"/>
      <c r="Q184" s="44"/>
      <c r="R184" s="44"/>
      <c r="S184" s="44"/>
      <c r="T184" s="44"/>
      <c r="U184" s="44"/>
      <c r="V184" s="44"/>
      <c r="W184" s="44"/>
      <c r="X184" s="44"/>
    </row>
    <row r="185" ht="36" customHeight="1">
      <c r="A185" s="4" t="str">
        <v>Reclassification of net losses to net income — Tax amounts</v>
      </c>
      <c r="B185" s="2"/>
      <c r="C185" s="44" t="n">
        <v>-63</v>
      </c>
      <c r="D185" s="44"/>
      <c r="E185" s="44"/>
      <c r="F185" s="44"/>
      <c r="G185" s="44"/>
      <c r="H185" s="44"/>
      <c r="I185" s="44"/>
      <c r="J185" s="44"/>
      <c r="K185" s="44"/>
      <c r="L185" s="44"/>
      <c r="M185" s="45"/>
      <c r="N185" s="44"/>
      <c r="O185" s="44"/>
      <c r="P185" s="44"/>
      <c r="Q185" s="44"/>
      <c r="R185" s="44"/>
      <c r="S185" s="44"/>
      <c r="T185" s="44"/>
      <c r="U185" s="44"/>
      <c r="V185" s="44"/>
      <c r="W185" s="44"/>
      <c r="X185" s="44"/>
    </row>
    <row r="186" ht="36" customHeight="1">
      <c r="A186" s="4" t="str">
        <v>Reclassification of net losses to net income — After-tax amounts</v>
      </c>
      <c r="B186" s="2"/>
      <c r="C186" s="44" t="n">
        <v>87</v>
      </c>
      <c r="D186" s="44"/>
      <c r="E186" s="44"/>
      <c r="F186" s="44"/>
      <c r="G186" s="44"/>
      <c r="H186" s="44"/>
      <c r="I186" s="44"/>
      <c r="J186" s="44"/>
      <c r="K186" s="44"/>
      <c r="L186" s="44"/>
      <c r="M186" s="45"/>
      <c r="N186" s="44"/>
      <c r="O186" s="44"/>
      <c r="P186" s="44"/>
      <c r="Q186" s="44"/>
      <c r="R186" s="44"/>
      <c r="S186" s="44"/>
      <c r="T186" s="44"/>
      <c r="U186" s="44"/>
      <c r="V186" s="44"/>
      <c r="W186" s="44"/>
      <c r="X186" s="44"/>
    </row>
    <row r="187" ht="22" customHeight="1">
      <c r="A187" s="4" t="str">
        <v>Net derivative losses — Pre-tax amounts</v>
      </c>
      <c r="B187" s="2"/>
      <c r="C187" s="44" t="n">
        <v>-74</v>
      </c>
      <c r="D187" s="44"/>
      <c r="E187" s="44"/>
      <c r="F187" s="44"/>
      <c r="G187" s="44"/>
      <c r="H187" s="44"/>
      <c r="I187" s="44"/>
      <c r="J187" s="44"/>
      <c r="K187" s="44"/>
      <c r="L187" s="44"/>
      <c r="M187" s="45"/>
      <c r="N187" s="44"/>
      <c r="O187" s="44"/>
      <c r="P187" s="44"/>
      <c r="Q187" s="44"/>
      <c r="R187" s="44"/>
      <c r="S187" s="44"/>
      <c r="T187" s="44"/>
      <c r="U187" s="44"/>
      <c r="V187" s="44"/>
      <c r="W187" s="44"/>
      <c r="X187" s="44"/>
    </row>
    <row r="188" ht="22" customHeight="1">
      <c r="A188" s="4" t="str">
        <v>Net derivative losses — Tax amounts</v>
      </c>
      <c r="B188" s="2"/>
      <c r="C188" s="44" t="n">
        <v>33</v>
      </c>
      <c r="D188" s="44"/>
      <c r="E188" s="44"/>
      <c r="F188" s="44"/>
      <c r="G188" s="44"/>
      <c r="H188" s="44"/>
      <c r="I188" s="44"/>
      <c r="J188" s="44"/>
      <c r="K188" s="44"/>
      <c r="L188" s="44"/>
      <c r="M188" s="45"/>
      <c r="N188" s="44"/>
      <c r="O188" s="44"/>
      <c r="P188" s="44"/>
      <c r="Q188" s="44"/>
      <c r="R188" s="44"/>
      <c r="S188" s="44"/>
      <c r="T188" s="44"/>
      <c r="U188" s="44"/>
      <c r="V188" s="44"/>
      <c r="W188" s="44"/>
      <c r="X188" s="44"/>
    </row>
    <row r="189" ht="22" customHeight="1">
      <c r="A189" s="4" t="str">
        <v>Net derivative losses — After-tax amounts</v>
      </c>
      <c r="B189" s="2"/>
      <c r="C189" s="44" t="n">
        <v>-41</v>
      </c>
      <c r="D189" s="44"/>
      <c r="E189" s="44"/>
      <c r="F189" s="44"/>
      <c r="G189" s="44"/>
      <c r="H189" s="44"/>
      <c r="I189" s="44"/>
      <c r="J189" s="44"/>
      <c r="K189" s="44"/>
      <c r="L189" s="44"/>
      <c r="M189" s="45"/>
      <c r="N189" s="44"/>
      <c r="O189" s="44"/>
      <c r="P189" s="44"/>
      <c r="Q189" s="44"/>
      <c r="R189" s="44"/>
      <c r="S189" s="44"/>
      <c r="T189" s="44"/>
      <c r="U189" s="44"/>
      <c r="V189" s="44"/>
      <c r="W189" s="44"/>
      <c r="X189" s="44"/>
    </row>
    <row r="190" ht="36" customHeight="1">
      <c r="A190" s="4" t="str">
        <v>Reclassification of net losses to net income — Pre-tax amounts</v>
      </c>
      <c r="B190" s="2"/>
      <c r="C190" s="44" t="n">
        <v>407</v>
      </c>
      <c r="D190" s="44"/>
      <c r="E190" s="44"/>
      <c r="F190" s="44"/>
      <c r="G190" s="44"/>
      <c r="H190" s="44"/>
      <c r="I190" s="44"/>
      <c r="J190" s="44"/>
      <c r="K190" s="44"/>
      <c r="L190" s="44"/>
      <c r="M190" s="45"/>
      <c r="N190" s="44"/>
      <c r="O190" s="44"/>
      <c r="P190" s="44"/>
      <c r="Q190" s="44"/>
      <c r="R190" s="44"/>
      <c r="S190" s="44"/>
      <c r="T190" s="44"/>
      <c r="U190" s="44"/>
      <c r="V190" s="44"/>
      <c r="W190" s="44"/>
      <c r="X190" s="44"/>
    </row>
    <row r="191" ht="36" customHeight="1">
      <c r="A191" s="4" t="str">
        <v>Reclassification of net losses to net income — Tax amounts</v>
      </c>
      <c r="B191" s="2"/>
      <c r="C191" s="44" t="n">
        <v>-144</v>
      </c>
      <c r="D191" s="44"/>
      <c r="E191" s="44"/>
      <c r="F191" s="44"/>
      <c r="G191" s="44"/>
      <c r="H191" s="44"/>
      <c r="I191" s="44"/>
      <c r="J191" s="44"/>
      <c r="K191" s="44"/>
      <c r="L191" s="44"/>
      <c r="M191" s="45"/>
      <c r="N191" s="44"/>
      <c r="O191" s="44"/>
      <c r="P191" s="44"/>
      <c r="Q191" s="44"/>
      <c r="R191" s="44"/>
      <c r="S191" s="44"/>
      <c r="T191" s="44"/>
      <c r="U191" s="44"/>
      <c r="V191" s="44"/>
      <c r="W191" s="44"/>
      <c r="X191" s="44"/>
    </row>
    <row r="192" ht="36" customHeight="1">
      <c r="A192" s="4" t="str">
        <v>Reclassification of net losses to net income — After-tax amounts</v>
      </c>
      <c r="B192" s="2"/>
      <c r="C192" s="44" t="n">
        <v>263</v>
      </c>
      <c r="D192" s="44"/>
      <c r="E192" s="44"/>
      <c r="F192" s="44"/>
      <c r="G192" s="44"/>
      <c r="H192" s="44"/>
      <c r="I192" s="44"/>
      <c r="J192" s="44"/>
      <c r="K192" s="44"/>
      <c r="L192" s="44"/>
      <c r="M192" s="45"/>
      <c r="N192" s="44"/>
      <c r="O192" s="44"/>
      <c r="P192" s="44"/>
      <c r="Q192" s="44"/>
      <c r="R192" s="44"/>
      <c r="S192" s="44"/>
      <c r="T192" s="44"/>
      <c r="U192" s="44"/>
      <c r="V192" s="44"/>
      <c r="W192" s="44"/>
      <c r="X192" s="44"/>
    </row>
    <row r="193" ht="36" customHeight="1">
      <c r="A193" s="4" t="str">
        <v>Remeasurement of net liabilities and translation — Pre-tax amounts</v>
      </c>
      <c r="B193" s="2"/>
      <c r="C193" s="44" t="n">
        <v>-750</v>
      </c>
      <c r="D193" s="44"/>
      <c r="E193" s="44"/>
      <c r="F193" s="44"/>
      <c r="G193" s="44"/>
      <c r="H193" s="44"/>
      <c r="I193" s="44"/>
      <c r="J193" s="44"/>
      <c r="K193" s="44"/>
      <c r="L193" s="44"/>
      <c r="M193" s="45"/>
      <c r="N193" s="44"/>
      <c r="O193" s="44"/>
      <c r="P193" s="44"/>
      <c r="Q193" s="44"/>
      <c r="R193" s="44"/>
      <c r="S193" s="44"/>
      <c r="T193" s="44"/>
      <c r="U193" s="44"/>
      <c r="V193" s="44"/>
      <c r="W193" s="44"/>
      <c r="X193" s="44"/>
    </row>
    <row r="194" ht="36" customHeight="1">
      <c r="A194" s="4" t="str">
        <v>Remeasurement of net liabilities and translation — Tax amounts</v>
      </c>
      <c r="B194" s="2"/>
      <c r="C194" s="44" t="n">
        <v>171</v>
      </c>
      <c r="D194" s="44"/>
      <c r="E194" s="44"/>
      <c r="F194" s="44"/>
      <c r="G194" s="44"/>
      <c r="H194" s="44"/>
      <c r="I194" s="44"/>
      <c r="J194" s="44"/>
      <c r="K194" s="44"/>
      <c r="L194" s="44"/>
      <c r="M194" s="45"/>
      <c r="N194" s="44"/>
      <c r="O194" s="44"/>
      <c r="P194" s="44"/>
      <c r="Q194" s="44"/>
      <c r="R194" s="44"/>
      <c r="S194" s="44"/>
      <c r="T194" s="44"/>
      <c r="U194" s="44"/>
      <c r="V194" s="44"/>
      <c r="W194" s="44"/>
      <c r="X194" s="44"/>
    </row>
    <row r="195" ht="36" customHeight="1">
      <c r="A195" s="4" t="str">
        <v>Remeasurement of net liabilities and translation — After-tax amounts</v>
      </c>
      <c r="B195" s="2"/>
      <c r="C195" s="44" t="n">
        <v>-579</v>
      </c>
      <c r="D195" s="44"/>
      <c r="E195" s="44"/>
      <c r="F195" s="44"/>
      <c r="G195" s="44"/>
      <c r="H195" s="44"/>
      <c r="I195" s="44"/>
      <c r="J195" s="44"/>
      <c r="K195" s="44"/>
      <c r="L195" s="44"/>
      <c r="M195" s="45"/>
      <c r="N195" s="44"/>
      <c r="O195" s="44"/>
      <c r="P195" s="44"/>
      <c r="Q195" s="44"/>
      <c r="R195" s="44"/>
      <c r="S195" s="44"/>
      <c r="T195" s="44"/>
      <c r="U195" s="44"/>
      <c r="V195" s="44"/>
      <c r="W195" s="44"/>
      <c r="X195" s="44"/>
    </row>
    <row r="196" ht="22" customHeight="1">
      <c r="A196" s="4" t="str">
        <v>Unrealized losses on securities — Pre-tax amounts</v>
      </c>
      <c r="B196" s="2"/>
      <c r="C196" s="44" t="n">
        <v>-43</v>
      </c>
      <c r="D196" s="44"/>
      <c r="E196" s="44"/>
      <c r="F196" s="44"/>
      <c r="G196" s="44"/>
      <c r="H196" s="44"/>
      <c r="I196" s="44"/>
      <c r="J196" s="44"/>
      <c r="K196" s="44"/>
      <c r="L196" s="44"/>
      <c r="M196" s="45"/>
      <c r="N196" s="44"/>
      <c r="O196" s="44"/>
      <c r="P196" s="44"/>
      <c r="Q196" s="44"/>
      <c r="R196" s="44"/>
      <c r="S196" s="44"/>
      <c r="T196" s="44"/>
      <c r="U196" s="44"/>
      <c r="V196" s="44"/>
      <c r="W196" s="44"/>
      <c r="X196" s="44"/>
    </row>
    <row r="197" ht="22" customHeight="1">
      <c r="A197" s="4" t="str">
        <v>Unrealized losses on securities — Tax amounts</v>
      </c>
      <c r="B197" s="2"/>
      <c r="C197" s="44" t="n">
        <v>19</v>
      </c>
      <c r="D197" s="44"/>
      <c r="E197" s="44"/>
      <c r="F197" s="44"/>
      <c r="G197" s="44"/>
      <c r="H197" s="44"/>
      <c r="I197" s="44"/>
      <c r="J197" s="44"/>
      <c r="K197" s="44"/>
      <c r="L197" s="44"/>
      <c r="M197" s="45"/>
      <c r="N197" s="44"/>
      <c r="O197" s="44"/>
      <c r="P197" s="44"/>
      <c r="Q197" s="44"/>
      <c r="R197" s="44"/>
      <c r="S197" s="44"/>
      <c r="T197" s="44"/>
      <c r="U197" s="44"/>
      <c r="V197" s="44"/>
      <c r="W197" s="44"/>
      <c r="X197" s="44"/>
    </row>
    <row r="198" ht="22" customHeight="1">
      <c r="A198" s="4" t="str">
        <v>Unrealized losses on securities — After-tax amounts</v>
      </c>
      <c r="B198" s="2"/>
      <c r="C198" s="44" t="n">
        <v>-24</v>
      </c>
      <c r="D198" s="44"/>
      <c r="E198" s="44"/>
      <c r="F198" s="44"/>
      <c r="G198" s="44"/>
      <c r="H198" s="44"/>
      <c r="I198" s="44"/>
      <c r="J198" s="44"/>
      <c r="K198" s="44"/>
      <c r="L198" s="44"/>
      <c r="M198" s="45"/>
      <c r="N198" s="44"/>
      <c r="O198" s="44"/>
      <c r="P198" s="44"/>
      <c r="Q198" s="44"/>
      <c r="R198" s="44"/>
      <c r="S198" s="44"/>
      <c r="T198" s="44"/>
      <c r="U198" s="44"/>
      <c r="V198" s="44"/>
      <c r="W198" s="44"/>
      <c r="X198" s="44"/>
    </row>
    <row r="199" ht="24" customHeight="1">
      <c r="A199" s="51" t="str">
        <v>Total other comprehensive loss — Pre-tax amounts</v>
      </c>
      <c r="B199" s="52"/>
      <c r="C199" s="53" t="n">
        <v>-619</v>
      </c>
      <c r="D199" s="53"/>
      <c r="E199" s="53"/>
      <c r="F199" s="53"/>
      <c r="G199" s="53"/>
      <c r="H199" s="53"/>
      <c r="I199" s="53"/>
      <c r="J199" s="53"/>
      <c r="K199" s="53"/>
      <c r="L199" s="53"/>
      <c r="M199" s="55"/>
      <c r="N199" s="53"/>
      <c r="O199" s="53"/>
      <c r="P199" s="53"/>
      <c r="Q199" s="53"/>
      <c r="R199" s="53"/>
      <c r="S199" s="53"/>
      <c r="T199" s="53"/>
      <c r="U199" s="53"/>
      <c r="V199" s="53"/>
      <c r="W199" s="53"/>
      <c r="X199" s="53"/>
    </row>
    <row r="200" ht="24" customHeight="1">
      <c r="A200" s="51" t="str">
        <v>Total other comprehensive loss — Tax amounts</v>
      </c>
      <c r="B200" s="52"/>
      <c r="C200" s="53" t="n">
        <v>23</v>
      </c>
      <c r="D200" s="53"/>
      <c r="E200" s="53"/>
      <c r="F200" s="53"/>
      <c r="G200" s="53"/>
      <c r="H200" s="53"/>
      <c r="I200" s="53"/>
      <c r="J200" s="53"/>
      <c r="K200" s="53"/>
      <c r="L200" s="53"/>
      <c r="M200" s="55"/>
      <c r="N200" s="53"/>
      <c r="O200" s="53"/>
      <c r="P200" s="53"/>
      <c r="Q200" s="53"/>
      <c r="R200" s="53"/>
      <c r="S200" s="53"/>
      <c r="T200" s="53"/>
      <c r="U200" s="53"/>
      <c r="V200" s="53"/>
      <c r="W200" s="53"/>
      <c r="X200" s="53"/>
    </row>
    <row r="201" ht="24" customHeight="1">
      <c r="A201" s="51" t="str">
        <v>Total other comprehensive loss — After-tax amounts</v>
      </c>
      <c r="B201" s="52"/>
      <c r="C201" s="53" t="n">
        <v>-596</v>
      </c>
      <c r="D201" s="53"/>
      <c r="E201" s="53"/>
      <c r="F201" s="53"/>
      <c r="G201" s="53"/>
      <c r="H201" s="53"/>
      <c r="I201" s="53"/>
      <c r="J201" s="53"/>
      <c r="K201" s="53"/>
      <c r="L201" s="53"/>
      <c r="M201" s="55"/>
      <c r="N201" s="53"/>
      <c r="O201" s="53"/>
      <c r="P201" s="53"/>
      <c r="Q201" s="53"/>
      <c r="R201" s="53"/>
      <c r="S201" s="53"/>
      <c r="T201" s="53"/>
      <c r="U201" s="53"/>
      <c r="V201" s="53"/>
      <c r="W201" s="53"/>
      <c r="X201" s="53"/>
    </row>
    <row r="202" ht="22" customHeight="1">
      <c r="A202" s="4" t="str">
        <v>Comprehensive income — After-tax amounts</v>
      </c>
      <c r="B202" s="2"/>
      <c r="C202" s="44" t="n">
        <v>5783</v>
      </c>
      <c r="D202" s="44"/>
      <c r="E202" s="44"/>
      <c r="F202" s="44"/>
      <c r="G202" s="44"/>
      <c r="H202" s="44"/>
      <c r="I202" s="44"/>
      <c r="J202" s="44"/>
      <c r="K202" s="44"/>
      <c r="L202" s="44"/>
      <c r="M202" s="45"/>
      <c r="N202" s="44"/>
      <c r="O202" s="44"/>
      <c r="P202" s="44"/>
      <c r="Q202" s="44"/>
      <c r="R202" s="44"/>
      <c r="S202" s="44"/>
      <c r="T202" s="44"/>
      <c r="U202" s="44"/>
      <c r="V202" s="44"/>
      <c r="W202" s="44"/>
      <c r="X202" s="44"/>
    </row>
    <row r="203" ht="36" customHeight="1">
      <c r="A203" s="4" t="str">
        <v>Comprehensive income attributable to noncontrolling interests — After-tax amounts</v>
      </c>
      <c r="B203" s="2"/>
      <c r="C203" s="44" t="n">
        <v>-54</v>
      </c>
      <c r="D203" s="44"/>
      <c r="E203" s="44"/>
      <c r="F203" s="44"/>
      <c r="G203" s="44"/>
      <c r="H203" s="44"/>
      <c r="I203" s="44"/>
      <c r="J203" s="44"/>
      <c r="K203" s="44"/>
      <c r="L203" s="44"/>
      <c r="M203" s="45"/>
      <c r="N203" s="44"/>
      <c r="O203" s="44"/>
      <c r="P203" s="44"/>
      <c r="Q203" s="44"/>
      <c r="R203" s="44"/>
      <c r="S203" s="44"/>
      <c r="T203" s="44"/>
      <c r="U203" s="44"/>
      <c r="V203" s="44"/>
      <c r="W203" s="44"/>
      <c r="X203" s="44"/>
    </row>
    <row r="204" ht="36" customHeight="1">
      <c r="A204" s="4" t="str">
        <v>Comprehensive Income Attributable to PepsiCo — After-tax amounts</v>
      </c>
      <c r="B204" s="2"/>
      <c r="C204" s="44" t="n">
        <v>5729</v>
      </c>
      <c r="D204" s="44"/>
      <c r="E204" s="44"/>
      <c r="F204" s="44"/>
      <c r="G204" s="44"/>
      <c r="H204" s="44"/>
      <c r="I204" s="44"/>
      <c r="J204" s="44"/>
      <c r="K204" s="44"/>
      <c r="L204" s="44"/>
      <c r="M204" s="45"/>
      <c r="N204" s="44"/>
      <c r="O204" s="44"/>
      <c r="P204" s="44"/>
      <c r="Q204" s="44"/>
      <c r="R204" s="44"/>
      <c r="S204" s="44"/>
      <c r="T204" s="44"/>
      <c r="U204" s="44"/>
      <c r="V204" s="44"/>
      <c r="W204" s="44"/>
      <c r="X204" s="44"/>
    </row>
    <row r="205" ht="22" customHeight="1">
      <c r="A205" s="4" t="str">
        <v>Net income</v>
      </c>
      <c r="B205" s="2"/>
      <c r="C205" s="44" t="n">
        <v>6379</v>
      </c>
      <c r="D205" s="44" t="n">
        <v>4908</v>
      </c>
      <c r="E205" s="44" t="n">
        <v>12559</v>
      </c>
      <c r="F205" s="44" t="n">
        <v>7353</v>
      </c>
      <c r="G205" s="44" t="n">
        <v>7175</v>
      </c>
      <c r="H205" s="44" t="n">
        <v>7679</v>
      </c>
      <c r="I205" s="44" t="n">
        <v>8978</v>
      </c>
      <c r="J205" s="44" t="n">
        <v>9155</v>
      </c>
      <c r="K205" s="44" t="n">
        <v>9626</v>
      </c>
      <c r="L205" s="44" t="n">
        <v>8295</v>
      </c>
      <c r="M205" s="45"/>
      <c r="N205" s="44" t="n">
        <v>2053</v>
      </c>
      <c r="O205" s="44" t="n">
        <v>3094</v>
      </c>
      <c r="P205" s="44" t="n">
        <v>2945</v>
      </c>
      <c r="Q205" s="44"/>
      <c r="R205" s="44" t="n">
        <v>1843</v>
      </c>
      <c r="S205" s="44" t="n">
        <v>1279</v>
      </c>
      <c r="T205" s="44" t="n">
        <v>2618</v>
      </c>
      <c r="U205" s="44"/>
      <c r="V205" s="44" t="n">
        <v>2338</v>
      </c>
      <c r="W205" s="44" t="n">
        <v>3004</v>
      </c>
      <c r="X205" s="44" t="n">
        <v>3070</v>
      </c>
    </row>
    <row r="206" ht="22" customHeight="1">
      <c r="A206" s="4" t="str">
        <v>Net currency translation adjustment</v>
      </c>
      <c r="B206" s="2"/>
      <c r="C206" s="44" t="n">
        <v>-302</v>
      </c>
      <c r="D206" s="44" t="n">
        <v>1109</v>
      </c>
      <c r="E206" s="44" t="n">
        <v>-1641</v>
      </c>
      <c r="F206" s="44" t="n">
        <v>628</v>
      </c>
      <c r="G206" s="44" t="n">
        <v>-650</v>
      </c>
      <c r="H206" s="44" t="n">
        <v>-369</v>
      </c>
      <c r="I206" s="44"/>
      <c r="J206" s="44" t="n">
        <v>-307</v>
      </c>
      <c r="K206" s="44" t="n">
        <v>-1962</v>
      </c>
      <c r="L206" s="44" t="n">
        <v>1723</v>
      </c>
      <c r="M206" s="45"/>
      <c r="N206" s="44" t="n">
        <v>-182</v>
      </c>
      <c r="O206" s="44" t="n">
        <v>-267</v>
      </c>
      <c r="P206" s="44" t="n">
        <v>-512</v>
      </c>
      <c r="Q206" s="44"/>
      <c r="R206" s="44" t="n">
        <v>436</v>
      </c>
      <c r="S206" s="44" t="n">
        <v>961</v>
      </c>
      <c r="T206" s="44" t="n">
        <v>39</v>
      </c>
      <c r="U206" s="44"/>
      <c r="V206" s="44" t="n">
        <v>719</v>
      </c>
      <c r="W206" s="44"/>
      <c r="X206" s="44"/>
    </row>
    <row r="207" ht="22" customHeight="1">
      <c r="A207" s="4" t="str">
        <v>Net change on cash flow hedges</v>
      </c>
      <c r="B207" s="2"/>
      <c r="C207" s="44" t="n">
        <v>46</v>
      </c>
      <c r="D207" s="44" t="n">
        <v>-36</v>
      </c>
      <c r="E207" s="44" t="n">
        <v>40</v>
      </c>
      <c r="F207" s="44" t="n">
        <v>-90</v>
      </c>
      <c r="G207" s="44" t="n">
        <v>7</v>
      </c>
      <c r="H207" s="44" t="n">
        <v>155</v>
      </c>
      <c r="I207" s="44"/>
      <c r="J207" s="44" t="n">
        <v>-32</v>
      </c>
      <c r="K207" s="44" t="n">
        <v>113</v>
      </c>
      <c r="L207" s="44" t="n">
        <v>44</v>
      </c>
      <c r="M207" s="45"/>
      <c r="N207" s="44" t="n">
        <v>3</v>
      </c>
      <c r="O207" s="44" t="n">
        <v>42</v>
      </c>
      <c r="P207" s="44" t="n">
        <v>-24</v>
      </c>
      <c r="Q207" s="44"/>
      <c r="R207" s="44" t="n">
        <v>22</v>
      </c>
      <c r="S207" s="44" t="n">
        <v>-18</v>
      </c>
      <c r="T207" s="44" t="n">
        <v>23</v>
      </c>
      <c r="U207" s="44"/>
      <c r="V207" s="44" t="n">
        <v>55</v>
      </c>
      <c r="W207" s="44"/>
      <c r="X207" s="44"/>
    </row>
    <row r="208" ht="22" customHeight="1">
      <c r="A208" s="4" t="str">
        <v>Net pension and retiree medical adjustments</v>
      </c>
      <c r="B208" s="2"/>
      <c r="C208" s="44" t="n">
        <v>-316</v>
      </c>
      <c r="D208" s="44" t="n">
        <v>-159</v>
      </c>
      <c r="E208" s="44" t="n">
        <v>-467</v>
      </c>
      <c r="F208" s="44" t="n">
        <v>283</v>
      </c>
      <c r="G208" s="44" t="n">
        <v>-532</v>
      </c>
      <c r="H208" s="44" t="n">
        <v>770</v>
      </c>
      <c r="I208" s="44"/>
      <c r="J208" s="44" t="n">
        <v>-358</v>
      </c>
      <c r="K208" s="44" t="n">
        <v>5</v>
      </c>
      <c r="L208" s="44" t="n">
        <v>452</v>
      </c>
      <c r="M208" s="45"/>
      <c r="N208" s="44" t="n">
        <v>11</v>
      </c>
      <c r="O208" s="44" t="n">
        <v>9</v>
      </c>
      <c r="P208" s="44" t="n">
        <v>21</v>
      </c>
      <c r="Q208" s="44"/>
      <c r="R208" s="44" t="n">
        <v>10</v>
      </c>
      <c r="S208" s="44" t="n">
        <v>-19</v>
      </c>
      <c r="T208" s="44" t="n">
        <v>21</v>
      </c>
      <c r="U208" s="44"/>
      <c r="V208" s="44" t="n">
        <v>6</v>
      </c>
      <c r="W208" s="44"/>
      <c r="X208" s="44"/>
    </row>
    <row r="209" ht="22" customHeight="1">
      <c r="A209" s="4" t="str">
        <v>Net change on securities</v>
      </c>
      <c r="B209" s="2"/>
      <c r="C209" s="44" t="n">
        <v>-24</v>
      </c>
      <c r="D209" s="44" t="n">
        <v>-68</v>
      </c>
      <c r="E209" s="44"/>
      <c r="F209" s="44"/>
      <c r="G209" s="44"/>
      <c r="H209" s="44"/>
      <c r="I209" s="44"/>
      <c r="J209" s="44"/>
      <c r="K209" s="44"/>
      <c r="L209" s="44"/>
      <c r="M209" s="45"/>
      <c r="N209" s="44"/>
      <c r="O209" s="44"/>
      <c r="P209" s="44"/>
      <c r="Q209" s="44"/>
      <c r="R209" s="44"/>
      <c r="S209" s="44"/>
      <c r="T209" s="44"/>
      <c r="U209" s="44"/>
      <c r="V209" s="44"/>
      <c r="W209" s="44"/>
      <c r="X209" s="44"/>
    </row>
    <row r="210" ht="22" customHeight="1">
      <c r="A210" s="4" t="str">
        <v>Other</v>
      </c>
      <c r="B210" s="2"/>
      <c r="C210" s="44" t="n">
        <v>0</v>
      </c>
      <c r="D210" s="44" t="n">
        <v>16</v>
      </c>
      <c r="E210" s="44" t="n">
        <v>0</v>
      </c>
      <c r="F210" s="44" t="n">
        <v>-2</v>
      </c>
      <c r="G210" s="44" t="n">
        <v>-1</v>
      </c>
      <c r="H210" s="44" t="n">
        <v>22</v>
      </c>
      <c r="I210" s="44"/>
      <c r="J210" s="44"/>
      <c r="K210" s="44"/>
      <c r="L210" s="44"/>
      <c r="M210" s="45"/>
      <c r="N210" s="44"/>
      <c r="O210" s="44"/>
      <c r="P210" s="44"/>
      <c r="Q210" s="44"/>
      <c r="R210" s="44"/>
      <c r="S210" s="44"/>
      <c r="T210" s="44"/>
      <c r="U210" s="44"/>
      <c r="V210" s="44"/>
      <c r="W210" s="44"/>
      <c r="X210" s="44"/>
    </row>
    <row r="211" ht="36" customHeight="1">
      <c r="A211" s="4" t="str">
        <v>Subtotal (unlabeled in filing): Other comprehensive income/(loss), net of taxes:</v>
      </c>
      <c r="B211" s="2"/>
      <c r="C211" s="44" t="n">
        <v>-596</v>
      </c>
      <c r="D211" s="44" t="n">
        <v>862</v>
      </c>
      <c r="E211" s="44" t="n">
        <v>-2062</v>
      </c>
      <c r="F211" s="44" t="n">
        <v>819</v>
      </c>
      <c r="G211" s="44" t="n">
        <v>-1176</v>
      </c>
      <c r="H211" s="44" t="n">
        <v>578</v>
      </c>
      <c r="I211" s="44"/>
      <c r="J211" s="44"/>
      <c r="K211" s="44"/>
      <c r="L211" s="44"/>
      <c r="M211" s="45"/>
      <c r="N211" s="44" t="n">
        <v>355</v>
      </c>
      <c r="O211" s="44"/>
      <c r="P211" s="44"/>
      <c r="Q211" s="44"/>
      <c r="R211" s="44"/>
      <c r="S211" s="44"/>
      <c r="T211" s="44"/>
      <c r="U211" s="44"/>
      <c r="V211" s="44"/>
      <c r="W211" s="44"/>
      <c r="X211" s="44"/>
    </row>
    <row r="212" ht="22" customHeight="1">
      <c r="A212" s="4" t="str">
        <v>Comprehensive income</v>
      </c>
      <c r="B212" s="2"/>
      <c r="C212" s="44" t="n">
        <v>5783</v>
      </c>
      <c r="D212" s="44" t="n">
        <v>5770</v>
      </c>
      <c r="E212" s="44" t="n">
        <v>10497</v>
      </c>
      <c r="F212" s="44" t="n">
        <v>8172</v>
      </c>
      <c r="G212" s="44" t="n">
        <v>5999</v>
      </c>
      <c r="H212" s="44" t="n">
        <v>8257</v>
      </c>
      <c r="I212" s="44"/>
      <c r="J212" s="44" t="n">
        <v>8923</v>
      </c>
      <c r="K212" s="44" t="n">
        <v>7548</v>
      </c>
      <c r="L212" s="44" t="n">
        <v>10883</v>
      </c>
      <c r="M212" s="45"/>
      <c r="N212" s="44" t="n">
        <v>2408</v>
      </c>
      <c r="O212" s="44" t="n">
        <v>2487</v>
      </c>
      <c r="P212" s="44" t="n">
        <v>2079</v>
      </c>
      <c r="Q212" s="44"/>
      <c r="R212" s="44" t="n">
        <v>2377</v>
      </c>
      <c r="S212" s="44" t="n">
        <v>2267</v>
      </c>
      <c r="T212" s="44" t="n">
        <v>3111</v>
      </c>
      <c r="U212" s="44"/>
      <c r="V212" s="44" t="n">
        <v>3020</v>
      </c>
      <c r="W212" s="44"/>
      <c r="X212" s="44"/>
    </row>
    <row r="213" ht="36" customHeight="1">
      <c r="A213" s="4" t="str">
        <v>Comprehensive income attributable to noncontrolling interests</v>
      </c>
      <c r="B213" s="2"/>
      <c r="C213" s="44" t="n">
        <v>-54</v>
      </c>
      <c r="D213" s="44" t="n">
        <v>-51</v>
      </c>
      <c r="E213" s="44" t="n">
        <v>-44</v>
      </c>
      <c r="F213" s="44" t="n">
        <v>-39</v>
      </c>
      <c r="G213" s="44"/>
      <c r="H213" s="44"/>
      <c r="I213" s="44"/>
      <c r="J213" s="44"/>
      <c r="K213" s="44"/>
      <c r="L213" s="44"/>
      <c r="M213" s="45"/>
      <c r="N213" s="44"/>
      <c r="O213" s="44"/>
      <c r="P213" s="44"/>
      <c r="Q213" s="44"/>
      <c r="R213" s="44"/>
      <c r="S213" s="44"/>
      <c r="T213" s="44"/>
      <c r="U213" s="44"/>
      <c r="V213" s="44"/>
      <c r="W213" s="44"/>
      <c r="X213" s="44"/>
    </row>
    <row r="214" ht="22" customHeight="1">
      <c r="A214" s="4" t="str">
        <v>Comprehensive Income Attributable to PepsiCo</v>
      </c>
      <c r="B214" s="2"/>
      <c r="C214" s="44" t="n">
        <v>5729</v>
      </c>
      <c r="D214" s="44" t="n">
        <v>5719</v>
      </c>
      <c r="E214" s="44" t="n">
        <v>10453</v>
      </c>
      <c r="F214" s="44" t="n">
        <v>8133</v>
      </c>
      <c r="G214" s="44" t="n">
        <v>5944</v>
      </c>
      <c r="H214" s="44" t="n">
        <v>8196</v>
      </c>
      <c r="I214" s="44"/>
      <c r="J214" s="44" t="n">
        <v>8842</v>
      </c>
      <c r="K214" s="44" t="n">
        <v>7500</v>
      </c>
      <c r="L214" s="44" t="n">
        <v>10828</v>
      </c>
      <c r="M214" s="45"/>
      <c r="N214" s="44" t="n">
        <v>2397</v>
      </c>
      <c r="O214" s="44" t="n">
        <v>2476</v>
      </c>
      <c r="P214" s="44" t="n">
        <v>2064</v>
      </c>
      <c r="Q214" s="44"/>
      <c r="R214" s="44" t="n">
        <v>2368</v>
      </c>
      <c r="S214" s="44" t="n">
        <v>2251</v>
      </c>
      <c r="T214" s="44" t="n">
        <v>3096</v>
      </c>
      <c r="U214" s="44"/>
      <c r="V214" s="44" t="n">
        <v>3009</v>
      </c>
      <c r="W214" s="44"/>
      <c r="X214" s="44"/>
    </row>
    <row r="215" ht="22" customHeight="1">
      <c r="A215" s="4" t="str">
        <v>Net change on available-for-sale securities</v>
      </c>
      <c r="B215" s="2"/>
      <c r="C215" s="44" t="n">
        <v>-24</v>
      </c>
      <c r="D215" s="44" t="n">
        <v>-68</v>
      </c>
      <c r="E215" s="44" t="n">
        <v>6</v>
      </c>
      <c r="F215" s="44" t="n">
        <v>-2</v>
      </c>
      <c r="G215" s="44"/>
      <c r="H215" s="44"/>
      <c r="I215" s="44"/>
      <c r="J215" s="44"/>
      <c r="K215" s="44"/>
      <c r="L215" s="44"/>
      <c r="M215" s="45"/>
      <c r="N215" s="44"/>
      <c r="O215" s="44"/>
      <c r="P215" s="44"/>
      <c r="Q215" s="44"/>
      <c r="R215" s="44"/>
      <c r="S215" s="44"/>
      <c r="T215" s="44"/>
      <c r="U215" s="44"/>
      <c r="V215" s="44"/>
      <c r="W215" s="44"/>
      <c r="X215" s="44"/>
    </row>
    <row r="216" ht="22" customHeight="1">
      <c r="A216" s="4" t="str">
        <v>Net currency translation adjustment</v>
      </c>
      <c r="B216" s="2"/>
      <c r="C216" s="44"/>
      <c r="D216" s="44"/>
      <c r="E216" s="44" t="n">
        <v>-1641</v>
      </c>
      <c r="F216" s="44" t="n">
        <v>628</v>
      </c>
      <c r="G216" s="44" t="n">
        <v>-650</v>
      </c>
      <c r="H216" s="44" t="n">
        <v>-369</v>
      </c>
      <c r="I216" s="44" t="n">
        <v>-643</v>
      </c>
      <c r="J216" s="44" t="n">
        <v>-307</v>
      </c>
      <c r="K216" s="44"/>
      <c r="L216" s="44"/>
      <c r="M216" s="45"/>
      <c r="N216" s="44"/>
      <c r="O216" s="44"/>
      <c r="P216" s="44"/>
      <c r="Q216" s="44"/>
      <c r="R216" s="44"/>
      <c r="S216" s="44" t="n">
        <v>961</v>
      </c>
      <c r="T216" s="44" t="n">
        <v>39</v>
      </c>
      <c r="U216" s="44"/>
      <c r="V216" s="44"/>
      <c r="W216" s="44" t="n">
        <v>155</v>
      </c>
      <c r="X216" s="44" t="n">
        <v>-858</v>
      </c>
    </row>
    <row r="217" ht="22" customHeight="1">
      <c r="A217" s="4" t="str">
        <v>Net change on cash flow hedges</v>
      </c>
      <c r="B217" s="2"/>
      <c r="C217" s="44"/>
      <c r="D217" s="44"/>
      <c r="E217" s="44" t="n">
        <v>40</v>
      </c>
      <c r="F217" s="44" t="n">
        <v>-90</v>
      </c>
      <c r="G217" s="44" t="n">
        <v>7</v>
      </c>
      <c r="H217" s="44" t="n">
        <v>155</v>
      </c>
      <c r="I217" s="44" t="n">
        <v>-158</v>
      </c>
      <c r="J217" s="44" t="n">
        <v>-32</v>
      </c>
      <c r="K217" s="44"/>
      <c r="L217" s="44"/>
      <c r="M217" s="45"/>
      <c r="N217" s="44"/>
      <c r="O217" s="44"/>
      <c r="P217" s="44"/>
      <c r="Q217" s="44"/>
      <c r="R217" s="44"/>
      <c r="S217" s="44" t="n">
        <v>-18</v>
      </c>
      <c r="T217" s="44" t="n">
        <v>23</v>
      </c>
      <c r="U217" s="44"/>
      <c r="V217" s="44"/>
      <c r="W217" s="44" t="n">
        <v>40</v>
      </c>
      <c r="X217" s="44" t="n">
        <v>-41</v>
      </c>
    </row>
    <row r="218" ht="22" customHeight="1">
      <c r="A218" s="4" t="str">
        <v>Net pension and retiree medical adjustments</v>
      </c>
      <c r="B218" s="2"/>
      <c r="C218" s="44"/>
      <c r="D218" s="44"/>
      <c r="E218" s="44" t="n">
        <v>-467</v>
      </c>
      <c r="F218" s="44" t="n">
        <v>283</v>
      </c>
      <c r="G218" s="44" t="n">
        <v>-532</v>
      </c>
      <c r="H218" s="44" t="n">
        <v>770</v>
      </c>
      <c r="I218" s="44" t="n">
        <v>389</v>
      </c>
      <c r="J218" s="44" t="n">
        <v>-358</v>
      </c>
      <c r="K218" s="44"/>
      <c r="L218" s="44"/>
      <c r="M218" s="45"/>
      <c r="N218" s="44"/>
      <c r="O218" s="44"/>
      <c r="P218" s="44"/>
      <c r="Q218" s="44"/>
      <c r="R218" s="44"/>
      <c r="S218" s="44" t="n">
        <v>-19</v>
      </c>
      <c r="T218" s="44" t="n">
        <v>21</v>
      </c>
      <c r="U218" s="44"/>
      <c r="V218" s="44"/>
      <c r="W218" s="44" t="n">
        <v>21</v>
      </c>
      <c r="X218" s="44" t="n">
        <v>203</v>
      </c>
    </row>
    <row r="219" ht="22" customHeight="1">
      <c r="A219" s="4" t="str">
        <v>Other</v>
      </c>
      <c r="B219" s="2"/>
      <c r="C219" s="44"/>
      <c r="D219" s="44"/>
      <c r="E219" s="44" t="n">
        <v>6</v>
      </c>
      <c r="F219" s="44" t="n">
        <v>-2</v>
      </c>
      <c r="G219" s="44" t="n">
        <v>-1</v>
      </c>
      <c r="H219" s="44" t="n">
        <v>22</v>
      </c>
      <c r="I219" s="44" t="n">
        <v>4</v>
      </c>
      <c r="J219" s="44"/>
      <c r="K219" s="44"/>
      <c r="L219" s="44"/>
      <c r="M219" s="45"/>
      <c r="N219" s="44"/>
      <c r="O219" s="44"/>
      <c r="P219" s="44"/>
      <c r="Q219" s="44"/>
      <c r="R219" s="44"/>
      <c r="S219" s="44"/>
      <c r="T219" s="44"/>
      <c r="U219" s="44"/>
      <c r="V219" s="44"/>
      <c r="W219" s="44"/>
      <c r="X219" s="44"/>
    </row>
    <row r="220" ht="36" customHeight="1">
      <c r="A220" s="4" t="str">
        <v>Subtotal (unlabeled in filing): Other comprehensive (loss)/income, net of taxes:</v>
      </c>
      <c r="B220" s="2"/>
      <c r="C220" s="44"/>
      <c r="D220" s="44"/>
      <c r="E220" s="44" t="n">
        <v>-2062</v>
      </c>
      <c r="F220" s="44" t="n">
        <v>819</v>
      </c>
      <c r="G220" s="44" t="n">
        <v>-1176</v>
      </c>
      <c r="H220" s="44" t="n">
        <v>578</v>
      </c>
      <c r="I220" s="44" t="n">
        <v>-408</v>
      </c>
      <c r="J220" s="44" t="n">
        <v>-232</v>
      </c>
      <c r="K220" s="44"/>
      <c r="L220" s="44"/>
      <c r="M220" s="45"/>
      <c r="N220" s="44"/>
      <c r="O220" s="44"/>
      <c r="P220" s="44"/>
      <c r="Q220" s="44"/>
      <c r="R220" s="44"/>
      <c r="S220" s="44"/>
      <c r="T220" s="44"/>
      <c r="U220" s="44"/>
      <c r="V220" s="44"/>
      <c r="W220" s="44"/>
      <c r="X220" s="44"/>
    </row>
    <row r="221" ht="22" customHeight="1">
      <c r="A221" s="4" t="str">
        <v>Comprehensive income</v>
      </c>
      <c r="B221" s="2"/>
      <c r="C221" s="44"/>
      <c r="D221" s="44"/>
      <c r="E221" s="44" t="n">
        <v>10497</v>
      </c>
      <c r="F221" s="44" t="n">
        <v>8172</v>
      </c>
      <c r="G221" s="44" t="n">
        <v>5999</v>
      </c>
      <c r="H221" s="44" t="n">
        <v>8257</v>
      </c>
      <c r="I221" s="44" t="n">
        <v>8570</v>
      </c>
      <c r="J221" s="44" t="n">
        <v>8923</v>
      </c>
      <c r="K221" s="44"/>
      <c r="L221" s="44"/>
      <c r="M221" s="45"/>
      <c r="N221" s="44"/>
      <c r="O221" s="44"/>
      <c r="P221" s="44"/>
      <c r="Q221" s="44"/>
      <c r="R221" s="44"/>
      <c r="S221" s="44" t="n">
        <v>2267</v>
      </c>
      <c r="T221" s="44" t="n">
        <v>3111</v>
      </c>
      <c r="U221" s="44"/>
      <c r="V221" s="44"/>
      <c r="W221" s="44" t="n">
        <v>3003</v>
      </c>
      <c r="X221" s="44" t="n">
        <v>2426</v>
      </c>
    </row>
    <row r="222" ht="36" customHeight="1">
      <c r="A222" s="4" t="str">
        <v>Less: Comprehensive income attributable to noncontrolling interests</v>
      </c>
      <c r="B222" s="2"/>
      <c r="C222" s="44"/>
      <c r="D222" s="44"/>
      <c r="E222" s="44" t="n">
        <v>44</v>
      </c>
      <c r="F222" s="44" t="n">
        <v>39</v>
      </c>
      <c r="G222" s="44" t="n">
        <v>55</v>
      </c>
      <c r="H222" s="44" t="n">
        <v>61</v>
      </c>
      <c r="I222" s="44" t="n">
        <v>64</v>
      </c>
      <c r="J222" s="44" t="n">
        <v>81</v>
      </c>
      <c r="K222" s="44"/>
      <c r="L222" s="44"/>
      <c r="M222" s="45"/>
      <c r="N222" s="44"/>
      <c r="O222" s="44"/>
      <c r="P222" s="44"/>
      <c r="Q222" s="44"/>
      <c r="R222" s="44"/>
      <c r="S222" s="44" t="n">
        <v>16</v>
      </c>
      <c r="T222" s="44" t="n">
        <v>15</v>
      </c>
      <c r="U222" s="44"/>
      <c r="V222" s="44"/>
      <c r="W222" s="44" t="n">
        <v>23</v>
      </c>
      <c r="X222" s="44" t="n">
        <v>22</v>
      </c>
    </row>
    <row r="223" ht="22" customHeight="1">
      <c r="A223" s="4" t="str">
        <v>Comprehensive Income Attributable to PepsiCo</v>
      </c>
      <c r="B223" s="2"/>
      <c r="C223" s="44"/>
      <c r="D223" s="44"/>
      <c r="E223" s="44" t="n">
        <v>10453</v>
      </c>
      <c r="F223" s="44" t="n">
        <v>8133</v>
      </c>
      <c r="G223" s="44" t="n">
        <v>5944</v>
      </c>
      <c r="H223" s="44" t="n">
        <v>8196</v>
      </c>
      <c r="I223" s="44" t="n">
        <v>8506</v>
      </c>
      <c r="J223" s="44" t="n">
        <v>8842</v>
      </c>
      <c r="K223" s="44"/>
      <c r="L223" s="44"/>
      <c r="M223" s="45"/>
      <c r="N223" s="44"/>
      <c r="O223" s="44"/>
      <c r="P223" s="44"/>
      <c r="Q223" s="44"/>
      <c r="R223" s="44"/>
      <c r="S223" s="44" t="n">
        <v>2251</v>
      </c>
      <c r="T223" s="44" t="n">
        <v>3096</v>
      </c>
      <c r="U223" s="44"/>
      <c r="V223" s="44"/>
      <c r="W223" s="44" t="n">
        <v>2980</v>
      </c>
      <c r="X223" s="44" t="n">
        <v>2404</v>
      </c>
    </row>
    <row r="224" ht="36" customHeight="1">
      <c r="A224" s="4" t="str">
        <v>Less: Comprehensive income attributable to noncontrolling interests</v>
      </c>
      <c r="B224" s="2"/>
      <c r="C224" s="44"/>
      <c r="D224" s="44"/>
      <c r="E224" s="44"/>
      <c r="F224" s="44" t="n">
        <v>39</v>
      </c>
      <c r="G224" s="44" t="n">
        <v>55</v>
      </c>
      <c r="H224" s="44" t="n">
        <v>61</v>
      </c>
      <c r="I224" s="44"/>
      <c r="J224" s="44" t="n">
        <v>81</v>
      </c>
      <c r="K224" s="44" t="n">
        <v>48</v>
      </c>
      <c r="L224" s="44" t="n">
        <v>55</v>
      </c>
      <c r="M224" s="45"/>
      <c r="N224" s="44"/>
      <c r="O224" s="44"/>
      <c r="P224" s="44"/>
      <c r="Q224" s="44"/>
      <c r="R224" s="44"/>
      <c r="S224" s="44"/>
      <c r="T224" s="44"/>
      <c r="U224" s="44"/>
      <c r="V224" s="44"/>
      <c r="W224" s="44"/>
      <c r="X224" s="44"/>
    </row>
    <row r="225" ht="22" customHeight="1">
      <c r="A225" s="4" t="str">
        <v>Net change on available-for-sale debt securities and other</v>
      </c>
      <c r="B225" s="2"/>
      <c r="C225" s="44"/>
      <c r="D225" s="44"/>
      <c r="E225" s="44"/>
      <c r="F225" s="44"/>
      <c r="G225" s="44"/>
      <c r="H225" s="44" t="n">
        <v>22</v>
      </c>
      <c r="I225" s="44" t="n">
        <v>4</v>
      </c>
      <c r="J225" s="44" t="n">
        <v>465</v>
      </c>
      <c r="K225" s="44"/>
      <c r="L225" s="44"/>
      <c r="M225" s="45"/>
      <c r="N225" s="44"/>
      <c r="O225" s="44"/>
      <c r="P225" s="44"/>
      <c r="Q225" s="44"/>
      <c r="R225" s="44"/>
      <c r="S225" s="44" t="n">
        <v>64</v>
      </c>
      <c r="T225" s="44" t="n">
        <v>410</v>
      </c>
      <c r="U225" s="44"/>
      <c r="V225" s="44"/>
      <c r="W225" s="44" t="n">
        <v>-217</v>
      </c>
      <c r="X225" s="44" t="n">
        <v>52</v>
      </c>
    </row>
    <row r="226" ht="22" customHeight="1">
      <c r="A226" s="4" t="str">
        <v>Net change on available-for-sale debt securities and other</v>
      </c>
      <c r="B226" s="2"/>
      <c r="C226" s="44"/>
      <c r="D226" s="44"/>
      <c r="E226" s="44"/>
      <c r="F226" s="44"/>
      <c r="G226" s="44"/>
      <c r="H226" s="44"/>
      <c r="I226" s="44"/>
      <c r="J226" s="44" t="n">
        <v>465</v>
      </c>
      <c r="K226" s="44" t="n">
        <v>-234</v>
      </c>
      <c r="L226" s="44" t="n">
        <v>369</v>
      </c>
      <c r="M226" s="45"/>
      <c r="N226" s="44" t="n">
        <v>523</v>
      </c>
      <c r="O226" s="44" t="n">
        <v>-391</v>
      </c>
      <c r="P226" s="44" t="n">
        <v>-351</v>
      </c>
      <c r="Q226" s="44"/>
      <c r="R226" s="44" t="n">
        <v>66</v>
      </c>
      <c r="S226" s="44" t="n">
        <v>64</v>
      </c>
      <c r="T226" s="44" t="n">
        <v>410</v>
      </c>
      <c r="U226" s="44"/>
      <c r="V226" s="44" t="n">
        <v>-98</v>
      </c>
      <c r="W226" s="44"/>
      <c r="X226" s="44"/>
    </row>
    <row r="227" ht="36" customHeight="1">
      <c r="A227" s="4" t="str">
        <v>Less: Comprehensive income attributable tononcontrolling interests</v>
      </c>
      <c r="B227" s="2"/>
      <c r="C227" s="44"/>
      <c r="D227" s="44"/>
      <c r="E227" s="44"/>
      <c r="F227" s="44"/>
      <c r="G227" s="44"/>
      <c r="H227" s="44"/>
      <c r="I227" s="44"/>
      <c r="J227" s="44"/>
      <c r="K227" s="44"/>
      <c r="L227" s="44"/>
      <c r="M227" s="45"/>
      <c r="N227" s="44" t="n">
        <v>11</v>
      </c>
      <c r="O227" s="44" t="n">
        <v>11</v>
      </c>
      <c r="P227" s="44" t="n">
        <v>15</v>
      </c>
      <c r="Q227" s="44"/>
      <c r="R227" s="44" t="n">
        <v>9</v>
      </c>
      <c r="S227" s="44" t="n">
        <v>16</v>
      </c>
      <c r="T227" s="44" t="n">
        <v>15</v>
      </c>
      <c r="U227" s="44"/>
      <c r="V227" s="44" t="n">
        <v>11</v>
      </c>
      <c r="W227" s="44"/>
      <c r="X227" s="44"/>
    </row>
    <row r="228" ht="22" customHeight="1">
      <c r="A228" s="4" t="str">
        <v>Net currency translation adjustment</v>
      </c>
      <c r="B228" s="2"/>
      <c r="C228" s="44"/>
      <c r="D228" s="44"/>
      <c r="E228" s="44"/>
      <c r="F228" s="44"/>
      <c r="G228" s="44"/>
      <c r="H228" s="44"/>
      <c r="I228" s="44" t="n">
        <v>-643</v>
      </c>
      <c r="J228" s="44" t="n">
        <v>-307</v>
      </c>
      <c r="K228" s="44" t="n">
        <v>-1962</v>
      </c>
      <c r="L228" s="44"/>
      <c r="M228" s="45"/>
      <c r="N228" s="44"/>
      <c r="O228" s="44" t="n">
        <v>-267</v>
      </c>
      <c r="P228" s="44" t="n">
        <v>-512</v>
      </c>
      <c r="Q228" s="44"/>
      <c r="R228" s="44"/>
      <c r="S228" s="44"/>
      <c r="T228" s="44"/>
      <c r="U228" s="44"/>
      <c r="V228" s="44"/>
      <c r="W228" s="44"/>
      <c r="X228" s="44"/>
    </row>
    <row r="229" ht="22" customHeight="1">
      <c r="A229" s="4" t="str">
        <v>Net change on cash flow hedges</v>
      </c>
      <c r="B229" s="2"/>
      <c r="C229" s="44"/>
      <c r="D229" s="44"/>
      <c r="E229" s="44"/>
      <c r="F229" s="44"/>
      <c r="G229" s="44"/>
      <c r="H229" s="44"/>
      <c r="I229" s="44" t="n">
        <v>-158</v>
      </c>
      <c r="J229" s="44" t="n">
        <v>-32</v>
      </c>
      <c r="K229" s="44" t="n">
        <v>113</v>
      </c>
      <c r="L229" s="44"/>
      <c r="M229" s="45"/>
      <c r="N229" s="44"/>
      <c r="O229" s="44" t="n">
        <v>42</v>
      </c>
      <c r="P229" s="44" t="n">
        <v>-24</v>
      </c>
      <c r="Q229" s="44"/>
      <c r="R229" s="44"/>
      <c r="S229" s="44"/>
      <c r="T229" s="44"/>
      <c r="U229" s="44"/>
      <c r="V229" s="44"/>
      <c r="W229" s="44"/>
      <c r="X229" s="44"/>
    </row>
    <row r="230" ht="22" customHeight="1">
      <c r="A230" s="4" t="str">
        <v>Net pension and retiree medical adjustments</v>
      </c>
      <c r="B230" s="2"/>
      <c r="C230" s="44"/>
      <c r="D230" s="44"/>
      <c r="E230" s="44"/>
      <c r="F230" s="44"/>
      <c r="G230" s="44"/>
      <c r="H230" s="44"/>
      <c r="I230" s="44" t="n">
        <v>389</v>
      </c>
      <c r="J230" s="44" t="n">
        <v>-358</v>
      </c>
      <c r="K230" s="44" t="n">
        <v>5</v>
      </c>
      <c r="L230" s="44"/>
      <c r="M230" s="45"/>
      <c r="N230" s="44"/>
      <c r="O230" s="44" t="n">
        <v>9</v>
      </c>
      <c r="P230" s="44" t="n">
        <v>21</v>
      </c>
      <c r="Q230" s="44"/>
      <c r="R230" s="44"/>
      <c r="S230" s="44"/>
      <c r="T230" s="44"/>
      <c r="U230" s="44"/>
      <c r="V230" s="44"/>
      <c r="W230" s="44"/>
      <c r="X230" s="44"/>
    </row>
    <row r="231" ht="22" customHeight="1">
      <c r="A231" s="4" t="str">
        <v>Net change on available-for-sale debt securities and other</v>
      </c>
      <c r="B231" s="2"/>
      <c r="C231" s="44"/>
      <c r="D231" s="44"/>
      <c r="E231" s="44"/>
      <c r="F231" s="44"/>
      <c r="G231" s="44"/>
      <c r="H231" s="44"/>
      <c r="I231" s="44" t="n">
        <v>4</v>
      </c>
      <c r="J231" s="44" t="n">
        <v>465</v>
      </c>
      <c r="K231" s="44" t="n">
        <v>-234</v>
      </c>
      <c r="L231" s="44"/>
      <c r="M231" s="45"/>
      <c r="N231" s="44"/>
      <c r="O231" s="44" t="n">
        <v>-391</v>
      </c>
      <c r="P231" s="44" t="n">
        <v>-351</v>
      </c>
      <c r="Q231" s="44"/>
      <c r="R231" s="44"/>
      <c r="S231" s="44"/>
      <c r="T231" s="44"/>
      <c r="U231" s="44"/>
      <c r="V231" s="44"/>
      <c r="W231" s="44"/>
      <c r="X231" s="44"/>
    </row>
    <row r="232" ht="36" customHeight="1">
      <c r="A232" s="4" t="str">
        <v>Subtotal (unlabeled in filing): Other comprehensive loss, net of taxes:</v>
      </c>
      <c r="B232" s="2"/>
      <c r="C232" s="44"/>
      <c r="D232" s="44"/>
      <c r="E232" s="44"/>
      <c r="F232" s="44"/>
      <c r="G232" s="44"/>
      <c r="H232" s="44"/>
      <c r="I232" s="44"/>
      <c r="J232" s="44"/>
      <c r="K232" s="44"/>
      <c r="L232" s="44"/>
      <c r="M232" s="45"/>
      <c r="N232" s="44"/>
      <c r="O232" s="44" t="n">
        <v>-607</v>
      </c>
      <c r="P232" s="44" t="n">
        <v>-866</v>
      </c>
      <c r="Q232" s="44"/>
      <c r="R232" s="44"/>
      <c r="S232" s="44"/>
      <c r="T232" s="44"/>
      <c r="U232" s="44"/>
      <c r="V232" s="44"/>
      <c r="W232" s="44"/>
      <c r="X232" s="44"/>
    </row>
    <row r="233" ht="22" customHeight="1">
      <c r="A233" s="4" t="str">
        <v>Comprehensive income</v>
      </c>
      <c r="B233" s="2"/>
      <c r="C233" s="44"/>
      <c r="D233" s="44"/>
      <c r="E233" s="44"/>
      <c r="F233" s="44"/>
      <c r="G233" s="44"/>
      <c r="H233" s="44"/>
      <c r="I233" s="44" t="n">
        <v>8570</v>
      </c>
      <c r="J233" s="44" t="n">
        <v>8923</v>
      </c>
      <c r="K233" s="44" t="n">
        <v>7548</v>
      </c>
      <c r="L233" s="44"/>
      <c r="M233" s="45"/>
      <c r="N233" s="44"/>
      <c r="O233" s="44" t="n">
        <v>2487</v>
      </c>
      <c r="P233" s="44" t="n">
        <v>2079</v>
      </c>
      <c r="Q233" s="44"/>
      <c r="R233" s="44"/>
      <c r="S233" s="44"/>
      <c r="T233" s="44"/>
      <c r="U233" s="44"/>
      <c r="V233" s="44"/>
      <c r="W233" s="44"/>
      <c r="X233" s="44"/>
    </row>
    <row r="234" ht="36" customHeight="1">
      <c r="A234" s="4" t="str">
        <v>Less: Comprehensive income attributable tononcontrolling interests</v>
      </c>
      <c r="B234" s="2"/>
      <c r="C234" s="44"/>
      <c r="D234" s="44"/>
      <c r="E234" s="44"/>
      <c r="F234" s="44"/>
      <c r="G234" s="44"/>
      <c r="H234" s="44"/>
      <c r="I234" s="44"/>
      <c r="J234" s="44"/>
      <c r="K234" s="44"/>
      <c r="L234" s="44"/>
      <c r="M234" s="45"/>
      <c r="N234" s="44"/>
      <c r="O234" s="44" t="n">
        <v>11</v>
      </c>
      <c r="P234" s="44" t="n">
        <v>15</v>
      </c>
      <c r="Q234" s="44"/>
      <c r="R234" s="44"/>
      <c r="S234" s="44"/>
      <c r="T234" s="44"/>
      <c r="U234" s="44"/>
      <c r="V234" s="44"/>
      <c r="W234" s="44"/>
      <c r="X234" s="44"/>
    </row>
    <row r="235" ht="22" customHeight="1">
      <c r="A235" s="4" t="str">
        <v>Comprehensive Income Attributable to PepsiCo</v>
      </c>
      <c r="B235" s="2"/>
      <c r="C235" s="44"/>
      <c r="D235" s="44"/>
      <c r="E235" s="44"/>
      <c r="F235" s="44"/>
      <c r="G235" s="44"/>
      <c r="H235" s="44"/>
      <c r="I235" s="44" t="n">
        <v>8506</v>
      </c>
      <c r="J235" s="44" t="n">
        <v>8842</v>
      </c>
      <c r="K235" s="44" t="n">
        <v>7500</v>
      </c>
      <c r="L235" s="44"/>
      <c r="M235" s="45"/>
      <c r="N235" s="44"/>
      <c r="O235" s="44" t="n">
        <v>2476</v>
      </c>
      <c r="P235" s="44" t="n">
        <v>2064</v>
      </c>
      <c r="Q235" s="44"/>
      <c r="R235" s="44"/>
      <c r="S235" s="44"/>
      <c r="T235" s="44"/>
      <c r="U235" s="44"/>
      <c r="V235" s="44"/>
      <c r="W235" s="44"/>
      <c r="X235" s="44"/>
    </row>
    <row r="236" ht="24" customHeight="1">
      <c r="A236" s="51" t="str">
        <v>Total other comprehensive loss, net of taxes</v>
      </c>
      <c r="B236" s="52"/>
      <c r="C236" s="53"/>
      <c r="D236" s="53"/>
      <c r="E236" s="53"/>
      <c r="F236" s="53"/>
      <c r="G236" s="53"/>
      <c r="H236" s="53"/>
      <c r="I236" s="53" t="n">
        <v>-408</v>
      </c>
      <c r="J236" s="53" t="n">
        <v>-232</v>
      </c>
      <c r="K236" s="53" t="n">
        <v>-2078</v>
      </c>
      <c r="L236" s="53"/>
      <c r="M236" s="55"/>
      <c r="N236" s="53"/>
      <c r="O236" s="53"/>
      <c r="P236" s="53"/>
      <c r="Q236" s="53"/>
      <c r="R236" s="53"/>
      <c r="S236" s="53"/>
      <c r="T236" s="53"/>
      <c r="U236" s="53"/>
      <c r="V236" s="53"/>
      <c r="W236" s="53"/>
      <c r="X236" s="53"/>
    </row>
    <row r="237" ht="36" customHeight="1">
      <c r="A237" s="4" t="str">
        <v>Less: Comprehensive income attributable to noncontrolling interests</v>
      </c>
      <c r="B237" s="2"/>
      <c r="C237" s="44"/>
      <c r="D237" s="44"/>
      <c r="E237" s="44"/>
      <c r="F237" s="44"/>
      <c r="G237" s="44"/>
      <c r="H237" s="44"/>
      <c r="I237" s="44" t="n">
        <v>64</v>
      </c>
      <c r="J237" s="44" t="n">
        <v>81</v>
      </c>
      <c r="K237" s="44" t="n">
        <v>48</v>
      </c>
      <c r="L237" s="44"/>
      <c r="M237" s="45"/>
      <c r="N237" s="44"/>
      <c r="O237" s="44"/>
      <c r="P237" s="44"/>
      <c r="Q237" s="44"/>
      <c r="R237" s="44"/>
      <c r="S237" s="44"/>
      <c r="T237" s="44"/>
      <c r="U237" s="44"/>
      <c r="V237" s="44"/>
      <c r="W237" s="44"/>
      <c r="X237" s="44"/>
    </row>
    <row r="238" ht="22" customHeight="1">
      <c r="A238" s="4" t="str">
        <v>Net currency translation adjustment</v>
      </c>
      <c r="B238" s="2"/>
      <c r="C238" s="44"/>
      <c r="D238" s="44"/>
      <c r="E238" s="44"/>
      <c r="F238" s="44"/>
      <c r="G238" s="44"/>
      <c r="H238" s="44"/>
      <c r="I238" s="44"/>
      <c r="J238" s="44"/>
      <c r="K238" s="44"/>
      <c r="L238" s="44"/>
      <c r="M238" s="45"/>
      <c r="N238" s="44" t="n">
        <v>-182</v>
      </c>
      <c r="O238" s="44"/>
      <c r="P238" s="44"/>
      <c r="Q238" s="44"/>
      <c r="R238" s="44" t="n">
        <v>436</v>
      </c>
      <c r="S238" s="44"/>
      <c r="T238" s="44"/>
      <c r="U238" s="44"/>
      <c r="V238" s="44"/>
      <c r="W238" s="44"/>
      <c r="X238" s="44"/>
    </row>
    <row r="239" ht="22" customHeight="1">
      <c r="A239" s="4" t="str">
        <v>Net change on cash flow hedges</v>
      </c>
      <c r="B239" s="2"/>
      <c r="C239" s="44"/>
      <c r="D239" s="44"/>
      <c r="E239" s="44"/>
      <c r="F239" s="44"/>
      <c r="G239" s="44"/>
      <c r="H239" s="44"/>
      <c r="I239" s="44"/>
      <c r="J239" s="44"/>
      <c r="K239" s="44"/>
      <c r="L239" s="44"/>
      <c r="M239" s="45"/>
      <c r="N239" s="44" t="n">
        <v>3</v>
      </c>
      <c r="O239" s="44"/>
      <c r="P239" s="44"/>
      <c r="Q239" s="44"/>
      <c r="R239" s="44" t="n">
        <v>22</v>
      </c>
      <c r="S239" s="44"/>
      <c r="T239" s="44"/>
      <c r="U239" s="44"/>
      <c r="V239" s="44"/>
      <c r="W239" s="44"/>
      <c r="X239" s="44"/>
    </row>
    <row r="240" ht="22" customHeight="1">
      <c r="A240" s="4" t="str">
        <v>Net pension and retiree medical adjustments</v>
      </c>
      <c r="B240" s="2"/>
      <c r="C240" s="44"/>
      <c r="D240" s="44"/>
      <c r="E240" s="44"/>
      <c r="F240" s="44"/>
      <c r="G240" s="44"/>
      <c r="H240" s="44"/>
      <c r="I240" s="44"/>
      <c r="J240" s="44"/>
      <c r="K240" s="44"/>
      <c r="L240" s="44"/>
      <c r="M240" s="45"/>
      <c r="N240" s="44" t="n">
        <v>11</v>
      </c>
      <c r="O240" s="44"/>
      <c r="P240" s="44"/>
      <c r="Q240" s="44"/>
      <c r="R240" s="44" t="n">
        <v>10</v>
      </c>
      <c r="S240" s="44"/>
      <c r="T240" s="44"/>
      <c r="U240" s="44"/>
      <c r="V240" s="44"/>
      <c r="W240" s="44"/>
      <c r="X240" s="44"/>
    </row>
    <row r="241" ht="22" customHeight="1">
      <c r="A241" s="4" t="str">
        <v>Net change on available-for-sale debt securities and other</v>
      </c>
      <c r="B241" s="2"/>
      <c r="C241" s="44"/>
      <c r="D241" s="44"/>
      <c r="E241" s="44"/>
      <c r="F241" s="44"/>
      <c r="G241" s="44"/>
      <c r="H241" s="44"/>
      <c r="I241" s="44"/>
      <c r="J241" s="44"/>
      <c r="K241" s="44"/>
      <c r="L241" s="44"/>
      <c r="M241" s="45"/>
      <c r="N241" s="44" t="n">
        <v>523</v>
      </c>
      <c r="O241" s="44"/>
      <c r="P241" s="44"/>
      <c r="Q241" s="44"/>
      <c r="R241" s="44" t="n">
        <v>66</v>
      </c>
      <c r="S241" s="44"/>
      <c r="T241" s="44"/>
      <c r="U241" s="44"/>
      <c r="V241" s="44"/>
      <c r="W241" s="44"/>
      <c r="X241" s="44"/>
    </row>
    <row r="242" ht="24" customHeight="1">
      <c r="A242" s="51" t="str">
        <v>Total other comprehensive income, net of taxes</v>
      </c>
      <c r="B242" s="52"/>
      <c r="C242" s="53"/>
      <c r="D242" s="53"/>
      <c r="E242" s="53"/>
      <c r="F242" s="53"/>
      <c r="G242" s="53"/>
      <c r="H242" s="53"/>
      <c r="I242" s="53"/>
      <c r="J242" s="53"/>
      <c r="K242" s="53"/>
      <c r="L242" s="53"/>
      <c r="M242" s="55"/>
      <c r="N242" s="53" t="n">
        <v>355</v>
      </c>
      <c r="O242" s="53"/>
      <c r="P242" s="53"/>
      <c r="Q242" s="53"/>
      <c r="R242" s="53" t="n">
        <v>534</v>
      </c>
      <c r="S242" s="53"/>
      <c r="T242" s="53"/>
      <c r="U242" s="53"/>
      <c r="V242" s="53"/>
      <c r="W242" s="53"/>
      <c r="X242" s="53"/>
    </row>
    <row r="243" ht="22" customHeight="1">
      <c r="A243" s="4" t="str">
        <v>Comprehensive income</v>
      </c>
      <c r="B243" s="2"/>
      <c r="C243" s="44"/>
      <c r="D243" s="44"/>
      <c r="E243" s="44"/>
      <c r="F243" s="44"/>
      <c r="G243" s="44"/>
      <c r="H243" s="44"/>
      <c r="I243" s="44"/>
      <c r="J243" s="44"/>
      <c r="K243" s="44"/>
      <c r="L243" s="44"/>
      <c r="M243" s="45"/>
      <c r="N243" s="44" t="n">
        <v>2408</v>
      </c>
      <c r="O243" s="44"/>
      <c r="P243" s="44"/>
      <c r="Q243" s="44"/>
      <c r="R243" s="44" t="n">
        <v>2377</v>
      </c>
      <c r="S243" s="44"/>
      <c r="T243" s="44"/>
      <c r="U243" s="44"/>
      <c r="V243" s="44"/>
      <c r="W243" s="44"/>
      <c r="X243" s="44"/>
    </row>
    <row r="244" ht="36" customHeight="1">
      <c r="A244" s="4" t="str">
        <v>Less: Comprehensive income attributable tononcontrolling interests</v>
      </c>
      <c r="B244" s="2"/>
      <c r="C244" s="44"/>
      <c r="D244" s="44"/>
      <c r="E244" s="44"/>
      <c r="F244" s="44"/>
      <c r="G244" s="44"/>
      <c r="H244" s="44"/>
      <c r="I244" s="44"/>
      <c r="J244" s="44"/>
      <c r="K244" s="44"/>
      <c r="L244" s="44"/>
      <c r="M244" s="45"/>
      <c r="N244" s="44" t="n">
        <v>11</v>
      </c>
      <c r="O244" s="44"/>
      <c r="P244" s="44"/>
      <c r="Q244" s="44"/>
      <c r="R244" s="44" t="n">
        <v>9</v>
      </c>
      <c r="S244" s="44"/>
      <c r="T244" s="44"/>
      <c r="U244" s="44"/>
      <c r="V244" s="44"/>
      <c r="W244" s="44"/>
      <c r="X244" s="44"/>
    </row>
    <row r="245" ht="22" customHeight="1">
      <c r="A245" s="4" t="str">
        <v>Comprehensive Income Attributable to PepsiCo</v>
      </c>
      <c r="B245" s="2"/>
      <c r="C245" s="44"/>
      <c r="D245" s="44"/>
      <c r="E245" s="44"/>
      <c r="F245" s="44"/>
      <c r="G245" s="44"/>
      <c r="H245" s="44"/>
      <c r="I245" s="44"/>
      <c r="J245" s="44"/>
      <c r="K245" s="44"/>
      <c r="L245" s="44"/>
      <c r="M245" s="45"/>
      <c r="N245" s="44" t="n">
        <v>2397</v>
      </c>
      <c r="O245" s="44"/>
      <c r="P245" s="44"/>
      <c r="Q245" s="44"/>
      <c r="R245" s="44" t="n">
        <v>2368</v>
      </c>
      <c r="S245" s="44"/>
      <c r="T245" s="44"/>
      <c r="U245" s="44"/>
      <c r="V245" s="44"/>
      <c r="W245" s="44"/>
      <c r="X245" s="44"/>
    </row>
    <row r="246" ht="24" customHeight="1">
      <c r="A246" s="51" t="str">
        <v>Total other comprehensive income/(loss), net of taxes</v>
      </c>
      <c r="B246" s="52"/>
      <c r="C246" s="53"/>
      <c r="D246" s="53"/>
      <c r="E246" s="53"/>
      <c r="F246" s="53"/>
      <c r="G246" s="53"/>
      <c r="H246" s="53"/>
      <c r="I246" s="53"/>
      <c r="J246" s="53" t="n">
        <v>-232</v>
      </c>
      <c r="K246" s="53" t="n">
        <v>-2078</v>
      </c>
      <c r="L246" s="53" t="n">
        <v>2588</v>
      </c>
      <c r="M246" s="55"/>
      <c r="N246" s="53"/>
      <c r="O246" s="53" t="n">
        <v>-607</v>
      </c>
      <c r="P246" s="53" t="n">
        <v>-866</v>
      </c>
      <c r="Q246" s="53"/>
      <c r="R246" s="53"/>
      <c r="S246" s="53" t="n">
        <v>988</v>
      </c>
      <c r="T246" s="53" t="n">
        <v>493</v>
      </c>
      <c r="U246" s="53"/>
      <c r="V246" s="53"/>
      <c r="W246" s="53"/>
      <c r="X246" s="53"/>
    </row>
    <row r="247" ht="24" customHeight="1">
      <c r="A247" s="51" t="str">
        <v>Total other comprehensive income, net of taxes</v>
      </c>
      <c r="B247" s="52"/>
      <c r="C247" s="53"/>
      <c r="D247" s="53"/>
      <c r="E247" s="53"/>
      <c r="F247" s="53"/>
      <c r="G247" s="53"/>
      <c r="H247" s="53"/>
      <c r="I247" s="53"/>
      <c r="J247" s="53"/>
      <c r="K247" s="53"/>
      <c r="L247" s="53"/>
      <c r="M247" s="55"/>
      <c r="N247" s="53"/>
      <c r="O247" s="53"/>
      <c r="P247" s="53"/>
      <c r="Q247" s="53"/>
      <c r="R247" s="53" t="n">
        <v>534</v>
      </c>
      <c r="S247" s="53"/>
      <c r="T247" s="53"/>
      <c r="U247" s="53"/>
      <c r="V247" s="53" t="n">
        <v>682</v>
      </c>
      <c r="W247" s="53"/>
      <c r="X247" s="53"/>
    </row>
    <row r="248" ht="24" customHeight="1">
      <c r="A248" s="51" t="str">
        <v>Total other comprehensive (loss)/income, net of taxes</v>
      </c>
      <c r="B248" s="52"/>
      <c r="C248" s="53"/>
      <c r="D248" s="53"/>
      <c r="E248" s="53"/>
      <c r="F248" s="53"/>
      <c r="G248" s="53"/>
      <c r="H248" s="53"/>
      <c r="I248" s="53"/>
      <c r="J248" s="53"/>
      <c r="K248" s="53"/>
      <c r="L248" s="53"/>
      <c r="M248" s="55"/>
      <c r="N248" s="53"/>
      <c r="O248" s="53"/>
      <c r="P248" s="53"/>
      <c r="Q248" s="53"/>
      <c r="R248" s="53"/>
      <c r="S248" s="53" t="n">
        <v>988</v>
      </c>
      <c r="T248" s="53" t="n">
        <v>493</v>
      </c>
      <c r="U248" s="53"/>
      <c r="V248" s="53"/>
      <c r="W248" s="53" t="n">
        <v>-1</v>
      </c>
      <c r="X248" s="53" t="n">
        <v>-644</v>
      </c>
    </row>
    <row r="249" ht="22" customHeight="1">
      <c r="A249" s="4"/>
      <c r="B249" s="2"/>
      <c r="C249" s="3"/>
      <c r="D249" s="3"/>
      <c r="E249" s="3"/>
      <c r="F249" s="3"/>
      <c r="G249" s="3"/>
      <c r="H249" s="3"/>
      <c r="I249" s="3"/>
      <c r="J249" s="3"/>
      <c r="K249" s="3"/>
      <c r="L249" s="3"/>
      <c r="M249" s="3"/>
      <c r="N249" s="3"/>
      <c r="O249" s="3"/>
      <c r="P249" s="3"/>
      <c r="Q249" s="3"/>
      <c r="R249" s="3"/>
      <c r="S249" s="3"/>
      <c r="T249" s="3"/>
      <c r="U249" s="3"/>
      <c r="V249" s="3"/>
      <c r="W249" s="3"/>
      <c r="X249" s="3"/>
    </row>
    <row r="250" ht="22" customHeight="1">
      <c r="A250" s="29" t="str">
        <v>Comprehensive income: YTD</v>
      </c>
      <c r="B250" s="29"/>
      <c r="C250" s="32"/>
      <c r="D250" s="32"/>
      <c r="E250" s="32"/>
      <c r="F250" s="32"/>
      <c r="G250" s="32"/>
      <c r="H250" s="32"/>
      <c r="I250" s="32"/>
      <c r="J250" s="32"/>
      <c r="K250" s="32"/>
      <c r="L250" s="32"/>
      <c r="M250" s="32"/>
      <c r="N250" s="32"/>
      <c r="O250" s="32"/>
      <c r="P250" s="32"/>
      <c r="Q250" s="32"/>
      <c r="R250" s="32"/>
      <c r="S250" s="32"/>
      <c r="T250" s="32"/>
      <c r="U250" s="32"/>
      <c r="V250" s="32"/>
      <c r="W250" s="32"/>
      <c r="X250" s="32"/>
    </row>
    <row r="251" ht="18" customHeight="1">
      <c r="A251" s="33" t="str">
        <v>USD millions unless per-share amounts, share counts, percentages or other units are specified. Distinct accounting dimensions, segment structures and YTD intervals are retained separately.</v>
      </c>
      <c r="B251" s="33"/>
      <c r="C251" s="35"/>
      <c r="D251" s="35"/>
      <c r="E251" s="35"/>
      <c r="F251" s="35"/>
      <c r="G251" s="35"/>
      <c r="H251" s="35"/>
      <c r="I251" s="35"/>
      <c r="J251" s="35"/>
      <c r="K251" s="35"/>
      <c r="L251" s="35"/>
      <c r="M251" s="35"/>
      <c r="N251" s="35"/>
      <c r="O251" s="35"/>
      <c r="P251" s="35"/>
      <c r="Q251" s="35"/>
      <c r="R251" s="35"/>
      <c r="S251" s="35"/>
      <c r="T251" s="35"/>
      <c r="U251" s="35"/>
      <c r="V251" s="35"/>
      <c r="W251" s="35"/>
      <c r="X251" s="35"/>
    </row>
    <row r="252" ht="22" customHeight="1">
      <c r="A252" s="4" t="str">
        <v>Net income</v>
      </c>
      <c r="B252" s="2"/>
      <c r="C252" s="44"/>
      <c r="D252" s="44"/>
      <c r="E252" s="44"/>
      <c r="F252" s="44"/>
      <c r="G252" s="44"/>
      <c r="H252" s="44"/>
      <c r="I252" s="44"/>
      <c r="J252" s="44"/>
      <c r="K252" s="44"/>
      <c r="L252" s="44"/>
      <c r="M252" s="45"/>
      <c r="N252" s="44"/>
      <c r="O252" s="44" t="n">
        <v>5147</v>
      </c>
      <c r="P252" s="44" t="n">
        <v>8092</v>
      </c>
      <c r="Q252" s="44"/>
      <c r="R252" s="44"/>
      <c r="S252" s="44" t="n">
        <v>3122</v>
      </c>
      <c r="T252" s="44" t="n">
        <v>5740</v>
      </c>
      <c r="U252" s="44"/>
      <c r="V252" s="44"/>
      <c r="W252" s="44" t="n">
        <v>5342</v>
      </c>
      <c r="X252" s="44" t="n">
        <v>8412</v>
      </c>
    </row>
    <row r="253" ht="22" customHeight="1">
      <c r="A253" s="4" t="str">
        <v>Net currency translation adjustment</v>
      </c>
      <c r="B253" s="2"/>
      <c r="C253" s="44"/>
      <c r="D253" s="44"/>
      <c r="E253" s="44"/>
      <c r="F253" s="44"/>
      <c r="G253" s="44"/>
      <c r="H253" s="44"/>
      <c r="I253" s="44"/>
      <c r="J253" s="44"/>
      <c r="K253" s="44"/>
      <c r="L253" s="44"/>
      <c r="M253" s="45"/>
      <c r="N253" s="44"/>
      <c r="O253" s="44" t="n">
        <v>-449</v>
      </c>
      <c r="P253" s="44" t="n">
        <v>-961</v>
      </c>
      <c r="Q253" s="44"/>
      <c r="R253" s="44"/>
      <c r="S253" s="44"/>
      <c r="T253" s="44"/>
      <c r="U253" s="44"/>
      <c r="V253" s="44"/>
      <c r="W253" s="44"/>
      <c r="X253" s="44"/>
    </row>
    <row r="254" ht="22" customHeight="1">
      <c r="A254" s="4" t="str">
        <v>Net change on cash flow hedges</v>
      </c>
      <c r="B254" s="2"/>
      <c r="C254" s="44"/>
      <c r="D254" s="44"/>
      <c r="E254" s="44"/>
      <c r="F254" s="44"/>
      <c r="G254" s="44"/>
      <c r="H254" s="44"/>
      <c r="I254" s="44"/>
      <c r="J254" s="44"/>
      <c r="K254" s="44"/>
      <c r="L254" s="44"/>
      <c r="M254" s="45"/>
      <c r="N254" s="44"/>
      <c r="O254" s="44" t="n">
        <v>45</v>
      </c>
      <c r="P254" s="44" t="n">
        <v>21</v>
      </c>
      <c r="Q254" s="44"/>
      <c r="R254" s="44"/>
      <c r="S254" s="44"/>
      <c r="T254" s="44"/>
      <c r="U254" s="44"/>
      <c r="V254" s="44"/>
      <c r="W254" s="44"/>
      <c r="X254" s="44"/>
    </row>
    <row r="255" ht="22" customHeight="1">
      <c r="A255" s="4" t="str">
        <v>Net pension and retiree medical adjustments</v>
      </c>
      <c r="B255" s="2"/>
      <c r="C255" s="44"/>
      <c r="D255" s="44"/>
      <c r="E255" s="44"/>
      <c r="F255" s="44"/>
      <c r="G255" s="44"/>
      <c r="H255" s="44"/>
      <c r="I255" s="44"/>
      <c r="J255" s="44"/>
      <c r="K255" s="44"/>
      <c r="L255" s="44"/>
      <c r="M255" s="45"/>
      <c r="N255" s="44"/>
      <c r="O255" s="44" t="n">
        <v>20</v>
      </c>
      <c r="P255" s="44" t="n">
        <v>41</v>
      </c>
      <c r="Q255" s="44"/>
      <c r="R255" s="44"/>
      <c r="S255" s="44"/>
      <c r="T255" s="44"/>
      <c r="U255" s="44"/>
      <c r="V255" s="44"/>
      <c r="W255" s="44"/>
      <c r="X255" s="44"/>
    </row>
    <row r="256" ht="22" customHeight="1">
      <c r="A256" s="4" t="str">
        <v>Net change on available-for-sale debt securities and other</v>
      </c>
      <c r="B256" s="2"/>
      <c r="C256" s="44"/>
      <c r="D256" s="44"/>
      <c r="E256" s="44"/>
      <c r="F256" s="44"/>
      <c r="G256" s="44"/>
      <c r="H256" s="44"/>
      <c r="I256" s="44"/>
      <c r="J256" s="44"/>
      <c r="K256" s="44"/>
      <c r="L256" s="44"/>
      <c r="M256" s="45"/>
      <c r="N256" s="44"/>
      <c r="O256" s="44" t="n">
        <v>132</v>
      </c>
      <c r="P256" s="44" t="n">
        <v>-219</v>
      </c>
      <c r="Q256" s="44"/>
      <c r="R256" s="44"/>
      <c r="S256" s="44"/>
      <c r="T256" s="44"/>
      <c r="U256" s="44"/>
      <c r="V256" s="44"/>
      <c r="W256" s="44"/>
      <c r="X256" s="44"/>
    </row>
    <row r="257" ht="36" customHeight="1">
      <c r="A257" s="4" t="str">
        <v>Subtotal (unlabeled in filing): Other comprehensive loss, net of taxes:</v>
      </c>
      <c r="B257" s="2"/>
      <c r="C257" s="44"/>
      <c r="D257" s="44"/>
      <c r="E257" s="44"/>
      <c r="F257" s="44"/>
      <c r="G257" s="44"/>
      <c r="H257" s="44"/>
      <c r="I257" s="44"/>
      <c r="J257" s="44"/>
      <c r="K257" s="44"/>
      <c r="L257" s="44"/>
      <c r="M257" s="45"/>
      <c r="N257" s="44"/>
      <c r="O257" s="44" t="n">
        <v>-252</v>
      </c>
      <c r="P257" s="44" t="n">
        <v>-1118</v>
      </c>
      <c r="Q257" s="44"/>
      <c r="R257" s="44"/>
      <c r="S257" s="44"/>
      <c r="T257" s="44"/>
      <c r="U257" s="44"/>
      <c r="V257" s="44"/>
      <c r="W257" s="44"/>
      <c r="X257" s="44"/>
    </row>
    <row r="258" ht="22" customHeight="1">
      <c r="A258" s="4" t="str">
        <v>Comprehensive income</v>
      </c>
      <c r="B258" s="2"/>
      <c r="C258" s="44"/>
      <c r="D258" s="44"/>
      <c r="E258" s="44"/>
      <c r="F258" s="44"/>
      <c r="G258" s="44"/>
      <c r="H258" s="44"/>
      <c r="I258" s="44"/>
      <c r="J258" s="44"/>
      <c r="K258" s="44"/>
      <c r="L258" s="44"/>
      <c r="M258" s="45"/>
      <c r="N258" s="44"/>
      <c r="O258" s="44" t="n">
        <v>4895</v>
      </c>
      <c r="P258" s="44" t="n">
        <v>6974</v>
      </c>
      <c r="Q258" s="44"/>
      <c r="R258" s="44"/>
      <c r="S258" s="44"/>
      <c r="T258" s="44"/>
      <c r="U258" s="44"/>
      <c r="V258" s="44"/>
      <c r="W258" s="44"/>
      <c r="X258" s="44"/>
    </row>
    <row r="259" ht="36" customHeight="1">
      <c r="A259" s="4" t="str">
        <v>Less: Comprehensive income attributable tononcontrolling interests</v>
      </c>
      <c r="B259" s="2"/>
      <c r="C259" s="44"/>
      <c r="D259" s="44"/>
      <c r="E259" s="44"/>
      <c r="F259" s="44"/>
      <c r="G259" s="44"/>
      <c r="H259" s="44"/>
      <c r="I259" s="44"/>
      <c r="J259" s="44"/>
      <c r="K259" s="44"/>
      <c r="L259" s="44"/>
      <c r="M259" s="45"/>
      <c r="N259" s="44"/>
      <c r="O259" s="44" t="n">
        <v>22</v>
      </c>
      <c r="P259" s="44" t="n">
        <v>37</v>
      </c>
      <c r="Q259" s="44"/>
      <c r="R259" s="44"/>
      <c r="S259" s="44"/>
      <c r="T259" s="44"/>
      <c r="U259" s="44"/>
      <c r="V259" s="44"/>
      <c r="W259" s="44"/>
      <c r="X259" s="44"/>
    </row>
    <row r="260" ht="22" customHeight="1">
      <c r="A260" s="4" t="str">
        <v>Comprehensive Income Attributable to PepsiCo</v>
      </c>
      <c r="B260" s="2"/>
      <c r="C260" s="44"/>
      <c r="D260" s="44"/>
      <c r="E260" s="44"/>
      <c r="F260" s="44"/>
      <c r="G260" s="44"/>
      <c r="H260" s="44"/>
      <c r="I260" s="44"/>
      <c r="J260" s="44"/>
      <c r="K260" s="44"/>
      <c r="L260" s="44"/>
      <c r="M260" s="45"/>
      <c r="N260" s="44"/>
      <c r="O260" s="44" t="n">
        <v>4873</v>
      </c>
      <c r="P260" s="44" t="n">
        <v>6937</v>
      </c>
      <c r="Q260" s="44"/>
      <c r="R260" s="44"/>
      <c r="S260" s="44"/>
      <c r="T260" s="44"/>
      <c r="U260" s="44"/>
      <c r="V260" s="44"/>
      <c r="W260" s="44"/>
      <c r="X260" s="44"/>
    </row>
    <row r="261" ht="22" customHeight="1">
      <c r="A261" s="4" t="str">
        <v>Net currency translation adjustment</v>
      </c>
      <c r="B261" s="2"/>
      <c r="C261" s="44"/>
      <c r="D261" s="44"/>
      <c r="E261" s="44"/>
      <c r="F261" s="44"/>
      <c r="G261" s="44"/>
      <c r="H261" s="44"/>
      <c r="I261" s="44"/>
      <c r="J261" s="44"/>
      <c r="K261" s="44"/>
      <c r="L261" s="44"/>
      <c r="M261" s="45"/>
      <c r="N261" s="44"/>
      <c r="O261" s="44" t="n">
        <v>-449</v>
      </c>
      <c r="P261" s="44" t="n">
        <v>-961</v>
      </c>
      <c r="Q261" s="44"/>
      <c r="R261" s="44"/>
      <c r="S261" s="44" t="n">
        <v>1397</v>
      </c>
      <c r="T261" s="44" t="n">
        <v>1436</v>
      </c>
      <c r="U261" s="44"/>
      <c r="V261" s="44"/>
      <c r="W261" s="44"/>
      <c r="X261" s="44"/>
    </row>
    <row r="262" ht="22" customHeight="1">
      <c r="A262" s="4" t="str">
        <v>Net change on cash flow hedges</v>
      </c>
      <c r="B262" s="2"/>
      <c r="C262" s="44"/>
      <c r="D262" s="44"/>
      <c r="E262" s="44"/>
      <c r="F262" s="44"/>
      <c r="G262" s="44"/>
      <c r="H262" s="44"/>
      <c r="I262" s="44"/>
      <c r="J262" s="44"/>
      <c r="K262" s="44"/>
      <c r="L262" s="44"/>
      <c r="M262" s="45"/>
      <c r="N262" s="44"/>
      <c r="O262" s="44" t="n">
        <v>45</v>
      </c>
      <c r="P262" s="44" t="n">
        <v>21</v>
      </c>
      <c r="Q262" s="44"/>
      <c r="R262" s="44"/>
      <c r="S262" s="44" t="n">
        <v>4</v>
      </c>
      <c r="T262" s="44" t="n">
        <v>27</v>
      </c>
      <c r="U262" s="44"/>
      <c r="V262" s="44"/>
      <c r="W262" s="44"/>
      <c r="X262" s="44"/>
    </row>
    <row r="263" ht="22" customHeight="1">
      <c r="A263" s="4" t="str">
        <v>Net pension and retiree medical adjustments</v>
      </c>
      <c r="B263" s="2"/>
      <c r="C263" s="44"/>
      <c r="D263" s="44"/>
      <c r="E263" s="44"/>
      <c r="F263" s="44"/>
      <c r="G263" s="44"/>
      <c r="H263" s="44"/>
      <c r="I263" s="44"/>
      <c r="J263" s="44"/>
      <c r="K263" s="44"/>
      <c r="L263" s="44"/>
      <c r="M263" s="45"/>
      <c r="N263" s="44"/>
      <c r="O263" s="44" t="n">
        <v>20</v>
      </c>
      <c r="P263" s="44" t="n">
        <v>41</v>
      </c>
      <c r="Q263" s="44"/>
      <c r="R263" s="44"/>
      <c r="S263" s="44" t="n">
        <v>-9</v>
      </c>
      <c r="T263" s="44" t="n">
        <v>12</v>
      </c>
      <c r="U263" s="44"/>
      <c r="V263" s="44"/>
      <c r="W263" s="44"/>
      <c r="X263" s="44"/>
    </row>
    <row r="264" ht="22" customHeight="1">
      <c r="A264" s="4" t="str">
        <v>Net change on available-for-sale debt securities and other</v>
      </c>
      <c r="B264" s="2"/>
      <c r="C264" s="44"/>
      <c r="D264" s="44"/>
      <c r="E264" s="44"/>
      <c r="F264" s="44"/>
      <c r="G264" s="44"/>
      <c r="H264" s="44"/>
      <c r="I264" s="44"/>
      <c r="J264" s="44"/>
      <c r="K264" s="44"/>
      <c r="L264" s="44"/>
      <c r="M264" s="45"/>
      <c r="N264" s="44"/>
      <c r="O264" s="44" t="n">
        <v>132</v>
      </c>
      <c r="P264" s="44" t="n">
        <v>-219</v>
      </c>
      <c r="Q264" s="44"/>
      <c r="R264" s="44"/>
      <c r="S264" s="44" t="n">
        <v>130</v>
      </c>
      <c r="T264" s="44" t="n">
        <v>540</v>
      </c>
      <c r="U264" s="44"/>
      <c r="V264" s="44"/>
      <c r="W264" s="44"/>
      <c r="X264" s="44"/>
    </row>
    <row r="265" ht="24" customHeight="1">
      <c r="A265" s="51" t="str">
        <v>Total other comprehensive income/(loss), net of taxes</v>
      </c>
      <c r="B265" s="52"/>
      <c r="C265" s="53"/>
      <c r="D265" s="53"/>
      <c r="E265" s="53"/>
      <c r="F265" s="53"/>
      <c r="G265" s="53"/>
      <c r="H265" s="53"/>
      <c r="I265" s="53"/>
      <c r="J265" s="53"/>
      <c r="K265" s="53"/>
      <c r="L265" s="53"/>
      <c r="M265" s="55"/>
      <c r="N265" s="53"/>
      <c r="O265" s="53" t="n">
        <v>-252</v>
      </c>
      <c r="P265" s="53" t="n">
        <v>-1118</v>
      </c>
      <c r="Q265" s="53"/>
      <c r="R265" s="53"/>
      <c r="S265" s="53" t="n">
        <v>1522</v>
      </c>
      <c r="T265" s="53" t="n">
        <v>2015</v>
      </c>
      <c r="U265" s="53"/>
      <c r="V265" s="53"/>
      <c r="W265" s="53"/>
      <c r="X265" s="53"/>
    </row>
    <row r="266" ht="22" customHeight="1">
      <c r="A266" s="4" t="str">
        <v>Comprehensive income</v>
      </c>
      <c r="B266" s="2"/>
      <c r="C266" s="44"/>
      <c r="D266" s="44"/>
      <c r="E266" s="44"/>
      <c r="F266" s="44"/>
      <c r="G266" s="44"/>
      <c r="H266" s="44"/>
      <c r="I266" s="44"/>
      <c r="J266" s="44"/>
      <c r="K266" s="44"/>
      <c r="L266" s="44"/>
      <c r="M266" s="45"/>
      <c r="N266" s="44"/>
      <c r="O266" s="44" t="n">
        <v>4895</v>
      </c>
      <c r="P266" s="44" t="n">
        <v>6974</v>
      </c>
      <c r="Q266" s="44"/>
      <c r="R266" s="44"/>
      <c r="S266" s="44" t="n">
        <v>4644</v>
      </c>
      <c r="T266" s="44" t="n">
        <v>7755</v>
      </c>
      <c r="U266" s="44"/>
      <c r="V266" s="44"/>
      <c r="W266" s="44"/>
      <c r="X266" s="44"/>
    </row>
    <row r="267" ht="36" customHeight="1">
      <c r="A267" s="4" t="str">
        <v>Less: Comprehensive income attributable tononcontrolling interests</v>
      </c>
      <c r="B267" s="2"/>
      <c r="C267" s="44"/>
      <c r="D267" s="44"/>
      <c r="E267" s="44"/>
      <c r="F267" s="44"/>
      <c r="G267" s="44"/>
      <c r="H267" s="44"/>
      <c r="I267" s="44"/>
      <c r="J267" s="44"/>
      <c r="K267" s="44"/>
      <c r="L267" s="44"/>
      <c r="M267" s="45"/>
      <c r="N267" s="44"/>
      <c r="O267" s="44" t="n">
        <v>22</v>
      </c>
      <c r="P267" s="44" t="n">
        <v>37</v>
      </c>
      <c r="Q267" s="44"/>
      <c r="R267" s="44"/>
      <c r="S267" s="44" t="n">
        <v>25</v>
      </c>
      <c r="T267" s="44" t="n">
        <v>40</v>
      </c>
      <c r="U267" s="44"/>
      <c r="V267" s="44"/>
      <c r="W267" s="44"/>
      <c r="X267" s="44"/>
    </row>
    <row r="268" ht="22" customHeight="1">
      <c r="A268" s="4" t="str">
        <v>Comprehensive Income Attributable to PepsiCo</v>
      </c>
      <c r="B268" s="2"/>
      <c r="C268" s="44"/>
      <c r="D268" s="44"/>
      <c r="E268" s="44"/>
      <c r="F268" s="44"/>
      <c r="G268" s="44"/>
      <c r="H268" s="44"/>
      <c r="I268" s="44"/>
      <c r="J268" s="44"/>
      <c r="K268" s="44"/>
      <c r="L268" s="44"/>
      <c r="M268" s="45"/>
      <c r="N268" s="44"/>
      <c r="O268" s="44" t="n">
        <v>4873</v>
      </c>
      <c r="P268" s="44" t="n">
        <v>6937</v>
      </c>
      <c r="Q268" s="44"/>
      <c r="R268" s="44"/>
      <c r="S268" s="44" t="n">
        <v>4619</v>
      </c>
      <c r="T268" s="44" t="n">
        <v>7715</v>
      </c>
      <c r="U268" s="44"/>
      <c r="V268" s="44"/>
      <c r="W268" s="44"/>
      <c r="X268" s="44"/>
    </row>
    <row r="269" ht="22" customHeight="1">
      <c r="A269" s="4" t="str">
        <v>Net currency translation adjustment</v>
      </c>
      <c r="B269" s="2"/>
      <c r="C269" s="44"/>
      <c r="D269" s="44"/>
      <c r="E269" s="44"/>
      <c r="F269" s="44"/>
      <c r="G269" s="44"/>
      <c r="H269" s="44"/>
      <c r="I269" s="44"/>
      <c r="J269" s="44"/>
      <c r="K269" s="44"/>
      <c r="L269" s="44"/>
      <c r="M269" s="45"/>
      <c r="N269" s="44"/>
      <c r="O269" s="44"/>
      <c r="P269" s="44"/>
      <c r="Q269" s="44"/>
      <c r="R269" s="44"/>
      <c r="S269" s="44" t="n">
        <v>1397</v>
      </c>
      <c r="T269" s="44" t="n">
        <v>1436</v>
      </c>
      <c r="U269" s="44"/>
      <c r="V269" s="44"/>
      <c r="W269" s="44" t="n">
        <v>874</v>
      </c>
      <c r="X269" s="44" t="n">
        <v>16</v>
      </c>
    </row>
    <row r="270" ht="22" customHeight="1">
      <c r="A270" s="4" t="str">
        <v>Net change on cash flow hedges</v>
      </c>
      <c r="B270" s="2"/>
      <c r="C270" s="44"/>
      <c r="D270" s="44"/>
      <c r="E270" s="44"/>
      <c r="F270" s="44"/>
      <c r="G270" s="44"/>
      <c r="H270" s="44"/>
      <c r="I270" s="44"/>
      <c r="J270" s="44"/>
      <c r="K270" s="44"/>
      <c r="L270" s="44"/>
      <c r="M270" s="45"/>
      <c r="N270" s="44"/>
      <c r="O270" s="44"/>
      <c r="P270" s="44"/>
      <c r="Q270" s="44"/>
      <c r="R270" s="44"/>
      <c r="S270" s="44" t="n">
        <v>4</v>
      </c>
      <c r="T270" s="44" t="n">
        <v>27</v>
      </c>
      <c r="U270" s="44"/>
      <c r="V270" s="44"/>
      <c r="W270" s="44" t="n">
        <v>95</v>
      </c>
      <c r="X270" s="44" t="n">
        <v>54</v>
      </c>
    </row>
    <row r="271" ht="22" customHeight="1">
      <c r="A271" s="4" t="str">
        <v>Net pension and retiree medical adjustments</v>
      </c>
      <c r="B271" s="2"/>
      <c r="C271" s="44"/>
      <c r="D271" s="44"/>
      <c r="E271" s="44"/>
      <c r="F271" s="44"/>
      <c r="G271" s="44"/>
      <c r="H271" s="44"/>
      <c r="I271" s="44"/>
      <c r="J271" s="44"/>
      <c r="K271" s="44"/>
      <c r="L271" s="44"/>
      <c r="M271" s="45"/>
      <c r="N271" s="44"/>
      <c r="O271" s="44"/>
      <c r="P271" s="44"/>
      <c r="Q271" s="44"/>
      <c r="R271" s="44"/>
      <c r="S271" s="44" t="n">
        <v>-9</v>
      </c>
      <c r="T271" s="44" t="n">
        <v>12</v>
      </c>
      <c r="U271" s="44"/>
      <c r="V271" s="44"/>
      <c r="W271" s="44" t="n">
        <v>27</v>
      </c>
      <c r="X271" s="44" t="n">
        <v>230</v>
      </c>
    </row>
    <row r="272" ht="22" customHeight="1">
      <c r="A272" s="4" t="str">
        <v>Net change on available-for-sale debt securities and other</v>
      </c>
      <c r="B272" s="2"/>
      <c r="C272" s="44"/>
      <c r="D272" s="44"/>
      <c r="E272" s="44"/>
      <c r="F272" s="44"/>
      <c r="G272" s="44"/>
      <c r="H272" s="44"/>
      <c r="I272" s="44"/>
      <c r="J272" s="44"/>
      <c r="K272" s="44"/>
      <c r="L272" s="44"/>
      <c r="M272" s="45"/>
      <c r="N272" s="44"/>
      <c r="O272" s="44"/>
      <c r="P272" s="44"/>
      <c r="Q272" s="44"/>
      <c r="R272" s="44"/>
      <c r="S272" s="44" t="n">
        <v>130</v>
      </c>
      <c r="T272" s="44" t="n">
        <v>540</v>
      </c>
      <c r="U272" s="44"/>
      <c r="V272" s="44"/>
      <c r="W272" s="44" t="n">
        <v>-315</v>
      </c>
      <c r="X272" s="44" t="n">
        <v>-263</v>
      </c>
    </row>
    <row r="273" ht="24" customHeight="1">
      <c r="A273" s="51" t="str">
        <v>Total other comprehensive (loss)/income, net of taxes</v>
      </c>
      <c r="B273" s="52"/>
      <c r="C273" s="53"/>
      <c r="D273" s="53"/>
      <c r="E273" s="53"/>
      <c r="F273" s="53"/>
      <c r="G273" s="53"/>
      <c r="H273" s="53"/>
      <c r="I273" s="53"/>
      <c r="J273" s="53"/>
      <c r="K273" s="53"/>
      <c r="L273" s="53"/>
      <c r="M273" s="55"/>
      <c r="N273" s="53"/>
      <c r="O273" s="53"/>
      <c r="P273" s="53"/>
      <c r="Q273" s="53"/>
      <c r="R273" s="53"/>
      <c r="S273" s="53" t="n">
        <v>1522</v>
      </c>
      <c r="T273" s="53" t="n">
        <v>2015</v>
      </c>
      <c r="U273" s="53"/>
      <c r="V273" s="53"/>
      <c r="W273" s="53" t="n">
        <v>681</v>
      </c>
      <c r="X273" s="53" t="n">
        <v>37</v>
      </c>
    </row>
    <row r="274" ht="22" customHeight="1">
      <c r="A274" s="4" t="str">
        <v>Comprehensive income</v>
      </c>
      <c r="B274" s="2"/>
      <c r="C274" s="44"/>
      <c r="D274" s="44"/>
      <c r="E274" s="44"/>
      <c r="F274" s="44"/>
      <c r="G274" s="44"/>
      <c r="H274" s="44"/>
      <c r="I274" s="44"/>
      <c r="J274" s="44"/>
      <c r="K274" s="44"/>
      <c r="L274" s="44"/>
      <c r="M274" s="45"/>
      <c r="N274" s="44"/>
      <c r="O274" s="44"/>
      <c r="P274" s="44"/>
      <c r="Q274" s="44"/>
      <c r="R274" s="44"/>
      <c r="S274" s="44" t="n">
        <v>4644</v>
      </c>
      <c r="T274" s="44" t="n">
        <v>7755</v>
      </c>
      <c r="U274" s="44"/>
      <c r="V274" s="44"/>
      <c r="W274" s="44" t="n">
        <v>6023</v>
      </c>
      <c r="X274" s="44" t="n">
        <v>8449</v>
      </c>
    </row>
    <row r="275" ht="36" customHeight="1">
      <c r="A275" s="4" t="str">
        <v>Less: Comprehensive income attributable to noncontrolling interests</v>
      </c>
      <c r="B275" s="2"/>
      <c r="C275" s="44"/>
      <c r="D275" s="44"/>
      <c r="E275" s="44"/>
      <c r="F275" s="44"/>
      <c r="G275" s="44"/>
      <c r="H275" s="44"/>
      <c r="I275" s="44"/>
      <c r="J275" s="44"/>
      <c r="K275" s="44"/>
      <c r="L275" s="44"/>
      <c r="M275" s="45"/>
      <c r="N275" s="44"/>
      <c r="O275" s="44"/>
      <c r="P275" s="44"/>
      <c r="Q275" s="44"/>
      <c r="R275" s="44"/>
      <c r="S275" s="44" t="n">
        <v>25</v>
      </c>
      <c r="T275" s="44" t="n">
        <v>40</v>
      </c>
      <c r="U275" s="44"/>
      <c r="V275" s="44"/>
      <c r="W275" s="44" t="n">
        <v>34</v>
      </c>
      <c r="X275" s="44" t="n">
        <v>56</v>
      </c>
    </row>
    <row r="276" ht="22" customHeight="1">
      <c r="A276" s="4" t="str">
        <v>Comprehensive Income Attributable to PepsiCo</v>
      </c>
      <c r="B276" s="2"/>
      <c r="C276" s="44"/>
      <c r="D276" s="44"/>
      <c r="E276" s="44"/>
      <c r="F276" s="44"/>
      <c r="G276" s="44"/>
      <c r="H276" s="44"/>
      <c r="I276" s="44"/>
      <c r="J276" s="44"/>
      <c r="K276" s="44"/>
      <c r="L276" s="44"/>
      <c r="M276" s="45"/>
      <c r="N276" s="44"/>
      <c r="O276" s="44"/>
      <c r="P276" s="44"/>
      <c r="Q276" s="44"/>
      <c r="R276" s="44"/>
      <c r="S276" s="44" t="n">
        <v>4619</v>
      </c>
      <c r="T276" s="44" t="n">
        <v>7715</v>
      </c>
      <c r="U276" s="44"/>
      <c r="V276" s="44"/>
      <c r="W276" s="44" t="n">
        <v>5989</v>
      </c>
      <c r="X276" s="44" t="n">
        <v>8393</v>
      </c>
    </row>
    <row r="277" ht="22" customHeight="1">
      <c r="A277" s="4"/>
      <c r="B277" s="2"/>
      <c r="C277" s="3"/>
      <c r="D277" s="3"/>
      <c r="E277" s="3"/>
      <c r="F277" s="3"/>
      <c r="G277" s="3"/>
      <c r="H277" s="3"/>
      <c r="I277" s="3"/>
      <c r="J277" s="3"/>
      <c r="K277" s="3"/>
      <c r="L277" s="3"/>
      <c r="M277" s="3"/>
      <c r="N277" s="3"/>
      <c r="O277" s="3"/>
      <c r="P277" s="3"/>
      <c r="Q277" s="3"/>
      <c r="R277" s="3"/>
      <c r="S277" s="3"/>
      <c r="T277" s="3"/>
      <c r="U277" s="3"/>
      <c r="V277" s="3"/>
      <c r="W277" s="3"/>
      <c r="X277" s="3"/>
    </row>
    <row r="278" ht="22" customHeight="1">
      <c r="A278" s="29" t="str">
        <v>Supplemental cash flow information</v>
      </c>
      <c r="B278" s="29"/>
      <c r="C278" s="32"/>
      <c r="D278" s="32"/>
      <c r="E278" s="32"/>
      <c r="F278" s="32"/>
      <c r="G278" s="32"/>
      <c r="H278" s="32"/>
      <c r="I278" s="32"/>
      <c r="J278" s="32"/>
      <c r="K278" s="32"/>
      <c r="L278" s="32"/>
      <c r="M278" s="32"/>
      <c r="N278" s="32"/>
      <c r="O278" s="32"/>
      <c r="P278" s="32"/>
      <c r="Q278" s="32"/>
      <c r="R278" s="32"/>
      <c r="S278" s="32"/>
      <c r="T278" s="32"/>
      <c r="U278" s="32"/>
      <c r="V278" s="32"/>
      <c r="W278" s="32"/>
      <c r="X278" s="32"/>
    </row>
    <row r="279" ht="22" customHeight="1">
      <c r="A279" s="4" t="str">
        <v>Rent expense</v>
      </c>
      <c r="B279" s="2"/>
      <c r="C279" s="44" t="n">
        <v>701</v>
      </c>
      <c r="D279" s="44"/>
      <c r="E279" s="44"/>
      <c r="F279" s="44"/>
      <c r="G279" s="44"/>
      <c r="H279" s="44"/>
      <c r="I279" s="44"/>
      <c r="J279" s="44"/>
      <c r="K279" s="44"/>
      <c r="L279" s="44"/>
      <c r="M279" s="45"/>
      <c r="N279" s="44"/>
      <c r="O279" s="44"/>
      <c r="P279" s="44"/>
      <c r="Q279" s="44"/>
      <c r="R279" s="44"/>
      <c r="S279" s="44"/>
      <c r="T279" s="44"/>
      <c r="U279" s="44"/>
      <c r="V279" s="44"/>
      <c r="W279" s="44"/>
      <c r="X279" s="44"/>
    </row>
    <row r="280" ht="22" customHeight="1">
      <c r="A280" s="4" t="str">
        <v>Interest paid</v>
      </c>
      <c r="B280" s="2"/>
      <c r="C280" s="44" t="n">
        <v>1102</v>
      </c>
      <c r="D280" s="44" t="n">
        <v>1123</v>
      </c>
      <c r="E280" s="44" t="n">
        <v>1388</v>
      </c>
      <c r="F280" s="44" t="n">
        <v>1076</v>
      </c>
      <c r="G280" s="44" t="n">
        <v>1156</v>
      </c>
      <c r="H280" s="44" t="n">
        <v>1184</v>
      </c>
      <c r="I280" s="44" t="n">
        <v>1043</v>
      </c>
      <c r="J280" s="44" t="n">
        <v>1401</v>
      </c>
      <c r="K280" s="44" t="n">
        <v>1585</v>
      </c>
      <c r="L280" s="44" t="n">
        <v>1748</v>
      </c>
      <c r="M280" s="45"/>
      <c r="N280" s="44"/>
      <c r="O280" s="44"/>
      <c r="P280" s="44"/>
      <c r="Q280" s="44"/>
      <c r="R280" s="44"/>
      <c r="S280" s="44"/>
      <c r="T280" s="44"/>
      <c r="U280" s="44"/>
      <c r="V280" s="44"/>
      <c r="W280" s="44"/>
      <c r="X280" s="44"/>
    </row>
    <row r="281" ht="22" customHeight="1">
      <c r="A281" s="4" t="str">
        <v>Income taxes paid, net of refunds</v>
      </c>
      <c r="B281" s="2"/>
      <c r="C281" s="44" t="n">
        <v>1393</v>
      </c>
      <c r="D281" s="44" t="n">
        <v>1962</v>
      </c>
      <c r="E281" s="44" t="n">
        <v>1203</v>
      </c>
      <c r="F281" s="44" t="n">
        <v>2226</v>
      </c>
      <c r="G281" s="44" t="n">
        <v>1770</v>
      </c>
      <c r="H281" s="44" t="n">
        <v>1933</v>
      </c>
      <c r="I281" s="44" t="n">
        <v>2766</v>
      </c>
      <c r="J281" s="44" t="n">
        <v>2532</v>
      </c>
      <c r="K281" s="44" t="n">
        <v>3064</v>
      </c>
      <c r="L281" s="44" t="n">
        <v>3083</v>
      </c>
      <c r="M281" s="45"/>
      <c r="N281" s="44"/>
      <c r="O281" s="44"/>
      <c r="P281" s="44"/>
      <c r="Q281" s="44"/>
      <c r="R281" s="44"/>
      <c r="S281" s="44"/>
      <c r="T281" s="44"/>
      <c r="U281" s="44"/>
      <c r="V281" s="44"/>
      <c r="W281" s="44"/>
      <c r="X281" s="44"/>
    </row>
    <row r="282" ht="22" customHeight="1">
      <c r="A282" s="4" t="str">
        <v>Debt discharged via legal defeasance</v>
      </c>
      <c r="B282" s="2"/>
      <c r="C282" s="44"/>
      <c r="D282" s="44"/>
      <c r="E282" s="44"/>
      <c r="F282" s="44"/>
      <c r="G282" s="44"/>
      <c r="H282" s="44" t="n">
        <v>0</v>
      </c>
      <c r="I282" s="44" t="n">
        <v>0</v>
      </c>
      <c r="J282" s="44" t="n">
        <v>94</v>
      </c>
      <c r="K282" s="44" t="n">
        <v>0</v>
      </c>
      <c r="L282" s="44" t="n">
        <v>0</v>
      </c>
      <c r="M282" s="45"/>
      <c r="N282" s="44"/>
      <c r="O282" s="44"/>
      <c r="P282" s="44"/>
      <c r="Q282" s="44"/>
      <c r="R282" s="44"/>
      <c r="S282" s="44"/>
      <c r="T282" s="44"/>
      <c r="U282" s="44"/>
      <c r="V282" s="44"/>
      <c r="W282" s="44"/>
      <c r="X282" s="44"/>
    </row>
    <row r="283" ht="22" customHeight="1">
      <c r="A283" s="4" t="str">
        <v>Investment obtained for certain assets (see Notes 4 and 9)</v>
      </c>
      <c r="B283" s="2"/>
      <c r="C283" s="44"/>
      <c r="D283" s="44"/>
      <c r="E283" s="44"/>
      <c r="F283" s="44"/>
      <c r="G283" s="44"/>
      <c r="H283" s="44"/>
      <c r="I283" s="44"/>
      <c r="J283" s="44" t="n">
        <v>0</v>
      </c>
      <c r="K283" s="44" t="n">
        <v>0</v>
      </c>
      <c r="L283" s="44" t="n">
        <v>554</v>
      </c>
      <c r="M283" s="45"/>
      <c r="N283" s="44"/>
      <c r="O283" s="44"/>
      <c r="P283" s="44"/>
      <c r="Q283" s="44"/>
      <c r="R283" s="44"/>
      <c r="S283" s="44"/>
      <c r="T283" s="44"/>
      <c r="U283" s="44"/>
      <c r="V283" s="44"/>
      <c r="W283" s="44"/>
      <c r="X283" s="44"/>
    </row>
    <row r="284" ht="22" customHeight="1">
      <c r="A284" s="4"/>
      <c r="B284" s="2"/>
      <c r="C284" s="3"/>
      <c r="D284" s="3"/>
      <c r="E284" s="3"/>
      <c r="F284" s="3"/>
      <c r="G284" s="3"/>
      <c r="H284" s="3"/>
      <c r="I284" s="3"/>
      <c r="J284" s="3"/>
      <c r="K284" s="3"/>
      <c r="L284" s="3"/>
      <c r="M284" s="3"/>
      <c r="N284" s="3"/>
      <c r="O284" s="3"/>
      <c r="P284" s="3"/>
      <c r="Q284" s="3"/>
      <c r="R284" s="3"/>
      <c r="S284" s="3"/>
      <c r="T284" s="3"/>
      <c r="U284" s="3"/>
      <c r="V284" s="3"/>
      <c r="W284" s="3"/>
      <c r="X284" s="3"/>
    </row>
    <row r="285" ht="22" customHeight="1">
      <c r="A285" s="29" t="str">
        <v>Cash and restricted cash reconciliation</v>
      </c>
      <c r="B285" s="29"/>
      <c r="C285" s="32"/>
      <c r="D285" s="32"/>
      <c r="E285" s="32"/>
      <c r="F285" s="32"/>
      <c r="G285" s="32"/>
      <c r="H285" s="32"/>
      <c r="I285" s="32"/>
      <c r="J285" s="32"/>
      <c r="K285" s="32"/>
      <c r="L285" s="32"/>
      <c r="M285" s="32"/>
      <c r="N285" s="32"/>
      <c r="O285" s="32"/>
      <c r="P285" s="32"/>
      <c r="Q285" s="32"/>
      <c r="R285" s="32"/>
      <c r="S285" s="32"/>
      <c r="T285" s="32"/>
      <c r="U285" s="32"/>
      <c r="V285" s="32"/>
      <c r="W285" s="32"/>
      <c r="X285" s="32"/>
    </row>
    <row r="286" ht="22" customHeight="1">
      <c r="A286" s="4" t="str">
        <v>Cash and cash equivalents</v>
      </c>
      <c r="B286" s="2"/>
      <c r="C286" s="44"/>
      <c r="D286" s="44" t="n">
        <v>10610</v>
      </c>
      <c r="E286" s="44" t="n">
        <v>8721</v>
      </c>
      <c r="F286" s="44" t="n">
        <v>5509</v>
      </c>
      <c r="G286" s="44" t="n">
        <v>8185</v>
      </c>
      <c r="H286" s="44" t="n">
        <v>5596</v>
      </c>
      <c r="I286" s="44" t="n">
        <v>4954</v>
      </c>
      <c r="J286" s="44" t="n">
        <v>9711</v>
      </c>
      <c r="K286" s="44" t="n">
        <v>8505</v>
      </c>
      <c r="L286" s="44" t="n">
        <v>9159</v>
      </c>
      <c r="M286" s="45"/>
      <c r="N286" s="44"/>
      <c r="O286" s="44"/>
      <c r="P286" s="44"/>
      <c r="Q286" s="44"/>
      <c r="R286" s="44"/>
      <c r="S286" s="44"/>
      <c r="T286" s="44"/>
      <c r="U286" s="44"/>
      <c r="V286" s="44"/>
      <c r="W286" s="44"/>
      <c r="X286" s="44"/>
    </row>
    <row r="287" ht="22" customHeight="1">
      <c r="A287" s="4" t="str">
        <v>Restricted cash</v>
      </c>
      <c r="B287" s="2"/>
      <c r="C287" s="44"/>
      <c r="D287" s="44" t="n">
        <v>0</v>
      </c>
      <c r="E287" s="44" t="n">
        <v>1997</v>
      </c>
      <c r="F287" s="44" t="n">
        <v>0</v>
      </c>
      <c r="G287" s="44"/>
      <c r="H287" s="44"/>
      <c r="I287" s="44"/>
      <c r="J287" s="44"/>
      <c r="K287" s="44"/>
      <c r="L287" s="44"/>
      <c r="M287" s="45"/>
      <c r="N287" s="44"/>
      <c r="O287" s="44"/>
      <c r="P287" s="44"/>
      <c r="Q287" s="44"/>
      <c r="R287" s="44"/>
      <c r="S287" s="44"/>
      <c r="T287" s="44"/>
      <c r="U287" s="44"/>
      <c r="V287" s="44"/>
      <c r="W287" s="44"/>
      <c r="X287" s="44"/>
    </row>
    <row r="288" ht="22" customHeight="1">
      <c r="A288" s="4" t="str">
        <v>Restricted cash included in other assets</v>
      </c>
      <c r="B288" s="2"/>
      <c r="C288" s="44"/>
      <c r="D288" s="44" t="n">
        <v>47</v>
      </c>
      <c r="E288" s="44" t="n">
        <v>51</v>
      </c>
      <c r="F288" s="44" t="n">
        <v>61</v>
      </c>
      <c r="G288" s="44" t="n">
        <v>69</v>
      </c>
      <c r="H288" s="44" t="n">
        <v>111</v>
      </c>
      <c r="I288" s="44" t="n">
        <v>146</v>
      </c>
      <c r="J288" s="44" t="n">
        <v>50</v>
      </c>
      <c r="K288" s="44" t="n">
        <v>48</v>
      </c>
      <c r="L288" s="44" t="n">
        <v>45</v>
      </c>
      <c r="M288" s="45"/>
      <c r="N288" s="44"/>
      <c r="O288" s="44"/>
      <c r="P288" s="44"/>
      <c r="Q288" s="44"/>
      <c r="R288" s="44"/>
      <c r="S288" s="44"/>
      <c r="T288" s="44"/>
      <c r="U288" s="44"/>
      <c r="V288" s="44"/>
      <c r="W288" s="44"/>
      <c r="X288" s="44"/>
    </row>
    <row r="289" ht="24" customHeight="1">
      <c r="A289" s="51" t="str">
        <v>Total cash and cash equivalents and restricted cash</v>
      </c>
      <c r="B289" s="52"/>
      <c r="C289" s="53"/>
      <c r="D289" s="53" t="n">
        <v>10657</v>
      </c>
      <c r="E289" s="53" t="n">
        <v>10769</v>
      </c>
      <c r="F289" s="53" t="n">
        <v>5570</v>
      </c>
      <c r="G289" s="53" t="n">
        <v>8254</v>
      </c>
      <c r="H289" s="53" t="n">
        <v>5707</v>
      </c>
      <c r="I289" s="53" t="n">
        <v>5100</v>
      </c>
      <c r="J289" s="53" t="n">
        <v>9761</v>
      </c>
      <c r="K289" s="53" t="n">
        <v>8553</v>
      </c>
      <c r="L289" s="53" t="n">
        <v>9204</v>
      </c>
      <c r="M289" s="55"/>
      <c r="N289" s="53"/>
      <c r="O289" s="53"/>
      <c r="P289" s="53"/>
      <c r="Q289" s="53"/>
      <c r="R289" s="53"/>
      <c r="S289" s="53"/>
      <c r="T289" s="53"/>
      <c r="U289" s="53"/>
      <c r="V289" s="53"/>
      <c r="W289" s="53"/>
      <c r="X289" s="53"/>
    </row>
    <row r="290" ht="22" customHeight="1">
      <c r="A290" s="4"/>
      <c r="B290" s="2"/>
      <c r="C290" s="3"/>
      <c r="D290" s="3"/>
      <c r="E290" s="3"/>
      <c r="F290" s="3"/>
      <c r="G290" s="3"/>
      <c r="H290" s="3"/>
      <c r="I290" s="3"/>
      <c r="J290" s="3"/>
      <c r="K290" s="3"/>
      <c r="L290" s="3"/>
      <c r="M290" s="3"/>
      <c r="N290" s="3"/>
      <c r="O290" s="3"/>
      <c r="P290" s="3"/>
      <c r="Q290" s="3"/>
      <c r="R290" s="3"/>
      <c r="S290" s="3"/>
      <c r="T290" s="3"/>
      <c r="U290" s="3"/>
      <c r="V290" s="3"/>
      <c r="W290" s="3"/>
      <c r="X290" s="3"/>
    </row>
    <row r="291" ht="22" customHeight="1">
      <c r="A291" s="29" t="str">
        <v>Accounting policies and comparability</v>
      </c>
      <c r="B291" s="29"/>
      <c r="C291" s="32"/>
      <c r="D291" s="32"/>
      <c r="E291" s="32"/>
      <c r="F291" s="32"/>
      <c r="G291" s="32"/>
      <c r="H291" s="32"/>
      <c r="I291" s="32"/>
      <c r="J291" s="32"/>
      <c r="K291" s="32"/>
      <c r="L291" s="32"/>
      <c r="M291" s="32"/>
      <c r="N291" s="32"/>
      <c r="O291" s="32"/>
      <c r="P291" s="32"/>
      <c r="Q291" s="32"/>
      <c r="R291" s="32"/>
      <c r="S291" s="32"/>
      <c r="T291" s="32"/>
      <c r="U291" s="32"/>
      <c r="V291" s="32"/>
      <c r="W291" s="32"/>
      <c r="X291" s="32"/>
    </row>
    <row r="292" ht="22" customHeight="1">
      <c r="A292" s="33" t="str">
        <v>Annual values use the latest comparable recasts in the available filings; quarterly values prioritize matching-quarter recasts in later 10-Qs. Historical segment structures remain separate.</v>
      </c>
      <c r="B292" s="33"/>
      <c r="C292" s="35"/>
      <c r="D292" s="35"/>
      <c r="E292" s="35"/>
      <c r="F292" s="35"/>
      <c r="G292" s="35"/>
      <c r="H292" s="35"/>
      <c r="I292" s="35"/>
      <c r="J292" s="35"/>
      <c r="K292" s="35"/>
      <c r="L292" s="35"/>
      <c r="M292" s="35"/>
      <c r="N292" s="35"/>
      <c r="O292" s="35"/>
      <c r="P292" s="35"/>
      <c r="Q292" s="35"/>
      <c r="R292" s="35"/>
      <c r="S292" s="35"/>
      <c r="T292" s="35"/>
      <c r="U292" s="35"/>
      <c r="V292" s="35"/>
      <c r="W292" s="35"/>
      <c r="X292" s="35"/>
    </row>
    <row r="293" ht="22" customHeight="1">
      <c r="A293" s="33" t="str">
        <v>North America Q1–Q3 each contain 12 weeks; Q4 normally contains 16 weeks, or 17 in 2016 and 2022. International businesses follow the monthly periods disclosed by the company.</v>
      </c>
      <c r="B293" s="33"/>
      <c r="C293" s="35"/>
      <c r="D293" s="35"/>
      <c r="E293" s="35"/>
      <c r="F293" s="35"/>
      <c r="G293" s="35"/>
      <c r="H293" s="35"/>
      <c r="I293" s="35"/>
      <c r="J293" s="35"/>
      <c r="K293" s="35"/>
      <c r="L293" s="35"/>
      <c r="M293" s="35"/>
      <c r="N293" s="35"/>
      <c r="O293" s="35"/>
      <c r="P293" s="35"/>
      <c r="Q293" s="35"/>
      <c r="R293" s="35"/>
      <c r="S293" s="35"/>
      <c r="T293" s="35"/>
      <c r="U293" s="35"/>
      <c r="V293" s="35"/>
      <c r="W293" s="35"/>
      <c r="X293" s="35"/>
    </row>
    <row r="294" ht="22" customHeight="1">
      <c r="A294" s="33" t="str">
        <v>The 2018 annual report moved non-service pension costs below operating profit and recast cash flows to include restricted cash. Amounts and cash scopes are not mixed.</v>
      </c>
      <c r="B294" s="33"/>
      <c r="C294" s="35"/>
      <c r="D294" s="35"/>
      <c r="E294" s="35"/>
      <c r="F294" s="35"/>
      <c r="G294" s="35"/>
      <c r="H294" s="35"/>
      <c r="I294" s="35"/>
      <c r="J294" s="35"/>
      <c r="K294" s="35"/>
      <c r="L294" s="35"/>
      <c r="M294" s="35"/>
      <c r="N294" s="35"/>
      <c r="O294" s="35"/>
      <c r="P294" s="35"/>
      <c r="Q294" s="35"/>
      <c r="R294" s="35"/>
      <c r="S294" s="35"/>
      <c r="T294" s="35"/>
      <c r="U294" s="35"/>
      <c r="V294" s="35"/>
      <c r="W294" s="35"/>
      <c r="X294" s="35"/>
    </row>
    <row r="295" ht="22" customHeight="1">
      <c r="A295" s="33" t="str">
        <v>Reported organic growth and volume/pricing effects retain company definitions. Product shares are rounded approximations and are not multiplied by revenue to create precise product revenue.</v>
      </c>
      <c r="B295" s="33"/>
      <c r="C295" s="35"/>
      <c r="D295" s="35"/>
      <c r="E295" s="35"/>
      <c r="F295" s="35"/>
      <c r="G295" s="35"/>
      <c r="H295" s="35"/>
      <c r="I295" s="35"/>
      <c r="J295" s="35"/>
      <c r="K295" s="35"/>
      <c r="L295" s="35"/>
      <c r="M295" s="35"/>
      <c r="N295" s="35"/>
      <c r="O295" s="35"/>
      <c r="P295" s="35"/>
      <c r="Q295" s="35"/>
      <c r="R295" s="35"/>
      <c r="S295" s="35"/>
      <c r="T295" s="35"/>
      <c r="U295" s="35"/>
      <c r="V295" s="35"/>
      <c r="W295" s="35"/>
      <c r="X295" s="35"/>
    </row>
    <row r="296" ht="22" customHeight="1">
      <c r="A296" s="33" t="str">
        <v>No consolidated FY2016–17 product-mix disclosure was identified. FY2018 uses the later comparative 45%/55%, separately from that year's approximate 50%/50% narrative. Historical segments and the 2025 North America/International structure remain separate.</v>
      </c>
      <c r="B296" s="33"/>
      <c r="C296" s="35"/>
      <c r="D296" s="35"/>
      <c r="E296" s="35"/>
      <c r="F296" s="35"/>
      <c r="G296" s="35"/>
      <c r="H296" s="35"/>
      <c r="I296" s="35"/>
      <c r="J296" s="35"/>
      <c r="K296" s="35"/>
      <c r="L296" s="35"/>
      <c r="M296" s="35"/>
      <c r="N296" s="35"/>
      <c r="O296" s="35"/>
      <c r="P296" s="35"/>
      <c r="Q296" s="35"/>
      <c r="R296" s="35"/>
      <c r="S296" s="35"/>
      <c r="T296" s="35"/>
      <c r="U296" s="35"/>
      <c r="V296" s="35"/>
      <c r="W296" s="35"/>
      <c r="X296" s="35"/>
    </row>
    <row r="297" ht="22" customHeight="1">
      <c r="A297" s="33" t="str">
        <v>The cash flow share-based compensation adjustment mainly reflects equity awards; note disclosures can also include liability awards and restructuring adjustments. The measures are not forced to equal.</v>
      </c>
      <c r="B297" s="33"/>
      <c r="C297" s="35"/>
      <c r="D297" s="35"/>
      <c r="E297" s="35"/>
      <c r="F297" s="35"/>
      <c r="G297" s="35"/>
      <c r="H297" s="35"/>
      <c r="I297" s="35"/>
      <c r="J297" s="35"/>
      <c r="K297" s="35"/>
      <c r="L297" s="35"/>
      <c r="M297" s="35"/>
      <c r="N297" s="35"/>
      <c r="O297" s="35"/>
      <c r="P297" s="35"/>
      <c r="Q297" s="35"/>
      <c r="R297" s="35"/>
      <c r="S297" s="35"/>
      <c r="T297" s="35"/>
      <c r="U297" s="35"/>
      <c r="V297" s="35"/>
      <c r="W297" s="35"/>
      <c r="X297" s="35"/>
    </row>
    <row r="298" ht="22" customHeight="1">
      <c r="A298" s="33" t="str">
        <v>Accounts payable includes capital-expenditure payables without balances that can be deducted consistently over time. Strict DPO/CCC is unavailable. DSO uses disclosed gross trade receivables.</v>
      </c>
      <c r="B298" s="33"/>
      <c r="C298" s="35"/>
      <c r="D298" s="35"/>
      <c r="E298" s="35"/>
      <c r="F298" s="35"/>
      <c r="G298" s="35"/>
      <c r="H298" s="35"/>
      <c r="I298" s="35"/>
      <c r="J298" s="35"/>
      <c r="K298" s="35"/>
      <c r="L298" s="35"/>
      <c r="M298" s="35"/>
      <c r="N298" s="35"/>
      <c r="O298" s="35"/>
      <c r="P298" s="35"/>
      <c r="Q298" s="35"/>
      <c r="R298" s="35"/>
      <c r="S298" s="35"/>
      <c r="T298" s="35"/>
      <c r="U298" s="35"/>
      <c r="V298" s="35"/>
      <c r="W298" s="35"/>
      <c r="X298" s="35"/>
    </row>
    <row r="299" ht="22" customHeight="1">
      <c r="A299" s="33" t="str">
        <v>Quarterly notes do not fully disaggregate other investments, dividends payable or capital-expenditure payables. Missing inputs are not treated as zero for strict operating IC/ROIC or purified NWC.</v>
      </c>
      <c r="B299" s="33"/>
      <c r="C299" s="35"/>
      <c r="D299" s="35"/>
      <c r="E299" s="35"/>
      <c r="F299" s="35"/>
      <c r="G299" s="35"/>
      <c r="H299" s="35"/>
      <c r="I299" s="35"/>
      <c r="J299" s="35"/>
      <c r="K299" s="35"/>
      <c r="L299" s="35"/>
      <c r="M299" s="35"/>
      <c r="N299" s="35"/>
      <c r="O299" s="35"/>
      <c r="P299" s="35"/>
      <c r="Q299" s="35"/>
      <c r="R299" s="35"/>
      <c r="S299" s="35"/>
      <c r="T299" s="35"/>
      <c r="U299" s="35"/>
      <c r="V299" s="35"/>
      <c r="W299" s="35"/>
      <c r="X299" s="35"/>
    </row>
    <row r="300" ht="22" customHeight="1">
      <c r="A300" s="33" t="str">
        <v>Operating IC follows an asset-side definition, retaining goodwill, intangible assets and net pension assets, without deducting operating liabilities. NOPAT uses actual income tax expense.</v>
      </c>
      <c r="B300" s="33"/>
      <c r="C300" s="35"/>
      <c r="D300" s="35"/>
      <c r="E300" s="35"/>
      <c r="F300" s="35"/>
      <c r="G300" s="35"/>
      <c r="H300" s="35"/>
      <c r="I300" s="35"/>
      <c r="J300" s="35"/>
      <c r="K300" s="35"/>
      <c r="L300" s="35"/>
      <c r="M300" s="35"/>
      <c r="N300" s="35"/>
      <c r="O300" s="35"/>
      <c r="P300" s="35"/>
      <c r="Q300" s="35"/>
      <c r="R300" s="35"/>
      <c r="S300" s="35"/>
      <c r="T300" s="35"/>
      <c r="U300" s="35"/>
      <c r="V300" s="35"/>
      <c r="W300" s="35"/>
      <c r="X300" s="35"/>
    </row>
    <row r="301" ht="22" customHeight="1">
      <c r="A301" s="33" t="str">
        <v>FY2018 income taxes were a net benefit (negative expense), mainly due to tax benefits from an international business reorganization. Actual-tax NOPAT is therefore unusually high and does not represent normalized earnings.</v>
      </c>
      <c r="B301" s="33"/>
      <c r="C301" s="35"/>
      <c r="D301" s="35"/>
      <c r="E301" s="35"/>
      <c r="F301" s="35"/>
      <c r="G301" s="35"/>
      <c r="H301" s="35"/>
      <c r="I301" s="35"/>
      <c r="J301" s="35"/>
      <c r="K301" s="35"/>
      <c r="L301" s="35"/>
      <c r="M301" s="35"/>
      <c r="N301" s="35"/>
      <c r="O301" s="35"/>
      <c r="P301" s="35"/>
      <c r="Q301" s="35"/>
      <c r="R301" s="35"/>
      <c r="S301" s="35"/>
      <c r="T301" s="35"/>
      <c r="U301" s="35"/>
      <c r="V301" s="35"/>
      <c r="W301" s="35"/>
      <c r="X301" s="35"/>
    </row>
    <row r="302" ht="22" customHeight="1">
      <c r="A302" s="33" t="str">
        <v>Other investments can be separately identified from 2021 through later annual reports. Holdings such as Celsius are included in that total and are not deducted twice.</v>
      </c>
      <c r="B302" s="33"/>
      <c r="C302" s="35"/>
      <c r="D302" s="35"/>
      <c r="E302" s="35"/>
      <c r="F302" s="35"/>
      <c r="G302" s="35"/>
      <c r="H302" s="35"/>
      <c r="I302" s="35"/>
      <c r="J302" s="35"/>
      <c r="K302" s="35"/>
      <c r="L302" s="35"/>
      <c r="M302" s="35"/>
      <c r="N302" s="35"/>
      <c r="O302" s="35"/>
      <c r="P302" s="35"/>
      <c r="Q302" s="35"/>
      <c r="R302" s="35"/>
      <c r="S302" s="35"/>
      <c r="T302" s="35"/>
      <c r="U302" s="35"/>
      <c r="V302" s="35"/>
      <c r="W302" s="35"/>
      <c r="X302" s="35"/>
    </row>
    <row r="303" ht="36" customHeight="1">
      <c r="A303" s="33" t="str">
        <v>Adjusted NWC removes cash, short-term investments, separately presented current restricted cash, debt, disclosed dividends payable and acquisition settlement payables; separately disclosed current assets/liabilities of disposal groups held for sale are also removed. Unseparated capital-expenditure payables remain included. Operating lease liabilities remain operating liabilities.</v>
      </c>
      <c r="B303" s="33"/>
      <c r="C303" s="35"/>
      <c r="D303" s="35"/>
      <c r="E303" s="35"/>
      <c r="F303" s="35"/>
      <c r="G303" s="35"/>
      <c r="H303" s="35"/>
      <c r="I303" s="35"/>
      <c r="J303" s="35"/>
      <c r="K303" s="35"/>
      <c r="L303" s="35"/>
      <c r="M303" s="35"/>
      <c r="N303" s="35"/>
      <c r="O303" s="35"/>
      <c r="P303" s="35"/>
      <c r="Q303" s="35"/>
      <c r="R303" s="35"/>
      <c r="S303" s="35"/>
      <c r="T303" s="35"/>
      <c r="U303" s="35"/>
      <c r="V303" s="35"/>
      <c r="W303" s="35"/>
      <c r="X303" s="35"/>
    </row>
    <row r="304" ht="22" customHeight="1">
      <c r="A304" s="33" t="str">
        <v>Company-defined FCF includes PP&amp;E sale proceeds; analyst FCF in this workbook equals OCF less capital spending. The two definitions remain separate.</v>
      </c>
      <c r="B304" s="33"/>
      <c r="C304" s="35"/>
      <c r="D304" s="35"/>
      <c r="E304" s="35"/>
      <c r="F304" s="35"/>
      <c r="G304" s="35"/>
      <c r="H304" s="35"/>
      <c r="I304" s="35"/>
      <c r="J304" s="35"/>
      <c r="K304" s="35"/>
      <c r="L304" s="35"/>
      <c r="M304" s="35"/>
      <c r="N304" s="35"/>
      <c r="O304" s="35"/>
      <c r="P304" s="35"/>
      <c r="Q304" s="35"/>
      <c r="R304" s="35"/>
      <c r="S304" s="35"/>
      <c r="T304" s="35"/>
      <c r="U304" s="35"/>
      <c r="V304" s="35"/>
      <c r="W304" s="35"/>
      <c r="X304" s="35"/>
    </row>
    <row r="305" ht="22" customHeight="1">
      <c r="A305" s="33" t="str">
        <v>Reported ROIC uses company-defined quarterly average financing capital and tax adjustments. It is retained separately and does not replace asset-side operating ROIC. The reported FCF bridge provides an independent reconciliation.</v>
      </c>
      <c r="B305" s="33"/>
      <c r="C305" s="35"/>
      <c r="D305" s="35"/>
      <c r="E305" s="35"/>
      <c r="F305" s="35"/>
      <c r="G305" s="35"/>
      <c r="H305" s="35"/>
      <c r="I305" s="35"/>
      <c r="J305" s="35"/>
      <c r="K305" s="35"/>
      <c r="L305" s="35"/>
      <c r="M305" s="35"/>
      <c r="N305" s="35"/>
      <c r="O305" s="35"/>
      <c r="P305" s="35"/>
      <c r="Q305" s="35"/>
      <c r="R305" s="35"/>
      <c r="S305" s="35"/>
      <c r="T305" s="35"/>
      <c r="U305" s="35"/>
      <c r="V305" s="35"/>
      <c r="W305" s="35"/>
      <c r="X305" s="35"/>
    </row>
    <row r="306" ht="22" customHeight="1">
      <c r="A306" s="33" t="str">
        <v>Q4 EPS, weighted-average shares and ratios are not derived by subtracting Q3 YTD from annual values. Without a separate original disclosure, values remain blank.</v>
      </c>
      <c r="B306" s="33"/>
      <c r="C306" s="35"/>
      <c r="D306" s="35"/>
      <c r="E306" s="35"/>
      <c r="F306" s="35"/>
      <c r="G306" s="35"/>
      <c r="H306" s="35"/>
      <c r="I306" s="35"/>
      <c r="J306" s="35"/>
      <c r="K306" s="35"/>
      <c r="L306" s="35"/>
      <c r="M306" s="35"/>
      <c r="N306" s="35"/>
      <c r="O306" s="35"/>
      <c r="P306" s="35"/>
      <c r="Q306" s="35"/>
      <c r="R306" s="35"/>
      <c r="S306" s="35"/>
      <c r="T306" s="35"/>
      <c r="U306" s="35"/>
      <c r="V306" s="35"/>
      <c r="W306" s="35"/>
      <c r="X306" s="35"/>
    </row>
    <row r="307" ht="22" customHeight="1">
      <c r="A307" s="4"/>
      <c r="B307" s="2"/>
      <c r="C307" s="3"/>
      <c r="D307" s="3"/>
      <c r="E307" s="3"/>
      <c r="F307" s="3"/>
      <c r="G307" s="3"/>
      <c r="H307" s="3"/>
      <c r="I307" s="3"/>
      <c r="J307" s="3"/>
      <c r="K307" s="3"/>
      <c r="L307" s="3"/>
      <c r="M307" s="3"/>
      <c r="N307" s="3"/>
      <c r="O307" s="3"/>
      <c r="P307" s="3"/>
      <c r="Q307" s="3"/>
      <c r="R307" s="3"/>
      <c r="S307" s="3"/>
      <c r="T307" s="3"/>
      <c r="U307" s="3"/>
      <c r="V307" s="3"/>
      <c r="W307" s="3"/>
      <c r="X307" s="3"/>
    </row>
    <row r="308" ht="22" customHeight="1">
      <c r="A308" s="29" t="str">
        <v>Opening balances and first-period comparisons</v>
      </c>
      <c r="B308" s="29"/>
      <c r="C308" s="32"/>
      <c r="D308" s="32"/>
      <c r="E308" s="32"/>
      <c r="F308" s="32"/>
      <c r="G308" s="32"/>
      <c r="H308" s="32"/>
      <c r="I308" s="32"/>
      <c r="J308" s="32"/>
      <c r="K308" s="32"/>
      <c r="L308" s="32"/>
      <c r="M308" s="32"/>
      <c r="N308" s="32"/>
      <c r="O308" s="32"/>
      <c r="P308" s="32"/>
      <c r="Q308" s="32"/>
      <c r="R308" s="32"/>
      <c r="S308" s="32"/>
      <c r="T308" s="32"/>
      <c r="U308" s="32"/>
      <c r="V308" s="32"/>
      <c r="W308" s="32"/>
      <c r="X308" s="32"/>
    </row>
    <row r="309" ht="18" customHeight="1">
      <c r="A309" s="33" t="str">
        <v>The FY2016 column in this block contains FY2015 comparative/opening data. Row labels identify the actual year; these are not FY2016 current-period values.</v>
      </c>
      <c r="B309" s="33"/>
      <c r="C309" s="35"/>
      <c r="D309" s="35"/>
      <c r="E309" s="35"/>
      <c r="F309" s="35"/>
      <c r="G309" s="35"/>
      <c r="H309" s="35"/>
      <c r="I309" s="35"/>
      <c r="J309" s="35"/>
      <c r="K309" s="35"/>
      <c r="L309" s="35"/>
      <c r="M309" s="35"/>
      <c r="N309" s="35"/>
      <c r="O309" s="35"/>
      <c r="P309" s="35"/>
      <c r="Q309" s="35"/>
      <c r="R309" s="35"/>
      <c r="S309" s="35"/>
      <c r="T309" s="35"/>
      <c r="U309" s="35"/>
      <c r="V309" s="35"/>
      <c r="W309" s="35"/>
      <c r="X309" s="35"/>
    </row>
    <row r="310" ht="22" customHeight="1">
      <c r="A310" s="4" t="str">
        <v>FY2015 year-end total assets</v>
      </c>
      <c r="B310" s="2"/>
      <c r="C310" s="44" t="n">
        <v>69667</v>
      </c>
      <c r="D310" s="44"/>
      <c r="E310" s="44"/>
      <c r="F310" s="44"/>
      <c r="G310" s="44"/>
      <c r="H310" s="44"/>
      <c r="I310" s="44"/>
      <c r="J310" s="44"/>
      <c r="K310" s="44"/>
      <c r="L310" s="44"/>
      <c r="M310" s="45"/>
      <c r="N310" s="44"/>
      <c r="O310" s="44"/>
      <c r="P310" s="44"/>
      <c r="Q310" s="44"/>
      <c r="R310" s="44"/>
      <c r="S310" s="44"/>
      <c r="T310" s="44"/>
      <c r="U310" s="44"/>
      <c r="V310" s="44"/>
      <c r="W310" s="44"/>
      <c r="X310" s="44"/>
    </row>
    <row r="311" ht="22" customHeight="1">
      <c r="A311" s="4" t="str">
        <v>FY2015 year-end common shareholders' equity</v>
      </c>
      <c r="B311" s="2"/>
      <c r="C311" s="44" t="n">
        <v>12068</v>
      </c>
      <c r="D311" s="44"/>
      <c r="E311" s="44"/>
      <c r="F311" s="44"/>
      <c r="G311" s="44"/>
      <c r="H311" s="44"/>
      <c r="I311" s="44"/>
      <c r="J311" s="44"/>
      <c r="K311" s="44"/>
      <c r="L311" s="44"/>
      <c r="M311" s="45"/>
      <c r="N311" s="44"/>
      <c r="O311" s="44"/>
      <c r="P311" s="44"/>
      <c r="Q311" s="44"/>
      <c r="R311" s="44"/>
      <c r="S311" s="44"/>
      <c r="T311" s="44"/>
      <c r="U311" s="44"/>
      <c r="V311" s="44"/>
      <c r="W311" s="44"/>
      <c r="X311" s="44"/>
    </row>
    <row r="312" ht="22" customHeight="1">
      <c r="A312" s="4" t="str">
        <v>FY2015 year-end inventories</v>
      </c>
      <c r="B312" s="2"/>
      <c r="C312" s="44" t="n">
        <v>2720</v>
      </c>
      <c r="D312" s="44"/>
      <c r="E312" s="44"/>
      <c r="F312" s="44"/>
      <c r="G312" s="44"/>
      <c r="H312" s="44"/>
      <c r="I312" s="44"/>
      <c r="J312" s="44"/>
      <c r="K312" s="44"/>
      <c r="L312" s="44"/>
      <c r="M312" s="45"/>
      <c r="N312" s="44"/>
      <c r="O312" s="44"/>
      <c r="P312" s="44"/>
      <c r="Q312" s="44"/>
      <c r="R312" s="44"/>
      <c r="S312" s="44"/>
      <c r="T312" s="44"/>
      <c r="U312" s="44"/>
      <c r="V312" s="44"/>
      <c r="W312" s="44"/>
      <c r="X312" s="44"/>
    </row>
    <row r="313" ht="22" customHeight="1">
      <c r="A313" s="4" t="str">
        <v>FY2015 revenue base for YoY change</v>
      </c>
      <c r="B313" s="2"/>
      <c r="C313" s="44" t="n">
        <v>63056</v>
      </c>
      <c r="D313" s="44"/>
      <c r="E313" s="44"/>
      <c r="F313" s="44"/>
      <c r="G313" s="44"/>
      <c r="H313" s="44"/>
      <c r="I313" s="44"/>
      <c r="J313" s="44"/>
      <c r="K313" s="44"/>
      <c r="L313" s="44"/>
      <c r="M313" s="45"/>
      <c r="N313" s="44"/>
      <c r="O313" s="44"/>
      <c r="P313" s="44"/>
      <c r="Q313" s="44"/>
      <c r="R313" s="44"/>
      <c r="S313" s="44"/>
      <c r="T313" s="44"/>
      <c r="U313" s="44"/>
      <c r="V313" s="44"/>
      <c r="W313" s="44"/>
      <c r="X313" s="44"/>
    </row>
    <row r="314" ht="22" customHeight="1">
      <c r="A314" s="4" t="str">
        <v>FY2015 gross profit base for YoY change</v>
      </c>
      <c r="B314" s="2"/>
      <c r="C314" s="44" t="n">
        <v>34325</v>
      </c>
      <c r="D314" s="44"/>
      <c r="E314" s="44"/>
      <c r="F314" s="44"/>
      <c r="G314" s="44"/>
      <c r="H314" s="44"/>
      <c r="I314" s="44"/>
      <c r="J314" s="44"/>
      <c r="K314" s="44"/>
      <c r="L314" s="44"/>
      <c r="M314" s="45"/>
      <c r="N314" s="44"/>
      <c r="O314" s="44"/>
      <c r="P314" s="44"/>
      <c r="Q314" s="44"/>
      <c r="R314" s="44"/>
      <c r="S314" s="44"/>
      <c r="T314" s="44"/>
      <c r="U314" s="44"/>
      <c r="V314" s="44"/>
      <c r="W314" s="44"/>
      <c r="X314" s="44"/>
    </row>
    <row r="315" ht="22" customHeight="1">
      <c r="A315" s="4" t="str">
        <v>FY2015 operating profit base for YoY change</v>
      </c>
      <c r="B315" s="2"/>
      <c r="C315" s="44" t="n">
        <v>8353</v>
      </c>
      <c r="D315" s="44"/>
      <c r="E315" s="44"/>
      <c r="F315" s="44"/>
      <c r="G315" s="44"/>
      <c r="H315" s="44"/>
      <c r="I315" s="44"/>
      <c r="J315" s="44"/>
      <c r="K315" s="44"/>
      <c r="L315" s="44"/>
      <c r="M315" s="45"/>
      <c r="N315" s="44"/>
      <c r="O315" s="44"/>
      <c r="P315" s="44"/>
      <c r="Q315" s="44"/>
      <c r="R315" s="44"/>
      <c r="S315" s="44"/>
      <c r="T315" s="44"/>
      <c r="U315" s="44"/>
      <c r="V315" s="44"/>
      <c r="W315" s="44"/>
      <c r="X315" s="44"/>
    </row>
    <row r="316" ht="36" customHeight="1">
      <c r="A316" s="4" t="str">
        <v>FY2015 net income attributable to PepsiCo base for YoY change</v>
      </c>
      <c r="B316" s="2"/>
      <c r="C316" s="44" t="n">
        <v>5452</v>
      </c>
      <c r="D316" s="44"/>
      <c r="E316" s="44"/>
      <c r="F316" s="44"/>
      <c r="G316" s="44"/>
      <c r="H316" s="44"/>
      <c r="I316" s="44"/>
      <c r="J316" s="44"/>
      <c r="K316" s="44"/>
      <c r="L316" s="44"/>
      <c r="M316" s="45"/>
      <c r="N316" s="44"/>
      <c r="O316" s="44"/>
      <c r="P316" s="44"/>
      <c r="Q316" s="44"/>
      <c r="R316" s="44"/>
      <c r="S316" s="44"/>
      <c r="T316" s="44"/>
      <c r="U316" s="44"/>
      <c r="V316" s="44"/>
      <c r="W316" s="44"/>
      <c r="X316" s="44"/>
    </row>
    <row r="317" ht="22" customHeight="1">
      <c r="A317" s="4"/>
      <c r="B317" s="2"/>
      <c r="C317" s="3"/>
      <c r="D317" s="3"/>
      <c r="E317" s="3"/>
      <c r="F317" s="3"/>
      <c r="G317" s="3"/>
      <c r="H317" s="3"/>
      <c r="I317" s="3"/>
      <c r="J317" s="3"/>
      <c r="K317" s="3"/>
      <c r="L317" s="3"/>
      <c r="M317" s="3"/>
      <c r="N317" s="3"/>
      <c r="O317" s="3"/>
      <c r="P317" s="3"/>
      <c r="Q317" s="3"/>
      <c r="R317" s="3"/>
      <c r="S317" s="3"/>
      <c r="T317" s="3"/>
      <c r="U317" s="3"/>
      <c r="V317" s="3"/>
      <c r="W317" s="3"/>
      <c r="X317" s="3"/>
    </row>
    <row r="318" ht="22" customHeight="1">
      <c r="A318" s="29" t="str">
        <v>Prior-year matching YTD inputs for first-year TTM</v>
      </c>
      <c r="B318" s="29"/>
      <c r="C318" s="32"/>
      <c r="D318" s="32"/>
      <c r="E318" s="32"/>
      <c r="F318" s="32"/>
      <c r="G318" s="32"/>
      <c r="H318" s="32"/>
      <c r="I318" s="32"/>
      <c r="J318" s="32"/>
      <c r="K318" s="32"/>
      <c r="L318" s="32"/>
      <c r="M318" s="32"/>
      <c r="N318" s="32"/>
      <c r="O318" s="32"/>
      <c r="P318" s="32"/>
      <c r="Q318" s="32"/>
      <c r="R318" s="32"/>
      <c r="S318" s="32"/>
      <c r="T318" s="32"/>
      <c r="U318" s="32"/>
      <c r="V318" s="32"/>
      <c r="W318" s="32"/>
      <c r="X318" s="32"/>
    </row>
    <row r="319" ht="18" customHeight="1">
      <c r="A319" s="33" t="str">
        <v>FY2024 quarterly columns in this block contain matching 2023 YTD comparatives, with actual periods identified in the row labels.</v>
      </c>
      <c r="B319" s="33"/>
      <c r="C319" s="35"/>
      <c r="D319" s="35"/>
      <c r="E319" s="35"/>
      <c r="F319" s="35"/>
      <c r="G319" s="35"/>
      <c r="H319" s="35"/>
      <c r="I319" s="35"/>
      <c r="J319" s="35"/>
      <c r="K319" s="35"/>
      <c r="L319" s="35"/>
      <c r="M319" s="35"/>
      <c r="N319" s="35"/>
      <c r="O319" s="35"/>
      <c r="P319" s="35"/>
      <c r="Q319" s="35"/>
      <c r="R319" s="35"/>
      <c r="S319" s="35"/>
      <c r="T319" s="35"/>
      <c r="U319" s="35"/>
      <c r="V319" s="35"/>
      <c r="W319" s="35"/>
      <c r="X319" s="35"/>
    </row>
    <row r="320" ht="22" customHeight="1">
      <c r="A320" s="4" t="str">
        <v>Prior-year matching YTD (2023): revenue</v>
      </c>
      <c r="B320" s="2"/>
      <c r="C320" s="44"/>
      <c r="D320" s="44"/>
      <c r="E320" s="44"/>
      <c r="F320" s="44"/>
      <c r="G320" s="44"/>
      <c r="H320" s="44"/>
      <c r="I320" s="44"/>
      <c r="J320" s="44"/>
      <c r="K320" s="44"/>
      <c r="L320" s="44"/>
      <c r="M320" s="45"/>
      <c r="N320" s="44" t="n">
        <v>17846</v>
      </c>
      <c r="O320" s="44" t="n">
        <v>40168</v>
      </c>
      <c r="P320" s="44" t="n">
        <v>63621</v>
      </c>
      <c r="Q320" s="44"/>
      <c r="R320" s="44"/>
      <c r="S320" s="44"/>
      <c r="T320" s="44"/>
      <c r="U320" s="44"/>
      <c r="V320" s="44"/>
      <c r="W320" s="44"/>
      <c r="X320" s="44"/>
    </row>
    <row r="321" ht="22" customHeight="1">
      <c r="A321" s="4" t="str">
        <v>Prior-year matching YTD (2023): gross profit</v>
      </c>
      <c r="B321" s="2"/>
      <c r="C321" s="44"/>
      <c r="D321" s="44"/>
      <c r="E321" s="44"/>
      <c r="F321" s="44"/>
      <c r="G321" s="44"/>
      <c r="H321" s="44"/>
      <c r="I321" s="44"/>
      <c r="J321" s="44"/>
      <c r="K321" s="44"/>
      <c r="L321" s="44"/>
      <c r="M321" s="45"/>
      <c r="N321" s="44" t="n">
        <v>9858</v>
      </c>
      <c r="O321" s="44" t="n">
        <v>22059</v>
      </c>
      <c r="P321" s="44" t="n">
        <v>34837</v>
      </c>
      <c r="Q321" s="44"/>
      <c r="R321" s="44"/>
      <c r="S321" s="44"/>
      <c r="T321" s="44"/>
      <c r="U321" s="44"/>
      <c r="V321" s="44"/>
      <c r="W321" s="44"/>
      <c r="X321" s="44"/>
    </row>
    <row r="322" ht="22" customHeight="1">
      <c r="A322" s="4" t="str">
        <v>Prior-year matching YTD (2023): operating profit</v>
      </c>
      <c r="B322" s="2"/>
      <c r="C322" s="44"/>
      <c r="D322" s="44"/>
      <c r="E322" s="44"/>
      <c r="F322" s="44"/>
      <c r="G322" s="44"/>
      <c r="H322" s="44"/>
      <c r="I322" s="44"/>
      <c r="J322" s="44"/>
      <c r="K322" s="44"/>
      <c r="L322" s="44"/>
      <c r="M322" s="45"/>
      <c r="N322" s="44" t="n">
        <v>2629</v>
      </c>
      <c r="O322" s="44" t="n">
        <v>6288</v>
      </c>
      <c r="P322" s="44" t="n">
        <v>10303</v>
      </c>
      <c r="Q322" s="44"/>
      <c r="R322" s="44"/>
      <c r="S322" s="44"/>
      <c r="T322" s="44"/>
      <c r="U322" s="44"/>
      <c r="V322" s="44"/>
      <c r="W322" s="44"/>
      <c r="X322" s="44"/>
    </row>
    <row r="323" ht="22" customHeight="1">
      <c r="A323" s="4" t="str">
        <v>Prior-year matching YTD (2023): actual income tax expense</v>
      </c>
      <c r="B323" s="2"/>
      <c r="C323" s="44"/>
      <c r="D323" s="44"/>
      <c r="E323" s="44"/>
      <c r="F323" s="44"/>
      <c r="G323" s="44"/>
      <c r="H323" s="44"/>
      <c r="I323" s="44"/>
      <c r="J323" s="44"/>
      <c r="K323" s="44"/>
      <c r="L323" s="44"/>
      <c r="M323" s="45"/>
      <c r="N323" s="44" t="n">
        <v>546</v>
      </c>
      <c r="O323" s="44" t="n">
        <v>1293</v>
      </c>
      <c r="P323" s="44" t="n">
        <v>2053</v>
      </c>
      <c r="Q323" s="44"/>
      <c r="R323" s="44"/>
      <c r="S323" s="44"/>
      <c r="T323" s="44"/>
      <c r="U323" s="44"/>
      <c r="V323" s="44"/>
      <c r="W323" s="44"/>
      <c r="X323" s="44"/>
    </row>
    <row r="324" ht="36" customHeight="1">
      <c r="A324" s="4" t="str">
        <v>Prior-year matching YTD (2023): net income attributable to PepsiCo</v>
      </c>
      <c r="B324" s="2"/>
      <c r="C324" s="44"/>
      <c r="D324" s="44"/>
      <c r="E324" s="44"/>
      <c r="F324" s="44"/>
      <c r="G324" s="44"/>
      <c r="H324" s="44"/>
      <c r="I324" s="44"/>
      <c r="J324" s="44"/>
      <c r="K324" s="44"/>
      <c r="L324" s="44"/>
      <c r="M324" s="45"/>
      <c r="N324" s="44" t="n">
        <v>1932</v>
      </c>
      <c r="O324" s="44" t="n">
        <v>4680</v>
      </c>
      <c r="P324" s="44" t="n">
        <v>7772</v>
      </c>
      <c r="Q324" s="44"/>
      <c r="R324" s="44"/>
      <c r="S324" s="44"/>
      <c r="T324" s="44"/>
      <c r="U324" s="44"/>
      <c r="V324" s="44"/>
      <c r="W324" s="44"/>
      <c r="X324" s="44"/>
    </row>
    <row r="325" ht="22" customHeight="1">
      <c r="A325" s="4" t="str">
        <v>Prior-year matching YTD (2023): consolidated net income</v>
      </c>
      <c r="B325" s="2"/>
      <c r="C325" s="44"/>
      <c r="D325" s="44"/>
      <c r="E325" s="44"/>
      <c r="F325" s="44"/>
      <c r="G325" s="44"/>
      <c r="H325" s="44"/>
      <c r="I325" s="44"/>
      <c r="J325" s="44"/>
      <c r="K325" s="44"/>
      <c r="L325" s="44"/>
      <c r="M325" s="45"/>
      <c r="N325" s="44" t="n">
        <v>1944</v>
      </c>
      <c r="O325" s="44" t="n">
        <v>4715</v>
      </c>
      <c r="P325" s="44" t="n">
        <v>7831</v>
      </c>
      <c r="Q325" s="44"/>
      <c r="R325" s="44"/>
      <c r="S325" s="44"/>
      <c r="T325" s="44"/>
      <c r="U325" s="44"/>
      <c r="V325" s="44"/>
      <c r="W325" s="44"/>
      <c r="X325" s="44"/>
    </row>
    <row r="326" ht="22" customHeight="1">
      <c r="A326" s="4" t="str">
        <v>Prior-year matching YTD (2023): operating cash flow</v>
      </c>
      <c r="B326" s="2"/>
      <c r="C326" s="44"/>
      <c r="D326" s="44"/>
      <c r="E326" s="44"/>
      <c r="F326" s="44"/>
      <c r="G326" s="44"/>
      <c r="H326" s="44"/>
      <c r="I326" s="44"/>
      <c r="J326" s="44"/>
      <c r="K326" s="44"/>
      <c r="L326" s="44"/>
      <c r="M326" s="45"/>
      <c r="N326" s="44" t="n">
        <v>-392</v>
      </c>
      <c r="O326" s="44" t="n">
        <v>2019</v>
      </c>
      <c r="P326" s="44" t="n">
        <v>7630</v>
      </c>
      <c r="Q326" s="44"/>
      <c r="R326" s="44"/>
      <c r="S326" s="44"/>
      <c r="T326" s="44"/>
      <c r="U326" s="44"/>
      <c r="V326" s="44"/>
      <c r="W326" s="44"/>
      <c r="X326" s="44"/>
    </row>
    <row r="327" ht="36" customHeight="1">
      <c r="A327" s="4" t="str">
        <v>Prior-year matching YTD (2023): capital spending (negative)</v>
      </c>
      <c r="B327" s="2"/>
      <c r="C327" s="44"/>
      <c r="D327" s="44"/>
      <c r="E327" s="44"/>
      <c r="F327" s="44"/>
      <c r="G327" s="44"/>
      <c r="H327" s="44"/>
      <c r="I327" s="44"/>
      <c r="J327" s="44"/>
      <c r="K327" s="44"/>
      <c r="L327" s="44"/>
      <c r="M327" s="45"/>
      <c r="N327" s="44" t="n">
        <v>-581</v>
      </c>
      <c r="O327" s="44" t="n">
        <v>-1513</v>
      </c>
      <c r="P327" s="44" t="n">
        <v>-2537</v>
      </c>
      <c r="Q327" s="44"/>
      <c r="R327" s="44"/>
      <c r="S327" s="44"/>
      <c r="T327" s="44"/>
      <c r="U327" s="44"/>
      <c r="V327" s="44"/>
      <c r="W327" s="44"/>
      <c r="X327" s="44"/>
    </row>
    <row r="328" ht="22" customHeight="1">
      <c r="A328" s="4"/>
      <c r="B328" s="2"/>
      <c r="C328" s="3"/>
      <c r="D328" s="3"/>
      <c r="E328" s="3"/>
      <c r="F328" s="3"/>
      <c r="G328" s="3"/>
      <c r="H328" s="3"/>
      <c r="I328" s="3"/>
      <c r="J328" s="3"/>
      <c r="K328" s="3"/>
      <c r="L328" s="3"/>
      <c r="M328" s="3"/>
      <c r="N328" s="3"/>
      <c r="O328" s="3"/>
      <c r="P328" s="3"/>
      <c r="Q328" s="3"/>
      <c r="R328" s="3"/>
      <c r="S328" s="3"/>
      <c r="T328" s="3"/>
      <c r="U328" s="3"/>
      <c r="V328" s="3"/>
      <c r="W328" s="3"/>
      <c r="X328" s="3"/>
    </row>
    <row r="329" ht="22" customHeight="1">
      <c r="A329" s="29" t="str">
        <v>Prior-year matching quarters for first-year YoY change</v>
      </c>
      <c r="B329" s="29"/>
      <c r="C329" s="32"/>
      <c r="D329" s="32"/>
      <c r="E329" s="32"/>
      <c r="F329" s="32"/>
      <c r="G329" s="32"/>
      <c r="H329" s="32"/>
      <c r="I329" s="32"/>
      <c r="J329" s="32"/>
      <c r="K329" s="32"/>
      <c r="L329" s="32"/>
      <c r="M329" s="32"/>
      <c r="N329" s="32"/>
      <c r="O329" s="32"/>
      <c r="P329" s="32"/>
      <c r="Q329" s="32"/>
      <c r="R329" s="32"/>
      <c r="S329" s="32"/>
      <c r="T329" s="32"/>
      <c r="U329" s="32"/>
      <c r="V329" s="32"/>
      <c r="W329" s="32"/>
      <c r="X329" s="32"/>
    </row>
    <row r="330" ht="18" customHeight="1">
      <c r="A330" s="33" t="str">
        <v>FY2024 columns in this block contain matching 2023 discrete-quarter bases; Q4 = FY2023 full year less Q3 YTD.</v>
      </c>
      <c r="B330" s="33"/>
      <c r="C330" s="35"/>
      <c r="D330" s="35"/>
      <c r="E330" s="35"/>
      <c r="F330" s="35"/>
      <c r="G330" s="35"/>
      <c r="H330" s="35"/>
      <c r="I330" s="35"/>
      <c r="J330" s="35"/>
      <c r="K330" s="35"/>
      <c r="L330" s="35"/>
      <c r="M330" s="35"/>
      <c r="N330" s="35"/>
      <c r="O330" s="35"/>
      <c r="P330" s="35"/>
      <c r="Q330" s="35"/>
      <c r="R330" s="35"/>
      <c r="S330" s="35"/>
      <c r="T330" s="35"/>
      <c r="U330" s="35"/>
      <c r="V330" s="35"/>
      <c r="W330" s="35"/>
      <c r="X330" s="35"/>
    </row>
    <row r="331" ht="22" customHeight="1">
      <c r="A331" s="4" t="str">
        <v>Matching 2023 quarter base: revenue</v>
      </c>
      <c r="B331" s="2"/>
      <c r="C331" s="44"/>
      <c r="D331" s="44"/>
      <c r="E331" s="44"/>
      <c r="F331" s="44"/>
      <c r="G331" s="44"/>
      <c r="H331" s="44"/>
      <c r="I331" s="44"/>
      <c r="J331" s="44"/>
      <c r="K331" s="44"/>
      <c r="L331" s="44"/>
      <c r="M331" s="45"/>
      <c r="N331" s="43" t="n">
        <f>IF(COUNT('Note Schedules'!N320)=1,'Note Schedules'!N320,"")</f>
        <v>17846</v>
      </c>
      <c r="O331" s="44" t="n">
        <v>22322</v>
      </c>
      <c r="P331" s="44" t="n">
        <v>23453</v>
      </c>
      <c r="Q331" s="74" t="n">
        <f>IF(COUNT('Income Statement'!J13,'Note Schedules'!P320)=2,'Income Statement'!J13-'Note Schedules'!P320,"")</f>
        <v>27850</v>
      </c>
      <c r="R331" s="44"/>
      <c r="S331" s="44"/>
      <c r="T331" s="44"/>
      <c r="U331" s="44"/>
      <c r="V331" s="44"/>
      <c r="W331" s="44"/>
      <c r="X331" s="44"/>
    </row>
    <row r="332" ht="22" customHeight="1">
      <c r="A332" s="4" t="str">
        <v>Matching 2023 quarter base: gross profit</v>
      </c>
      <c r="B332" s="2"/>
      <c r="C332" s="44"/>
      <c r="D332" s="44"/>
      <c r="E332" s="44"/>
      <c r="F332" s="44"/>
      <c r="G332" s="44"/>
      <c r="H332" s="44"/>
      <c r="I332" s="44"/>
      <c r="J332" s="44"/>
      <c r="K332" s="44"/>
      <c r="L332" s="44"/>
      <c r="M332" s="45"/>
      <c r="N332" s="43" t="n">
        <f>IF(COUNT('Note Schedules'!N321)=1,'Note Schedules'!N321,"")</f>
        <v>9858</v>
      </c>
      <c r="O332" s="44" t="n">
        <v>12201</v>
      </c>
      <c r="P332" s="44" t="n">
        <v>12778</v>
      </c>
      <c r="Q332" s="74" t="n">
        <f>IF(COUNT('Income Statement'!J16,'Note Schedules'!P321)=2,'Income Statement'!J16-'Note Schedules'!P321,"")</f>
        <v>14753</v>
      </c>
      <c r="R332" s="44"/>
      <c r="S332" s="44"/>
      <c r="T332" s="44"/>
      <c r="U332" s="44"/>
      <c r="V332" s="44"/>
      <c r="W332" s="44"/>
      <c r="X332" s="44"/>
    </row>
    <row r="333" ht="22" customHeight="1">
      <c r="A333" s="4" t="str">
        <v>Matching 2023 quarter base: operating profit</v>
      </c>
      <c r="B333" s="2"/>
      <c r="C333" s="44"/>
      <c r="D333" s="44"/>
      <c r="E333" s="44"/>
      <c r="F333" s="44"/>
      <c r="G333" s="44"/>
      <c r="H333" s="44"/>
      <c r="I333" s="44"/>
      <c r="J333" s="44"/>
      <c r="K333" s="44"/>
      <c r="L333" s="44"/>
      <c r="M333" s="45"/>
      <c r="N333" s="43" t="n">
        <f>IF(COUNT('Note Schedules'!N322)=1,'Note Schedules'!N322,"")</f>
        <v>2629</v>
      </c>
      <c r="O333" s="44" t="n">
        <v>3659</v>
      </c>
      <c r="P333" s="44" t="n">
        <v>4015</v>
      </c>
      <c r="Q333" s="74" t="n">
        <f>IF(COUNT('Income Statement'!J21,'Note Schedules'!P322)=2,'Income Statement'!J21-'Note Schedules'!P322,"")</f>
        <v>1683</v>
      </c>
      <c r="R333" s="44"/>
      <c r="S333" s="44"/>
      <c r="T333" s="44"/>
      <c r="U333" s="44"/>
      <c r="V333" s="44"/>
      <c r="W333" s="44"/>
      <c r="X333" s="44"/>
    </row>
    <row r="334" ht="36" customHeight="1">
      <c r="A334" s="4" t="str">
        <v>Matching 2023 quarter base: net income attributable to PepsiCo</v>
      </c>
      <c r="B334" s="2"/>
      <c r="C334" s="44"/>
      <c r="D334" s="44"/>
      <c r="E334" s="44"/>
      <c r="F334" s="44"/>
      <c r="G334" s="44"/>
      <c r="H334" s="44"/>
      <c r="I334" s="44"/>
      <c r="J334" s="44"/>
      <c r="K334" s="44"/>
      <c r="L334" s="44"/>
      <c r="M334" s="45"/>
      <c r="N334" s="43" t="n">
        <f>IF(COUNT('Note Schedules'!N324)=1,'Note Schedules'!N324,"")</f>
        <v>1932</v>
      </c>
      <c r="O334" s="44" t="n">
        <v>2748</v>
      </c>
      <c r="P334" s="44" t="n">
        <v>3092</v>
      </c>
      <c r="Q334" s="74" t="n">
        <f>IF(COUNT('Income Statement'!J31,'Note Schedules'!P324)=2,'Income Statement'!J31-'Note Schedules'!P324,"")</f>
        <v>1302</v>
      </c>
      <c r="R334" s="44"/>
      <c r="S334" s="44"/>
      <c r="T334" s="44"/>
      <c r="U334" s="44"/>
      <c r="V334" s="44"/>
      <c r="W334" s="44"/>
      <c r="X334" s="44"/>
    </row>
    <row r="335" ht="22" customHeight="1">
      <c r="A335" s="4"/>
      <c r="B335" s="2"/>
      <c r="C335" s="3"/>
      <c r="D335" s="3"/>
      <c r="E335" s="3"/>
      <c r="F335" s="3"/>
      <c r="G335" s="3"/>
      <c r="H335" s="3"/>
      <c r="I335" s="3"/>
      <c r="J335" s="3"/>
      <c r="K335" s="3"/>
      <c r="L335" s="3"/>
      <c r="M335" s="3"/>
      <c r="N335" s="3"/>
      <c r="O335" s="3"/>
      <c r="P335" s="3"/>
      <c r="Q335" s="3"/>
      <c r="R335" s="3"/>
      <c r="S335" s="3"/>
      <c r="T335" s="3"/>
      <c r="U335" s="3"/>
      <c r="V335" s="3"/>
      <c r="W335" s="3"/>
      <c r="X335" s="3"/>
    </row>
    <row r="336" ht="22" customHeight="1">
      <c r="A336" s="29" t="str">
        <v>Accumulated other comprehensive income components</v>
      </c>
      <c r="B336" s="29"/>
      <c r="C336" s="32"/>
      <c r="D336" s="32"/>
      <c r="E336" s="32"/>
      <c r="F336" s="32"/>
      <c r="G336" s="32"/>
      <c r="H336" s="32"/>
      <c r="I336" s="32"/>
      <c r="J336" s="32"/>
      <c r="K336" s="32"/>
      <c r="L336" s="32"/>
      <c r="M336" s="32"/>
      <c r="N336" s="32"/>
      <c r="O336" s="32"/>
      <c r="P336" s="32"/>
      <c r="Q336" s="32"/>
      <c r="R336" s="32"/>
      <c r="S336" s="32"/>
      <c r="T336" s="32"/>
      <c r="U336" s="32"/>
      <c r="V336" s="32"/>
      <c r="W336" s="32"/>
      <c r="X336" s="32"/>
    </row>
    <row r="337" ht="18" customHeight="1">
      <c r="A337" s="33" t="str">
        <v>Balances retain their original dates; income reclassifications are not treated as pension plan assets.</v>
      </c>
      <c r="B337" s="33"/>
      <c r="C337" s="35"/>
      <c r="D337" s="35"/>
      <c r="E337" s="35"/>
      <c r="F337" s="35"/>
      <c r="G337" s="35"/>
      <c r="H337" s="35"/>
      <c r="I337" s="35"/>
      <c r="J337" s="35"/>
      <c r="K337" s="35"/>
      <c r="L337" s="35"/>
      <c r="M337" s="35"/>
      <c r="N337" s="35"/>
      <c r="O337" s="35"/>
      <c r="P337" s="35"/>
      <c r="Q337" s="35"/>
      <c r="R337" s="35"/>
      <c r="S337" s="35"/>
      <c r="T337" s="35"/>
      <c r="U337" s="35"/>
      <c r="V337" s="35"/>
      <c r="W337" s="35"/>
      <c r="X337" s="35"/>
    </row>
    <row r="338" ht="22" customHeight="1">
      <c r="A338" s="4" t="str">
        <v>Ending balance: Currency Translation Adjustment</v>
      </c>
      <c r="B338" s="2"/>
      <c r="C338" s="44" t="n">
        <v>-11386</v>
      </c>
      <c r="D338" s="44" t="n">
        <v>-10277</v>
      </c>
      <c r="E338" s="44" t="n">
        <v>-11918</v>
      </c>
      <c r="F338" s="44" t="n">
        <v>-11290</v>
      </c>
      <c r="G338" s="44" t="n">
        <v>-11940</v>
      </c>
      <c r="H338" s="44" t="n">
        <v>-12309</v>
      </c>
      <c r="I338" s="44" t="n">
        <v>-12948</v>
      </c>
      <c r="J338" s="44" t="n">
        <v>-13255</v>
      </c>
      <c r="K338" s="44" t="n">
        <v>-15217</v>
      </c>
      <c r="L338" s="44" t="n">
        <v>-13494</v>
      </c>
      <c r="M338" s="45"/>
      <c r="N338" s="44" t="n">
        <v>-13437</v>
      </c>
      <c r="O338" s="44" t="n">
        <v>-13704</v>
      </c>
      <c r="P338" s="44" t="n">
        <v>-14216</v>
      </c>
      <c r="Q338" s="44"/>
      <c r="R338" s="44" t="n">
        <v>-14781</v>
      </c>
      <c r="S338" s="44" t="n">
        <v>-13820</v>
      </c>
      <c r="T338" s="44" t="n">
        <v>-13781</v>
      </c>
      <c r="U338" s="44"/>
      <c r="V338" s="44" t="n">
        <v>-12775</v>
      </c>
      <c r="W338" s="44" t="n">
        <v>-12620</v>
      </c>
      <c r="X338" s="44" t="n">
        <v>-13478</v>
      </c>
    </row>
    <row r="339" ht="22" customHeight="1">
      <c r="A339" s="4" t="str">
        <v>Ending balance: Cash Flow Hedges</v>
      </c>
      <c r="B339" s="2"/>
      <c r="C339" s="44" t="n">
        <v>83</v>
      </c>
      <c r="D339" s="44" t="n">
        <v>47</v>
      </c>
      <c r="E339" s="44" t="n">
        <v>87</v>
      </c>
      <c r="F339" s="44" t="n">
        <v>-3</v>
      </c>
      <c r="G339" s="44" t="n">
        <v>4</v>
      </c>
      <c r="H339" s="44" t="n">
        <v>159</v>
      </c>
      <c r="I339" s="44" t="n">
        <v>1</v>
      </c>
      <c r="J339" s="44" t="n">
        <v>-31</v>
      </c>
      <c r="K339" s="44" t="n">
        <v>82</v>
      </c>
      <c r="L339" s="44" t="n">
        <v>126</v>
      </c>
      <c r="M339" s="45"/>
      <c r="N339" s="44" t="n">
        <v>-28</v>
      </c>
      <c r="O339" s="44" t="n">
        <v>14</v>
      </c>
      <c r="P339" s="44" t="n">
        <v>-10</v>
      </c>
      <c r="Q339" s="44"/>
      <c r="R339" s="44" t="n">
        <v>104</v>
      </c>
      <c r="S339" s="44" t="n">
        <v>86</v>
      </c>
      <c r="T339" s="44" t="n">
        <v>109</v>
      </c>
      <c r="U339" s="44"/>
      <c r="V339" s="44" t="n">
        <v>181</v>
      </c>
      <c r="W339" s="44" t="n">
        <v>221</v>
      </c>
      <c r="X339" s="44" t="n">
        <v>180</v>
      </c>
    </row>
    <row r="340" ht="22" customHeight="1">
      <c r="A340" s="4" t="str">
        <v>Ending balance: Pension and Retiree Medical</v>
      </c>
      <c r="B340" s="2"/>
      <c r="C340" s="44" t="n">
        <v>-2645</v>
      </c>
      <c r="D340" s="44" t="n">
        <v>-2804</v>
      </c>
      <c r="E340" s="44" t="n">
        <v>-3271</v>
      </c>
      <c r="F340" s="44" t="n">
        <v>-2988</v>
      </c>
      <c r="G340" s="44" t="n">
        <v>-3520</v>
      </c>
      <c r="H340" s="44" t="n">
        <v>-2750</v>
      </c>
      <c r="I340" s="44" t="n">
        <v>-2361</v>
      </c>
      <c r="J340" s="44" t="n">
        <v>-2719</v>
      </c>
      <c r="K340" s="44" t="n">
        <v>-2714</v>
      </c>
      <c r="L340" s="44" t="n">
        <v>-2262</v>
      </c>
      <c r="M340" s="45"/>
      <c r="N340" s="44" t="n">
        <v>-2708</v>
      </c>
      <c r="O340" s="44" t="n">
        <v>-2699</v>
      </c>
      <c r="P340" s="44" t="n">
        <v>-2678</v>
      </c>
      <c r="Q340" s="44"/>
      <c r="R340" s="44" t="n">
        <v>-2704</v>
      </c>
      <c r="S340" s="44" t="n">
        <v>-2723</v>
      </c>
      <c r="T340" s="44" t="n">
        <v>-2702</v>
      </c>
      <c r="U340" s="44"/>
      <c r="V340" s="44" t="n">
        <v>-2256</v>
      </c>
      <c r="W340" s="44" t="n">
        <v>-2235</v>
      </c>
      <c r="X340" s="44" t="n">
        <v>-2032</v>
      </c>
    </row>
    <row r="341" ht="22" customHeight="1">
      <c r="A341" s="4" t="str">
        <v>Ending balance: Available-For-Sale Securities</v>
      </c>
      <c r="B341" s="2"/>
      <c r="C341" s="44" t="n">
        <v>64</v>
      </c>
      <c r="D341" s="44" t="n">
        <v>-4</v>
      </c>
      <c r="E341" s="44" t="n">
        <v>2</v>
      </c>
      <c r="F341" s="44" t="n">
        <v>0</v>
      </c>
      <c r="G341" s="44"/>
      <c r="H341" s="44"/>
      <c r="I341" s="44"/>
      <c r="J341" s="44"/>
      <c r="K341" s="44"/>
      <c r="L341" s="44"/>
      <c r="M341" s="45"/>
      <c r="N341" s="44"/>
      <c r="O341" s="44"/>
      <c r="P341" s="44"/>
      <c r="Q341" s="44"/>
      <c r="R341" s="44"/>
      <c r="S341" s="44"/>
      <c r="T341" s="44"/>
      <c r="U341" s="44"/>
      <c r="V341" s="44"/>
      <c r="W341" s="44"/>
      <c r="X341" s="44"/>
    </row>
    <row r="342" ht="22" customHeight="1">
      <c r="A342" s="4" t="str">
        <v>Ending balance: Other</v>
      </c>
      <c r="B342" s="2"/>
      <c r="C342" s="44" t="n">
        <v>-35</v>
      </c>
      <c r="D342" s="44" t="n">
        <v>-19</v>
      </c>
      <c r="E342" s="44" t="n">
        <v>-19</v>
      </c>
      <c r="F342" s="44" t="n">
        <v>-19</v>
      </c>
      <c r="G342" s="44"/>
      <c r="H342" s="44"/>
      <c r="I342" s="44"/>
      <c r="J342" s="44"/>
      <c r="K342" s="44"/>
      <c r="L342" s="44"/>
      <c r="M342" s="45"/>
      <c r="N342" s="44"/>
      <c r="O342" s="44"/>
      <c r="P342" s="44"/>
      <c r="Q342" s="44"/>
      <c r="R342" s="44"/>
      <c r="S342" s="44"/>
      <c r="T342" s="44"/>
      <c r="U342" s="44"/>
      <c r="V342" s="44"/>
      <c r="W342" s="44"/>
      <c r="X342" s="44"/>
    </row>
    <row r="343" ht="36" customHeight="1">
      <c r="A343" s="4" t="str">
        <v>Ending balance: Accumulated Other Comprehensive Loss Attributable to PepsiCo</v>
      </c>
      <c r="B343" s="2"/>
      <c r="C343" s="44" t="n">
        <v>-13919</v>
      </c>
      <c r="D343" s="44" t="n">
        <v>-13057</v>
      </c>
      <c r="E343" s="44" t="n">
        <v>-15119</v>
      </c>
      <c r="F343" s="44" t="n">
        <v>-14300</v>
      </c>
      <c r="G343" s="44" t="n">
        <v>-15476</v>
      </c>
      <c r="H343" s="44" t="n">
        <v>-14898</v>
      </c>
      <c r="I343" s="44" t="n">
        <v>-15302</v>
      </c>
      <c r="J343" s="44" t="n">
        <v>-15534</v>
      </c>
      <c r="K343" s="44" t="n">
        <v>-17612</v>
      </c>
      <c r="L343" s="44" t="n">
        <v>-15024</v>
      </c>
      <c r="M343" s="45"/>
      <c r="N343" s="44" t="n">
        <v>-15179</v>
      </c>
      <c r="O343" s="44" t="n">
        <v>-15786</v>
      </c>
      <c r="P343" s="44" t="n">
        <v>-16652</v>
      </c>
      <c r="Q343" s="44"/>
      <c r="R343" s="44" t="n">
        <v>-17078</v>
      </c>
      <c r="S343" s="44" t="n">
        <v>-16090</v>
      </c>
      <c r="T343" s="44" t="n">
        <v>-15597</v>
      </c>
      <c r="U343" s="44"/>
      <c r="V343" s="44" t="n">
        <v>-14342</v>
      </c>
      <c r="W343" s="44" t="n">
        <v>-14343</v>
      </c>
      <c r="X343" s="44" t="n">
        <v>-14987</v>
      </c>
    </row>
    <row r="344" ht="36" customHeight="1">
      <c r="A344" s="4" t="str">
        <v>Other comprehensive (loss)/income before reclassifications：Currency Translation Adjustment</v>
      </c>
      <c r="B344" s="2"/>
      <c r="C344" s="44"/>
      <c r="D344" s="44" t="n">
        <v>1049</v>
      </c>
      <c r="E344" s="44" t="n">
        <v>-1664</v>
      </c>
      <c r="F344" s="44" t="n">
        <v>636</v>
      </c>
      <c r="G344" s="44"/>
      <c r="H344" s="44" t="n">
        <v>-340</v>
      </c>
      <c r="I344" s="44" t="n">
        <v>-603</v>
      </c>
      <c r="J344" s="44" t="n">
        <v>-442</v>
      </c>
      <c r="K344" s="44"/>
      <c r="L344" s="44"/>
      <c r="M344" s="45"/>
      <c r="N344" s="44" t="n">
        <v>-168</v>
      </c>
      <c r="O344" s="44" t="n">
        <v>-295</v>
      </c>
      <c r="P344" s="44" t="n">
        <v>-544</v>
      </c>
      <c r="Q344" s="44"/>
      <c r="R344" s="44"/>
      <c r="S344" s="44"/>
      <c r="T344" s="44"/>
      <c r="U344" s="44"/>
      <c r="V344" s="44"/>
      <c r="W344" s="44"/>
      <c r="X344" s="44" t="n">
        <v>-876</v>
      </c>
    </row>
    <row r="345" ht="36" customHeight="1">
      <c r="A345" s="4" t="str">
        <v>Other comprehensive (loss)/income before reclassifications：Cash Flow Hedges</v>
      </c>
      <c r="B345" s="2"/>
      <c r="C345" s="44"/>
      <c r="D345" s="44" t="n">
        <v>130</v>
      </c>
      <c r="E345" s="44" t="n">
        <v>-61</v>
      </c>
      <c r="F345" s="44" t="n">
        <v>-131</v>
      </c>
      <c r="G345" s="44"/>
      <c r="H345" s="44" t="n">
        <v>248</v>
      </c>
      <c r="I345" s="44" t="n">
        <v>-78</v>
      </c>
      <c r="J345" s="44" t="n">
        <v>-188</v>
      </c>
      <c r="K345" s="44"/>
      <c r="L345" s="44"/>
      <c r="M345" s="45"/>
      <c r="N345" s="44" t="n">
        <v>-47</v>
      </c>
      <c r="O345" s="44" t="n">
        <v>3</v>
      </c>
      <c r="P345" s="44" t="n">
        <v>-34</v>
      </c>
      <c r="Q345" s="44"/>
      <c r="R345" s="44"/>
      <c r="S345" s="44"/>
      <c r="T345" s="44"/>
      <c r="U345" s="44"/>
      <c r="V345" s="44"/>
      <c r="W345" s="44"/>
      <c r="X345" s="44" t="n">
        <v>-17</v>
      </c>
    </row>
    <row r="346" ht="36" customHeight="1">
      <c r="A346" s="4" t="str">
        <v>Other comprehensive (loss)/income before reclassifications：Pension and Retiree Medical</v>
      </c>
      <c r="B346" s="2"/>
      <c r="C346" s="44"/>
      <c r="D346" s="44" t="n">
        <v>-375</v>
      </c>
      <c r="E346" s="44" t="n">
        <v>-813</v>
      </c>
      <c r="F346" s="44" t="n">
        <v>-89</v>
      </c>
      <c r="G346" s="44"/>
      <c r="H346" s="44" t="n">
        <v>702</v>
      </c>
      <c r="I346" s="44" t="n">
        <v>48</v>
      </c>
      <c r="J346" s="44" t="n">
        <v>-493</v>
      </c>
      <c r="K346" s="44"/>
      <c r="L346" s="44"/>
      <c r="M346" s="45"/>
      <c r="N346" s="44" t="n">
        <v>4</v>
      </c>
      <c r="O346" s="44" t="n">
        <v>-1</v>
      </c>
      <c r="P346" s="44" t="n">
        <v>0</v>
      </c>
      <c r="Q346" s="44"/>
      <c r="R346" s="44"/>
      <c r="S346" s="44"/>
      <c r="T346" s="44"/>
      <c r="U346" s="44"/>
      <c r="V346" s="44"/>
      <c r="W346" s="44"/>
      <c r="X346" s="44" t="n">
        <v>87</v>
      </c>
    </row>
    <row r="347" ht="36" customHeight="1">
      <c r="A347" s="4" t="str">
        <v>Other comprehensive (loss)/income before reclassifications：Available-For-Sale Securities</v>
      </c>
      <c r="B347" s="2"/>
      <c r="C347" s="44"/>
      <c r="D347" s="44" t="n">
        <v>25</v>
      </c>
      <c r="E347" s="44" t="n">
        <v>6</v>
      </c>
      <c r="F347" s="44" t="n">
        <v>-2</v>
      </c>
      <c r="G347" s="44"/>
      <c r="H347" s="44"/>
      <c r="I347" s="44"/>
      <c r="J347" s="44"/>
      <c r="K347" s="44"/>
      <c r="L347" s="44"/>
      <c r="M347" s="45"/>
      <c r="N347" s="44"/>
      <c r="O347" s="44"/>
      <c r="P347" s="44"/>
      <c r="Q347" s="44"/>
      <c r="R347" s="44"/>
      <c r="S347" s="44"/>
      <c r="T347" s="44"/>
      <c r="U347" s="44"/>
      <c r="V347" s="44"/>
      <c r="W347" s="44"/>
      <c r="X347" s="44"/>
    </row>
    <row r="348" ht="36" customHeight="1">
      <c r="A348" s="4" t="str">
        <v>Other comprehensive (loss)/income before reclassifications：Other</v>
      </c>
      <c r="B348" s="2"/>
      <c r="C348" s="44"/>
      <c r="D348" s="44" t="n">
        <v>0</v>
      </c>
      <c r="E348" s="44" t="n">
        <v>0</v>
      </c>
      <c r="F348" s="44" t="n">
        <v>0</v>
      </c>
      <c r="G348" s="44"/>
      <c r="H348" s="44"/>
      <c r="I348" s="44"/>
      <c r="J348" s="44"/>
      <c r="K348" s="44"/>
      <c r="L348" s="44"/>
      <c r="M348" s="45"/>
      <c r="N348" s="44"/>
      <c r="O348" s="44"/>
      <c r="P348" s="44"/>
      <c r="Q348" s="44"/>
      <c r="R348" s="44"/>
      <c r="S348" s="44"/>
      <c r="T348" s="44"/>
      <c r="U348" s="44"/>
      <c r="V348" s="44"/>
      <c r="W348" s="44"/>
      <c r="X348" s="44"/>
    </row>
    <row r="349" ht="50" customHeight="1">
      <c r="A349" s="4" t="str">
        <v>Other comprehensive (loss)/income before reclassifications：Accumulated Other Comprehensive Loss Attributable to PepsiCo</v>
      </c>
      <c r="B349" s="2"/>
      <c r="C349" s="44"/>
      <c r="D349" s="44" t="n">
        <v>829</v>
      </c>
      <c r="E349" s="44" t="n">
        <v>-2532</v>
      </c>
      <c r="F349" s="44" t="n">
        <v>414</v>
      </c>
      <c r="G349" s="44"/>
      <c r="H349" s="44" t="n">
        <v>632</v>
      </c>
      <c r="I349" s="44" t="n">
        <v>-625</v>
      </c>
      <c r="J349" s="44" t="n">
        <v>-515</v>
      </c>
      <c r="K349" s="44"/>
      <c r="L349" s="44"/>
      <c r="M349" s="45"/>
      <c r="N349" s="44" t="n">
        <v>474</v>
      </c>
      <c r="O349" s="44" t="n">
        <v>-804</v>
      </c>
      <c r="P349" s="44" t="n">
        <v>-1038</v>
      </c>
      <c r="Q349" s="44"/>
      <c r="R349" s="44"/>
      <c r="S349" s="44"/>
      <c r="T349" s="44"/>
      <c r="U349" s="44"/>
      <c r="V349" s="44"/>
      <c r="W349" s="44"/>
      <c r="X349" s="44" t="n">
        <v>-737</v>
      </c>
    </row>
    <row r="350" ht="36" customHeight="1">
      <c r="A350" s="4" t="str">
        <v>Amounts reclassified from accumulated other comprehensive loss：Currency Translation Adjustment</v>
      </c>
      <c r="B350" s="2"/>
      <c r="C350" s="44"/>
      <c r="D350" s="44" t="n">
        <v>0</v>
      </c>
      <c r="E350" s="44" t="n">
        <v>44</v>
      </c>
      <c r="F350" s="44" t="n">
        <v>0</v>
      </c>
      <c r="G350" s="44"/>
      <c r="H350" s="44" t="n">
        <v>18</v>
      </c>
      <c r="I350" s="44" t="n">
        <v>0</v>
      </c>
      <c r="J350" s="44" t="n">
        <v>108</v>
      </c>
      <c r="K350" s="44" t="n">
        <v>0</v>
      </c>
      <c r="L350" s="44" t="n">
        <v>0</v>
      </c>
      <c r="M350" s="45"/>
      <c r="N350" s="44" t="n">
        <v>0</v>
      </c>
      <c r="O350" s="44" t="n">
        <v>0</v>
      </c>
      <c r="P350" s="44" t="n">
        <v>0</v>
      </c>
      <c r="Q350" s="44"/>
      <c r="R350" s="44" t="n">
        <v>0</v>
      </c>
      <c r="S350" s="44" t="n">
        <v>0</v>
      </c>
      <c r="T350" s="44" t="n">
        <v>0</v>
      </c>
      <c r="U350" s="44"/>
      <c r="V350" s="44" t="n">
        <v>0</v>
      </c>
      <c r="W350" s="44" t="n">
        <v>0</v>
      </c>
      <c r="X350" s="44" t="n">
        <v>0</v>
      </c>
    </row>
    <row r="351" ht="36" customHeight="1">
      <c r="A351" s="4" t="str">
        <v>Amounts reclassified from accumulated other comprehensive loss：Cash Flow Hedges</v>
      </c>
      <c r="B351" s="2"/>
      <c r="C351" s="44"/>
      <c r="D351" s="44" t="n">
        <v>-171</v>
      </c>
      <c r="E351" s="44" t="n">
        <v>111</v>
      </c>
      <c r="F351" s="44" t="n">
        <v>14</v>
      </c>
      <c r="G351" s="44"/>
      <c r="H351" s="44" t="n">
        <v>-48</v>
      </c>
      <c r="I351" s="44" t="n">
        <v>-129</v>
      </c>
      <c r="J351" s="44" t="n">
        <v>146</v>
      </c>
      <c r="K351" s="44" t="n">
        <v>158</v>
      </c>
      <c r="L351" s="44" t="n">
        <v>-132</v>
      </c>
      <c r="M351" s="45"/>
      <c r="N351" s="44" t="n">
        <v>51</v>
      </c>
      <c r="O351" s="44" t="n">
        <v>53</v>
      </c>
      <c r="P351" s="44" t="n">
        <v>7</v>
      </c>
      <c r="Q351" s="44"/>
      <c r="R351" s="44" t="n">
        <v>-31</v>
      </c>
      <c r="S351" s="44" t="n">
        <v>-53</v>
      </c>
      <c r="T351" s="44" t="n">
        <v>-5</v>
      </c>
      <c r="U351" s="44"/>
      <c r="V351" s="44" t="n">
        <v>-37</v>
      </c>
      <c r="W351" s="44" t="n">
        <v>-52</v>
      </c>
      <c r="X351" s="44" t="n">
        <v>-37</v>
      </c>
    </row>
    <row r="352" ht="36" customHeight="1">
      <c r="A352" s="4" t="str">
        <v>Amounts reclassified from accumulated other comprehensive loss：Pension and Retiree Medical</v>
      </c>
      <c r="B352" s="2"/>
      <c r="C352" s="44"/>
      <c r="D352" s="44" t="n">
        <v>158</v>
      </c>
      <c r="E352" s="44" t="n">
        <v>218</v>
      </c>
      <c r="F352" s="44" t="n">
        <v>468</v>
      </c>
      <c r="G352" s="44"/>
      <c r="H352" s="44" t="n">
        <v>299</v>
      </c>
      <c r="I352" s="44" t="n">
        <v>440</v>
      </c>
      <c r="J352" s="44" t="n">
        <v>37</v>
      </c>
      <c r="K352" s="44" t="n">
        <v>285</v>
      </c>
      <c r="L352" s="44" t="n">
        <v>362</v>
      </c>
      <c r="M352" s="45"/>
      <c r="N352" s="44" t="n">
        <v>9</v>
      </c>
      <c r="O352" s="44" t="n">
        <v>12</v>
      </c>
      <c r="P352" s="44" t="n">
        <v>25</v>
      </c>
      <c r="Q352" s="44"/>
      <c r="R352" s="44" t="n">
        <v>17</v>
      </c>
      <c r="S352" s="44" t="n">
        <v>18</v>
      </c>
      <c r="T352" s="44" t="n">
        <v>33</v>
      </c>
      <c r="U352" s="44"/>
      <c r="V352" s="44" t="n">
        <v>19</v>
      </c>
      <c r="W352" s="44" t="n">
        <v>22</v>
      </c>
      <c r="X352" s="44" t="n">
        <v>175</v>
      </c>
    </row>
    <row r="353" ht="36" customHeight="1">
      <c r="A353" s="4" t="str">
        <v>Amounts reclassified from accumulated other comprehensive loss：Available-For-Sale Securities</v>
      </c>
      <c r="B353" s="2"/>
      <c r="C353" s="44"/>
      <c r="D353" s="44" t="n">
        <v>-99</v>
      </c>
      <c r="E353" s="44" t="n">
        <v>0</v>
      </c>
      <c r="F353" s="44" t="n">
        <v>0</v>
      </c>
      <c r="G353" s="44"/>
      <c r="H353" s="44"/>
      <c r="I353" s="44"/>
      <c r="J353" s="44"/>
      <c r="K353" s="44"/>
      <c r="L353" s="44"/>
      <c r="M353" s="45"/>
      <c r="N353" s="44"/>
      <c r="O353" s="44"/>
      <c r="P353" s="44"/>
      <c r="Q353" s="44"/>
      <c r="R353" s="44"/>
      <c r="S353" s="44"/>
      <c r="T353" s="44"/>
      <c r="U353" s="44"/>
      <c r="V353" s="44"/>
      <c r="W353" s="44"/>
      <c r="X353" s="44"/>
    </row>
    <row r="354" ht="36" customHeight="1">
      <c r="A354" s="4" t="str">
        <v>Amounts reclassified from accumulated other comprehensive loss：Other</v>
      </c>
      <c r="B354" s="2"/>
      <c r="C354" s="44"/>
      <c r="D354" s="44" t="n">
        <v>0</v>
      </c>
      <c r="E354" s="44" t="n">
        <v>0</v>
      </c>
      <c r="F354" s="44" t="n">
        <v>0</v>
      </c>
      <c r="G354" s="44"/>
      <c r="H354" s="44"/>
      <c r="I354" s="44"/>
      <c r="J354" s="44"/>
      <c r="K354" s="44"/>
      <c r="L354" s="44"/>
      <c r="M354" s="45"/>
      <c r="N354" s="44"/>
      <c r="O354" s="44"/>
      <c r="P354" s="44"/>
      <c r="Q354" s="44"/>
      <c r="R354" s="44"/>
      <c r="S354" s="44"/>
      <c r="T354" s="44"/>
      <c r="U354" s="44"/>
      <c r="V354" s="44"/>
      <c r="W354" s="44"/>
      <c r="X354" s="44"/>
    </row>
    <row r="355" ht="50" customHeight="1">
      <c r="A355" s="4" t="str">
        <v>Amounts reclassified from accumulated other comprehensive loss：Accumulated Other Comprehensive Loss Attributable to PepsiCo</v>
      </c>
      <c r="B355" s="2"/>
      <c r="C355" s="44"/>
      <c r="D355" s="44" t="n">
        <v>-112</v>
      </c>
      <c r="E355" s="44" t="n">
        <v>373</v>
      </c>
      <c r="F355" s="44" t="n">
        <v>482</v>
      </c>
      <c r="G355" s="44"/>
      <c r="H355" s="44" t="n">
        <v>269</v>
      </c>
      <c r="I355" s="44" t="n">
        <v>311</v>
      </c>
      <c r="J355" s="44" t="n">
        <v>291</v>
      </c>
      <c r="K355" s="44" t="n">
        <v>443</v>
      </c>
      <c r="L355" s="44" t="n">
        <v>230</v>
      </c>
      <c r="M355" s="45"/>
      <c r="N355" s="44" t="n">
        <v>60</v>
      </c>
      <c r="O355" s="44" t="n">
        <v>65</v>
      </c>
      <c r="P355" s="44" t="n">
        <v>32</v>
      </c>
      <c r="Q355" s="44"/>
      <c r="R355" s="44" t="n">
        <v>-14</v>
      </c>
      <c r="S355" s="44" t="n">
        <v>-35</v>
      </c>
      <c r="T355" s="44" t="n">
        <v>28</v>
      </c>
      <c r="U355" s="44"/>
      <c r="V355" s="44" t="n">
        <v>-18</v>
      </c>
      <c r="W355" s="44" t="n">
        <v>-30</v>
      </c>
      <c r="X355" s="44" t="n">
        <v>138</v>
      </c>
    </row>
    <row r="356" ht="36" customHeight="1">
      <c r="A356" s="4" t="str">
        <v>Net current year other comprehensive (loss)/income：Currency Translation Adjustment</v>
      </c>
      <c r="B356" s="2"/>
      <c r="C356" s="44"/>
      <c r="D356" s="44" t="n">
        <v>-2825</v>
      </c>
      <c r="E356" s="44"/>
      <c r="F356" s="44"/>
      <c r="G356" s="44"/>
      <c r="H356" s="44"/>
      <c r="I356" s="44"/>
      <c r="J356" s="44"/>
      <c r="K356" s="44"/>
      <c r="L356" s="44"/>
      <c r="M356" s="45"/>
      <c r="N356" s="44"/>
      <c r="O356" s="44"/>
      <c r="P356" s="44"/>
      <c r="Q356" s="44"/>
      <c r="R356" s="44"/>
      <c r="S356" s="44"/>
      <c r="T356" s="44"/>
      <c r="U356" s="44"/>
      <c r="V356" s="44"/>
      <c r="W356" s="44"/>
      <c r="X356" s="44"/>
    </row>
    <row r="357" ht="36" customHeight="1">
      <c r="A357" s="4" t="str">
        <v>Net current year other comprehensive (loss)/income：Cash Flow Hedges</v>
      </c>
      <c r="B357" s="2"/>
      <c r="C357" s="44"/>
      <c r="D357" s="44" t="n">
        <v>2</v>
      </c>
      <c r="E357" s="44"/>
      <c r="F357" s="44"/>
      <c r="G357" s="44"/>
      <c r="H357" s="44"/>
      <c r="I357" s="44"/>
      <c r="J357" s="44"/>
      <c r="K357" s="44"/>
      <c r="L357" s="44"/>
      <c r="M357" s="45"/>
      <c r="N357" s="44"/>
      <c r="O357" s="44"/>
      <c r="P357" s="44"/>
      <c r="Q357" s="44"/>
      <c r="R357" s="44"/>
      <c r="S357" s="44"/>
      <c r="T357" s="44"/>
      <c r="U357" s="44"/>
      <c r="V357" s="44"/>
      <c r="W357" s="44"/>
      <c r="X357" s="44"/>
    </row>
    <row r="358" ht="36" customHeight="1">
      <c r="A358" s="4" t="str">
        <v>Net current year other comprehensive (loss)/income：Pension and Retiree Medical</v>
      </c>
      <c r="B358" s="2"/>
      <c r="C358" s="44"/>
      <c r="D358" s="44" t="n">
        <v>178</v>
      </c>
      <c r="E358" s="44"/>
      <c r="F358" s="44"/>
      <c r="G358" s="44"/>
      <c r="H358" s="44"/>
      <c r="I358" s="44"/>
      <c r="J358" s="44"/>
      <c r="K358" s="44"/>
      <c r="L358" s="44"/>
      <c r="M358" s="45"/>
      <c r="N358" s="44"/>
      <c r="O358" s="44"/>
      <c r="P358" s="44"/>
      <c r="Q358" s="44"/>
      <c r="R358" s="44"/>
      <c r="S358" s="44"/>
      <c r="T358" s="44"/>
      <c r="U358" s="44"/>
      <c r="V358" s="44"/>
      <c r="W358" s="44"/>
      <c r="X358" s="44"/>
    </row>
    <row r="359" ht="36" customHeight="1">
      <c r="A359" s="4" t="str">
        <v>Net current year other comprehensive (loss)/income：Available-For-Sale Securities</v>
      </c>
      <c r="B359" s="2"/>
      <c r="C359" s="44"/>
      <c r="D359" s="44" t="n">
        <v>3</v>
      </c>
      <c r="E359" s="44"/>
      <c r="F359" s="44"/>
      <c r="G359" s="44"/>
      <c r="H359" s="44"/>
      <c r="I359" s="44"/>
      <c r="J359" s="44"/>
      <c r="K359" s="44"/>
      <c r="L359" s="44"/>
      <c r="M359" s="45"/>
      <c r="N359" s="44"/>
      <c r="O359" s="44"/>
      <c r="P359" s="44"/>
      <c r="Q359" s="44"/>
      <c r="R359" s="44"/>
      <c r="S359" s="44"/>
      <c r="T359" s="44"/>
      <c r="U359" s="44"/>
      <c r="V359" s="44"/>
      <c r="W359" s="44"/>
      <c r="X359" s="44"/>
    </row>
    <row r="360" ht="22" customHeight="1">
      <c r="A360" s="4" t="str">
        <v>Net current year other comprehensive (loss)/income：Other</v>
      </c>
      <c r="B360" s="2"/>
      <c r="C360" s="44"/>
      <c r="D360" s="44" t="n">
        <v>0</v>
      </c>
      <c r="E360" s="44"/>
      <c r="F360" s="44"/>
      <c r="G360" s="44"/>
      <c r="H360" s="44"/>
      <c r="I360" s="44"/>
      <c r="J360" s="44"/>
      <c r="K360" s="44"/>
      <c r="L360" s="44"/>
      <c r="M360" s="45"/>
      <c r="N360" s="44"/>
      <c r="O360" s="44"/>
      <c r="P360" s="44"/>
      <c r="Q360" s="44"/>
      <c r="R360" s="44"/>
      <c r="S360" s="44"/>
      <c r="T360" s="44"/>
      <c r="U360" s="44"/>
      <c r="V360" s="44"/>
      <c r="W360" s="44"/>
      <c r="X360" s="44"/>
    </row>
    <row r="361" ht="36" customHeight="1">
      <c r="A361" s="4" t="str">
        <v>Net current year other comprehensive (loss)/income：Accumulated Other Comprehensive Loss Attributable to PepsiCo</v>
      </c>
      <c r="B361" s="2"/>
      <c r="C361" s="44"/>
      <c r="D361" s="44" t="n">
        <v>-2642</v>
      </c>
      <c r="E361" s="44"/>
      <c r="F361" s="44"/>
      <c r="G361" s="44"/>
      <c r="H361" s="44"/>
      <c r="I361" s="44"/>
      <c r="J361" s="44"/>
      <c r="K361" s="44"/>
      <c r="L361" s="44"/>
      <c r="M361" s="45"/>
      <c r="N361" s="44"/>
      <c r="O361" s="44"/>
      <c r="P361" s="44"/>
      <c r="Q361" s="44"/>
      <c r="R361" s="44"/>
      <c r="S361" s="44"/>
      <c r="T361" s="44"/>
      <c r="U361" s="44"/>
      <c r="V361" s="44"/>
      <c r="W361" s="44"/>
      <c r="X361" s="44"/>
    </row>
    <row r="362" ht="22" customHeight="1">
      <c r="A362" s="4" t="str">
        <v>Tax amounts：Currency Translation Adjustment</v>
      </c>
      <c r="B362" s="2"/>
      <c r="C362" s="44"/>
      <c r="D362" s="44" t="n">
        <v>60</v>
      </c>
      <c r="E362" s="44" t="n">
        <v>-21</v>
      </c>
      <c r="F362" s="44" t="n">
        <v>-8</v>
      </c>
      <c r="G362" s="44"/>
      <c r="H362" s="44" t="n">
        <v>-47</v>
      </c>
      <c r="I362" s="44" t="n">
        <v>-36</v>
      </c>
      <c r="J362" s="44" t="n">
        <v>27</v>
      </c>
      <c r="K362" s="44" t="n">
        <v>3</v>
      </c>
      <c r="L362" s="44" t="n">
        <v>90</v>
      </c>
      <c r="M362" s="45"/>
      <c r="N362" s="44" t="n">
        <v>-14</v>
      </c>
      <c r="O362" s="44" t="n">
        <v>28</v>
      </c>
      <c r="P362" s="44" t="n">
        <v>32</v>
      </c>
      <c r="Q362" s="44"/>
      <c r="R362" s="44" t="n">
        <v>26</v>
      </c>
      <c r="S362" s="44" t="n">
        <v>46</v>
      </c>
      <c r="T362" s="44" t="n">
        <v>6</v>
      </c>
      <c r="U362" s="44"/>
      <c r="V362" s="44" t="n">
        <v>-38</v>
      </c>
      <c r="W362" s="44" t="n">
        <v>10</v>
      </c>
      <c r="X362" s="44" t="n">
        <v>18</v>
      </c>
    </row>
    <row r="363" ht="22" customHeight="1">
      <c r="A363" s="4" t="str">
        <v>Tax amounts：Cash Flow Hedges</v>
      </c>
      <c r="B363" s="2"/>
      <c r="C363" s="44"/>
      <c r="D363" s="44" t="n">
        <v>5</v>
      </c>
      <c r="E363" s="44" t="n">
        <v>-10</v>
      </c>
      <c r="F363" s="44" t="n">
        <v>27</v>
      </c>
      <c r="G363" s="44"/>
      <c r="H363" s="44" t="n">
        <v>-45</v>
      </c>
      <c r="I363" s="44" t="n">
        <v>49</v>
      </c>
      <c r="J363" s="44" t="n">
        <v>10</v>
      </c>
      <c r="K363" s="44" t="n">
        <v>-39</v>
      </c>
      <c r="L363" s="44" t="n">
        <v>-10</v>
      </c>
      <c r="M363" s="45"/>
      <c r="N363" s="44" t="n">
        <v>-1</v>
      </c>
      <c r="O363" s="44" t="n">
        <v>-14</v>
      </c>
      <c r="P363" s="44" t="n">
        <v>3</v>
      </c>
      <c r="Q363" s="44"/>
      <c r="R363" s="44" t="n">
        <v>-5</v>
      </c>
      <c r="S363" s="44" t="n">
        <v>8</v>
      </c>
      <c r="T363" s="44" t="n">
        <v>-7</v>
      </c>
      <c r="U363" s="44"/>
      <c r="V363" s="44" t="n">
        <v>-16</v>
      </c>
      <c r="W363" s="44" t="n">
        <v>-1</v>
      </c>
      <c r="X363" s="44" t="n">
        <v>13</v>
      </c>
    </row>
    <row r="364" ht="22" customHeight="1">
      <c r="A364" s="4" t="str">
        <v>Tax amounts：Pension and Retiree Medical</v>
      </c>
      <c r="B364" s="2"/>
      <c r="C364" s="44"/>
      <c r="D364" s="44" t="n">
        <v>58</v>
      </c>
      <c r="E364" s="44" t="n">
        <v>128</v>
      </c>
      <c r="F364" s="44" t="n">
        <v>-96</v>
      </c>
      <c r="G364" s="44"/>
      <c r="H364" s="44" t="n">
        <v>-231</v>
      </c>
      <c r="I364" s="44" t="n">
        <v>-99</v>
      </c>
      <c r="J364" s="44" t="n">
        <v>98</v>
      </c>
      <c r="K364" s="44" t="n">
        <v>0</v>
      </c>
      <c r="L364" s="44" t="n">
        <v>-144</v>
      </c>
      <c r="M364" s="45"/>
      <c r="N364" s="44" t="n">
        <v>-2</v>
      </c>
      <c r="O364" s="44" t="n">
        <v>-2</v>
      </c>
      <c r="P364" s="44" t="n">
        <v>-4</v>
      </c>
      <c r="Q364" s="44"/>
      <c r="R364" s="44" t="n">
        <v>-3</v>
      </c>
      <c r="S364" s="44" t="n">
        <v>5</v>
      </c>
      <c r="T364" s="44" t="n">
        <v>-6</v>
      </c>
      <c r="U364" s="44"/>
      <c r="V364" s="44" t="n">
        <v>-3</v>
      </c>
      <c r="W364" s="44" t="n">
        <v>-5</v>
      </c>
      <c r="X364" s="44" t="n">
        <v>-59</v>
      </c>
    </row>
    <row r="365" ht="22" customHeight="1">
      <c r="A365" s="4" t="str">
        <v>Tax amounts：Available-For-Sale Securities</v>
      </c>
      <c r="B365" s="2"/>
      <c r="C365" s="44"/>
      <c r="D365" s="44" t="n">
        <v>6</v>
      </c>
      <c r="E365" s="44" t="n">
        <v>0</v>
      </c>
      <c r="F365" s="44" t="n">
        <v>0</v>
      </c>
      <c r="G365" s="44"/>
      <c r="H365" s="44"/>
      <c r="I365" s="44"/>
      <c r="J365" s="44"/>
      <c r="K365" s="44"/>
      <c r="L365" s="44"/>
      <c r="M365" s="45"/>
      <c r="N365" s="44"/>
      <c r="O365" s="44"/>
      <c r="P365" s="44"/>
      <c r="Q365" s="44"/>
      <c r="R365" s="44"/>
      <c r="S365" s="44"/>
      <c r="T365" s="44"/>
      <c r="U365" s="44"/>
      <c r="V365" s="44"/>
      <c r="W365" s="44"/>
      <c r="X365" s="44"/>
    </row>
    <row r="366" ht="22" customHeight="1">
      <c r="A366" s="4" t="str">
        <v>Tax amounts：Other</v>
      </c>
      <c r="B366" s="2"/>
      <c r="C366" s="44"/>
      <c r="D366" s="44" t="n">
        <v>16</v>
      </c>
      <c r="E366" s="44" t="n">
        <v>0</v>
      </c>
      <c r="F366" s="44" t="n">
        <v>0</v>
      </c>
      <c r="G366" s="44"/>
      <c r="H366" s="44"/>
      <c r="I366" s="44"/>
      <c r="J366" s="44"/>
      <c r="K366" s="44"/>
      <c r="L366" s="44"/>
      <c r="M366" s="45"/>
      <c r="N366" s="44"/>
      <c r="O366" s="44"/>
      <c r="P366" s="44"/>
      <c r="Q366" s="44"/>
      <c r="R366" s="44"/>
      <c r="S366" s="44"/>
      <c r="T366" s="44"/>
      <c r="U366" s="44"/>
      <c r="V366" s="44"/>
      <c r="W366" s="44"/>
      <c r="X366" s="44"/>
    </row>
    <row r="367" ht="36" customHeight="1">
      <c r="A367" s="4" t="str">
        <v>Tax amounts：Accumulated Other Comprehensive Loss Attributable to PepsiCo</v>
      </c>
      <c r="B367" s="2"/>
      <c r="C367" s="44"/>
      <c r="D367" s="44" t="n">
        <v>145</v>
      </c>
      <c r="E367" s="44" t="n">
        <v>97</v>
      </c>
      <c r="F367" s="44" t="n">
        <v>-77</v>
      </c>
      <c r="G367" s="44"/>
      <c r="H367" s="44" t="n">
        <v>-323</v>
      </c>
      <c r="I367" s="44" t="n">
        <v>-90</v>
      </c>
      <c r="J367" s="44" t="n">
        <v>-8</v>
      </c>
      <c r="K367" s="44" t="n">
        <v>36</v>
      </c>
      <c r="L367" s="44" t="n">
        <v>-177</v>
      </c>
      <c r="M367" s="45"/>
      <c r="N367" s="44" t="n">
        <v>-179</v>
      </c>
      <c r="O367" s="44" t="n">
        <v>132</v>
      </c>
      <c r="P367" s="44" t="n">
        <v>140</v>
      </c>
      <c r="Q367" s="44"/>
      <c r="R367" s="44" t="n">
        <v>-3</v>
      </c>
      <c r="S367" s="44" t="n">
        <v>39</v>
      </c>
      <c r="T367" s="44" t="n">
        <v>-133</v>
      </c>
      <c r="U367" s="44"/>
      <c r="V367" s="44" t="n">
        <v>-26</v>
      </c>
      <c r="W367" s="44" t="n">
        <v>72</v>
      </c>
      <c r="X367" s="44" t="n">
        <v>-45</v>
      </c>
    </row>
    <row r="368" ht="36" customHeight="1">
      <c r="A368" s="4" t="str">
        <v>Net other comprehensive (loss)/income：Currency Translation Adjustment</v>
      </c>
      <c r="B368" s="2"/>
      <c r="C368" s="44"/>
      <c r="D368" s="44" t="n">
        <v>1049</v>
      </c>
      <c r="E368" s="44" t="n">
        <v>-1620</v>
      </c>
      <c r="F368" s="44" t="n">
        <v>636</v>
      </c>
      <c r="G368" s="44"/>
      <c r="H368" s="44" t="n">
        <v>-322</v>
      </c>
      <c r="I368" s="44" t="n">
        <v>-603</v>
      </c>
      <c r="J368" s="44" t="n">
        <v>-334</v>
      </c>
      <c r="K368" s="44" t="n">
        <v>-1965</v>
      </c>
      <c r="L368" s="44"/>
      <c r="M368" s="45"/>
      <c r="N368" s="44" t="n">
        <v>-168</v>
      </c>
      <c r="O368" s="44" t="n">
        <v>-295</v>
      </c>
      <c r="P368" s="44" t="n">
        <v>-544</v>
      </c>
      <c r="Q368" s="44"/>
      <c r="R368" s="44"/>
      <c r="S368" s="44"/>
      <c r="T368" s="44"/>
      <c r="U368" s="44"/>
      <c r="V368" s="44"/>
      <c r="W368" s="44"/>
      <c r="X368" s="44" t="n">
        <v>-876</v>
      </c>
    </row>
    <row r="369" ht="22" customHeight="1">
      <c r="A369" s="4" t="str">
        <v>Net other comprehensive (loss)/income：Cash Flow Hedges</v>
      </c>
      <c r="B369" s="2"/>
      <c r="C369" s="44"/>
      <c r="D369" s="44" t="n">
        <v>-41</v>
      </c>
      <c r="E369" s="44" t="n">
        <v>50</v>
      </c>
      <c r="F369" s="44" t="n">
        <v>-117</v>
      </c>
      <c r="G369" s="44"/>
      <c r="H369" s="44" t="n">
        <v>200</v>
      </c>
      <c r="I369" s="44" t="n">
        <v>-207</v>
      </c>
      <c r="J369" s="44" t="n">
        <v>-42</v>
      </c>
      <c r="K369" s="44" t="n">
        <v>152</v>
      </c>
      <c r="L369" s="44"/>
      <c r="M369" s="45"/>
      <c r="N369" s="44" t="n">
        <v>4</v>
      </c>
      <c r="O369" s="44" t="n">
        <v>56</v>
      </c>
      <c r="P369" s="44" t="n">
        <v>-27</v>
      </c>
      <c r="Q369" s="44"/>
      <c r="R369" s="44"/>
      <c r="S369" s="44"/>
      <c r="T369" s="44"/>
      <c r="U369" s="44"/>
      <c r="V369" s="44"/>
      <c r="W369" s="44"/>
      <c r="X369" s="44" t="n">
        <v>-54</v>
      </c>
    </row>
    <row r="370" ht="36" customHeight="1">
      <c r="A370" s="4" t="str">
        <v>Net other comprehensive (loss)/income：Pension and Retiree Medical</v>
      </c>
      <c r="B370" s="2"/>
      <c r="C370" s="44"/>
      <c r="D370" s="44" t="n">
        <v>-217</v>
      </c>
      <c r="E370" s="44" t="n">
        <v>-595</v>
      </c>
      <c r="F370" s="44" t="n">
        <v>379</v>
      </c>
      <c r="G370" s="44"/>
      <c r="H370" s="44" t="n">
        <v>1001</v>
      </c>
      <c r="I370" s="44" t="n">
        <v>488</v>
      </c>
      <c r="J370" s="44" t="n">
        <v>-456</v>
      </c>
      <c r="K370" s="44" t="n">
        <v>5</v>
      </c>
      <c r="L370" s="44"/>
      <c r="M370" s="45"/>
      <c r="N370" s="44" t="n">
        <v>13</v>
      </c>
      <c r="O370" s="44" t="n">
        <v>11</v>
      </c>
      <c r="P370" s="44" t="n">
        <v>25</v>
      </c>
      <c r="Q370" s="44"/>
      <c r="R370" s="44"/>
      <c r="S370" s="44"/>
      <c r="T370" s="44"/>
      <c r="U370" s="44"/>
      <c r="V370" s="44"/>
      <c r="W370" s="44"/>
      <c r="X370" s="44" t="n">
        <v>262</v>
      </c>
    </row>
    <row r="371" ht="36" customHeight="1">
      <c r="A371" s="4" t="str">
        <v>Net other comprehensive (loss)/income：Available-For-Sale Securities</v>
      </c>
      <c r="B371" s="2"/>
      <c r="C371" s="44"/>
      <c r="D371" s="44" t="n">
        <v>-74</v>
      </c>
      <c r="E371" s="44" t="n">
        <v>6</v>
      </c>
      <c r="F371" s="44" t="n">
        <v>-2</v>
      </c>
      <c r="G371" s="44"/>
      <c r="H371" s="44"/>
      <c r="I371" s="44"/>
      <c r="J371" s="44"/>
      <c r="K371" s="44"/>
      <c r="L371" s="44"/>
      <c r="M371" s="45"/>
      <c r="N371" s="44"/>
      <c r="O371" s="44"/>
      <c r="P371" s="44"/>
      <c r="Q371" s="44"/>
      <c r="R371" s="44"/>
      <c r="S371" s="44"/>
      <c r="T371" s="44"/>
      <c r="U371" s="44"/>
      <c r="V371" s="44"/>
      <c r="W371" s="44"/>
      <c r="X371" s="44"/>
    </row>
    <row r="372" ht="22" customHeight="1">
      <c r="A372" s="4" t="str">
        <v>Net other comprehensive (loss)/income：Other</v>
      </c>
      <c r="B372" s="2"/>
      <c r="C372" s="44"/>
      <c r="D372" s="44" t="n">
        <v>0</v>
      </c>
      <c r="E372" s="44" t="n">
        <v>0</v>
      </c>
      <c r="F372" s="44" t="n">
        <v>0</v>
      </c>
      <c r="G372" s="44"/>
      <c r="H372" s="44"/>
      <c r="I372" s="44"/>
      <c r="J372" s="44"/>
      <c r="K372" s="44"/>
      <c r="L372" s="44"/>
      <c r="M372" s="45"/>
      <c r="N372" s="44"/>
      <c r="O372" s="44"/>
      <c r="P372" s="44"/>
      <c r="Q372" s="44"/>
      <c r="R372" s="44"/>
      <c r="S372" s="44"/>
      <c r="T372" s="44"/>
      <c r="U372" s="44"/>
      <c r="V372" s="44"/>
      <c r="W372" s="44"/>
      <c r="X372" s="44"/>
    </row>
    <row r="373" ht="36" customHeight="1">
      <c r="A373" s="4" t="str">
        <v>Net other comprehensive (loss)/income：Accumulated Other Comprehensive Loss Attributable to PepsiCo</v>
      </c>
      <c r="B373" s="2"/>
      <c r="C373" s="44"/>
      <c r="D373" s="44" t="n">
        <v>717</v>
      </c>
      <c r="E373" s="44" t="n">
        <v>-2159</v>
      </c>
      <c r="F373" s="44" t="n">
        <v>896</v>
      </c>
      <c r="G373" s="44"/>
      <c r="H373" s="44" t="n">
        <v>901</v>
      </c>
      <c r="I373" s="44" t="n">
        <v>-314</v>
      </c>
      <c r="J373" s="44" t="n">
        <v>-224</v>
      </c>
      <c r="K373" s="44" t="n">
        <v>-2114</v>
      </c>
      <c r="L373" s="44"/>
      <c r="M373" s="45"/>
      <c r="N373" s="44" t="n">
        <v>534</v>
      </c>
      <c r="O373" s="44" t="n">
        <v>-739</v>
      </c>
      <c r="P373" s="44" t="n">
        <v>-1006</v>
      </c>
      <c r="Q373" s="44"/>
      <c r="R373" s="44"/>
      <c r="S373" s="44"/>
      <c r="T373" s="44"/>
      <c r="U373" s="44"/>
      <c r="V373" s="44"/>
      <c r="W373" s="44"/>
      <c r="X373" s="44" t="n">
        <v>-599</v>
      </c>
    </row>
    <row r="374" ht="36" customHeight="1">
      <c r="A374" s="4" t="str">
        <v>Ending balance: Available-for-sale debt securities and other</v>
      </c>
      <c r="B374" s="2"/>
      <c r="C374" s="44"/>
      <c r="D374" s="44"/>
      <c r="E374" s="44"/>
      <c r="F374" s="44"/>
      <c r="G374" s="44" t="n">
        <v>-20</v>
      </c>
      <c r="H374" s="44" t="n">
        <v>2</v>
      </c>
      <c r="I374" s="44" t="n">
        <v>6</v>
      </c>
      <c r="J374" s="44" t="n">
        <v>471</v>
      </c>
      <c r="K374" s="44"/>
      <c r="L374" s="44"/>
      <c r="M374" s="45"/>
      <c r="N374" s="44" t="n">
        <v>994</v>
      </c>
      <c r="O374" s="44"/>
      <c r="P374" s="44"/>
      <c r="Q374" s="44"/>
      <c r="R374" s="44"/>
      <c r="S374" s="44"/>
      <c r="T374" s="44"/>
      <c r="U374" s="44"/>
      <c r="V374" s="44"/>
      <c r="W374" s="44"/>
      <c r="X374" s="44"/>
    </row>
    <row r="375" ht="36" customHeight="1">
      <c r="A375" s="4" t="str">
        <v>Other comprehensive (loss)/income before reclassifications：Available-for-sale debt securities and other</v>
      </c>
      <c r="B375" s="2"/>
      <c r="C375" s="44"/>
      <c r="D375" s="44"/>
      <c r="E375" s="44"/>
      <c r="F375" s="44"/>
      <c r="G375" s="44"/>
      <c r="H375" s="44" t="n">
        <v>22</v>
      </c>
      <c r="I375" s="44" t="n">
        <v>8</v>
      </c>
      <c r="J375" s="44" t="n">
        <v>608</v>
      </c>
      <c r="K375" s="44"/>
      <c r="L375" s="44"/>
      <c r="M375" s="45"/>
      <c r="N375" s="44" t="n">
        <v>685</v>
      </c>
      <c r="O375" s="44" t="n">
        <v>-511</v>
      </c>
      <c r="P375" s="44" t="n">
        <v>-460</v>
      </c>
      <c r="Q375" s="44"/>
      <c r="R375" s="44"/>
      <c r="S375" s="44"/>
      <c r="T375" s="44"/>
      <c r="U375" s="44"/>
      <c r="V375" s="44"/>
      <c r="W375" s="44"/>
      <c r="X375" s="44" t="n">
        <v>69</v>
      </c>
    </row>
    <row r="376" ht="36" customHeight="1">
      <c r="A376" s="4" t="str">
        <v>Amounts reclassified from accumulated other comprehensive loss：Available-for-sale debt securities and other</v>
      </c>
      <c r="B376" s="2"/>
      <c r="C376" s="44"/>
      <c r="D376" s="44"/>
      <c r="E376" s="44"/>
      <c r="F376" s="44"/>
      <c r="G376" s="44"/>
      <c r="H376" s="44" t="n">
        <v>0</v>
      </c>
      <c r="I376" s="44" t="n">
        <v>0</v>
      </c>
      <c r="J376" s="44" t="n">
        <v>0</v>
      </c>
      <c r="K376" s="44" t="n">
        <v>0</v>
      </c>
      <c r="L376" s="44" t="n">
        <v>0</v>
      </c>
      <c r="M376" s="45"/>
      <c r="N376" s="44" t="n">
        <v>0</v>
      </c>
      <c r="O376" s="44" t="n">
        <v>0</v>
      </c>
      <c r="P376" s="44" t="n">
        <v>0</v>
      </c>
      <c r="Q376" s="44"/>
      <c r="R376" s="44" t="n">
        <v>0</v>
      </c>
      <c r="S376" s="44" t="n">
        <v>0</v>
      </c>
      <c r="T376" s="44" t="n">
        <v>0</v>
      </c>
      <c r="U376" s="44"/>
      <c r="V376" s="44" t="n">
        <v>0</v>
      </c>
      <c r="W376" s="44" t="n">
        <v>0</v>
      </c>
      <c r="X376" s="44" t="n">
        <v>0</v>
      </c>
    </row>
    <row r="377" ht="36" customHeight="1">
      <c r="A377" s="4" t="str">
        <v>Net other comprehensive (loss)/income：Available-for-sale debt securities and other</v>
      </c>
      <c r="B377" s="2"/>
      <c r="C377" s="44"/>
      <c r="D377" s="44"/>
      <c r="E377" s="44"/>
      <c r="F377" s="44"/>
      <c r="G377" s="44"/>
      <c r="H377" s="44" t="n">
        <v>22</v>
      </c>
      <c r="I377" s="44" t="n">
        <v>8</v>
      </c>
      <c r="J377" s="44" t="n">
        <v>608</v>
      </c>
      <c r="K377" s="44" t="n">
        <v>-306</v>
      </c>
      <c r="L377" s="44"/>
      <c r="M377" s="45"/>
      <c r="N377" s="44" t="n">
        <v>685</v>
      </c>
      <c r="O377" s="44" t="n">
        <v>-511</v>
      </c>
      <c r="P377" s="44" t="n">
        <v>-460</v>
      </c>
      <c r="Q377" s="44"/>
      <c r="R377" s="44"/>
      <c r="S377" s="44"/>
      <c r="T377" s="44"/>
      <c r="U377" s="44"/>
      <c r="V377" s="44"/>
      <c r="W377" s="44"/>
      <c r="X377" s="44" t="n">
        <v>69</v>
      </c>
    </row>
    <row r="378" ht="22" customHeight="1">
      <c r="A378" s="4" t="str">
        <v>Tax amounts：Available-for-sale debt securities and other</v>
      </c>
      <c r="B378" s="2"/>
      <c r="C378" s="44"/>
      <c r="D378" s="44"/>
      <c r="E378" s="44"/>
      <c r="F378" s="44"/>
      <c r="G378" s="44"/>
      <c r="H378" s="44" t="n">
        <v>0</v>
      </c>
      <c r="I378" s="44" t="n">
        <v>-4</v>
      </c>
      <c r="J378" s="44" t="n">
        <v>-143</v>
      </c>
      <c r="K378" s="44" t="n">
        <v>72</v>
      </c>
      <c r="L378" s="44" t="n">
        <v>-113</v>
      </c>
      <c r="M378" s="45"/>
      <c r="N378" s="44" t="n">
        <v>-162</v>
      </c>
      <c r="O378" s="44" t="n">
        <v>120</v>
      </c>
      <c r="P378" s="44" t="n">
        <v>109</v>
      </c>
      <c r="Q378" s="44"/>
      <c r="R378" s="44" t="n">
        <v>-21</v>
      </c>
      <c r="S378" s="44" t="n">
        <v>-20</v>
      </c>
      <c r="T378" s="44" t="n">
        <v>-126</v>
      </c>
      <c r="U378" s="44"/>
      <c r="V378" s="44" t="n">
        <v>31</v>
      </c>
      <c r="W378" s="44" t="n">
        <v>68</v>
      </c>
      <c r="X378" s="44" t="n">
        <v>-17</v>
      </c>
    </row>
    <row r="379" ht="36" customHeight="1">
      <c r="A379" s="4" t="str">
        <v>Ending balance: Available-for-Sale Debt Securities and Other</v>
      </c>
      <c r="B379" s="2"/>
      <c r="C379" s="44"/>
      <c r="D379" s="44"/>
      <c r="E379" s="44"/>
      <c r="F379" s="44"/>
      <c r="G379" s="44"/>
      <c r="H379" s="44"/>
      <c r="I379" s="44"/>
      <c r="J379" s="44"/>
      <c r="K379" s="44" t="n">
        <v>237</v>
      </c>
      <c r="L379" s="44" t="n">
        <v>606</v>
      </c>
      <c r="M379" s="45"/>
      <c r="N379" s="44"/>
      <c r="O379" s="44" t="n">
        <v>603</v>
      </c>
      <c r="P379" s="44" t="n">
        <v>252</v>
      </c>
      <c r="Q379" s="44"/>
      <c r="R379" s="44" t="n">
        <v>303</v>
      </c>
      <c r="S379" s="44" t="n">
        <v>367</v>
      </c>
      <c r="T379" s="44" t="n">
        <v>777</v>
      </c>
      <c r="U379" s="44"/>
      <c r="V379" s="44" t="n">
        <v>508</v>
      </c>
      <c r="W379" s="44" t="n">
        <v>291</v>
      </c>
      <c r="X379" s="44" t="n">
        <v>343</v>
      </c>
    </row>
    <row r="380" ht="36" customHeight="1">
      <c r="A380" s="4" t="str">
        <v>Other comprehensive loss before reclassifications：Currency Translation Adjustment</v>
      </c>
      <c r="B380" s="2"/>
      <c r="C380" s="44"/>
      <c r="D380" s="44"/>
      <c r="E380" s="44"/>
      <c r="F380" s="44"/>
      <c r="G380" s="44"/>
      <c r="H380" s="44"/>
      <c r="I380" s="44"/>
      <c r="J380" s="44"/>
      <c r="K380" s="44" t="n">
        <v>-1965</v>
      </c>
      <c r="L380" s="44"/>
      <c r="M380" s="45"/>
      <c r="N380" s="44"/>
      <c r="O380" s="44"/>
      <c r="P380" s="44"/>
      <c r="Q380" s="44"/>
      <c r="R380" s="44"/>
      <c r="S380" s="44"/>
      <c r="T380" s="44"/>
      <c r="U380" s="44"/>
      <c r="V380" s="44"/>
      <c r="W380" s="44"/>
      <c r="X380" s="44"/>
    </row>
    <row r="381" ht="36" customHeight="1">
      <c r="A381" s="4" t="str">
        <v>Other comprehensive loss before reclassifications：Cash Flow Hedges</v>
      </c>
      <c r="B381" s="2"/>
      <c r="C381" s="44"/>
      <c r="D381" s="44"/>
      <c r="E381" s="44"/>
      <c r="F381" s="44"/>
      <c r="G381" s="44"/>
      <c r="H381" s="44"/>
      <c r="I381" s="44"/>
      <c r="J381" s="44"/>
      <c r="K381" s="44" t="n">
        <v>-6</v>
      </c>
      <c r="L381" s="44"/>
      <c r="M381" s="45"/>
      <c r="N381" s="44"/>
      <c r="O381" s="44"/>
      <c r="P381" s="44"/>
      <c r="Q381" s="44"/>
      <c r="R381" s="44"/>
      <c r="S381" s="44"/>
      <c r="T381" s="44"/>
      <c r="U381" s="44"/>
      <c r="V381" s="44"/>
      <c r="W381" s="44"/>
      <c r="X381" s="44"/>
    </row>
    <row r="382" ht="36" customHeight="1">
      <c r="A382" s="4" t="str">
        <v>Other comprehensive loss before reclassifications：Pension and Retiree Medical</v>
      </c>
      <c r="B382" s="2"/>
      <c r="C382" s="44"/>
      <c r="D382" s="44"/>
      <c r="E382" s="44"/>
      <c r="F382" s="44"/>
      <c r="G382" s="44"/>
      <c r="H382" s="44"/>
      <c r="I382" s="44"/>
      <c r="J382" s="44"/>
      <c r="K382" s="44" t="n">
        <v>-280</v>
      </c>
      <c r="L382" s="44"/>
      <c r="M382" s="45"/>
      <c r="N382" s="44"/>
      <c r="O382" s="44"/>
      <c r="P382" s="44"/>
      <c r="Q382" s="44"/>
      <c r="R382" s="44"/>
      <c r="S382" s="44"/>
      <c r="T382" s="44"/>
      <c r="U382" s="44"/>
      <c r="V382" s="44"/>
      <c r="W382" s="44"/>
      <c r="X382" s="44"/>
    </row>
    <row r="383" ht="36" customHeight="1">
      <c r="A383" s="4" t="str">
        <v>Other comprehensive loss before reclassifications：Available-for-Sale Debt Securities and Other</v>
      </c>
      <c r="B383" s="2"/>
      <c r="C383" s="44"/>
      <c r="D383" s="44"/>
      <c r="E383" s="44"/>
      <c r="F383" s="44"/>
      <c r="G383" s="44"/>
      <c r="H383" s="44"/>
      <c r="I383" s="44"/>
      <c r="J383" s="44"/>
      <c r="K383" s="44" t="n">
        <v>-306</v>
      </c>
      <c r="L383" s="44"/>
      <c r="M383" s="45"/>
      <c r="N383" s="44"/>
      <c r="O383" s="44"/>
      <c r="P383" s="44"/>
      <c r="Q383" s="44"/>
      <c r="R383" s="44"/>
      <c r="S383" s="44"/>
      <c r="T383" s="44"/>
      <c r="U383" s="44"/>
      <c r="V383" s="44"/>
      <c r="W383" s="44"/>
      <c r="X383" s="44"/>
    </row>
    <row r="384" ht="36" customHeight="1">
      <c r="A384" s="4" t="str">
        <v>Other comprehensive loss before reclassifications：Accumulated Other Comprehensive Loss Attributable to PepsiCo</v>
      </c>
      <c r="B384" s="2"/>
      <c r="C384" s="44"/>
      <c r="D384" s="44"/>
      <c r="E384" s="44"/>
      <c r="F384" s="44"/>
      <c r="G384" s="44"/>
      <c r="H384" s="44"/>
      <c r="I384" s="44"/>
      <c r="J384" s="44"/>
      <c r="K384" s="44" t="n">
        <v>-2557</v>
      </c>
      <c r="L384" s="44"/>
      <c r="M384" s="45"/>
      <c r="N384" s="44"/>
      <c r="O384" s="44"/>
      <c r="P384" s="44"/>
      <c r="Q384" s="44"/>
      <c r="R384" s="44"/>
      <c r="S384" s="44"/>
      <c r="T384" s="44"/>
      <c r="U384" s="44"/>
      <c r="V384" s="44"/>
      <c r="W384" s="44"/>
      <c r="X384" s="44"/>
    </row>
    <row r="385" ht="36" customHeight="1">
      <c r="A385" s="4" t="str">
        <v>Other comprehensive income/(loss) before reclassifications：Currency Translation Adjustment</v>
      </c>
      <c r="B385" s="2"/>
      <c r="C385" s="44"/>
      <c r="D385" s="44"/>
      <c r="E385" s="44"/>
      <c r="F385" s="44"/>
      <c r="G385" s="44"/>
      <c r="H385" s="44"/>
      <c r="I385" s="44"/>
      <c r="J385" s="44"/>
      <c r="K385" s="44"/>
      <c r="L385" s="44"/>
      <c r="M385" s="45"/>
      <c r="N385" s="44"/>
      <c r="O385" s="44"/>
      <c r="P385" s="44"/>
      <c r="Q385" s="44"/>
      <c r="R385" s="44" t="n">
        <v>410</v>
      </c>
      <c r="S385" s="44" t="n">
        <v>915</v>
      </c>
      <c r="T385" s="44" t="n">
        <v>33</v>
      </c>
      <c r="U385" s="44"/>
      <c r="V385" s="44" t="n">
        <v>757</v>
      </c>
      <c r="W385" s="44" t="n">
        <v>145</v>
      </c>
      <c r="X385" s="44"/>
    </row>
    <row r="386" ht="36" customHeight="1">
      <c r="A386" s="4" t="str">
        <v>Other comprehensive income/(loss) before reclassifications：Cash Flow Hedges</v>
      </c>
      <c r="B386" s="2"/>
      <c r="C386" s="44"/>
      <c r="D386" s="44"/>
      <c r="E386" s="44"/>
      <c r="F386" s="44"/>
      <c r="G386" s="44"/>
      <c r="H386" s="44"/>
      <c r="I386" s="44"/>
      <c r="J386" s="44"/>
      <c r="K386" s="44"/>
      <c r="L386" s="44"/>
      <c r="M386" s="45"/>
      <c r="N386" s="44"/>
      <c r="O386" s="44"/>
      <c r="P386" s="44"/>
      <c r="Q386" s="44"/>
      <c r="R386" s="44" t="n">
        <v>58</v>
      </c>
      <c r="S386" s="44" t="n">
        <v>27</v>
      </c>
      <c r="T386" s="44" t="n">
        <v>35</v>
      </c>
      <c r="U386" s="44"/>
      <c r="V386" s="44" t="n">
        <v>108</v>
      </c>
      <c r="W386" s="44" t="n">
        <v>93</v>
      </c>
      <c r="X386" s="44"/>
    </row>
    <row r="387" ht="36" customHeight="1">
      <c r="A387" s="4" t="str">
        <v>Other comprehensive income/(loss) before reclassifications：Pension and Retiree Medical</v>
      </c>
      <c r="B387" s="2"/>
      <c r="C387" s="44"/>
      <c r="D387" s="44"/>
      <c r="E387" s="44"/>
      <c r="F387" s="44"/>
      <c r="G387" s="44"/>
      <c r="H387" s="44"/>
      <c r="I387" s="44"/>
      <c r="J387" s="44"/>
      <c r="K387" s="44"/>
      <c r="L387" s="44"/>
      <c r="M387" s="45"/>
      <c r="N387" s="44"/>
      <c r="O387" s="44"/>
      <c r="P387" s="44"/>
      <c r="Q387" s="44"/>
      <c r="R387" s="44" t="n">
        <v>-4</v>
      </c>
      <c r="S387" s="44" t="n">
        <v>-42</v>
      </c>
      <c r="T387" s="44" t="n">
        <v>-6</v>
      </c>
      <c r="U387" s="44"/>
      <c r="V387" s="44" t="n">
        <v>-10</v>
      </c>
      <c r="W387" s="44" t="n">
        <v>4</v>
      </c>
      <c r="X387" s="44"/>
    </row>
    <row r="388" ht="36" customHeight="1">
      <c r="A388" s="4" t="str">
        <v>Other comprehensive income/(loss) before reclassifications：Available-for-Sale Debt Securities and Other</v>
      </c>
      <c r="B388" s="2"/>
      <c r="C388" s="44"/>
      <c r="D388" s="44"/>
      <c r="E388" s="44"/>
      <c r="F388" s="44"/>
      <c r="G388" s="44"/>
      <c r="H388" s="44"/>
      <c r="I388" s="44"/>
      <c r="J388" s="44"/>
      <c r="K388" s="44"/>
      <c r="L388" s="44"/>
      <c r="M388" s="45"/>
      <c r="N388" s="44"/>
      <c r="O388" s="44"/>
      <c r="P388" s="44"/>
      <c r="Q388" s="44"/>
      <c r="R388" s="44" t="n">
        <v>87</v>
      </c>
      <c r="S388" s="44" t="n">
        <v>84</v>
      </c>
      <c r="T388" s="44" t="n">
        <v>536</v>
      </c>
      <c r="U388" s="44"/>
      <c r="V388" s="44" t="n">
        <v>-129</v>
      </c>
      <c r="W388" s="44" t="n">
        <v>-285</v>
      </c>
      <c r="X388" s="44"/>
    </row>
    <row r="389" ht="50" customHeight="1">
      <c r="A389" s="4" t="str">
        <v>Other comprehensive income/(loss) before reclassifications：Accumulated Other Comprehensive Loss Attributable to PepsiCo</v>
      </c>
      <c r="B389" s="2"/>
      <c r="C389" s="44"/>
      <c r="D389" s="44"/>
      <c r="E389" s="44"/>
      <c r="F389" s="44"/>
      <c r="G389" s="44"/>
      <c r="H389" s="44"/>
      <c r="I389" s="44"/>
      <c r="J389" s="44"/>
      <c r="K389" s="44"/>
      <c r="L389" s="44"/>
      <c r="M389" s="45"/>
      <c r="N389" s="44"/>
      <c r="O389" s="44"/>
      <c r="P389" s="44"/>
      <c r="Q389" s="44"/>
      <c r="R389" s="44" t="n">
        <v>551</v>
      </c>
      <c r="S389" s="44" t="n">
        <v>984</v>
      </c>
      <c r="T389" s="44" t="n">
        <v>598</v>
      </c>
      <c r="U389" s="44"/>
      <c r="V389" s="44" t="n">
        <v>726</v>
      </c>
      <c r="W389" s="44" t="n">
        <v>-43</v>
      </c>
      <c r="X389" s="44"/>
    </row>
    <row r="390" ht="36" customHeight="1">
      <c r="A390" s="4" t="str">
        <v>Net other comprehensive income：Currency Translation Adjustment</v>
      </c>
      <c r="B390" s="2"/>
      <c r="C390" s="44"/>
      <c r="D390" s="44"/>
      <c r="E390" s="44"/>
      <c r="F390" s="44"/>
      <c r="G390" s="44"/>
      <c r="H390" s="44"/>
      <c r="I390" s="44"/>
      <c r="J390" s="44"/>
      <c r="K390" s="44"/>
      <c r="L390" s="44" t="n">
        <v>1633</v>
      </c>
      <c r="M390" s="45"/>
      <c r="N390" s="44"/>
      <c r="O390" s="44"/>
      <c r="P390" s="44"/>
      <c r="Q390" s="44"/>
      <c r="R390" s="44" t="n">
        <v>410</v>
      </c>
      <c r="S390" s="44"/>
      <c r="T390" s="44" t="n">
        <v>33</v>
      </c>
      <c r="U390" s="44"/>
      <c r="V390" s="44"/>
      <c r="W390" s="44"/>
      <c r="X390" s="44"/>
    </row>
    <row r="391" ht="22" customHeight="1">
      <c r="A391" s="4" t="str">
        <v>Net other comprehensive income：Cash Flow Hedges</v>
      </c>
      <c r="B391" s="2"/>
      <c r="C391" s="44"/>
      <c r="D391" s="44"/>
      <c r="E391" s="44"/>
      <c r="F391" s="44"/>
      <c r="G391" s="44"/>
      <c r="H391" s="44"/>
      <c r="I391" s="44"/>
      <c r="J391" s="44"/>
      <c r="K391" s="44"/>
      <c r="L391" s="44" t="n">
        <v>54</v>
      </c>
      <c r="M391" s="45"/>
      <c r="N391" s="44"/>
      <c r="O391" s="44"/>
      <c r="P391" s="44"/>
      <c r="Q391" s="44"/>
      <c r="R391" s="44" t="n">
        <v>27</v>
      </c>
      <c r="S391" s="44"/>
      <c r="T391" s="44" t="n">
        <v>30</v>
      </c>
      <c r="U391" s="44"/>
      <c r="V391" s="44"/>
      <c r="W391" s="44"/>
      <c r="X391" s="44"/>
    </row>
    <row r="392" ht="36" customHeight="1">
      <c r="A392" s="4" t="str">
        <v>Net other comprehensive income：Pension and Retiree Medical</v>
      </c>
      <c r="B392" s="2"/>
      <c r="C392" s="44"/>
      <c r="D392" s="44"/>
      <c r="E392" s="44"/>
      <c r="F392" s="44"/>
      <c r="G392" s="44"/>
      <c r="H392" s="44"/>
      <c r="I392" s="44"/>
      <c r="J392" s="44"/>
      <c r="K392" s="44"/>
      <c r="L392" s="44" t="n">
        <v>596</v>
      </c>
      <c r="M392" s="45"/>
      <c r="N392" s="44"/>
      <c r="O392" s="44"/>
      <c r="P392" s="44"/>
      <c r="Q392" s="44"/>
      <c r="R392" s="44" t="n">
        <v>13</v>
      </c>
      <c r="S392" s="44"/>
      <c r="T392" s="44" t="n">
        <v>27</v>
      </c>
      <c r="U392" s="44"/>
      <c r="V392" s="44"/>
      <c r="W392" s="44"/>
      <c r="X392" s="44"/>
    </row>
    <row r="393" ht="36" customHeight="1">
      <c r="A393" s="4" t="str">
        <v>Net other comprehensive income：Available-for-Sale Debt Securities and Other</v>
      </c>
      <c r="B393" s="2"/>
      <c r="C393" s="44"/>
      <c r="D393" s="44"/>
      <c r="E393" s="44"/>
      <c r="F393" s="44"/>
      <c r="G393" s="44"/>
      <c r="H393" s="44"/>
      <c r="I393" s="44"/>
      <c r="J393" s="44"/>
      <c r="K393" s="44"/>
      <c r="L393" s="44" t="n">
        <v>482</v>
      </c>
      <c r="M393" s="45"/>
      <c r="N393" s="44"/>
      <c r="O393" s="44"/>
      <c r="P393" s="44"/>
      <c r="Q393" s="44"/>
      <c r="R393" s="44" t="n">
        <v>87</v>
      </c>
      <c r="S393" s="44"/>
      <c r="T393" s="44" t="n">
        <v>536</v>
      </c>
      <c r="U393" s="44"/>
      <c r="V393" s="44"/>
      <c r="W393" s="44"/>
      <c r="X393" s="44"/>
    </row>
    <row r="394" ht="36" customHeight="1">
      <c r="A394" s="4" t="str">
        <v>Net other comprehensive income：Accumulated Other Comprehensive Loss Attributable to PepsiCo</v>
      </c>
      <c r="B394" s="2"/>
      <c r="C394" s="44"/>
      <c r="D394" s="44"/>
      <c r="E394" s="44"/>
      <c r="F394" s="44"/>
      <c r="G394" s="44"/>
      <c r="H394" s="44"/>
      <c r="I394" s="44"/>
      <c r="J394" s="44"/>
      <c r="K394" s="44"/>
      <c r="L394" s="44" t="n">
        <v>2765</v>
      </c>
      <c r="M394" s="45"/>
      <c r="N394" s="44"/>
      <c r="O394" s="44"/>
      <c r="P394" s="44"/>
      <c r="Q394" s="44"/>
      <c r="R394" s="44" t="n">
        <v>537</v>
      </c>
      <c r="S394" s="44"/>
      <c r="T394" s="44" t="n">
        <v>626</v>
      </c>
      <c r="U394" s="44"/>
      <c r="V394" s="44"/>
      <c r="W394" s="44"/>
      <c r="X394" s="44"/>
    </row>
    <row r="395" ht="36" customHeight="1">
      <c r="A395" s="4" t="str">
        <v>Net other comprehensive income/(loss)：Currency Translation Adjustment</v>
      </c>
      <c r="B395" s="2"/>
      <c r="C395" s="44"/>
      <c r="D395" s="44"/>
      <c r="E395" s="44"/>
      <c r="F395" s="44"/>
      <c r="G395" s="44"/>
      <c r="H395" s="44"/>
      <c r="I395" s="44"/>
      <c r="J395" s="44"/>
      <c r="K395" s="44"/>
      <c r="L395" s="44"/>
      <c r="M395" s="45"/>
      <c r="N395" s="44"/>
      <c r="O395" s="44"/>
      <c r="P395" s="44"/>
      <c r="Q395" s="44"/>
      <c r="R395" s="44"/>
      <c r="S395" s="44" t="n">
        <v>915</v>
      </c>
      <c r="T395" s="44"/>
      <c r="U395" s="44"/>
      <c r="V395" s="44" t="n">
        <v>757</v>
      </c>
      <c r="W395" s="44" t="n">
        <v>145</v>
      </c>
      <c r="X395" s="44"/>
    </row>
    <row r="396" ht="22" customHeight="1">
      <c r="A396" s="4" t="str">
        <v>Net other comprehensive income/(loss)：Cash Flow Hedges</v>
      </c>
      <c r="B396" s="2"/>
      <c r="C396" s="44"/>
      <c r="D396" s="44"/>
      <c r="E396" s="44"/>
      <c r="F396" s="44"/>
      <c r="G396" s="44"/>
      <c r="H396" s="44"/>
      <c r="I396" s="44"/>
      <c r="J396" s="44"/>
      <c r="K396" s="44"/>
      <c r="L396" s="44"/>
      <c r="M396" s="45"/>
      <c r="N396" s="44"/>
      <c r="O396" s="44"/>
      <c r="P396" s="44"/>
      <c r="Q396" s="44"/>
      <c r="R396" s="44"/>
      <c r="S396" s="44" t="n">
        <v>-26</v>
      </c>
      <c r="T396" s="44"/>
      <c r="U396" s="44"/>
      <c r="V396" s="44" t="n">
        <v>71</v>
      </c>
      <c r="W396" s="44" t="n">
        <v>41</v>
      </c>
      <c r="X396" s="44"/>
    </row>
    <row r="397" ht="36" customHeight="1">
      <c r="A397" s="4" t="str">
        <v>Net other comprehensive income/(loss)：Pension and Retiree Medical</v>
      </c>
      <c r="B397" s="2"/>
      <c r="C397" s="44"/>
      <c r="D397" s="44"/>
      <c r="E397" s="44"/>
      <c r="F397" s="44"/>
      <c r="G397" s="44"/>
      <c r="H397" s="44"/>
      <c r="I397" s="44"/>
      <c r="J397" s="44"/>
      <c r="K397" s="44"/>
      <c r="L397" s="44"/>
      <c r="M397" s="45"/>
      <c r="N397" s="44"/>
      <c r="O397" s="44"/>
      <c r="P397" s="44"/>
      <c r="Q397" s="44"/>
      <c r="R397" s="44"/>
      <c r="S397" s="44" t="n">
        <v>-24</v>
      </c>
      <c r="T397" s="44"/>
      <c r="U397" s="44"/>
      <c r="V397" s="44" t="n">
        <v>9</v>
      </c>
      <c r="W397" s="44" t="n">
        <v>26</v>
      </c>
      <c r="X397" s="44"/>
    </row>
    <row r="398" ht="36" customHeight="1">
      <c r="A398" s="4" t="str">
        <v>Net other comprehensive income/(loss)：Available-for-Sale Debt Securities and Other</v>
      </c>
      <c r="B398" s="2"/>
      <c r="C398" s="44"/>
      <c r="D398" s="44"/>
      <c r="E398" s="44"/>
      <c r="F398" s="44"/>
      <c r="G398" s="44"/>
      <c r="H398" s="44"/>
      <c r="I398" s="44"/>
      <c r="J398" s="44"/>
      <c r="K398" s="44"/>
      <c r="L398" s="44"/>
      <c r="M398" s="45"/>
      <c r="N398" s="44"/>
      <c r="O398" s="44"/>
      <c r="P398" s="44"/>
      <c r="Q398" s="44"/>
      <c r="R398" s="44"/>
      <c r="S398" s="44" t="n">
        <v>84</v>
      </c>
      <c r="T398" s="44"/>
      <c r="U398" s="44"/>
      <c r="V398" s="44" t="n">
        <v>-129</v>
      </c>
      <c r="W398" s="44" t="n">
        <v>-285</v>
      </c>
      <c r="X398" s="44"/>
    </row>
    <row r="399" ht="36" customHeight="1">
      <c r="A399" s="4" t="str">
        <v>Net other comprehensive income/(loss)：Accumulated Other Comprehensive Loss Attributable to PepsiCo</v>
      </c>
      <c r="B399" s="2"/>
      <c r="C399" s="44"/>
      <c r="D399" s="44"/>
      <c r="E399" s="44"/>
      <c r="F399" s="44"/>
      <c r="G399" s="44"/>
      <c r="H399" s="44"/>
      <c r="I399" s="44"/>
      <c r="J399" s="44"/>
      <c r="K399" s="44"/>
      <c r="L399" s="44"/>
      <c r="M399" s="45"/>
      <c r="N399" s="44"/>
      <c r="O399" s="44"/>
      <c r="P399" s="44"/>
      <c r="Q399" s="44"/>
      <c r="R399" s="44"/>
      <c r="S399" s="44" t="n">
        <v>949</v>
      </c>
      <c r="T399" s="44"/>
      <c r="U399" s="44"/>
      <c r="V399" s="44" t="n">
        <v>708</v>
      </c>
      <c r="W399" s="44" t="n">
        <v>-73</v>
      </c>
      <c r="X399" s="44"/>
    </row>
    <row r="400" ht="36" customHeight="1">
      <c r="A400" s="4" t="str">
        <v>Other comprehensive income before reclassifications：Currency Translation Adjustment</v>
      </c>
      <c r="B400" s="2"/>
      <c r="C400" s="44"/>
      <c r="D400" s="44"/>
      <c r="E400" s="44"/>
      <c r="F400" s="44"/>
      <c r="G400" s="44"/>
      <c r="H400" s="44"/>
      <c r="I400" s="44"/>
      <c r="J400" s="44"/>
      <c r="K400" s="44"/>
      <c r="L400" s="44" t="n">
        <v>1633</v>
      </c>
      <c r="M400" s="45"/>
      <c r="N400" s="44"/>
      <c r="O400" s="44"/>
      <c r="P400" s="44"/>
      <c r="Q400" s="44"/>
      <c r="R400" s="44"/>
      <c r="S400" s="44"/>
      <c r="T400" s="44"/>
      <c r="U400" s="44"/>
      <c r="V400" s="44"/>
      <c r="W400" s="44"/>
      <c r="X400" s="44"/>
    </row>
    <row r="401" ht="36" customHeight="1">
      <c r="A401" s="4" t="str">
        <v>Other comprehensive income before reclassifications：Cash Flow Hedges</v>
      </c>
      <c r="B401" s="2"/>
      <c r="C401" s="44"/>
      <c r="D401" s="44"/>
      <c r="E401" s="44"/>
      <c r="F401" s="44"/>
      <c r="G401" s="44"/>
      <c r="H401" s="44"/>
      <c r="I401" s="44"/>
      <c r="J401" s="44"/>
      <c r="K401" s="44"/>
      <c r="L401" s="44" t="n">
        <v>186</v>
      </c>
      <c r="M401" s="45"/>
      <c r="N401" s="44"/>
      <c r="O401" s="44"/>
      <c r="P401" s="44"/>
      <c r="Q401" s="44"/>
      <c r="R401" s="44"/>
      <c r="S401" s="44"/>
      <c r="T401" s="44"/>
      <c r="U401" s="44"/>
      <c r="V401" s="44"/>
      <c r="W401" s="44"/>
      <c r="X401" s="44"/>
    </row>
    <row r="402" ht="36" customHeight="1">
      <c r="A402" s="4" t="str">
        <v>Other comprehensive income before reclassifications：Pension and Retiree Medical</v>
      </c>
      <c r="B402" s="2"/>
      <c r="C402" s="44"/>
      <c r="D402" s="44"/>
      <c r="E402" s="44"/>
      <c r="F402" s="44"/>
      <c r="G402" s="44"/>
      <c r="H402" s="44"/>
      <c r="I402" s="44"/>
      <c r="J402" s="44"/>
      <c r="K402" s="44"/>
      <c r="L402" s="44" t="n">
        <v>234</v>
      </c>
      <c r="M402" s="45"/>
      <c r="N402" s="44"/>
      <c r="O402" s="44"/>
      <c r="P402" s="44"/>
      <c r="Q402" s="44"/>
      <c r="R402" s="44"/>
      <c r="S402" s="44"/>
      <c r="T402" s="44"/>
      <c r="U402" s="44"/>
      <c r="V402" s="44"/>
      <c r="W402" s="44"/>
      <c r="X402" s="44"/>
    </row>
    <row r="403" ht="36" customHeight="1">
      <c r="A403" s="4" t="str">
        <v>Other comprehensive income before reclassifications：Available-for-Sale Debt Securities and Other</v>
      </c>
      <c r="B403" s="2"/>
      <c r="C403" s="44"/>
      <c r="D403" s="44"/>
      <c r="E403" s="44"/>
      <c r="F403" s="44"/>
      <c r="G403" s="44"/>
      <c r="H403" s="44"/>
      <c r="I403" s="44"/>
      <c r="J403" s="44"/>
      <c r="K403" s="44"/>
      <c r="L403" s="44" t="n">
        <v>482</v>
      </c>
      <c r="M403" s="45"/>
      <c r="N403" s="44"/>
      <c r="O403" s="44"/>
      <c r="P403" s="44"/>
      <c r="Q403" s="44"/>
      <c r="R403" s="44"/>
      <c r="S403" s="44"/>
      <c r="T403" s="44"/>
      <c r="U403" s="44"/>
      <c r="V403" s="44"/>
      <c r="W403" s="44"/>
      <c r="X403" s="44"/>
    </row>
    <row r="404" ht="36" customHeight="1">
      <c r="A404" s="4" t="str">
        <v>Other comprehensive income before reclassifications：Accumulated Other Comprehensive Loss Attributable to PepsiCo</v>
      </c>
      <c r="B404" s="2"/>
      <c r="C404" s="44"/>
      <c r="D404" s="44"/>
      <c r="E404" s="44"/>
      <c r="F404" s="44"/>
      <c r="G404" s="44"/>
      <c r="H404" s="44"/>
      <c r="I404" s="44"/>
      <c r="J404" s="44"/>
      <c r="K404" s="44"/>
      <c r="L404" s="44" t="n">
        <v>2535</v>
      </c>
      <c r="M404" s="45"/>
      <c r="N404" s="44"/>
      <c r="O404" s="44"/>
      <c r="P404" s="44"/>
      <c r="Q404" s="44"/>
      <c r="R404" s="44"/>
      <c r="S404" s="44"/>
      <c r="T404" s="44"/>
      <c r="U404" s="44"/>
      <c r="V404" s="44"/>
      <c r="W404" s="44"/>
      <c r="X404" s="44"/>
    </row>
    <row r="405" ht="36" customHeight="1">
      <c r="A405" s="4" t="str">
        <v>Other comprehensive income/(loss) beforereclassifications：Currency Translation Adjustment</v>
      </c>
      <c r="B405" s="2"/>
      <c r="C405" s="44"/>
      <c r="D405" s="44"/>
      <c r="E405" s="44"/>
      <c r="F405" s="44"/>
      <c r="G405" s="44"/>
      <c r="H405" s="44"/>
      <c r="I405" s="44"/>
      <c r="J405" s="44"/>
      <c r="K405" s="44"/>
      <c r="L405" s="44"/>
      <c r="M405" s="45"/>
      <c r="N405" s="44"/>
      <c r="O405" s="44"/>
      <c r="P405" s="44"/>
      <c r="Q405" s="44"/>
      <c r="R405" s="44"/>
      <c r="S405" s="44"/>
      <c r="T405" s="44"/>
      <c r="U405" s="44"/>
      <c r="V405" s="44" t="n">
        <v>757</v>
      </c>
      <c r="W405" s="44"/>
      <c r="X405" s="44"/>
    </row>
    <row r="406" ht="36" customHeight="1">
      <c r="A406" s="4" t="str">
        <v>Other comprehensive income/(loss) beforereclassifications：Cash Flow Hedges</v>
      </c>
      <c r="B406" s="2"/>
      <c r="C406" s="44"/>
      <c r="D406" s="44"/>
      <c r="E406" s="44"/>
      <c r="F406" s="44"/>
      <c r="G406" s="44"/>
      <c r="H406" s="44"/>
      <c r="I406" s="44"/>
      <c r="J406" s="44"/>
      <c r="K406" s="44"/>
      <c r="L406" s="44"/>
      <c r="M406" s="45"/>
      <c r="N406" s="44"/>
      <c r="O406" s="44"/>
      <c r="P406" s="44"/>
      <c r="Q406" s="44"/>
      <c r="R406" s="44"/>
      <c r="S406" s="44"/>
      <c r="T406" s="44"/>
      <c r="U406" s="44"/>
      <c r="V406" s="44" t="n">
        <v>108</v>
      </c>
      <c r="W406" s="44"/>
      <c r="X406" s="44"/>
    </row>
    <row r="407" ht="36" customHeight="1">
      <c r="A407" s="4" t="str">
        <v>Other comprehensive income/(loss) beforereclassifications：Pension and Retiree Medical</v>
      </c>
      <c r="B407" s="2"/>
      <c r="C407" s="44"/>
      <c r="D407" s="44"/>
      <c r="E407" s="44"/>
      <c r="F407" s="44"/>
      <c r="G407" s="44"/>
      <c r="H407" s="44"/>
      <c r="I407" s="44"/>
      <c r="J407" s="44"/>
      <c r="K407" s="44"/>
      <c r="L407" s="44"/>
      <c r="M407" s="45"/>
      <c r="N407" s="44"/>
      <c r="O407" s="44"/>
      <c r="P407" s="44"/>
      <c r="Q407" s="44"/>
      <c r="R407" s="44"/>
      <c r="S407" s="44"/>
      <c r="T407" s="44"/>
      <c r="U407" s="44"/>
      <c r="V407" s="44" t="n">
        <v>-10</v>
      </c>
      <c r="W407" s="44"/>
      <c r="X407" s="44"/>
    </row>
    <row r="408" ht="36" customHeight="1">
      <c r="A408" s="4" t="str">
        <v>Other comprehensive income/(loss) beforereclassifications：Available-for-Sale Debt Securities and Other</v>
      </c>
      <c r="B408" s="2"/>
      <c r="C408" s="44"/>
      <c r="D408" s="44"/>
      <c r="E408" s="44"/>
      <c r="F408" s="44"/>
      <c r="G408" s="44"/>
      <c r="H408" s="44"/>
      <c r="I408" s="44"/>
      <c r="J408" s="44"/>
      <c r="K408" s="44"/>
      <c r="L408" s="44"/>
      <c r="M408" s="45"/>
      <c r="N408" s="44"/>
      <c r="O408" s="44"/>
      <c r="P408" s="44"/>
      <c r="Q408" s="44"/>
      <c r="R408" s="44"/>
      <c r="S408" s="44"/>
      <c r="T408" s="44"/>
      <c r="U408" s="44"/>
      <c r="V408" s="44" t="n">
        <v>-129</v>
      </c>
      <c r="W408" s="44"/>
      <c r="X408" s="44"/>
    </row>
    <row r="409" ht="50" customHeight="1">
      <c r="A409" s="4" t="str">
        <v>Other comprehensive income/(loss) beforereclassifications：Accumulated Other Comprehensive Loss Attributable to PepsiCo</v>
      </c>
      <c r="B409" s="2"/>
      <c r="C409" s="44"/>
      <c r="D409" s="44"/>
      <c r="E409" s="44"/>
      <c r="F409" s="44"/>
      <c r="G409" s="44"/>
      <c r="H409" s="44"/>
      <c r="I409" s="44"/>
      <c r="J409" s="44"/>
      <c r="K409" s="44"/>
      <c r="L409" s="44"/>
      <c r="M409" s="45"/>
      <c r="N409" s="44"/>
      <c r="O409" s="44"/>
      <c r="P409" s="44"/>
      <c r="Q409" s="44"/>
      <c r="R409" s="44"/>
      <c r="S409" s="44"/>
      <c r="T409" s="44"/>
      <c r="U409" s="44"/>
      <c r="V409" s="44" t="n">
        <v>726</v>
      </c>
      <c r="W409" s="44"/>
      <c r="X409" s="44"/>
    </row>
    <row r="410" ht="22" customHeight="1">
      <c r="A410" s="4"/>
      <c r="B410" s="2"/>
      <c r="C410" s="3"/>
      <c r="D410" s="3"/>
      <c r="E410" s="3"/>
      <c r="F410" s="3"/>
      <c r="G410" s="3"/>
      <c r="H410" s="3"/>
      <c r="I410" s="3"/>
      <c r="J410" s="3"/>
      <c r="K410" s="3"/>
      <c r="L410" s="3"/>
      <c r="M410" s="3"/>
      <c r="N410" s="3"/>
      <c r="O410" s="3"/>
      <c r="P410" s="3"/>
      <c r="Q410" s="3"/>
      <c r="R410" s="3"/>
      <c r="S410" s="3"/>
      <c r="T410" s="3"/>
      <c r="U410" s="3"/>
      <c r="V410" s="3"/>
      <c r="W410" s="3"/>
      <c r="X410" s="3"/>
    </row>
  </sheetData>
  <mergeCells>
    <mergeCell ref="A1:X1"/>
    <mergeCell ref="A2:X2"/>
    <mergeCell ref="C7:L7"/>
    <mergeCell ref="N7:X7"/>
    <mergeCell ref="C8:L8"/>
    <mergeCell ref="N8:X8"/>
    <mergeCell ref="C9:L9"/>
    <mergeCell ref="N9:X9"/>
    <mergeCell ref="C10:L10"/>
    <mergeCell ref="N10:X10"/>
    <mergeCell ref="C11:L11"/>
    <mergeCell ref="N11:X11"/>
    <mergeCell ref="C12:L12"/>
    <mergeCell ref="N12:X12"/>
    <mergeCell ref="C13:L13"/>
    <mergeCell ref="N13:X13"/>
    <mergeCell ref="C14:L14"/>
    <mergeCell ref="N14:X14"/>
    <mergeCell ref="A18:X18"/>
    <mergeCell ref="A30:X30"/>
    <mergeCell ref="A35:X35"/>
    <mergeCell ref="A44:X44"/>
    <mergeCell ref="A52:X52"/>
    <mergeCell ref="A60:X60"/>
    <mergeCell ref="A61:X61"/>
    <mergeCell ref="A83:X83"/>
    <mergeCell ref="A84:X84"/>
    <mergeCell ref="A139:X139"/>
    <mergeCell ref="A140:X140"/>
    <mergeCell ref="A169:X169"/>
    <mergeCell ref="A170:X170"/>
    <mergeCell ref="A174:X174"/>
    <mergeCell ref="A175:X175"/>
    <mergeCell ref="A179:X179"/>
    <mergeCell ref="A250:X250"/>
    <mergeCell ref="A251:X251"/>
    <mergeCell ref="A278:X278"/>
    <mergeCell ref="A285:X285"/>
    <mergeCell ref="A291:X291"/>
    <mergeCell ref="A292:X292"/>
    <mergeCell ref="A293:X293"/>
    <mergeCell ref="A294:X294"/>
    <mergeCell ref="A295:X295"/>
    <mergeCell ref="A296:X296"/>
    <mergeCell ref="A297:X297"/>
    <mergeCell ref="A298:X298"/>
    <mergeCell ref="A299:X299"/>
    <mergeCell ref="A300:X300"/>
    <mergeCell ref="A301:X301"/>
    <mergeCell ref="A302:X302"/>
    <mergeCell ref="A303:X303"/>
    <mergeCell ref="A304:X304"/>
    <mergeCell ref="A305:X305"/>
    <mergeCell ref="A306:X306"/>
    <mergeCell ref="A308:X308"/>
    <mergeCell ref="A309:X309"/>
    <mergeCell ref="A318:X318"/>
    <mergeCell ref="A319:X319"/>
    <mergeCell ref="A329:X329"/>
    <mergeCell ref="A330:X330"/>
    <mergeCell ref="A336:X336"/>
    <mergeCell ref="A337:X337"/>
  </mergeCells>
  <hyperlinks>
    <hyperlink ref="A3" location="'Contents'!A1" display="Metric (Return to Contents)"/>
    <hyperlink ref="C7" location="'Note Schedules'!A18" display="Accounts and notes receivable and credit losses"/>
    <hyperlink ref="N7" location="'Note Schedules'!A30" display="Inventories"/>
    <hyperlink ref="C8" location="'Note Schedules'!A35" display="Accounts payable and other current liabilities"/>
    <hyperlink ref="N8" location="'Note Schedules'!A44" display="Other assets and investments"/>
    <hyperlink ref="C9" location="'Note Schedules'!A52" display="Property, plant and equipment components"/>
    <hyperlink ref="N9" location="'Note Schedules'!A60" display="Pretax income and current / deferred income taxes"/>
    <hyperlink ref="C10" location="'Note Schedules'!A83" display="Income tax rate reconciliation and FY2025 tax disaggregation"/>
    <hyperlink ref="N10" location="'Note Schedules'!A139" display="Deferred income tax assets and liabilities"/>
    <hyperlink ref="C11" location="'Note Schedules'!A169" display="Share-based compensation expense"/>
    <hyperlink ref="N11" location="'Note Schedules'!A174" display="Share-based compensation expense: YTD"/>
    <hyperlink ref="C12" location="'Note Schedules'!A179" display="Comprehensive income"/>
    <hyperlink ref="N12" location="'Note Schedules'!A250" display="Comprehensive income: YTD"/>
    <hyperlink ref="C13" location="'Note Schedules'!A278" display="Supplemental cash flow information"/>
    <hyperlink ref="N13" location="'Note Schedules'!A285" display="Cash and restricted cash reconciliation"/>
    <hyperlink ref="C14" location="'Note Schedules'!A291" display="Accounting policies and comparability"/>
    <hyperlink ref="N14" location="'Note Schedules'!A336" display="Accumulated other comprehensive income components"/>
  </hyperlinks>
  <pageMargins left="0.7" right="0.7" top="0.75" bottom="0.75" header="0.3" footer="0.3"/>
</worksheet>
</file>

<file path=xl/worksheets/sheet10.xml><?xml version="1.0" encoding="utf-8"?>
<worksheet xmlns="http://schemas.openxmlformats.org/spreadsheetml/2006/main">
  <sheetPr>
    <tabColor rgb="FFB08958"/>
  </sheetPr>
  <sheetViews>
    <sheetView showGridLines="0" workbookViewId="0">
      <pane xSplit="2" ySplit="5" topLeftCell="C6" activePane="bottomRight" state="frozen"/>
    </sheetView>
  </sheetViews>
  <sheetFormatPr defaultRowHeight="15"/>
  <cols>
    <col min="1" max="1" width="60" hidden="0" customWidth="1"/>
    <col min="2" max="2" width="2.200000047683716" hidden="0" customWidth="1"/>
    <col min="3" max="3" width="12.199999809265137" hidden="0" customWidth="1"/>
    <col min="4" max="4" width="12.199999809265137" hidden="0" customWidth="1"/>
    <col min="5" max="5" width="12.199999809265137" hidden="0" customWidth="1"/>
    <col min="6" max="6" width="12.199999809265137" hidden="0" customWidth="1"/>
    <col min="7" max="7" width="12.199999809265137" hidden="0" customWidth="1"/>
    <col min="8" max="8" width="12.199999809265137" hidden="0" customWidth="1"/>
    <col min="9" max="9" width="12.199999809265137" hidden="0" customWidth="1"/>
    <col min="10" max="10" width="12.199999809265137" hidden="0" customWidth="1"/>
    <col min="11" max="11" width="12.199999809265137" hidden="0" customWidth="1"/>
    <col min="12" max="12" width="12.199999809265137" hidden="0" customWidth="1"/>
    <col min="13" max="13" width="3" hidden="0" customWidth="1"/>
    <col min="14" max="14" width="12.199999809265137" hidden="0" customWidth="1"/>
    <col min="15" max="15" width="12.199999809265137" hidden="0" customWidth="1"/>
    <col min="16" max="16" width="12.199999809265137" hidden="0" customWidth="1"/>
    <col min="17" max="17" width="12.199999809265137" hidden="0" customWidth="1"/>
    <col min="18" max="18" width="12.199999809265137" hidden="0" customWidth="1"/>
    <col min="19" max="19" width="12.199999809265137" hidden="0" customWidth="1"/>
    <col min="20" max="20" width="12.199999809265137" hidden="0" customWidth="1"/>
    <col min="21" max="21" width="12.199999809265137" hidden="0" customWidth="1"/>
    <col min="22" max="22" width="12.199999809265137" hidden="0" customWidth="1"/>
    <col min="23" max="23" width="12.199999809265137" hidden="0" customWidth="1"/>
    <col min="24" max="24" width="12.199999809265137" hidden="0" customWidth="1"/>
  </cols>
  <sheetData>
    <row r="1" ht="28" customHeight="1">
      <c r="A1" s="7" t="str">
        <v>PepsiCo PEP — Debt &amp; Leases</v>
      </c>
      <c r="B1" s="7"/>
      <c r="C1" s="7"/>
      <c r="D1" s="7"/>
      <c r="E1" s="7"/>
      <c r="F1" s="7"/>
      <c r="G1" s="7"/>
      <c r="H1" s="7"/>
      <c r="I1" s="7"/>
      <c r="J1" s="7"/>
      <c r="K1" s="7"/>
      <c r="L1" s="7"/>
      <c r="M1" s="7"/>
      <c r="N1" s="7"/>
      <c r="O1" s="7"/>
      <c r="P1" s="7"/>
      <c r="Q1" s="7"/>
      <c r="R1" s="7"/>
      <c r="S1" s="7"/>
      <c r="T1" s="7"/>
      <c r="U1" s="7"/>
      <c r="V1" s="7"/>
      <c r="W1" s="7"/>
      <c r="X1" s="7"/>
    </row>
    <row r="2" ht="18" customHeight="1">
      <c r="A2" s="8" t="str">
        <v>USD millions; per-share amounts, share counts and percentages as labeled. US GAAP. As of 2026-10-20.</v>
      </c>
      <c r="B2" s="8"/>
      <c r="C2" s="8"/>
      <c r="D2" s="8"/>
      <c r="E2" s="8"/>
      <c r="F2" s="8"/>
      <c r="G2" s="8"/>
      <c r="H2" s="8"/>
      <c r="I2" s="8"/>
      <c r="J2" s="8"/>
      <c r="K2" s="8"/>
      <c r="L2" s="8"/>
      <c r="M2" s="8"/>
      <c r="N2" s="8"/>
      <c r="O2" s="8"/>
      <c r="P2" s="8"/>
      <c r="Q2" s="8"/>
      <c r="R2" s="8"/>
      <c r="S2" s="8"/>
      <c r="T2" s="8"/>
      <c r="U2" s="8"/>
      <c r="V2" s="8"/>
      <c r="W2" s="8"/>
      <c r="X2" s="8"/>
    </row>
    <row r="3" ht="24" customHeight="1">
      <c r="A3" s="9" t="str">
        <v>Metric (Return to Contents)</v>
      </c>
      <c r="B3" s="2"/>
      <c r="C3" s="13" t="str">
        <v>FY2016</v>
      </c>
      <c r="D3" s="13" t="str">
        <v>FY2017</v>
      </c>
      <c r="E3" s="13" t="str">
        <v>FY2018</v>
      </c>
      <c r="F3" s="13" t="str">
        <v>FY2019</v>
      </c>
      <c r="G3" s="13" t="str">
        <v>FY2020</v>
      </c>
      <c r="H3" s="13" t="str">
        <v>FY2021</v>
      </c>
      <c r="I3" s="13" t="str">
        <v>FY2022</v>
      </c>
      <c r="J3" s="13" t="str">
        <v>FY2023</v>
      </c>
      <c r="K3" s="13" t="str">
        <v>FY2024</v>
      </c>
      <c r="L3" s="13" t="str">
        <v>FY2025</v>
      </c>
      <c r="M3" s="2"/>
      <c r="N3" s="22" t="str">
        <v>FY2024Q1</v>
      </c>
      <c r="O3" s="22" t="str">
        <v>FY2024Q2</v>
      </c>
      <c r="P3" s="22" t="str">
        <v>FY2024Q3</v>
      </c>
      <c r="Q3" s="22" t="str">
        <v>FY2024Q4</v>
      </c>
      <c r="R3" s="22" t="str">
        <v>FY2025Q1</v>
      </c>
      <c r="S3" s="22" t="str">
        <v>FY2025Q2</v>
      </c>
      <c r="T3" s="22" t="str">
        <v>FY2025Q3</v>
      </c>
      <c r="U3" s="22" t="str">
        <v>FY2025Q4</v>
      </c>
      <c r="V3" s="22" t="str">
        <v>FY2026Q1</v>
      </c>
      <c r="W3" s="22" t="str">
        <v>FY2026Q2</v>
      </c>
      <c r="X3" s="22" t="str">
        <v>FY2026Q3</v>
      </c>
    </row>
    <row r="4" ht="18" customHeight="1">
      <c r="A4" s="2"/>
      <c r="B4" s="2"/>
      <c r="C4" s="17" t="d">
        <v>2016-12-31T00:00:00.000Z</v>
      </c>
      <c r="D4" s="17" t="d">
        <v>2017-12-30T00:00:00.000Z</v>
      </c>
      <c r="E4" s="17" t="d">
        <v>2018-12-29T00:00:00.000Z</v>
      </c>
      <c r="F4" s="17" t="d">
        <v>2019-12-28T00:00:00.000Z</v>
      </c>
      <c r="G4" s="17" t="d">
        <v>2020-12-26T00:00:00.000Z</v>
      </c>
      <c r="H4" s="17" t="d">
        <v>2021-12-25T00:00:00.000Z</v>
      </c>
      <c r="I4" s="17" t="d">
        <v>2022-12-31T00:00:00.000Z</v>
      </c>
      <c r="J4" s="17" t="d">
        <v>2023-12-30T00:00:00.000Z</v>
      </c>
      <c r="K4" s="17" t="d">
        <v>2024-12-28T00:00:00.000Z</v>
      </c>
      <c r="L4" s="17" t="d">
        <v>2025-12-27T00:00:00.000Z</v>
      </c>
      <c r="M4" s="2"/>
      <c r="N4" s="17" t="d">
        <v>2024-03-23T00:00:00.000Z</v>
      </c>
      <c r="O4" s="17" t="d">
        <v>2024-06-15T00:00:00.000Z</v>
      </c>
      <c r="P4" s="17" t="d">
        <v>2024-09-07T00:00:00.000Z</v>
      </c>
      <c r="Q4" s="17" t="d">
        <v>2024-12-28T00:00:00.000Z</v>
      </c>
      <c r="R4" s="17" t="d">
        <v>2025-03-22T00:00:00.000Z</v>
      </c>
      <c r="S4" s="17" t="d">
        <v>2025-06-14T00:00:00.000Z</v>
      </c>
      <c r="T4" s="17" t="d">
        <v>2025-09-06T00:00:00.000Z</v>
      </c>
      <c r="U4" s="17" t="d">
        <v>2025-12-27T00:00:00.000Z</v>
      </c>
      <c r="V4" s="17" t="d">
        <v>2026-03-21T00:00:00.000Z</v>
      </c>
      <c r="W4" s="17" t="d">
        <v>2026-06-13T00:00:00.000Z</v>
      </c>
      <c r="X4" s="17" t="d">
        <v>2026-09-05T00:00:00.000Z</v>
      </c>
    </row>
    <row r="5" ht="18" customHeight="1">
      <c r="A5" s="8" t="str">
        <v>Annual at left; quarterly / period-end at right; YTD as labeled</v>
      </c>
      <c r="B5" s="2"/>
      <c r="C5" s="18" t="str">
        <v>Year / year-end</v>
      </c>
      <c r="D5" s="18" t="str">
        <v>Year / year-end</v>
      </c>
      <c r="E5" s="18" t="str">
        <v>Year / year-end</v>
      </c>
      <c r="F5" s="18" t="str">
        <v>Year / year-end</v>
      </c>
      <c r="G5" s="18" t="str">
        <v>Year / year-end</v>
      </c>
      <c r="H5" s="18" t="str">
        <v>Year / year-end</v>
      </c>
      <c r="I5" s="18" t="str">
        <v>Year / year-end</v>
      </c>
      <c r="J5" s="18" t="str">
        <v>Year / year-end</v>
      </c>
      <c r="K5" s="18" t="str">
        <v>Year / year-end</v>
      </c>
      <c r="L5" s="18" t="str">
        <v>Year / year-end</v>
      </c>
      <c r="M5" s="2"/>
      <c r="N5" s="18" t="str">
        <v>Quarter / end</v>
      </c>
      <c r="O5" s="18" t="str">
        <v>Quarter / end</v>
      </c>
      <c r="P5" s="18" t="str">
        <v>Quarter / end</v>
      </c>
      <c r="Q5" s="18" t="str">
        <v>Quarter / end</v>
      </c>
      <c r="R5" s="18" t="str">
        <v>Quarter / end</v>
      </c>
      <c r="S5" s="18" t="str">
        <v>Quarter / end</v>
      </c>
      <c r="T5" s="18" t="str">
        <v>Quarter / end</v>
      </c>
      <c r="U5" s="18" t="str">
        <v>Quarter / end</v>
      </c>
      <c r="V5" s="18" t="str">
        <v>Quarter / end</v>
      </c>
      <c r="W5" s="18" t="str">
        <v>Quarter / end</v>
      </c>
      <c r="X5" s="18" t="str">
        <v>Quarter / end</v>
      </c>
    </row>
    <row r="6" ht="8" customHeight="1">
      <c r="A6" s="2"/>
      <c r="B6" s="2"/>
      <c r="C6" s="2"/>
      <c r="D6" s="2"/>
      <c r="E6" s="2"/>
      <c r="F6" s="2"/>
      <c r="G6" s="2"/>
      <c r="H6" s="2"/>
      <c r="I6" s="2"/>
      <c r="J6" s="2"/>
      <c r="K6" s="2"/>
      <c r="L6" s="2"/>
      <c r="M6" s="2"/>
      <c r="N6" s="2"/>
      <c r="O6" s="2"/>
      <c r="P6" s="2"/>
      <c r="Q6" s="2"/>
      <c r="R6" s="2"/>
      <c r="S6" s="2"/>
      <c r="T6" s="2"/>
      <c r="U6" s="2"/>
      <c r="V6" s="2"/>
      <c r="W6" s="2"/>
      <c r="X6" s="2"/>
    </row>
    <row r="7" ht="22" customHeight="1">
      <c r="A7" s="23" t="str">
        <v>On this sheet</v>
      </c>
      <c r="B7" s="2"/>
      <c r="C7" s="26" t="str">
        <v>Interest-bearing debt balances: ten-year history and recent periods</v>
      </c>
      <c r="D7" s="26"/>
      <c r="E7" s="26"/>
      <c r="F7" s="26"/>
      <c r="G7" s="26"/>
      <c r="H7" s="26"/>
      <c r="I7" s="26"/>
      <c r="J7" s="26"/>
      <c r="K7" s="26"/>
      <c r="L7" s="26"/>
      <c r="M7" s="3"/>
      <c r="N7" s="26" t="str">
        <v>FY2025 debt composition and maturity groups</v>
      </c>
      <c r="O7" s="26"/>
      <c r="P7" s="26"/>
      <c r="Q7" s="26"/>
      <c r="R7" s="26"/>
      <c r="S7" s="26"/>
      <c r="T7" s="26"/>
      <c r="U7" s="26"/>
      <c r="V7" s="26"/>
      <c r="W7" s="26"/>
      <c r="X7" s="26"/>
    </row>
    <row r="8" ht="22" customHeight="1">
      <c r="A8" s="4"/>
      <c r="B8" s="2"/>
      <c r="C8" s="26" t="str">
        <v>Recent debt issuances: interest rates and principal</v>
      </c>
      <c r="D8" s="26"/>
      <c r="E8" s="26"/>
      <c r="F8" s="26"/>
      <c r="G8" s="26"/>
      <c r="H8" s="26"/>
      <c r="I8" s="26"/>
      <c r="J8" s="26"/>
      <c r="K8" s="26"/>
      <c r="L8" s="26"/>
      <c r="M8" s="3"/>
      <c r="N8" s="26" t="str">
        <v>FY2025 operating lease payment maturities</v>
      </c>
      <c r="O8" s="26"/>
      <c r="P8" s="26"/>
      <c r="Q8" s="26"/>
      <c r="R8" s="26"/>
      <c r="S8" s="26"/>
      <c r="T8" s="26"/>
      <c r="U8" s="26"/>
      <c r="V8" s="26"/>
      <c r="W8" s="26"/>
      <c r="X8" s="26"/>
    </row>
    <row r="9" ht="22" customHeight="1">
      <c r="A9" s="4"/>
      <c r="B9" s="2"/>
      <c r="C9" s="26" t="str">
        <v>Operating lease costs and balances</v>
      </c>
      <c r="D9" s="26"/>
      <c r="E9" s="26"/>
      <c r="F9" s="26"/>
      <c r="G9" s="26"/>
      <c r="H9" s="26"/>
      <c r="I9" s="26"/>
      <c r="J9" s="26"/>
      <c r="K9" s="26"/>
      <c r="L9" s="26"/>
      <c r="M9" s="3"/>
      <c r="N9" s="26" t="str">
        <v>Supplier finance</v>
      </c>
      <c r="O9" s="26"/>
      <c r="P9" s="26"/>
      <c r="Q9" s="26"/>
      <c r="R9" s="26"/>
      <c r="S9" s="26"/>
      <c r="T9" s="26"/>
      <c r="U9" s="26"/>
      <c r="V9" s="26"/>
      <c r="W9" s="26"/>
      <c r="X9" s="26"/>
    </row>
    <row r="10" ht="22" customHeight="1">
      <c r="A10" s="4"/>
      <c r="B10" s="2"/>
      <c r="C10" s="3"/>
      <c r="D10" s="3"/>
      <c r="E10" s="3"/>
      <c r="F10" s="3"/>
      <c r="G10" s="3"/>
      <c r="H10" s="3"/>
      <c r="I10" s="3"/>
      <c r="J10" s="3"/>
      <c r="K10" s="3"/>
      <c r="L10" s="3"/>
      <c r="M10" s="3"/>
      <c r="N10" s="3"/>
      <c r="O10" s="3"/>
      <c r="P10" s="3"/>
      <c r="Q10" s="3"/>
      <c r="R10" s="3"/>
      <c r="S10" s="3"/>
      <c r="T10" s="3"/>
      <c r="U10" s="3"/>
      <c r="V10" s="3"/>
      <c r="W10" s="3"/>
      <c r="X10" s="3"/>
    </row>
    <row r="11" ht="22" customHeight="1">
      <c r="A11" s="4"/>
      <c r="B11" s="2"/>
      <c r="C11" s="3"/>
      <c r="D11" s="3"/>
      <c r="E11" s="3"/>
      <c r="F11" s="3"/>
      <c r="G11" s="3"/>
      <c r="H11" s="3"/>
      <c r="I11" s="3"/>
      <c r="J11" s="3"/>
      <c r="K11" s="3"/>
      <c r="L11" s="3"/>
      <c r="M11" s="3"/>
      <c r="N11" s="3"/>
      <c r="O11" s="3"/>
      <c r="P11" s="3"/>
      <c r="Q11" s="3"/>
      <c r="R11" s="3"/>
      <c r="S11" s="3"/>
      <c r="T11" s="3"/>
      <c r="U11" s="3"/>
      <c r="V11" s="3"/>
      <c r="W11" s="3"/>
      <c r="X11" s="3"/>
    </row>
    <row r="12" ht="22" customHeight="1">
      <c r="A12" s="4"/>
      <c r="B12" s="2"/>
      <c r="C12" s="3"/>
      <c r="D12" s="3"/>
      <c r="E12" s="3"/>
      <c r="F12" s="3"/>
      <c r="G12" s="3"/>
      <c r="H12" s="3"/>
      <c r="I12" s="3"/>
      <c r="J12" s="3"/>
      <c r="K12" s="3"/>
      <c r="L12" s="3"/>
      <c r="M12" s="3"/>
      <c r="N12" s="3"/>
      <c r="O12" s="3"/>
      <c r="P12" s="3"/>
      <c r="Q12" s="3"/>
      <c r="R12" s="3"/>
      <c r="S12" s="3"/>
      <c r="T12" s="3"/>
      <c r="U12" s="3"/>
      <c r="V12" s="3"/>
      <c r="W12" s="3"/>
      <c r="X12" s="3"/>
    </row>
    <row r="13" ht="22" customHeight="1">
      <c r="A13" s="29" t="str">
        <v>Interest-bearing debt balances: ten-year history and recent periods</v>
      </c>
      <c r="B13" s="29"/>
      <c r="C13" s="32"/>
      <c r="D13" s="32"/>
      <c r="E13" s="32"/>
      <c r="F13" s="32"/>
      <c r="G13" s="32"/>
      <c r="H13" s="32"/>
      <c r="I13" s="32"/>
      <c r="J13" s="32"/>
      <c r="K13" s="32"/>
      <c r="L13" s="32"/>
      <c r="M13" s="32"/>
      <c r="N13" s="32"/>
      <c r="O13" s="32"/>
      <c r="P13" s="32"/>
      <c r="Q13" s="32"/>
      <c r="R13" s="32"/>
      <c r="S13" s="32"/>
      <c r="T13" s="32"/>
      <c r="U13" s="32"/>
      <c r="V13" s="32"/>
      <c r="W13" s="32"/>
      <c r="X13" s="32"/>
    </row>
    <row r="14" ht="18" customHeight="1">
      <c r="A14" s="33" t="str">
        <v>Operating leases are presented separately from interest-bearing debt.</v>
      </c>
      <c r="B14" s="33"/>
      <c r="C14" s="35"/>
      <c r="D14" s="35"/>
      <c r="E14" s="35"/>
      <c r="F14" s="35"/>
      <c r="G14" s="35"/>
      <c r="H14" s="35"/>
      <c r="I14" s="35"/>
      <c r="J14" s="35"/>
      <c r="K14" s="35"/>
      <c r="L14" s="35"/>
      <c r="M14" s="35"/>
      <c r="N14" s="35"/>
      <c r="O14" s="35"/>
      <c r="P14" s="35"/>
      <c r="Q14" s="35"/>
      <c r="R14" s="35"/>
      <c r="S14" s="35"/>
      <c r="T14" s="35"/>
      <c r="U14" s="35"/>
      <c r="V14" s="35"/>
      <c r="W14" s="35"/>
      <c r="X14" s="35"/>
    </row>
    <row r="15" ht="36" customHeight="1">
      <c r="A15" s="4" t="str">
        <v>Short-term debt obligations (including current maturities of long-term debt)</v>
      </c>
      <c r="B15" s="2"/>
      <c r="C15" s="74" t="n">
        <f>IF(COUNT('Balance Sheet'!C38)=1,'Balance Sheet'!C38,"")</f>
        <v>6892</v>
      </c>
      <c r="D15" s="74" t="n">
        <f>IF(COUNT('Balance Sheet'!D38)=1,'Balance Sheet'!D38,"")</f>
        <v>5485</v>
      </c>
      <c r="E15" s="74" t="n">
        <f>IF(COUNT('Balance Sheet'!E38)=1,'Balance Sheet'!E38,"")</f>
        <v>4026</v>
      </c>
      <c r="F15" s="74" t="n">
        <f>IF(COUNT('Balance Sheet'!F38)=1,'Balance Sheet'!F38,"")</f>
        <v>2920</v>
      </c>
      <c r="G15" s="74" t="n">
        <f>IF(COUNT('Balance Sheet'!G38)=1,'Balance Sheet'!G38,"")</f>
        <v>3780</v>
      </c>
      <c r="H15" s="74" t="n">
        <f>IF(COUNT('Balance Sheet'!H38)=1,'Balance Sheet'!H38,"")</f>
        <v>4308</v>
      </c>
      <c r="I15" s="74" t="n">
        <f>IF(COUNT('Balance Sheet'!I38)=1,'Balance Sheet'!I38,"")</f>
        <v>3414</v>
      </c>
      <c r="J15" s="74" t="n">
        <f>IF(COUNT('Balance Sheet'!J38)=1,'Balance Sheet'!J38,"")</f>
        <v>6510</v>
      </c>
      <c r="K15" s="74" t="n">
        <f>IF(COUNT('Balance Sheet'!K38)=1,'Balance Sheet'!K38,"")</f>
        <v>7082</v>
      </c>
      <c r="L15" s="74" t="n">
        <f>IF(COUNT('Balance Sheet'!L38)=1,'Balance Sheet'!L38,"")</f>
        <v>6861</v>
      </c>
      <c r="M15" s="45"/>
      <c r="N15" s="74" t="n">
        <f>IF(COUNT('Balance Sheet'!N38)=1,'Balance Sheet'!N38,"")</f>
        <v>8161</v>
      </c>
      <c r="O15" s="74" t="n">
        <f>IF(COUNT('Balance Sheet'!O38)=1,'Balance Sheet'!O38,"")</f>
        <v>8289</v>
      </c>
      <c r="P15" s="74" t="n">
        <f>IF(COUNT('Balance Sheet'!P38)=1,'Balance Sheet'!P38,"")</f>
        <v>6524</v>
      </c>
      <c r="Q15" s="74" t="n">
        <f>IF(COUNT('Balance Sheet'!Q38)=1,'Balance Sheet'!Q38,"")</f>
        <v>7082</v>
      </c>
      <c r="R15" s="74" t="n">
        <f>IF(COUNT('Balance Sheet'!R38)=1,'Balance Sheet'!R38,"")</f>
        <v>9099</v>
      </c>
      <c r="S15" s="74" t="n">
        <f>IF(COUNT('Balance Sheet'!S38)=1,'Balance Sheet'!S38,"")</f>
        <v>12056</v>
      </c>
      <c r="T15" s="74" t="n">
        <f>IF(COUNT('Balance Sheet'!T38)=1,'Balance Sheet'!T38,"")</f>
        <v>6736</v>
      </c>
      <c r="U15" s="74" t="n">
        <f>IF(COUNT('Balance Sheet'!U38)=1,'Balance Sheet'!U38,"")</f>
        <v>6861</v>
      </c>
      <c r="V15" s="74" t="n">
        <f>IF(COUNT('Balance Sheet'!V38)=1,'Balance Sheet'!V38,"")</f>
        <v>10151</v>
      </c>
      <c r="W15" s="74" t="n">
        <f>IF(COUNT('Balance Sheet'!W38)=1,'Balance Sheet'!W38,"")</f>
        <v>10602</v>
      </c>
      <c r="X15" s="74" t="n">
        <f>IF(COUNT('Balance Sheet'!X38)=1,'Balance Sheet'!X38,"")</f>
        <v>9223</v>
      </c>
    </row>
    <row r="16" ht="22" customHeight="1">
      <c r="A16" s="4" t="str">
        <v>Long-Term Debt Obligations</v>
      </c>
      <c r="B16" s="2"/>
      <c r="C16" s="74" t="n">
        <f>IF(COUNT('Balance Sheet'!C43)=1,'Balance Sheet'!C43,"")</f>
        <v>30053</v>
      </c>
      <c r="D16" s="74" t="n">
        <f>IF(COUNT('Balance Sheet'!D43)=1,'Balance Sheet'!D43,"")</f>
        <v>33796</v>
      </c>
      <c r="E16" s="74" t="n">
        <f>IF(COUNT('Balance Sheet'!E43)=1,'Balance Sheet'!E43,"")</f>
        <v>28295</v>
      </c>
      <c r="F16" s="74" t="n">
        <f>IF(COUNT('Balance Sheet'!F43)=1,'Balance Sheet'!F43,"")</f>
        <v>29148</v>
      </c>
      <c r="G16" s="74" t="n">
        <f>IF(COUNT('Balance Sheet'!G43)=1,'Balance Sheet'!G43,"")</f>
        <v>40370</v>
      </c>
      <c r="H16" s="74" t="n">
        <f>IF(COUNT('Balance Sheet'!H43)=1,'Balance Sheet'!H43,"")</f>
        <v>36026</v>
      </c>
      <c r="I16" s="74" t="n">
        <f>IF(COUNT('Balance Sheet'!I43)=1,'Balance Sheet'!I43,"")</f>
        <v>35657</v>
      </c>
      <c r="J16" s="74" t="n">
        <f>IF(COUNT('Balance Sheet'!J43)=1,'Balance Sheet'!J43,"")</f>
        <v>37595</v>
      </c>
      <c r="K16" s="74" t="n">
        <f>IF(COUNT('Balance Sheet'!K43)=1,'Balance Sheet'!K43,"")</f>
        <v>37224</v>
      </c>
      <c r="L16" s="74" t="n">
        <f>IF(COUNT('Balance Sheet'!L43)=1,'Balance Sheet'!L43,"")</f>
        <v>42321</v>
      </c>
      <c r="M16" s="45"/>
      <c r="N16" s="74" t="n">
        <f>IF(COUNT('Balance Sheet'!N43)=1,'Balance Sheet'!N43,"")</f>
        <v>37707</v>
      </c>
      <c r="O16" s="74" t="n">
        <f>IF(COUNT('Balance Sheet'!O43)=1,'Balance Sheet'!O43,"")</f>
        <v>36638</v>
      </c>
      <c r="P16" s="74" t="n">
        <f>IF(COUNT('Balance Sheet'!P43)=1,'Balance Sheet'!P43,"")</f>
        <v>38490</v>
      </c>
      <c r="Q16" s="74" t="n">
        <f>IF(COUNT('Balance Sheet'!Q43)=1,'Balance Sheet'!Q43,"")</f>
        <v>37224</v>
      </c>
      <c r="R16" s="74" t="n">
        <f>IF(COUNT('Balance Sheet'!R43)=1,'Balance Sheet'!R43,"")</f>
        <v>39419</v>
      </c>
      <c r="S16" s="74" t="n">
        <f>IF(COUNT('Balance Sheet'!S43)=1,'Balance Sheet'!S43,"")</f>
        <v>39328</v>
      </c>
      <c r="T16" s="74" t="n">
        <f>IF(COUNT('Balance Sheet'!T43)=1,'Balance Sheet'!T43,"")</f>
        <v>44113</v>
      </c>
      <c r="U16" s="74" t="n">
        <f>IF(COUNT('Balance Sheet'!U43)=1,'Balance Sheet'!U43,"")</f>
        <v>42321</v>
      </c>
      <c r="V16" s="74" t="n">
        <f>IF(COUNT('Balance Sheet'!V43)=1,'Balance Sheet'!V43,"")</f>
        <v>42577</v>
      </c>
      <c r="W16" s="74" t="n">
        <f>IF(COUNT('Balance Sheet'!W43)=1,'Balance Sheet'!W43,"")</f>
        <v>42612</v>
      </c>
      <c r="X16" s="74" t="n">
        <f>IF(COUNT('Balance Sheet'!X43)=1,'Balance Sheet'!X43,"")</f>
        <v>42658</v>
      </c>
    </row>
    <row r="17" ht="22" customHeight="1">
      <c r="A17" s="4"/>
      <c r="B17" s="2"/>
      <c r="C17" s="3"/>
      <c r="D17" s="3"/>
      <c r="E17" s="3"/>
      <c r="F17" s="3"/>
      <c r="G17" s="3"/>
      <c r="H17" s="3"/>
      <c r="I17" s="3"/>
      <c r="J17" s="3"/>
      <c r="K17" s="3"/>
      <c r="L17" s="3"/>
      <c r="M17" s="3"/>
      <c r="N17" s="3"/>
      <c r="O17" s="3"/>
      <c r="P17" s="3"/>
      <c r="Q17" s="3"/>
      <c r="R17" s="3"/>
      <c r="S17" s="3"/>
      <c r="T17" s="3"/>
      <c r="U17" s="3"/>
      <c r="V17" s="3"/>
      <c r="W17" s="3"/>
      <c r="X17" s="3"/>
    </row>
    <row r="18" ht="22" customHeight="1">
      <c r="A18" s="29" t="str">
        <v>FY2025 debt composition and maturity groups</v>
      </c>
      <c r="B18" s="29"/>
      <c r="C18" s="32"/>
      <c r="D18" s="32"/>
      <c r="E18" s="32"/>
      <c r="F18" s="32"/>
      <c r="G18" s="32"/>
      <c r="H18" s="32"/>
      <c r="I18" s="32"/>
      <c r="J18" s="32"/>
      <c r="K18" s="32"/>
      <c r="L18" s="32"/>
      <c r="M18" s="32"/>
      <c r="N18" s="32"/>
      <c r="O18" s="32"/>
      <c r="P18" s="32"/>
      <c r="Q18" s="32"/>
      <c r="R18" s="32"/>
      <c r="S18" s="32"/>
      <c r="T18" s="32"/>
      <c r="U18" s="32"/>
      <c r="V18" s="32"/>
      <c r="W18" s="32"/>
      <c r="X18" s="32"/>
    </row>
    <row r="19" ht="18" customHeight="1">
      <c r="A19" s="33" t="str">
        <v>Reported balances, maturity groups and weighted-average rates; comparative column is FY2024. Historical debt balances appear above.</v>
      </c>
      <c r="B19" s="33"/>
      <c r="C19" s="35"/>
      <c r="D19" s="35"/>
      <c r="E19" s="35"/>
      <c r="F19" s="35"/>
      <c r="G19" s="35"/>
      <c r="H19" s="35"/>
      <c r="I19" s="35"/>
      <c r="J19" s="35"/>
      <c r="K19" s="35"/>
      <c r="L19" s="35"/>
      <c r="M19" s="35"/>
      <c r="N19" s="35"/>
      <c r="O19" s="35"/>
      <c r="P19" s="35"/>
      <c r="Q19" s="35"/>
      <c r="R19" s="35"/>
      <c r="S19" s="35"/>
      <c r="T19" s="35"/>
      <c r="U19" s="35"/>
      <c r="V19" s="35"/>
      <c r="W19" s="35"/>
      <c r="X19" s="35"/>
    </row>
    <row r="20" ht="36" customHeight="1">
      <c r="A20" s="4" t="str">
        <v>Total short-term debt obligations (including current maturities of long-term debt)</v>
      </c>
      <c r="B20" s="2"/>
      <c r="C20" s="44"/>
      <c r="D20" s="44"/>
      <c r="E20" s="44"/>
      <c r="F20" s="44"/>
      <c r="G20" s="44"/>
      <c r="H20" s="44"/>
      <c r="I20" s="44"/>
      <c r="J20" s="44"/>
      <c r="K20" s="44" t="n">
        <v>7082</v>
      </c>
      <c r="L20" s="44" t="n">
        <v>6861</v>
      </c>
      <c r="M20" s="45"/>
      <c r="N20" s="44"/>
      <c r="O20" s="44"/>
      <c r="P20" s="44"/>
      <c r="Q20" s="44"/>
      <c r="R20" s="44"/>
      <c r="S20" s="44"/>
      <c r="T20" s="44"/>
      <c r="U20" s="44"/>
      <c r="V20" s="44"/>
      <c r="W20" s="44"/>
      <c r="X20" s="44"/>
    </row>
    <row r="21" ht="36" customHeight="1">
      <c r="A21" s="4" t="str">
        <v>Total long-term debt obligations (including current maturities)</v>
      </c>
      <c r="B21" s="2"/>
      <c r="C21" s="44"/>
      <c r="D21" s="44"/>
      <c r="E21" s="44"/>
      <c r="F21" s="44"/>
      <c r="G21" s="44"/>
      <c r="H21" s="44"/>
      <c r="I21" s="44"/>
      <c r="J21" s="44"/>
      <c r="K21" s="44" t="n">
        <v>41228</v>
      </c>
      <c r="L21" s="44" t="n">
        <v>46351</v>
      </c>
      <c r="M21" s="45"/>
      <c r="N21" s="44"/>
      <c r="O21" s="44"/>
      <c r="P21" s="44"/>
      <c r="Q21" s="44"/>
      <c r="R21" s="44"/>
      <c r="S21" s="44"/>
      <c r="T21" s="44"/>
      <c r="U21" s="44"/>
      <c r="V21" s="44"/>
      <c r="W21" s="44"/>
      <c r="X21" s="44"/>
    </row>
    <row r="22" ht="36" customHeight="1">
      <c r="A22" s="51" t="str">
        <v>Total long-term debt obligations (excluding current maturities)</v>
      </c>
      <c r="B22" s="52"/>
      <c r="C22" s="53"/>
      <c r="D22" s="53"/>
      <c r="E22" s="53"/>
      <c r="F22" s="53"/>
      <c r="G22" s="53"/>
      <c r="H22" s="53"/>
      <c r="I22" s="53"/>
      <c r="J22" s="53"/>
      <c r="K22" s="53" t="n">
        <v>37224</v>
      </c>
      <c r="L22" s="53" t="n">
        <v>42321</v>
      </c>
      <c r="M22" s="55"/>
      <c r="N22" s="53"/>
      <c r="O22" s="53"/>
      <c r="P22" s="53"/>
      <c r="Q22" s="53"/>
      <c r="R22" s="53"/>
      <c r="S22" s="53"/>
      <c r="T22" s="53"/>
      <c r="U22" s="53"/>
      <c r="V22" s="53"/>
      <c r="W22" s="53"/>
      <c r="X22" s="53"/>
    </row>
    <row r="23" ht="22" customHeight="1">
      <c r="A23" s="4" t="str">
        <v>Current maturities of long-term debt</v>
      </c>
      <c r="B23" s="2"/>
      <c r="C23" s="44"/>
      <c r="D23" s="44"/>
      <c r="E23" s="44"/>
      <c r="F23" s="44"/>
      <c r="G23" s="44"/>
      <c r="H23" s="44"/>
      <c r="I23" s="44"/>
      <c r="J23" s="44"/>
      <c r="K23" s="44" t="n">
        <v>4004</v>
      </c>
      <c r="L23" s="44" t="n">
        <v>4030</v>
      </c>
      <c r="M23" s="45"/>
      <c r="N23" s="44"/>
      <c r="O23" s="44"/>
      <c r="P23" s="44"/>
      <c r="Q23" s="44"/>
      <c r="R23" s="44"/>
      <c r="S23" s="44"/>
      <c r="T23" s="44"/>
      <c r="U23" s="44"/>
      <c r="V23" s="44"/>
      <c r="W23" s="44"/>
      <c r="X23" s="44"/>
    </row>
    <row r="24" ht="22" customHeight="1">
      <c r="A24" s="4" t="str">
        <v>Less: current maturities of long-term debt obligations</v>
      </c>
      <c r="B24" s="2"/>
      <c r="C24" s="44"/>
      <c r="D24" s="44"/>
      <c r="E24" s="44"/>
      <c r="F24" s="44"/>
      <c r="G24" s="44"/>
      <c r="H24" s="44"/>
      <c r="I24" s="44"/>
      <c r="J24" s="44"/>
      <c r="K24" s="44" t="n">
        <v>4004</v>
      </c>
      <c r="L24" s="44" t="n">
        <v>4030</v>
      </c>
      <c r="M24" s="45"/>
      <c r="N24" s="44"/>
      <c r="O24" s="44"/>
      <c r="P24" s="44"/>
      <c r="Q24" s="44"/>
      <c r="R24" s="44"/>
      <c r="S24" s="44"/>
      <c r="T24" s="44"/>
      <c r="U24" s="44"/>
      <c r="V24" s="44"/>
      <c r="W24" s="44"/>
      <c r="X24" s="44"/>
    </row>
    <row r="25" ht="22" customHeight="1">
      <c r="A25" s="4" t="str">
        <v>Commercial paper (3.8% and 4.5%)</v>
      </c>
      <c r="B25" s="2"/>
      <c r="C25" s="44"/>
      <c r="D25" s="44"/>
      <c r="E25" s="44"/>
      <c r="F25" s="44"/>
      <c r="G25" s="44"/>
      <c r="H25" s="44"/>
      <c r="I25" s="44"/>
      <c r="J25" s="44"/>
      <c r="K25" s="44" t="n">
        <v>2818</v>
      </c>
      <c r="L25" s="44" t="n">
        <v>2641</v>
      </c>
      <c r="M25" s="45"/>
      <c r="N25" s="44"/>
      <c r="O25" s="44"/>
      <c r="P25" s="44"/>
      <c r="Q25" s="44"/>
      <c r="R25" s="44"/>
      <c r="S25" s="44"/>
      <c r="T25" s="44"/>
      <c r="U25" s="44"/>
      <c r="V25" s="44"/>
      <c r="W25" s="44"/>
      <c r="X25" s="44"/>
    </row>
    <row r="26" ht="22" customHeight="1">
      <c r="A26" s="4" t="str">
        <v>Other borrowings</v>
      </c>
      <c r="B26" s="2"/>
      <c r="C26" s="44"/>
      <c r="D26" s="44"/>
      <c r="E26" s="44"/>
      <c r="F26" s="44"/>
      <c r="G26" s="44"/>
      <c r="H26" s="44"/>
      <c r="I26" s="44"/>
      <c r="J26" s="44"/>
      <c r="K26" s="44" t="n">
        <v>260</v>
      </c>
      <c r="L26" s="44" t="n">
        <v>190</v>
      </c>
      <c r="M26" s="45"/>
      <c r="N26" s="44"/>
      <c r="O26" s="44"/>
      <c r="P26" s="44"/>
      <c r="Q26" s="44"/>
      <c r="R26" s="44"/>
      <c r="S26" s="44"/>
      <c r="T26" s="44"/>
      <c r="U26" s="44"/>
      <c r="V26" s="44"/>
      <c r="W26" s="44"/>
      <c r="X26" s="44"/>
    </row>
    <row r="27" ht="22" customHeight="1">
      <c r="A27" s="4" t="str">
        <v>Notes due 2025 (3.2%)</v>
      </c>
      <c r="B27" s="2"/>
      <c r="C27" s="44"/>
      <c r="D27" s="44"/>
      <c r="E27" s="44"/>
      <c r="F27" s="44"/>
      <c r="G27" s="44"/>
      <c r="H27" s="44"/>
      <c r="I27" s="44"/>
      <c r="J27" s="44"/>
      <c r="K27" s="44" t="n">
        <v>3999</v>
      </c>
      <c r="L27" s="44" t="n">
        <v>0</v>
      </c>
      <c r="M27" s="45"/>
      <c r="N27" s="44"/>
      <c r="O27" s="44"/>
      <c r="P27" s="44"/>
      <c r="Q27" s="44"/>
      <c r="R27" s="44"/>
      <c r="S27" s="44"/>
      <c r="T27" s="44"/>
      <c r="U27" s="44"/>
      <c r="V27" s="44"/>
      <c r="W27" s="44"/>
      <c r="X27" s="44"/>
    </row>
    <row r="28" ht="22" customHeight="1">
      <c r="A28" s="4" t="str">
        <v>Notes due 2026 (3.6% and 3.7%)</v>
      </c>
      <c r="B28" s="2"/>
      <c r="C28" s="44"/>
      <c r="D28" s="44"/>
      <c r="E28" s="44"/>
      <c r="F28" s="44"/>
      <c r="G28" s="44"/>
      <c r="H28" s="44"/>
      <c r="I28" s="44"/>
      <c r="J28" s="44"/>
      <c r="K28" s="44" t="n">
        <v>3941</v>
      </c>
      <c r="L28" s="44" t="n">
        <v>4003</v>
      </c>
      <c r="M28" s="45"/>
      <c r="N28" s="44"/>
      <c r="O28" s="44"/>
      <c r="P28" s="44"/>
      <c r="Q28" s="44"/>
      <c r="R28" s="44"/>
      <c r="S28" s="44"/>
      <c r="T28" s="44"/>
      <c r="U28" s="44"/>
      <c r="V28" s="44"/>
      <c r="W28" s="44"/>
      <c r="X28" s="44"/>
    </row>
    <row r="29" ht="22" customHeight="1">
      <c r="A29" s="4" t="str">
        <v>Notes due 2027 (3.2% and 3.1%)</v>
      </c>
      <c r="B29" s="2"/>
      <c r="C29" s="44"/>
      <c r="D29" s="44"/>
      <c r="E29" s="44"/>
      <c r="F29" s="44"/>
      <c r="G29" s="44"/>
      <c r="H29" s="44"/>
      <c r="I29" s="44"/>
      <c r="J29" s="44"/>
      <c r="K29" s="44" t="n">
        <v>3370</v>
      </c>
      <c r="L29" s="44" t="n">
        <v>3933</v>
      </c>
      <c r="M29" s="45"/>
      <c r="N29" s="44"/>
      <c r="O29" s="44"/>
      <c r="P29" s="44"/>
      <c r="Q29" s="44"/>
      <c r="R29" s="44"/>
      <c r="S29" s="44"/>
      <c r="T29" s="44"/>
      <c r="U29" s="44"/>
      <c r="V29" s="44"/>
      <c r="W29" s="44"/>
      <c r="X29" s="44"/>
    </row>
    <row r="30" ht="22" customHeight="1">
      <c r="A30" s="4" t="str">
        <v>Notes due 2028 (2.4% and 2.1%)</v>
      </c>
      <c r="B30" s="2"/>
      <c r="C30" s="44"/>
      <c r="D30" s="44"/>
      <c r="E30" s="44"/>
      <c r="F30" s="44"/>
      <c r="G30" s="44"/>
      <c r="H30" s="44"/>
      <c r="I30" s="44"/>
      <c r="J30" s="44"/>
      <c r="K30" s="44" t="n">
        <v>3240</v>
      </c>
      <c r="L30" s="44" t="n">
        <v>4203</v>
      </c>
      <c r="M30" s="45"/>
      <c r="N30" s="44"/>
      <c r="O30" s="44"/>
      <c r="P30" s="44"/>
      <c r="Q30" s="44"/>
      <c r="R30" s="44"/>
      <c r="S30" s="44"/>
      <c r="T30" s="44"/>
      <c r="U30" s="44"/>
      <c r="V30" s="44"/>
      <c r="W30" s="44"/>
      <c r="X30" s="44"/>
    </row>
    <row r="31" ht="22" customHeight="1">
      <c r="A31" s="4" t="str">
        <v>Notes due 2029 (4.3% and 4.6%)</v>
      </c>
      <c r="B31" s="2"/>
      <c r="C31" s="44"/>
      <c r="D31" s="44"/>
      <c r="E31" s="44"/>
      <c r="F31" s="44"/>
      <c r="G31" s="44"/>
      <c r="H31" s="44"/>
      <c r="I31" s="44"/>
      <c r="J31" s="44"/>
      <c r="K31" s="44" t="n">
        <v>3239</v>
      </c>
      <c r="L31" s="44" t="n">
        <v>4043</v>
      </c>
      <c r="M31" s="45"/>
      <c r="N31" s="44"/>
      <c r="O31" s="44"/>
      <c r="P31" s="44"/>
      <c r="Q31" s="44"/>
      <c r="R31" s="44"/>
      <c r="S31" s="44"/>
      <c r="T31" s="44"/>
      <c r="U31" s="44"/>
      <c r="V31" s="44"/>
      <c r="W31" s="44"/>
      <c r="X31" s="44"/>
    </row>
    <row r="32" ht="22" customHeight="1">
      <c r="A32" s="4" t="str">
        <v>Notes due 2030 (3.2% and 2.6%)</v>
      </c>
      <c r="B32" s="2"/>
      <c r="C32" s="44"/>
      <c r="D32" s="44"/>
      <c r="E32" s="44"/>
      <c r="F32" s="44"/>
      <c r="G32" s="44"/>
      <c r="H32" s="44"/>
      <c r="I32" s="44"/>
      <c r="J32" s="44"/>
      <c r="K32" s="44" t="n">
        <v>2472</v>
      </c>
      <c r="L32" s="44" t="n">
        <v>4171</v>
      </c>
      <c r="M32" s="45"/>
      <c r="N32" s="44"/>
      <c r="O32" s="44"/>
      <c r="P32" s="44"/>
      <c r="Q32" s="44"/>
      <c r="R32" s="44"/>
      <c r="S32" s="44"/>
      <c r="T32" s="44"/>
      <c r="U32" s="44"/>
      <c r="V32" s="44"/>
      <c r="W32" s="44"/>
      <c r="X32" s="44"/>
    </row>
    <row r="33" ht="22" customHeight="1">
      <c r="A33" s="4" t="str">
        <v>Notes due 2031-2060 (3.4% and 3.2%)</v>
      </c>
      <c r="B33" s="2"/>
      <c r="C33" s="44"/>
      <c r="D33" s="44"/>
      <c r="E33" s="44"/>
      <c r="F33" s="44"/>
      <c r="G33" s="44"/>
      <c r="H33" s="44"/>
      <c r="I33" s="44"/>
      <c r="J33" s="44"/>
      <c r="K33" s="44" t="n">
        <v>20928</v>
      </c>
      <c r="L33" s="44" t="n">
        <v>25956</v>
      </c>
      <c r="M33" s="45"/>
      <c r="N33" s="44"/>
      <c r="O33" s="44"/>
      <c r="P33" s="44"/>
      <c r="Q33" s="44"/>
      <c r="R33" s="44"/>
      <c r="S33" s="44"/>
      <c r="T33" s="44"/>
      <c r="U33" s="44"/>
      <c r="V33" s="44"/>
      <c r="W33" s="44"/>
      <c r="X33" s="44"/>
    </row>
    <row r="34" ht="22" customHeight="1">
      <c r="A34" s="4" t="str">
        <v>Other, due 2025-2042</v>
      </c>
      <c r="B34" s="2"/>
      <c r="C34" s="44"/>
      <c r="D34" s="44"/>
      <c r="E34" s="44"/>
      <c r="F34" s="44"/>
      <c r="G34" s="44"/>
      <c r="H34" s="44"/>
      <c r="I34" s="44"/>
      <c r="J34" s="44"/>
      <c r="K34" s="44" t="n">
        <v>39</v>
      </c>
      <c r="L34" s="44" t="n">
        <v>42</v>
      </c>
      <c r="M34" s="45"/>
      <c r="N34" s="44"/>
      <c r="O34" s="44"/>
      <c r="P34" s="44"/>
      <c r="Q34" s="44"/>
      <c r="R34" s="44"/>
      <c r="S34" s="44"/>
      <c r="T34" s="44"/>
      <c r="U34" s="44"/>
      <c r="V34" s="44"/>
      <c r="W34" s="44"/>
      <c r="X34" s="44"/>
    </row>
    <row r="35" ht="22" customHeight="1">
      <c r="A35" s="4"/>
      <c r="B35" s="2"/>
      <c r="C35" s="3"/>
      <c r="D35" s="3"/>
      <c r="E35" s="3"/>
      <c r="F35" s="3"/>
      <c r="G35" s="3"/>
      <c r="H35" s="3"/>
      <c r="I35" s="3"/>
      <c r="J35" s="3"/>
      <c r="K35" s="3"/>
      <c r="L35" s="3"/>
      <c r="M35" s="3"/>
      <c r="N35" s="3"/>
      <c r="O35" s="3"/>
      <c r="P35" s="3"/>
      <c r="Q35" s="3"/>
      <c r="R35" s="3"/>
      <c r="S35" s="3"/>
      <c r="T35" s="3"/>
      <c r="U35" s="3"/>
      <c r="V35" s="3"/>
      <c r="W35" s="3"/>
      <c r="X35" s="3"/>
    </row>
    <row r="36" ht="22" customHeight="1">
      <c r="A36" s="29" t="str">
        <v>Recent debt issuances: interest rates and principal</v>
      </c>
      <c r="B36" s="29"/>
      <c r="C36" s="32"/>
      <c r="D36" s="32"/>
      <c r="E36" s="32"/>
      <c r="F36" s="32"/>
      <c r="G36" s="32"/>
      <c r="H36" s="32"/>
      <c r="I36" s="32"/>
      <c r="J36" s="32"/>
      <c r="K36" s="32"/>
      <c r="L36" s="32"/>
      <c r="M36" s="32"/>
      <c r="N36" s="32"/>
      <c r="O36" s="32"/>
      <c r="P36" s="32"/>
      <c r="Q36" s="32"/>
      <c r="R36" s="32"/>
      <c r="S36" s="32"/>
      <c r="T36" s="32"/>
      <c r="U36" s="32"/>
      <c r="V36" s="32"/>
      <c r="W36" s="32"/>
      <c r="X36" s="32"/>
    </row>
    <row r="37" ht="18" customHeight="1">
      <c r="A37" s="33" t="str">
        <v>Values reflect issuance terms disclosed for the relevant period; principal is not total period-end debt outstanding.</v>
      </c>
      <c r="B37" s="33"/>
      <c r="C37" s="35"/>
      <c r="D37" s="35"/>
      <c r="E37" s="35"/>
      <c r="F37" s="35"/>
      <c r="G37" s="35"/>
      <c r="H37" s="35"/>
      <c r="I37" s="35"/>
      <c r="J37" s="35"/>
      <c r="K37" s="35"/>
      <c r="L37" s="35"/>
      <c r="M37" s="35"/>
      <c r="N37" s="35"/>
      <c r="O37" s="35"/>
      <c r="P37" s="35"/>
      <c r="Q37" s="35"/>
      <c r="R37" s="35"/>
      <c r="S37" s="35"/>
      <c r="T37" s="35"/>
      <c r="U37" s="35"/>
      <c r="V37" s="35"/>
      <c r="W37" s="35"/>
      <c r="X37" s="35"/>
    </row>
    <row r="38" ht="20" customHeight="1">
      <c r="A38" s="56" t="str">
        <v>February 2034 — Interest Rate / Floating Rate（%）</v>
      </c>
      <c r="B38" s="2"/>
      <c r="C38" s="58"/>
      <c r="D38" s="58"/>
      <c r="E38" s="58"/>
      <c r="F38" s="58"/>
      <c r="G38" s="58"/>
      <c r="H38" s="58"/>
      <c r="I38" s="58"/>
      <c r="J38" s="58"/>
      <c r="K38" s="58"/>
      <c r="L38" s="58"/>
      <c r="M38" s="60"/>
      <c r="N38" s="58"/>
      <c r="O38" s="58"/>
      <c r="P38" s="58"/>
      <c r="Q38" s="58"/>
      <c r="R38" s="58"/>
      <c r="S38" s="58"/>
      <c r="T38" s="58"/>
      <c r="U38" s="58"/>
      <c r="V38" s="58" t="n">
        <v>0.033</v>
      </c>
      <c r="W38" s="58" t="n">
        <v>0.033</v>
      </c>
      <c r="X38" s="58" t="n">
        <v>0.033</v>
      </c>
    </row>
    <row r="39" ht="20" customHeight="1">
      <c r="A39" s="56" t="str">
        <v>February 2038 — Interest Rate / Floating Rate（%）</v>
      </c>
      <c r="B39" s="2"/>
      <c r="C39" s="58"/>
      <c r="D39" s="58"/>
      <c r="E39" s="58"/>
      <c r="F39" s="58"/>
      <c r="G39" s="58"/>
      <c r="H39" s="58"/>
      <c r="I39" s="58"/>
      <c r="J39" s="58"/>
      <c r="K39" s="58"/>
      <c r="L39" s="58"/>
      <c r="M39" s="60"/>
      <c r="N39" s="58"/>
      <c r="O39" s="58"/>
      <c r="P39" s="58"/>
      <c r="Q39" s="58"/>
      <c r="R39" s="58"/>
      <c r="S39" s="58"/>
      <c r="T39" s="58"/>
      <c r="U39" s="58"/>
      <c r="V39" s="58" t="n">
        <v>0.037000000000000005</v>
      </c>
      <c r="W39" s="58" t="n">
        <v>0.037000000000000005</v>
      </c>
      <c r="X39" s="58" t="n">
        <v>0.037000000000000005</v>
      </c>
    </row>
    <row r="40" ht="20" customHeight="1">
      <c r="A40" s="56" t="str">
        <v>February 2047 — Interest Rate / Floating Rate（%）</v>
      </c>
      <c r="B40" s="2"/>
      <c r="C40" s="58"/>
      <c r="D40" s="58"/>
      <c r="E40" s="58"/>
      <c r="F40" s="58"/>
      <c r="G40" s="58"/>
      <c r="H40" s="58"/>
      <c r="I40" s="58"/>
      <c r="J40" s="58"/>
      <c r="K40" s="58"/>
      <c r="L40" s="58"/>
      <c r="M40" s="60"/>
      <c r="N40" s="58"/>
      <c r="O40" s="58"/>
      <c r="P40" s="58"/>
      <c r="Q40" s="58"/>
      <c r="R40" s="58"/>
      <c r="S40" s="58"/>
      <c r="T40" s="58"/>
      <c r="U40" s="58"/>
      <c r="V40" s="58" t="n">
        <v>0.0415</v>
      </c>
      <c r="W40" s="58" t="n">
        <v>0.0415</v>
      </c>
      <c r="X40" s="58" t="n">
        <v>0.0415</v>
      </c>
    </row>
    <row r="41" ht="22" customHeight="1">
      <c r="A41" s="4"/>
      <c r="B41" s="2"/>
      <c r="C41" s="3"/>
      <c r="D41" s="3"/>
      <c r="E41" s="3"/>
      <c r="F41" s="3"/>
      <c r="G41" s="3"/>
      <c r="H41" s="3"/>
      <c r="I41" s="3"/>
      <c r="J41" s="3"/>
      <c r="K41" s="3"/>
      <c r="L41" s="3"/>
      <c r="M41" s="3"/>
      <c r="N41" s="3"/>
      <c r="O41" s="3"/>
      <c r="P41" s="3"/>
      <c r="Q41" s="3"/>
      <c r="R41" s="3"/>
      <c r="S41" s="3"/>
      <c r="T41" s="3"/>
      <c r="U41" s="3"/>
      <c r="V41" s="3"/>
      <c r="W41" s="3"/>
      <c r="X41" s="3"/>
    </row>
    <row r="42" ht="22" customHeight="1">
      <c r="A42" s="29" t="str">
        <v>FY2025 operating lease payment maturities</v>
      </c>
      <c r="B42" s="29"/>
      <c r="C42" s="32"/>
      <c r="D42" s="32"/>
      <c r="E42" s="32"/>
      <c r="F42" s="32"/>
      <c r="G42" s="32"/>
      <c r="H42" s="32"/>
      <c r="I42" s="32"/>
      <c r="J42" s="32"/>
      <c r="K42" s="32"/>
      <c r="L42" s="32"/>
      <c r="M42" s="32"/>
      <c r="N42" s="32"/>
      <c r="O42" s="32"/>
      <c r="P42" s="32"/>
      <c r="Q42" s="32"/>
      <c r="R42" s="32"/>
      <c r="S42" s="32"/>
      <c r="T42" s="32"/>
      <c r="U42" s="32"/>
      <c r="V42" s="32"/>
      <c r="W42" s="32"/>
      <c r="X42" s="32"/>
    </row>
    <row r="43" ht="18" customHeight="1">
      <c r="A43" s="33" t="str">
        <v>Contractual future payments as of FY2025 year-end, by disclosed maturity. This schedule replaces historical maturity schedules.</v>
      </c>
      <c r="B43" s="33"/>
      <c r="C43" s="35"/>
      <c r="D43" s="35"/>
      <c r="E43" s="35"/>
      <c r="F43" s="35"/>
      <c r="G43" s="35"/>
      <c r="H43" s="35"/>
      <c r="I43" s="35"/>
      <c r="J43" s="35"/>
      <c r="K43" s="35"/>
      <c r="L43" s="35"/>
      <c r="M43" s="35"/>
      <c r="N43" s="35"/>
      <c r="O43" s="35"/>
      <c r="P43" s="35"/>
      <c r="Q43" s="35"/>
      <c r="R43" s="35"/>
      <c r="S43" s="35"/>
      <c r="T43" s="35"/>
      <c r="U43" s="35"/>
      <c r="V43" s="35"/>
      <c r="W43" s="35"/>
      <c r="X43" s="35"/>
    </row>
    <row r="44" ht="22" customHeight="1">
      <c r="A44" s="4" t="str">
        <v>FY2025 year-end contracts — payment year 2026</v>
      </c>
      <c r="B44" s="2"/>
      <c r="C44" s="44"/>
      <c r="D44" s="44"/>
      <c r="E44" s="44"/>
      <c r="F44" s="44"/>
      <c r="G44" s="44"/>
      <c r="H44" s="44"/>
      <c r="I44" s="44"/>
      <c r="J44" s="44"/>
      <c r="K44" s="44"/>
      <c r="L44" s="44" t="n">
        <v>858</v>
      </c>
      <c r="M44" s="45"/>
      <c r="N44" s="44"/>
      <c r="O44" s="44"/>
      <c r="P44" s="44"/>
      <c r="Q44" s="44"/>
      <c r="R44" s="44"/>
      <c r="S44" s="44"/>
      <c r="T44" s="44"/>
      <c r="U44" s="44"/>
      <c r="V44" s="44"/>
      <c r="W44" s="44"/>
      <c r="X44" s="44"/>
    </row>
    <row r="45" ht="22" customHeight="1">
      <c r="A45" s="4" t="str">
        <v>FY2025 year-end contracts — payment year 2027</v>
      </c>
      <c r="B45" s="2"/>
      <c r="C45" s="44"/>
      <c r="D45" s="44"/>
      <c r="E45" s="44"/>
      <c r="F45" s="44"/>
      <c r="G45" s="44"/>
      <c r="H45" s="44"/>
      <c r="I45" s="44"/>
      <c r="J45" s="44"/>
      <c r="K45" s="44"/>
      <c r="L45" s="44" t="n">
        <v>750</v>
      </c>
      <c r="M45" s="45"/>
      <c r="N45" s="44"/>
      <c r="O45" s="44"/>
      <c r="P45" s="44"/>
      <c r="Q45" s="44"/>
      <c r="R45" s="44"/>
      <c r="S45" s="44"/>
      <c r="T45" s="44"/>
      <c r="U45" s="44"/>
      <c r="V45" s="44"/>
      <c r="W45" s="44"/>
      <c r="X45" s="44"/>
    </row>
    <row r="46" ht="22" customHeight="1">
      <c r="A46" s="4" t="str">
        <v>FY2025 year-end contracts — payment year 2028</v>
      </c>
      <c r="B46" s="2"/>
      <c r="C46" s="44"/>
      <c r="D46" s="44"/>
      <c r="E46" s="44"/>
      <c r="F46" s="44"/>
      <c r="G46" s="44"/>
      <c r="H46" s="44"/>
      <c r="I46" s="44"/>
      <c r="J46" s="44"/>
      <c r="K46" s="44"/>
      <c r="L46" s="44" t="n">
        <v>631</v>
      </c>
      <c r="M46" s="45"/>
      <c r="N46" s="44"/>
      <c r="O46" s="44"/>
      <c r="P46" s="44"/>
      <c r="Q46" s="44"/>
      <c r="R46" s="44"/>
      <c r="S46" s="44"/>
      <c r="T46" s="44"/>
      <c r="U46" s="44"/>
      <c r="V46" s="44"/>
      <c r="W46" s="44"/>
      <c r="X46" s="44"/>
    </row>
    <row r="47" ht="22" customHeight="1">
      <c r="A47" s="4" t="str">
        <v>FY2025 year-end contracts — payment year 2029</v>
      </c>
      <c r="B47" s="2"/>
      <c r="C47" s="44"/>
      <c r="D47" s="44"/>
      <c r="E47" s="44"/>
      <c r="F47" s="44"/>
      <c r="G47" s="44"/>
      <c r="H47" s="44"/>
      <c r="I47" s="44"/>
      <c r="J47" s="44"/>
      <c r="K47" s="44"/>
      <c r="L47" s="44" t="n">
        <v>512</v>
      </c>
      <c r="M47" s="45"/>
      <c r="N47" s="44"/>
      <c r="O47" s="44"/>
      <c r="P47" s="44"/>
      <c r="Q47" s="44"/>
      <c r="R47" s="44"/>
      <c r="S47" s="44"/>
      <c r="T47" s="44"/>
      <c r="U47" s="44"/>
      <c r="V47" s="44"/>
      <c r="W47" s="44"/>
      <c r="X47" s="44"/>
    </row>
    <row r="48" ht="22" customHeight="1">
      <c r="A48" s="4" t="str">
        <v>FY2025 year-end contracts — payment year 2030</v>
      </c>
      <c r="B48" s="2"/>
      <c r="C48" s="44"/>
      <c r="D48" s="44"/>
      <c r="E48" s="44"/>
      <c r="F48" s="44"/>
      <c r="G48" s="44"/>
      <c r="H48" s="44"/>
      <c r="I48" s="44"/>
      <c r="J48" s="44"/>
      <c r="K48" s="44"/>
      <c r="L48" s="44" t="n">
        <v>434</v>
      </c>
      <c r="M48" s="45"/>
      <c r="N48" s="44"/>
      <c r="O48" s="44"/>
      <c r="P48" s="44"/>
      <c r="Q48" s="44"/>
      <c r="R48" s="44"/>
      <c r="S48" s="44"/>
      <c r="T48" s="44"/>
      <c r="U48" s="44"/>
      <c r="V48" s="44"/>
      <c r="W48" s="44"/>
      <c r="X48" s="44"/>
    </row>
    <row r="49" ht="22" customHeight="1">
      <c r="A49" s="4" t="str">
        <v>FY2025 year-end contracts — payment year 2031 and beyond</v>
      </c>
      <c r="B49" s="2"/>
      <c r="C49" s="44"/>
      <c r="D49" s="44"/>
      <c r="E49" s="44"/>
      <c r="F49" s="44"/>
      <c r="G49" s="44"/>
      <c r="H49" s="44"/>
      <c r="I49" s="44"/>
      <c r="J49" s="44"/>
      <c r="K49" s="44"/>
      <c r="L49" s="44" t="n">
        <v>1342</v>
      </c>
      <c r="M49" s="45"/>
      <c r="N49" s="44"/>
      <c r="O49" s="44"/>
      <c r="P49" s="44"/>
      <c r="Q49" s="44"/>
      <c r="R49" s="44"/>
      <c r="S49" s="44"/>
      <c r="T49" s="44"/>
      <c r="U49" s="44"/>
      <c r="V49" s="44"/>
      <c r="W49" s="44"/>
      <c r="X49" s="44"/>
    </row>
    <row r="50" ht="22" customHeight="1">
      <c r="A50" s="4" t="str">
        <v>FY2025 year-end contracts — Total lease payments</v>
      </c>
      <c r="B50" s="2"/>
      <c r="C50" s="44"/>
      <c r="D50" s="44"/>
      <c r="E50" s="44"/>
      <c r="F50" s="44"/>
      <c r="G50" s="44"/>
      <c r="H50" s="44"/>
      <c r="I50" s="44"/>
      <c r="J50" s="44"/>
      <c r="K50" s="44"/>
      <c r="L50" s="44" t="n">
        <v>4527</v>
      </c>
      <c r="M50" s="45"/>
      <c r="N50" s="44"/>
      <c r="O50" s="44"/>
      <c r="P50" s="44"/>
      <c r="Q50" s="44"/>
      <c r="R50" s="44"/>
      <c r="S50" s="44"/>
      <c r="T50" s="44"/>
      <c r="U50" s="44"/>
      <c r="V50" s="44"/>
      <c r="W50" s="44"/>
      <c r="X50" s="44"/>
    </row>
    <row r="51" ht="22" customHeight="1">
      <c r="A51" s="4" t="str">
        <v>FY2025 year-end contracts — Less: Imputed interest</v>
      </c>
      <c r="B51" s="2"/>
      <c r="C51" s="44"/>
      <c r="D51" s="44"/>
      <c r="E51" s="44"/>
      <c r="F51" s="44"/>
      <c r="G51" s="44"/>
      <c r="H51" s="44"/>
      <c r="I51" s="44"/>
      <c r="J51" s="44"/>
      <c r="K51" s="44"/>
      <c r="L51" s="44" t="n">
        <v>681</v>
      </c>
      <c r="M51" s="45"/>
      <c r="N51" s="44"/>
      <c r="O51" s="44"/>
      <c r="P51" s="44"/>
      <c r="Q51" s="44"/>
      <c r="R51" s="44"/>
      <c r="S51" s="44"/>
      <c r="T51" s="44"/>
      <c r="U51" s="44"/>
      <c r="V51" s="44"/>
      <c r="W51" s="44"/>
      <c r="X51" s="44"/>
    </row>
    <row r="52" ht="36" customHeight="1">
      <c r="A52" s="4" t="str">
        <v>FY2025 year-end contracts — Present value of lease liabilities</v>
      </c>
      <c r="B52" s="2"/>
      <c r="C52" s="44"/>
      <c r="D52" s="44"/>
      <c r="E52" s="44"/>
      <c r="F52" s="44"/>
      <c r="G52" s="44"/>
      <c r="H52" s="44"/>
      <c r="I52" s="44"/>
      <c r="J52" s="44"/>
      <c r="K52" s="44"/>
      <c r="L52" s="44" t="n">
        <v>3846</v>
      </c>
      <c r="M52" s="45"/>
      <c r="N52" s="44"/>
      <c r="O52" s="44"/>
      <c r="P52" s="44"/>
      <c r="Q52" s="44"/>
      <c r="R52" s="44"/>
      <c r="S52" s="44"/>
      <c r="T52" s="44"/>
      <c r="U52" s="44"/>
      <c r="V52" s="44"/>
      <c r="W52" s="44"/>
      <c r="X52" s="44"/>
    </row>
    <row r="53" ht="22" customHeight="1">
      <c r="A53" s="4"/>
      <c r="B53" s="2"/>
      <c r="C53" s="3"/>
      <c r="D53" s="3"/>
      <c r="E53" s="3"/>
      <c r="F53" s="3"/>
      <c r="G53" s="3"/>
      <c r="H53" s="3"/>
      <c r="I53" s="3"/>
      <c r="J53" s="3"/>
      <c r="K53" s="3"/>
      <c r="L53" s="3"/>
      <c r="M53" s="3"/>
      <c r="N53" s="3"/>
      <c r="O53" s="3"/>
      <c r="P53" s="3"/>
      <c r="Q53" s="3"/>
      <c r="R53" s="3"/>
      <c r="S53" s="3"/>
      <c r="T53" s="3"/>
      <c r="U53" s="3"/>
      <c r="V53" s="3"/>
      <c r="W53" s="3"/>
      <c r="X53" s="3"/>
    </row>
    <row r="54" ht="22" customHeight="1">
      <c r="A54" s="29" t="str">
        <v>Operating lease costs and balances</v>
      </c>
      <c r="B54" s="29"/>
      <c r="C54" s="32"/>
      <c r="D54" s="32"/>
      <c r="E54" s="32"/>
      <c r="F54" s="32"/>
      <c r="G54" s="32"/>
      <c r="H54" s="32"/>
      <c r="I54" s="32"/>
      <c r="J54" s="32"/>
      <c r="K54" s="32"/>
      <c r="L54" s="32"/>
      <c r="M54" s="32"/>
      <c r="N54" s="32"/>
      <c r="O54" s="32"/>
      <c r="P54" s="32"/>
      <c r="Q54" s="32"/>
      <c r="R54" s="32"/>
      <c r="S54" s="32"/>
      <c r="T54" s="32"/>
      <c r="U54" s="32"/>
      <c r="V54" s="32"/>
      <c r="W54" s="32"/>
      <c r="X54" s="32"/>
    </row>
    <row r="55" ht="22" customHeight="1">
      <c r="A55" s="4" t="str">
        <v>Operating lease cost</v>
      </c>
      <c r="B55" s="2"/>
      <c r="C55" s="44"/>
      <c r="D55" s="44"/>
      <c r="E55" s="44"/>
      <c r="F55" s="44" t="n">
        <v>474</v>
      </c>
      <c r="G55" s="44" t="n">
        <v>539</v>
      </c>
      <c r="H55" s="44" t="n">
        <v>563</v>
      </c>
      <c r="I55" s="44" t="n">
        <v>585</v>
      </c>
      <c r="J55" s="44" t="n">
        <v>666</v>
      </c>
      <c r="K55" s="44" t="n">
        <v>788</v>
      </c>
      <c r="L55" s="44" t="n">
        <v>880</v>
      </c>
      <c r="M55" s="45"/>
      <c r="N55" s="44"/>
      <c r="O55" s="44"/>
      <c r="P55" s="44"/>
      <c r="Q55" s="44"/>
      <c r="R55" s="44"/>
      <c r="S55" s="44"/>
      <c r="T55" s="44"/>
      <c r="U55" s="44"/>
      <c r="V55" s="44"/>
      <c r="W55" s="44"/>
      <c r="X55" s="44"/>
    </row>
    <row r="56" ht="22" customHeight="1">
      <c r="A56" s="4" t="str">
        <v>Variable lease cost</v>
      </c>
      <c r="B56" s="2"/>
      <c r="C56" s="44"/>
      <c r="D56" s="44"/>
      <c r="E56" s="44"/>
      <c r="F56" s="44" t="n">
        <v>101</v>
      </c>
      <c r="G56" s="44" t="n">
        <v>111</v>
      </c>
      <c r="H56" s="44" t="n">
        <v>112</v>
      </c>
      <c r="I56" s="44" t="n">
        <v>115</v>
      </c>
      <c r="J56" s="44" t="n">
        <v>146</v>
      </c>
      <c r="K56" s="44" t="n">
        <v>165</v>
      </c>
      <c r="L56" s="44" t="n">
        <v>185</v>
      </c>
      <c r="M56" s="45"/>
      <c r="N56" s="44"/>
      <c r="O56" s="44"/>
      <c r="P56" s="44"/>
      <c r="Q56" s="44"/>
      <c r="R56" s="44"/>
      <c r="S56" s="44"/>
      <c r="T56" s="44"/>
      <c r="U56" s="44"/>
      <c r="V56" s="44"/>
      <c r="W56" s="44"/>
      <c r="X56" s="44"/>
    </row>
    <row r="57" ht="22" customHeight="1">
      <c r="A57" s="4" t="str">
        <v>Short-term lease cost</v>
      </c>
      <c r="B57" s="2"/>
      <c r="C57" s="44"/>
      <c r="D57" s="44"/>
      <c r="E57" s="44"/>
      <c r="F57" s="44" t="n">
        <v>379</v>
      </c>
      <c r="G57" s="44" t="n">
        <v>436</v>
      </c>
      <c r="H57" s="44" t="n">
        <v>469</v>
      </c>
      <c r="I57" s="44" t="n">
        <v>510</v>
      </c>
      <c r="J57" s="44" t="n">
        <v>582</v>
      </c>
      <c r="K57" s="44" t="n">
        <v>566</v>
      </c>
      <c r="L57" s="44" t="n">
        <v>570</v>
      </c>
      <c r="M57" s="45"/>
      <c r="N57" s="44"/>
      <c r="O57" s="44"/>
      <c r="P57" s="44"/>
      <c r="Q57" s="44"/>
      <c r="R57" s="44"/>
      <c r="S57" s="44"/>
      <c r="T57" s="44"/>
      <c r="U57" s="44"/>
      <c r="V57" s="44"/>
      <c r="W57" s="44"/>
      <c r="X57" s="44"/>
    </row>
    <row r="58" ht="36" customHeight="1">
      <c r="A58" s="4" t="str">
        <v>Cash paid for amounts included in the measurement of lease liabilities</v>
      </c>
      <c r="B58" s="2"/>
      <c r="C58" s="44"/>
      <c r="D58" s="44"/>
      <c r="E58" s="44"/>
      <c r="F58" s="44" t="n">
        <v>478</v>
      </c>
      <c r="G58" s="44" t="n">
        <v>555</v>
      </c>
      <c r="H58" s="44" t="n">
        <v>567</v>
      </c>
      <c r="I58" s="44" t="n">
        <v>573</v>
      </c>
      <c r="J58" s="44" t="n">
        <v>655</v>
      </c>
      <c r="K58" s="44" t="n">
        <v>775</v>
      </c>
      <c r="L58" s="44" t="n">
        <v>866</v>
      </c>
      <c r="M58" s="45"/>
      <c r="N58" s="44"/>
      <c r="O58" s="44"/>
      <c r="P58" s="44"/>
      <c r="Q58" s="44"/>
      <c r="R58" s="44"/>
      <c r="S58" s="44"/>
      <c r="T58" s="44"/>
      <c r="U58" s="44"/>
      <c r="V58" s="44"/>
      <c r="W58" s="44"/>
      <c r="X58" s="44"/>
    </row>
    <row r="59" ht="36" customHeight="1">
      <c r="A59" s="4" t="str">
        <v>Right-of-use assets obtained in exchange for lease obligations</v>
      </c>
      <c r="B59" s="2"/>
      <c r="C59" s="44"/>
      <c r="D59" s="44"/>
      <c r="E59" s="44"/>
      <c r="F59" s="44" t="n">
        <v>479</v>
      </c>
      <c r="G59" s="44" t="n">
        <v>621</v>
      </c>
      <c r="H59" s="44" t="n">
        <v>934</v>
      </c>
      <c r="I59" s="44" t="n">
        <v>871</v>
      </c>
      <c r="J59" s="44" t="n">
        <v>1088</v>
      </c>
      <c r="K59" s="44" t="n">
        <v>1218</v>
      </c>
      <c r="L59" s="44" t="n">
        <v>1046</v>
      </c>
      <c r="M59" s="45"/>
      <c r="N59" s="44"/>
      <c r="O59" s="44"/>
      <c r="P59" s="44"/>
      <c r="Q59" s="44"/>
      <c r="R59" s="44"/>
      <c r="S59" s="44"/>
      <c r="T59" s="44"/>
      <c r="U59" s="44"/>
      <c r="V59" s="44"/>
      <c r="W59" s="44"/>
      <c r="X59" s="44"/>
    </row>
    <row r="60" ht="22" customHeight="1">
      <c r="A60" s="4" t="str">
        <v>Right-of-use assets</v>
      </c>
      <c r="B60" s="2"/>
      <c r="C60" s="44"/>
      <c r="D60" s="44"/>
      <c r="E60" s="44"/>
      <c r="F60" s="44" t="n">
        <v>1548</v>
      </c>
      <c r="G60" s="44" t="n">
        <v>1670</v>
      </c>
      <c r="H60" s="44" t="n">
        <v>2020</v>
      </c>
      <c r="I60" s="44" t="n">
        <v>2373</v>
      </c>
      <c r="J60" s="44" t="n">
        <v>2905</v>
      </c>
      <c r="K60" s="44" t="n">
        <v>3383</v>
      </c>
      <c r="L60" s="44" t="n">
        <v>3745</v>
      </c>
      <c r="M60" s="45"/>
      <c r="N60" s="44"/>
      <c r="O60" s="44"/>
      <c r="P60" s="44"/>
      <c r="Q60" s="44"/>
      <c r="R60" s="44"/>
      <c r="S60" s="44"/>
      <c r="T60" s="44"/>
      <c r="U60" s="44"/>
      <c r="V60" s="44"/>
      <c r="W60" s="44"/>
      <c r="X60" s="44"/>
    </row>
    <row r="61" ht="22" customHeight="1">
      <c r="A61" s="4" t="str">
        <v>Current lease liabilities</v>
      </c>
      <c r="B61" s="2"/>
      <c r="C61" s="44"/>
      <c r="D61" s="44"/>
      <c r="E61" s="44"/>
      <c r="F61" s="44" t="n">
        <v>442</v>
      </c>
      <c r="G61" s="44" t="n">
        <v>460</v>
      </c>
      <c r="H61" s="44" t="n">
        <v>446</v>
      </c>
      <c r="I61" s="44" t="n">
        <v>483</v>
      </c>
      <c r="J61" s="44" t="n">
        <v>556</v>
      </c>
      <c r="K61" s="44" t="n">
        <v>642</v>
      </c>
      <c r="L61" s="44" t="n">
        <v>719</v>
      </c>
      <c r="M61" s="45"/>
      <c r="N61" s="44"/>
      <c r="O61" s="44"/>
      <c r="P61" s="44"/>
      <c r="Q61" s="44"/>
      <c r="R61" s="44"/>
      <c r="S61" s="44"/>
      <c r="T61" s="44"/>
      <c r="U61" s="44"/>
      <c r="V61" s="44"/>
      <c r="W61" s="44"/>
      <c r="X61" s="44"/>
    </row>
    <row r="62" ht="22" customHeight="1">
      <c r="A62" s="4" t="str">
        <v>Noncurrent operating lease liabilities</v>
      </c>
      <c r="B62" s="2"/>
      <c r="C62" s="44"/>
      <c r="D62" s="44"/>
      <c r="E62" s="44"/>
      <c r="F62" s="44" t="n">
        <v>1118</v>
      </c>
      <c r="G62" s="44" t="n">
        <v>1233</v>
      </c>
      <c r="H62" s="44" t="n">
        <v>1598</v>
      </c>
      <c r="I62" s="44" t="n">
        <v>1933</v>
      </c>
      <c r="J62" s="44" t="n">
        <v>2400</v>
      </c>
      <c r="K62" s="44" t="n">
        <v>2803</v>
      </c>
      <c r="L62" s="44" t="n">
        <v>3127</v>
      </c>
      <c r="M62" s="45"/>
      <c r="N62" s="44"/>
      <c r="O62" s="44"/>
      <c r="P62" s="44"/>
      <c r="Q62" s="44"/>
      <c r="R62" s="44"/>
      <c r="S62" s="44"/>
      <c r="T62" s="44"/>
      <c r="U62" s="44"/>
      <c r="V62" s="44"/>
      <c r="W62" s="44"/>
      <c r="X62" s="44"/>
    </row>
    <row r="63" ht="20" customHeight="1">
      <c r="A63" s="56" t="str">
        <v>Weighted-average discount rate</v>
      </c>
      <c r="B63" s="2"/>
      <c r="C63" s="58"/>
      <c r="D63" s="58"/>
      <c r="E63" s="58"/>
      <c r="F63" s="58" t="n">
        <v>0.04</v>
      </c>
      <c r="G63" s="58" t="n">
        <v>0.04</v>
      </c>
      <c r="H63" s="58" t="n">
        <v>0.03</v>
      </c>
      <c r="I63" s="58" t="n">
        <v>0.03</v>
      </c>
      <c r="J63" s="58" t="n">
        <v>0.04</v>
      </c>
      <c r="K63" s="58" t="n">
        <v>0.04</v>
      </c>
      <c r="L63" s="58" t="n">
        <v>0.05</v>
      </c>
      <c r="M63" s="60"/>
      <c r="N63" s="58"/>
      <c r="O63" s="58"/>
      <c r="P63" s="58"/>
      <c r="Q63" s="58"/>
      <c r="R63" s="58"/>
      <c r="S63" s="58"/>
      <c r="T63" s="58"/>
      <c r="U63" s="58"/>
      <c r="V63" s="58"/>
      <c r="W63" s="58"/>
      <c r="X63" s="58"/>
    </row>
    <row r="64" ht="22" customHeight="1">
      <c r="A64" s="4"/>
      <c r="B64" s="2"/>
      <c r="C64" s="3"/>
      <c r="D64" s="3"/>
      <c r="E64" s="3"/>
      <c r="F64" s="3"/>
      <c r="G64" s="3"/>
      <c r="H64" s="3"/>
      <c r="I64" s="3"/>
      <c r="J64" s="3"/>
      <c r="K64" s="3"/>
      <c r="L64" s="3"/>
      <c r="M64" s="3"/>
      <c r="N64" s="3"/>
      <c r="O64" s="3"/>
      <c r="P64" s="3"/>
      <c r="Q64" s="3"/>
      <c r="R64" s="3"/>
      <c r="S64" s="3"/>
      <c r="T64" s="3"/>
      <c r="U64" s="3"/>
      <c r="V64" s="3"/>
      <c r="W64" s="3"/>
      <c r="X64" s="3"/>
    </row>
    <row r="65" ht="22" customHeight="1">
      <c r="A65" s="29" t="str">
        <v>Supplier finance</v>
      </c>
      <c r="B65" s="29"/>
      <c r="C65" s="32"/>
      <c r="D65" s="32"/>
      <c r="E65" s="32"/>
      <c r="F65" s="32"/>
      <c r="G65" s="32"/>
      <c r="H65" s="32"/>
      <c r="I65" s="32"/>
      <c r="J65" s="32"/>
      <c r="K65" s="32"/>
      <c r="L65" s="32"/>
      <c r="M65" s="32"/>
      <c r="N65" s="32"/>
      <c r="O65" s="32"/>
      <c r="P65" s="32"/>
      <c r="Q65" s="32"/>
      <c r="R65" s="32"/>
      <c r="S65" s="32"/>
      <c r="T65" s="32"/>
      <c r="U65" s="32"/>
      <c r="V65" s="32"/>
      <c r="W65" s="32"/>
      <c r="X65" s="32"/>
    </row>
    <row r="66" ht="22" customHeight="1">
      <c r="A66" s="4" t="str">
        <v>Confirmed obligations outstanding at beginning of year</v>
      </c>
      <c r="B66" s="2"/>
      <c r="C66" s="44"/>
      <c r="D66" s="44"/>
      <c r="E66" s="44"/>
      <c r="F66" s="44"/>
      <c r="G66" s="44"/>
      <c r="H66" s="44"/>
      <c r="I66" s="44"/>
      <c r="J66" s="44"/>
      <c r="K66" s="44" t="n">
        <v>1655</v>
      </c>
      <c r="L66" s="44" t="n">
        <v>1478</v>
      </c>
      <c r="M66" s="45"/>
      <c r="N66" s="44"/>
      <c r="O66" s="44"/>
      <c r="P66" s="44"/>
      <c r="Q66" s="44"/>
      <c r="R66" s="44"/>
      <c r="S66" s="44"/>
      <c r="T66" s="44"/>
      <c r="U66" s="44"/>
      <c r="V66" s="44"/>
      <c r="W66" s="44"/>
      <c r="X66" s="44"/>
    </row>
    <row r="67" ht="22" customHeight="1">
      <c r="A67" s="4" t="str">
        <v>Invoices confirmed</v>
      </c>
      <c r="B67" s="2"/>
      <c r="C67" s="44"/>
      <c r="D67" s="44"/>
      <c r="E67" s="44"/>
      <c r="F67" s="44"/>
      <c r="G67" s="44"/>
      <c r="H67" s="44"/>
      <c r="I67" s="44"/>
      <c r="J67" s="44"/>
      <c r="K67" s="44" t="n">
        <v>6552</v>
      </c>
      <c r="L67" s="44" t="n">
        <v>6668</v>
      </c>
      <c r="M67" s="45"/>
      <c r="N67" s="44"/>
      <c r="O67" s="44"/>
      <c r="P67" s="44"/>
      <c r="Q67" s="44"/>
      <c r="R67" s="44"/>
      <c r="S67" s="44"/>
      <c r="T67" s="44"/>
      <c r="U67" s="44"/>
      <c r="V67" s="44"/>
      <c r="W67" s="44"/>
      <c r="X67" s="44"/>
    </row>
    <row r="68" ht="22" customHeight="1">
      <c r="A68" s="4" t="str">
        <v>Confirmed invoices paid</v>
      </c>
      <c r="B68" s="2"/>
      <c r="C68" s="44"/>
      <c r="D68" s="44"/>
      <c r="E68" s="44"/>
      <c r="F68" s="44"/>
      <c r="G68" s="44"/>
      <c r="H68" s="44"/>
      <c r="I68" s="44"/>
      <c r="J68" s="44"/>
      <c r="K68" s="44" t="n">
        <v>-6636</v>
      </c>
      <c r="L68" s="44" t="n">
        <v>-6547</v>
      </c>
      <c r="M68" s="45"/>
      <c r="N68" s="44"/>
      <c r="O68" s="44"/>
      <c r="P68" s="44"/>
      <c r="Q68" s="44"/>
      <c r="R68" s="44"/>
      <c r="S68" s="44"/>
      <c r="T68" s="44"/>
      <c r="U68" s="44"/>
      <c r="V68" s="44"/>
      <c r="W68" s="44"/>
      <c r="X68" s="44"/>
    </row>
    <row r="69" ht="22" customHeight="1">
      <c r="A69" s="4" t="str">
        <v>Translation and other</v>
      </c>
      <c r="B69" s="2"/>
      <c r="C69" s="44"/>
      <c r="D69" s="44"/>
      <c r="E69" s="44"/>
      <c r="F69" s="44"/>
      <c r="G69" s="44"/>
      <c r="H69" s="44"/>
      <c r="I69" s="44"/>
      <c r="J69" s="44"/>
      <c r="K69" s="44" t="n">
        <v>-93</v>
      </c>
      <c r="L69" s="44" t="n">
        <v>82</v>
      </c>
      <c r="M69" s="45"/>
      <c r="N69" s="44"/>
      <c r="O69" s="44"/>
      <c r="P69" s="44"/>
      <c r="Q69" s="44"/>
      <c r="R69" s="44"/>
      <c r="S69" s="44"/>
      <c r="T69" s="44"/>
      <c r="U69" s="44"/>
      <c r="V69" s="44"/>
      <c r="W69" s="44"/>
      <c r="X69" s="44"/>
    </row>
    <row r="70" ht="22" customHeight="1">
      <c r="A70" s="4" t="str">
        <v>Confirmed obligations outstanding at end of year</v>
      </c>
      <c r="B70" s="2"/>
      <c r="C70" s="44"/>
      <c r="D70" s="44"/>
      <c r="E70" s="44"/>
      <c r="F70" s="44"/>
      <c r="G70" s="44"/>
      <c r="H70" s="44"/>
      <c r="I70" s="44"/>
      <c r="J70" s="44"/>
      <c r="K70" s="44" t="n">
        <v>1478</v>
      </c>
      <c r="L70" s="44" t="n">
        <v>1681</v>
      </c>
      <c r="M70" s="45"/>
      <c r="N70" s="44"/>
      <c r="O70" s="44"/>
      <c r="P70" s="44"/>
      <c r="Q70" s="44"/>
      <c r="R70" s="44"/>
      <c r="S70" s="44"/>
      <c r="T70" s="44"/>
      <c r="U70" s="44"/>
      <c r="V70" s="44"/>
      <c r="W70" s="44"/>
      <c r="X70" s="44"/>
    </row>
    <row r="71" ht="22" customHeight="1">
      <c r="A71" s="4"/>
      <c r="B71" s="2"/>
      <c r="C71" s="3"/>
      <c r="D71" s="3"/>
      <c r="E71" s="3"/>
      <c r="F71" s="3"/>
      <c r="G71" s="3"/>
      <c r="H71" s="3"/>
      <c r="I71" s="3"/>
      <c r="J71" s="3"/>
      <c r="K71" s="3"/>
      <c r="L71" s="3"/>
      <c r="M71" s="3"/>
      <c r="N71" s="3"/>
      <c r="O71" s="3"/>
      <c r="P71" s="3"/>
      <c r="Q71" s="3"/>
      <c r="R71" s="3"/>
      <c r="S71" s="3"/>
      <c r="T71" s="3"/>
      <c r="U71" s="3"/>
      <c r="V71" s="3"/>
      <c r="W71" s="3"/>
      <c r="X71" s="3"/>
    </row>
  </sheetData>
  <mergeCells>
    <mergeCell ref="A1:X1"/>
    <mergeCell ref="A2:X2"/>
    <mergeCell ref="C7:L7"/>
    <mergeCell ref="N7:X7"/>
    <mergeCell ref="C8:L8"/>
    <mergeCell ref="N8:X8"/>
    <mergeCell ref="C9:L9"/>
    <mergeCell ref="N9:X9"/>
    <mergeCell ref="A13:X13"/>
    <mergeCell ref="A14:X14"/>
    <mergeCell ref="A18:X18"/>
    <mergeCell ref="A19:X19"/>
    <mergeCell ref="A36:X36"/>
    <mergeCell ref="A37:X37"/>
    <mergeCell ref="A42:X42"/>
    <mergeCell ref="A43:X43"/>
    <mergeCell ref="A54:X54"/>
    <mergeCell ref="A65:X65"/>
  </mergeCells>
  <hyperlinks>
    <hyperlink ref="A3" location="'Contents'!A1" display="Metric (Return to Contents)"/>
    <hyperlink ref="C7" location="'Debt &amp; Leases'!A13" display="Interest-bearing debt balances: ten-year history and recent periods"/>
    <hyperlink ref="N7" location="'Debt &amp; Leases'!A18" display="FY2025 debt composition and maturity groups"/>
    <hyperlink ref="C8" location="'Debt &amp; Leases'!A36" display="Recent debt issuances: interest rates and principal"/>
    <hyperlink ref="N8" location="'Debt &amp; Leases'!A42" display="FY2025 operating lease payment maturities"/>
    <hyperlink ref="C9" location="'Debt &amp; Leases'!A54" display="Operating lease costs and balances"/>
    <hyperlink ref="N9" location="'Debt &amp; Leases'!A65" display="Supplier finance"/>
  </hyperlinks>
  <pageMargins left="0.7" right="0.7" top="0.75" bottom="0.75" header="0.3" footer="0.3"/>
</worksheet>
</file>

<file path=xl/worksheets/sheet11.xml><?xml version="1.0" encoding="utf-8"?>
<worksheet xmlns="http://schemas.openxmlformats.org/spreadsheetml/2006/main">
  <sheetPr>
    <tabColor rgb="FFB08958"/>
  </sheetPr>
  <sheetViews>
    <sheetView showGridLines="0" workbookViewId="0">
      <pane xSplit="2" ySplit="5" topLeftCell="C6" activePane="bottomRight" state="frozen"/>
    </sheetView>
  </sheetViews>
  <sheetFormatPr defaultRowHeight="15"/>
  <cols>
    <col min="1" max="1" width="60" hidden="0" customWidth="1"/>
    <col min="2" max="2" width="2.200000047683716" hidden="0" customWidth="1"/>
    <col min="3" max="3" width="12.199999809265137" hidden="0" customWidth="1"/>
    <col min="4" max="4" width="12.199999809265137" hidden="0" customWidth="1"/>
    <col min="5" max="5" width="12.199999809265137" hidden="0" customWidth="1"/>
    <col min="6" max="6" width="12.199999809265137" hidden="0" customWidth="1"/>
    <col min="7" max="7" width="12.199999809265137" hidden="0" customWidth="1"/>
    <col min="8" max="8" width="12.199999809265137" hidden="0" customWidth="1"/>
    <col min="9" max="9" width="12.199999809265137" hidden="0" customWidth="1"/>
    <col min="10" max="10" width="12.199999809265137" hidden="0" customWidth="1"/>
    <col min="11" max="11" width="12.199999809265137" hidden="0" customWidth="1"/>
    <col min="12" max="12" width="12.199999809265137" hidden="0" customWidth="1"/>
    <col min="13" max="13" width="3" hidden="0" customWidth="1"/>
    <col min="14" max="14" width="12.199999809265137" hidden="0" customWidth="1"/>
    <col min="15" max="15" width="12.199999809265137" hidden="0" customWidth="1"/>
    <col min="16" max="16" width="12.199999809265137" hidden="0" customWidth="1"/>
    <col min="17" max="17" width="12.199999809265137" hidden="0" customWidth="1"/>
    <col min="18" max="18" width="12.199999809265137" hidden="0" customWidth="1"/>
    <col min="19" max="19" width="12.199999809265137" hidden="0" customWidth="1"/>
    <col min="20" max="20" width="12.199999809265137" hidden="0" customWidth="1"/>
    <col min="21" max="21" width="12.199999809265137" hidden="0" customWidth="1"/>
    <col min="22" max="22" width="12.199999809265137" hidden="0" customWidth="1"/>
    <col min="23" max="23" width="12.199999809265137" hidden="0" customWidth="1"/>
    <col min="24" max="24" width="12.199999809265137" hidden="0" customWidth="1"/>
  </cols>
  <sheetData>
    <row r="1" ht="28" customHeight="1">
      <c r="A1" s="7" t="str">
        <v>PepsiCo PEP — Investments</v>
      </c>
      <c r="B1" s="7"/>
      <c r="C1" s="7"/>
      <c r="D1" s="7"/>
      <c r="E1" s="7"/>
      <c r="F1" s="7"/>
      <c r="G1" s="7"/>
      <c r="H1" s="7"/>
      <c r="I1" s="7"/>
      <c r="J1" s="7"/>
      <c r="K1" s="7"/>
      <c r="L1" s="7"/>
      <c r="M1" s="7"/>
      <c r="N1" s="7"/>
      <c r="O1" s="7"/>
      <c r="P1" s="7"/>
      <c r="Q1" s="7"/>
      <c r="R1" s="7"/>
      <c r="S1" s="7"/>
      <c r="T1" s="7"/>
      <c r="U1" s="7"/>
      <c r="V1" s="7"/>
      <c r="W1" s="7"/>
      <c r="X1" s="7"/>
    </row>
    <row r="2" ht="18" customHeight="1">
      <c r="A2" s="8" t="str">
        <v>USD millions; per-share amounts, share counts and percentages as labeled. US GAAP. As of 2026-10-20.</v>
      </c>
      <c r="B2" s="8"/>
      <c r="C2" s="8"/>
      <c r="D2" s="8"/>
      <c r="E2" s="8"/>
      <c r="F2" s="8"/>
      <c r="G2" s="8"/>
      <c r="H2" s="8"/>
      <c r="I2" s="8"/>
      <c r="J2" s="8"/>
      <c r="K2" s="8"/>
      <c r="L2" s="8"/>
      <c r="M2" s="8"/>
      <c r="N2" s="8"/>
      <c r="O2" s="8"/>
      <c r="P2" s="8"/>
      <c r="Q2" s="8"/>
      <c r="R2" s="8"/>
      <c r="S2" s="8"/>
      <c r="T2" s="8"/>
      <c r="U2" s="8"/>
      <c r="V2" s="8"/>
      <c r="W2" s="8"/>
      <c r="X2" s="8"/>
    </row>
    <row r="3" ht="24" customHeight="1">
      <c r="A3" s="9" t="str">
        <v>Metric (Return to Contents)</v>
      </c>
      <c r="B3" s="2"/>
      <c r="C3" s="13" t="str">
        <v>FY2016</v>
      </c>
      <c r="D3" s="13" t="str">
        <v>FY2017</v>
      </c>
      <c r="E3" s="13" t="str">
        <v>FY2018</v>
      </c>
      <c r="F3" s="13" t="str">
        <v>FY2019</v>
      </c>
      <c r="G3" s="13" t="str">
        <v>FY2020</v>
      </c>
      <c r="H3" s="13" t="str">
        <v>FY2021</v>
      </c>
      <c r="I3" s="13" t="str">
        <v>FY2022</v>
      </c>
      <c r="J3" s="13" t="str">
        <v>FY2023</v>
      </c>
      <c r="K3" s="13" t="str">
        <v>FY2024</v>
      </c>
      <c r="L3" s="13" t="str">
        <v>FY2025</v>
      </c>
      <c r="M3" s="2"/>
      <c r="N3" s="22" t="str">
        <v>FY2024Q1</v>
      </c>
      <c r="O3" s="22" t="str">
        <v>FY2024Q2</v>
      </c>
      <c r="P3" s="22" t="str">
        <v>FY2024Q3</v>
      </c>
      <c r="Q3" s="22" t="str">
        <v>FY2024Q4</v>
      </c>
      <c r="R3" s="22" t="str">
        <v>FY2025Q1</v>
      </c>
      <c r="S3" s="22" t="str">
        <v>FY2025Q2</v>
      </c>
      <c r="T3" s="22" t="str">
        <v>FY2025Q3</v>
      </c>
      <c r="U3" s="22" t="str">
        <v>FY2025Q4</v>
      </c>
      <c r="V3" s="22" t="str">
        <v>FY2026Q1</v>
      </c>
      <c r="W3" s="22" t="str">
        <v>FY2026Q2</v>
      </c>
      <c r="X3" s="22" t="str">
        <v>FY2026Q3</v>
      </c>
    </row>
    <row r="4" ht="18" customHeight="1">
      <c r="A4" s="2"/>
      <c r="B4" s="2"/>
      <c r="C4" s="17" t="d">
        <v>2016-12-31T00:00:00.000Z</v>
      </c>
      <c r="D4" s="17" t="d">
        <v>2017-12-30T00:00:00.000Z</v>
      </c>
      <c r="E4" s="17" t="d">
        <v>2018-12-29T00:00:00.000Z</v>
      </c>
      <c r="F4" s="17" t="d">
        <v>2019-12-28T00:00:00.000Z</v>
      </c>
      <c r="G4" s="17" t="d">
        <v>2020-12-26T00:00:00.000Z</v>
      </c>
      <c r="H4" s="17" t="d">
        <v>2021-12-25T00:00:00.000Z</v>
      </c>
      <c r="I4" s="17" t="d">
        <v>2022-12-31T00:00:00.000Z</v>
      </c>
      <c r="J4" s="17" t="d">
        <v>2023-12-30T00:00:00.000Z</v>
      </c>
      <c r="K4" s="17" t="d">
        <v>2024-12-28T00:00:00.000Z</v>
      </c>
      <c r="L4" s="17" t="d">
        <v>2025-12-27T00:00:00.000Z</v>
      </c>
      <c r="M4" s="2"/>
      <c r="N4" s="17" t="d">
        <v>2024-03-23T00:00:00.000Z</v>
      </c>
      <c r="O4" s="17" t="d">
        <v>2024-06-15T00:00:00.000Z</v>
      </c>
      <c r="P4" s="17" t="d">
        <v>2024-09-07T00:00:00.000Z</v>
      </c>
      <c r="Q4" s="17" t="d">
        <v>2024-12-28T00:00:00.000Z</v>
      </c>
      <c r="R4" s="17" t="d">
        <v>2025-03-22T00:00:00.000Z</v>
      </c>
      <c r="S4" s="17" t="d">
        <v>2025-06-14T00:00:00.000Z</v>
      </c>
      <c r="T4" s="17" t="d">
        <v>2025-09-06T00:00:00.000Z</v>
      </c>
      <c r="U4" s="17" t="d">
        <v>2025-12-27T00:00:00.000Z</v>
      </c>
      <c r="V4" s="17" t="d">
        <v>2026-03-21T00:00:00.000Z</v>
      </c>
      <c r="W4" s="17" t="d">
        <v>2026-06-13T00:00:00.000Z</v>
      </c>
      <c r="X4" s="17" t="d">
        <v>2026-09-05T00:00:00.000Z</v>
      </c>
    </row>
    <row r="5" ht="18" customHeight="1">
      <c r="A5" s="8" t="str">
        <v>Annual at left; quarterly / period-end at right; YTD as labeled</v>
      </c>
      <c r="B5" s="2"/>
      <c r="C5" s="18" t="str">
        <v>Year / year-end</v>
      </c>
      <c r="D5" s="18" t="str">
        <v>Year / year-end</v>
      </c>
      <c r="E5" s="18" t="str">
        <v>Year / year-end</v>
      </c>
      <c r="F5" s="18" t="str">
        <v>Year / year-end</v>
      </c>
      <c r="G5" s="18" t="str">
        <v>Year / year-end</v>
      </c>
      <c r="H5" s="18" t="str">
        <v>Year / year-end</v>
      </c>
      <c r="I5" s="18" t="str">
        <v>Year / year-end</v>
      </c>
      <c r="J5" s="18" t="str">
        <v>Year / year-end</v>
      </c>
      <c r="K5" s="18" t="str">
        <v>Year / year-end</v>
      </c>
      <c r="L5" s="18" t="str">
        <v>Year / year-end</v>
      </c>
      <c r="M5" s="2"/>
      <c r="N5" s="18" t="str">
        <v>Quarter / end</v>
      </c>
      <c r="O5" s="18" t="str">
        <v>Quarter / end</v>
      </c>
      <c r="P5" s="18" t="str">
        <v>Quarter / end</v>
      </c>
      <c r="Q5" s="18" t="str">
        <v>Quarter / end</v>
      </c>
      <c r="R5" s="18" t="str">
        <v>Quarter / end</v>
      </c>
      <c r="S5" s="18" t="str">
        <v>Quarter / end</v>
      </c>
      <c r="T5" s="18" t="str">
        <v>Quarter / end</v>
      </c>
      <c r="U5" s="18" t="str">
        <v>Quarter / end</v>
      </c>
      <c r="V5" s="18" t="str">
        <v>Quarter / end</v>
      </c>
      <c r="W5" s="18" t="str">
        <v>Quarter / end</v>
      </c>
      <c r="X5" s="18" t="str">
        <v>Quarter / end</v>
      </c>
    </row>
    <row r="6" ht="8" customHeight="1">
      <c r="A6" s="2"/>
      <c r="B6" s="2"/>
      <c r="C6" s="2"/>
      <c r="D6" s="2"/>
      <c r="E6" s="2"/>
      <c r="F6" s="2"/>
      <c r="G6" s="2"/>
      <c r="H6" s="2"/>
      <c r="I6" s="2"/>
      <c r="J6" s="2"/>
      <c r="K6" s="2"/>
      <c r="L6" s="2"/>
      <c r="M6" s="2"/>
      <c r="N6" s="2"/>
      <c r="O6" s="2"/>
      <c r="P6" s="2"/>
      <c r="Q6" s="2"/>
      <c r="R6" s="2"/>
      <c r="S6" s="2"/>
      <c r="T6" s="2"/>
      <c r="U6" s="2"/>
      <c r="V6" s="2"/>
      <c r="W6" s="2"/>
      <c r="X6" s="2"/>
    </row>
    <row r="7" ht="22" customHeight="1">
      <c r="A7" s="23" t="str">
        <v>On this sheet</v>
      </c>
      <c r="B7" s="2"/>
      <c r="C7" s="26" t="str">
        <v>Financial instruments and fair value</v>
      </c>
      <c r="D7" s="26"/>
      <c r="E7" s="26"/>
      <c r="F7" s="26"/>
      <c r="G7" s="26"/>
      <c r="H7" s="26"/>
      <c r="I7" s="26"/>
      <c r="J7" s="26"/>
      <c r="K7" s="26"/>
      <c r="L7" s="26"/>
      <c r="M7" s="3"/>
      <c r="N7" s="26" t="str">
        <v>Financial instruments and fair value: YTD</v>
      </c>
      <c r="O7" s="26"/>
      <c r="P7" s="26"/>
      <c r="Q7" s="26"/>
      <c r="R7" s="26"/>
      <c r="S7" s="26"/>
      <c r="T7" s="26"/>
      <c r="U7" s="26"/>
      <c r="V7" s="26"/>
      <c r="W7" s="26"/>
      <c r="X7" s="26"/>
    </row>
    <row r="8" ht="22" customHeight="1">
      <c r="A8" s="4"/>
      <c r="B8" s="2"/>
      <c r="C8" s="3"/>
      <c r="D8" s="3"/>
      <c r="E8" s="3"/>
      <c r="F8" s="3"/>
      <c r="G8" s="3"/>
      <c r="H8" s="3"/>
      <c r="I8" s="3"/>
      <c r="J8" s="3"/>
      <c r="K8" s="3"/>
      <c r="L8" s="3"/>
      <c r="M8" s="3"/>
      <c r="N8" s="3"/>
      <c r="O8" s="3"/>
      <c r="P8" s="3"/>
      <c r="Q8" s="3"/>
      <c r="R8" s="3"/>
      <c r="S8" s="3"/>
      <c r="T8" s="3"/>
      <c r="U8" s="3"/>
      <c r="V8" s="3"/>
      <c r="W8" s="3"/>
      <c r="X8" s="3"/>
    </row>
    <row r="9" ht="22" customHeight="1">
      <c r="A9" s="4"/>
      <c r="B9" s="2"/>
      <c r="C9" s="3"/>
      <c r="D9" s="3"/>
      <c r="E9" s="3"/>
      <c r="F9" s="3"/>
      <c r="G9" s="3"/>
      <c r="H9" s="3"/>
      <c r="I9" s="3"/>
      <c r="J9" s="3"/>
      <c r="K9" s="3"/>
      <c r="L9" s="3"/>
      <c r="M9" s="3"/>
      <c r="N9" s="3"/>
      <c r="O9" s="3"/>
      <c r="P9" s="3"/>
      <c r="Q9" s="3"/>
      <c r="R9" s="3"/>
      <c r="S9" s="3"/>
      <c r="T9" s="3"/>
      <c r="U9" s="3"/>
      <c r="V9" s="3"/>
      <c r="W9" s="3"/>
      <c r="X9" s="3"/>
    </row>
    <row r="10" ht="22" customHeight="1">
      <c r="A10" s="4"/>
      <c r="B10" s="2"/>
      <c r="C10" s="3"/>
      <c r="D10" s="3"/>
      <c r="E10" s="3"/>
      <c r="F10" s="3"/>
      <c r="G10" s="3"/>
      <c r="H10" s="3"/>
      <c r="I10" s="3"/>
      <c r="J10" s="3"/>
      <c r="K10" s="3"/>
      <c r="L10" s="3"/>
      <c r="M10" s="3"/>
      <c r="N10" s="3"/>
      <c r="O10" s="3"/>
      <c r="P10" s="3"/>
      <c r="Q10" s="3"/>
      <c r="R10" s="3"/>
      <c r="S10" s="3"/>
      <c r="T10" s="3"/>
      <c r="U10" s="3"/>
      <c r="V10" s="3"/>
      <c r="W10" s="3"/>
      <c r="X10" s="3"/>
    </row>
    <row r="11" ht="22" customHeight="1">
      <c r="A11" s="29" t="str">
        <v>Financial instruments and fair value</v>
      </c>
      <c r="B11" s="29"/>
      <c r="C11" s="32"/>
      <c r="D11" s="32"/>
      <c r="E11" s="32"/>
      <c r="F11" s="32"/>
      <c r="G11" s="32"/>
      <c r="H11" s="32"/>
      <c r="I11" s="32"/>
      <c r="J11" s="32"/>
      <c r="K11" s="32"/>
      <c r="L11" s="32"/>
      <c r="M11" s="32"/>
      <c r="N11" s="32"/>
      <c r="O11" s="32"/>
      <c r="P11" s="32"/>
      <c r="Q11" s="32"/>
      <c r="R11" s="32"/>
      <c r="S11" s="32"/>
      <c r="T11" s="32"/>
      <c r="U11" s="32"/>
      <c r="V11" s="32"/>
      <c r="W11" s="32"/>
      <c r="X11" s="32"/>
    </row>
    <row r="12" ht="18" customHeight="1">
      <c r="A12" s="33" t="str">
        <v>Read assets/liabilities and hedging types separately. Amounts labeled in billions are notionals, not investment carrying balances.</v>
      </c>
      <c r="B12" s="33"/>
      <c r="C12" s="35"/>
      <c r="D12" s="35"/>
      <c r="E12" s="35"/>
      <c r="F12" s="35"/>
      <c r="G12" s="35"/>
      <c r="H12" s="35"/>
      <c r="I12" s="35"/>
      <c r="J12" s="35"/>
      <c r="K12" s="35"/>
      <c r="L12" s="35"/>
      <c r="M12" s="35"/>
      <c r="N12" s="35"/>
      <c r="O12" s="35"/>
      <c r="P12" s="35"/>
      <c r="Q12" s="35"/>
      <c r="R12" s="35"/>
      <c r="S12" s="35"/>
      <c r="T12" s="35"/>
      <c r="U12" s="35"/>
      <c r="V12" s="35"/>
      <c r="W12" s="35"/>
      <c r="X12" s="35"/>
    </row>
    <row r="13" ht="24" customHeight="1">
      <c r="A13" s="39" t="str">
        <v>Investments, securities and other financial instruments</v>
      </c>
      <c r="B13" s="40"/>
      <c r="C13" s="41"/>
      <c r="D13" s="41"/>
      <c r="E13" s="41"/>
      <c r="F13" s="41"/>
      <c r="G13" s="41"/>
      <c r="H13" s="41"/>
      <c r="I13" s="41"/>
      <c r="J13" s="41"/>
      <c r="K13" s="41"/>
      <c r="L13" s="41"/>
      <c r="M13" s="42"/>
      <c r="N13" s="41"/>
      <c r="O13" s="41"/>
      <c r="P13" s="41"/>
      <c r="Q13" s="41"/>
      <c r="R13" s="41"/>
      <c r="S13" s="41"/>
      <c r="T13" s="41"/>
      <c r="U13" s="41"/>
      <c r="V13" s="41"/>
      <c r="W13" s="41"/>
      <c r="X13" s="41"/>
    </row>
    <row r="14" ht="22" customHeight="1">
      <c r="A14" s="4" t="str">
        <v>Equity securities — Assets</v>
      </c>
      <c r="B14" s="2"/>
      <c r="C14" s="44" t="n">
        <v>82</v>
      </c>
      <c r="D14" s="44" t="n">
        <v>0</v>
      </c>
      <c r="E14" s="44"/>
      <c r="F14" s="44"/>
      <c r="G14" s="44"/>
      <c r="H14" s="44"/>
      <c r="I14" s="44"/>
      <c r="J14" s="44"/>
      <c r="K14" s="44"/>
      <c r="L14" s="44"/>
      <c r="M14" s="45"/>
      <c r="N14" s="44"/>
      <c r="O14" s="44"/>
      <c r="P14" s="44"/>
      <c r="Q14" s="44"/>
      <c r="R14" s="44"/>
      <c r="S14" s="44"/>
      <c r="T14" s="44"/>
      <c r="U14" s="44"/>
      <c r="V14" s="44"/>
      <c r="W14" s="44"/>
      <c r="X14" s="44"/>
    </row>
    <row r="15" ht="22" customHeight="1">
      <c r="A15" s="4" t="str">
        <v>Equity securities — Liabilities</v>
      </c>
      <c r="B15" s="2"/>
      <c r="C15" s="44" t="n">
        <v>0</v>
      </c>
      <c r="D15" s="44" t="n">
        <v>0</v>
      </c>
      <c r="E15" s="44"/>
      <c r="F15" s="44"/>
      <c r="G15" s="44"/>
      <c r="H15" s="44"/>
      <c r="I15" s="44"/>
      <c r="J15" s="44"/>
      <c r="K15" s="44"/>
      <c r="L15" s="44"/>
      <c r="M15" s="45"/>
      <c r="N15" s="44"/>
      <c r="O15" s="44"/>
      <c r="P15" s="44"/>
      <c r="Q15" s="44"/>
      <c r="R15" s="44"/>
      <c r="S15" s="44"/>
      <c r="T15" s="44"/>
      <c r="U15" s="44"/>
      <c r="V15" s="44"/>
      <c r="W15" s="44"/>
      <c r="X15" s="44"/>
    </row>
    <row r="16" ht="22" customHeight="1">
      <c r="A16" s="4" t="str">
        <v>Debt securities — Assets</v>
      </c>
      <c r="B16" s="2"/>
      <c r="C16" s="44" t="n">
        <v>11369</v>
      </c>
      <c r="D16" s="44" t="n">
        <v>14510</v>
      </c>
      <c r="E16" s="44"/>
      <c r="F16" s="44"/>
      <c r="G16" s="44"/>
      <c r="H16" s="44"/>
      <c r="I16" s="44"/>
      <c r="J16" s="44"/>
      <c r="K16" s="44"/>
      <c r="L16" s="44"/>
      <c r="M16" s="45"/>
      <c r="N16" s="44"/>
      <c r="O16" s="44"/>
      <c r="P16" s="44"/>
      <c r="Q16" s="44"/>
      <c r="R16" s="44"/>
      <c r="S16" s="44"/>
      <c r="T16" s="44"/>
      <c r="U16" s="44"/>
      <c r="V16" s="44"/>
      <c r="W16" s="44"/>
      <c r="X16" s="44"/>
    </row>
    <row r="17" ht="22" customHeight="1">
      <c r="A17" s="4" t="str">
        <v>Debt securities — Liabilities</v>
      </c>
      <c r="B17" s="2"/>
      <c r="C17" s="44" t="n">
        <v>0</v>
      </c>
      <c r="D17" s="44" t="n">
        <v>0</v>
      </c>
      <c r="E17" s="44"/>
      <c r="F17" s="44"/>
      <c r="G17" s="44"/>
      <c r="H17" s="44"/>
      <c r="I17" s="44"/>
      <c r="J17" s="44"/>
      <c r="K17" s="44"/>
      <c r="L17" s="44"/>
      <c r="M17" s="45"/>
      <c r="N17" s="44"/>
      <c r="O17" s="44"/>
      <c r="P17" s="44"/>
      <c r="Q17" s="44"/>
      <c r="R17" s="44"/>
      <c r="S17" s="44"/>
      <c r="T17" s="44"/>
      <c r="U17" s="44"/>
      <c r="V17" s="44"/>
      <c r="W17" s="44"/>
      <c r="X17" s="44"/>
    </row>
    <row r="18" ht="36" customHeight="1">
      <c r="A18" s="4" t="str">
        <v>Available-for-sale securities — Assets — subtotal (unlabeled in filing)</v>
      </c>
      <c r="B18" s="2"/>
      <c r="C18" s="44" t="n">
        <v>11451</v>
      </c>
      <c r="D18" s="44" t="n">
        <v>14510</v>
      </c>
      <c r="E18" s="44"/>
      <c r="F18" s="44"/>
      <c r="G18" s="44"/>
      <c r="H18" s="44"/>
      <c r="I18" s="44"/>
      <c r="J18" s="44"/>
      <c r="K18" s="44"/>
      <c r="L18" s="44"/>
      <c r="M18" s="45"/>
      <c r="N18" s="44"/>
      <c r="O18" s="44"/>
      <c r="P18" s="44"/>
      <c r="Q18" s="44"/>
      <c r="R18" s="44"/>
      <c r="S18" s="44"/>
      <c r="T18" s="44"/>
      <c r="U18" s="44"/>
      <c r="V18" s="44"/>
      <c r="W18" s="44"/>
      <c r="X18" s="44"/>
    </row>
    <row r="19" ht="36" customHeight="1">
      <c r="A19" s="4" t="str">
        <v>Available-for-sale securities — Liabilities — subtotal (unlabeled in filing)</v>
      </c>
      <c r="B19" s="2"/>
      <c r="C19" s="44" t="n">
        <v>0</v>
      </c>
      <c r="D19" s="44" t="n">
        <v>0</v>
      </c>
      <c r="E19" s="44"/>
      <c r="F19" s="44"/>
      <c r="G19" s="44"/>
      <c r="H19" s="44"/>
      <c r="I19" s="44"/>
      <c r="J19" s="44"/>
      <c r="K19" s="44"/>
      <c r="L19" s="44"/>
      <c r="M19" s="45"/>
      <c r="N19" s="44"/>
      <c r="O19" s="44"/>
      <c r="P19" s="44"/>
      <c r="Q19" s="44"/>
      <c r="R19" s="44"/>
      <c r="S19" s="44"/>
      <c r="T19" s="44"/>
      <c r="U19" s="44"/>
      <c r="V19" s="44"/>
      <c r="W19" s="44"/>
      <c r="X19" s="44"/>
    </row>
    <row r="20" ht="22" customHeight="1">
      <c r="A20" s="4" t="str">
        <v>Short-term investments — Assets</v>
      </c>
      <c r="B20" s="2"/>
      <c r="C20" s="44" t="n">
        <v>193</v>
      </c>
      <c r="D20" s="44" t="n">
        <v>228</v>
      </c>
      <c r="E20" s="44" t="n">
        <v>196</v>
      </c>
      <c r="F20" s="44" t="n">
        <v>229</v>
      </c>
      <c r="G20" s="44"/>
      <c r="H20" s="44"/>
      <c r="I20" s="44"/>
      <c r="J20" s="44"/>
      <c r="K20" s="44"/>
      <c r="L20" s="44"/>
      <c r="M20" s="45"/>
      <c r="N20" s="44"/>
      <c r="O20" s="44"/>
      <c r="P20" s="44"/>
      <c r="Q20" s="44"/>
      <c r="R20" s="44"/>
      <c r="S20" s="44"/>
      <c r="T20" s="44"/>
      <c r="U20" s="44"/>
      <c r="V20" s="44"/>
      <c r="W20" s="44"/>
      <c r="X20" s="44"/>
    </row>
    <row r="21" ht="22" customHeight="1">
      <c r="A21" s="4" t="str">
        <v>Short-term investments — Liabilities</v>
      </c>
      <c r="B21" s="2"/>
      <c r="C21" s="44" t="n">
        <v>0</v>
      </c>
      <c r="D21" s="44" t="n">
        <v>0</v>
      </c>
      <c r="E21" s="44" t="n">
        <v>0</v>
      </c>
      <c r="F21" s="44" t="n">
        <v>0</v>
      </c>
      <c r="G21" s="44"/>
      <c r="H21" s="44"/>
      <c r="I21" s="44"/>
      <c r="J21" s="44"/>
      <c r="K21" s="44"/>
      <c r="L21" s="44"/>
      <c r="M21" s="45"/>
      <c r="N21" s="44"/>
      <c r="O21" s="44"/>
      <c r="P21" s="44"/>
      <c r="Q21" s="44"/>
      <c r="R21" s="44"/>
      <c r="S21" s="44"/>
      <c r="T21" s="44"/>
      <c r="U21" s="44"/>
      <c r="V21" s="44"/>
      <c r="W21" s="44"/>
      <c r="X21" s="44"/>
    </row>
    <row r="22" ht="22" customHeight="1">
      <c r="A22" s="4" t="str">
        <v>Prepaid forward contracts — Assets</v>
      </c>
      <c r="B22" s="2"/>
      <c r="C22" s="44" t="n">
        <v>25</v>
      </c>
      <c r="D22" s="44" t="n">
        <v>27</v>
      </c>
      <c r="E22" s="44" t="n">
        <v>22</v>
      </c>
      <c r="F22" s="44" t="n">
        <v>17</v>
      </c>
      <c r="G22" s="44" t="n">
        <v>18</v>
      </c>
      <c r="H22" s="44" t="n">
        <v>21</v>
      </c>
      <c r="I22" s="44" t="n">
        <v>14</v>
      </c>
      <c r="J22" s="44" t="n">
        <v>13</v>
      </c>
      <c r="K22" s="44" t="n">
        <v>15</v>
      </c>
      <c r="L22" s="44"/>
      <c r="M22" s="45"/>
      <c r="N22" s="44" t="n">
        <v>13</v>
      </c>
      <c r="O22" s="44" t="n">
        <v>13</v>
      </c>
      <c r="P22" s="44" t="n">
        <v>17</v>
      </c>
      <c r="Q22" s="44"/>
      <c r="R22" s="44" t="n">
        <v>9</v>
      </c>
      <c r="S22" s="44" t="n">
        <v>8</v>
      </c>
      <c r="T22" s="44" t="n">
        <v>9</v>
      </c>
      <c r="U22" s="44"/>
      <c r="V22" s="44"/>
      <c r="W22" s="44"/>
      <c r="X22" s="44"/>
    </row>
    <row r="23" ht="22" customHeight="1">
      <c r="A23" s="4" t="str">
        <v>Prepaid forward contracts — Liabilities</v>
      </c>
      <c r="B23" s="2"/>
      <c r="C23" s="44" t="n">
        <v>0</v>
      </c>
      <c r="D23" s="44" t="n">
        <v>0</v>
      </c>
      <c r="E23" s="44" t="n">
        <v>0</v>
      </c>
      <c r="F23" s="44" t="n">
        <v>0</v>
      </c>
      <c r="G23" s="44" t="n">
        <v>0</v>
      </c>
      <c r="H23" s="44" t="n">
        <v>0</v>
      </c>
      <c r="I23" s="44" t="n">
        <v>0</v>
      </c>
      <c r="J23" s="44" t="n">
        <v>0</v>
      </c>
      <c r="K23" s="44" t="n">
        <v>0</v>
      </c>
      <c r="L23" s="44"/>
      <c r="M23" s="45"/>
      <c r="N23" s="44" t="n">
        <v>0</v>
      </c>
      <c r="O23" s="44" t="n">
        <v>0</v>
      </c>
      <c r="P23" s="44" t="n">
        <v>0</v>
      </c>
      <c r="Q23" s="44"/>
      <c r="R23" s="44" t="n">
        <v>0</v>
      </c>
      <c r="S23" s="44" t="n">
        <v>0</v>
      </c>
      <c r="T23" s="44" t="n">
        <v>0</v>
      </c>
      <c r="U23" s="44"/>
      <c r="V23" s="44"/>
      <c r="W23" s="44"/>
      <c r="X23" s="44"/>
    </row>
    <row r="24" ht="22" customHeight="1">
      <c r="A24" s="4" t="str">
        <v>Deferred compensation — Assets</v>
      </c>
      <c r="B24" s="2"/>
      <c r="C24" s="44" t="n">
        <v>0</v>
      </c>
      <c r="D24" s="44" t="n">
        <v>0</v>
      </c>
      <c r="E24" s="44" t="n">
        <v>0</v>
      </c>
      <c r="F24" s="44" t="n">
        <v>0</v>
      </c>
      <c r="G24" s="44" t="n">
        <v>0</v>
      </c>
      <c r="H24" s="44" t="n">
        <v>0</v>
      </c>
      <c r="I24" s="44" t="n">
        <v>0</v>
      </c>
      <c r="J24" s="44" t="n">
        <v>0</v>
      </c>
      <c r="K24" s="44" t="n">
        <v>0</v>
      </c>
      <c r="L24" s="44" t="n">
        <v>0</v>
      </c>
      <c r="M24" s="45"/>
      <c r="N24" s="44" t="n">
        <v>0</v>
      </c>
      <c r="O24" s="44" t="n">
        <v>0</v>
      </c>
      <c r="P24" s="44" t="n">
        <v>0</v>
      </c>
      <c r="Q24" s="44"/>
      <c r="R24" s="44" t="n">
        <v>0</v>
      </c>
      <c r="S24" s="44" t="n">
        <v>0</v>
      </c>
      <c r="T24" s="44" t="n">
        <v>0</v>
      </c>
      <c r="U24" s="44"/>
      <c r="V24" s="44" t="n">
        <v>0</v>
      </c>
      <c r="W24" s="44" t="n">
        <v>0</v>
      </c>
      <c r="X24" s="44" t="n">
        <v>0</v>
      </c>
    </row>
    <row r="25" ht="22" customHeight="1">
      <c r="A25" s="4" t="str">
        <v>Deferred compensation — Liabilities</v>
      </c>
      <c r="B25" s="2"/>
      <c r="C25" s="44" t="n">
        <v>472</v>
      </c>
      <c r="D25" s="44" t="n">
        <v>503</v>
      </c>
      <c r="E25" s="44" t="n">
        <v>450</v>
      </c>
      <c r="F25" s="44" t="n">
        <v>468</v>
      </c>
      <c r="G25" s="44" t="n">
        <v>477</v>
      </c>
      <c r="H25" s="44" t="n">
        <v>505</v>
      </c>
      <c r="I25" s="44" t="n">
        <v>434</v>
      </c>
      <c r="J25" s="44" t="n">
        <v>477</v>
      </c>
      <c r="K25" s="44" t="n">
        <v>503</v>
      </c>
      <c r="L25" s="44" t="n">
        <v>495</v>
      </c>
      <c r="M25" s="45"/>
      <c r="N25" s="44" t="n">
        <v>491</v>
      </c>
      <c r="O25" s="44" t="n">
        <v>493</v>
      </c>
      <c r="P25" s="44" t="n">
        <v>490</v>
      </c>
      <c r="Q25" s="44"/>
      <c r="R25" s="44" t="n">
        <v>479</v>
      </c>
      <c r="S25" s="44" t="n">
        <v>481</v>
      </c>
      <c r="T25" s="44" t="n">
        <v>485</v>
      </c>
      <c r="U25" s="44"/>
      <c r="V25" s="44" t="n">
        <v>469</v>
      </c>
      <c r="W25" s="44" t="n">
        <v>503</v>
      </c>
      <c r="X25" s="44" t="n">
        <v>506</v>
      </c>
    </row>
    <row r="26" ht="22" customHeight="1">
      <c r="A26" s="4" t="str">
        <v>Available-for-sale debt securities — Assets</v>
      </c>
      <c r="B26" s="2"/>
      <c r="C26" s="44"/>
      <c r="D26" s="44" t="n">
        <v>14510</v>
      </c>
      <c r="E26" s="44" t="n">
        <v>3658</v>
      </c>
      <c r="F26" s="44" t="n">
        <v>0</v>
      </c>
      <c r="G26" s="44"/>
      <c r="H26" s="44" t="n">
        <v>0</v>
      </c>
      <c r="I26" s="44" t="n">
        <v>660</v>
      </c>
      <c r="J26" s="44" t="n">
        <v>1334</v>
      </c>
      <c r="K26" s="44" t="n">
        <v>1041</v>
      </c>
      <c r="L26" s="44" t="n">
        <v>2127</v>
      </c>
      <c r="M26" s="45"/>
      <c r="N26" s="44" t="n">
        <v>2027</v>
      </c>
      <c r="O26" s="44" t="n">
        <v>1519</v>
      </c>
      <c r="P26" s="44" t="n">
        <v>1061</v>
      </c>
      <c r="Q26" s="44"/>
      <c r="R26" s="44" t="n">
        <v>1130</v>
      </c>
      <c r="S26" s="44" t="n">
        <v>1219</v>
      </c>
      <c r="T26" s="44" t="n">
        <v>2344</v>
      </c>
      <c r="U26" s="44"/>
      <c r="V26" s="44" t="n">
        <v>1998</v>
      </c>
      <c r="W26" s="44" t="n">
        <v>1712</v>
      </c>
      <c r="X26" s="44" t="n">
        <v>1782</v>
      </c>
    </row>
    <row r="27" ht="22" customHeight="1">
      <c r="A27" s="4" t="str">
        <v>Available-for-sale debt securities — Liabilities</v>
      </c>
      <c r="B27" s="2"/>
      <c r="C27" s="44"/>
      <c r="D27" s="44" t="n">
        <v>0</v>
      </c>
      <c r="E27" s="44" t="n">
        <v>0</v>
      </c>
      <c r="F27" s="44" t="n">
        <v>0</v>
      </c>
      <c r="G27" s="44"/>
      <c r="H27" s="44" t="n">
        <v>0</v>
      </c>
      <c r="I27" s="44" t="n">
        <v>0</v>
      </c>
      <c r="J27" s="44" t="n">
        <v>0</v>
      </c>
      <c r="K27" s="44" t="n">
        <v>0</v>
      </c>
      <c r="L27" s="44" t="n">
        <v>0</v>
      </c>
      <c r="M27" s="45"/>
      <c r="N27" s="44" t="n">
        <v>0</v>
      </c>
      <c r="O27" s="44" t="n">
        <v>0</v>
      </c>
      <c r="P27" s="44" t="n">
        <v>0</v>
      </c>
      <c r="Q27" s="44"/>
      <c r="R27" s="44" t="n">
        <v>0</v>
      </c>
      <c r="S27" s="44" t="n">
        <v>0</v>
      </c>
      <c r="T27" s="44" t="n">
        <v>0</v>
      </c>
      <c r="U27" s="44"/>
      <c r="V27" s="44" t="n">
        <v>0</v>
      </c>
      <c r="W27" s="44" t="n">
        <v>0</v>
      </c>
      <c r="X27" s="44" t="n">
        <v>0</v>
      </c>
    </row>
    <row r="28" ht="22" customHeight="1">
      <c r="A28" s="4" t="str">
        <v>Index funds — Assets</v>
      </c>
      <c r="B28" s="2"/>
      <c r="C28" s="44"/>
      <c r="D28" s="44"/>
      <c r="E28" s="44"/>
      <c r="F28" s="44" t="n">
        <v>229</v>
      </c>
      <c r="G28" s="44" t="n">
        <v>231</v>
      </c>
      <c r="H28" s="44" t="n">
        <v>337</v>
      </c>
      <c r="I28" s="44" t="n">
        <v>257</v>
      </c>
      <c r="J28" s="44" t="n">
        <v>292</v>
      </c>
      <c r="K28" s="44" t="n">
        <v>336</v>
      </c>
      <c r="L28" s="44" t="n">
        <v>341</v>
      </c>
      <c r="M28" s="45"/>
      <c r="N28" s="44" t="n">
        <v>303</v>
      </c>
      <c r="O28" s="44" t="n">
        <v>315</v>
      </c>
      <c r="P28" s="44" t="n">
        <v>318</v>
      </c>
      <c r="Q28" s="44"/>
      <c r="R28" s="44" t="n">
        <v>314</v>
      </c>
      <c r="S28" s="44" t="n">
        <v>322</v>
      </c>
      <c r="T28" s="44" t="n">
        <v>325</v>
      </c>
      <c r="U28" s="44"/>
      <c r="V28" s="44" t="n">
        <v>336</v>
      </c>
      <c r="W28" s="44" t="n">
        <v>376</v>
      </c>
      <c r="X28" s="44" t="n">
        <v>382</v>
      </c>
    </row>
    <row r="29" ht="22" customHeight="1">
      <c r="A29" s="4" t="str">
        <v>Index funds — Liabilities</v>
      </c>
      <c r="B29" s="2"/>
      <c r="C29" s="44"/>
      <c r="D29" s="44"/>
      <c r="E29" s="44"/>
      <c r="F29" s="44" t="n">
        <v>0</v>
      </c>
      <c r="G29" s="44" t="n">
        <v>0</v>
      </c>
      <c r="H29" s="44" t="n">
        <v>0</v>
      </c>
      <c r="I29" s="44" t="n">
        <v>0</v>
      </c>
      <c r="J29" s="44" t="n">
        <v>0</v>
      </c>
      <c r="K29" s="44" t="n">
        <v>0</v>
      </c>
      <c r="L29" s="44" t="n">
        <v>0</v>
      </c>
      <c r="M29" s="45"/>
      <c r="N29" s="44" t="n">
        <v>0</v>
      </c>
      <c r="O29" s="44" t="n">
        <v>0</v>
      </c>
      <c r="P29" s="44" t="n">
        <v>0</v>
      </c>
      <c r="Q29" s="44"/>
      <c r="R29" s="44" t="n">
        <v>0</v>
      </c>
      <c r="S29" s="44" t="n">
        <v>0</v>
      </c>
      <c r="T29" s="44" t="n">
        <v>0</v>
      </c>
      <c r="U29" s="44"/>
      <c r="V29" s="44" t="n">
        <v>0</v>
      </c>
      <c r="W29" s="44" t="n">
        <v>0</v>
      </c>
      <c r="X29" s="44" t="n">
        <v>0</v>
      </c>
    </row>
    <row r="30" ht="22" customHeight="1">
      <c r="A30" s="4" t="str">
        <v>Contingent consideration — Assets</v>
      </c>
      <c r="B30" s="2"/>
      <c r="C30" s="44"/>
      <c r="D30" s="44"/>
      <c r="E30" s="44"/>
      <c r="F30" s="44" t="n">
        <v>0</v>
      </c>
      <c r="G30" s="44" t="n">
        <v>0</v>
      </c>
      <c r="H30" s="44" t="n">
        <v>0</v>
      </c>
      <c r="I30" s="44"/>
      <c r="J30" s="44"/>
      <c r="K30" s="44" t="n">
        <v>0</v>
      </c>
      <c r="L30" s="44" t="n">
        <v>0</v>
      </c>
      <c r="M30" s="45"/>
      <c r="N30" s="44"/>
      <c r="O30" s="44"/>
      <c r="P30" s="44"/>
      <c r="Q30" s="44"/>
      <c r="R30" s="44"/>
      <c r="S30" s="44" t="n">
        <v>0</v>
      </c>
      <c r="T30" s="44" t="n">
        <v>0</v>
      </c>
      <c r="U30" s="44"/>
      <c r="V30" s="44" t="n">
        <v>0</v>
      </c>
      <c r="W30" s="44" t="n">
        <v>0</v>
      </c>
      <c r="X30" s="44" t="n">
        <v>0</v>
      </c>
    </row>
    <row r="31" ht="22" customHeight="1">
      <c r="A31" s="4" t="str">
        <v>Contingent consideration — Liabilities</v>
      </c>
      <c r="B31" s="2"/>
      <c r="C31" s="44"/>
      <c r="D31" s="44"/>
      <c r="E31" s="44"/>
      <c r="F31" s="44" t="n">
        <v>0</v>
      </c>
      <c r="G31" s="44" t="n">
        <v>861</v>
      </c>
      <c r="H31" s="44" t="n">
        <v>0</v>
      </c>
      <c r="I31" s="44"/>
      <c r="J31" s="44"/>
      <c r="K31" s="44" t="n">
        <v>0</v>
      </c>
      <c r="L31" s="44" t="n">
        <v>278</v>
      </c>
      <c r="M31" s="45"/>
      <c r="N31" s="44"/>
      <c r="O31" s="44"/>
      <c r="P31" s="44"/>
      <c r="Q31" s="44"/>
      <c r="R31" s="44"/>
      <c r="S31" s="44" t="n">
        <v>226</v>
      </c>
      <c r="T31" s="44" t="n">
        <v>180</v>
      </c>
      <c r="U31" s="44"/>
      <c r="V31" s="44" t="n">
        <v>162</v>
      </c>
      <c r="W31" s="44" t="n">
        <v>117</v>
      </c>
      <c r="X31" s="44" t="n">
        <v>12</v>
      </c>
    </row>
    <row r="32" ht="22" customHeight="1">
      <c r="A32" s="4" t="str">
        <v>Commodity — Notional Amounts</v>
      </c>
      <c r="B32" s="2"/>
      <c r="C32" s="44"/>
      <c r="D32" s="44"/>
      <c r="E32" s="44"/>
      <c r="F32" s="44"/>
      <c r="G32" s="44"/>
      <c r="H32" s="44"/>
      <c r="I32" s="44"/>
      <c r="J32" s="44" t="n">
        <v>1700</v>
      </c>
      <c r="K32" s="44"/>
      <c r="L32" s="44"/>
      <c r="M32" s="45"/>
      <c r="N32" s="44" t="n">
        <v>1500</v>
      </c>
      <c r="O32" s="44" t="n">
        <v>1400</v>
      </c>
      <c r="P32" s="44"/>
      <c r="Q32" s="44"/>
      <c r="R32" s="44"/>
      <c r="S32" s="44"/>
      <c r="T32" s="44"/>
      <c r="U32" s="44"/>
      <c r="V32" s="44"/>
      <c r="W32" s="44"/>
      <c r="X32" s="44"/>
    </row>
    <row r="33" ht="22" customHeight="1">
      <c r="A33" s="4" t="str">
        <v>Foreign exchange — Notional Amounts</v>
      </c>
      <c r="B33" s="2"/>
      <c r="C33" s="44"/>
      <c r="D33" s="44"/>
      <c r="E33" s="44"/>
      <c r="F33" s="44"/>
      <c r="G33" s="44"/>
      <c r="H33" s="44"/>
      <c r="I33" s="44"/>
      <c r="J33" s="44" t="n">
        <v>3800</v>
      </c>
      <c r="K33" s="44"/>
      <c r="L33" s="44"/>
      <c r="M33" s="45"/>
      <c r="N33" s="44" t="n">
        <v>3900</v>
      </c>
      <c r="O33" s="44" t="n">
        <v>3000</v>
      </c>
      <c r="P33" s="44"/>
      <c r="Q33" s="44"/>
      <c r="R33" s="44"/>
      <c r="S33" s="44"/>
      <c r="T33" s="44"/>
      <c r="U33" s="44"/>
      <c r="V33" s="44"/>
      <c r="W33" s="44"/>
      <c r="X33" s="44"/>
    </row>
    <row r="34" ht="22" customHeight="1">
      <c r="A34" s="4" t="str">
        <v>Interest rate — Notional Amounts</v>
      </c>
      <c r="B34" s="2"/>
      <c r="C34" s="44"/>
      <c r="D34" s="44"/>
      <c r="E34" s="44"/>
      <c r="F34" s="44"/>
      <c r="G34" s="44"/>
      <c r="H34" s="44"/>
      <c r="I34" s="44"/>
      <c r="J34" s="44" t="n">
        <v>1300</v>
      </c>
      <c r="K34" s="44"/>
      <c r="L34" s="44"/>
      <c r="M34" s="45"/>
      <c r="N34" s="44" t="n">
        <v>1300</v>
      </c>
      <c r="O34" s="44" t="n">
        <v>700</v>
      </c>
      <c r="P34" s="44"/>
      <c r="Q34" s="44"/>
      <c r="R34" s="44"/>
      <c r="S34" s="44"/>
      <c r="T34" s="44"/>
      <c r="U34" s="44"/>
      <c r="V34" s="44"/>
      <c r="W34" s="44"/>
      <c r="X34" s="44"/>
    </row>
    <row r="35" ht="22" customHeight="1">
      <c r="A35" s="4" t="str">
        <v>Net investment — Notional Amounts</v>
      </c>
      <c r="B35" s="2"/>
      <c r="C35" s="44"/>
      <c r="D35" s="44"/>
      <c r="E35" s="44"/>
      <c r="F35" s="44"/>
      <c r="G35" s="44"/>
      <c r="H35" s="44"/>
      <c r="I35" s="44"/>
      <c r="J35" s="44" t="n">
        <v>3000</v>
      </c>
      <c r="K35" s="44"/>
      <c r="L35" s="44"/>
      <c r="M35" s="45"/>
      <c r="N35" s="44" t="n">
        <v>3000</v>
      </c>
      <c r="O35" s="44" t="n">
        <v>2900</v>
      </c>
      <c r="P35" s="44"/>
      <c r="Q35" s="44"/>
      <c r="R35" s="44"/>
      <c r="S35" s="44"/>
      <c r="T35" s="44"/>
      <c r="U35" s="44"/>
      <c r="V35" s="44"/>
      <c r="W35" s="44"/>
      <c r="X35" s="44"/>
    </row>
    <row r="36" ht="36" customHeight="1">
      <c r="A36" s="4" t="str">
        <v>Available-for-sale debt securities — Fair Value Hierarchy Levels</v>
      </c>
      <c r="B36" s="2"/>
      <c r="C36" s="44"/>
      <c r="D36" s="44"/>
      <c r="E36" s="44"/>
      <c r="F36" s="44"/>
      <c r="G36" s="44"/>
      <c r="H36" s="44"/>
      <c r="I36" s="44"/>
      <c r="J36" s="44"/>
      <c r="K36" s="44"/>
      <c r="L36" s="44"/>
      <c r="M36" s="45"/>
      <c r="N36" s="44" t="n">
        <v>23</v>
      </c>
      <c r="O36" s="44" t="n">
        <v>23</v>
      </c>
      <c r="P36" s="44" t="n">
        <v>23</v>
      </c>
      <c r="Q36" s="44"/>
      <c r="R36" s="44"/>
      <c r="S36" s="44"/>
      <c r="T36" s="44"/>
      <c r="U36" s="44"/>
      <c r="V36" s="44"/>
      <c r="W36" s="44"/>
      <c r="X36" s="44"/>
    </row>
    <row r="37" ht="22" customHeight="1">
      <c r="A37" s="4" t="str">
        <v>Commodity contracts — Notional Amounts</v>
      </c>
      <c r="B37" s="2"/>
      <c r="C37" s="44"/>
      <c r="D37" s="44"/>
      <c r="E37" s="44"/>
      <c r="F37" s="44"/>
      <c r="G37" s="44"/>
      <c r="H37" s="44"/>
      <c r="I37" s="44"/>
      <c r="J37" s="44" t="n">
        <v>1700</v>
      </c>
      <c r="K37" s="44" t="n">
        <v>1400</v>
      </c>
      <c r="L37" s="44" t="n">
        <v>1500</v>
      </c>
      <c r="M37" s="45"/>
      <c r="N37" s="44"/>
      <c r="O37" s="44"/>
      <c r="P37" s="44" t="n">
        <v>1400</v>
      </c>
      <c r="Q37" s="44"/>
      <c r="R37" s="44" t="n">
        <v>1400</v>
      </c>
      <c r="S37" s="44" t="n">
        <v>1300</v>
      </c>
      <c r="T37" s="44" t="n">
        <v>1300</v>
      </c>
      <c r="U37" s="44"/>
      <c r="V37" s="44" t="n">
        <v>1400</v>
      </c>
      <c r="W37" s="44" t="n">
        <v>1600</v>
      </c>
      <c r="X37" s="44" t="n">
        <v>1700</v>
      </c>
    </row>
    <row r="38" ht="22" customHeight="1">
      <c r="A38" s="4" t="str">
        <v>Foreign exchange contracts — Notional Amounts</v>
      </c>
      <c r="B38" s="2"/>
      <c r="C38" s="44"/>
      <c r="D38" s="44"/>
      <c r="E38" s="44"/>
      <c r="F38" s="44"/>
      <c r="G38" s="44"/>
      <c r="H38" s="44"/>
      <c r="I38" s="44"/>
      <c r="J38" s="44" t="n">
        <v>3800</v>
      </c>
      <c r="K38" s="44" t="n">
        <v>3100</v>
      </c>
      <c r="L38" s="44" t="n">
        <v>3100</v>
      </c>
      <c r="M38" s="45"/>
      <c r="N38" s="44"/>
      <c r="O38" s="44"/>
      <c r="P38" s="44" t="n">
        <v>3100</v>
      </c>
      <c r="Q38" s="44"/>
      <c r="R38" s="44" t="n">
        <v>3000</v>
      </c>
      <c r="S38" s="44" t="n">
        <v>3100</v>
      </c>
      <c r="T38" s="44" t="n">
        <v>3200</v>
      </c>
      <c r="U38" s="44"/>
      <c r="V38" s="44" t="n">
        <v>2900</v>
      </c>
      <c r="W38" s="44" t="n">
        <v>2900</v>
      </c>
      <c r="X38" s="44" t="n">
        <v>4000</v>
      </c>
    </row>
    <row r="39" ht="22" customHeight="1">
      <c r="A39" s="4" t="str">
        <v>Cross-currency contracts — Notional Amounts</v>
      </c>
      <c r="B39" s="2"/>
      <c r="C39" s="44"/>
      <c r="D39" s="44"/>
      <c r="E39" s="44"/>
      <c r="F39" s="44"/>
      <c r="G39" s="44"/>
      <c r="H39" s="44"/>
      <c r="I39" s="44"/>
      <c r="J39" s="44" t="n">
        <v>1300</v>
      </c>
      <c r="K39" s="44" t="n">
        <v>1200</v>
      </c>
      <c r="L39" s="44" t="n">
        <v>1700</v>
      </c>
      <c r="M39" s="45"/>
      <c r="N39" s="44"/>
      <c r="O39" s="44"/>
      <c r="P39" s="44" t="n">
        <v>1200</v>
      </c>
      <c r="Q39" s="44"/>
      <c r="R39" s="44" t="n">
        <v>1200</v>
      </c>
      <c r="S39" s="44" t="n">
        <v>1200</v>
      </c>
      <c r="T39" s="44" t="n">
        <v>1700</v>
      </c>
      <c r="U39" s="44"/>
      <c r="V39" s="44" t="n">
        <v>1700</v>
      </c>
      <c r="W39" s="44" t="n">
        <v>1000</v>
      </c>
      <c r="X39" s="44" t="n">
        <v>1300</v>
      </c>
    </row>
    <row r="40" ht="22" customHeight="1">
      <c r="A40" s="4" t="str">
        <v>Interest rate swap contracts — Notional Amounts</v>
      </c>
      <c r="B40" s="2"/>
      <c r="C40" s="44"/>
      <c r="D40" s="44"/>
      <c r="E40" s="44"/>
      <c r="F40" s="44"/>
      <c r="G40" s="44"/>
      <c r="H40" s="44"/>
      <c r="I40" s="44"/>
      <c r="J40" s="44" t="n">
        <v>0</v>
      </c>
      <c r="K40" s="44" t="n">
        <v>2000</v>
      </c>
      <c r="L40" s="44" t="n">
        <v>2000</v>
      </c>
      <c r="M40" s="45"/>
      <c r="N40" s="44"/>
      <c r="O40" s="44"/>
      <c r="P40" s="44"/>
      <c r="Q40" s="44"/>
      <c r="R40" s="44" t="n">
        <v>2000</v>
      </c>
      <c r="S40" s="44" t="n">
        <v>2000</v>
      </c>
      <c r="T40" s="44" t="n">
        <v>2000</v>
      </c>
      <c r="U40" s="44"/>
      <c r="V40" s="44" t="n">
        <v>2000</v>
      </c>
      <c r="W40" s="44" t="n">
        <v>2000</v>
      </c>
      <c r="X40" s="44" t="n">
        <v>2000</v>
      </c>
    </row>
    <row r="41" ht="22" customHeight="1">
      <c r="A41" s="4" t="str">
        <v>Balance, beginning of period — Celsius AFSDebt Security</v>
      </c>
      <c r="B41" s="2"/>
      <c r="C41" s="44"/>
      <c r="D41" s="44"/>
      <c r="E41" s="44"/>
      <c r="F41" s="44"/>
      <c r="G41" s="44"/>
      <c r="H41" s="44"/>
      <c r="I41" s="44"/>
      <c r="J41" s="44" t="n">
        <v>1156</v>
      </c>
      <c r="K41" s="44" t="n">
        <v>785</v>
      </c>
      <c r="L41" s="44" t="n">
        <v>1852</v>
      </c>
      <c r="M41" s="45"/>
      <c r="N41" s="44" t="n">
        <v>1847</v>
      </c>
      <c r="O41" s="44" t="n">
        <v>1337</v>
      </c>
      <c r="P41" s="44"/>
      <c r="Q41" s="44"/>
      <c r="R41" s="44" t="n">
        <v>888</v>
      </c>
      <c r="S41" s="44" t="n">
        <v>958</v>
      </c>
      <c r="T41" s="44"/>
      <c r="U41" s="44"/>
      <c r="V41" s="44" t="n">
        <v>1756</v>
      </c>
      <c r="W41" s="44" t="n">
        <v>1453</v>
      </c>
      <c r="X41" s="44"/>
    </row>
    <row r="42" ht="22" customHeight="1">
      <c r="A42" s="4" t="str">
        <v>Net unrealized gain/(loss) — Celsius AFSDebt Security</v>
      </c>
      <c r="B42" s="2"/>
      <c r="C42" s="44"/>
      <c r="D42" s="44"/>
      <c r="E42" s="44"/>
      <c r="F42" s="44"/>
      <c r="G42" s="44"/>
      <c r="H42" s="44"/>
      <c r="I42" s="44"/>
      <c r="J42" s="44"/>
      <c r="K42" s="44" t="n">
        <v>-350</v>
      </c>
      <c r="L42" s="44" t="n">
        <v>507</v>
      </c>
      <c r="M42" s="45"/>
      <c r="N42" s="44"/>
      <c r="O42" s="44" t="n">
        <v>-503</v>
      </c>
      <c r="P42" s="44" t="n">
        <v>-453</v>
      </c>
      <c r="Q42" s="44"/>
      <c r="R42" s="44"/>
      <c r="S42" s="44" t="n">
        <v>77</v>
      </c>
      <c r="T42" s="44" t="n">
        <v>535</v>
      </c>
      <c r="U42" s="44"/>
      <c r="V42" s="44"/>
      <c r="W42" s="44"/>
      <c r="X42" s="44" t="n">
        <v>43</v>
      </c>
    </row>
    <row r="43" ht="22" customHeight="1">
      <c r="A43" s="4" t="str">
        <v>Cash dividends received — Celsius AFSDebt Security</v>
      </c>
      <c r="B43" s="2"/>
      <c r="C43" s="44"/>
      <c r="D43" s="44"/>
      <c r="E43" s="44"/>
      <c r="F43" s="44"/>
      <c r="G43" s="44"/>
      <c r="H43" s="44"/>
      <c r="I43" s="44"/>
      <c r="J43" s="44"/>
      <c r="K43" s="44" t="n">
        <v>-21</v>
      </c>
      <c r="L43" s="44" t="n">
        <v>-30</v>
      </c>
      <c r="M43" s="45"/>
      <c r="N43" s="44"/>
      <c r="O43" s="44" t="n">
        <v>-7</v>
      </c>
      <c r="P43" s="44" t="n">
        <v>-7</v>
      </c>
      <c r="Q43" s="44"/>
      <c r="R43" s="44" t="n">
        <v>-7</v>
      </c>
      <c r="S43" s="44" t="n">
        <v>-7</v>
      </c>
      <c r="T43" s="44" t="n">
        <v>-6</v>
      </c>
      <c r="U43" s="44"/>
      <c r="V43" s="44" t="n">
        <v>-14</v>
      </c>
      <c r="W43" s="44" t="n">
        <v>-14</v>
      </c>
      <c r="X43" s="44" t="n">
        <v>-14</v>
      </c>
    </row>
    <row r="44" ht="24" customHeight="1">
      <c r="A44" s="51" t="str">
        <v>Balance, end of period — Celsius AFSDebt Security</v>
      </c>
      <c r="B44" s="52"/>
      <c r="C44" s="53"/>
      <c r="D44" s="53"/>
      <c r="E44" s="53"/>
      <c r="F44" s="53"/>
      <c r="G44" s="53"/>
      <c r="H44" s="53"/>
      <c r="I44" s="53"/>
      <c r="J44" s="53"/>
      <c r="K44" s="53"/>
      <c r="L44" s="53"/>
      <c r="M44" s="55"/>
      <c r="N44" s="53"/>
      <c r="O44" s="53" t="n">
        <v>1337</v>
      </c>
      <c r="P44" s="53" t="n">
        <v>877</v>
      </c>
      <c r="Q44" s="53"/>
      <c r="R44" s="53" t="n">
        <v>888</v>
      </c>
      <c r="S44" s="53" t="n">
        <v>958</v>
      </c>
      <c r="T44" s="53" t="n">
        <v>2077</v>
      </c>
      <c r="U44" s="53"/>
      <c r="V44" s="53" t="n">
        <v>1756</v>
      </c>
      <c r="W44" s="53" t="n">
        <v>1453</v>
      </c>
      <c r="X44" s="53" t="n">
        <v>1482</v>
      </c>
    </row>
    <row r="45" ht="22" customHeight="1">
      <c r="A45" s="4" t="str">
        <v>Balance, beginning of period — Other AFSDebt Securities</v>
      </c>
      <c r="B45" s="2"/>
      <c r="C45" s="44"/>
      <c r="D45" s="44"/>
      <c r="E45" s="44"/>
      <c r="F45" s="44"/>
      <c r="G45" s="44"/>
      <c r="H45" s="44"/>
      <c r="I45" s="44"/>
      <c r="J45" s="44" t="n">
        <v>0</v>
      </c>
      <c r="K45" s="44" t="n">
        <v>256</v>
      </c>
      <c r="L45" s="44" t="n">
        <v>275</v>
      </c>
      <c r="M45" s="45"/>
      <c r="N45" s="44" t="n">
        <v>0</v>
      </c>
      <c r="O45" s="44" t="n">
        <v>0</v>
      </c>
      <c r="P45" s="44"/>
      <c r="Q45" s="44"/>
      <c r="R45" s="44" t="n">
        <v>242</v>
      </c>
      <c r="S45" s="44" t="n">
        <v>261</v>
      </c>
      <c r="T45" s="44"/>
      <c r="U45" s="44"/>
      <c r="V45" s="44" t="n">
        <v>242</v>
      </c>
      <c r="W45" s="44" t="n">
        <v>259</v>
      </c>
      <c r="X45" s="44"/>
    </row>
    <row r="46" ht="22" customHeight="1">
      <c r="A46" s="4" t="str">
        <v>Net unrealized gain/(loss) — Other AFSDebt Securities</v>
      </c>
      <c r="B46" s="2"/>
      <c r="C46" s="44"/>
      <c r="D46" s="44"/>
      <c r="E46" s="44"/>
      <c r="F46" s="44"/>
      <c r="G46" s="44"/>
      <c r="H46" s="44"/>
      <c r="I46" s="44"/>
      <c r="J46" s="44"/>
      <c r="K46" s="44"/>
      <c r="L46" s="44"/>
      <c r="M46" s="45"/>
      <c r="N46" s="44"/>
      <c r="O46" s="44" t="n">
        <v>0</v>
      </c>
      <c r="P46" s="44" t="n">
        <v>0</v>
      </c>
      <c r="Q46" s="44"/>
      <c r="R46" s="44"/>
      <c r="S46" s="44" t="n">
        <v>19</v>
      </c>
      <c r="T46" s="44" t="n">
        <v>6</v>
      </c>
      <c r="U46" s="44"/>
      <c r="V46" s="44"/>
      <c r="W46" s="44" t="n">
        <v>17</v>
      </c>
      <c r="X46" s="44"/>
    </row>
    <row r="47" ht="24" customHeight="1">
      <c r="A47" s="51" t="str">
        <v>Balance, end of period — Other AFSDebt Securities</v>
      </c>
      <c r="B47" s="52"/>
      <c r="C47" s="53"/>
      <c r="D47" s="53"/>
      <c r="E47" s="53"/>
      <c r="F47" s="53"/>
      <c r="G47" s="53"/>
      <c r="H47" s="53"/>
      <c r="I47" s="53"/>
      <c r="J47" s="53"/>
      <c r="K47" s="53"/>
      <c r="L47" s="53"/>
      <c r="M47" s="55"/>
      <c r="N47" s="53"/>
      <c r="O47" s="53" t="n">
        <v>0</v>
      </c>
      <c r="P47" s="53" t="n">
        <v>0</v>
      </c>
      <c r="Q47" s="53"/>
      <c r="R47" s="53" t="n">
        <v>242</v>
      </c>
      <c r="S47" s="53" t="n">
        <v>261</v>
      </c>
      <c r="T47" s="53" t="n">
        <v>267</v>
      </c>
      <c r="U47" s="53"/>
      <c r="V47" s="53" t="n">
        <v>242</v>
      </c>
      <c r="W47" s="53" t="n">
        <v>259</v>
      </c>
      <c r="X47" s="53" t="n">
        <v>300</v>
      </c>
    </row>
    <row r="48" ht="36" customHeight="1">
      <c r="A48" s="51" t="str">
        <v>Total available-for-sale balance, end of period — Total AFSDebt Securities</v>
      </c>
      <c r="B48" s="52"/>
      <c r="C48" s="53"/>
      <c r="D48" s="53"/>
      <c r="E48" s="53"/>
      <c r="F48" s="53"/>
      <c r="G48" s="53"/>
      <c r="H48" s="53"/>
      <c r="I48" s="53"/>
      <c r="J48" s="53"/>
      <c r="K48" s="53"/>
      <c r="L48" s="53"/>
      <c r="M48" s="55"/>
      <c r="N48" s="53"/>
      <c r="O48" s="53" t="n">
        <v>1337</v>
      </c>
      <c r="P48" s="53"/>
      <c r="Q48" s="53"/>
      <c r="R48" s="53"/>
      <c r="S48" s="53" t="n">
        <v>1219</v>
      </c>
      <c r="T48" s="53"/>
      <c r="U48" s="53"/>
      <c r="V48" s="53"/>
      <c r="W48" s="53"/>
      <c r="X48" s="53"/>
    </row>
    <row r="49" ht="22" customHeight="1">
      <c r="A49" s="4" t="str">
        <v>Acquired — Celsius AFSDebt Security</v>
      </c>
      <c r="B49" s="2"/>
      <c r="C49" s="44"/>
      <c r="D49" s="44"/>
      <c r="E49" s="44"/>
      <c r="F49" s="44"/>
      <c r="G49" s="44"/>
      <c r="H49" s="44"/>
      <c r="I49" s="44"/>
      <c r="J49" s="44"/>
      <c r="K49" s="44" t="n">
        <v>0</v>
      </c>
      <c r="L49" s="44" t="n">
        <v>590</v>
      </c>
      <c r="M49" s="45"/>
      <c r="N49" s="44"/>
      <c r="O49" s="44"/>
      <c r="P49" s="44" t="n">
        <v>0</v>
      </c>
      <c r="Q49" s="44"/>
      <c r="R49" s="44"/>
      <c r="S49" s="44"/>
      <c r="T49" s="44" t="n">
        <v>590</v>
      </c>
      <c r="U49" s="44"/>
      <c r="V49" s="44"/>
      <c r="W49" s="44"/>
      <c r="X49" s="44" t="n">
        <v>0</v>
      </c>
    </row>
    <row r="50" ht="36" customHeight="1">
      <c r="A50" s="51" t="str">
        <v>Total Level 3 available-for-sale balance, end of period — Total AFSDebt Securities</v>
      </c>
      <c r="B50" s="52"/>
      <c r="C50" s="53"/>
      <c r="D50" s="53"/>
      <c r="E50" s="53"/>
      <c r="F50" s="53"/>
      <c r="G50" s="53"/>
      <c r="H50" s="53"/>
      <c r="I50" s="53"/>
      <c r="J50" s="53"/>
      <c r="K50" s="53"/>
      <c r="L50" s="53"/>
      <c r="M50" s="55"/>
      <c r="N50" s="53"/>
      <c r="O50" s="53"/>
      <c r="P50" s="53" t="n">
        <v>877</v>
      </c>
      <c r="Q50" s="53"/>
      <c r="R50" s="53" t="n">
        <v>1130</v>
      </c>
      <c r="S50" s="53" t="n">
        <v>1219</v>
      </c>
      <c r="T50" s="53" t="n">
        <v>2344</v>
      </c>
      <c r="U50" s="53"/>
      <c r="V50" s="53" t="n">
        <v>1998</v>
      </c>
      <c r="W50" s="53" t="n">
        <v>1712</v>
      </c>
      <c r="X50" s="53" t="n">
        <v>1782</v>
      </c>
    </row>
    <row r="51" ht="22" customHeight="1">
      <c r="A51" s="4" t="str">
        <v>Balance, beginning of year — Celsius AFSDebt Security</v>
      </c>
      <c r="B51" s="2"/>
      <c r="C51" s="44"/>
      <c r="D51" s="44"/>
      <c r="E51" s="44"/>
      <c r="F51" s="44"/>
      <c r="G51" s="44"/>
      <c r="H51" s="44"/>
      <c r="I51" s="44"/>
      <c r="J51" s="44"/>
      <c r="K51" s="44" t="n">
        <v>1156</v>
      </c>
      <c r="L51" s="44" t="n">
        <v>785</v>
      </c>
      <c r="M51" s="45"/>
      <c r="N51" s="44"/>
      <c r="O51" s="44"/>
      <c r="P51" s="44"/>
      <c r="Q51" s="44"/>
      <c r="R51" s="44"/>
      <c r="S51" s="44"/>
      <c r="T51" s="44"/>
      <c r="U51" s="44"/>
      <c r="V51" s="44"/>
      <c r="W51" s="44"/>
      <c r="X51" s="44"/>
    </row>
    <row r="52" ht="24" customHeight="1">
      <c r="A52" s="51" t="str">
        <v>Balance, end of year — Celsius AFSDebt Security</v>
      </c>
      <c r="B52" s="52"/>
      <c r="C52" s="53"/>
      <c r="D52" s="53"/>
      <c r="E52" s="53"/>
      <c r="F52" s="53"/>
      <c r="G52" s="53"/>
      <c r="H52" s="53"/>
      <c r="I52" s="53"/>
      <c r="J52" s="53"/>
      <c r="K52" s="53" t="n">
        <v>785</v>
      </c>
      <c r="L52" s="53" t="n">
        <v>1852</v>
      </c>
      <c r="M52" s="55"/>
      <c r="N52" s="53"/>
      <c r="O52" s="53"/>
      <c r="P52" s="53"/>
      <c r="Q52" s="53"/>
      <c r="R52" s="53"/>
      <c r="S52" s="53"/>
      <c r="T52" s="53"/>
      <c r="U52" s="53"/>
      <c r="V52" s="53"/>
      <c r="W52" s="53"/>
      <c r="X52" s="53"/>
    </row>
    <row r="53" ht="22" customHeight="1">
      <c r="A53" s="4" t="str">
        <v>Balance, beginning of year — Other AFSDebt Securities</v>
      </c>
      <c r="B53" s="2"/>
      <c r="C53" s="44"/>
      <c r="D53" s="44"/>
      <c r="E53" s="44"/>
      <c r="F53" s="44"/>
      <c r="G53" s="44"/>
      <c r="H53" s="44"/>
      <c r="I53" s="44"/>
      <c r="J53" s="44"/>
      <c r="K53" s="44" t="n">
        <v>0</v>
      </c>
      <c r="L53" s="44" t="n">
        <v>256</v>
      </c>
      <c r="M53" s="45"/>
      <c r="N53" s="44"/>
      <c r="O53" s="44"/>
      <c r="P53" s="44"/>
      <c r="Q53" s="44"/>
      <c r="R53" s="44"/>
      <c r="S53" s="44"/>
      <c r="T53" s="44"/>
      <c r="U53" s="44"/>
      <c r="V53" s="44"/>
      <c r="W53" s="44"/>
      <c r="X53" s="44"/>
    </row>
    <row r="54" ht="22" customHeight="1">
      <c r="A54" s="4" t="str">
        <v>Transfer from Level 2 — Other AFSDebt Securities</v>
      </c>
      <c r="B54" s="2"/>
      <c r="C54" s="44"/>
      <c r="D54" s="44"/>
      <c r="E54" s="44"/>
      <c r="F54" s="44"/>
      <c r="G54" s="44"/>
      <c r="H54" s="44"/>
      <c r="I54" s="44"/>
      <c r="J54" s="44"/>
      <c r="K54" s="44" t="n">
        <v>184</v>
      </c>
      <c r="L54" s="44" t="n">
        <v>0</v>
      </c>
      <c r="M54" s="45"/>
      <c r="N54" s="44"/>
      <c r="O54" s="44"/>
      <c r="P54" s="44"/>
      <c r="Q54" s="44"/>
      <c r="R54" s="44"/>
      <c r="S54" s="44"/>
      <c r="T54" s="44"/>
      <c r="U54" s="44"/>
      <c r="V54" s="44"/>
      <c r="W54" s="44"/>
      <c r="X54" s="44"/>
    </row>
    <row r="55" ht="22" customHeight="1">
      <c r="A55" s="4" t="str">
        <v>Net unrealized gain — Other AFSDebt Securities</v>
      </c>
      <c r="B55" s="2"/>
      <c r="C55" s="44"/>
      <c r="D55" s="44"/>
      <c r="E55" s="44"/>
      <c r="F55" s="44"/>
      <c r="G55" s="44"/>
      <c r="H55" s="44"/>
      <c r="I55" s="44"/>
      <c r="J55" s="44"/>
      <c r="K55" s="44" t="n">
        <v>72</v>
      </c>
      <c r="L55" s="44" t="n">
        <v>19</v>
      </c>
      <c r="M55" s="45"/>
      <c r="N55" s="44"/>
      <c r="O55" s="44"/>
      <c r="P55" s="44"/>
      <c r="Q55" s="44"/>
      <c r="R55" s="44"/>
      <c r="S55" s="44"/>
      <c r="T55" s="44" t="n">
        <v>6</v>
      </c>
      <c r="U55" s="44"/>
      <c r="V55" s="44"/>
      <c r="W55" s="44"/>
      <c r="X55" s="44" t="n">
        <v>41</v>
      </c>
    </row>
    <row r="56" ht="24" customHeight="1">
      <c r="A56" s="51" t="str">
        <v>Balance, end of year — Other AFSDebt Securities</v>
      </c>
      <c r="B56" s="52"/>
      <c r="C56" s="53"/>
      <c r="D56" s="53"/>
      <c r="E56" s="53"/>
      <c r="F56" s="53"/>
      <c r="G56" s="53"/>
      <c r="H56" s="53"/>
      <c r="I56" s="53"/>
      <c r="J56" s="53"/>
      <c r="K56" s="53" t="n">
        <v>256</v>
      </c>
      <c r="L56" s="53" t="n">
        <v>275</v>
      </c>
      <c r="M56" s="55"/>
      <c r="N56" s="53"/>
      <c r="O56" s="53"/>
      <c r="P56" s="53"/>
      <c r="Q56" s="53"/>
      <c r="R56" s="53"/>
      <c r="S56" s="53"/>
      <c r="T56" s="53"/>
      <c r="U56" s="53"/>
      <c r="V56" s="53"/>
      <c r="W56" s="53"/>
      <c r="X56" s="53"/>
    </row>
    <row r="57" ht="36" customHeight="1">
      <c r="A57" s="51" t="str">
        <v>Total Level 3 available-for-sale balance, end of year — Total AFSDebt Securities</v>
      </c>
      <c r="B57" s="52"/>
      <c r="C57" s="53"/>
      <c r="D57" s="53"/>
      <c r="E57" s="53"/>
      <c r="F57" s="53"/>
      <c r="G57" s="53"/>
      <c r="H57" s="53"/>
      <c r="I57" s="53"/>
      <c r="J57" s="53"/>
      <c r="K57" s="53" t="n">
        <v>1041</v>
      </c>
      <c r="L57" s="53" t="n">
        <v>2127</v>
      </c>
      <c r="M57" s="55"/>
      <c r="N57" s="53"/>
      <c r="O57" s="53"/>
      <c r="P57" s="53"/>
      <c r="Q57" s="53"/>
      <c r="R57" s="53"/>
      <c r="S57" s="53"/>
      <c r="T57" s="53"/>
      <c r="U57" s="53"/>
      <c r="V57" s="53"/>
      <c r="W57" s="53"/>
      <c r="X57" s="53"/>
    </row>
    <row r="58" ht="22" customHeight="1">
      <c r="A58" s="4" t="str">
        <v>Net unrealized (loss)/gain — Celsius AFSDebt Security</v>
      </c>
      <c r="B58" s="2"/>
      <c r="C58" s="44"/>
      <c r="D58" s="44"/>
      <c r="E58" s="44"/>
      <c r="F58" s="44"/>
      <c r="G58" s="44"/>
      <c r="H58" s="44"/>
      <c r="I58" s="44"/>
      <c r="J58" s="44"/>
      <c r="K58" s="44"/>
      <c r="L58" s="44"/>
      <c r="M58" s="45"/>
      <c r="N58" s="44"/>
      <c r="O58" s="44"/>
      <c r="P58" s="44"/>
      <c r="Q58" s="44"/>
      <c r="R58" s="44" t="n">
        <v>110</v>
      </c>
      <c r="S58" s="44" t="n">
        <v>77</v>
      </c>
      <c r="T58" s="44"/>
      <c r="U58" s="44"/>
      <c r="V58" s="44" t="n">
        <v>-82</v>
      </c>
      <c r="W58" s="44" t="n">
        <v>-289</v>
      </c>
      <c r="X58" s="44"/>
    </row>
    <row r="59" ht="22" customHeight="1">
      <c r="A59" s="4" t="str">
        <v>Net unrealized loss — Other AFSDebt Securities</v>
      </c>
      <c r="B59" s="2"/>
      <c r="C59" s="44"/>
      <c r="D59" s="44"/>
      <c r="E59" s="44"/>
      <c r="F59" s="44"/>
      <c r="G59" s="44"/>
      <c r="H59" s="44"/>
      <c r="I59" s="44"/>
      <c r="J59" s="44"/>
      <c r="K59" s="44"/>
      <c r="L59" s="44"/>
      <c r="M59" s="45"/>
      <c r="N59" s="44"/>
      <c r="O59" s="44"/>
      <c r="P59" s="44"/>
      <c r="Q59" s="44"/>
      <c r="R59" s="44" t="n">
        <v>-14</v>
      </c>
      <c r="S59" s="44"/>
      <c r="T59" s="44"/>
      <c r="U59" s="44"/>
      <c r="V59" s="44" t="n">
        <v>-33</v>
      </c>
      <c r="W59" s="44"/>
      <c r="X59" s="44"/>
    </row>
    <row r="60" ht="24" customHeight="1">
      <c r="A60" s="39" t="str">
        <v>Fair value hedging instruments</v>
      </c>
      <c r="B60" s="40"/>
      <c r="C60" s="41"/>
      <c r="D60" s="41"/>
      <c r="E60" s="41"/>
      <c r="F60" s="41"/>
      <c r="G60" s="41"/>
      <c r="H60" s="41"/>
      <c r="I60" s="41"/>
      <c r="J60" s="41"/>
      <c r="K60" s="41"/>
      <c r="L60" s="41"/>
      <c r="M60" s="42"/>
      <c r="N60" s="41"/>
      <c r="O60" s="41"/>
      <c r="P60" s="41"/>
      <c r="Q60" s="41"/>
      <c r="R60" s="41"/>
      <c r="S60" s="41"/>
      <c r="T60" s="41"/>
      <c r="U60" s="41"/>
      <c r="V60" s="41"/>
      <c r="W60" s="41"/>
      <c r="X60" s="41"/>
    </row>
    <row r="61" ht="22" customHeight="1">
      <c r="A61" s="4" t="str">
        <v>Interest rate — Assets</v>
      </c>
      <c r="B61" s="2"/>
      <c r="C61" s="44" t="n">
        <v>66</v>
      </c>
      <c r="D61" s="44" t="n">
        <v>24</v>
      </c>
      <c r="E61" s="44" t="n">
        <v>1</v>
      </c>
      <c r="F61" s="44" t="n">
        <v>0</v>
      </c>
      <c r="G61" s="44" t="n">
        <v>2</v>
      </c>
      <c r="H61" s="44" t="n">
        <v>0</v>
      </c>
      <c r="I61" s="44"/>
      <c r="J61" s="44"/>
      <c r="K61" s="44"/>
      <c r="L61" s="44"/>
      <c r="M61" s="45"/>
      <c r="N61" s="44"/>
      <c r="O61" s="44"/>
      <c r="P61" s="44"/>
      <c r="Q61" s="44"/>
      <c r="R61" s="44"/>
      <c r="S61" s="44"/>
      <c r="T61" s="44"/>
      <c r="U61" s="44"/>
      <c r="V61" s="44"/>
      <c r="W61" s="44"/>
      <c r="X61" s="44"/>
    </row>
    <row r="62" ht="22" customHeight="1">
      <c r="A62" s="4" t="str">
        <v>Interest rate — Liabilities</v>
      </c>
      <c r="B62" s="2"/>
      <c r="C62" s="44" t="n">
        <v>71</v>
      </c>
      <c r="D62" s="44" t="n">
        <v>130</v>
      </c>
      <c r="E62" s="44" t="n">
        <v>108</v>
      </c>
      <c r="F62" s="44" t="n">
        <v>5</v>
      </c>
      <c r="G62" s="44" t="n">
        <v>0</v>
      </c>
      <c r="H62" s="44" t="n">
        <v>0</v>
      </c>
      <c r="I62" s="44"/>
      <c r="J62" s="44"/>
      <c r="K62" s="44"/>
      <c r="L62" s="44"/>
      <c r="M62" s="45"/>
      <c r="N62" s="44"/>
      <c r="O62" s="44"/>
      <c r="P62" s="44"/>
      <c r="Q62" s="44"/>
      <c r="R62" s="44"/>
      <c r="S62" s="44"/>
      <c r="T62" s="44"/>
      <c r="U62" s="44"/>
      <c r="V62" s="44"/>
      <c r="W62" s="44"/>
      <c r="X62" s="44"/>
    </row>
    <row r="63" ht="22" customHeight="1">
      <c r="A63" s="4" t="str">
        <v>Interest rate swap contracts — Assets</v>
      </c>
      <c r="B63" s="2"/>
      <c r="C63" s="44"/>
      <c r="D63" s="44"/>
      <c r="E63" s="44"/>
      <c r="F63" s="44"/>
      <c r="G63" s="44"/>
      <c r="H63" s="44"/>
      <c r="I63" s="44"/>
      <c r="J63" s="44" t="n">
        <v>0</v>
      </c>
      <c r="K63" s="44" t="n">
        <v>0</v>
      </c>
      <c r="L63" s="44" t="n">
        <v>19</v>
      </c>
      <c r="M63" s="45"/>
      <c r="N63" s="44"/>
      <c r="O63" s="44"/>
      <c r="P63" s="44"/>
      <c r="Q63" s="44"/>
      <c r="R63" s="44" t="n">
        <v>4</v>
      </c>
      <c r="S63" s="44" t="n">
        <v>7</v>
      </c>
      <c r="T63" s="44" t="n">
        <v>31</v>
      </c>
      <c r="U63" s="44"/>
      <c r="V63" s="44" t="n">
        <v>5</v>
      </c>
      <c r="W63" s="44" t="n">
        <v>0</v>
      </c>
      <c r="X63" s="44" t="n">
        <v>0</v>
      </c>
    </row>
    <row r="64" ht="22" customHeight="1">
      <c r="A64" s="4" t="str">
        <v>Interest rate swap contracts — Liabilities</v>
      </c>
      <c r="B64" s="2"/>
      <c r="C64" s="44"/>
      <c r="D64" s="44"/>
      <c r="E64" s="44"/>
      <c r="F64" s="44"/>
      <c r="G64" s="44"/>
      <c r="H64" s="44"/>
      <c r="I64" s="44"/>
      <c r="J64" s="44" t="n">
        <v>0</v>
      </c>
      <c r="K64" s="44" t="n">
        <v>46</v>
      </c>
      <c r="L64" s="44" t="n">
        <v>3</v>
      </c>
      <c r="M64" s="45"/>
      <c r="N64" s="44"/>
      <c r="O64" s="44"/>
      <c r="P64" s="44"/>
      <c r="Q64" s="44"/>
      <c r="R64" s="44" t="n">
        <v>14</v>
      </c>
      <c r="S64" s="44" t="n">
        <v>10</v>
      </c>
      <c r="T64" s="44" t="n">
        <v>1</v>
      </c>
      <c r="U64" s="44"/>
      <c r="V64" s="44" t="n">
        <v>10</v>
      </c>
      <c r="W64" s="44" t="n">
        <v>21</v>
      </c>
      <c r="X64" s="44" t="n">
        <v>38</v>
      </c>
    </row>
    <row r="65" ht="24" customHeight="1">
      <c r="A65" s="39" t="str">
        <v>Cash flow hedging instruments</v>
      </c>
      <c r="B65" s="40"/>
      <c r="C65" s="41"/>
      <c r="D65" s="41"/>
      <c r="E65" s="41"/>
      <c r="F65" s="41"/>
      <c r="G65" s="41"/>
      <c r="H65" s="41"/>
      <c r="I65" s="41"/>
      <c r="J65" s="41"/>
      <c r="K65" s="41"/>
      <c r="L65" s="41"/>
      <c r="M65" s="42"/>
      <c r="N65" s="41"/>
      <c r="O65" s="41"/>
      <c r="P65" s="41"/>
      <c r="Q65" s="41"/>
      <c r="R65" s="41"/>
      <c r="S65" s="41"/>
      <c r="T65" s="41"/>
      <c r="U65" s="41"/>
      <c r="V65" s="41"/>
      <c r="W65" s="41"/>
      <c r="X65" s="41"/>
    </row>
    <row r="66" ht="22" customHeight="1">
      <c r="A66" s="4" t="str">
        <v>Foreign exchange — Assets</v>
      </c>
      <c r="B66" s="2"/>
      <c r="C66" s="44" t="n">
        <v>51</v>
      </c>
      <c r="D66" s="44" t="n">
        <v>15</v>
      </c>
      <c r="E66" s="44" t="n">
        <v>44</v>
      </c>
      <c r="F66" s="44" t="n">
        <v>5</v>
      </c>
      <c r="G66" s="44" t="n">
        <v>9</v>
      </c>
      <c r="H66" s="44" t="n">
        <v>29</v>
      </c>
      <c r="I66" s="44" t="n">
        <v>24</v>
      </c>
      <c r="J66" s="44" t="n">
        <v>3</v>
      </c>
      <c r="K66" s="44"/>
      <c r="L66" s="44"/>
      <c r="M66" s="45"/>
      <c r="N66" s="44" t="n">
        <v>9</v>
      </c>
      <c r="O66" s="44" t="n">
        <v>14</v>
      </c>
      <c r="P66" s="44"/>
      <c r="Q66" s="44"/>
      <c r="R66" s="44"/>
      <c r="S66" s="44"/>
      <c r="T66" s="44"/>
      <c r="U66" s="44"/>
      <c r="V66" s="44"/>
      <c r="W66" s="44"/>
      <c r="X66" s="44"/>
    </row>
    <row r="67" ht="22" customHeight="1">
      <c r="A67" s="4" t="str">
        <v>Foreign exchange — Liabilities</v>
      </c>
      <c r="B67" s="2"/>
      <c r="C67" s="44" t="n">
        <v>8</v>
      </c>
      <c r="D67" s="44" t="n">
        <v>31</v>
      </c>
      <c r="E67" s="44" t="n">
        <v>14</v>
      </c>
      <c r="F67" s="44" t="n">
        <v>32</v>
      </c>
      <c r="G67" s="44" t="n">
        <v>71</v>
      </c>
      <c r="H67" s="44" t="n">
        <v>14</v>
      </c>
      <c r="I67" s="44" t="n">
        <v>22</v>
      </c>
      <c r="J67" s="44" t="n">
        <v>31</v>
      </c>
      <c r="K67" s="44"/>
      <c r="L67" s="44"/>
      <c r="M67" s="45"/>
      <c r="N67" s="44" t="n">
        <v>16</v>
      </c>
      <c r="O67" s="44" t="n">
        <v>13</v>
      </c>
      <c r="P67" s="44"/>
      <c r="Q67" s="44"/>
      <c r="R67" s="44"/>
      <c r="S67" s="44"/>
      <c r="T67" s="44"/>
      <c r="U67" s="44"/>
      <c r="V67" s="44"/>
      <c r="W67" s="44"/>
      <c r="X67" s="44"/>
    </row>
    <row r="68" ht="22" customHeight="1">
      <c r="A68" s="4" t="str">
        <v>Interest rate — Assets</v>
      </c>
      <c r="B68" s="2"/>
      <c r="C68" s="44" t="n">
        <v>0</v>
      </c>
      <c r="D68" s="44" t="n">
        <v>0</v>
      </c>
      <c r="E68" s="44" t="n">
        <v>0</v>
      </c>
      <c r="F68" s="44" t="n">
        <v>0</v>
      </c>
      <c r="G68" s="44" t="n">
        <v>13</v>
      </c>
      <c r="H68" s="44" t="n">
        <v>14</v>
      </c>
      <c r="I68" s="44" t="n">
        <v>0</v>
      </c>
      <c r="J68" s="44" t="n">
        <v>5</v>
      </c>
      <c r="K68" s="44"/>
      <c r="L68" s="44"/>
      <c r="M68" s="45"/>
      <c r="N68" s="44" t="n">
        <v>0</v>
      </c>
      <c r="O68" s="44" t="n">
        <v>0</v>
      </c>
      <c r="P68" s="44"/>
      <c r="Q68" s="44"/>
      <c r="R68" s="44"/>
      <c r="S68" s="44"/>
      <c r="T68" s="44"/>
      <c r="U68" s="44"/>
      <c r="V68" s="44"/>
      <c r="W68" s="44"/>
      <c r="X68" s="44"/>
    </row>
    <row r="69" ht="22" customHeight="1">
      <c r="A69" s="4" t="str">
        <v>Interest rate — Liabilities</v>
      </c>
      <c r="B69" s="2"/>
      <c r="C69" s="44" t="n">
        <v>408</v>
      </c>
      <c r="D69" s="44" t="n">
        <v>213</v>
      </c>
      <c r="E69" s="44" t="n">
        <v>323</v>
      </c>
      <c r="F69" s="44" t="n">
        <v>390</v>
      </c>
      <c r="G69" s="44" t="n">
        <v>307</v>
      </c>
      <c r="H69" s="44" t="n">
        <v>264</v>
      </c>
      <c r="I69" s="44" t="n">
        <v>164</v>
      </c>
      <c r="J69" s="44" t="n">
        <v>135</v>
      </c>
      <c r="K69" s="44"/>
      <c r="L69" s="44"/>
      <c r="M69" s="45"/>
      <c r="N69" s="44" t="n">
        <v>155</v>
      </c>
      <c r="O69" s="44" t="n">
        <v>152</v>
      </c>
      <c r="P69" s="44"/>
      <c r="Q69" s="44"/>
      <c r="R69" s="44"/>
      <c r="S69" s="44"/>
      <c r="T69" s="44"/>
      <c r="U69" s="44"/>
      <c r="V69" s="44"/>
      <c r="W69" s="44"/>
      <c r="X69" s="44"/>
    </row>
    <row r="70" ht="22" customHeight="1">
      <c r="A70" s="4" t="str">
        <v>Commodity — Assets</v>
      </c>
      <c r="B70" s="2"/>
      <c r="C70" s="44" t="n">
        <v>0</v>
      </c>
      <c r="D70" s="44" t="n">
        <v>0</v>
      </c>
      <c r="E70" s="44" t="n">
        <v>0</v>
      </c>
      <c r="F70" s="44" t="n">
        <v>2</v>
      </c>
      <c r="G70" s="44" t="n">
        <v>32</v>
      </c>
      <c r="H70" s="44" t="n">
        <v>70</v>
      </c>
      <c r="I70" s="44" t="n">
        <v>2</v>
      </c>
      <c r="J70" s="44" t="n">
        <v>10</v>
      </c>
      <c r="K70" s="44"/>
      <c r="L70" s="44"/>
      <c r="M70" s="45"/>
      <c r="N70" s="44" t="n">
        <v>4</v>
      </c>
      <c r="O70" s="44" t="n">
        <v>23</v>
      </c>
      <c r="P70" s="44"/>
      <c r="Q70" s="44"/>
      <c r="R70" s="44"/>
      <c r="S70" s="44"/>
      <c r="T70" s="44"/>
      <c r="U70" s="44"/>
      <c r="V70" s="44"/>
      <c r="W70" s="44"/>
      <c r="X70" s="44"/>
    </row>
    <row r="71" ht="22" customHeight="1">
      <c r="A71" s="4" t="str">
        <v>Commodity — Liabilities</v>
      </c>
      <c r="B71" s="2"/>
      <c r="C71" s="44" t="n">
        <v>1</v>
      </c>
      <c r="D71" s="44" t="n">
        <v>2</v>
      </c>
      <c r="E71" s="44" t="n">
        <v>1</v>
      </c>
      <c r="F71" s="44" t="n">
        <v>5</v>
      </c>
      <c r="G71" s="44" t="n">
        <v>0</v>
      </c>
      <c r="H71" s="44" t="n">
        <v>5</v>
      </c>
      <c r="I71" s="44" t="n">
        <v>60</v>
      </c>
      <c r="J71" s="44" t="n">
        <v>24</v>
      </c>
      <c r="K71" s="44"/>
      <c r="L71" s="44"/>
      <c r="M71" s="45"/>
      <c r="N71" s="44" t="n">
        <v>26</v>
      </c>
      <c r="O71" s="44" t="n">
        <v>8</v>
      </c>
      <c r="P71" s="44"/>
      <c r="Q71" s="44"/>
      <c r="R71" s="44"/>
      <c r="S71" s="44"/>
      <c r="T71" s="44"/>
      <c r="U71" s="44"/>
      <c r="V71" s="44"/>
      <c r="W71" s="44"/>
      <c r="X71" s="44"/>
    </row>
    <row r="72" ht="36" customHeight="1">
      <c r="A72" s="4" t="str">
        <v>Subtotal (unlabeled in filing): Derivatives designated as cash flow hedging instruments: — Assets</v>
      </c>
      <c r="B72" s="2"/>
      <c r="C72" s="44" t="n">
        <v>53</v>
      </c>
      <c r="D72" s="44" t="n">
        <v>17</v>
      </c>
      <c r="E72" s="44" t="n">
        <v>44</v>
      </c>
      <c r="F72" s="44" t="n">
        <v>9</v>
      </c>
      <c r="G72" s="44" t="n">
        <v>54</v>
      </c>
      <c r="H72" s="44" t="n">
        <v>113</v>
      </c>
      <c r="I72" s="44" t="n">
        <v>26</v>
      </c>
      <c r="J72" s="44" t="n">
        <v>18</v>
      </c>
      <c r="K72" s="44" t="n">
        <v>82</v>
      </c>
      <c r="L72" s="44" t="n">
        <v>122</v>
      </c>
      <c r="M72" s="45"/>
      <c r="N72" s="44" t="n">
        <v>13</v>
      </c>
      <c r="O72" s="44" t="n">
        <v>37</v>
      </c>
      <c r="P72" s="44" t="n">
        <v>39</v>
      </c>
      <c r="Q72" s="44"/>
      <c r="R72" s="44" t="n">
        <v>79</v>
      </c>
      <c r="S72" s="44" t="n">
        <v>79</v>
      </c>
      <c r="T72" s="44" t="n">
        <v>94</v>
      </c>
      <c r="U72" s="44"/>
      <c r="V72" s="44" t="n">
        <v>145</v>
      </c>
      <c r="W72" s="44" t="n">
        <v>162</v>
      </c>
      <c r="X72" s="44" t="n">
        <v>68</v>
      </c>
    </row>
    <row r="73" ht="36" customHeight="1">
      <c r="A73" s="4" t="str">
        <v>Subtotal (unlabeled in filing): Derivatives designated as cash flow hedging instruments: — Liabilities</v>
      </c>
      <c r="B73" s="2"/>
      <c r="C73" s="44" t="n">
        <v>417</v>
      </c>
      <c r="D73" s="44" t="n">
        <v>246</v>
      </c>
      <c r="E73" s="44" t="n">
        <v>341</v>
      </c>
      <c r="F73" s="44" t="n">
        <v>432</v>
      </c>
      <c r="G73" s="44" t="n">
        <v>378</v>
      </c>
      <c r="H73" s="44" t="n">
        <v>283</v>
      </c>
      <c r="I73" s="44" t="n">
        <v>246</v>
      </c>
      <c r="J73" s="44" t="n">
        <v>190</v>
      </c>
      <c r="K73" s="44" t="n">
        <v>174</v>
      </c>
      <c r="L73" s="44" t="n">
        <v>135</v>
      </c>
      <c r="M73" s="45"/>
      <c r="N73" s="44" t="n">
        <v>197</v>
      </c>
      <c r="O73" s="44" t="n">
        <v>173</v>
      </c>
      <c r="P73" s="44" t="n">
        <v>165</v>
      </c>
      <c r="Q73" s="44"/>
      <c r="R73" s="44" t="n">
        <v>159</v>
      </c>
      <c r="S73" s="44" t="n">
        <v>164</v>
      </c>
      <c r="T73" s="44" t="n">
        <v>145</v>
      </c>
      <c r="U73" s="44"/>
      <c r="V73" s="44" t="n">
        <v>147</v>
      </c>
      <c r="W73" s="44" t="n">
        <v>22</v>
      </c>
      <c r="X73" s="44" t="n">
        <v>35</v>
      </c>
    </row>
    <row r="74" ht="22" customHeight="1">
      <c r="A74" s="4" t="str">
        <v>Foreign exchange contracts — Assets</v>
      </c>
      <c r="B74" s="2"/>
      <c r="C74" s="44"/>
      <c r="D74" s="44"/>
      <c r="E74" s="44"/>
      <c r="F74" s="44"/>
      <c r="G74" s="44"/>
      <c r="H74" s="44"/>
      <c r="I74" s="44"/>
      <c r="J74" s="44" t="n">
        <v>3</v>
      </c>
      <c r="K74" s="44" t="n">
        <v>55</v>
      </c>
      <c r="L74" s="44" t="n">
        <v>6</v>
      </c>
      <c r="M74" s="45"/>
      <c r="N74" s="44"/>
      <c r="O74" s="44"/>
      <c r="P74" s="44" t="n">
        <v>35</v>
      </c>
      <c r="Q74" s="44"/>
      <c r="R74" s="44" t="n">
        <v>27</v>
      </c>
      <c r="S74" s="44" t="n">
        <v>5</v>
      </c>
      <c r="T74" s="44" t="n">
        <v>8</v>
      </c>
      <c r="U74" s="44"/>
      <c r="V74" s="44" t="n">
        <v>7</v>
      </c>
      <c r="W74" s="44" t="n">
        <v>18</v>
      </c>
      <c r="X74" s="44" t="n">
        <v>8</v>
      </c>
    </row>
    <row r="75" ht="22" customHeight="1">
      <c r="A75" s="4" t="str">
        <v>Foreign exchange contracts — Liabilities</v>
      </c>
      <c r="B75" s="2"/>
      <c r="C75" s="44"/>
      <c r="D75" s="44"/>
      <c r="E75" s="44"/>
      <c r="F75" s="44"/>
      <c r="G75" s="44"/>
      <c r="H75" s="44"/>
      <c r="I75" s="44"/>
      <c r="J75" s="44" t="n">
        <v>31</v>
      </c>
      <c r="K75" s="44" t="n">
        <v>3</v>
      </c>
      <c r="L75" s="44" t="n">
        <v>28</v>
      </c>
      <c r="M75" s="45"/>
      <c r="N75" s="44"/>
      <c r="O75" s="44"/>
      <c r="P75" s="44" t="n">
        <v>11</v>
      </c>
      <c r="Q75" s="44"/>
      <c r="R75" s="44" t="n">
        <v>8</v>
      </c>
      <c r="S75" s="44" t="n">
        <v>40</v>
      </c>
      <c r="T75" s="44" t="n">
        <v>32</v>
      </c>
      <c r="U75" s="44"/>
      <c r="V75" s="44" t="n">
        <v>32</v>
      </c>
      <c r="W75" s="44" t="n">
        <v>20</v>
      </c>
      <c r="X75" s="44" t="n">
        <v>20</v>
      </c>
    </row>
    <row r="76" ht="22" customHeight="1">
      <c r="A76" s="4" t="str">
        <v>Cross-currency contracts — Assets</v>
      </c>
      <c r="B76" s="2"/>
      <c r="C76" s="44"/>
      <c r="D76" s="44"/>
      <c r="E76" s="44"/>
      <c r="F76" s="44"/>
      <c r="G76" s="44"/>
      <c r="H76" s="44"/>
      <c r="I76" s="44"/>
      <c r="J76" s="44" t="n">
        <v>5</v>
      </c>
      <c r="K76" s="44" t="n">
        <v>0</v>
      </c>
      <c r="L76" s="44" t="n">
        <v>0</v>
      </c>
      <c r="M76" s="45"/>
      <c r="N76" s="44"/>
      <c r="O76" s="44"/>
      <c r="P76" s="44" t="n">
        <v>0</v>
      </c>
      <c r="Q76" s="44"/>
      <c r="R76" s="44" t="n">
        <v>0</v>
      </c>
      <c r="S76" s="44" t="n">
        <v>0</v>
      </c>
      <c r="T76" s="44" t="n">
        <v>0</v>
      </c>
      <c r="U76" s="44"/>
      <c r="V76" s="44" t="n">
        <v>0</v>
      </c>
      <c r="W76" s="44" t="n">
        <v>0</v>
      </c>
      <c r="X76" s="44" t="n">
        <v>0</v>
      </c>
    </row>
    <row r="77" ht="22" customHeight="1">
      <c r="A77" s="4" t="str">
        <v>Cross-currency contracts — Liabilities</v>
      </c>
      <c r="B77" s="2"/>
      <c r="C77" s="44"/>
      <c r="D77" s="44"/>
      <c r="E77" s="44"/>
      <c r="F77" s="44"/>
      <c r="G77" s="44"/>
      <c r="H77" s="44"/>
      <c r="I77" s="44"/>
      <c r="J77" s="44" t="n">
        <v>135</v>
      </c>
      <c r="K77" s="44" t="n">
        <v>165</v>
      </c>
      <c r="L77" s="44" t="n">
        <v>102</v>
      </c>
      <c r="M77" s="45"/>
      <c r="N77" s="44"/>
      <c r="O77" s="44"/>
      <c r="P77" s="44" t="n">
        <v>138</v>
      </c>
      <c r="Q77" s="44"/>
      <c r="R77" s="44" t="n">
        <v>146</v>
      </c>
      <c r="S77" s="44" t="n">
        <v>110</v>
      </c>
      <c r="T77" s="44" t="n">
        <v>105</v>
      </c>
      <c r="U77" s="44"/>
      <c r="V77" s="44" t="n">
        <v>113</v>
      </c>
      <c r="W77" s="44" t="n">
        <v>0</v>
      </c>
      <c r="X77" s="44" t="n">
        <v>0</v>
      </c>
    </row>
    <row r="78" ht="22" customHeight="1">
      <c r="A78" s="4" t="str">
        <v>Commodity contracts — Assets</v>
      </c>
      <c r="B78" s="2"/>
      <c r="C78" s="44"/>
      <c r="D78" s="44"/>
      <c r="E78" s="44"/>
      <c r="F78" s="44"/>
      <c r="G78" s="44"/>
      <c r="H78" s="44"/>
      <c r="I78" s="44"/>
      <c r="J78" s="44" t="n">
        <v>10</v>
      </c>
      <c r="K78" s="44" t="n">
        <v>27</v>
      </c>
      <c r="L78" s="44" t="n">
        <v>116</v>
      </c>
      <c r="M78" s="45"/>
      <c r="N78" s="44"/>
      <c r="O78" s="44"/>
      <c r="P78" s="44" t="n">
        <v>4</v>
      </c>
      <c r="Q78" s="44"/>
      <c r="R78" s="44" t="n">
        <v>52</v>
      </c>
      <c r="S78" s="44" t="n">
        <v>74</v>
      </c>
      <c r="T78" s="44" t="n">
        <v>86</v>
      </c>
      <c r="U78" s="44"/>
      <c r="V78" s="44" t="n">
        <v>138</v>
      </c>
      <c r="W78" s="44" t="n">
        <v>144</v>
      </c>
      <c r="X78" s="44" t="n">
        <v>60</v>
      </c>
    </row>
    <row r="79" ht="22" customHeight="1">
      <c r="A79" s="4" t="str">
        <v>Commodity contracts — Liabilities</v>
      </c>
      <c r="B79" s="2"/>
      <c r="C79" s="44"/>
      <c r="D79" s="44"/>
      <c r="E79" s="44"/>
      <c r="F79" s="44"/>
      <c r="G79" s="44"/>
      <c r="H79" s="44"/>
      <c r="I79" s="44"/>
      <c r="J79" s="44" t="n">
        <v>24</v>
      </c>
      <c r="K79" s="44" t="n">
        <v>6</v>
      </c>
      <c r="L79" s="44" t="n">
        <v>5</v>
      </c>
      <c r="M79" s="45"/>
      <c r="N79" s="44"/>
      <c r="O79" s="44"/>
      <c r="P79" s="44" t="n">
        <v>16</v>
      </c>
      <c r="Q79" s="44"/>
      <c r="R79" s="44" t="n">
        <v>5</v>
      </c>
      <c r="S79" s="44" t="n">
        <v>14</v>
      </c>
      <c r="T79" s="44" t="n">
        <v>8</v>
      </c>
      <c r="U79" s="44"/>
      <c r="V79" s="44" t="n">
        <v>2</v>
      </c>
      <c r="W79" s="44" t="n">
        <v>2</v>
      </c>
      <c r="X79" s="44" t="n">
        <v>15</v>
      </c>
    </row>
    <row r="80" ht="24" customHeight="1">
      <c r="A80" s="39" t="str">
        <v>Derivatives not designated as hedging instruments</v>
      </c>
      <c r="B80" s="40"/>
      <c r="C80" s="41"/>
      <c r="D80" s="41"/>
      <c r="E80" s="41"/>
      <c r="F80" s="41"/>
      <c r="G80" s="41"/>
      <c r="H80" s="41"/>
      <c r="I80" s="41"/>
      <c r="J80" s="41"/>
      <c r="K80" s="41"/>
      <c r="L80" s="41"/>
      <c r="M80" s="42"/>
      <c r="N80" s="41"/>
      <c r="O80" s="41"/>
      <c r="P80" s="41"/>
      <c r="Q80" s="41"/>
      <c r="R80" s="41"/>
      <c r="S80" s="41"/>
      <c r="T80" s="41"/>
      <c r="U80" s="41"/>
      <c r="V80" s="41"/>
      <c r="W80" s="41"/>
      <c r="X80" s="41"/>
    </row>
    <row r="81" ht="22" customHeight="1">
      <c r="A81" s="4" t="str">
        <v>Foreign exchange — Assets</v>
      </c>
      <c r="B81" s="2"/>
      <c r="C81" s="44" t="n">
        <v>2</v>
      </c>
      <c r="D81" s="44" t="n">
        <v>10</v>
      </c>
      <c r="E81" s="44" t="n">
        <v>3</v>
      </c>
      <c r="F81" s="44" t="n">
        <v>3</v>
      </c>
      <c r="G81" s="44" t="n">
        <v>4</v>
      </c>
      <c r="H81" s="44" t="n">
        <v>19</v>
      </c>
      <c r="I81" s="44" t="n">
        <v>21</v>
      </c>
      <c r="J81" s="44" t="n">
        <v>33</v>
      </c>
      <c r="K81" s="44"/>
      <c r="L81" s="44"/>
      <c r="M81" s="45"/>
      <c r="N81" s="44" t="n">
        <v>8</v>
      </c>
      <c r="O81" s="44" t="n">
        <v>14</v>
      </c>
      <c r="P81" s="44"/>
      <c r="Q81" s="44"/>
      <c r="R81" s="44"/>
      <c r="S81" s="44"/>
      <c r="T81" s="44"/>
      <c r="U81" s="44"/>
      <c r="V81" s="44"/>
      <c r="W81" s="44"/>
      <c r="X81" s="44"/>
    </row>
    <row r="82" ht="22" customHeight="1">
      <c r="A82" s="4" t="str">
        <v>Foreign exchange — Liabilities</v>
      </c>
      <c r="B82" s="2"/>
      <c r="C82" s="44" t="n">
        <v>15</v>
      </c>
      <c r="D82" s="44" t="n">
        <v>3</v>
      </c>
      <c r="E82" s="44" t="n">
        <v>10</v>
      </c>
      <c r="F82" s="44" t="n">
        <v>2</v>
      </c>
      <c r="G82" s="44" t="n">
        <v>8</v>
      </c>
      <c r="H82" s="44" t="n">
        <v>7</v>
      </c>
      <c r="I82" s="44" t="n">
        <v>21</v>
      </c>
      <c r="J82" s="44" t="n">
        <v>38</v>
      </c>
      <c r="K82" s="44"/>
      <c r="L82" s="44"/>
      <c r="M82" s="45"/>
      <c r="N82" s="44" t="n">
        <v>17</v>
      </c>
      <c r="O82" s="44" t="n">
        <v>14</v>
      </c>
      <c r="P82" s="44"/>
      <c r="Q82" s="44"/>
      <c r="R82" s="44"/>
      <c r="S82" s="44"/>
      <c r="T82" s="44"/>
      <c r="U82" s="44"/>
      <c r="V82" s="44"/>
      <c r="W82" s="44"/>
      <c r="X82" s="44"/>
    </row>
    <row r="83" ht="22" customHeight="1">
      <c r="A83" s="4" t="str">
        <v>Interest rate — Assets</v>
      </c>
      <c r="B83" s="2"/>
      <c r="C83" s="44" t="n">
        <v>0</v>
      </c>
      <c r="D83" s="44"/>
      <c r="E83" s="44"/>
      <c r="F83" s="44"/>
      <c r="G83" s="44"/>
      <c r="H83" s="44"/>
      <c r="I83" s="44"/>
      <c r="J83" s="44"/>
      <c r="K83" s="44"/>
      <c r="L83" s="44"/>
      <c r="M83" s="45"/>
      <c r="N83" s="44"/>
      <c r="O83" s="44"/>
      <c r="P83" s="44"/>
      <c r="Q83" s="44"/>
      <c r="R83" s="44"/>
      <c r="S83" s="44"/>
      <c r="T83" s="44"/>
      <c r="U83" s="44"/>
      <c r="V83" s="44"/>
      <c r="W83" s="44"/>
      <c r="X83" s="44"/>
    </row>
    <row r="84" ht="22" customHeight="1">
      <c r="A84" s="4" t="str">
        <v>Interest rate — Liabilities</v>
      </c>
      <c r="B84" s="2"/>
      <c r="C84" s="44" t="n">
        <v>0</v>
      </c>
      <c r="D84" s="44"/>
      <c r="E84" s="44"/>
      <c r="F84" s="44"/>
      <c r="G84" s="44"/>
      <c r="H84" s="44"/>
      <c r="I84" s="44"/>
      <c r="J84" s="44"/>
      <c r="K84" s="44"/>
      <c r="L84" s="44"/>
      <c r="M84" s="45"/>
      <c r="N84" s="44"/>
      <c r="O84" s="44"/>
      <c r="P84" s="44"/>
      <c r="Q84" s="44"/>
      <c r="R84" s="44"/>
      <c r="S84" s="44"/>
      <c r="T84" s="44"/>
      <c r="U84" s="44"/>
      <c r="V84" s="44"/>
      <c r="W84" s="44"/>
      <c r="X84" s="44"/>
    </row>
    <row r="85" ht="22" customHeight="1">
      <c r="A85" s="4" t="str">
        <v>Commodity — Assets</v>
      </c>
      <c r="B85" s="2"/>
      <c r="C85" s="44" t="n">
        <v>1</v>
      </c>
      <c r="D85" s="44" t="n">
        <v>0</v>
      </c>
      <c r="E85" s="44" t="n">
        <v>2</v>
      </c>
      <c r="F85" s="44" t="n">
        <v>23</v>
      </c>
      <c r="G85" s="44" t="n">
        <v>19</v>
      </c>
      <c r="H85" s="44" t="n">
        <v>35</v>
      </c>
      <c r="I85" s="44" t="n">
        <v>11</v>
      </c>
      <c r="J85" s="44" t="n">
        <v>5</v>
      </c>
      <c r="K85" s="44"/>
      <c r="L85" s="44"/>
      <c r="M85" s="45"/>
      <c r="N85" s="44" t="n">
        <v>7</v>
      </c>
      <c r="O85" s="44" t="n">
        <v>7</v>
      </c>
      <c r="P85" s="44"/>
      <c r="Q85" s="44"/>
      <c r="R85" s="44"/>
      <c r="S85" s="44"/>
      <c r="T85" s="44"/>
      <c r="U85" s="44"/>
      <c r="V85" s="44"/>
      <c r="W85" s="44"/>
      <c r="X85" s="44"/>
    </row>
    <row r="86" ht="22" customHeight="1">
      <c r="A86" s="4" t="str">
        <v>Commodity — Liabilities</v>
      </c>
      <c r="B86" s="2"/>
      <c r="C86" s="44" t="n">
        <v>1</v>
      </c>
      <c r="D86" s="44" t="n">
        <v>19</v>
      </c>
      <c r="E86" s="44" t="n">
        <v>17</v>
      </c>
      <c r="F86" s="44" t="n">
        <v>7</v>
      </c>
      <c r="G86" s="44" t="n">
        <v>7</v>
      </c>
      <c r="H86" s="44" t="n">
        <v>22</v>
      </c>
      <c r="I86" s="44" t="n">
        <v>51</v>
      </c>
      <c r="J86" s="44" t="n">
        <v>13</v>
      </c>
      <c r="K86" s="44"/>
      <c r="L86" s="44"/>
      <c r="M86" s="45"/>
      <c r="N86" s="44" t="n">
        <v>7</v>
      </c>
      <c r="O86" s="44" t="n">
        <v>3</v>
      </c>
      <c r="P86" s="44"/>
      <c r="Q86" s="44"/>
      <c r="R86" s="44"/>
      <c r="S86" s="44"/>
      <c r="T86" s="44"/>
      <c r="U86" s="44"/>
      <c r="V86" s="44"/>
      <c r="W86" s="44"/>
      <c r="X86" s="44"/>
    </row>
    <row r="87" ht="36" customHeight="1">
      <c r="A87" s="4" t="str">
        <v>Subtotal (unlabeled in filing): Derivatives not designated as hedging instruments: — Assets</v>
      </c>
      <c r="B87" s="2"/>
      <c r="C87" s="44" t="n">
        <v>63</v>
      </c>
      <c r="D87" s="44" t="n">
        <v>95</v>
      </c>
      <c r="E87" s="44" t="n">
        <v>10</v>
      </c>
      <c r="F87" s="44" t="n">
        <v>32</v>
      </c>
      <c r="G87" s="44" t="n">
        <v>23</v>
      </c>
      <c r="H87" s="44" t="n">
        <v>54</v>
      </c>
      <c r="I87" s="44" t="n">
        <v>32</v>
      </c>
      <c r="J87" s="44" t="n">
        <v>38</v>
      </c>
      <c r="K87" s="44" t="n">
        <v>31</v>
      </c>
      <c r="L87" s="44" t="n">
        <v>10</v>
      </c>
      <c r="M87" s="45"/>
      <c r="N87" s="44" t="n">
        <v>15</v>
      </c>
      <c r="O87" s="44" t="n">
        <v>21</v>
      </c>
      <c r="P87" s="44" t="n">
        <v>20</v>
      </c>
      <c r="Q87" s="44"/>
      <c r="R87" s="44" t="n">
        <v>9</v>
      </c>
      <c r="S87" s="44" t="n">
        <v>11</v>
      </c>
      <c r="T87" s="44" t="n">
        <v>7</v>
      </c>
      <c r="U87" s="44"/>
      <c r="V87" s="44" t="n">
        <v>35</v>
      </c>
      <c r="W87" s="44" t="n">
        <v>45</v>
      </c>
      <c r="X87" s="44" t="n">
        <v>34</v>
      </c>
    </row>
    <row r="88" ht="36" customHeight="1">
      <c r="A88" s="4" t="str">
        <v>Subtotal (unlabeled in filing): Derivatives not designated as hedging instruments: — Liabilities</v>
      </c>
      <c r="B88" s="2"/>
      <c r="C88" s="44" t="n">
        <v>41</v>
      </c>
      <c r="D88" s="44" t="n">
        <v>34</v>
      </c>
      <c r="E88" s="44" t="n">
        <v>119</v>
      </c>
      <c r="F88" s="44" t="n">
        <v>33</v>
      </c>
      <c r="G88" s="44" t="n">
        <v>15</v>
      </c>
      <c r="H88" s="44" t="n">
        <v>29</v>
      </c>
      <c r="I88" s="44" t="n">
        <v>72</v>
      </c>
      <c r="J88" s="44" t="n">
        <v>51</v>
      </c>
      <c r="K88" s="44" t="n">
        <v>22</v>
      </c>
      <c r="L88" s="44" t="n">
        <v>41</v>
      </c>
      <c r="M88" s="45"/>
      <c r="N88" s="44" t="n">
        <v>24</v>
      </c>
      <c r="O88" s="44" t="n">
        <v>17</v>
      </c>
      <c r="P88" s="44" t="n">
        <v>23</v>
      </c>
      <c r="Q88" s="44"/>
      <c r="R88" s="44" t="n">
        <v>20</v>
      </c>
      <c r="S88" s="44" t="n">
        <v>39</v>
      </c>
      <c r="T88" s="44" t="n">
        <v>23</v>
      </c>
      <c r="U88" s="44"/>
      <c r="V88" s="44" t="n">
        <v>9</v>
      </c>
      <c r="W88" s="44" t="n">
        <v>9</v>
      </c>
      <c r="X88" s="44" t="n">
        <v>30</v>
      </c>
    </row>
    <row r="89" ht="24" customHeight="1">
      <c r="A89" s="51" t="str">
        <v>Total derivatives at fair value — Assets</v>
      </c>
      <c r="B89" s="52"/>
      <c r="C89" s="53" t="n">
        <v>182</v>
      </c>
      <c r="D89" s="53" t="n">
        <v>136</v>
      </c>
      <c r="E89" s="53" t="n">
        <v>55</v>
      </c>
      <c r="F89" s="53" t="n">
        <v>41</v>
      </c>
      <c r="G89" s="53" t="n">
        <v>79</v>
      </c>
      <c r="H89" s="53" t="n">
        <v>167</v>
      </c>
      <c r="I89" s="53" t="n">
        <v>58</v>
      </c>
      <c r="J89" s="53" t="n">
        <v>56</v>
      </c>
      <c r="K89" s="53" t="n">
        <v>114</v>
      </c>
      <c r="L89" s="53" t="n">
        <v>151</v>
      </c>
      <c r="M89" s="55"/>
      <c r="N89" s="53" t="n">
        <v>28</v>
      </c>
      <c r="O89" s="53" t="n">
        <v>58</v>
      </c>
      <c r="P89" s="53" t="n">
        <v>59</v>
      </c>
      <c r="Q89" s="53"/>
      <c r="R89" s="53" t="n">
        <v>93</v>
      </c>
      <c r="S89" s="53" t="n">
        <v>97</v>
      </c>
      <c r="T89" s="53" t="n">
        <v>132</v>
      </c>
      <c r="U89" s="53"/>
      <c r="V89" s="53" t="n">
        <v>185</v>
      </c>
      <c r="W89" s="53" t="n">
        <v>207</v>
      </c>
      <c r="X89" s="53" t="n">
        <v>104</v>
      </c>
    </row>
    <row r="90" ht="24" customHeight="1">
      <c r="A90" s="51" t="str">
        <v>Total derivatives at fair value — Liabilities</v>
      </c>
      <c r="B90" s="52"/>
      <c r="C90" s="53" t="n">
        <v>529</v>
      </c>
      <c r="D90" s="53" t="n">
        <v>410</v>
      </c>
      <c r="E90" s="53" t="n">
        <v>568</v>
      </c>
      <c r="F90" s="53" t="n">
        <v>470</v>
      </c>
      <c r="G90" s="53" t="n">
        <v>393</v>
      </c>
      <c r="H90" s="53" t="n">
        <v>312</v>
      </c>
      <c r="I90" s="53" t="n">
        <v>318</v>
      </c>
      <c r="J90" s="53" t="n">
        <v>241</v>
      </c>
      <c r="K90" s="53" t="n">
        <v>246</v>
      </c>
      <c r="L90" s="53" t="n">
        <v>214</v>
      </c>
      <c r="M90" s="55"/>
      <c r="N90" s="53" t="n">
        <v>221</v>
      </c>
      <c r="O90" s="53" t="n">
        <v>190</v>
      </c>
      <c r="P90" s="53" t="n">
        <v>201</v>
      </c>
      <c r="Q90" s="53"/>
      <c r="R90" s="53" t="n">
        <v>194</v>
      </c>
      <c r="S90" s="53" t="n">
        <v>225</v>
      </c>
      <c r="T90" s="53" t="n">
        <v>185</v>
      </c>
      <c r="U90" s="53"/>
      <c r="V90" s="53" t="n">
        <v>237</v>
      </c>
      <c r="W90" s="53" t="n">
        <v>156</v>
      </c>
      <c r="X90" s="53" t="n">
        <v>238</v>
      </c>
    </row>
    <row r="91" ht="24" customHeight="1">
      <c r="A91" s="51" t="str">
        <v>Total — Assets</v>
      </c>
      <c r="B91" s="52"/>
      <c r="C91" s="53" t="n">
        <v>11851</v>
      </c>
      <c r="D91" s="53" t="n">
        <v>14901</v>
      </c>
      <c r="E91" s="53" t="n">
        <v>3931</v>
      </c>
      <c r="F91" s="53" t="n">
        <v>287</v>
      </c>
      <c r="G91" s="53" t="n">
        <v>328</v>
      </c>
      <c r="H91" s="53" t="n">
        <v>525</v>
      </c>
      <c r="I91" s="53" t="n">
        <v>989</v>
      </c>
      <c r="J91" s="53" t="n">
        <v>1695</v>
      </c>
      <c r="K91" s="53" t="n">
        <v>1491</v>
      </c>
      <c r="L91" s="53" t="n">
        <v>2619</v>
      </c>
      <c r="M91" s="55"/>
      <c r="N91" s="53" t="n">
        <v>2371</v>
      </c>
      <c r="O91" s="53" t="n">
        <v>1905</v>
      </c>
      <c r="P91" s="53" t="n">
        <v>1455</v>
      </c>
      <c r="Q91" s="53"/>
      <c r="R91" s="53" t="n">
        <v>1546</v>
      </c>
      <c r="S91" s="53" t="n">
        <v>1646</v>
      </c>
      <c r="T91" s="53" t="n">
        <v>2810</v>
      </c>
      <c r="U91" s="53"/>
      <c r="V91" s="53" t="n">
        <v>2519</v>
      </c>
      <c r="W91" s="53" t="n">
        <v>2295</v>
      </c>
      <c r="X91" s="53" t="n">
        <v>2268</v>
      </c>
    </row>
    <row r="92" ht="24" customHeight="1">
      <c r="A92" s="51" t="str">
        <v>Total — Liabilities</v>
      </c>
      <c r="B92" s="52"/>
      <c r="C92" s="53" t="n">
        <v>1001</v>
      </c>
      <c r="D92" s="53" t="n">
        <v>913</v>
      </c>
      <c r="E92" s="53" t="n">
        <v>1018</v>
      </c>
      <c r="F92" s="53" t="n">
        <v>938</v>
      </c>
      <c r="G92" s="53" t="n">
        <v>1731</v>
      </c>
      <c r="H92" s="53" t="n">
        <v>817</v>
      </c>
      <c r="I92" s="53" t="n">
        <v>752</v>
      </c>
      <c r="J92" s="53" t="n">
        <v>718</v>
      </c>
      <c r="K92" s="53" t="n">
        <v>749</v>
      </c>
      <c r="L92" s="53" t="n">
        <v>987</v>
      </c>
      <c r="M92" s="55"/>
      <c r="N92" s="53" t="n">
        <v>712</v>
      </c>
      <c r="O92" s="53" t="n">
        <v>683</v>
      </c>
      <c r="P92" s="53" t="n">
        <v>691</v>
      </c>
      <c r="Q92" s="53"/>
      <c r="R92" s="53" t="n">
        <v>673</v>
      </c>
      <c r="S92" s="53" t="n">
        <v>932</v>
      </c>
      <c r="T92" s="53" t="n">
        <v>850</v>
      </c>
      <c r="U92" s="53"/>
      <c r="V92" s="53" t="n">
        <v>868</v>
      </c>
      <c r="W92" s="53" t="n">
        <v>776</v>
      </c>
      <c r="X92" s="53" t="n">
        <v>756</v>
      </c>
    </row>
    <row r="93" ht="22" customHeight="1">
      <c r="A93" s="4" t="str">
        <v>Foreign exchange contracts — Assets</v>
      </c>
      <c r="B93" s="2"/>
      <c r="C93" s="44"/>
      <c r="D93" s="44"/>
      <c r="E93" s="44"/>
      <c r="F93" s="44"/>
      <c r="G93" s="44"/>
      <c r="H93" s="44"/>
      <c r="I93" s="44"/>
      <c r="J93" s="44" t="n">
        <v>33</v>
      </c>
      <c r="K93" s="44" t="n">
        <v>28</v>
      </c>
      <c r="L93" s="44" t="n">
        <v>6</v>
      </c>
      <c r="M93" s="45"/>
      <c r="N93" s="44"/>
      <c r="O93" s="44"/>
      <c r="P93" s="44" t="n">
        <v>17</v>
      </c>
      <c r="Q93" s="44"/>
      <c r="R93" s="44" t="n">
        <v>6</v>
      </c>
      <c r="S93" s="44" t="n">
        <v>10</v>
      </c>
      <c r="T93" s="44" t="n">
        <v>6</v>
      </c>
      <c r="U93" s="44"/>
      <c r="V93" s="44" t="n">
        <v>4</v>
      </c>
      <c r="W93" s="44" t="n">
        <v>16</v>
      </c>
      <c r="X93" s="44" t="n">
        <v>1</v>
      </c>
    </row>
    <row r="94" ht="22" customHeight="1">
      <c r="A94" s="4" t="str">
        <v>Foreign exchange contracts — Liabilities</v>
      </c>
      <c r="B94" s="2"/>
      <c r="C94" s="44"/>
      <c r="D94" s="44"/>
      <c r="E94" s="44"/>
      <c r="F94" s="44"/>
      <c r="G94" s="44"/>
      <c r="H94" s="44"/>
      <c r="I94" s="44"/>
      <c r="J94" s="44" t="n">
        <v>38</v>
      </c>
      <c r="K94" s="44" t="n">
        <v>12</v>
      </c>
      <c r="L94" s="44" t="n">
        <v>32</v>
      </c>
      <c r="M94" s="45"/>
      <c r="N94" s="44"/>
      <c r="O94" s="44"/>
      <c r="P94" s="44" t="n">
        <v>14</v>
      </c>
      <c r="Q94" s="44"/>
      <c r="R94" s="44" t="n">
        <v>11</v>
      </c>
      <c r="S94" s="44" t="n">
        <v>28</v>
      </c>
      <c r="T94" s="44" t="n">
        <v>12</v>
      </c>
      <c r="U94" s="44"/>
      <c r="V94" s="44" t="n">
        <v>8</v>
      </c>
      <c r="W94" s="44" t="n">
        <v>7</v>
      </c>
      <c r="X94" s="44" t="n">
        <v>23</v>
      </c>
    </row>
    <row r="95" ht="22" customHeight="1">
      <c r="A95" s="4" t="str">
        <v>Commodity contracts — Assets</v>
      </c>
      <c r="B95" s="2"/>
      <c r="C95" s="44"/>
      <c r="D95" s="44"/>
      <c r="E95" s="44"/>
      <c r="F95" s="44"/>
      <c r="G95" s="44"/>
      <c r="H95" s="44"/>
      <c r="I95" s="44"/>
      <c r="J95" s="44" t="n">
        <v>5</v>
      </c>
      <c r="K95" s="44" t="n">
        <v>3</v>
      </c>
      <c r="L95" s="44" t="n">
        <v>4</v>
      </c>
      <c r="M95" s="45"/>
      <c r="N95" s="44"/>
      <c r="O95" s="44"/>
      <c r="P95" s="44" t="n">
        <v>3</v>
      </c>
      <c r="Q95" s="44"/>
      <c r="R95" s="44" t="n">
        <v>3</v>
      </c>
      <c r="S95" s="44" t="n">
        <v>1</v>
      </c>
      <c r="T95" s="44" t="n">
        <v>1</v>
      </c>
      <c r="U95" s="44"/>
      <c r="V95" s="44" t="n">
        <v>31</v>
      </c>
      <c r="W95" s="44" t="n">
        <v>29</v>
      </c>
      <c r="X95" s="44" t="n">
        <v>33</v>
      </c>
    </row>
    <row r="96" ht="22" customHeight="1">
      <c r="A96" s="4" t="str">
        <v>Commodity contracts — Liabilities</v>
      </c>
      <c r="B96" s="2"/>
      <c r="C96" s="44"/>
      <c r="D96" s="44"/>
      <c r="E96" s="44"/>
      <c r="F96" s="44"/>
      <c r="G96" s="44"/>
      <c r="H96" s="44"/>
      <c r="I96" s="44"/>
      <c r="J96" s="44" t="n">
        <v>13</v>
      </c>
      <c r="K96" s="44" t="n">
        <v>10</v>
      </c>
      <c r="L96" s="44" t="n">
        <v>9</v>
      </c>
      <c r="M96" s="45"/>
      <c r="N96" s="44"/>
      <c r="O96" s="44"/>
      <c r="P96" s="44" t="n">
        <v>9</v>
      </c>
      <c r="Q96" s="44"/>
      <c r="R96" s="44" t="n">
        <v>9</v>
      </c>
      <c r="S96" s="44" t="n">
        <v>11</v>
      </c>
      <c r="T96" s="44" t="n">
        <v>11</v>
      </c>
      <c r="U96" s="44"/>
      <c r="V96" s="44" t="n">
        <v>1</v>
      </c>
      <c r="W96" s="44" t="n">
        <v>2</v>
      </c>
      <c r="X96" s="44" t="n">
        <v>7</v>
      </c>
    </row>
    <row r="97" ht="24" customHeight="1">
      <c r="A97" s="39" t="str">
        <v>Total derivatives</v>
      </c>
      <c r="B97" s="40"/>
      <c r="C97" s="41"/>
      <c r="D97" s="41"/>
      <c r="E97" s="41"/>
      <c r="F97" s="41"/>
      <c r="G97" s="41"/>
      <c r="H97" s="41"/>
      <c r="I97" s="41"/>
      <c r="J97" s="41"/>
      <c r="K97" s="41"/>
      <c r="L97" s="41"/>
      <c r="M97" s="42"/>
      <c r="N97" s="41"/>
      <c r="O97" s="41"/>
      <c r="P97" s="41"/>
      <c r="Q97" s="41"/>
      <c r="R97" s="41"/>
      <c r="S97" s="41"/>
      <c r="T97" s="41"/>
      <c r="U97" s="41"/>
      <c r="V97" s="41"/>
      <c r="W97" s="41"/>
      <c r="X97" s="41"/>
    </row>
    <row r="98" ht="22" customHeight="1">
      <c r="A98" s="4" t="str">
        <v>Non-derivative debt instruments — Notional Amounts</v>
      </c>
      <c r="B98" s="2"/>
      <c r="C98" s="44"/>
      <c r="D98" s="44"/>
      <c r="E98" s="44"/>
      <c r="F98" s="44"/>
      <c r="G98" s="44"/>
      <c r="H98" s="44"/>
      <c r="I98" s="44"/>
      <c r="J98" s="44" t="n">
        <v>3000</v>
      </c>
      <c r="K98" s="44" t="n">
        <v>2900</v>
      </c>
      <c r="L98" s="44" t="n">
        <v>4400</v>
      </c>
      <c r="M98" s="45"/>
      <c r="N98" s="44"/>
      <c r="O98" s="44"/>
      <c r="P98" s="44" t="n">
        <v>3100</v>
      </c>
      <c r="Q98" s="44"/>
      <c r="R98" s="44" t="n">
        <v>3000</v>
      </c>
      <c r="S98" s="44" t="n">
        <v>3200</v>
      </c>
      <c r="T98" s="44" t="n">
        <v>4300</v>
      </c>
      <c r="U98" s="44"/>
      <c r="V98" s="44" t="n">
        <v>11600</v>
      </c>
      <c r="W98" s="44" t="n">
        <v>11700</v>
      </c>
      <c r="X98" s="44" t="n">
        <v>11700</v>
      </c>
    </row>
    <row r="99" ht="24" customHeight="1">
      <c r="A99" s="39" t="str">
        <v>Net investment hedging instruments</v>
      </c>
      <c r="B99" s="40"/>
      <c r="C99" s="41"/>
      <c r="D99" s="41"/>
      <c r="E99" s="41"/>
      <c r="F99" s="41"/>
      <c r="G99" s="41"/>
      <c r="H99" s="41"/>
      <c r="I99" s="41"/>
      <c r="J99" s="41"/>
      <c r="K99" s="41"/>
      <c r="L99" s="41"/>
      <c r="M99" s="42"/>
      <c r="N99" s="41"/>
      <c r="O99" s="41"/>
      <c r="P99" s="41"/>
      <c r="Q99" s="41"/>
      <c r="R99" s="41"/>
      <c r="S99" s="41"/>
      <c r="T99" s="41"/>
      <c r="U99" s="41"/>
      <c r="V99" s="41"/>
      <c r="W99" s="41"/>
      <c r="X99" s="41"/>
    </row>
    <row r="100" ht="22" customHeight="1">
      <c r="A100" s="4" t="str">
        <v>Cross-currency contracts — Assets</v>
      </c>
      <c r="B100" s="2"/>
      <c r="C100" s="44"/>
      <c r="D100" s="44"/>
      <c r="E100" s="44"/>
      <c r="F100" s="44"/>
      <c r="G100" s="44"/>
      <c r="H100" s="44"/>
      <c r="I100" s="44"/>
      <c r="J100" s="44" t="n">
        <v>0</v>
      </c>
      <c r="K100" s="44" t="n">
        <v>1</v>
      </c>
      <c r="L100" s="44" t="n">
        <v>0</v>
      </c>
      <c r="M100" s="45"/>
      <c r="N100" s="44"/>
      <c r="O100" s="44"/>
      <c r="P100" s="44" t="n">
        <v>0</v>
      </c>
      <c r="Q100" s="44"/>
      <c r="R100" s="44" t="n">
        <v>1</v>
      </c>
      <c r="S100" s="44" t="n">
        <v>0</v>
      </c>
      <c r="T100" s="44" t="n">
        <v>0</v>
      </c>
      <c r="U100" s="44"/>
      <c r="V100" s="44" t="n">
        <v>0</v>
      </c>
      <c r="W100" s="44" t="n">
        <v>0</v>
      </c>
      <c r="X100" s="44" t="n">
        <v>1</v>
      </c>
    </row>
    <row r="101" ht="22" customHeight="1">
      <c r="A101" s="4" t="str">
        <v>Cross-currency contracts — Liabilities</v>
      </c>
      <c r="B101" s="2"/>
      <c r="C101" s="44"/>
      <c r="D101" s="44"/>
      <c r="E101" s="44"/>
      <c r="F101" s="44"/>
      <c r="G101" s="44"/>
      <c r="H101" s="44"/>
      <c r="I101" s="44"/>
      <c r="J101" s="44" t="n">
        <v>0</v>
      </c>
      <c r="K101" s="44" t="n">
        <v>4</v>
      </c>
      <c r="L101" s="44" t="n">
        <v>34</v>
      </c>
      <c r="M101" s="45"/>
      <c r="N101" s="44"/>
      <c r="O101" s="44"/>
      <c r="P101" s="44" t="n">
        <v>13</v>
      </c>
      <c r="Q101" s="44"/>
      <c r="R101" s="44" t="n">
        <v>1</v>
      </c>
      <c r="S101" s="44" t="n">
        <v>12</v>
      </c>
      <c r="T101" s="44" t="n">
        <v>16</v>
      </c>
      <c r="U101" s="44"/>
      <c r="V101" s="44" t="n">
        <v>71</v>
      </c>
      <c r="W101" s="44" t="n">
        <v>104</v>
      </c>
      <c r="X101" s="44" t="n">
        <v>132</v>
      </c>
    </row>
    <row r="102" ht="36" customHeight="1">
      <c r="A102" s="4" t="str">
        <v>Subtotal (unlabeled in filing): Derivatives designated as net investment hedging instruments: — Assets</v>
      </c>
      <c r="B102" s="2"/>
      <c r="C102" s="44"/>
      <c r="D102" s="44"/>
      <c r="E102" s="44"/>
      <c r="F102" s="44"/>
      <c r="G102" s="44"/>
      <c r="H102" s="44"/>
      <c r="I102" s="44"/>
      <c r="J102" s="44" t="n">
        <v>0</v>
      </c>
      <c r="K102" s="44" t="n">
        <v>1</v>
      </c>
      <c r="L102" s="44" t="n">
        <v>0</v>
      </c>
      <c r="M102" s="45"/>
      <c r="N102" s="44"/>
      <c r="O102" s="44"/>
      <c r="P102" s="44" t="n">
        <v>0</v>
      </c>
      <c r="Q102" s="44"/>
      <c r="R102" s="44"/>
      <c r="S102" s="44"/>
      <c r="T102" s="44"/>
      <c r="U102" s="44"/>
      <c r="V102" s="44" t="n">
        <v>0</v>
      </c>
      <c r="W102" s="44" t="n">
        <v>0</v>
      </c>
      <c r="X102" s="44" t="n">
        <v>2</v>
      </c>
    </row>
    <row r="103" ht="36" customHeight="1">
      <c r="A103" s="4" t="str">
        <v>Subtotal (unlabeled in filing): Derivatives designated as net investment hedging instruments: — Liabilities</v>
      </c>
      <c r="B103" s="2"/>
      <c r="C103" s="44"/>
      <c r="D103" s="44"/>
      <c r="E103" s="44"/>
      <c r="F103" s="44"/>
      <c r="G103" s="44"/>
      <c r="H103" s="44"/>
      <c r="I103" s="44"/>
      <c r="J103" s="44" t="n">
        <v>0</v>
      </c>
      <c r="K103" s="44" t="n">
        <v>4</v>
      </c>
      <c r="L103" s="44" t="n">
        <v>35</v>
      </c>
      <c r="M103" s="45"/>
      <c r="N103" s="44"/>
      <c r="O103" s="44"/>
      <c r="P103" s="44" t="n">
        <v>13</v>
      </c>
      <c r="Q103" s="44"/>
      <c r="R103" s="44"/>
      <c r="S103" s="44"/>
      <c r="T103" s="44"/>
      <c r="U103" s="44"/>
      <c r="V103" s="44" t="n">
        <v>71</v>
      </c>
      <c r="W103" s="44" t="n">
        <v>104</v>
      </c>
      <c r="X103" s="44" t="n">
        <v>135</v>
      </c>
    </row>
    <row r="104" ht="22" customHeight="1">
      <c r="A104" s="4" t="str">
        <v>Foreign exchange contracts — Assets</v>
      </c>
      <c r="B104" s="2"/>
      <c r="C104" s="44"/>
      <c r="D104" s="44"/>
      <c r="E104" s="44"/>
      <c r="F104" s="44"/>
      <c r="G104" s="44"/>
      <c r="H104" s="44"/>
      <c r="I104" s="44"/>
      <c r="J104" s="44"/>
      <c r="K104" s="44" t="n">
        <v>0</v>
      </c>
      <c r="L104" s="44" t="n">
        <v>0</v>
      </c>
      <c r="M104" s="45"/>
      <c r="N104" s="44"/>
      <c r="O104" s="44"/>
      <c r="P104" s="44"/>
      <c r="Q104" s="44"/>
      <c r="R104" s="44"/>
      <c r="S104" s="44"/>
      <c r="T104" s="44"/>
      <c r="U104" s="44"/>
      <c r="V104" s="44" t="n">
        <v>0</v>
      </c>
      <c r="W104" s="44" t="n">
        <v>0</v>
      </c>
      <c r="X104" s="44" t="n">
        <v>1</v>
      </c>
    </row>
    <row r="105" ht="22" customHeight="1">
      <c r="A105" s="4" t="str">
        <v>Foreign exchange contracts — Liabilities</v>
      </c>
      <c r="B105" s="2"/>
      <c r="C105" s="44"/>
      <c r="D105" s="44"/>
      <c r="E105" s="44"/>
      <c r="F105" s="44"/>
      <c r="G105" s="44"/>
      <c r="H105" s="44"/>
      <c r="I105" s="44"/>
      <c r="J105" s="44"/>
      <c r="K105" s="44" t="n">
        <v>0</v>
      </c>
      <c r="L105" s="44" t="n">
        <v>1</v>
      </c>
      <c r="M105" s="45"/>
      <c r="N105" s="44"/>
      <c r="O105" s="44"/>
      <c r="P105" s="44"/>
      <c r="Q105" s="44"/>
      <c r="R105" s="44"/>
      <c r="S105" s="44"/>
      <c r="T105" s="44"/>
      <c r="U105" s="44"/>
      <c r="V105" s="44" t="n">
        <v>0</v>
      </c>
      <c r="W105" s="44" t="n">
        <v>0</v>
      </c>
      <c r="X105" s="44" t="n">
        <v>3</v>
      </c>
    </row>
    <row r="106" ht="22" customHeight="1">
      <c r="A106" s="4"/>
      <c r="B106" s="2"/>
      <c r="C106" s="3"/>
      <c r="D106" s="3"/>
      <c r="E106" s="3"/>
      <c r="F106" s="3"/>
      <c r="G106" s="3"/>
      <c r="H106" s="3"/>
      <c r="I106" s="3"/>
      <c r="J106" s="3"/>
      <c r="K106" s="3"/>
      <c r="L106" s="3"/>
      <c r="M106" s="3"/>
      <c r="N106" s="3"/>
      <c r="O106" s="3"/>
      <c r="P106" s="3"/>
      <c r="Q106" s="3"/>
      <c r="R106" s="3"/>
      <c r="S106" s="3"/>
      <c r="T106" s="3"/>
      <c r="U106" s="3"/>
      <c r="V106" s="3"/>
      <c r="W106" s="3"/>
      <c r="X106" s="3"/>
    </row>
    <row r="107" ht="22" customHeight="1">
      <c r="A107" s="29" t="str">
        <v>Financial instruments and fair value: YTD</v>
      </c>
      <c r="B107" s="29"/>
      <c r="C107" s="32"/>
      <c r="D107" s="32"/>
      <c r="E107" s="32"/>
      <c r="F107" s="32"/>
      <c r="G107" s="32"/>
      <c r="H107" s="32"/>
      <c r="I107" s="32"/>
      <c r="J107" s="32"/>
      <c r="K107" s="32"/>
      <c r="L107" s="32"/>
      <c r="M107" s="32"/>
      <c r="N107" s="32"/>
      <c r="O107" s="32"/>
      <c r="P107" s="32"/>
      <c r="Q107" s="32"/>
      <c r="R107" s="32"/>
      <c r="S107" s="32"/>
      <c r="T107" s="32"/>
      <c r="U107" s="32"/>
      <c r="V107" s="32"/>
      <c r="W107" s="32"/>
      <c r="X107" s="32"/>
    </row>
    <row r="108" ht="18" customHeight="1">
      <c r="A108" s="33" t="str">
        <v>Read assets/liabilities and hedging types separately. Amounts labeled in billions are notionals, not investment carrying balances.</v>
      </c>
      <c r="B108" s="33"/>
      <c r="C108" s="35"/>
      <c r="D108" s="35"/>
      <c r="E108" s="35"/>
      <c r="F108" s="35"/>
      <c r="G108" s="35"/>
      <c r="H108" s="35"/>
      <c r="I108" s="35"/>
      <c r="J108" s="35"/>
      <c r="K108" s="35"/>
      <c r="L108" s="35"/>
      <c r="M108" s="35"/>
      <c r="N108" s="35"/>
      <c r="O108" s="35"/>
      <c r="P108" s="35"/>
      <c r="Q108" s="35"/>
      <c r="R108" s="35"/>
      <c r="S108" s="35"/>
      <c r="T108" s="35"/>
      <c r="U108" s="35"/>
      <c r="V108" s="35"/>
      <c r="W108" s="35"/>
      <c r="X108" s="35"/>
    </row>
    <row r="109" ht="24" customHeight="1">
      <c r="A109" s="39" t="str">
        <v>Investments, securities and other financial instruments</v>
      </c>
      <c r="B109" s="40"/>
      <c r="C109" s="41"/>
      <c r="D109" s="41"/>
      <c r="E109" s="41"/>
      <c r="F109" s="41"/>
      <c r="G109" s="41"/>
      <c r="H109" s="41"/>
      <c r="I109" s="41"/>
      <c r="J109" s="41"/>
      <c r="K109" s="41"/>
      <c r="L109" s="41"/>
      <c r="M109" s="42"/>
      <c r="N109" s="41"/>
      <c r="O109" s="41"/>
      <c r="P109" s="41"/>
      <c r="Q109" s="41"/>
      <c r="R109" s="41"/>
      <c r="S109" s="41"/>
      <c r="T109" s="41"/>
      <c r="U109" s="41"/>
      <c r="V109" s="41"/>
      <c r="W109" s="41"/>
      <c r="X109" s="41"/>
    </row>
    <row r="110" ht="22" customHeight="1">
      <c r="A110" s="4" t="str">
        <v>Net unrealized gain/(loss) — Celsius AFSDebt Security</v>
      </c>
      <c r="B110" s="2"/>
      <c r="C110" s="44"/>
      <c r="D110" s="44"/>
      <c r="E110" s="44"/>
      <c r="F110" s="44"/>
      <c r="G110" s="44"/>
      <c r="H110" s="44"/>
      <c r="I110" s="44"/>
      <c r="J110" s="44"/>
      <c r="K110" s="44"/>
      <c r="L110" s="44"/>
      <c r="M110" s="45"/>
      <c r="N110" s="44"/>
      <c r="O110" s="44" t="n">
        <v>188</v>
      </c>
      <c r="P110" s="44" t="n">
        <v>-265</v>
      </c>
      <c r="Q110" s="44"/>
      <c r="R110" s="44"/>
      <c r="S110" s="44" t="n">
        <v>187</v>
      </c>
      <c r="T110" s="44" t="n">
        <v>722</v>
      </c>
      <c r="U110" s="44"/>
      <c r="V110" s="44"/>
      <c r="W110" s="44"/>
      <c r="X110" s="44" t="n">
        <v>-328</v>
      </c>
    </row>
    <row r="111" ht="22" customHeight="1">
      <c r="A111" s="4" t="str">
        <v>Cash dividends received — Celsius AFSDebt Security</v>
      </c>
      <c r="B111" s="2"/>
      <c r="C111" s="44"/>
      <c r="D111" s="44"/>
      <c r="E111" s="44"/>
      <c r="F111" s="44"/>
      <c r="G111" s="44"/>
      <c r="H111" s="44"/>
      <c r="I111" s="44"/>
      <c r="J111" s="44"/>
      <c r="K111" s="44"/>
      <c r="L111" s="44"/>
      <c r="M111" s="45"/>
      <c r="N111" s="44"/>
      <c r="O111" s="44" t="n">
        <v>-7</v>
      </c>
      <c r="P111" s="44" t="n">
        <v>-14</v>
      </c>
      <c r="Q111" s="44"/>
      <c r="R111" s="44"/>
      <c r="S111" s="44" t="n">
        <v>-14</v>
      </c>
      <c r="T111" s="44" t="n">
        <v>-20</v>
      </c>
      <c r="U111" s="44"/>
      <c r="V111" s="44"/>
      <c r="W111" s="44" t="n">
        <v>-28</v>
      </c>
      <c r="X111" s="44" t="n">
        <v>-42</v>
      </c>
    </row>
    <row r="112" ht="22" customHeight="1">
      <c r="A112" s="4" t="str">
        <v>Net unrealized gain/(loss) — Other AFSDebt Securities</v>
      </c>
      <c r="B112" s="2"/>
      <c r="C112" s="44"/>
      <c r="D112" s="44"/>
      <c r="E112" s="44"/>
      <c r="F112" s="44"/>
      <c r="G112" s="44"/>
      <c r="H112" s="44"/>
      <c r="I112" s="44"/>
      <c r="J112" s="44"/>
      <c r="K112" s="44"/>
      <c r="L112" s="44"/>
      <c r="M112" s="45"/>
      <c r="N112" s="44"/>
      <c r="O112" s="44" t="n">
        <v>0</v>
      </c>
      <c r="P112" s="44" t="n">
        <v>0</v>
      </c>
      <c r="Q112" s="44"/>
      <c r="R112" s="44"/>
      <c r="S112" s="44" t="n">
        <v>5</v>
      </c>
      <c r="T112" s="44" t="n">
        <v>11</v>
      </c>
      <c r="U112" s="44"/>
      <c r="V112" s="44"/>
      <c r="W112" s="44" t="n">
        <v>-16</v>
      </c>
      <c r="X112" s="44"/>
    </row>
    <row r="113" ht="22" customHeight="1">
      <c r="A113" s="4" t="str">
        <v>Acquired — Celsius AFSDebt Security</v>
      </c>
      <c r="B113" s="2"/>
      <c r="C113" s="44"/>
      <c r="D113" s="44"/>
      <c r="E113" s="44"/>
      <c r="F113" s="44"/>
      <c r="G113" s="44"/>
      <c r="H113" s="44"/>
      <c r="I113" s="44"/>
      <c r="J113" s="44"/>
      <c r="K113" s="44"/>
      <c r="L113" s="44"/>
      <c r="M113" s="45"/>
      <c r="N113" s="44"/>
      <c r="O113" s="44"/>
      <c r="P113" s="44" t="n">
        <v>0</v>
      </c>
      <c r="Q113" s="44"/>
      <c r="R113" s="44"/>
      <c r="S113" s="44"/>
      <c r="T113" s="44" t="n">
        <v>590</v>
      </c>
      <c r="U113" s="44"/>
      <c r="V113" s="44"/>
      <c r="W113" s="44"/>
      <c r="X113" s="44" t="n">
        <v>0</v>
      </c>
    </row>
    <row r="114" ht="22" customHeight="1">
      <c r="A114" s="4" t="str">
        <v>Net unrealized (loss)/gain — Celsius AFSDebt Security</v>
      </c>
      <c r="B114" s="2"/>
      <c r="C114" s="44"/>
      <c r="D114" s="44"/>
      <c r="E114" s="44"/>
      <c r="F114" s="44"/>
      <c r="G114" s="44"/>
      <c r="H114" s="44"/>
      <c r="I114" s="44"/>
      <c r="J114" s="44"/>
      <c r="K114" s="44"/>
      <c r="L114" s="44"/>
      <c r="M114" s="45"/>
      <c r="N114" s="44"/>
      <c r="O114" s="44"/>
      <c r="P114" s="44"/>
      <c r="Q114" s="44"/>
      <c r="R114" s="44"/>
      <c r="S114" s="44" t="n">
        <v>187</v>
      </c>
      <c r="T114" s="44"/>
      <c r="U114" s="44"/>
      <c r="V114" s="44"/>
      <c r="W114" s="44" t="n">
        <v>-371</v>
      </c>
      <c r="X114" s="44"/>
    </row>
    <row r="115" ht="22" customHeight="1">
      <c r="A115" s="4" t="str">
        <v>Net unrealized gain — Other AFSDebt Securities</v>
      </c>
      <c r="B115" s="2"/>
      <c r="C115" s="44"/>
      <c r="D115" s="44"/>
      <c r="E115" s="44"/>
      <c r="F115" s="44"/>
      <c r="G115" s="44"/>
      <c r="H115" s="44"/>
      <c r="I115" s="44"/>
      <c r="J115" s="44"/>
      <c r="K115" s="44"/>
      <c r="L115" s="44"/>
      <c r="M115" s="45"/>
      <c r="N115" s="44"/>
      <c r="O115" s="44"/>
      <c r="P115" s="44"/>
      <c r="Q115" s="44"/>
      <c r="R115" s="44"/>
      <c r="S115" s="44"/>
      <c r="T115" s="44" t="n">
        <v>11</v>
      </c>
      <c r="U115" s="44"/>
      <c r="V115" s="44"/>
      <c r="W115" s="44"/>
      <c r="X115" s="44" t="n">
        <v>25</v>
      </c>
    </row>
    <row r="116" ht="22" customHeight="1">
      <c r="A116" s="4"/>
      <c r="B116" s="2"/>
      <c r="C116" s="3"/>
      <c r="D116" s="3"/>
      <c r="E116" s="3"/>
      <c r="F116" s="3"/>
      <c r="G116" s="3"/>
      <c r="H116" s="3"/>
      <c r="I116" s="3"/>
      <c r="J116" s="3"/>
      <c r="K116" s="3"/>
      <c r="L116" s="3"/>
      <c r="M116" s="3"/>
      <c r="N116" s="3"/>
      <c r="O116" s="3"/>
      <c r="P116" s="3"/>
      <c r="Q116" s="3"/>
      <c r="R116" s="3"/>
      <c r="S116" s="3"/>
      <c r="T116" s="3"/>
      <c r="U116" s="3"/>
      <c r="V116" s="3"/>
      <c r="W116" s="3"/>
      <c r="X116" s="3"/>
    </row>
  </sheetData>
  <mergeCells>
    <mergeCell ref="A1:X1"/>
    <mergeCell ref="A2:X2"/>
    <mergeCell ref="C7:L7"/>
    <mergeCell ref="N7:X7"/>
    <mergeCell ref="A11:X11"/>
    <mergeCell ref="A12:X12"/>
    <mergeCell ref="A13:L13"/>
    <mergeCell ref="N13:X13"/>
    <mergeCell ref="A60:L60"/>
    <mergeCell ref="N60:X60"/>
    <mergeCell ref="A65:L65"/>
    <mergeCell ref="N65:X65"/>
    <mergeCell ref="A80:L80"/>
    <mergeCell ref="N80:X80"/>
    <mergeCell ref="A97:L97"/>
    <mergeCell ref="N97:X97"/>
    <mergeCell ref="A99:L99"/>
    <mergeCell ref="N99:X99"/>
    <mergeCell ref="A107:X107"/>
    <mergeCell ref="A108:X108"/>
    <mergeCell ref="A109:L109"/>
    <mergeCell ref="N109:X109"/>
  </mergeCells>
  <hyperlinks>
    <hyperlink ref="A3" location="'Contents'!A1" display="Metric (Return to Contents)"/>
    <hyperlink ref="C7" location="'Investments'!A11" display="Financial instruments and fair value"/>
    <hyperlink ref="N7" location="'Investments'!A107" display="Financial instruments and fair value: YTD"/>
  </hyperlinks>
  <pageMargins left="0.7" right="0.7" top="0.75" bottom="0.75" header="0.3" footer="0.3"/>
</worksheet>
</file>

<file path=xl/worksheets/sheet12.xml><?xml version="1.0" encoding="utf-8"?>
<worksheet xmlns="http://schemas.openxmlformats.org/spreadsheetml/2006/main">
  <sheetPr>
    <tabColor rgb="FFB08958"/>
  </sheetPr>
  <sheetViews>
    <sheetView showGridLines="0" workbookViewId="0">
      <pane xSplit="2" ySplit="5" topLeftCell="C6" activePane="bottomRight" state="frozen"/>
    </sheetView>
  </sheetViews>
  <sheetFormatPr defaultRowHeight="15"/>
  <cols>
    <col min="1" max="1" width="60" hidden="0" customWidth="1"/>
    <col min="2" max="2" width="2.200000047683716" hidden="0" customWidth="1"/>
    <col min="3" max="3" width="12.199999809265137" hidden="0" customWidth="1"/>
    <col min="4" max="4" width="12.199999809265137" hidden="0" customWidth="1"/>
    <col min="5" max="5" width="12.199999809265137" hidden="0" customWidth="1"/>
    <col min="6" max="6" width="12.199999809265137" hidden="0" customWidth="1"/>
    <col min="7" max="7" width="12.199999809265137" hidden="0" customWidth="1"/>
    <col min="8" max="8" width="12.199999809265137" hidden="0" customWidth="1"/>
    <col min="9" max="9" width="12.199999809265137" hidden="0" customWidth="1"/>
    <col min="10" max="10" width="12.199999809265137" hidden="0" customWidth="1"/>
    <col min="11" max="11" width="12.199999809265137" hidden="0" customWidth="1"/>
    <col min="12" max="12" width="12.199999809265137" hidden="0" customWidth="1"/>
    <col min="13" max="13" width="3" hidden="0" customWidth="1"/>
    <col min="14" max="14" width="12.199999809265137" hidden="0" customWidth="1"/>
    <col min="15" max="15" width="12.199999809265137" hidden="0" customWidth="1"/>
    <col min="16" max="16" width="12.199999809265137" hidden="0" customWidth="1"/>
    <col min="17" max="17" width="12.199999809265137" hidden="0" customWidth="1"/>
    <col min="18" max="18" width="12.199999809265137" hidden="0" customWidth="1"/>
    <col min="19" max="19" width="12.199999809265137" hidden="0" customWidth="1"/>
    <col min="20" max="20" width="12.199999809265137" hidden="0" customWidth="1"/>
    <col min="21" max="21" width="12.199999809265137" hidden="0" customWidth="1"/>
    <col min="22" max="22" width="12.199999809265137" hidden="0" customWidth="1"/>
    <col min="23" max="23" width="12.199999809265137" hidden="0" customWidth="1"/>
    <col min="24" max="24" width="12.199999809265137" hidden="0" customWidth="1"/>
  </cols>
  <sheetData>
    <row r="1" ht="28" customHeight="1">
      <c r="A1" s="7" t="str">
        <v>PepsiCo PEP — Acquisitions &amp; Intangibles</v>
      </c>
      <c r="B1" s="7"/>
      <c r="C1" s="7"/>
      <c r="D1" s="7"/>
      <c r="E1" s="7"/>
      <c r="F1" s="7"/>
      <c r="G1" s="7"/>
      <c r="H1" s="7"/>
      <c r="I1" s="7"/>
      <c r="J1" s="7"/>
      <c r="K1" s="7"/>
      <c r="L1" s="7"/>
      <c r="M1" s="7"/>
      <c r="N1" s="7"/>
      <c r="O1" s="7"/>
      <c r="P1" s="7"/>
      <c r="Q1" s="7"/>
      <c r="R1" s="7"/>
      <c r="S1" s="7"/>
      <c r="T1" s="7"/>
      <c r="U1" s="7"/>
      <c r="V1" s="7"/>
      <c r="W1" s="7"/>
      <c r="X1" s="7"/>
    </row>
    <row r="2" ht="18" customHeight="1">
      <c r="A2" s="8" t="str">
        <v>USD millions; per-share amounts, share counts and percentages as labeled. US GAAP. As of 2026-10-20.</v>
      </c>
      <c r="B2" s="8"/>
      <c r="C2" s="8"/>
      <c r="D2" s="8"/>
      <c r="E2" s="8"/>
      <c r="F2" s="8"/>
      <c r="G2" s="8"/>
      <c r="H2" s="8"/>
      <c r="I2" s="8"/>
      <c r="J2" s="8"/>
      <c r="K2" s="8"/>
      <c r="L2" s="8"/>
      <c r="M2" s="8"/>
      <c r="N2" s="8"/>
      <c r="O2" s="8"/>
      <c r="P2" s="8"/>
      <c r="Q2" s="8"/>
      <c r="R2" s="8"/>
      <c r="S2" s="8"/>
      <c r="T2" s="8"/>
      <c r="U2" s="8"/>
      <c r="V2" s="8"/>
      <c r="W2" s="8"/>
      <c r="X2" s="8"/>
    </row>
    <row r="3" ht="24" customHeight="1">
      <c r="A3" s="9" t="str">
        <v>Metric (Return to Contents)</v>
      </c>
      <c r="B3" s="2"/>
      <c r="C3" s="13" t="str">
        <v>FY2016</v>
      </c>
      <c r="D3" s="13" t="str">
        <v>FY2017</v>
      </c>
      <c r="E3" s="13" t="str">
        <v>FY2018</v>
      </c>
      <c r="F3" s="13" t="str">
        <v>FY2019</v>
      </c>
      <c r="G3" s="13" t="str">
        <v>FY2020</v>
      </c>
      <c r="H3" s="13" t="str">
        <v>FY2021</v>
      </c>
      <c r="I3" s="13" t="str">
        <v>FY2022</v>
      </c>
      <c r="J3" s="13" t="str">
        <v>FY2023</v>
      </c>
      <c r="K3" s="13" t="str">
        <v>FY2024</v>
      </c>
      <c r="L3" s="13" t="str">
        <v>FY2025</v>
      </c>
      <c r="M3" s="2"/>
      <c r="N3" s="22" t="str">
        <v>FY2024Q1</v>
      </c>
      <c r="O3" s="22" t="str">
        <v>FY2024Q2</v>
      </c>
      <c r="P3" s="22" t="str">
        <v>FY2024Q3</v>
      </c>
      <c r="Q3" s="22" t="str">
        <v>FY2024Q4</v>
      </c>
      <c r="R3" s="22" t="str">
        <v>FY2025Q1</v>
      </c>
      <c r="S3" s="22" t="str">
        <v>FY2025Q2</v>
      </c>
      <c r="T3" s="22" t="str">
        <v>FY2025Q3</v>
      </c>
      <c r="U3" s="22" t="str">
        <v>FY2025Q4</v>
      </c>
      <c r="V3" s="22" t="str">
        <v>FY2026Q1</v>
      </c>
      <c r="W3" s="22" t="str">
        <v>FY2026Q2</v>
      </c>
      <c r="X3" s="22" t="str">
        <v>FY2026Q3</v>
      </c>
    </row>
    <row r="4" ht="18" customHeight="1">
      <c r="A4" s="2"/>
      <c r="B4" s="2"/>
      <c r="C4" s="17" t="d">
        <v>2016-12-31T00:00:00.000Z</v>
      </c>
      <c r="D4" s="17" t="d">
        <v>2017-12-30T00:00:00.000Z</v>
      </c>
      <c r="E4" s="17" t="d">
        <v>2018-12-29T00:00:00.000Z</v>
      </c>
      <c r="F4" s="17" t="d">
        <v>2019-12-28T00:00:00.000Z</v>
      </c>
      <c r="G4" s="17" t="d">
        <v>2020-12-26T00:00:00.000Z</v>
      </c>
      <c r="H4" s="17" t="d">
        <v>2021-12-25T00:00:00.000Z</v>
      </c>
      <c r="I4" s="17" t="d">
        <v>2022-12-31T00:00:00.000Z</v>
      </c>
      <c r="J4" s="17" t="d">
        <v>2023-12-30T00:00:00.000Z</v>
      </c>
      <c r="K4" s="17" t="d">
        <v>2024-12-28T00:00:00.000Z</v>
      </c>
      <c r="L4" s="17" t="d">
        <v>2025-12-27T00:00:00.000Z</v>
      </c>
      <c r="M4" s="2"/>
      <c r="N4" s="17" t="d">
        <v>2024-03-23T00:00:00.000Z</v>
      </c>
      <c r="O4" s="17" t="d">
        <v>2024-06-15T00:00:00.000Z</v>
      </c>
      <c r="P4" s="17" t="d">
        <v>2024-09-07T00:00:00.000Z</v>
      </c>
      <c r="Q4" s="17" t="d">
        <v>2024-12-28T00:00:00.000Z</v>
      </c>
      <c r="R4" s="17" t="d">
        <v>2025-03-22T00:00:00.000Z</v>
      </c>
      <c r="S4" s="17" t="d">
        <v>2025-06-14T00:00:00.000Z</v>
      </c>
      <c r="T4" s="17" t="d">
        <v>2025-09-06T00:00:00.000Z</v>
      </c>
      <c r="U4" s="17" t="d">
        <v>2025-12-27T00:00:00.000Z</v>
      </c>
      <c r="V4" s="17" t="d">
        <v>2026-03-21T00:00:00.000Z</v>
      </c>
      <c r="W4" s="17" t="d">
        <v>2026-06-13T00:00:00.000Z</v>
      </c>
      <c r="X4" s="17" t="d">
        <v>2026-09-05T00:00:00.000Z</v>
      </c>
    </row>
    <row r="5" ht="18" customHeight="1">
      <c r="A5" s="8" t="str">
        <v>Annual at left; quarterly / period-end at right; YTD as labeled</v>
      </c>
      <c r="B5" s="2"/>
      <c r="C5" s="18" t="str">
        <v>Year / year-end</v>
      </c>
      <c r="D5" s="18" t="str">
        <v>Year / year-end</v>
      </c>
      <c r="E5" s="18" t="str">
        <v>Year / year-end</v>
      </c>
      <c r="F5" s="18" t="str">
        <v>Year / year-end</v>
      </c>
      <c r="G5" s="18" t="str">
        <v>Year / year-end</v>
      </c>
      <c r="H5" s="18" t="str">
        <v>Year / year-end</v>
      </c>
      <c r="I5" s="18" t="str">
        <v>Year / year-end</v>
      </c>
      <c r="J5" s="18" t="str">
        <v>Year / year-end</v>
      </c>
      <c r="K5" s="18" t="str">
        <v>Year / year-end</v>
      </c>
      <c r="L5" s="18" t="str">
        <v>Year / year-end</v>
      </c>
      <c r="M5" s="2"/>
      <c r="N5" s="18" t="str">
        <v>Quarter / end</v>
      </c>
      <c r="O5" s="18" t="str">
        <v>Quarter / end</v>
      </c>
      <c r="P5" s="18" t="str">
        <v>Quarter / end</v>
      </c>
      <c r="Q5" s="18" t="str">
        <v>Quarter / end</v>
      </c>
      <c r="R5" s="18" t="str">
        <v>Quarter / end</v>
      </c>
      <c r="S5" s="18" t="str">
        <v>Quarter / end</v>
      </c>
      <c r="T5" s="18" t="str">
        <v>Quarter / end</v>
      </c>
      <c r="U5" s="18" t="str">
        <v>Quarter / end</v>
      </c>
      <c r="V5" s="18" t="str">
        <v>Quarter / end</v>
      </c>
      <c r="W5" s="18" t="str">
        <v>Quarter / end</v>
      </c>
      <c r="X5" s="18" t="str">
        <v>Quarter / end</v>
      </c>
    </row>
    <row r="6" ht="8" customHeight="1">
      <c r="A6" s="2"/>
      <c r="B6" s="2"/>
      <c r="C6" s="2"/>
      <c r="D6" s="2"/>
      <c r="E6" s="2"/>
      <c r="F6" s="2"/>
      <c r="G6" s="2"/>
      <c r="H6" s="2"/>
      <c r="I6" s="2"/>
      <c r="J6" s="2"/>
      <c r="K6" s="2"/>
      <c r="L6" s="2"/>
      <c r="M6" s="2"/>
      <c r="N6" s="2"/>
      <c r="O6" s="2"/>
      <c r="P6" s="2"/>
      <c r="Q6" s="2"/>
      <c r="R6" s="2"/>
      <c r="S6" s="2"/>
      <c r="T6" s="2"/>
      <c r="U6" s="2"/>
      <c r="V6" s="2"/>
      <c r="W6" s="2"/>
      <c r="X6" s="2"/>
    </row>
    <row r="7" ht="22" customHeight="1">
      <c r="A7" s="23" t="str">
        <v>On this sheet</v>
      </c>
      <c r="B7" s="2"/>
      <c r="C7" s="26" t="str">
        <v>Amortizable intangible assets: gross, accumulated amortization and net</v>
      </c>
      <c r="D7" s="26"/>
      <c r="E7" s="26"/>
      <c r="F7" s="26"/>
      <c r="G7" s="26"/>
      <c r="H7" s="26"/>
      <c r="I7" s="26"/>
      <c r="J7" s="26"/>
      <c r="K7" s="26"/>
      <c r="L7" s="26"/>
      <c r="M7" s="3"/>
      <c r="N7" s="26" t="str">
        <v>Indefinite-lived intangible assets</v>
      </c>
      <c r="O7" s="26"/>
      <c r="P7" s="26"/>
      <c r="Q7" s="26"/>
      <c r="R7" s="26"/>
      <c r="S7" s="26"/>
      <c r="T7" s="26"/>
      <c r="U7" s="26"/>
      <c r="V7" s="26"/>
      <c r="W7" s="26"/>
      <c r="X7" s="26"/>
    </row>
    <row r="8" ht="22" customHeight="1">
      <c r="A8" s="4"/>
      <c r="B8" s="2"/>
      <c r="C8" s="26" t="str">
        <v>Goodwill balances by current segment</v>
      </c>
      <c r="D8" s="26"/>
      <c r="E8" s="26"/>
      <c r="F8" s="26"/>
      <c r="G8" s="26"/>
      <c r="H8" s="26"/>
      <c r="I8" s="26"/>
      <c r="J8" s="26"/>
      <c r="K8" s="26"/>
      <c r="L8" s="26"/>
      <c r="M8" s="3"/>
      <c r="N8" s="26" t="str">
        <v>Goodwill balances by historical seven-segment structure</v>
      </c>
      <c r="O8" s="26"/>
      <c r="P8" s="26"/>
      <c r="Q8" s="26"/>
      <c r="R8" s="26"/>
      <c r="S8" s="26"/>
      <c r="T8" s="26"/>
      <c r="U8" s="26"/>
      <c r="V8" s="26"/>
      <c r="W8" s="26"/>
      <c r="X8" s="26"/>
    </row>
    <row r="9" ht="22" customHeight="1">
      <c r="A9" s="4"/>
      <c r="B9" s="2"/>
      <c r="C9" s="26" t="str">
        <v>Consolidated goodwill changes</v>
      </c>
      <c r="D9" s="26"/>
      <c r="E9" s="26"/>
      <c r="F9" s="26"/>
      <c r="G9" s="26"/>
      <c r="H9" s="26"/>
      <c r="I9" s="26"/>
      <c r="J9" s="26"/>
      <c r="K9" s="26"/>
      <c r="L9" s="26"/>
      <c r="M9" s="3"/>
      <c r="N9" s="26" t="str">
        <v>Restructuring charges and liabilities</v>
      </c>
      <c r="O9" s="26"/>
      <c r="P9" s="26"/>
      <c r="Q9" s="26"/>
      <c r="R9" s="26"/>
      <c r="S9" s="26"/>
      <c r="T9" s="26"/>
      <c r="U9" s="26"/>
      <c r="V9" s="26"/>
      <c r="W9" s="26"/>
      <c r="X9" s="26"/>
    </row>
    <row r="10" ht="22" customHeight="1">
      <c r="A10" s="4"/>
      <c r="B10" s="2"/>
      <c r="C10" s="26" t="str">
        <v>Restructuring charges and liabilities: YTD</v>
      </c>
      <c r="D10" s="26"/>
      <c r="E10" s="26"/>
      <c r="F10" s="26"/>
      <c r="G10" s="26"/>
      <c r="H10" s="26"/>
      <c r="I10" s="26"/>
      <c r="J10" s="26"/>
      <c r="K10" s="26"/>
      <c r="L10" s="26"/>
      <c r="M10" s="3"/>
      <c r="N10" s="26" t="str">
        <v>Significant transactions and accounting treatment</v>
      </c>
      <c r="O10" s="26"/>
      <c r="P10" s="26"/>
      <c r="Q10" s="26"/>
      <c r="R10" s="26"/>
      <c r="S10" s="26"/>
      <c r="T10" s="26"/>
      <c r="U10" s="26"/>
      <c r="V10" s="26"/>
      <c r="W10" s="26"/>
      <c r="X10" s="26"/>
    </row>
    <row r="11" ht="22" customHeight="1">
      <c r="A11" s="4"/>
      <c r="B11" s="2"/>
      <c r="C11" s="3"/>
      <c r="D11" s="3"/>
      <c r="E11" s="3"/>
      <c r="F11" s="3"/>
      <c r="G11" s="3"/>
      <c r="H11" s="3"/>
      <c r="I11" s="3"/>
      <c r="J11" s="3"/>
      <c r="K11" s="3"/>
      <c r="L11" s="3"/>
      <c r="M11" s="3"/>
      <c r="N11" s="3"/>
      <c r="O11" s="3"/>
      <c r="P11" s="3"/>
      <c r="Q11" s="3"/>
      <c r="R11" s="3"/>
      <c r="S11" s="3"/>
      <c r="T11" s="3"/>
      <c r="U11" s="3"/>
      <c r="V11" s="3"/>
      <c r="W11" s="3"/>
      <c r="X11" s="3"/>
    </row>
    <row r="12" ht="22" customHeight="1">
      <c r="A12" s="4"/>
      <c r="B12" s="2"/>
      <c r="C12" s="3"/>
      <c r="D12" s="3"/>
      <c r="E12" s="3"/>
      <c r="F12" s="3"/>
      <c r="G12" s="3"/>
      <c r="H12" s="3"/>
      <c r="I12" s="3"/>
      <c r="J12" s="3"/>
      <c r="K12" s="3"/>
      <c r="L12" s="3"/>
      <c r="M12" s="3"/>
      <c r="N12" s="3"/>
      <c r="O12" s="3"/>
      <c r="P12" s="3"/>
      <c r="Q12" s="3"/>
      <c r="R12" s="3"/>
      <c r="S12" s="3"/>
      <c r="T12" s="3"/>
      <c r="U12" s="3"/>
      <c r="V12" s="3"/>
      <c r="W12" s="3"/>
      <c r="X12" s="3"/>
    </row>
    <row r="13" ht="22" customHeight="1">
      <c r="A13" s="4"/>
      <c r="B13" s="2"/>
      <c r="C13" s="3"/>
      <c r="D13" s="3"/>
      <c r="E13" s="3"/>
      <c r="F13" s="3"/>
      <c r="G13" s="3"/>
      <c r="H13" s="3"/>
      <c r="I13" s="3"/>
      <c r="J13" s="3"/>
      <c r="K13" s="3"/>
      <c r="L13" s="3"/>
      <c r="M13" s="3"/>
      <c r="N13" s="3"/>
      <c r="O13" s="3"/>
      <c r="P13" s="3"/>
      <c r="Q13" s="3"/>
      <c r="R13" s="3"/>
      <c r="S13" s="3"/>
      <c r="T13" s="3"/>
      <c r="U13" s="3"/>
      <c r="V13" s="3"/>
      <c r="W13" s="3"/>
      <c r="X13" s="3"/>
    </row>
    <row r="14" ht="22" customHeight="1">
      <c r="A14" s="29" t="str">
        <v>Amortizable intangible assets: gross, accumulated amortization and net</v>
      </c>
      <c r="B14" s="29"/>
      <c r="C14" s="32"/>
      <c r="D14" s="32"/>
      <c r="E14" s="32"/>
      <c r="F14" s="32"/>
      <c r="G14" s="32"/>
      <c r="H14" s="32"/>
      <c r="I14" s="32"/>
      <c r="J14" s="32"/>
      <c r="K14" s="32"/>
      <c r="L14" s="32"/>
      <c r="M14" s="32"/>
      <c r="N14" s="32"/>
      <c r="O14" s="32"/>
      <c r="P14" s="32"/>
      <c r="Q14" s="32"/>
      <c r="R14" s="32"/>
      <c r="S14" s="32"/>
      <c r="T14" s="32"/>
      <c r="U14" s="32"/>
      <c r="V14" s="32"/>
      <c r="W14" s="32"/>
      <c r="X14" s="32"/>
    </row>
    <row r="15" ht="22" customHeight="1">
      <c r="A15" s="4" t="str">
        <v>Acquired franchise rights — Gross</v>
      </c>
      <c r="B15" s="2"/>
      <c r="C15" s="44" t="n">
        <v>827</v>
      </c>
      <c r="D15" s="44" t="n">
        <v>858</v>
      </c>
      <c r="E15" s="44" t="n">
        <v>838</v>
      </c>
      <c r="F15" s="44" t="n">
        <v>846</v>
      </c>
      <c r="G15" s="44" t="n">
        <v>976</v>
      </c>
      <c r="H15" s="44" t="n">
        <v>976</v>
      </c>
      <c r="I15" s="44" t="n">
        <v>837</v>
      </c>
      <c r="J15" s="44" t="n">
        <v>840</v>
      </c>
      <c r="K15" s="44" t="n">
        <v>821</v>
      </c>
      <c r="L15" s="44" t="n">
        <v>835</v>
      </c>
      <c r="M15" s="45"/>
      <c r="N15" s="44" t="n">
        <v>835</v>
      </c>
      <c r="O15" s="44" t="n">
        <v>832</v>
      </c>
      <c r="P15" s="44" t="n">
        <v>836</v>
      </c>
      <c r="Q15" s="44"/>
      <c r="R15" s="44" t="n">
        <v>824</v>
      </c>
      <c r="S15" s="44" t="n">
        <v>835</v>
      </c>
      <c r="T15" s="44" t="n">
        <v>833</v>
      </c>
      <c r="U15" s="44"/>
      <c r="V15" s="44" t="n">
        <v>835</v>
      </c>
      <c r="W15" s="44" t="n">
        <v>831</v>
      </c>
      <c r="X15" s="44" t="n">
        <v>832</v>
      </c>
    </row>
    <row r="16" ht="22" customHeight="1">
      <c r="A16" s="4" t="str">
        <v>Acquired franchise rights — Accumulated Amortization</v>
      </c>
      <c r="B16" s="2"/>
      <c r="C16" s="44" t="n">
        <v>-108</v>
      </c>
      <c r="D16" s="44" t="n">
        <v>-128</v>
      </c>
      <c r="E16" s="44" t="n">
        <v>-140</v>
      </c>
      <c r="F16" s="44" t="n">
        <v>-158</v>
      </c>
      <c r="G16" s="44" t="n">
        <v>-173</v>
      </c>
      <c r="H16" s="44" t="n">
        <v>-187</v>
      </c>
      <c r="I16" s="44" t="n">
        <v>-200</v>
      </c>
      <c r="J16" s="44" t="n">
        <v>-214</v>
      </c>
      <c r="K16" s="44" t="n">
        <v>-223</v>
      </c>
      <c r="L16" s="44" t="n">
        <v>-244</v>
      </c>
      <c r="M16" s="45"/>
      <c r="N16" s="44" t="n">
        <v>-216</v>
      </c>
      <c r="O16" s="44" t="n">
        <v>-219</v>
      </c>
      <c r="P16" s="44" t="n">
        <v>-224</v>
      </c>
      <c r="Q16" s="44"/>
      <c r="R16" s="44" t="n">
        <v>-228</v>
      </c>
      <c r="S16" s="44" t="n">
        <v>-236</v>
      </c>
      <c r="T16" s="44" t="n">
        <v>-239</v>
      </c>
      <c r="U16" s="44"/>
      <c r="V16" s="44" t="n">
        <v>-248</v>
      </c>
      <c r="W16" s="44" t="n">
        <v>-250</v>
      </c>
      <c r="X16" s="44" t="n">
        <v>-252</v>
      </c>
    </row>
    <row r="17" ht="22" customHeight="1">
      <c r="A17" s="4" t="str">
        <v>Acquired franchise rights — Net</v>
      </c>
      <c r="B17" s="2"/>
      <c r="C17" s="44" t="n">
        <v>719</v>
      </c>
      <c r="D17" s="44" t="n">
        <v>730</v>
      </c>
      <c r="E17" s="44" t="n">
        <v>698</v>
      </c>
      <c r="F17" s="44" t="n">
        <v>688</v>
      </c>
      <c r="G17" s="44" t="n">
        <v>803</v>
      </c>
      <c r="H17" s="44" t="n">
        <v>789</v>
      </c>
      <c r="I17" s="44" t="n">
        <v>637</v>
      </c>
      <c r="J17" s="44" t="n">
        <v>626</v>
      </c>
      <c r="K17" s="44" t="n">
        <v>598</v>
      </c>
      <c r="L17" s="44" t="n">
        <v>591</v>
      </c>
      <c r="M17" s="45"/>
      <c r="N17" s="44" t="n">
        <v>619</v>
      </c>
      <c r="O17" s="44" t="n">
        <v>613</v>
      </c>
      <c r="P17" s="44" t="n">
        <v>612</v>
      </c>
      <c r="Q17" s="44"/>
      <c r="R17" s="44" t="n">
        <v>596</v>
      </c>
      <c r="S17" s="44" t="n">
        <v>599</v>
      </c>
      <c r="T17" s="44" t="n">
        <v>594</v>
      </c>
      <c r="U17" s="44"/>
      <c r="V17" s="44" t="n">
        <v>587</v>
      </c>
      <c r="W17" s="44" t="n">
        <v>581</v>
      </c>
      <c r="X17" s="44" t="n">
        <v>580</v>
      </c>
    </row>
    <row r="18" ht="22" customHeight="1">
      <c r="A18" s="4" t="str">
        <v>Reacquired franchise rights — Gross</v>
      </c>
      <c r="B18" s="2"/>
      <c r="C18" s="44" t="n">
        <v>106</v>
      </c>
      <c r="D18" s="44" t="n">
        <v>106</v>
      </c>
      <c r="E18" s="44" t="n">
        <v>106</v>
      </c>
      <c r="F18" s="44" t="n">
        <v>106</v>
      </c>
      <c r="G18" s="44"/>
      <c r="H18" s="44"/>
      <c r="I18" s="44"/>
      <c r="J18" s="44"/>
      <c r="K18" s="44"/>
      <c r="L18" s="44"/>
      <c r="M18" s="45"/>
      <c r="N18" s="44"/>
      <c r="O18" s="44"/>
      <c r="P18" s="44"/>
      <c r="Q18" s="44"/>
      <c r="R18" s="44"/>
      <c r="S18" s="44"/>
      <c r="T18" s="44"/>
      <c r="U18" s="44"/>
      <c r="V18" s="44"/>
      <c r="W18" s="44"/>
      <c r="X18" s="44"/>
    </row>
    <row r="19" ht="22" customHeight="1">
      <c r="A19" s="4" t="str">
        <v>Reacquired franchise rights — Accumulated Amortization</v>
      </c>
      <c r="B19" s="2"/>
      <c r="C19" s="44" t="n">
        <v>-102</v>
      </c>
      <c r="D19" s="44" t="n">
        <v>-104</v>
      </c>
      <c r="E19" s="44" t="n">
        <v>-105</v>
      </c>
      <c r="F19" s="44" t="n">
        <v>-105</v>
      </c>
      <c r="G19" s="44"/>
      <c r="H19" s="44"/>
      <c r="I19" s="44"/>
      <c r="J19" s="44"/>
      <c r="K19" s="44"/>
      <c r="L19" s="44"/>
      <c r="M19" s="45"/>
      <c r="N19" s="44"/>
      <c r="O19" s="44"/>
      <c r="P19" s="44"/>
      <c r="Q19" s="44"/>
      <c r="R19" s="44"/>
      <c r="S19" s="44"/>
      <c r="T19" s="44"/>
      <c r="U19" s="44"/>
      <c r="V19" s="44"/>
      <c r="W19" s="44"/>
      <c r="X19" s="44"/>
    </row>
    <row r="20" ht="22" customHeight="1">
      <c r="A20" s="4" t="str">
        <v>Reacquired franchise rights — Net</v>
      </c>
      <c r="B20" s="2"/>
      <c r="C20" s="44" t="n">
        <v>4</v>
      </c>
      <c r="D20" s="44" t="n">
        <v>2</v>
      </c>
      <c r="E20" s="44" t="n">
        <v>1</v>
      </c>
      <c r="F20" s="44" t="n">
        <v>1</v>
      </c>
      <c r="G20" s="44"/>
      <c r="H20" s="44"/>
      <c r="I20" s="44"/>
      <c r="J20" s="44"/>
      <c r="K20" s="44"/>
      <c r="L20" s="44"/>
      <c r="M20" s="45"/>
      <c r="N20" s="44"/>
      <c r="O20" s="44"/>
      <c r="P20" s="44"/>
      <c r="Q20" s="44"/>
      <c r="R20" s="44"/>
      <c r="S20" s="44"/>
      <c r="T20" s="44"/>
      <c r="U20" s="44"/>
      <c r="V20" s="44"/>
      <c r="W20" s="44"/>
      <c r="X20" s="44"/>
    </row>
    <row r="21" ht="22" customHeight="1">
      <c r="A21" s="4" t="str">
        <v>Brands — Gross</v>
      </c>
      <c r="B21" s="2"/>
      <c r="C21" s="44" t="n">
        <v>1277</v>
      </c>
      <c r="D21" s="44" t="n">
        <v>1322</v>
      </c>
      <c r="E21" s="44" t="n">
        <v>1306</v>
      </c>
      <c r="F21" s="44" t="n">
        <v>1326</v>
      </c>
      <c r="G21" s="44" t="n">
        <v>1348</v>
      </c>
      <c r="H21" s="44" t="n">
        <v>1151</v>
      </c>
      <c r="I21" s="44" t="n">
        <v>1097</v>
      </c>
      <c r="J21" s="44" t="n">
        <v>1093</v>
      </c>
      <c r="K21" s="44" t="n">
        <v>1051</v>
      </c>
      <c r="L21" s="44" t="n">
        <v>1084</v>
      </c>
      <c r="M21" s="45"/>
      <c r="N21" s="44" t="n">
        <v>1086</v>
      </c>
      <c r="O21" s="44" t="n">
        <v>1081</v>
      </c>
      <c r="P21" s="44" t="n">
        <v>1087</v>
      </c>
      <c r="Q21" s="44"/>
      <c r="R21" s="44" t="n">
        <v>1057</v>
      </c>
      <c r="S21" s="44" t="n">
        <v>1077</v>
      </c>
      <c r="T21" s="44" t="n">
        <v>1080</v>
      </c>
      <c r="U21" s="44"/>
      <c r="V21" s="44" t="n">
        <v>1089</v>
      </c>
      <c r="W21" s="44" t="n">
        <v>1086</v>
      </c>
      <c r="X21" s="44" t="n">
        <v>1082</v>
      </c>
    </row>
    <row r="22" ht="22" customHeight="1">
      <c r="A22" s="4" t="str">
        <v>Brands — Accumulated Amortization</v>
      </c>
      <c r="B22" s="2"/>
      <c r="C22" s="44" t="n">
        <v>-977</v>
      </c>
      <c r="D22" s="44" t="n">
        <v>-1026</v>
      </c>
      <c r="E22" s="44" t="n">
        <v>-1032</v>
      </c>
      <c r="F22" s="44" t="n">
        <v>-1066</v>
      </c>
      <c r="G22" s="44" t="n">
        <v>-1099</v>
      </c>
      <c r="H22" s="44" t="n">
        <v>-989</v>
      </c>
      <c r="I22" s="44" t="n">
        <v>-973</v>
      </c>
      <c r="J22" s="44" t="n">
        <v>-989</v>
      </c>
      <c r="K22" s="44" t="n">
        <v>-977</v>
      </c>
      <c r="L22" s="44" t="n">
        <v>-1021</v>
      </c>
      <c r="M22" s="45"/>
      <c r="N22" s="44" t="n">
        <v>-987</v>
      </c>
      <c r="O22" s="44" t="n">
        <v>-986</v>
      </c>
      <c r="P22" s="44" t="n">
        <v>-996</v>
      </c>
      <c r="Q22" s="44"/>
      <c r="R22" s="44" t="n">
        <v>-984</v>
      </c>
      <c r="S22" s="44" t="n">
        <v>-1007</v>
      </c>
      <c r="T22" s="44" t="n">
        <v>-1013</v>
      </c>
      <c r="U22" s="44"/>
      <c r="V22" s="44" t="n">
        <v>-1027</v>
      </c>
      <c r="W22" s="44" t="n">
        <v>-1027</v>
      </c>
      <c r="X22" s="44" t="n">
        <v>-1027</v>
      </c>
    </row>
    <row r="23" ht="22" customHeight="1">
      <c r="A23" s="4" t="str">
        <v>Brands — Net</v>
      </c>
      <c r="B23" s="2"/>
      <c r="C23" s="44" t="n">
        <v>300</v>
      </c>
      <c r="D23" s="44" t="n">
        <v>296</v>
      </c>
      <c r="E23" s="44" t="n">
        <v>274</v>
      </c>
      <c r="F23" s="44" t="n">
        <v>260</v>
      </c>
      <c r="G23" s="44" t="n">
        <v>249</v>
      </c>
      <c r="H23" s="44" t="n">
        <v>162</v>
      </c>
      <c r="I23" s="44" t="n">
        <v>124</v>
      </c>
      <c r="J23" s="44" t="n">
        <v>104</v>
      </c>
      <c r="K23" s="44" t="n">
        <v>74</v>
      </c>
      <c r="L23" s="44" t="n">
        <v>63</v>
      </c>
      <c r="M23" s="45"/>
      <c r="N23" s="44" t="n">
        <v>99</v>
      </c>
      <c r="O23" s="44" t="n">
        <v>95</v>
      </c>
      <c r="P23" s="44" t="n">
        <v>91</v>
      </c>
      <c r="Q23" s="44"/>
      <c r="R23" s="44" t="n">
        <v>73</v>
      </c>
      <c r="S23" s="44" t="n">
        <v>70</v>
      </c>
      <c r="T23" s="44" t="n">
        <v>67</v>
      </c>
      <c r="U23" s="44"/>
      <c r="V23" s="44" t="n">
        <v>62</v>
      </c>
      <c r="W23" s="44" t="n">
        <v>59</v>
      </c>
      <c r="X23" s="44" t="n">
        <v>55</v>
      </c>
    </row>
    <row r="24" ht="22" customHeight="1">
      <c r="A24" s="4" t="str">
        <v>Other identifiable intangibles — Gross</v>
      </c>
      <c r="B24" s="2"/>
      <c r="C24" s="44" t="n">
        <v>522</v>
      </c>
      <c r="D24" s="44" t="n">
        <v>521</v>
      </c>
      <c r="E24" s="44" t="n">
        <v>959</v>
      </c>
      <c r="F24" s="44" t="n">
        <v>459</v>
      </c>
      <c r="G24" s="44" t="n">
        <v>474</v>
      </c>
      <c r="H24" s="44" t="n">
        <v>451</v>
      </c>
      <c r="I24" s="44" t="n">
        <v>447</v>
      </c>
      <c r="J24" s="44" t="n">
        <v>449</v>
      </c>
      <c r="K24" s="44" t="n">
        <v>420</v>
      </c>
      <c r="L24" s="44" t="n">
        <v>433</v>
      </c>
      <c r="M24" s="45"/>
      <c r="N24" s="44" t="n">
        <v>445</v>
      </c>
      <c r="O24" s="44" t="n">
        <v>440</v>
      </c>
      <c r="P24" s="44" t="n">
        <v>428</v>
      </c>
      <c r="Q24" s="44"/>
      <c r="R24" s="44" t="n">
        <v>420</v>
      </c>
      <c r="S24" s="44" t="n">
        <v>431</v>
      </c>
      <c r="T24" s="44" t="n">
        <v>433</v>
      </c>
      <c r="U24" s="44"/>
      <c r="V24" s="44" t="n">
        <v>436</v>
      </c>
      <c r="W24" s="44" t="n">
        <v>434</v>
      </c>
      <c r="X24" s="44" t="n">
        <v>429</v>
      </c>
    </row>
    <row r="25" ht="22" customHeight="1">
      <c r="A25" s="4" t="str">
        <v>Other identifiable intangibles — Accumulated Amortization</v>
      </c>
      <c r="B25" s="2"/>
      <c r="C25" s="44" t="n">
        <v>-308</v>
      </c>
      <c r="D25" s="44" t="n">
        <v>-281</v>
      </c>
      <c r="E25" s="44" t="n">
        <v>-288</v>
      </c>
      <c r="F25" s="44" t="n">
        <v>-254</v>
      </c>
      <c r="G25" s="44" t="n">
        <v>-261</v>
      </c>
      <c r="H25" s="44" t="n">
        <v>-260</v>
      </c>
      <c r="I25" s="44" t="n">
        <v>-265</v>
      </c>
      <c r="J25" s="44" t="n">
        <v>-275</v>
      </c>
      <c r="K25" s="44" t="n">
        <v>-276</v>
      </c>
      <c r="L25" s="44" t="n">
        <v>-294</v>
      </c>
      <c r="M25" s="45"/>
      <c r="N25" s="44" t="n">
        <v>-276</v>
      </c>
      <c r="O25" s="44" t="n">
        <v>-276</v>
      </c>
      <c r="P25" s="44" t="n">
        <v>-276</v>
      </c>
      <c r="Q25" s="44"/>
      <c r="R25" s="44" t="n">
        <v>-279</v>
      </c>
      <c r="S25" s="44" t="n">
        <v>-286</v>
      </c>
      <c r="T25" s="44" t="n">
        <v>-289</v>
      </c>
      <c r="U25" s="44"/>
      <c r="V25" s="44" t="n">
        <v>-297</v>
      </c>
      <c r="W25" s="44" t="n">
        <v>-297</v>
      </c>
      <c r="X25" s="44" t="n">
        <v>-298</v>
      </c>
    </row>
    <row r="26" ht="22" customHeight="1">
      <c r="A26" s="4" t="str">
        <v>Other identifiable intangibles — Net</v>
      </c>
      <c r="B26" s="2"/>
      <c r="C26" s="44" t="n">
        <v>214</v>
      </c>
      <c r="D26" s="44" t="n">
        <v>240</v>
      </c>
      <c r="E26" s="44" t="n">
        <v>671</v>
      </c>
      <c r="F26" s="44" t="n">
        <v>205</v>
      </c>
      <c r="G26" s="44" t="n">
        <v>213</v>
      </c>
      <c r="H26" s="44" t="n">
        <v>191</v>
      </c>
      <c r="I26" s="44" t="n">
        <v>182</v>
      </c>
      <c r="J26" s="44" t="n">
        <v>174</v>
      </c>
      <c r="K26" s="44" t="n">
        <v>144</v>
      </c>
      <c r="L26" s="44" t="n">
        <v>139</v>
      </c>
      <c r="M26" s="45"/>
      <c r="N26" s="44" t="n">
        <v>169</v>
      </c>
      <c r="O26" s="44" t="n">
        <v>164</v>
      </c>
      <c r="P26" s="44" t="n">
        <v>152</v>
      </c>
      <c r="Q26" s="44"/>
      <c r="R26" s="44" t="n">
        <v>141</v>
      </c>
      <c r="S26" s="44" t="n">
        <v>145</v>
      </c>
      <c r="T26" s="44" t="n">
        <v>144</v>
      </c>
      <c r="U26" s="44"/>
      <c r="V26" s="44" t="n">
        <v>139</v>
      </c>
      <c r="W26" s="44" t="n">
        <v>137</v>
      </c>
      <c r="X26" s="44" t="n">
        <v>131</v>
      </c>
    </row>
    <row r="27" ht="22" customHeight="1">
      <c r="A27" s="4" t="str">
        <v>Total — Gross</v>
      </c>
      <c r="B27" s="2"/>
      <c r="C27" s="44" t="n">
        <v>2732</v>
      </c>
      <c r="D27" s="44" t="n">
        <v>2807</v>
      </c>
      <c r="E27" s="44" t="n">
        <v>3209</v>
      </c>
      <c r="F27" s="44" t="n">
        <v>3088</v>
      </c>
      <c r="G27" s="44" t="n">
        <v>3440</v>
      </c>
      <c r="H27" s="44" t="n">
        <v>3201</v>
      </c>
      <c r="I27" s="44" t="n">
        <v>2952</v>
      </c>
      <c r="J27" s="44" t="n">
        <v>2942</v>
      </c>
      <c r="K27" s="44" t="n">
        <v>2857</v>
      </c>
      <c r="L27" s="44" t="n">
        <v>3125</v>
      </c>
      <c r="M27" s="45"/>
      <c r="N27" s="44" t="n">
        <v>2919</v>
      </c>
      <c r="O27" s="44" t="n">
        <v>2906</v>
      </c>
      <c r="P27" s="44" t="n">
        <v>2912</v>
      </c>
      <c r="Q27" s="44"/>
      <c r="R27" s="44" t="n">
        <v>2941</v>
      </c>
      <c r="S27" s="44" t="n">
        <v>3155</v>
      </c>
      <c r="T27" s="44" t="n">
        <v>3112</v>
      </c>
      <c r="U27" s="44"/>
      <c r="V27" s="44" t="n">
        <v>3140</v>
      </c>
      <c r="W27" s="44" t="n">
        <v>3133</v>
      </c>
      <c r="X27" s="44" t="n">
        <v>3116</v>
      </c>
    </row>
    <row r="28" ht="22" customHeight="1">
      <c r="A28" s="4" t="str">
        <v>Total — Accumulated Amortization</v>
      </c>
      <c r="B28" s="2"/>
      <c r="C28" s="44" t="n">
        <v>-1495</v>
      </c>
      <c r="D28" s="44" t="n">
        <v>-1539</v>
      </c>
      <c r="E28" s="44" t="n">
        <v>-1565</v>
      </c>
      <c r="F28" s="44" t="n">
        <v>-1655</v>
      </c>
      <c r="G28" s="44" t="n">
        <v>-1737</v>
      </c>
      <c r="H28" s="44" t="n">
        <v>-1663</v>
      </c>
      <c r="I28" s="44" t="n">
        <v>-1675</v>
      </c>
      <c r="J28" s="44" t="n">
        <v>-1743</v>
      </c>
      <c r="K28" s="44" t="n">
        <v>-1755</v>
      </c>
      <c r="L28" s="44" t="n">
        <v>-1906</v>
      </c>
      <c r="M28" s="45"/>
      <c r="N28" s="44" t="n">
        <v>-1746</v>
      </c>
      <c r="O28" s="44" t="n">
        <v>-1755</v>
      </c>
      <c r="P28" s="44" t="n">
        <v>-1780</v>
      </c>
      <c r="Q28" s="44"/>
      <c r="R28" s="44" t="n">
        <v>-1784</v>
      </c>
      <c r="S28" s="44" t="n">
        <v>-1844</v>
      </c>
      <c r="T28" s="44" t="n">
        <v>-1871</v>
      </c>
      <c r="U28" s="44"/>
      <c r="V28" s="44" t="n">
        <v>-1931</v>
      </c>
      <c r="W28" s="44" t="n">
        <v>-1946</v>
      </c>
      <c r="X28" s="44" t="n">
        <v>-1951</v>
      </c>
    </row>
    <row r="29" ht="22" customHeight="1">
      <c r="A29" s="4" t="str">
        <v>Total — Net</v>
      </c>
      <c r="B29" s="2"/>
      <c r="C29" s="44" t="n">
        <v>1237</v>
      </c>
      <c r="D29" s="44" t="n">
        <v>1268</v>
      </c>
      <c r="E29" s="44" t="n">
        <v>1644</v>
      </c>
      <c r="F29" s="44" t="n">
        <v>1433</v>
      </c>
      <c r="G29" s="44" t="n">
        <v>1703</v>
      </c>
      <c r="H29" s="44" t="n">
        <v>1538</v>
      </c>
      <c r="I29" s="44" t="n">
        <v>1277</v>
      </c>
      <c r="J29" s="44" t="n">
        <v>1199</v>
      </c>
      <c r="K29" s="44" t="n">
        <v>1102</v>
      </c>
      <c r="L29" s="44" t="n">
        <v>1219</v>
      </c>
      <c r="M29" s="45"/>
      <c r="N29" s="44" t="n">
        <v>1173</v>
      </c>
      <c r="O29" s="44" t="n">
        <v>1151</v>
      </c>
      <c r="P29" s="44" t="n">
        <v>1132</v>
      </c>
      <c r="Q29" s="44"/>
      <c r="R29" s="44" t="n">
        <v>1157</v>
      </c>
      <c r="S29" s="44" t="n">
        <v>1311</v>
      </c>
      <c r="T29" s="44" t="n">
        <v>1241</v>
      </c>
      <c r="U29" s="44"/>
      <c r="V29" s="44" t="n">
        <v>1209</v>
      </c>
      <c r="W29" s="44" t="n">
        <v>1187</v>
      </c>
      <c r="X29" s="44" t="n">
        <v>1165</v>
      </c>
    </row>
    <row r="30" ht="22" customHeight="1">
      <c r="A30" s="4" t="str">
        <v>Amortization expense — Net</v>
      </c>
      <c r="B30" s="2"/>
      <c r="C30" s="44" t="n">
        <v>70</v>
      </c>
      <c r="D30" s="44" t="n">
        <v>68</v>
      </c>
      <c r="E30" s="44" t="n">
        <v>69</v>
      </c>
      <c r="F30" s="44" t="n">
        <v>81</v>
      </c>
      <c r="G30" s="44" t="n">
        <v>90</v>
      </c>
      <c r="H30" s="44" t="n">
        <v>91</v>
      </c>
      <c r="I30" s="44" t="n">
        <v>78</v>
      </c>
      <c r="J30" s="44" t="n">
        <v>75</v>
      </c>
      <c r="K30" s="44" t="n">
        <v>74</v>
      </c>
      <c r="L30" s="44" t="n">
        <v>83</v>
      </c>
      <c r="M30" s="45"/>
      <c r="N30" s="44"/>
      <c r="O30" s="44"/>
      <c r="P30" s="44"/>
      <c r="Q30" s="44"/>
      <c r="R30" s="44"/>
      <c r="S30" s="44"/>
      <c r="T30" s="44"/>
      <c r="U30" s="44"/>
      <c r="V30" s="44"/>
      <c r="W30" s="44"/>
      <c r="X30" s="44"/>
    </row>
    <row r="31" ht="22" customHeight="1">
      <c r="A31" s="4"/>
      <c r="B31" s="2"/>
      <c r="C31" s="3"/>
      <c r="D31" s="3"/>
      <c r="E31" s="3"/>
      <c r="F31" s="3"/>
      <c r="G31" s="3"/>
      <c r="H31" s="3"/>
      <c r="I31" s="3"/>
      <c r="J31" s="3"/>
      <c r="K31" s="3"/>
      <c r="L31" s="3"/>
      <c r="M31" s="3"/>
      <c r="N31" s="3"/>
      <c r="O31" s="3"/>
      <c r="P31" s="3"/>
      <c r="Q31" s="3"/>
      <c r="R31" s="3"/>
      <c r="S31" s="3"/>
      <c r="T31" s="3"/>
      <c r="U31" s="3"/>
      <c r="V31" s="3"/>
      <c r="W31" s="3"/>
      <c r="X31" s="3"/>
    </row>
    <row r="32" ht="22" customHeight="1">
      <c r="A32" s="29" t="str">
        <v>Indefinite-lived intangible assets</v>
      </c>
      <c r="B32" s="29"/>
      <c r="C32" s="32"/>
      <c r="D32" s="32"/>
      <c r="E32" s="32"/>
      <c r="F32" s="32"/>
      <c r="G32" s="32"/>
      <c r="H32" s="32"/>
      <c r="I32" s="32"/>
      <c r="J32" s="32"/>
      <c r="K32" s="32"/>
      <c r="L32" s="32"/>
      <c r="M32" s="32"/>
      <c r="N32" s="32"/>
      <c r="O32" s="32"/>
      <c r="P32" s="32"/>
      <c r="Q32" s="32"/>
      <c r="R32" s="32"/>
      <c r="S32" s="32"/>
      <c r="T32" s="32"/>
      <c r="U32" s="32"/>
      <c r="V32" s="32"/>
      <c r="W32" s="32"/>
      <c r="X32" s="32"/>
    </row>
    <row r="33" ht="22" customHeight="1">
      <c r="A33" s="4" t="str">
        <v>Goodwill</v>
      </c>
      <c r="B33" s="2"/>
      <c r="C33" s="44"/>
      <c r="D33" s="44"/>
      <c r="E33" s="44"/>
      <c r="F33" s="44"/>
      <c r="G33" s="44"/>
      <c r="H33" s="44"/>
      <c r="I33" s="44"/>
      <c r="J33" s="44" t="n">
        <v>17728</v>
      </c>
      <c r="K33" s="44" t="n">
        <v>17534</v>
      </c>
      <c r="L33" s="44" t="n">
        <v>18916</v>
      </c>
      <c r="M33" s="45"/>
      <c r="N33" s="44"/>
      <c r="O33" s="44"/>
      <c r="P33" s="44"/>
      <c r="Q33" s="44"/>
      <c r="R33" s="44" t="n">
        <v>18364</v>
      </c>
      <c r="S33" s="44" t="n">
        <v>18952</v>
      </c>
      <c r="T33" s="44" t="n">
        <v>18845</v>
      </c>
      <c r="U33" s="44"/>
      <c r="V33" s="44" t="n">
        <v>19021</v>
      </c>
      <c r="W33" s="44" t="n">
        <v>19093</v>
      </c>
      <c r="X33" s="44" t="n">
        <v>18884</v>
      </c>
    </row>
    <row r="34" ht="22" customHeight="1">
      <c r="A34" s="4" t="str">
        <v>Reacquired franchise rights</v>
      </c>
      <c r="B34" s="2"/>
      <c r="C34" s="44"/>
      <c r="D34" s="44"/>
      <c r="E34" s="44"/>
      <c r="F34" s="44"/>
      <c r="G34" s="44"/>
      <c r="H34" s="44"/>
      <c r="I34" s="44"/>
      <c r="J34" s="44" t="n">
        <v>7533</v>
      </c>
      <c r="K34" s="44" t="n">
        <v>7437</v>
      </c>
      <c r="L34" s="44" t="n">
        <v>7542</v>
      </c>
      <c r="M34" s="45"/>
      <c r="N34" s="44"/>
      <c r="O34" s="44"/>
      <c r="P34" s="44"/>
      <c r="Q34" s="44"/>
      <c r="R34" s="44" t="n">
        <v>7462</v>
      </c>
      <c r="S34" s="44" t="n">
        <v>7535</v>
      </c>
      <c r="T34" s="44" t="n">
        <v>7532</v>
      </c>
      <c r="U34" s="44"/>
      <c r="V34" s="44" t="n">
        <v>7544</v>
      </c>
      <c r="W34" s="44" t="n">
        <v>7532</v>
      </c>
      <c r="X34" s="44" t="n">
        <v>7516</v>
      </c>
    </row>
    <row r="35" ht="22" customHeight="1">
      <c r="A35" s="4" t="str">
        <v>Acquired franchise rights</v>
      </c>
      <c r="B35" s="2"/>
      <c r="C35" s="44"/>
      <c r="D35" s="44"/>
      <c r="E35" s="44"/>
      <c r="F35" s="44"/>
      <c r="G35" s="44"/>
      <c r="H35" s="44"/>
      <c r="I35" s="44"/>
      <c r="J35" s="44" t="n">
        <v>1891</v>
      </c>
      <c r="K35" s="44" t="n">
        <v>1858</v>
      </c>
      <c r="L35" s="44" t="n">
        <v>2099</v>
      </c>
      <c r="M35" s="45"/>
      <c r="N35" s="44"/>
      <c r="O35" s="44"/>
      <c r="P35" s="44"/>
      <c r="Q35" s="44"/>
      <c r="R35" s="44" t="n">
        <v>1858</v>
      </c>
      <c r="S35" s="44" t="n">
        <v>1878</v>
      </c>
      <c r="T35" s="44" t="n">
        <v>1886</v>
      </c>
      <c r="U35" s="44"/>
      <c r="V35" s="44" t="n">
        <v>2164</v>
      </c>
      <c r="W35" s="44" t="n">
        <v>2239</v>
      </c>
      <c r="X35" s="44" t="n">
        <v>2241</v>
      </c>
    </row>
    <row r="36" ht="22" customHeight="1">
      <c r="A36" s="4" t="str">
        <v>Brands</v>
      </c>
      <c r="B36" s="2"/>
      <c r="C36" s="44"/>
      <c r="D36" s="44"/>
      <c r="E36" s="44"/>
      <c r="F36" s="44"/>
      <c r="G36" s="44"/>
      <c r="H36" s="44"/>
      <c r="I36" s="44"/>
      <c r="J36" s="44" t="n">
        <v>4306</v>
      </c>
      <c r="K36" s="44" t="n">
        <v>4404</v>
      </c>
      <c r="L36" s="44" t="n">
        <v>4206</v>
      </c>
      <c r="M36" s="45"/>
      <c r="N36" s="44"/>
      <c r="O36" s="44"/>
      <c r="P36" s="44"/>
      <c r="Q36" s="44"/>
      <c r="R36" s="44" t="n">
        <v>4886</v>
      </c>
      <c r="S36" s="44" t="n">
        <v>4799</v>
      </c>
      <c r="T36" s="44" t="n">
        <v>4193</v>
      </c>
      <c r="U36" s="44"/>
      <c r="V36" s="44" t="n">
        <v>4226</v>
      </c>
      <c r="W36" s="44" t="n">
        <v>4219</v>
      </c>
      <c r="X36" s="44" t="n">
        <v>4220</v>
      </c>
    </row>
    <row r="37" ht="24" customHeight="1">
      <c r="A37" s="51" t="str">
        <v>Total indefinite-lived intangible assets</v>
      </c>
      <c r="B37" s="52"/>
      <c r="C37" s="53"/>
      <c r="D37" s="53"/>
      <c r="E37" s="53"/>
      <c r="F37" s="53"/>
      <c r="G37" s="53"/>
      <c r="H37" s="53"/>
      <c r="I37" s="53"/>
      <c r="J37" s="53" t="n">
        <v>31458</v>
      </c>
      <c r="K37" s="53" t="n">
        <v>31233</v>
      </c>
      <c r="L37" s="53" t="n">
        <v>32763</v>
      </c>
      <c r="M37" s="55"/>
      <c r="N37" s="53"/>
      <c r="O37" s="53"/>
      <c r="P37" s="53"/>
      <c r="Q37" s="53"/>
      <c r="R37" s="53" t="n">
        <v>32570</v>
      </c>
      <c r="S37" s="53" t="n">
        <v>33164</v>
      </c>
      <c r="T37" s="53" t="n">
        <v>32456</v>
      </c>
      <c r="U37" s="53"/>
      <c r="V37" s="53" t="n">
        <v>32955</v>
      </c>
      <c r="W37" s="53" t="n">
        <v>33083</v>
      </c>
      <c r="X37" s="53" t="n">
        <v>32861</v>
      </c>
    </row>
    <row r="38" ht="22" customHeight="1">
      <c r="A38" s="4" t="str">
        <v>Brands — Trade Names</v>
      </c>
      <c r="B38" s="2"/>
      <c r="C38" s="44"/>
      <c r="D38" s="44"/>
      <c r="E38" s="44"/>
      <c r="F38" s="44"/>
      <c r="G38" s="44"/>
      <c r="H38" s="44"/>
      <c r="I38" s="44"/>
      <c r="J38" s="44"/>
      <c r="K38" s="44" t="n">
        <v>4404</v>
      </c>
      <c r="L38" s="44" t="n">
        <v>4206</v>
      </c>
      <c r="M38" s="45"/>
      <c r="N38" s="44"/>
      <c r="O38" s="44"/>
      <c r="P38" s="44"/>
      <c r="Q38" s="44"/>
      <c r="R38" s="44"/>
      <c r="S38" s="44"/>
      <c r="T38" s="44"/>
      <c r="U38" s="44"/>
      <c r="V38" s="44"/>
      <c r="W38" s="44"/>
      <c r="X38" s="44"/>
    </row>
    <row r="39" ht="22" customHeight="1">
      <c r="A39" s="4"/>
      <c r="B39" s="2"/>
      <c r="C39" s="3"/>
      <c r="D39" s="3"/>
      <c r="E39" s="3"/>
      <c r="F39" s="3"/>
      <c r="G39" s="3"/>
      <c r="H39" s="3"/>
      <c r="I39" s="3"/>
      <c r="J39" s="3"/>
      <c r="K39" s="3"/>
      <c r="L39" s="3"/>
      <c r="M39" s="3"/>
      <c r="N39" s="3"/>
      <c r="O39" s="3"/>
      <c r="P39" s="3"/>
      <c r="Q39" s="3"/>
      <c r="R39" s="3"/>
      <c r="S39" s="3"/>
      <c r="T39" s="3"/>
      <c r="U39" s="3"/>
      <c r="V39" s="3"/>
      <c r="W39" s="3"/>
      <c r="X39" s="3"/>
    </row>
    <row r="40" ht="22" customHeight="1">
      <c r="A40" s="29" t="str">
        <v>Goodwill balances by current segment</v>
      </c>
      <c r="B40" s="29"/>
      <c r="C40" s="32"/>
      <c r="D40" s="32"/>
      <c r="E40" s="32"/>
      <c r="F40" s="32"/>
      <c r="G40" s="32"/>
      <c r="H40" s="32"/>
      <c r="I40" s="32"/>
      <c r="J40" s="32"/>
      <c r="K40" s="32"/>
      <c r="L40" s="32"/>
      <c r="M40" s="32"/>
      <c r="N40" s="32"/>
      <c r="O40" s="32"/>
      <c r="P40" s="32"/>
      <c r="Q40" s="32"/>
      <c r="R40" s="32"/>
      <c r="S40" s="32"/>
      <c r="T40" s="32"/>
      <c r="U40" s="32"/>
      <c r="V40" s="32"/>
      <c r="W40" s="32"/>
      <c r="X40" s="32"/>
    </row>
    <row r="41" ht="18" customHeight="1">
      <c r="A41" s="33" t="str">
        <v>Goodwill balances are shown separately before/after segment reorganizations. Current comparable PBNA scope follows the latest annual report; historical total goodwill is in the balance sheet.</v>
      </c>
      <c r="B41" s="33"/>
      <c r="C41" s="35"/>
      <c r="D41" s="35"/>
      <c r="E41" s="35"/>
      <c r="F41" s="35"/>
      <c r="G41" s="35"/>
      <c r="H41" s="35"/>
      <c r="I41" s="35"/>
      <c r="J41" s="35"/>
      <c r="K41" s="35"/>
      <c r="L41" s="35"/>
      <c r="M41" s="35"/>
      <c r="N41" s="35"/>
      <c r="O41" s="35"/>
      <c r="P41" s="35"/>
      <c r="Q41" s="35"/>
      <c r="R41" s="35"/>
      <c r="S41" s="35"/>
      <c r="T41" s="35"/>
      <c r="U41" s="35"/>
      <c r="V41" s="35"/>
      <c r="W41" s="35"/>
      <c r="X41" s="35"/>
    </row>
    <row r="42" ht="22" customHeight="1">
      <c r="A42" s="4" t="str">
        <v>PBNA</v>
      </c>
      <c r="B42" s="2"/>
      <c r="C42" s="44"/>
      <c r="D42" s="44"/>
      <c r="E42" s="44"/>
      <c r="F42" s="44"/>
      <c r="G42" s="44"/>
      <c r="H42" s="44"/>
      <c r="I42" s="44" t="n">
        <v>11947</v>
      </c>
      <c r="J42" s="44" t="n">
        <v>11961</v>
      </c>
      <c r="K42" s="44" t="n">
        <v>11925</v>
      </c>
      <c r="L42" s="44" t="n">
        <v>12125</v>
      </c>
      <c r="M42" s="45"/>
      <c r="N42" s="44"/>
      <c r="O42" s="44"/>
      <c r="P42" s="44"/>
      <c r="Q42" s="44"/>
      <c r="R42" s="44" t="n">
        <v>11927</v>
      </c>
      <c r="S42" s="44" t="n">
        <v>12242</v>
      </c>
      <c r="T42" s="44" t="n">
        <v>12122</v>
      </c>
      <c r="U42" s="44"/>
      <c r="V42" s="44"/>
      <c r="W42" s="44"/>
      <c r="X42" s="44"/>
    </row>
    <row r="43" ht="22" customHeight="1">
      <c r="A43" s="4" t="str">
        <v>Total</v>
      </c>
      <c r="B43" s="2"/>
      <c r="C43" s="44"/>
      <c r="D43" s="44"/>
      <c r="E43" s="44"/>
      <c r="F43" s="44"/>
      <c r="G43" s="44"/>
      <c r="H43" s="44"/>
      <c r="I43" s="44" t="n">
        <v>18202</v>
      </c>
      <c r="J43" s="44" t="n">
        <v>17728</v>
      </c>
      <c r="K43" s="44" t="n">
        <v>17534</v>
      </c>
      <c r="L43" s="44" t="n">
        <v>18916</v>
      </c>
      <c r="M43" s="45"/>
      <c r="N43" s="44"/>
      <c r="O43" s="44"/>
      <c r="P43" s="44"/>
      <c r="Q43" s="44"/>
      <c r="R43" s="44" t="n">
        <v>18364</v>
      </c>
      <c r="S43" s="44" t="n">
        <v>18952</v>
      </c>
      <c r="T43" s="44" t="n">
        <v>18845</v>
      </c>
      <c r="U43" s="44"/>
      <c r="V43" s="44"/>
      <c r="W43" s="44"/>
      <c r="X43" s="44"/>
    </row>
    <row r="44" ht="22" customHeight="1">
      <c r="A44" s="4" t="str">
        <v>PFNA</v>
      </c>
      <c r="B44" s="2"/>
      <c r="C44" s="44"/>
      <c r="D44" s="44"/>
      <c r="E44" s="44"/>
      <c r="F44" s="44"/>
      <c r="G44" s="44"/>
      <c r="H44" s="44"/>
      <c r="I44" s="44"/>
      <c r="J44" s="44" t="n">
        <v>642</v>
      </c>
      <c r="K44" s="44" t="n">
        <v>791</v>
      </c>
      <c r="L44" s="44" t="n">
        <v>1422</v>
      </c>
      <c r="M44" s="45"/>
      <c r="N44" s="44"/>
      <c r="O44" s="44"/>
      <c r="P44" s="44"/>
      <c r="Q44" s="44"/>
      <c r="R44" s="44" t="n">
        <v>1415</v>
      </c>
      <c r="S44" s="44" t="n">
        <v>1423</v>
      </c>
      <c r="T44" s="44" t="n">
        <v>1421</v>
      </c>
      <c r="U44" s="44"/>
      <c r="V44" s="44"/>
      <c r="W44" s="44"/>
      <c r="X44" s="44"/>
    </row>
    <row r="45" ht="22" customHeight="1">
      <c r="A45" s="4" t="str">
        <v>IB Franchise</v>
      </c>
      <c r="B45" s="2"/>
      <c r="C45" s="44"/>
      <c r="D45" s="44"/>
      <c r="E45" s="44"/>
      <c r="F45" s="44"/>
      <c r="G45" s="44"/>
      <c r="H45" s="44"/>
      <c r="I45" s="44"/>
      <c r="J45" s="44" t="n">
        <v>1986</v>
      </c>
      <c r="K45" s="44" t="n">
        <v>1918</v>
      </c>
      <c r="L45" s="44" t="n">
        <v>1921</v>
      </c>
      <c r="M45" s="45"/>
      <c r="N45" s="44"/>
      <c r="O45" s="44"/>
      <c r="P45" s="44"/>
      <c r="Q45" s="44"/>
      <c r="R45" s="44" t="n">
        <v>1918</v>
      </c>
      <c r="S45" s="44" t="n">
        <v>1920</v>
      </c>
      <c r="T45" s="44" t="n">
        <v>1921</v>
      </c>
      <c r="U45" s="44"/>
      <c r="V45" s="44"/>
      <c r="W45" s="44"/>
      <c r="X45" s="44"/>
    </row>
    <row r="46" ht="22" customHeight="1">
      <c r="A46" s="4" t="str">
        <v>EMEA</v>
      </c>
      <c r="B46" s="2"/>
      <c r="C46" s="44"/>
      <c r="D46" s="44"/>
      <c r="E46" s="44"/>
      <c r="F46" s="44"/>
      <c r="G46" s="44"/>
      <c r="H46" s="44"/>
      <c r="I46" s="44"/>
      <c r="J46" s="44" t="n">
        <v>2382</v>
      </c>
      <c r="K46" s="44" t="n">
        <v>2194</v>
      </c>
      <c r="L46" s="44" t="n">
        <v>2688</v>
      </c>
      <c r="M46" s="45"/>
      <c r="N46" s="44"/>
      <c r="O46" s="44"/>
      <c r="P46" s="44"/>
      <c r="Q46" s="44"/>
      <c r="R46" s="44" t="n">
        <v>2387</v>
      </c>
      <c r="S46" s="44" t="n">
        <v>2632</v>
      </c>
      <c r="T46" s="44" t="n">
        <v>2636</v>
      </c>
      <c r="U46" s="44"/>
      <c r="V46" s="44"/>
      <c r="W46" s="44"/>
      <c r="X46" s="44"/>
    </row>
    <row r="47" ht="22" customHeight="1">
      <c r="A47" s="4" t="str">
        <v>LatAm Foods</v>
      </c>
      <c r="B47" s="2"/>
      <c r="C47" s="44"/>
      <c r="D47" s="44"/>
      <c r="E47" s="44"/>
      <c r="F47" s="44"/>
      <c r="G47" s="44"/>
      <c r="H47" s="44"/>
      <c r="I47" s="44"/>
      <c r="J47" s="44" t="n">
        <v>393</v>
      </c>
      <c r="K47" s="44" t="n">
        <v>354</v>
      </c>
      <c r="L47" s="44" t="n">
        <v>385</v>
      </c>
      <c r="M47" s="45"/>
      <c r="N47" s="44"/>
      <c r="O47" s="44"/>
      <c r="P47" s="44"/>
      <c r="Q47" s="44"/>
      <c r="R47" s="44" t="n">
        <v>365</v>
      </c>
      <c r="S47" s="44" t="n">
        <v>372</v>
      </c>
      <c r="T47" s="44" t="n">
        <v>379</v>
      </c>
      <c r="U47" s="44"/>
      <c r="V47" s="44"/>
      <c r="W47" s="44"/>
      <c r="X47" s="44"/>
    </row>
    <row r="48" ht="22" customHeight="1">
      <c r="A48" s="4" t="str">
        <v>Asia Pacific Foods</v>
      </c>
      <c r="B48" s="2"/>
      <c r="C48" s="44"/>
      <c r="D48" s="44"/>
      <c r="E48" s="44"/>
      <c r="F48" s="44"/>
      <c r="G48" s="44"/>
      <c r="H48" s="44"/>
      <c r="I48" s="44"/>
      <c r="J48" s="44" t="n">
        <v>364</v>
      </c>
      <c r="K48" s="44" t="n">
        <v>352</v>
      </c>
      <c r="L48" s="44" t="n">
        <v>375</v>
      </c>
      <c r="M48" s="45"/>
      <c r="N48" s="44"/>
      <c r="O48" s="44"/>
      <c r="P48" s="44"/>
      <c r="Q48" s="44"/>
      <c r="R48" s="44" t="n">
        <v>352</v>
      </c>
      <c r="S48" s="44" t="n">
        <v>363</v>
      </c>
      <c r="T48" s="44" t="n">
        <v>366</v>
      </c>
      <c r="U48" s="44"/>
      <c r="V48" s="44"/>
      <c r="W48" s="44"/>
      <c r="X48" s="44"/>
    </row>
    <row r="49" ht="22" customHeight="1">
      <c r="A49" s="4"/>
      <c r="B49" s="2"/>
      <c r="C49" s="3"/>
      <c r="D49" s="3"/>
      <c r="E49" s="3"/>
      <c r="F49" s="3"/>
      <c r="G49" s="3"/>
      <c r="H49" s="3"/>
      <c r="I49" s="3"/>
      <c r="J49" s="3"/>
      <c r="K49" s="3"/>
      <c r="L49" s="3"/>
      <c r="M49" s="3"/>
      <c r="N49" s="3"/>
      <c r="O49" s="3"/>
      <c r="P49" s="3"/>
      <c r="Q49" s="3"/>
      <c r="R49" s="3"/>
      <c r="S49" s="3"/>
      <c r="T49" s="3"/>
      <c r="U49" s="3"/>
      <c r="V49" s="3"/>
      <c r="W49" s="3"/>
      <c r="X49" s="3"/>
    </row>
    <row r="50" ht="22" customHeight="1">
      <c r="A50" s="29" t="str">
        <v>Goodwill balances by historical seven-segment structure</v>
      </c>
      <c r="B50" s="29"/>
      <c r="C50" s="32"/>
      <c r="D50" s="32"/>
      <c r="E50" s="32"/>
      <c r="F50" s="32"/>
      <c r="G50" s="32"/>
      <c r="H50" s="32"/>
      <c r="I50" s="32"/>
      <c r="J50" s="32"/>
      <c r="K50" s="32"/>
      <c r="L50" s="32"/>
      <c r="M50" s="32"/>
      <c r="N50" s="32"/>
      <c r="O50" s="32"/>
      <c r="P50" s="32"/>
      <c r="Q50" s="32"/>
      <c r="R50" s="32"/>
      <c r="S50" s="32"/>
      <c r="T50" s="32"/>
      <c r="U50" s="32"/>
      <c r="V50" s="32"/>
      <c r="W50" s="32"/>
      <c r="X50" s="32"/>
    </row>
    <row r="51" ht="18" customHeight="1">
      <c r="A51" s="33" t="str">
        <v>Goodwill balances are shown separately before/after segment reorganizations. Current comparable PBNA scope follows the latest annual report; historical total goodwill is in the balance sheet.</v>
      </c>
      <c r="B51" s="33"/>
      <c r="C51" s="35"/>
      <c r="D51" s="35"/>
      <c r="E51" s="35"/>
      <c r="F51" s="35"/>
      <c r="G51" s="35"/>
      <c r="H51" s="35"/>
      <c r="I51" s="35"/>
      <c r="J51" s="35"/>
      <c r="K51" s="35"/>
      <c r="L51" s="35"/>
      <c r="M51" s="35"/>
      <c r="N51" s="35"/>
      <c r="O51" s="35"/>
      <c r="P51" s="35"/>
      <c r="Q51" s="35"/>
      <c r="R51" s="35"/>
      <c r="S51" s="35"/>
      <c r="T51" s="35"/>
      <c r="U51" s="35"/>
      <c r="V51" s="35"/>
      <c r="W51" s="35"/>
      <c r="X51" s="35"/>
    </row>
    <row r="52" ht="22" customHeight="1">
      <c r="A52" s="4" t="str">
        <v>FLNA</v>
      </c>
      <c r="B52" s="2"/>
      <c r="C52" s="44"/>
      <c r="D52" s="44"/>
      <c r="E52" s="44"/>
      <c r="F52" s="44"/>
      <c r="G52" s="44"/>
      <c r="H52" s="44"/>
      <c r="I52" s="44" t="n">
        <v>451</v>
      </c>
      <c r="J52" s="44" t="n">
        <v>453</v>
      </c>
      <c r="K52" s="44" t="n">
        <v>602</v>
      </c>
      <c r="L52" s="44"/>
      <c r="M52" s="45"/>
      <c r="N52" s="44"/>
      <c r="O52" s="44"/>
      <c r="P52" s="44"/>
      <c r="Q52" s="44"/>
      <c r="R52" s="44"/>
      <c r="S52" s="44"/>
      <c r="T52" s="44"/>
      <c r="U52" s="44"/>
      <c r="V52" s="44"/>
      <c r="W52" s="44"/>
      <c r="X52" s="44"/>
    </row>
    <row r="53" ht="22" customHeight="1">
      <c r="A53" s="4" t="str">
        <v>QFNA</v>
      </c>
      <c r="B53" s="2"/>
      <c r="C53" s="44"/>
      <c r="D53" s="44"/>
      <c r="E53" s="44"/>
      <c r="F53" s="44"/>
      <c r="G53" s="44"/>
      <c r="H53" s="44"/>
      <c r="I53" s="44" t="n">
        <v>189</v>
      </c>
      <c r="J53" s="44" t="n">
        <v>189</v>
      </c>
      <c r="K53" s="44" t="n">
        <v>189</v>
      </c>
      <c r="L53" s="44"/>
      <c r="M53" s="45"/>
      <c r="N53" s="44"/>
      <c r="O53" s="44"/>
      <c r="P53" s="44"/>
      <c r="Q53" s="44"/>
      <c r="R53" s="44"/>
      <c r="S53" s="44"/>
      <c r="T53" s="44"/>
      <c r="U53" s="44"/>
      <c r="V53" s="44"/>
      <c r="W53" s="44"/>
      <c r="X53" s="44"/>
    </row>
    <row r="54" ht="22" customHeight="1">
      <c r="A54" s="4" t="str">
        <v>LatAm</v>
      </c>
      <c r="B54" s="2"/>
      <c r="C54" s="44"/>
      <c r="D54" s="44"/>
      <c r="E54" s="44"/>
      <c r="F54" s="44"/>
      <c r="G54" s="44"/>
      <c r="H54" s="44"/>
      <c r="I54" s="44" t="n">
        <v>436</v>
      </c>
      <c r="J54" s="44" t="n">
        <v>460</v>
      </c>
      <c r="K54" s="44" t="n">
        <v>413</v>
      </c>
      <c r="L54" s="44"/>
      <c r="M54" s="45"/>
      <c r="N54" s="44"/>
      <c r="O54" s="44"/>
      <c r="P54" s="44"/>
      <c r="Q54" s="44"/>
      <c r="R54" s="44"/>
      <c r="S54" s="44"/>
      <c r="T54" s="44"/>
      <c r="U54" s="44"/>
      <c r="V54" s="44"/>
      <c r="W54" s="44"/>
      <c r="X54" s="44"/>
    </row>
    <row r="55" ht="22" customHeight="1">
      <c r="A55" s="4" t="str">
        <v>Europe</v>
      </c>
      <c r="B55" s="2"/>
      <c r="C55" s="44"/>
      <c r="D55" s="44"/>
      <c r="E55" s="44"/>
      <c r="F55" s="44"/>
      <c r="G55" s="44"/>
      <c r="H55" s="44"/>
      <c r="I55" s="44" t="n">
        <v>3646</v>
      </c>
      <c r="J55" s="44" t="n">
        <v>3166</v>
      </c>
      <c r="K55" s="44" t="n">
        <v>2946</v>
      </c>
      <c r="L55" s="44"/>
      <c r="M55" s="45"/>
      <c r="N55" s="44"/>
      <c r="O55" s="44"/>
      <c r="P55" s="44"/>
      <c r="Q55" s="44"/>
      <c r="R55" s="44"/>
      <c r="S55" s="44"/>
      <c r="T55" s="44"/>
      <c r="U55" s="44"/>
      <c r="V55" s="44"/>
      <c r="W55" s="44"/>
      <c r="X55" s="44"/>
    </row>
    <row r="56" ht="22" customHeight="1">
      <c r="A56" s="4" t="str">
        <v>AMESA</v>
      </c>
      <c r="B56" s="2"/>
      <c r="C56" s="44"/>
      <c r="D56" s="44"/>
      <c r="E56" s="44"/>
      <c r="F56" s="44"/>
      <c r="G56" s="44"/>
      <c r="H56" s="44"/>
      <c r="I56" s="44" t="n">
        <v>1015</v>
      </c>
      <c r="J56" s="44" t="n">
        <v>991</v>
      </c>
      <c r="K56" s="44" t="n">
        <v>970</v>
      </c>
      <c r="L56" s="44"/>
      <c r="M56" s="45"/>
      <c r="N56" s="44"/>
      <c r="O56" s="44"/>
      <c r="P56" s="44"/>
      <c r="Q56" s="44"/>
      <c r="R56" s="44"/>
      <c r="S56" s="44"/>
      <c r="T56" s="44"/>
      <c r="U56" s="44"/>
      <c r="V56" s="44"/>
      <c r="W56" s="44"/>
      <c r="X56" s="44"/>
    </row>
    <row r="57" ht="22" customHeight="1">
      <c r="A57" s="4" t="str">
        <v>APAC</v>
      </c>
      <c r="B57" s="2"/>
      <c r="C57" s="44"/>
      <c r="D57" s="44"/>
      <c r="E57" s="44"/>
      <c r="F57" s="44"/>
      <c r="G57" s="44"/>
      <c r="H57" s="44"/>
      <c r="I57" s="44" t="n">
        <v>518</v>
      </c>
      <c r="J57" s="44" t="n">
        <v>508</v>
      </c>
      <c r="K57" s="44" t="n">
        <v>489</v>
      </c>
      <c r="L57" s="44"/>
      <c r="M57" s="45"/>
      <c r="N57" s="44"/>
      <c r="O57" s="44"/>
      <c r="P57" s="44"/>
      <c r="Q57" s="44"/>
      <c r="R57" s="44"/>
      <c r="S57" s="44"/>
      <c r="T57" s="44"/>
      <c r="U57" s="44"/>
      <c r="V57" s="44"/>
      <c r="W57" s="44"/>
      <c r="X57" s="44"/>
    </row>
    <row r="58" ht="22" customHeight="1">
      <c r="A58" s="4"/>
      <c r="B58" s="2"/>
      <c r="C58" s="3"/>
      <c r="D58" s="3"/>
      <c r="E58" s="3"/>
      <c r="F58" s="3"/>
      <c r="G58" s="3"/>
      <c r="H58" s="3"/>
      <c r="I58" s="3"/>
      <c r="J58" s="3"/>
      <c r="K58" s="3"/>
      <c r="L58" s="3"/>
      <c r="M58" s="3"/>
      <c r="N58" s="3"/>
      <c r="O58" s="3"/>
      <c r="P58" s="3"/>
      <c r="Q58" s="3"/>
      <c r="R58" s="3"/>
      <c r="S58" s="3"/>
      <c r="T58" s="3"/>
      <c r="U58" s="3"/>
      <c r="V58" s="3"/>
      <c r="W58" s="3"/>
      <c r="X58" s="3"/>
    </row>
    <row r="59" ht="22" customHeight="1">
      <c r="A59" s="29" t="str">
        <v>Consolidated goodwill changes</v>
      </c>
      <c r="B59" s="29"/>
      <c r="C59" s="32"/>
      <c r="D59" s="32"/>
      <c r="E59" s="32"/>
      <c r="F59" s="32"/>
      <c r="G59" s="32"/>
      <c r="H59" s="32"/>
      <c r="I59" s="32"/>
      <c r="J59" s="32"/>
      <c r="K59" s="32"/>
      <c r="L59" s="32"/>
      <c r="M59" s="32"/>
      <c r="N59" s="32"/>
      <c r="O59" s="32"/>
      <c r="P59" s="32"/>
      <c r="Q59" s="32"/>
      <c r="R59" s="32"/>
      <c r="S59" s="32"/>
      <c r="T59" s="32"/>
      <c r="U59" s="32"/>
      <c r="V59" s="32"/>
      <c r="W59" s="32"/>
      <c r="X59" s="32"/>
    </row>
    <row r="60" ht="22" customHeight="1">
      <c r="A60" s="4" t="str">
        <v>Acquisitions</v>
      </c>
      <c r="B60" s="2"/>
      <c r="C60" s="44"/>
      <c r="D60" s="44"/>
      <c r="E60" s="44"/>
      <c r="F60" s="44"/>
      <c r="G60" s="44"/>
      <c r="H60" s="44"/>
      <c r="I60" s="44"/>
      <c r="J60" s="44" t="n">
        <v>38</v>
      </c>
      <c r="K60" s="44" t="n">
        <v>162</v>
      </c>
      <c r="L60" s="44" t="n">
        <v>804</v>
      </c>
      <c r="M60" s="45"/>
      <c r="N60" s="44"/>
      <c r="O60" s="44"/>
      <c r="P60" s="44"/>
      <c r="Q60" s="44"/>
      <c r="R60" s="44" t="n">
        <v>624</v>
      </c>
      <c r="S60" s="44" t="n">
        <v>919</v>
      </c>
      <c r="T60" s="44" t="n">
        <v>804</v>
      </c>
      <c r="U60" s="44"/>
      <c r="V60" s="44"/>
      <c r="W60" s="44"/>
      <c r="X60" s="44"/>
    </row>
    <row r="61" ht="22" customHeight="1">
      <c r="A61" s="4" t="str">
        <v>Impairment</v>
      </c>
      <c r="B61" s="2"/>
      <c r="C61" s="44"/>
      <c r="D61" s="44"/>
      <c r="E61" s="44"/>
      <c r="F61" s="44"/>
      <c r="G61" s="44"/>
      <c r="H61" s="44"/>
      <c r="I61" s="44"/>
      <c r="J61" s="44" t="n">
        <v>-290</v>
      </c>
      <c r="K61" s="44"/>
      <c r="L61" s="44"/>
      <c r="M61" s="45"/>
      <c r="N61" s="44"/>
      <c r="O61" s="44"/>
      <c r="P61" s="44"/>
      <c r="Q61" s="44"/>
      <c r="R61" s="44"/>
      <c r="S61" s="44"/>
      <c r="T61" s="44"/>
      <c r="U61" s="44"/>
      <c r="V61" s="44"/>
      <c r="W61" s="44"/>
      <c r="X61" s="44"/>
    </row>
    <row r="62" ht="22" customHeight="1">
      <c r="A62" s="4" t="str">
        <v>Translation and other</v>
      </c>
      <c r="B62" s="2"/>
      <c r="C62" s="44"/>
      <c r="D62" s="44"/>
      <c r="E62" s="44"/>
      <c r="F62" s="44"/>
      <c r="G62" s="44"/>
      <c r="H62" s="44"/>
      <c r="I62" s="44"/>
      <c r="J62" s="44" t="n">
        <v>-222</v>
      </c>
      <c r="K62" s="44" t="n">
        <v>-356</v>
      </c>
      <c r="L62" s="44" t="n">
        <v>578</v>
      </c>
      <c r="M62" s="45"/>
      <c r="N62" s="44"/>
      <c r="O62" s="44"/>
      <c r="P62" s="44"/>
      <c r="Q62" s="44"/>
      <c r="R62" s="44" t="n">
        <v>206</v>
      </c>
      <c r="S62" s="44" t="n">
        <v>499</v>
      </c>
      <c r="T62" s="44" t="n">
        <v>507</v>
      </c>
      <c r="U62" s="44"/>
      <c r="V62" s="44"/>
      <c r="W62" s="44"/>
      <c r="X62" s="44"/>
    </row>
    <row r="63" ht="22" customHeight="1">
      <c r="A63" s="4"/>
      <c r="B63" s="2"/>
      <c r="C63" s="3"/>
      <c r="D63" s="3"/>
      <c r="E63" s="3"/>
      <c r="F63" s="3"/>
      <c r="G63" s="3"/>
      <c r="H63" s="3"/>
      <c r="I63" s="3"/>
      <c r="J63" s="3"/>
      <c r="K63" s="3"/>
      <c r="L63" s="3"/>
      <c r="M63" s="3"/>
      <c r="N63" s="3"/>
      <c r="O63" s="3"/>
      <c r="P63" s="3"/>
      <c r="Q63" s="3"/>
      <c r="R63" s="3"/>
      <c r="S63" s="3"/>
      <c r="T63" s="3"/>
      <c r="U63" s="3"/>
      <c r="V63" s="3"/>
      <c r="W63" s="3"/>
      <c r="X63" s="3"/>
    </row>
    <row r="64" ht="22" customHeight="1">
      <c r="A64" s="29" t="str">
        <v>Restructuring charges and liabilities</v>
      </c>
      <c r="B64" s="29"/>
      <c r="C64" s="32"/>
      <c r="D64" s="32"/>
      <c r="E64" s="32"/>
      <c r="F64" s="32"/>
      <c r="G64" s="32"/>
      <c r="H64" s="32"/>
      <c r="I64" s="32"/>
      <c r="J64" s="32"/>
      <c r="K64" s="32"/>
      <c r="L64" s="32"/>
      <c r="M64" s="32"/>
      <c r="N64" s="32"/>
      <c r="O64" s="32"/>
      <c r="P64" s="32"/>
      <c r="Q64" s="32"/>
      <c r="R64" s="32"/>
      <c r="S64" s="32"/>
      <c r="T64" s="32"/>
      <c r="U64" s="32"/>
      <c r="V64" s="32"/>
      <c r="W64" s="32"/>
      <c r="X64" s="32"/>
    </row>
    <row r="65" ht="18" customHeight="1">
      <c r="A65" s="33" t="str">
        <v>Productivity plans and cost categories retain their distinct scopes; any expected future charges are company plan disclosures, not workbook forecasts.</v>
      </c>
      <c r="B65" s="33"/>
      <c r="C65" s="35"/>
      <c r="D65" s="35"/>
      <c r="E65" s="35"/>
      <c r="F65" s="35"/>
      <c r="G65" s="35"/>
      <c r="H65" s="35"/>
      <c r="I65" s="35"/>
      <c r="J65" s="35"/>
      <c r="K65" s="35"/>
      <c r="L65" s="35"/>
      <c r="M65" s="35"/>
      <c r="N65" s="35"/>
      <c r="O65" s="35"/>
      <c r="P65" s="35"/>
      <c r="Q65" s="35"/>
      <c r="R65" s="35"/>
      <c r="S65" s="35"/>
      <c r="T65" s="35"/>
      <c r="U65" s="35"/>
      <c r="V65" s="35"/>
      <c r="W65" s="35"/>
      <c r="X65" s="35"/>
    </row>
    <row r="66" ht="24" customHeight="1">
      <c r="A66" s="51" t="str">
        <v>Total restructuring and impairment charges</v>
      </c>
      <c r="B66" s="52"/>
      <c r="C66" s="53" t="n">
        <v>160</v>
      </c>
      <c r="D66" s="53" t="n">
        <v>295</v>
      </c>
      <c r="E66" s="53" t="n">
        <v>138</v>
      </c>
      <c r="F66" s="53"/>
      <c r="G66" s="53"/>
      <c r="H66" s="53"/>
      <c r="I66" s="53"/>
      <c r="J66" s="53"/>
      <c r="K66" s="53"/>
      <c r="L66" s="53"/>
      <c r="M66" s="55"/>
      <c r="N66" s="53"/>
      <c r="O66" s="53"/>
      <c r="P66" s="53"/>
      <c r="Q66" s="53"/>
      <c r="R66" s="53"/>
      <c r="S66" s="53"/>
      <c r="T66" s="53"/>
      <c r="U66" s="53"/>
      <c r="V66" s="53"/>
      <c r="W66" s="53"/>
      <c r="X66" s="53"/>
    </row>
    <row r="67" ht="36" customHeight="1">
      <c r="A67" s="51" t="str">
        <v>Total restructuring and impairment charges and other productivity initiatives</v>
      </c>
      <c r="B67" s="52"/>
      <c r="C67" s="53" t="n">
        <v>172</v>
      </c>
      <c r="D67" s="53"/>
      <c r="E67" s="53"/>
      <c r="F67" s="53"/>
      <c r="G67" s="53"/>
      <c r="H67" s="53"/>
      <c r="I67" s="53"/>
      <c r="J67" s="53"/>
      <c r="K67" s="53"/>
      <c r="L67" s="53"/>
      <c r="M67" s="55"/>
      <c r="N67" s="53"/>
      <c r="O67" s="53"/>
      <c r="P67" s="53"/>
      <c r="Q67" s="53"/>
      <c r="R67" s="53"/>
      <c r="S67" s="53"/>
      <c r="T67" s="53"/>
      <c r="U67" s="53"/>
      <c r="V67" s="53"/>
      <c r="W67" s="53"/>
      <c r="X67" s="53"/>
    </row>
    <row r="68" ht="22" customHeight="1">
      <c r="A68" s="4" t="str">
        <v>Corporate — Severance and Other Employee Costs</v>
      </c>
      <c r="B68" s="2"/>
      <c r="C68" s="44" t="n">
        <v>6</v>
      </c>
      <c r="D68" s="44" t="n">
        <v>45</v>
      </c>
      <c r="E68" s="44"/>
      <c r="F68" s="44"/>
      <c r="G68" s="44"/>
      <c r="H68" s="44"/>
      <c r="I68" s="44"/>
      <c r="J68" s="44"/>
      <c r="K68" s="44"/>
      <c r="L68" s="44"/>
      <c r="M68" s="45"/>
      <c r="N68" s="44"/>
      <c r="O68" s="44"/>
      <c r="P68" s="44"/>
      <c r="Q68" s="44"/>
      <c r="R68" s="44"/>
      <c r="S68" s="44"/>
      <c r="T68" s="44"/>
      <c r="U68" s="44"/>
      <c r="V68" s="44"/>
      <c r="W68" s="44"/>
      <c r="X68" s="44"/>
    </row>
    <row r="69" ht="22" customHeight="1">
      <c r="A69" s="4" t="str">
        <v>Corporate — Other Costs</v>
      </c>
      <c r="B69" s="2"/>
      <c r="C69" s="44" t="n">
        <v>4</v>
      </c>
      <c r="D69" s="44" t="n">
        <v>5</v>
      </c>
      <c r="E69" s="44"/>
      <c r="F69" s="44"/>
      <c r="G69" s="44"/>
      <c r="H69" s="44"/>
      <c r="I69" s="44"/>
      <c r="J69" s="44"/>
      <c r="K69" s="44"/>
      <c r="L69" s="44"/>
      <c r="M69" s="45"/>
      <c r="N69" s="44"/>
      <c r="O69" s="44"/>
      <c r="P69" s="44"/>
      <c r="Q69" s="44"/>
      <c r="R69" s="44"/>
      <c r="S69" s="44"/>
      <c r="T69" s="44"/>
      <c r="U69" s="44"/>
      <c r="V69" s="44"/>
      <c r="W69" s="44"/>
      <c r="X69" s="44"/>
    </row>
    <row r="70" ht="22" customHeight="1">
      <c r="A70" s="4" t="str">
        <v>Corporate — Total</v>
      </c>
      <c r="B70" s="2"/>
      <c r="C70" s="44" t="n">
        <v>10</v>
      </c>
      <c r="D70" s="44" t="n">
        <v>50</v>
      </c>
      <c r="E70" s="44"/>
      <c r="F70" s="44"/>
      <c r="G70" s="44"/>
      <c r="H70" s="44"/>
      <c r="I70" s="44"/>
      <c r="J70" s="44"/>
      <c r="K70" s="44"/>
      <c r="L70" s="44"/>
      <c r="M70" s="45"/>
      <c r="N70" s="44"/>
      <c r="O70" s="44"/>
      <c r="P70" s="44"/>
      <c r="Q70" s="44"/>
      <c r="R70" s="44"/>
      <c r="S70" s="44"/>
      <c r="T70" s="44"/>
      <c r="U70" s="44"/>
      <c r="V70" s="44"/>
      <c r="W70" s="44"/>
      <c r="X70" s="44"/>
    </row>
    <row r="71" ht="36" customHeight="1">
      <c r="A71" s="4" t="str">
        <v>Subtotal (unlabeled in filing) — Severance and Other Employee Costs</v>
      </c>
      <c r="B71" s="2"/>
      <c r="C71" s="44" t="n">
        <v>88</v>
      </c>
      <c r="D71" s="44" t="n">
        <v>280</v>
      </c>
      <c r="E71" s="44"/>
      <c r="F71" s="44"/>
      <c r="G71" s="44"/>
      <c r="H71" s="44"/>
      <c r="I71" s="44"/>
      <c r="J71" s="44"/>
      <c r="K71" s="44"/>
      <c r="L71" s="44"/>
      <c r="M71" s="45"/>
      <c r="N71" s="44"/>
      <c r="O71" s="44"/>
      <c r="P71" s="44"/>
      <c r="Q71" s="44"/>
      <c r="R71" s="44"/>
      <c r="S71" s="44"/>
      <c r="T71" s="44"/>
      <c r="U71" s="44"/>
      <c r="V71" s="44"/>
      <c r="W71" s="44"/>
      <c r="X71" s="44"/>
    </row>
    <row r="72" ht="22" customHeight="1">
      <c r="A72" s="4" t="str">
        <v>Subtotal (unlabeled in filing) — Other Costs</v>
      </c>
      <c r="B72" s="2"/>
      <c r="C72" s="44" t="n">
        <v>36</v>
      </c>
      <c r="D72" s="44" t="n">
        <v>-6</v>
      </c>
      <c r="E72" s="44"/>
      <c r="F72" s="44"/>
      <c r="G72" s="44"/>
      <c r="H72" s="44"/>
      <c r="I72" s="44"/>
      <c r="J72" s="44"/>
      <c r="K72" s="44"/>
      <c r="L72" s="44"/>
      <c r="M72" s="45"/>
      <c r="N72" s="44"/>
      <c r="O72" s="44"/>
      <c r="P72" s="44"/>
      <c r="Q72" s="44"/>
      <c r="R72" s="44"/>
      <c r="S72" s="44"/>
      <c r="T72" s="44"/>
      <c r="U72" s="44"/>
      <c r="V72" s="44"/>
      <c r="W72" s="44"/>
      <c r="X72" s="44"/>
    </row>
    <row r="73" ht="22" customHeight="1">
      <c r="A73" s="4" t="str">
        <v>Total</v>
      </c>
      <c r="B73" s="2"/>
      <c r="C73" s="44" t="n">
        <v>160</v>
      </c>
      <c r="D73" s="44" t="n">
        <v>295</v>
      </c>
      <c r="E73" s="44"/>
      <c r="F73" s="44" t="n">
        <v>55</v>
      </c>
      <c r="G73" s="44" t="n">
        <v>255</v>
      </c>
      <c r="H73" s="44" t="n">
        <v>-4</v>
      </c>
      <c r="I73" s="44" t="n">
        <v>80</v>
      </c>
      <c r="J73" s="44"/>
      <c r="K73" s="44"/>
      <c r="L73" s="44"/>
      <c r="M73" s="45"/>
      <c r="N73" s="44"/>
      <c r="O73" s="44"/>
      <c r="P73" s="44"/>
      <c r="Q73" s="44"/>
      <c r="R73" s="44"/>
      <c r="S73" s="44"/>
      <c r="T73" s="44" t="n">
        <v>221</v>
      </c>
      <c r="U73" s="44"/>
      <c r="V73" s="44"/>
      <c r="W73" s="44"/>
      <c r="X73" s="44" t="n">
        <v>-96</v>
      </c>
    </row>
    <row r="74" ht="36" customHeight="1">
      <c r="A74" s="4" t="str">
        <v>Corporate — 2014 Productivity Plan Costs to Date / Severance and Other Employee Costs</v>
      </c>
      <c r="B74" s="2"/>
      <c r="C74" s="44" t="n">
        <v>17</v>
      </c>
      <c r="D74" s="44" t="n">
        <v>62</v>
      </c>
      <c r="E74" s="44"/>
      <c r="F74" s="44"/>
      <c r="G74" s="44"/>
      <c r="H74" s="44"/>
      <c r="I74" s="44"/>
      <c r="J74" s="44"/>
      <c r="K74" s="44"/>
      <c r="L74" s="44"/>
      <c r="M74" s="45"/>
      <c r="N74" s="44"/>
      <c r="O74" s="44"/>
      <c r="P74" s="44"/>
      <c r="Q74" s="44"/>
      <c r="R74" s="44"/>
      <c r="S74" s="44"/>
      <c r="T74" s="44"/>
      <c r="U74" s="44"/>
      <c r="V74" s="44"/>
      <c r="W74" s="44"/>
      <c r="X74" s="44"/>
    </row>
    <row r="75" ht="36" customHeight="1">
      <c r="A75" s="4" t="str">
        <v>Corporate — 2014 Productivity Plan Costs to Date / Asset Impairments</v>
      </c>
      <c r="B75" s="2"/>
      <c r="C75" s="44" t="n">
        <v>0</v>
      </c>
      <c r="D75" s="44" t="n">
        <v>0</v>
      </c>
      <c r="E75" s="44"/>
      <c r="F75" s="44"/>
      <c r="G75" s="44"/>
      <c r="H75" s="44"/>
      <c r="I75" s="44"/>
      <c r="J75" s="44"/>
      <c r="K75" s="44"/>
      <c r="L75" s="44"/>
      <c r="M75" s="45"/>
      <c r="N75" s="44"/>
      <c r="O75" s="44"/>
      <c r="P75" s="44"/>
      <c r="Q75" s="44"/>
      <c r="R75" s="44"/>
      <c r="S75" s="44"/>
      <c r="T75" s="44"/>
      <c r="U75" s="44"/>
      <c r="V75" s="44"/>
      <c r="W75" s="44"/>
      <c r="X75" s="44"/>
    </row>
    <row r="76" ht="36" customHeight="1">
      <c r="A76" s="4" t="str">
        <v>Corporate — 2014 Productivity Plan Costs to Date / Other Costs</v>
      </c>
      <c r="B76" s="2"/>
      <c r="C76" s="44" t="n">
        <v>48</v>
      </c>
      <c r="D76" s="44" t="n">
        <v>53</v>
      </c>
      <c r="E76" s="44"/>
      <c r="F76" s="44"/>
      <c r="G76" s="44"/>
      <c r="H76" s="44"/>
      <c r="I76" s="44"/>
      <c r="J76" s="44"/>
      <c r="K76" s="44"/>
      <c r="L76" s="44"/>
      <c r="M76" s="45"/>
      <c r="N76" s="44"/>
      <c r="O76" s="44"/>
      <c r="P76" s="44"/>
      <c r="Q76" s="44"/>
      <c r="R76" s="44"/>
      <c r="S76" s="44"/>
      <c r="T76" s="44"/>
      <c r="U76" s="44"/>
      <c r="V76" s="44"/>
      <c r="W76" s="44"/>
      <c r="X76" s="44"/>
    </row>
    <row r="77" ht="22" customHeight="1">
      <c r="A77" s="4" t="str">
        <v>Corporate — 2014 Productivity Plan Costs to Date / Total</v>
      </c>
      <c r="B77" s="2"/>
      <c r="C77" s="44" t="n">
        <v>65</v>
      </c>
      <c r="D77" s="44" t="n">
        <v>115</v>
      </c>
      <c r="E77" s="44"/>
      <c r="F77" s="44"/>
      <c r="G77" s="44"/>
      <c r="H77" s="44"/>
      <c r="I77" s="44"/>
      <c r="J77" s="44"/>
      <c r="K77" s="44"/>
      <c r="L77" s="44"/>
      <c r="M77" s="45"/>
      <c r="N77" s="44"/>
      <c r="O77" s="44"/>
      <c r="P77" s="44"/>
      <c r="Q77" s="44"/>
      <c r="R77" s="44"/>
      <c r="S77" s="44"/>
      <c r="T77" s="44"/>
      <c r="U77" s="44"/>
      <c r="V77" s="44"/>
      <c r="W77" s="44"/>
      <c r="X77" s="44"/>
    </row>
    <row r="78" ht="36" customHeight="1">
      <c r="A78" s="4" t="str">
        <v>Subtotal (unlabeled in filing) — 2014 Productivity Plan Costs to Date / Severance and Other Employee Costs</v>
      </c>
      <c r="B78" s="2"/>
      <c r="C78" s="44" t="n">
        <v>347</v>
      </c>
      <c r="D78" s="44" t="n">
        <v>627</v>
      </c>
      <c r="E78" s="44"/>
      <c r="F78" s="44"/>
      <c r="G78" s="44"/>
      <c r="H78" s="44"/>
      <c r="I78" s="44"/>
      <c r="J78" s="44"/>
      <c r="K78" s="44"/>
      <c r="L78" s="44"/>
      <c r="M78" s="45"/>
      <c r="N78" s="44"/>
      <c r="O78" s="44"/>
      <c r="P78" s="44"/>
      <c r="Q78" s="44"/>
      <c r="R78" s="44"/>
      <c r="S78" s="44"/>
      <c r="T78" s="44"/>
      <c r="U78" s="44"/>
      <c r="V78" s="44"/>
      <c r="W78" s="44"/>
      <c r="X78" s="44"/>
    </row>
    <row r="79" ht="36" customHeight="1">
      <c r="A79" s="4" t="str">
        <v>Subtotal (unlabeled in filing) — 2014 Productivity Plan Costs to Date / Asset Impairments</v>
      </c>
      <c r="B79" s="2"/>
      <c r="C79" s="44" t="n">
        <v>133</v>
      </c>
      <c r="D79" s="44" t="n">
        <v>154</v>
      </c>
      <c r="E79" s="44"/>
      <c r="F79" s="44"/>
      <c r="G79" s="44"/>
      <c r="H79" s="44"/>
      <c r="I79" s="44"/>
      <c r="J79" s="44"/>
      <c r="K79" s="44"/>
      <c r="L79" s="44"/>
      <c r="M79" s="45"/>
      <c r="N79" s="44"/>
      <c r="O79" s="44"/>
      <c r="P79" s="44"/>
      <c r="Q79" s="44"/>
      <c r="R79" s="44"/>
      <c r="S79" s="44"/>
      <c r="T79" s="44"/>
      <c r="U79" s="44"/>
      <c r="V79" s="44"/>
      <c r="W79" s="44"/>
      <c r="X79" s="44"/>
    </row>
    <row r="80" ht="36" customHeight="1">
      <c r="A80" s="4" t="str">
        <v>Subtotal (unlabeled in filing) — 2014 Productivity Plan Costs to Date / Other Costs</v>
      </c>
      <c r="B80" s="2"/>
      <c r="C80" s="44" t="n">
        <v>259</v>
      </c>
      <c r="D80" s="44" t="n">
        <v>253</v>
      </c>
      <c r="E80" s="44"/>
      <c r="F80" s="44"/>
      <c r="G80" s="44"/>
      <c r="H80" s="44"/>
      <c r="I80" s="44"/>
      <c r="J80" s="44"/>
      <c r="K80" s="44"/>
      <c r="L80" s="44"/>
      <c r="M80" s="45"/>
      <c r="N80" s="44"/>
      <c r="O80" s="44"/>
      <c r="P80" s="44"/>
      <c r="Q80" s="44"/>
      <c r="R80" s="44"/>
      <c r="S80" s="44"/>
      <c r="T80" s="44"/>
      <c r="U80" s="44"/>
      <c r="V80" s="44"/>
      <c r="W80" s="44"/>
      <c r="X80" s="44"/>
    </row>
    <row r="81" ht="36" customHeight="1">
      <c r="A81" s="4" t="str">
        <v>Subtotal (unlabeled in filing) — 2014 Productivity Plan Costs to Date / Total</v>
      </c>
      <c r="B81" s="2"/>
      <c r="C81" s="44" t="n">
        <v>739</v>
      </c>
      <c r="D81" s="44" t="n">
        <v>1034</v>
      </c>
      <c r="E81" s="44"/>
      <c r="F81" s="44"/>
      <c r="G81" s="44"/>
      <c r="H81" s="44"/>
      <c r="I81" s="44"/>
      <c r="J81" s="44"/>
      <c r="K81" s="44"/>
      <c r="L81" s="44"/>
      <c r="M81" s="45"/>
      <c r="N81" s="44"/>
      <c r="O81" s="44"/>
      <c r="P81" s="44"/>
      <c r="Q81" s="44"/>
      <c r="R81" s="44"/>
      <c r="S81" s="44"/>
      <c r="T81" s="44"/>
      <c r="U81" s="44"/>
      <c r="V81" s="44"/>
      <c r="W81" s="44"/>
      <c r="X81" s="44"/>
    </row>
    <row r="82" ht="36" customHeight="1">
      <c r="A82" s="4" t="str">
        <v>Ending restructuring liability — Severance and Other Employee Costs</v>
      </c>
      <c r="B82" s="2"/>
      <c r="C82" s="44" t="n">
        <v>88</v>
      </c>
      <c r="D82" s="44" t="n">
        <v>212</v>
      </c>
      <c r="E82" s="44" t="n">
        <v>105</v>
      </c>
      <c r="F82" s="44" t="n">
        <v>128</v>
      </c>
      <c r="G82" s="44" t="n">
        <v>122</v>
      </c>
      <c r="H82" s="44" t="n">
        <v>64</v>
      </c>
      <c r="I82" s="44" t="n">
        <v>188</v>
      </c>
      <c r="J82" s="44" t="n">
        <v>188</v>
      </c>
      <c r="K82" s="44" t="n">
        <v>338</v>
      </c>
      <c r="L82" s="44" t="n">
        <v>308</v>
      </c>
      <c r="M82" s="45"/>
      <c r="N82" s="44" t="n">
        <v>216</v>
      </c>
      <c r="O82" s="44" t="n">
        <v>175</v>
      </c>
      <c r="P82" s="44" t="n">
        <v>273</v>
      </c>
      <c r="Q82" s="44"/>
      <c r="R82" s="44" t="n">
        <v>320</v>
      </c>
      <c r="S82" s="44" t="n">
        <v>300</v>
      </c>
      <c r="T82" s="44" t="n">
        <v>260</v>
      </c>
      <c r="U82" s="44"/>
      <c r="V82" s="44" t="n">
        <v>246</v>
      </c>
      <c r="W82" s="44" t="n">
        <v>186</v>
      </c>
      <c r="X82" s="44" t="n">
        <v>279</v>
      </c>
    </row>
    <row r="83" ht="22" customHeight="1">
      <c r="A83" s="4" t="str">
        <v>Ending restructuring liability — Asset Impairments</v>
      </c>
      <c r="B83" s="2"/>
      <c r="C83" s="44" t="n">
        <v>0</v>
      </c>
      <c r="D83" s="44" t="n">
        <v>0</v>
      </c>
      <c r="E83" s="44" t="n">
        <v>0</v>
      </c>
      <c r="F83" s="44" t="n">
        <v>0</v>
      </c>
      <c r="G83" s="44" t="n">
        <v>0</v>
      </c>
      <c r="H83" s="44" t="n">
        <v>0</v>
      </c>
      <c r="I83" s="44" t="n">
        <v>0</v>
      </c>
      <c r="J83" s="44" t="n">
        <v>0</v>
      </c>
      <c r="K83" s="44" t="n">
        <v>0</v>
      </c>
      <c r="L83" s="44" t="n">
        <v>0</v>
      </c>
      <c r="M83" s="45"/>
      <c r="N83" s="44" t="n">
        <v>0</v>
      </c>
      <c r="O83" s="44" t="n">
        <v>0</v>
      </c>
      <c r="P83" s="44" t="n">
        <v>0</v>
      </c>
      <c r="Q83" s="44"/>
      <c r="R83" s="44" t="n">
        <v>0</v>
      </c>
      <c r="S83" s="44" t="n">
        <v>0</v>
      </c>
      <c r="T83" s="44" t="n">
        <v>0</v>
      </c>
      <c r="U83" s="44"/>
      <c r="V83" s="44" t="n">
        <v>0</v>
      </c>
      <c r="W83" s="44" t="n">
        <v>0</v>
      </c>
      <c r="X83" s="44" t="n">
        <v>0</v>
      </c>
    </row>
    <row r="84" ht="22" customHeight="1">
      <c r="A84" s="4" t="str">
        <v>Ending restructuring liability — Other Costs</v>
      </c>
      <c r="B84" s="2"/>
      <c r="C84" s="44" t="n">
        <v>8</v>
      </c>
      <c r="D84" s="44" t="n">
        <v>14</v>
      </c>
      <c r="E84" s="44" t="n">
        <v>1</v>
      </c>
      <c r="F84" s="44" t="n">
        <v>21</v>
      </c>
      <c r="G84" s="44" t="n">
        <v>5</v>
      </c>
      <c r="H84" s="44" t="n">
        <v>7</v>
      </c>
      <c r="I84" s="44" t="n">
        <v>8</v>
      </c>
      <c r="J84" s="44" t="n">
        <v>9</v>
      </c>
      <c r="K84" s="44" t="n">
        <v>26</v>
      </c>
      <c r="L84" s="44" t="n">
        <v>18</v>
      </c>
      <c r="M84" s="45"/>
      <c r="N84" s="44" t="n">
        <v>10</v>
      </c>
      <c r="O84" s="44" t="n">
        <v>18</v>
      </c>
      <c r="P84" s="44" t="n">
        <v>26</v>
      </c>
      <c r="Q84" s="44"/>
      <c r="R84" s="44" t="n">
        <v>9</v>
      </c>
      <c r="S84" s="44" t="n">
        <v>10</v>
      </c>
      <c r="T84" s="44" t="n">
        <v>6</v>
      </c>
      <c r="U84" s="44"/>
      <c r="V84" s="44" t="n">
        <v>8</v>
      </c>
      <c r="W84" s="44" t="n">
        <v>10</v>
      </c>
      <c r="X84" s="44" t="n">
        <v>8</v>
      </c>
    </row>
    <row r="85" ht="22" customHeight="1">
      <c r="A85" s="4" t="str">
        <v>Ending restructuring liability — Total</v>
      </c>
      <c r="B85" s="2"/>
      <c r="C85" s="44" t="n">
        <v>96</v>
      </c>
      <c r="D85" s="44" t="n">
        <v>226</v>
      </c>
      <c r="E85" s="44" t="n">
        <v>106</v>
      </c>
      <c r="F85" s="44" t="n">
        <v>149</v>
      </c>
      <c r="G85" s="44" t="n">
        <v>127</v>
      </c>
      <c r="H85" s="44" t="n">
        <v>71</v>
      </c>
      <c r="I85" s="44" t="n">
        <v>196</v>
      </c>
      <c r="J85" s="44" t="n">
        <v>197</v>
      </c>
      <c r="K85" s="44" t="n">
        <v>364</v>
      </c>
      <c r="L85" s="44" t="n">
        <v>326</v>
      </c>
      <c r="M85" s="45"/>
      <c r="N85" s="44" t="n">
        <v>226</v>
      </c>
      <c r="O85" s="44" t="n">
        <v>193</v>
      </c>
      <c r="P85" s="44" t="n">
        <v>299</v>
      </c>
      <c r="Q85" s="44"/>
      <c r="R85" s="44" t="n">
        <v>329</v>
      </c>
      <c r="S85" s="44" t="n">
        <v>310</v>
      </c>
      <c r="T85" s="44" t="n">
        <v>266</v>
      </c>
      <c r="U85" s="44"/>
      <c r="V85" s="44" t="n">
        <v>254</v>
      </c>
      <c r="W85" s="44" t="n">
        <v>196</v>
      </c>
      <c r="X85" s="44" t="n">
        <v>287</v>
      </c>
    </row>
    <row r="86" ht="36" customHeight="1">
      <c r="A86" s="4" t="str">
        <v>2014 restructuring charges — Severance and Other Employee Costs</v>
      </c>
      <c r="B86" s="2"/>
      <c r="C86" s="44" t="n">
        <v>88</v>
      </c>
      <c r="D86" s="44" t="n">
        <v>280</v>
      </c>
      <c r="E86" s="44" t="n">
        <v>137</v>
      </c>
      <c r="F86" s="44" t="n">
        <v>149</v>
      </c>
      <c r="G86" s="44" t="n">
        <v>158</v>
      </c>
      <c r="H86" s="44" t="n">
        <v>120</v>
      </c>
      <c r="I86" s="44" t="n">
        <v>243</v>
      </c>
      <c r="J86" s="44" t="n">
        <v>243</v>
      </c>
      <c r="K86" s="44" t="n">
        <v>384</v>
      </c>
      <c r="L86" s="44" t="n">
        <v>355</v>
      </c>
      <c r="M86" s="45"/>
      <c r="N86" s="44"/>
      <c r="O86" s="44"/>
      <c r="P86" s="44"/>
      <c r="Q86" s="44"/>
      <c r="R86" s="44"/>
      <c r="S86" s="44"/>
      <c r="T86" s="44"/>
      <c r="U86" s="44"/>
      <c r="V86" s="44"/>
      <c r="W86" s="44"/>
      <c r="X86" s="44"/>
    </row>
    <row r="87" ht="22" customHeight="1">
      <c r="A87" s="4" t="str">
        <v>2014 restructuring charges — Asset Impairments</v>
      </c>
      <c r="B87" s="2"/>
      <c r="C87" s="44" t="n">
        <v>36</v>
      </c>
      <c r="D87" s="44" t="n">
        <v>21</v>
      </c>
      <c r="E87" s="44" t="n">
        <v>0</v>
      </c>
      <c r="F87" s="44" t="n">
        <v>92</v>
      </c>
      <c r="G87" s="44" t="n">
        <v>33</v>
      </c>
      <c r="H87" s="44" t="n">
        <v>32</v>
      </c>
      <c r="I87" s="44" t="n">
        <v>33</v>
      </c>
      <c r="J87" s="44" t="n">
        <v>2</v>
      </c>
      <c r="K87" s="44" t="n">
        <v>114</v>
      </c>
      <c r="L87" s="44" t="n">
        <v>240</v>
      </c>
      <c r="M87" s="45"/>
      <c r="N87" s="44"/>
      <c r="O87" s="44"/>
      <c r="P87" s="44"/>
      <c r="Q87" s="44"/>
      <c r="R87" s="44"/>
      <c r="S87" s="44"/>
      <c r="T87" s="44"/>
      <c r="U87" s="44"/>
      <c r="V87" s="44"/>
      <c r="W87" s="44"/>
      <c r="X87" s="44"/>
    </row>
    <row r="88" ht="22" customHeight="1">
      <c r="A88" s="4" t="str">
        <v>2014 restructuring charges — Other Costs</v>
      </c>
      <c r="B88" s="2"/>
      <c r="C88" s="44" t="n">
        <v>36</v>
      </c>
      <c r="D88" s="44" t="n">
        <v>-6</v>
      </c>
      <c r="E88" s="44" t="n">
        <v>1</v>
      </c>
      <c r="F88" s="44" t="n">
        <v>129</v>
      </c>
      <c r="G88" s="44" t="n">
        <v>98</v>
      </c>
      <c r="H88" s="44" t="n">
        <v>95</v>
      </c>
      <c r="I88" s="44" t="n">
        <v>135</v>
      </c>
      <c r="J88" s="44" t="n">
        <v>200</v>
      </c>
      <c r="K88" s="44" t="n">
        <v>229</v>
      </c>
      <c r="L88" s="44" t="n">
        <v>388</v>
      </c>
      <c r="M88" s="45"/>
      <c r="N88" s="44"/>
      <c r="O88" s="44"/>
      <c r="P88" s="44"/>
      <c r="Q88" s="44"/>
      <c r="R88" s="44"/>
      <c r="S88" s="44"/>
      <c r="T88" s="44"/>
      <c r="U88" s="44"/>
      <c r="V88" s="44"/>
      <c r="W88" s="44"/>
      <c r="X88" s="44"/>
    </row>
    <row r="89" ht="22" customHeight="1">
      <c r="A89" s="4" t="str">
        <v>2014 restructuring charges — Total</v>
      </c>
      <c r="B89" s="2"/>
      <c r="C89" s="44" t="n">
        <v>160</v>
      </c>
      <c r="D89" s="44" t="n">
        <v>295</v>
      </c>
      <c r="E89" s="44" t="n">
        <v>138</v>
      </c>
      <c r="F89" s="44" t="n">
        <v>370</v>
      </c>
      <c r="G89" s="44" t="n">
        <v>289</v>
      </c>
      <c r="H89" s="44" t="n">
        <v>247</v>
      </c>
      <c r="I89" s="44" t="n">
        <v>411</v>
      </c>
      <c r="J89" s="44" t="n">
        <v>445</v>
      </c>
      <c r="K89" s="44" t="n">
        <v>727</v>
      </c>
      <c r="L89" s="44" t="n">
        <v>983</v>
      </c>
      <c r="M89" s="45"/>
      <c r="N89" s="44"/>
      <c r="O89" s="44"/>
      <c r="P89" s="44"/>
      <c r="Q89" s="44"/>
      <c r="R89" s="44"/>
      <c r="S89" s="44"/>
      <c r="T89" s="44"/>
      <c r="U89" s="44"/>
      <c r="V89" s="44"/>
      <c r="W89" s="44"/>
      <c r="X89" s="44"/>
    </row>
    <row r="90" ht="22" customHeight="1">
      <c r="A90" s="4" t="str">
        <v>Cash payments — Severance and Other Employee Costs</v>
      </c>
      <c r="B90" s="2"/>
      <c r="C90" s="44" t="n">
        <v>-56</v>
      </c>
      <c r="D90" s="44" t="n">
        <v>-91</v>
      </c>
      <c r="E90" s="44" t="n">
        <v>-203</v>
      </c>
      <c r="F90" s="44" t="n">
        <v>-138</v>
      </c>
      <c r="G90" s="44" t="n">
        <v>-138</v>
      </c>
      <c r="H90" s="44" t="n">
        <v>-163</v>
      </c>
      <c r="I90" s="44" t="n">
        <v>-90</v>
      </c>
      <c r="J90" s="44" t="n">
        <v>-242</v>
      </c>
      <c r="K90" s="44" t="n">
        <v>-204</v>
      </c>
      <c r="L90" s="44" t="n">
        <v>-384</v>
      </c>
      <c r="M90" s="45"/>
      <c r="N90" s="44" t="n">
        <v>-39</v>
      </c>
      <c r="O90" s="44"/>
      <c r="P90" s="44"/>
      <c r="Q90" s="44"/>
      <c r="R90" s="44" t="n">
        <v>-62</v>
      </c>
      <c r="S90" s="44"/>
      <c r="T90" s="44"/>
      <c r="U90" s="44"/>
      <c r="V90" s="44" t="n">
        <v>-97</v>
      </c>
      <c r="W90" s="44"/>
      <c r="X90" s="44"/>
    </row>
    <row r="91" ht="22" customHeight="1">
      <c r="A91" s="4" t="str">
        <v>Cash payments — Asset Impairments</v>
      </c>
      <c r="B91" s="2"/>
      <c r="C91" s="44" t="n">
        <v>0</v>
      </c>
      <c r="D91" s="44" t="n">
        <v>0</v>
      </c>
      <c r="E91" s="44" t="n">
        <v>0</v>
      </c>
      <c r="F91" s="44" t="n">
        <v>0</v>
      </c>
      <c r="G91" s="44" t="n">
        <v>0</v>
      </c>
      <c r="H91" s="44" t="n">
        <v>0</v>
      </c>
      <c r="I91" s="44" t="n">
        <v>0</v>
      </c>
      <c r="J91" s="44" t="n">
        <v>0</v>
      </c>
      <c r="K91" s="44" t="n">
        <v>0</v>
      </c>
      <c r="L91" s="44" t="n">
        <v>0</v>
      </c>
      <c r="M91" s="45"/>
      <c r="N91" s="44" t="n">
        <v>0</v>
      </c>
      <c r="O91" s="44"/>
      <c r="P91" s="44"/>
      <c r="Q91" s="44"/>
      <c r="R91" s="44" t="n">
        <v>0</v>
      </c>
      <c r="S91" s="44"/>
      <c r="T91" s="44"/>
      <c r="U91" s="44"/>
      <c r="V91" s="44" t="n">
        <v>0</v>
      </c>
      <c r="W91" s="44"/>
      <c r="X91" s="44"/>
    </row>
    <row r="92" ht="22" customHeight="1">
      <c r="A92" s="4" t="str">
        <v>Cash payments — Other Costs</v>
      </c>
      <c r="B92" s="2"/>
      <c r="C92" s="44" t="n">
        <v>-109</v>
      </c>
      <c r="D92" s="44" t="n">
        <v>-22</v>
      </c>
      <c r="E92" s="44" t="n">
        <v>-52</v>
      </c>
      <c r="F92" s="44" t="n">
        <v>-119</v>
      </c>
      <c r="G92" s="44" t="n">
        <v>-117</v>
      </c>
      <c r="H92" s="44" t="n">
        <v>-93</v>
      </c>
      <c r="I92" s="44" t="n">
        <v>-134</v>
      </c>
      <c r="J92" s="44" t="n">
        <v>-192</v>
      </c>
      <c r="K92" s="44" t="n">
        <v>-232</v>
      </c>
      <c r="L92" s="44" t="n">
        <v>-412</v>
      </c>
      <c r="M92" s="45"/>
      <c r="N92" s="44" t="n">
        <v>-21</v>
      </c>
      <c r="O92" s="44"/>
      <c r="P92" s="44"/>
      <c r="Q92" s="44"/>
      <c r="R92" s="44" t="n">
        <v>-170</v>
      </c>
      <c r="S92" s="44"/>
      <c r="T92" s="44"/>
      <c r="U92" s="44"/>
      <c r="V92" s="44" t="n">
        <v>-48</v>
      </c>
      <c r="W92" s="44"/>
      <c r="X92" s="44"/>
    </row>
    <row r="93" ht="22" customHeight="1">
      <c r="A93" s="4" t="str">
        <v>Cash payments — Total</v>
      </c>
      <c r="B93" s="2"/>
      <c r="C93" s="44" t="n">
        <v>-165</v>
      </c>
      <c r="D93" s="44" t="n">
        <v>-113</v>
      </c>
      <c r="E93" s="44" t="n">
        <v>-255</v>
      </c>
      <c r="F93" s="44" t="n">
        <v>-257</v>
      </c>
      <c r="G93" s="44" t="n">
        <v>-255</v>
      </c>
      <c r="H93" s="44" t="n">
        <v>-256</v>
      </c>
      <c r="I93" s="44" t="n">
        <v>-224</v>
      </c>
      <c r="J93" s="44" t="n">
        <v>-434</v>
      </c>
      <c r="K93" s="44" t="n">
        <v>-436</v>
      </c>
      <c r="L93" s="44" t="n">
        <v>-796</v>
      </c>
      <c r="M93" s="45"/>
      <c r="N93" s="44" t="n">
        <v>-60</v>
      </c>
      <c r="O93" s="44"/>
      <c r="P93" s="44"/>
      <c r="Q93" s="44"/>
      <c r="R93" s="44" t="n">
        <v>-232</v>
      </c>
      <c r="S93" s="44"/>
      <c r="T93" s="44"/>
      <c r="U93" s="44"/>
      <c r="V93" s="44" t="n">
        <v>-145</v>
      </c>
      <c r="W93" s="44"/>
      <c r="X93" s="44"/>
    </row>
    <row r="94" ht="36" customHeight="1">
      <c r="A94" s="4" t="str">
        <v>Non-cash charges and translation — Severance and Other Employee Costs</v>
      </c>
      <c r="B94" s="2"/>
      <c r="C94" s="44" t="n">
        <v>-33</v>
      </c>
      <c r="D94" s="44" t="n">
        <v>-65</v>
      </c>
      <c r="E94" s="44" t="n">
        <v>-32</v>
      </c>
      <c r="F94" s="44" t="n">
        <v>12</v>
      </c>
      <c r="G94" s="44" t="n">
        <v>-26</v>
      </c>
      <c r="H94" s="44" t="n">
        <v>-15</v>
      </c>
      <c r="I94" s="44" t="n">
        <v>-29</v>
      </c>
      <c r="J94" s="44" t="n">
        <v>-1</v>
      </c>
      <c r="K94" s="44" t="n">
        <v>-30</v>
      </c>
      <c r="L94" s="44" t="n">
        <v>-1</v>
      </c>
      <c r="M94" s="45"/>
      <c r="N94" s="44" t="n">
        <v>-5</v>
      </c>
      <c r="O94" s="44"/>
      <c r="P94" s="44"/>
      <c r="Q94" s="44"/>
      <c r="R94" s="44" t="n">
        <v>-14</v>
      </c>
      <c r="S94" s="44"/>
      <c r="T94" s="44"/>
      <c r="U94" s="44"/>
      <c r="V94" s="44" t="n">
        <v>-1</v>
      </c>
      <c r="W94" s="44"/>
      <c r="X94" s="44"/>
    </row>
    <row r="95" ht="22" customHeight="1">
      <c r="A95" s="4" t="str">
        <v>Non-cash charges and translation — Asset Impairments</v>
      </c>
      <c r="B95" s="2"/>
      <c r="C95" s="44" t="n">
        <v>-73</v>
      </c>
      <c r="D95" s="44" t="n">
        <v>-21</v>
      </c>
      <c r="E95" s="44" t="n">
        <v>0</v>
      </c>
      <c r="F95" s="44" t="n">
        <v>-92</v>
      </c>
      <c r="G95" s="44" t="n">
        <v>-33</v>
      </c>
      <c r="H95" s="44" t="n">
        <v>-32</v>
      </c>
      <c r="I95" s="44" t="n">
        <v>-33</v>
      </c>
      <c r="J95" s="44" t="n">
        <v>-2</v>
      </c>
      <c r="K95" s="44" t="n">
        <v>-114</v>
      </c>
      <c r="L95" s="44" t="n">
        <v>-240</v>
      </c>
      <c r="M95" s="45"/>
      <c r="N95" s="44" t="n">
        <v>-1</v>
      </c>
      <c r="O95" s="44"/>
      <c r="P95" s="44"/>
      <c r="Q95" s="44"/>
      <c r="R95" s="44" t="n">
        <v>-2</v>
      </c>
      <c r="S95" s="44"/>
      <c r="T95" s="44"/>
      <c r="U95" s="44"/>
      <c r="V95" s="44" t="n">
        <v>-59</v>
      </c>
      <c r="W95" s="44"/>
      <c r="X95" s="44"/>
    </row>
    <row r="96" ht="22" customHeight="1">
      <c r="A96" s="4" t="str">
        <v>Non-cash charges and translation — Other Costs</v>
      </c>
      <c r="B96" s="2"/>
      <c r="C96" s="44" t="n">
        <v>-4</v>
      </c>
      <c r="D96" s="44" t="n">
        <v>34</v>
      </c>
      <c r="E96" s="44" t="n">
        <v>0</v>
      </c>
      <c r="F96" s="44" t="n">
        <v>10</v>
      </c>
      <c r="G96" s="44" t="n">
        <v>3</v>
      </c>
      <c r="H96" s="44" t="n">
        <v>0</v>
      </c>
      <c r="I96" s="44" t="n">
        <v>0</v>
      </c>
      <c r="J96" s="44" t="n">
        <v>-7</v>
      </c>
      <c r="K96" s="44" t="n">
        <v>20</v>
      </c>
      <c r="L96" s="44" t="n">
        <v>16</v>
      </c>
      <c r="M96" s="45"/>
      <c r="N96" s="44" t="n">
        <v>-1</v>
      </c>
      <c r="O96" s="44"/>
      <c r="P96" s="44"/>
      <c r="Q96" s="44"/>
      <c r="R96" s="44" t="n">
        <v>0</v>
      </c>
      <c r="S96" s="44"/>
      <c r="T96" s="44"/>
      <c r="U96" s="44"/>
      <c r="V96" s="44" t="n">
        <v>0</v>
      </c>
      <c r="W96" s="44"/>
      <c r="X96" s="44"/>
    </row>
    <row r="97" ht="22" customHeight="1">
      <c r="A97" s="4" t="str">
        <v>Non-cash charges and translation — Total</v>
      </c>
      <c r="B97" s="2"/>
      <c r="C97" s="44" t="n">
        <v>-110</v>
      </c>
      <c r="D97" s="44" t="n">
        <v>-52</v>
      </c>
      <c r="E97" s="44" t="n">
        <v>-32</v>
      </c>
      <c r="F97" s="44" t="n">
        <v>-70</v>
      </c>
      <c r="G97" s="44" t="n">
        <v>-56</v>
      </c>
      <c r="H97" s="44" t="n">
        <v>-47</v>
      </c>
      <c r="I97" s="44" t="n">
        <v>-62</v>
      </c>
      <c r="J97" s="44" t="n">
        <v>-10</v>
      </c>
      <c r="K97" s="44" t="n">
        <v>-124</v>
      </c>
      <c r="L97" s="44" t="n">
        <v>-225</v>
      </c>
      <c r="M97" s="45"/>
      <c r="N97" s="44" t="n">
        <v>-7</v>
      </c>
      <c r="O97" s="44"/>
      <c r="P97" s="44"/>
      <c r="Q97" s="44"/>
      <c r="R97" s="44" t="n">
        <v>-16</v>
      </c>
      <c r="S97" s="44"/>
      <c r="T97" s="44"/>
      <c r="U97" s="44"/>
      <c r="V97" s="44" t="n">
        <v>-60</v>
      </c>
      <c r="W97" s="44"/>
      <c r="X97" s="44"/>
    </row>
    <row r="98" ht="36" customHeight="1">
      <c r="A98" s="4" t="str">
        <v>Corporate — 2012 Productivity Plan Costs to Date / Severance and Other Employee Costs</v>
      </c>
      <c r="B98" s="2"/>
      <c r="C98" s="44" t="n">
        <v>35</v>
      </c>
      <c r="D98" s="44" t="n">
        <v>35</v>
      </c>
      <c r="E98" s="44"/>
      <c r="F98" s="44"/>
      <c r="G98" s="44"/>
      <c r="H98" s="44"/>
      <c r="I98" s="44"/>
      <c r="J98" s="44"/>
      <c r="K98" s="44"/>
      <c r="L98" s="44"/>
      <c r="M98" s="45"/>
      <c r="N98" s="44"/>
      <c r="O98" s="44"/>
      <c r="P98" s="44"/>
      <c r="Q98" s="44"/>
      <c r="R98" s="44"/>
      <c r="S98" s="44"/>
      <c r="T98" s="44"/>
      <c r="U98" s="44"/>
      <c r="V98" s="44"/>
      <c r="W98" s="44"/>
      <c r="X98" s="44"/>
    </row>
    <row r="99" ht="36" customHeight="1">
      <c r="A99" s="4" t="str">
        <v>Corporate — 2012 Productivity Plan Costs to Date / Asset Impairments</v>
      </c>
      <c r="B99" s="2"/>
      <c r="C99" s="44" t="n">
        <v>0</v>
      </c>
      <c r="D99" s="44" t="n">
        <v>0</v>
      </c>
      <c r="E99" s="44"/>
      <c r="F99" s="44"/>
      <c r="G99" s="44"/>
      <c r="H99" s="44"/>
      <c r="I99" s="44"/>
      <c r="J99" s="44"/>
      <c r="K99" s="44"/>
      <c r="L99" s="44"/>
      <c r="M99" s="45"/>
      <c r="N99" s="44"/>
      <c r="O99" s="44"/>
      <c r="P99" s="44"/>
      <c r="Q99" s="44"/>
      <c r="R99" s="44"/>
      <c r="S99" s="44"/>
      <c r="T99" s="44"/>
      <c r="U99" s="44"/>
      <c r="V99" s="44"/>
      <c r="W99" s="44"/>
      <c r="X99" s="44"/>
    </row>
    <row r="100" ht="36" customHeight="1">
      <c r="A100" s="4" t="str">
        <v>Corporate — 2012 Productivity Plan Costs to Date / Other Costs</v>
      </c>
      <c r="B100" s="2"/>
      <c r="C100" s="44" t="n">
        <v>59</v>
      </c>
      <c r="D100" s="44" t="n">
        <v>59</v>
      </c>
      <c r="E100" s="44"/>
      <c r="F100" s="44"/>
      <c r="G100" s="44"/>
      <c r="H100" s="44"/>
      <c r="I100" s="44"/>
      <c r="J100" s="44"/>
      <c r="K100" s="44"/>
      <c r="L100" s="44"/>
      <c r="M100" s="45"/>
      <c r="N100" s="44"/>
      <c r="O100" s="44"/>
      <c r="P100" s="44"/>
      <c r="Q100" s="44"/>
      <c r="R100" s="44"/>
      <c r="S100" s="44"/>
      <c r="T100" s="44"/>
      <c r="U100" s="44"/>
      <c r="V100" s="44"/>
      <c r="W100" s="44"/>
      <c r="X100" s="44"/>
    </row>
    <row r="101" ht="22" customHeight="1">
      <c r="A101" s="4" t="str">
        <v>Corporate — 2012 Productivity Plan Costs to Date / Total</v>
      </c>
      <c r="B101" s="2"/>
      <c r="C101" s="44" t="n">
        <v>94</v>
      </c>
      <c r="D101" s="44" t="n">
        <v>94</v>
      </c>
      <c r="E101" s="44"/>
      <c r="F101" s="44"/>
      <c r="G101" s="44"/>
      <c r="H101" s="44"/>
      <c r="I101" s="44"/>
      <c r="J101" s="44"/>
      <c r="K101" s="44"/>
      <c r="L101" s="44"/>
      <c r="M101" s="45"/>
      <c r="N101" s="44"/>
      <c r="O101" s="44"/>
      <c r="P101" s="44"/>
      <c r="Q101" s="44"/>
      <c r="R101" s="44"/>
      <c r="S101" s="44"/>
      <c r="T101" s="44"/>
      <c r="U101" s="44"/>
      <c r="V101" s="44"/>
      <c r="W101" s="44"/>
      <c r="X101" s="44"/>
    </row>
    <row r="102" ht="36" customHeight="1">
      <c r="A102" s="4" t="str">
        <v>Subtotal (unlabeled in filing) — 2012 Productivity Plan Costs to Date / Severance and Other Employee Costs</v>
      </c>
      <c r="B102" s="2"/>
      <c r="C102" s="44" t="n">
        <v>560</v>
      </c>
      <c r="D102" s="44" t="n">
        <v>560</v>
      </c>
      <c r="E102" s="44"/>
      <c r="F102" s="44"/>
      <c r="G102" s="44"/>
      <c r="H102" s="44"/>
      <c r="I102" s="44"/>
      <c r="J102" s="44"/>
      <c r="K102" s="44"/>
      <c r="L102" s="44"/>
      <c r="M102" s="45"/>
      <c r="N102" s="44"/>
      <c r="O102" s="44"/>
      <c r="P102" s="44"/>
      <c r="Q102" s="44"/>
      <c r="R102" s="44"/>
      <c r="S102" s="44"/>
      <c r="T102" s="44"/>
      <c r="U102" s="44"/>
      <c r="V102" s="44"/>
      <c r="W102" s="44"/>
      <c r="X102" s="44"/>
    </row>
    <row r="103" ht="36" customHeight="1">
      <c r="A103" s="4" t="str">
        <v>Subtotal (unlabeled in filing) — 2012 Productivity Plan Costs to Date / Asset Impairments</v>
      </c>
      <c r="B103" s="2"/>
      <c r="C103" s="44" t="n">
        <v>91</v>
      </c>
      <c r="D103" s="44" t="n">
        <v>91</v>
      </c>
      <c r="E103" s="44"/>
      <c r="F103" s="44"/>
      <c r="G103" s="44"/>
      <c r="H103" s="44"/>
      <c r="I103" s="44"/>
      <c r="J103" s="44"/>
      <c r="K103" s="44"/>
      <c r="L103" s="44"/>
      <c r="M103" s="45"/>
      <c r="N103" s="44"/>
      <c r="O103" s="44"/>
      <c r="P103" s="44"/>
      <c r="Q103" s="44"/>
      <c r="R103" s="44"/>
      <c r="S103" s="44"/>
      <c r="T103" s="44"/>
      <c r="U103" s="44"/>
      <c r="V103" s="44"/>
      <c r="W103" s="44"/>
      <c r="X103" s="44"/>
    </row>
    <row r="104" ht="36" customHeight="1">
      <c r="A104" s="4" t="str">
        <v>Subtotal (unlabeled in filing) — 2012 Productivity Plan Costs to Date / Other Costs</v>
      </c>
      <c r="B104" s="2"/>
      <c r="C104" s="44" t="n">
        <v>243</v>
      </c>
      <c r="D104" s="44" t="n">
        <v>243</v>
      </c>
      <c r="E104" s="44"/>
      <c r="F104" s="44"/>
      <c r="G104" s="44"/>
      <c r="H104" s="44"/>
      <c r="I104" s="44"/>
      <c r="J104" s="44"/>
      <c r="K104" s="44"/>
      <c r="L104" s="44"/>
      <c r="M104" s="45"/>
      <c r="N104" s="44"/>
      <c r="O104" s="44"/>
      <c r="P104" s="44"/>
      <c r="Q104" s="44"/>
      <c r="R104" s="44"/>
      <c r="S104" s="44"/>
      <c r="T104" s="44"/>
      <c r="U104" s="44"/>
      <c r="V104" s="44"/>
      <c r="W104" s="44"/>
      <c r="X104" s="44"/>
    </row>
    <row r="105" ht="36" customHeight="1">
      <c r="A105" s="4" t="str">
        <v>Subtotal (unlabeled in filing) — 2012 Productivity Plan Costs to Date / Total</v>
      </c>
      <c r="B105" s="2"/>
      <c r="C105" s="44" t="n">
        <v>894</v>
      </c>
      <c r="D105" s="44" t="n">
        <v>894</v>
      </c>
      <c r="E105" s="44"/>
      <c r="F105" s="44"/>
      <c r="G105" s="44"/>
      <c r="H105" s="44"/>
      <c r="I105" s="44"/>
      <c r="J105" s="44"/>
      <c r="K105" s="44"/>
      <c r="L105" s="44"/>
      <c r="M105" s="45"/>
      <c r="N105" s="44"/>
      <c r="O105" s="44"/>
      <c r="P105" s="44"/>
      <c r="Q105" s="44"/>
      <c r="R105" s="44"/>
      <c r="S105" s="44"/>
      <c r="T105" s="44"/>
      <c r="U105" s="44"/>
      <c r="V105" s="44"/>
      <c r="W105" s="44"/>
      <c r="X105" s="44"/>
    </row>
    <row r="106" ht="22" customHeight="1">
      <c r="A106" s="4" t="str">
        <v>Costs of sales</v>
      </c>
      <c r="B106" s="2"/>
      <c r="C106" s="44"/>
      <c r="D106" s="44"/>
      <c r="E106" s="44" t="n">
        <v>3</v>
      </c>
      <c r="F106" s="44"/>
      <c r="G106" s="44"/>
      <c r="H106" s="44"/>
      <c r="I106" s="44"/>
      <c r="J106" s="44"/>
      <c r="K106" s="44"/>
      <c r="L106" s="44"/>
      <c r="M106" s="45"/>
      <c r="N106" s="44"/>
      <c r="O106" s="44"/>
      <c r="P106" s="44"/>
      <c r="Q106" s="44"/>
      <c r="R106" s="44"/>
      <c r="S106" s="44"/>
      <c r="T106" s="44"/>
      <c r="U106" s="44"/>
      <c r="V106" s="44"/>
      <c r="W106" s="44"/>
      <c r="X106" s="44"/>
    </row>
    <row r="107" ht="22" customHeight="1">
      <c r="A107" s="4" t="str">
        <v>Plan to Date — Severance and Other Employee Costs</v>
      </c>
      <c r="B107" s="2"/>
      <c r="C107" s="44"/>
      <c r="D107" s="44"/>
      <c r="E107" s="44" t="n">
        <v>713</v>
      </c>
      <c r="F107" s="44"/>
      <c r="G107" s="44"/>
      <c r="H107" s="44"/>
      <c r="I107" s="44"/>
      <c r="J107" s="44"/>
      <c r="K107" s="44"/>
      <c r="L107" s="44"/>
      <c r="M107" s="45"/>
      <c r="N107" s="44"/>
      <c r="O107" s="44"/>
      <c r="P107" s="44"/>
      <c r="Q107" s="44"/>
      <c r="R107" s="44"/>
      <c r="S107" s="44"/>
      <c r="T107" s="44"/>
      <c r="U107" s="44"/>
      <c r="V107" s="44"/>
      <c r="W107" s="44"/>
      <c r="X107" s="44"/>
    </row>
    <row r="108" ht="22" customHeight="1">
      <c r="A108" s="4" t="str">
        <v>Plan to Date — Other Costs</v>
      </c>
      <c r="B108" s="2"/>
      <c r="C108" s="44"/>
      <c r="D108" s="44"/>
      <c r="E108" s="44" t="n">
        <v>309</v>
      </c>
      <c r="F108" s="44"/>
      <c r="G108" s="44"/>
      <c r="H108" s="44"/>
      <c r="I108" s="44"/>
      <c r="J108" s="44"/>
      <c r="K108" s="44"/>
      <c r="L108" s="44"/>
      <c r="M108" s="45"/>
      <c r="N108" s="44"/>
      <c r="O108" s="44"/>
      <c r="P108" s="44"/>
      <c r="Q108" s="44"/>
      <c r="R108" s="44"/>
      <c r="S108" s="44"/>
      <c r="T108" s="44"/>
      <c r="U108" s="44"/>
      <c r="V108" s="44"/>
      <c r="W108" s="44"/>
      <c r="X108" s="44"/>
    </row>
    <row r="109" ht="22" customHeight="1">
      <c r="A109" s="4" t="str">
        <v>Plan to Date — Total</v>
      </c>
      <c r="B109" s="2"/>
      <c r="C109" s="44"/>
      <c r="D109" s="44"/>
      <c r="E109" s="44" t="n">
        <v>1204</v>
      </c>
      <c r="F109" s="44"/>
      <c r="G109" s="44"/>
      <c r="H109" s="44"/>
      <c r="I109" s="44"/>
      <c r="J109" s="44"/>
      <c r="K109" s="44"/>
      <c r="L109" s="44"/>
      <c r="M109" s="45"/>
      <c r="N109" s="44"/>
      <c r="O109" s="44"/>
      <c r="P109" s="44"/>
      <c r="Q109" s="44"/>
      <c r="R109" s="44"/>
      <c r="S109" s="44"/>
      <c r="T109" s="44"/>
      <c r="U109" s="44"/>
      <c r="V109" s="44"/>
      <c r="W109" s="44"/>
      <c r="X109" s="44"/>
    </row>
    <row r="110" ht="22" customHeight="1">
      <c r="A110" s="4" t="str">
        <v>Cost of sales — Cost Of Sales / A2019Productivity Plan</v>
      </c>
      <c r="B110" s="2"/>
      <c r="C110" s="44"/>
      <c r="D110" s="44"/>
      <c r="E110" s="44" t="n">
        <v>3</v>
      </c>
      <c r="F110" s="44" t="n">
        <v>115</v>
      </c>
      <c r="G110" s="44" t="n">
        <v>30</v>
      </c>
      <c r="H110" s="44" t="n">
        <v>29</v>
      </c>
      <c r="I110" s="44" t="n">
        <v>33</v>
      </c>
      <c r="J110" s="44" t="n">
        <v>13</v>
      </c>
      <c r="K110" s="44" t="n">
        <v>133</v>
      </c>
      <c r="L110" s="44" t="n">
        <v>236</v>
      </c>
      <c r="M110" s="45"/>
      <c r="N110" s="44" t="n">
        <v>6</v>
      </c>
      <c r="O110" s="44" t="n">
        <v>0</v>
      </c>
      <c r="P110" s="44" t="n">
        <v>10</v>
      </c>
      <c r="Q110" s="44"/>
      <c r="R110" s="44" t="n">
        <v>1</v>
      </c>
      <c r="S110" s="44" t="n">
        <v>102</v>
      </c>
      <c r="T110" s="44" t="n">
        <v>16</v>
      </c>
      <c r="U110" s="44"/>
      <c r="V110" s="44"/>
      <c r="W110" s="44"/>
      <c r="X110" s="44"/>
    </row>
    <row r="111" ht="36" customHeight="1">
      <c r="A111" s="51" t="str">
        <v>Total restructuring and impairment charges — A2019Productivity Plan</v>
      </c>
      <c r="B111" s="52"/>
      <c r="C111" s="53"/>
      <c r="D111" s="53"/>
      <c r="E111" s="53" t="n">
        <v>138</v>
      </c>
      <c r="F111" s="53" t="n">
        <v>370</v>
      </c>
      <c r="G111" s="53" t="n">
        <v>289</v>
      </c>
      <c r="H111" s="53" t="n">
        <v>247</v>
      </c>
      <c r="I111" s="53" t="n">
        <v>411</v>
      </c>
      <c r="J111" s="53" t="n">
        <v>445</v>
      </c>
      <c r="K111" s="53" t="n">
        <v>727</v>
      </c>
      <c r="L111" s="53" t="n">
        <v>983</v>
      </c>
      <c r="M111" s="55"/>
      <c r="N111" s="53" t="n">
        <v>96</v>
      </c>
      <c r="O111" s="53" t="n">
        <v>74</v>
      </c>
      <c r="P111" s="53" t="n">
        <v>245</v>
      </c>
      <c r="Q111" s="53"/>
      <c r="R111" s="53" t="n">
        <v>213</v>
      </c>
      <c r="S111" s="53" t="n">
        <v>213</v>
      </c>
      <c r="T111" s="53" t="n">
        <v>141</v>
      </c>
      <c r="U111" s="53"/>
      <c r="V111" s="53" t="n">
        <v>133</v>
      </c>
      <c r="W111" s="53" t="n">
        <v>49</v>
      </c>
      <c r="X111" s="53" t="n">
        <v>185</v>
      </c>
    </row>
    <row r="112" ht="36" customHeight="1">
      <c r="A112" s="4" t="str">
        <v>Severance and other employee costs — Plan to Datethrough 12/28/2019</v>
      </c>
      <c r="B112" s="2"/>
      <c r="C112" s="44"/>
      <c r="D112" s="44"/>
      <c r="E112" s="44"/>
      <c r="F112" s="44" t="n">
        <v>286</v>
      </c>
      <c r="G112" s="44"/>
      <c r="H112" s="44"/>
      <c r="I112" s="44"/>
      <c r="J112" s="44"/>
      <c r="K112" s="44"/>
      <c r="L112" s="44"/>
      <c r="M112" s="45"/>
      <c r="N112" s="44"/>
      <c r="O112" s="44"/>
      <c r="P112" s="44"/>
      <c r="Q112" s="44"/>
      <c r="R112" s="44"/>
      <c r="S112" s="44"/>
      <c r="T112" s="44"/>
      <c r="U112" s="44"/>
      <c r="V112" s="44"/>
      <c r="W112" s="44"/>
      <c r="X112" s="44"/>
    </row>
    <row r="113" ht="22" customHeight="1">
      <c r="A113" s="4" t="str">
        <v>Other costs — Plan to Datethrough 12/28/2019</v>
      </c>
      <c r="B113" s="2"/>
      <c r="C113" s="44"/>
      <c r="D113" s="44"/>
      <c r="E113" s="44"/>
      <c r="F113" s="44" t="n">
        <v>130</v>
      </c>
      <c r="G113" s="44"/>
      <c r="H113" s="44"/>
      <c r="I113" s="44"/>
      <c r="J113" s="44"/>
      <c r="K113" s="44"/>
      <c r="L113" s="44"/>
      <c r="M113" s="45"/>
      <c r="N113" s="44"/>
      <c r="O113" s="44"/>
      <c r="P113" s="44"/>
      <c r="Q113" s="44"/>
      <c r="R113" s="44"/>
      <c r="S113" s="44"/>
      <c r="T113" s="44"/>
      <c r="U113" s="44"/>
      <c r="V113" s="44"/>
      <c r="W113" s="44"/>
      <c r="X113" s="44"/>
    </row>
    <row r="114" ht="24" customHeight="1">
      <c r="A114" s="51" t="str">
        <v>Total — Plan to Datethrough 12/28/2019</v>
      </c>
      <c r="B114" s="52"/>
      <c r="C114" s="53"/>
      <c r="D114" s="53"/>
      <c r="E114" s="53"/>
      <c r="F114" s="53" t="n">
        <v>508</v>
      </c>
      <c r="G114" s="53"/>
      <c r="H114" s="53"/>
      <c r="I114" s="53"/>
      <c r="J114" s="53"/>
      <c r="K114" s="53"/>
      <c r="L114" s="53"/>
      <c r="M114" s="55"/>
      <c r="N114" s="53"/>
      <c r="O114" s="53"/>
      <c r="P114" s="53"/>
      <c r="Q114" s="53"/>
      <c r="R114" s="53"/>
      <c r="S114" s="53"/>
      <c r="T114" s="53"/>
      <c r="U114" s="53"/>
      <c r="V114" s="53"/>
      <c r="W114" s="53"/>
      <c r="X114" s="53"/>
    </row>
    <row r="115" ht="36" customHeight="1">
      <c r="A115" s="51" t="str">
        <v>Total restructuring and impairment charges — A2014Productivity Plan</v>
      </c>
      <c r="B115" s="52"/>
      <c r="C115" s="53"/>
      <c r="D115" s="53" t="n">
        <v>295</v>
      </c>
      <c r="E115" s="53" t="n">
        <v>170</v>
      </c>
      <c r="F115" s="53"/>
      <c r="G115" s="53"/>
      <c r="H115" s="53"/>
      <c r="I115" s="53"/>
      <c r="J115" s="53"/>
      <c r="K115" s="53"/>
      <c r="L115" s="53"/>
      <c r="M115" s="55"/>
      <c r="N115" s="53"/>
      <c r="O115" s="53"/>
      <c r="P115" s="53"/>
      <c r="Q115" s="53"/>
      <c r="R115" s="53"/>
      <c r="S115" s="53"/>
      <c r="T115" s="53"/>
      <c r="U115" s="53"/>
      <c r="V115" s="53"/>
      <c r="W115" s="53"/>
      <c r="X115" s="53"/>
    </row>
    <row r="116" ht="36" customHeight="1">
      <c r="A116" s="4" t="str">
        <v>Severance and other employee costs — Plan to Datethrough 12/26/2020</v>
      </c>
      <c r="B116" s="2"/>
      <c r="C116" s="44"/>
      <c r="D116" s="44"/>
      <c r="E116" s="44"/>
      <c r="F116" s="44"/>
      <c r="G116" s="44" t="n">
        <v>444</v>
      </c>
      <c r="H116" s="44"/>
      <c r="I116" s="44"/>
      <c r="J116" s="44"/>
      <c r="K116" s="44"/>
      <c r="L116" s="44"/>
      <c r="M116" s="45"/>
      <c r="N116" s="44"/>
      <c r="O116" s="44"/>
      <c r="P116" s="44"/>
      <c r="Q116" s="44"/>
      <c r="R116" s="44"/>
      <c r="S116" s="44"/>
      <c r="T116" s="44"/>
      <c r="U116" s="44"/>
      <c r="V116" s="44"/>
      <c r="W116" s="44"/>
      <c r="X116" s="44"/>
    </row>
    <row r="117" ht="22" customHeight="1">
      <c r="A117" s="4" t="str">
        <v>Other costs — Plan to Datethrough 12/26/2020</v>
      </c>
      <c r="B117" s="2"/>
      <c r="C117" s="44"/>
      <c r="D117" s="44"/>
      <c r="E117" s="44"/>
      <c r="F117" s="44"/>
      <c r="G117" s="44" t="n">
        <v>228</v>
      </c>
      <c r="H117" s="44"/>
      <c r="I117" s="44"/>
      <c r="J117" s="44"/>
      <c r="K117" s="44"/>
      <c r="L117" s="44"/>
      <c r="M117" s="45"/>
      <c r="N117" s="44"/>
      <c r="O117" s="44"/>
      <c r="P117" s="44"/>
      <c r="Q117" s="44"/>
      <c r="R117" s="44"/>
      <c r="S117" s="44"/>
      <c r="T117" s="44"/>
      <c r="U117" s="44"/>
      <c r="V117" s="44"/>
      <c r="W117" s="44"/>
      <c r="X117" s="44"/>
    </row>
    <row r="118" ht="24" customHeight="1">
      <c r="A118" s="51" t="str">
        <v>Total — Plan to Datethrough 12/26/2020</v>
      </c>
      <c r="B118" s="52"/>
      <c r="C118" s="53"/>
      <c r="D118" s="53"/>
      <c r="E118" s="53"/>
      <c r="F118" s="53"/>
      <c r="G118" s="53" t="n">
        <v>797</v>
      </c>
      <c r="H118" s="53"/>
      <c r="I118" s="53"/>
      <c r="J118" s="53"/>
      <c r="K118" s="53"/>
      <c r="L118" s="53"/>
      <c r="M118" s="55"/>
      <c r="N118" s="53"/>
      <c r="O118" s="53"/>
      <c r="P118" s="53"/>
      <c r="Q118" s="53"/>
      <c r="R118" s="53"/>
      <c r="S118" s="53"/>
      <c r="T118" s="53"/>
      <c r="U118" s="53"/>
      <c r="V118" s="53"/>
      <c r="W118" s="53"/>
      <c r="X118" s="53"/>
    </row>
    <row r="119" ht="22" customHeight="1">
      <c r="A119" s="4" t="str">
        <v>Cost of sales — A2019Productivity Plan / Cost Of Sales</v>
      </c>
      <c r="B119" s="2"/>
      <c r="C119" s="44"/>
      <c r="D119" s="44"/>
      <c r="E119" s="44"/>
      <c r="F119" s="44" t="n">
        <v>115</v>
      </c>
      <c r="G119" s="44" t="n">
        <v>30</v>
      </c>
      <c r="H119" s="44" t="n">
        <v>29</v>
      </c>
      <c r="I119" s="44"/>
      <c r="J119" s="44"/>
      <c r="K119" s="44"/>
      <c r="L119" s="44"/>
      <c r="M119" s="45"/>
      <c r="N119" s="44"/>
      <c r="O119" s="44" t="n">
        <v>0</v>
      </c>
      <c r="P119" s="44"/>
      <c r="Q119" s="44"/>
      <c r="R119" s="44"/>
      <c r="S119" s="44"/>
      <c r="T119" s="44"/>
      <c r="U119" s="44"/>
      <c r="V119" s="44"/>
      <c r="W119" s="44"/>
      <c r="X119" s="44"/>
    </row>
    <row r="120" ht="36" customHeight="1">
      <c r="A120" s="4" t="str">
        <v>Severance and other employee costs — Plan to Datethrough 12/25/2021</v>
      </c>
      <c r="B120" s="2"/>
      <c r="C120" s="44"/>
      <c r="D120" s="44"/>
      <c r="E120" s="44"/>
      <c r="F120" s="44"/>
      <c r="G120" s="44"/>
      <c r="H120" s="44" t="n">
        <v>564</v>
      </c>
      <c r="I120" s="44"/>
      <c r="J120" s="44"/>
      <c r="K120" s="44"/>
      <c r="L120" s="44"/>
      <c r="M120" s="45"/>
      <c r="N120" s="44"/>
      <c r="O120" s="44"/>
      <c r="P120" s="44"/>
      <c r="Q120" s="44"/>
      <c r="R120" s="44"/>
      <c r="S120" s="44"/>
      <c r="T120" s="44"/>
      <c r="U120" s="44"/>
      <c r="V120" s="44"/>
      <c r="W120" s="44"/>
      <c r="X120" s="44"/>
    </row>
    <row r="121" ht="22" customHeight="1">
      <c r="A121" s="4" t="str">
        <v>Other costs — Plan to Datethrough 12/25/2021</v>
      </c>
      <c r="B121" s="2"/>
      <c r="C121" s="44"/>
      <c r="D121" s="44"/>
      <c r="E121" s="44"/>
      <c r="F121" s="44"/>
      <c r="G121" s="44"/>
      <c r="H121" s="44" t="n">
        <v>323</v>
      </c>
      <c r="I121" s="44"/>
      <c r="J121" s="44"/>
      <c r="K121" s="44"/>
      <c r="L121" s="44"/>
      <c r="M121" s="45"/>
      <c r="N121" s="44"/>
      <c r="O121" s="44"/>
      <c r="P121" s="44"/>
      <c r="Q121" s="44"/>
      <c r="R121" s="44"/>
      <c r="S121" s="44"/>
      <c r="T121" s="44"/>
      <c r="U121" s="44"/>
      <c r="V121" s="44"/>
      <c r="W121" s="44"/>
      <c r="X121" s="44"/>
    </row>
    <row r="122" ht="24" customHeight="1">
      <c r="A122" s="51" t="str">
        <v>Total — Plan to Datethrough 12/25/2021</v>
      </c>
      <c r="B122" s="52"/>
      <c r="C122" s="53"/>
      <c r="D122" s="53"/>
      <c r="E122" s="53"/>
      <c r="F122" s="53"/>
      <c r="G122" s="53"/>
      <c r="H122" s="53" t="n">
        <v>1044</v>
      </c>
      <c r="I122" s="53"/>
      <c r="J122" s="53"/>
      <c r="K122" s="53"/>
      <c r="L122" s="53"/>
      <c r="M122" s="55"/>
      <c r="N122" s="53"/>
      <c r="O122" s="53"/>
      <c r="P122" s="53"/>
      <c r="Q122" s="53"/>
      <c r="R122" s="53"/>
      <c r="S122" s="53"/>
      <c r="T122" s="53"/>
      <c r="U122" s="53"/>
      <c r="V122" s="53"/>
      <c r="W122" s="53"/>
      <c r="X122" s="53"/>
    </row>
    <row r="123" ht="22" customHeight="1">
      <c r="A123" s="4" t="str">
        <v>Cost of sales</v>
      </c>
      <c r="B123" s="2"/>
      <c r="C123" s="44"/>
      <c r="D123" s="44"/>
      <c r="E123" s="44"/>
      <c r="F123" s="44" t="n">
        <v>34</v>
      </c>
      <c r="G123" s="44" t="n">
        <v>32</v>
      </c>
      <c r="H123" s="44" t="n">
        <v>1</v>
      </c>
      <c r="I123" s="44" t="n">
        <v>0</v>
      </c>
      <c r="J123" s="44" t="n">
        <v>0</v>
      </c>
      <c r="K123" s="44" t="n">
        <v>0</v>
      </c>
      <c r="L123" s="44" t="n">
        <v>57</v>
      </c>
      <c r="M123" s="45"/>
      <c r="N123" s="44"/>
      <c r="O123" s="44"/>
      <c r="P123" s="44" t="n">
        <v>0</v>
      </c>
      <c r="Q123" s="44"/>
      <c r="R123" s="44"/>
      <c r="S123" s="44"/>
      <c r="T123" s="44" t="n">
        <v>46</v>
      </c>
      <c r="U123" s="44"/>
      <c r="V123" s="44"/>
      <c r="W123" s="44"/>
      <c r="X123" s="44"/>
    </row>
    <row r="124" ht="36" customHeight="1">
      <c r="A124" s="4" t="str">
        <v>Severance and other employee costs — Plan to Datethrough 12/31/2022</v>
      </c>
      <c r="B124" s="2"/>
      <c r="C124" s="44"/>
      <c r="D124" s="44"/>
      <c r="E124" s="44"/>
      <c r="F124" s="44"/>
      <c r="G124" s="44"/>
      <c r="H124" s="44"/>
      <c r="I124" s="44" t="n">
        <v>807</v>
      </c>
      <c r="J124" s="44"/>
      <c r="K124" s="44"/>
      <c r="L124" s="44"/>
      <c r="M124" s="45"/>
      <c r="N124" s="44"/>
      <c r="O124" s="44"/>
      <c r="P124" s="44"/>
      <c r="Q124" s="44"/>
      <c r="R124" s="44"/>
      <c r="S124" s="44"/>
      <c r="T124" s="44"/>
      <c r="U124" s="44"/>
      <c r="V124" s="44"/>
      <c r="W124" s="44"/>
      <c r="X124" s="44"/>
    </row>
    <row r="125" ht="22" customHeight="1">
      <c r="A125" s="4" t="str">
        <v>Other costs — Plan to Datethrough 12/31/2022</v>
      </c>
      <c r="B125" s="2"/>
      <c r="C125" s="44"/>
      <c r="D125" s="44"/>
      <c r="E125" s="44"/>
      <c r="F125" s="44"/>
      <c r="G125" s="44"/>
      <c r="H125" s="44"/>
      <c r="I125" s="44" t="n">
        <v>458</v>
      </c>
      <c r="J125" s="44"/>
      <c r="K125" s="44"/>
      <c r="L125" s="44"/>
      <c r="M125" s="45"/>
      <c r="N125" s="44"/>
      <c r="O125" s="44"/>
      <c r="P125" s="44"/>
      <c r="Q125" s="44"/>
      <c r="R125" s="44"/>
      <c r="S125" s="44"/>
      <c r="T125" s="44"/>
      <c r="U125" s="44"/>
      <c r="V125" s="44"/>
      <c r="W125" s="44"/>
      <c r="X125" s="44"/>
    </row>
    <row r="126" ht="24" customHeight="1">
      <c r="A126" s="51" t="str">
        <v>Total — Plan to Datethrough 12/31/2022</v>
      </c>
      <c r="B126" s="52"/>
      <c r="C126" s="53"/>
      <c r="D126" s="53"/>
      <c r="E126" s="53"/>
      <c r="F126" s="53"/>
      <c r="G126" s="53"/>
      <c r="H126" s="53"/>
      <c r="I126" s="53" t="n">
        <v>1455</v>
      </c>
      <c r="J126" s="53"/>
      <c r="K126" s="53"/>
      <c r="L126" s="53"/>
      <c r="M126" s="55"/>
      <c r="N126" s="53"/>
      <c r="O126" s="53"/>
      <c r="P126" s="53"/>
      <c r="Q126" s="53"/>
      <c r="R126" s="53"/>
      <c r="S126" s="53"/>
      <c r="T126" s="53"/>
      <c r="U126" s="53"/>
      <c r="V126" s="53"/>
      <c r="W126" s="53"/>
      <c r="X126" s="53"/>
    </row>
    <row r="127" ht="36" customHeight="1">
      <c r="A127" s="4" t="str">
        <v>Severance and other employee costs — Plan to Datethrough 12/30/2023</v>
      </c>
      <c r="B127" s="2"/>
      <c r="C127" s="44"/>
      <c r="D127" s="44"/>
      <c r="E127" s="44"/>
      <c r="F127" s="44"/>
      <c r="G127" s="44"/>
      <c r="H127" s="44"/>
      <c r="I127" s="44"/>
      <c r="J127" s="44" t="n">
        <v>1050</v>
      </c>
      <c r="K127" s="44"/>
      <c r="L127" s="44"/>
      <c r="M127" s="45"/>
      <c r="N127" s="44"/>
      <c r="O127" s="44"/>
      <c r="P127" s="44"/>
      <c r="Q127" s="44"/>
      <c r="R127" s="44"/>
      <c r="S127" s="44"/>
      <c r="T127" s="44"/>
      <c r="U127" s="44"/>
      <c r="V127" s="44"/>
      <c r="W127" s="44"/>
      <c r="X127" s="44"/>
    </row>
    <row r="128" ht="22" customHeight="1">
      <c r="A128" s="4" t="str">
        <v>Other costs — Plan to Datethrough 12/30/2023</v>
      </c>
      <c r="B128" s="2"/>
      <c r="C128" s="44"/>
      <c r="D128" s="44"/>
      <c r="E128" s="44"/>
      <c r="F128" s="44"/>
      <c r="G128" s="44"/>
      <c r="H128" s="44"/>
      <c r="I128" s="44"/>
      <c r="J128" s="44" t="n">
        <v>658</v>
      </c>
      <c r="K128" s="44"/>
      <c r="L128" s="44"/>
      <c r="M128" s="45"/>
      <c r="N128" s="44"/>
      <c r="O128" s="44"/>
      <c r="P128" s="44"/>
      <c r="Q128" s="44"/>
      <c r="R128" s="44"/>
      <c r="S128" s="44"/>
      <c r="T128" s="44"/>
      <c r="U128" s="44"/>
      <c r="V128" s="44"/>
      <c r="W128" s="44"/>
      <c r="X128" s="44"/>
    </row>
    <row r="129" ht="24" customHeight="1">
      <c r="A129" s="51" t="str">
        <v>Total — Plan to Datethrough 12/30/2023</v>
      </c>
      <c r="B129" s="52"/>
      <c r="C129" s="53"/>
      <c r="D129" s="53"/>
      <c r="E129" s="53"/>
      <c r="F129" s="53"/>
      <c r="G129" s="53"/>
      <c r="H129" s="53"/>
      <c r="I129" s="53"/>
      <c r="J129" s="53" t="n">
        <v>1900</v>
      </c>
      <c r="K129" s="53"/>
      <c r="L129" s="53"/>
      <c r="M129" s="55"/>
      <c r="N129" s="53"/>
      <c r="O129" s="53"/>
      <c r="P129" s="53"/>
      <c r="Q129" s="53"/>
      <c r="R129" s="53"/>
      <c r="S129" s="53"/>
      <c r="T129" s="53"/>
      <c r="U129" s="53"/>
      <c r="V129" s="53"/>
      <c r="W129" s="53"/>
      <c r="X129" s="53"/>
    </row>
    <row r="130" ht="36" customHeight="1">
      <c r="A130" s="4" t="str">
        <v>Severance and other employee costs — Employee Severance / A2019Productivity Plan</v>
      </c>
      <c r="B130" s="2"/>
      <c r="C130" s="44"/>
      <c r="D130" s="44"/>
      <c r="E130" s="44"/>
      <c r="F130" s="44"/>
      <c r="G130" s="44"/>
      <c r="H130" s="44"/>
      <c r="I130" s="44"/>
      <c r="J130" s="44"/>
      <c r="K130" s="44"/>
      <c r="L130" s="44"/>
      <c r="M130" s="45"/>
      <c r="N130" s="44" t="n">
        <v>72</v>
      </c>
      <c r="O130" s="44" t="n">
        <v>10</v>
      </c>
      <c r="P130" s="44" t="n">
        <v>151</v>
      </c>
      <c r="Q130" s="44"/>
      <c r="R130" s="44" t="n">
        <v>58</v>
      </c>
      <c r="S130" s="44" t="n">
        <v>64</v>
      </c>
      <c r="T130" s="44" t="n">
        <v>46</v>
      </c>
      <c r="U130" s="44"/>
      <c r="V130" s="44" t="n">
        <v>36</v>
      </c>
      <c r="W130" s="44"/>
      <c r="X130" s="44"/>
    </row>
    <row r="131" ht="22" customHeight="1">
      <c r="A131" s="4" t="str">
        <v>Severance and other employee costs — through 3/23/2024</v>
      </c>
      <c r="B131" s="2"/>
      <c r="C131" s="44"/>
      <c r="D131" s="44"/>
      <c r="E131" s="44"/>
      <c r="F131" s="44"/>
      <c r="G131" s="44"/>
      <c r="H131" s="44"/>
      <c r="I131" s="44"/>
      <c r="J131" s="44"/>
      <c r="K131" s="44"/>
      <c r="L131" s="44"/>
      <c r="M131" s="45"/>
      <c r="N131" s="44" t="n">
        <v>1122</v>
      </c>
      <c r="O131" s="44"/>
      <c r="P131" s="44"/>
      <c r="Q131" s="44"/>
      <c r="R131" s="44"/>
      <c r="S131" s="44"/>
      <c r="T131" s="44"/>
      <c r="U131" s="44"/>
      <c r="V131" s="44"/>
      <c r="W131" s="44"/>
      <c r="X131" s="44"/>
    </row>
    <row r="132" ht="36" customHeight="1">
      <c r="A132" s="4" t="str">
        <v>Other costs — Other Restructuring / A2019Productivity Plan</v>
      </c>
      <c r="B132" s="2"/>
      <c r="C132" s="44"/>
      <c r="D132" s="44"/>
      <c r="E132" s="44"/>
      <c r="F132" s="44"/>
      <c r="G132" s="44"/>
      <c r="H132" s="44"/>
      <c r="I132" s="44"/>
      <c r="J132" s="44"/>
      <c r="K132" s="44"/>
      <c r="L132" s="44"/>
      <c r="M132" s="45"/>
      <c r="N132" s="44" t="n">
        <v>23</v>
      </c>
      <c r="O132" s="44" t="n">
        <v>61</v>
      </c>
      <c r="P132" s="44" t="n">
        <v>64</v>
      </c>
      <c r="Q132" s="44"/>
      <c r="R132" s="44" t="n">
        <v>153</v>
      </c>
      <c r="S132" s="44" t="n">
        <v>64</v>
      </c>
      <c r="T132" s="44" t="n">
        <v>73</v>
      </c>
      <c r="U132" s="44"/>
      <c r="V132" s="44" t="n">
        <v>38</v>
      </c>
      <c r="W132" s="44"/>
      <c r="X132" s="44"/>
    </row>
    <row r="133" ht="22" customHeight="1">
      <c r="A133" s="4" t="str">
        <v>Other costs — through 3/23/2024</v>
      </c>
      <c r="B133" s="2"/>
      <c r="C133" s="44"/>
      <c r="D133" s="44"/>
      <c r="E133" s="44"/>
      <c r="F133" s="44"/>
      <c r="G133" s="44"/>
      <c r="H133" s="44"/>
      <c r="I133" s="44"/>
      <c r="J133" s="44"/>
      <c r="K133" s="44"/>
      <c r="L133" s="44"/>
      <c r="M133" s="45"/>
      <c r="N133" s="44" t="n">
        <v>681</v>
      </c>
      <c r="O133" s="44"/>
      <c r="P133" s="44"/>
      <c r="Q133" s="44"/>
      <c r="R133" s="44"/>
      <c r="S133" s="44"/>
      <c r="T133" s="44"/>
      <c r="U133" s="44"/>
      <c r="V133" s="44"/>
      <c r="W133" s="44"/>
      <c r="X133" s="44"/>
    </row>
    <row r="134" ht="24" customHeight="1">
      <c r="A134" s="51" t="str">
        <v>Total — A2019Productivity Plan</v>
      </c>
      <c r="B134" s="52"/>
      <c r="C134" s="53"/>
      <c r="D134" s="53"/>
      <c r="E134" s="53"/>
      <c r="F134" s="53"/>
      <c r="G134" s="53"/>
      <c r="H134" s="53"/>
      <c r="I134" s="53"/>
      <c r="J134" s="53"/>
      <c r="K134" s="53"/>
      <c r="L134" s="53"/>
      <c r="M134" s="55"/>
      <c r="N134" s="53" t="n">
        <v>96</v>
      </c>
      <c r="O134" s="53" t="n">
        <v>74</v>
      </c>
      <c r="P134" s="53" t="n">
        <v>245</v>
      </c>
      <c r="Q134" s="53"/>
      <c r="R134" s="53" t="n">
        <v>213</v>
      </c>
      <c r="S134" s="53" t="n">
        <v>213</v>
      </c>
      <c r="T134" s="53" t="n">
        <v>141</v>
      </c>
      <c r="U134" s="53"/>
      <c r="V134" s="53" t="n">
        <v>133</v>
      </c>
      <c r="W134" s="53" t="n">
        <v>49</v>
      </c>
      <c r="X134" s="53" t="n">
        <v>185</v>
      </c>
    </row>
    <row r="135" ht="24" customHeight="1">
      <c r="A135" s="51" t="str">
        <v>Total — through 3/23/2024</v>
      </c>
      <c r="B135" s="52"/>
      <c r="C135" s="53"/>
      <c r="D135" s="53"/>
      <c r="E135" s="53"/>
      <c r="F135" s="53"/>
      <c r="G135" s="53"/>
      <c r="H135" s="53"/>
      <c r="I135" s="53"/>
      <c r="J135" s="53"/>
      <c r="K135" s="53"/>
      <c r="L135" s="53"/>
      <c r="M135" s="55"/>
      <c r="N135" s="53" t="n">
        <v>1996</v>
      </c>
      <c r="O135" s="53"/>
      <c r="P135" s="53"/>
      <c r="Q135" s="53"/>
      <c r="R135" s="53"/>
      <c r="S135" s="53"/>
      <c r="T135" s="53"/>
      <c r="U135" s="53"/>
      <c r="V135" s="53"/>
      <c r="W135" s="53"/>
      <c r="X135" s="53"/>
    </row>
    <row r="136" ht="36" customHeight="1">
      <c r="A136" s="4" t="str">
        <v>Severance and other employee costs — A2019Productivity Plan / Employee Severance</v>
      </c>
      <c r="B136" s="2"/>
      <c r="C136" s="44"/>
      <c r="D136" s="44"/>
      <c r="E136" s="44"/>
      <c r="F136" s="44"/>
      <c r="G136" s="44"/>
      <c r="H136" s="44"/>
      <c r="I136" s="44"/>
      <c r="J136" s="44"/>
      <c r="K136" s="44"/>
      <c r="L136" s="44"/>
      <c r="M136" s="45"/>
      <c r="N136" s="44"/>
      <c r="O136" s="44" t="n">
        <v>10</v>
      </c>
      <c r="P136" s="44"/>
      <c r="Q136" s="44"/>
      <c r="R136" s="44"/>
      <c r="S136" s="44" t="n">
        <v>64</v>
      </c>
      <c r="T136" s="44" t="n">
        <v>46</v>
      </c>
      <c r="U136" s="44"/>
      <c r="V136" s="44"/>
      <c r="W136" s="44" t="n">
        <v>15</v>
      </c>
      <c r="X136" s="44" t="n">
        <v>148</v>
      </c>
    </row>
    <row r="137" ht="36" customHeight="1">
      <c r="A137" s="4" t="str">
        <v>Severance and other employee costs — Plan-to-Date / through 6/15/2024</v>
      </c>
      <c r="B137" s="2"/>
      <c r="C137" s="44"/>
      <c r="D137" s="44"/>
      <c r="E137" s="44"/>
      <c r="F137" s="44"/>
      <c r="G137" s="44"/>
      <c r="H137" s="44"/>
      <c r="I137" s="44"/>
      <c r="J137" s="44"/>
      <c r="K137" s="44"/>
      <c r="L137" s="44"/>
      <c r="M137" s="45"/>
      <c r="N137" s="44"/>
      <c r="O137" s="44" t="n">
        <v>1132</v>
      </c>
      <c r="P137" s="44"/>
      <c r="Q137" s="44"/>
      <c r="R137" s="44"/>
      <c r="S137" s="44"/>
      <c r="T137" s="44"/>
      <c r="U137" s="44"/>
      <c r="V137" s="44"/>
      <c r="W137" s="44"/>
      <c r="X137" s="44"/>
    </row>
    <row r="138" ht="36" customHeight="1">
      <c r="A138" s="4" t="str">
        <v>Other costs — A2019Productivity Plan / Other Restructuring</v>
      </c>
      <c r="B138" s="2"/>
      <c r="C138" s="44"/>
      <c r="D138" s="44"/>
      <c r="E138" s="44"/>
      <c r="F138" s="44"/>
      <c r="G138" s="44"/>
      <c r="H138" s="44"/>
      <c r="I138" s="44"/>
      <c r="J138" s="44"/>
      <c r="K138" s="44"/>
      <c r="L138" s="44"/>
      <c r="M138" s="45"/>
      <c r="N138" s="44"/>
      <c r="O138" s="44" t="n">
        <v>61</v>
      </c>
      <c r="P138" s="44"/>
      <c r="Q138" s="44"/>
      <c r="R138" s="44"/>
      <c r="S138" s="44" t="n">
        <v>64</v>
      </c>
      <c r="T138" s="44" t="n">
        <v>73</v>
      </c>
      <c r="U138" s="44"/>
      <c r="V138" s="44"/>
      <c r="W138" s="44" t="n">
        <v>34</v>
      </c>
      <c r="X138" s="44" t="n">
        <v>37</v>
      </c>
    </row>
    <row r="139" ht="22" customHeight="1">
      <c r="A139" s="4" t="str">
        <v>Other costs — Plan-to-Date / through 6/15/2024</v>
      </c>
      <c r="B139" s="2"/>
      <c r="C139" s="44"/>
      <c r="D139" s="44"/>
      <c r="E139" s="44"/>
      <c r="F139" s="44"/>
      <c r="G139" s="44"/>
      <c r="H139" s="44"/>
      <c r="I139" s="44"/>
      <c r="J139" s="44"/>
      <c r="K139" s="44"/>
      <c r="L139" s="44"/>
      <c r="M139" s="45"/>
      <c r="N139" s="44"/>
      <c r="O139" s="44" t="n">
        <v>742</v>
      </c>
      <c r="P139" s="44"/>
      <c r="Q139" s="44"/>
      <c r="R139" s="44"/>
      <c r="S139" s="44"/>
      <c r="T139" s="44"/>
      <c r="U139" s="44"/>
      <c r="V139" s="44"/>
      <c r="W139" s="44"/>
      <c r="X139" s="44"/>
    </row>
    <row r="140" ht="24" customHeight="1">
      <c r="A140" s="51" t="str">
        <v>Total — Plan-to-Date / through 6/15/2024</v>
      </c>
      <c r="B140" s="52"/>
      <c r="C140" s="53"/>
      <c r="D140" s="53"/>
      <c r="E140" s="53"/>
      <c r="F140" s="53"/>
      <c r="G140" s="53"/>
      <c r="H140" s="53"/>
      <c r="I140" s="53"/>
      <c r="J140" s="53"/>
      <c r="K140" s="53"/>
      <c r="L140" s="53"/>
      <c r="M140" s="55"/>
      <c r="N140" s="53"/>
      <c r="O140" s="53" t="n">
        <v>2070</v>
      </c>
      <c r="P140" s="53"/>
      <c r="Q140" s="53"/>
      <c r="R140" s="53"/>
      <c r="S140" s="53"/>
      <c r="T140" s="53"/>
      <c r="U140" s="53"/>
      <c r="V140" s="53"/>
      <c r="W140" s="53"/>
      <c r="X140" s="53"/>
    </row>
    <row r="141" ht="36" customHeight="1">
      <c r="A141" s="4" t="str">
        <v>Severance and other employee costs — Plan-to-Date / through 9/7/2024</v>
      </c>
      <c r="B141" s="2"/>
      <c r="C141" s="44"/>
      <c r="D141" s="44"/>
      <c r="E141" s="44"/>
      <c r="F141" s="44"/>
      <c r="G141" s="44"/>
      <c r="H141" s="44"/>
      <c r="I141" s="44"/>
      <c r="J141" s="44"/>
      <c r="K141" s="44"/>
      <c r="L141" s="44"/>
      <c r="M141" s="45"/>
      <c r="N141" s="44"/>
      <c r="O141" s="44"/>
      <c r="P141" s="44" t="n">
        <v>1283</v>
      </c>
      <c r="Q141" s="44"/>
      <c r="R141" s="44"/>
      <c r="S141" s="44"/>
      <c r="T141" s="44"/>
      <c r="U141" s="44"/>
      <c r="V141" s="44"/>
      <c r="W141" s="44"/>
      <c r="X141" s="44"/>
    </row>
    <row r="142" ht="22" customHeight="1">
      <c r="A142" s="4" t="str">
        <v>Other costs — Plan-to-Date / through 9/7/2024</v>
      </c>
      <c r="B142" s="2"/>
      <c r="C142" s="44"/>
      <c r="D142" s="44"/>
      <c r="E142" s="44"/>
      <c r="F142" s="44"/>
      <c r="G142" s="44"/>
      <c r="H142" s="44"/>
      <c r="I142" s="44"/>
      <c r="J142" s="44"/>
      <c r="K142" s="44"/>
      <c r="L142" s="44"/>
      <c r="M142" s="45"/>
      <c r="N142" s="44"/>
      <c r="O142" s="44"/>
      <c r="P142" s="44" t="n">
        <v>806</v>
      </c>
      <c r="Q142" s="44"/>
      <c r="R142" s="44"/>
      <c r="S142" s="44"/>
      <c r="T142" s="44"/>
      <c r="U142" s="44"/>
      <c r="V142" s="44"/>
      <c r="W142" s="44"/>
      <c r="X142" s="44"/>
    </row>
    <row r="143" ht="24" customHeight="1">
      <c r="A143" s="51" t="str">
        <v>Total — Plan-to-Date / through 9/7/2024</v>
      </c>
      <c r="B143" s="52"/>
      <c r="C143" s="53"/>
      <c r="D143" s="53"/>
      <c r="E143" s="53"/>
      <c r="F143" s="53"/>
      <c r="G143" s="53"/>
      <c r="H143" s="53"/>
      <c r="I143" s="53"/>
      <c r="J143" s="53"/>
      <c r="K143" s="53"/>
      <c r="L143" s="53"/>
      <c r="M143" s="55"/>
      <c r="N143" s="53"/>
      <c r="O143" s="53"/>
      <c r="P143" s="53" t="n">
        <v>2315</v>
      </c>
      <c r="Q143" s="53"/>
      <c r="R143" s="53"/>
      <c r="S143" s="53"/>
      <c r="T143" s="53"/>
      <c r="U143" s="53"/>
      <c r="V143" s="53"/>
      <c r="W143" s="53"/>
      <c r="X143" s="53"/>
    </row>
    <row r="144" ht="36" customHeight="1">
      <c r="A144" s="4" t="str">
        <v>Severance and other employee costs — Plan to Datethrough 12/28/2024</v>
      </c>
      <c r="B144" s="2"/>
      <c r="C144" s="44"/>
      <c r="D144" s="44"/>
      <c r="E144" s="44"/>
      <c r="F144" s="44"/>
      <c r="G144" s="44"/>
      <c r="H144" s="44"/>
      <c r="I144" s="44"/>
      <c r="J144" s="44"/>
      <c r="K144" s="44" t="n">
        <v>1434</v>
      </c>
      <c r="L144" s="44"/>
      <c r="M144" s="45"/>
      <c r="N144" s="44"/>
      <c r="O144" s="44"/>
      <c r="P144" s="44"/>
      <c r="Q144" s="44"/>
      <c r="R144" s="44"/>
      <c r="S144" s="44"/>
      <c r="T144" s="44"/>
      <c r="U144" s="44"/>
      <c r="V144" s="44"/>
      <c r="W144" s="44"/>
      <c r="X144" s="44"/>
    </row>
    <row r="145" ht="22" customHeight="1">
      <c r="A145" s="4" t="str">
        <v>Other costs — Plan to Datethrough 12/28/2024</v>
      </c>
      <c r="B145" s="2"/>
      <c r="C145" s="44"/>
      <c r="D145" s="44"/>
      <c r="E145" s="44"/>
      <c r="F145" s="44"/>
      <c r="G145" s="44"/>
      <c r="H145" s="44"/>
      <c r="I145" s="44"/>
      <c r="J145" s="44"/>
      <c r="K145" s="44" t="n">
        <v>887</v>
      </c>
      <c r="L145" s="44"/>
      <c r="M145" s="45"/>
      <c r="N145" s="44"/>
      <c r="O145" s="44"/>
      <c r="P145" s="44"/>
      <c r="Q145" s="44"/>
      <c r="R145" s="44"/>
      <c r="S145" s="44"/>
      <c r="T145" s="44"/>
      <c r="U145" s="44"/>
      <c r="V145" s="44"/>
      <c r="W145" s="44"/>
      <c r="X145" s="44"/>
    </row>
    <row r="146" ht="24" customHeight="1">
      <c r="A146" s="51" t="str">
        <v>Total — Plan to Datethrough 12/28/2024</v>
      </c>
      <c r="B146" s="52"/>
      <c r="C146" s="53"/>
      <c r="D146" s="53"/>
      <c r="E146" s="53"/>
      <c r="F146" s="53"/>
      <c r="G146" s="53"/>
      <c r="H146" s="53"/>
      <c r="I146" s="53"/>
      <c r="J146" s="53"/>
      <c r="K146" s="53" t="n">
        <v>2627</v>
      </c>
      <c r="L146" s="53"/>
      <c r="M146" s="55"/>
      <c r="N146" s="53"/>
      <c r="O146" s="53"/>
      <c r="P146" s="53"/>
      <c r="Q146" s="53"/>
      <c r="R146" s="53"/>
      <c r="S146" s="53"/>
      <c r="T146" s="53"/>
      <c r="U146" s="53"/>
      <c r="V146" s="53"/>
      <c r="W146" s="53"/>
      <c r="X146" s="53"/>
    </row>
    <row r="147" ht="36" customHeight="1">
      <c r="A147" s="4" t="str">
        <v>Severance and other employee costs — Plan-to-Date / through 3/22/2025</v>
      </c>
      <c r="B147" s="2"/>
      <c r="C147" s="44"/>
      <c r="D147" s="44"/>
      <c r="E147" s="44"/>
      <c r="F147" s="44"/>
      <c r="G147" s="44"/>
      <c r="H147" s="44"/>
      <c r="I147" s="44"/>
      <c r="J147" s="44"/>
      <c r="K147" s="44"/>
      <c r="L147" s="44"/>
      <c r="M147" s="45"/>
      <c r="N147" s="44"/>
      <c r="O147" s="44"/>
      <c r="P147" s="44"/>
      <c r="Q147" s="44"/>
      <c r="R147" s="44" t="n">
        <v>1492</v>
      </c>
      <c r="S147" s="44"/>
      <c r="T147" s="44"/>
      <c r="U147" s="44"/>
      <c r="V147" s="44"/>
      <c r="W147" s="44"/>
      <c r="X147" s="44"/>
    </row>
    <row r="148" ht="22" customHeight="1">
      <c r="A148" s="4" t="str">
        <v>Other costs — Plan-to-Date / through 3/22/2025</v>
      </c>
      <c r="B148" s="2"/>
      <c r="C148" s="44"/>
      <c r="D148" s="44"/>
      <c r="E148" s="44"/>
      <c r="F148" s="44"/>
      <c r="G148" s="44"/>
      <c r="H148" s="44"/>
      <c r="I148" s="44"/>
      <c r="J148" s="44"/>
      <c r="K148" s="44"/>
      <c r="L148" s="44"/>
      <c r="M148" s="45"/>
      <c r="N148" s="44"/>
      <c r="O148" s="44"/>
      <c r="P148" s="44"/>
      <c r="Q148" s="44"/>
      <c r="R148" s="44" t="n">
        <v>1040</v>
      </c>
      <c r="S148" s="44"/>
      <c r="T148" s="44"/>
      <c r="U148" s="44"/>
      <c r="V148" s="44"/>
      <c r="W148" s="44"/>
      <c r="X148" s="44"/>
    </row>
    <row r="149" ht="24" customHeight="1">
      <c r="A149" s="51" t="str">
        <v>Total — Plan-to-Date / through 3/22/2025</v>
      </c>
      <c r="B149" s="52"/>
      <c r="C149" s="53"/>
      <c r="D149" s="53"/>
      <c r="E149" s="53"/>
      <c r="F149" s="53"/>
      <c r="G149" s="53"/>
      <c r="H149" s="53"/>
      <c r="I149" s="53"/>
      <c r="J149" s="53"/>
      <c r="K149" s="53"/>
      <c r="L149" s="53"/>
      <c r="M149" s="55"/>
      <c r="N149" s="53"/>
      <c r="O149" s="53"/>
      <c r="P149" s="53"/>
      <c r="Q149" s="53"/>
      <c r="R149" s="53" t="n">
        <v>2840</v>
      </c>
      <c r="S149" s="53"/>
      <c r="T149" s="53"/>
      <c r="U149" s="53"/>
      <c r="V149" s="53"/>
      <c r="W149" s="53"/>
      <c r="X149" s="53"/>
    </row>
    <row r="150" ht="36" customHeight="1">
      <c r="A150" s="4" t="str">
        <v>Severance and other employee costs — Plan-to-Date / through 6/14/2025</v>
      </c>
      <c r="B150" s="2"/>
      <c r="C150" s="44"/>
      <c r="D150" s="44"/>
      <c r="E150" s="44"/>
      <c r="F150" s="44"/>
      <c r="G150" s="44"/>
      <c r="H150" s="44"/>
      <c r="I150" s="44"/>
      <c r="J150" s="44"/>
      <c r="K150" s="44"/>
      <c r="L150" s="44"/>
      <c r="M150" s="45"/>
      <c r="N150" s="44"/>
      <c r="O150" s="44"/>
      <c r="P150" s="44"/>
      <c r="Q150" s="44"/>
      <c r="R150" s="44"/>
      <c r="S150" s="44" t="n">
        <v>1556</v>
      </c>
      <c r="T150" s="44"/>
      <c r="U150" s="44"/>
      <c r="V150" s="44"/>
      <c r="W150" s="44"/>
      <c r="X150" s="44"/>
    </row>
    <row r="151" ht="22" customHeight="1">
      <c r="A151" s="4" t="str">
        <v>Other costs — Plan-to-Date / through 6/14/2025</v>
      </c>
      <c r="B151" s="2"/>
      <c r="C151" s="44"/>
      <c r="D151" s="44"/>
      <c r="E151" s="44"/>
      <c r="F151" s="44"/>
      <c r="G151" s="44"/>
      <c r="H151" s="44"/>
      <c r="I151" s="44"/>
      <c r="J151" s="44"/>
      <c r="K151" s="44"/>
      <c r="L151" s="44"/>
      <c r="M151" s="45"/>
      <c r="N151" s="44"/>
      <c r="O151" s="44"/>
      <c r="P151" s="44"/>
      <c r="Q151" s="44"/>
      <c r="R151" s="44"/>
      <c r="S151" s="44" t="n">
        <v>1104</v>
      </c>
      <c r="T151" s="44"/>
      <c r="U151" s="44"/>
      <c r="V151" s="44"/>
      <c r="W151" s="44"/>
      <c r="X151" s="44"/>
    </row>
    <row r="152" ht="24" customHeight="1">
      <c r="A152" s="51" t="str">
        <v>Total — Plan-to-Date / through 6/14/2025</v>
      </c>
      <c r="B152" s="52"/>
      <c r="C152" s="53"/>
      <c r="D152" s="53"/>
      <c r="E152" s="53"/>
      <c r="F152" s="53"/>
      <c r="G152" s="53"/>
      <c r="H152" s="53"/>
      <c r="I152" s="53"/>
      <c r="J152" s="53"/>
      <c r="K152" s="53"/>
      <c r="L152" s="53"/>
      <c r="M152" s="55"/>
      <c r="N152" s="53"/>
      <c r="O152" s="53"/>
      <c r="P152" s="53"/>
      <c r="Q152" s="53"/>
      <c r="R152" s="53"/>
      <c r="S152" s="53" t="n">
        <v>3053</v>
      </c>
      <c r="T152" s="53"/>
      <c r="U152" s="53"/>
      <c r="V152" s="53"/>
      <c r="W152" s="53"/>
      <c r="X152" s="53"/>
    </row>
    <row r="153" ht="36" customHeight="1">
      <c r="A153" s="4" t="str">
        <v>Severance and other employee costs — Plan-to-Date / through 9/6/2025</v>
      </c>
      <c r="B153" s="2"/>
      <c r="C153" s="44"/>
      <c r="D153" s="44"/>
      <c r="E153" s="44"/>
      <c r="F153" s="44"/>
      <c r="G153" s="44"/>
      <c r="H153" s="44"/>
      <c r="I153" s="44"/>
      <c r="J153" s="44"/>
      <c r="K153" s="44"/>
      <c r="L153" s="44"/>
      <c r="M153" s="45"/>
      <c r="N153" s="44"/>
      <c r="O153" s="44"/>
      <c r="P153" s="44"/>
      <c r="Q153" s="44"/>
      <c r="R153" s="44"/>
      <c r="S153" s="44"/>
      <c r="T153" s="44" t="n">
        <v>1602</v>
      </c>
      <c r="U153" s="44"/>
      <c r="V153" s="44"/>
      <c r="W153" s="44"/>
      <c r="X153" s="44"/>
    </row>
    <row r="154" ht="22" customHeight="1">
      <c r="A154" s="4" t="str">
        <v>Other costs — Plan-to-Date / through 9/6/2025</v>
      </c>
      <c r="B154" s="2"/>
      <c r="C154" s="44"/>
      <c r="D154" s="44"/>
      <c r="E154" s="44"/>
      <c r="F154" s="44"/>
      <c r="G154" s="44"/>
      <c r="H154" s="44"/>
      <c r="I154" s="44"/>
      <c r="J154" s="44"/>
      <c r="K154" s="44"/>
      <c r="L154" s="44"/>
      <c r="M154" s="45"/>
      <c r="N154" s="44"/>
      <c r="O154" s="44"/>
      <c r="P154" s="44"/>
      <c r="Q154" s="44"/>
      <c r="R154" s="44"/>
      <c r="S154" s="44"/>
      <c r="T154" s="44" t="n">
        <v>1177</v>
      </c>
      <c r="U154" s="44"/>
      <c r="V154" s="44"/>
      <c r="W154" s="44"/>
      <c r="X154" s="44"/>
    </row>
    <row r="155" ht="24" customHeight="1">
      <c r="A155" s="51" t="str">
        <v>Total — Plan-to-Date / through 9/6/2025</v>
      </c>
      <c r="B155" s="52"/>
      <c r="C155" s="53"/>
      <c r="D155" s="53"/>
      <c r="E155" s="53"/>
      <c r="F155" s="53"/>
      <c r="G155" s="53"/>
      <c r="H155" s="53"/>
      <c r="I155" s="53"/>
      <c r="J155" s="53"/>
      <c r="K155" s="53"/>
      <c r="L155" s="53"/>
      <c r="M155" s="55"/>
      <c r="N155" s="53"/>
      <c r="O155" s="53"/>
      <c r="P155" s="53"/>
      <c r="Q155" s="53"/>
      <c r="R155" s="53"/>
      <c r="S155" s="53"/>
      <c r="T155" s="53" t="n">
        <v>3194</v>
      </c>
      <c r="U155" s="53"/>
      <c r="V155" s="53"/>
      <c r="W155" s="53"/>
      <c r="X155" s="53"/>
    </row>
    <row r="156" ht="24" customHeight="1">
      <c r="A156" s="51" t="str">
        <v>Total — Operating Income Loss</v>
      </c>
      <c r="B156" s="52"/>
      <c r="C156" s="53"/>
      <c r="D156" s="53"/>
      <c r="E156" s="53"/>
      <c r="F156" s="53"/>
      <c r="G156" s="53"/>
      <c r="H156" s="53"/>
      <c r="I156" s="53"/>
      <c r="J156" s="53" t="n">
        <v>41</v>
      </c>
      <c r="K156" s="53" t="n">
        <v>22</v>
      </c>
      <c r="L156" s="53" t="n">
        <v>453</v>
      </c>
      <c r="M156" s="55"/>
      <c r="N156" s="53"/>
      <c r="O156" s="53"/>
      <c r="P156" s="53" t="n">
        <v>5</v>
      </c>
      <c r="Q156" s="53"/>
      <c r="R156" s="53"/>
      <c r="S156" s="53"/>
      <c r="T156" s="53" t="n">
        <v>221</v>
      </c>
      <c r="U156" s="53"/>
      <c r="V156" s="53"/>
      <c r="W156" s="53"/>
      <c r="X156" s="53"/>
    </row>
    <row r="157" ht="36" customHeight="1">
      <c r="A157" s="4" t="str">
        <v>Severance and other employee costs — Plan to Datethrough 12/27/2025</v>
      </c>
      <c r="B157" s="2"/>
      <c r="C157" s="44"/>
      <c r="D157" s="44"/>
      <c r="E157" s="44"/>
      <c r="F157" s="44"/>
      <c r="G157" s="44"/>
      <c r="H157" s="44"/>
      <c r="I157" s="44"/>
      <c r="J157" s="44"/>
      <c r="K157" s="44"/>
      <c r="L157" s="44" t="n">
        <v>1789</v>
      </c>
      <c r="M157" s="45"/>
      <c r="N157" s="44"/>
      <c r="O157" s="44"/>
      <c r="P157" s="44"/>
      <c r="Q157" s="44"/>
      <c r="R157" s="44"/>
      <c r="S157" s="44"/>
      <c r="T157" s="44"/>
      <c r="U157" s="44"/>
      <c r="V157" s="44"/>
      <c r="W157" s="44"/>
      <c r="X157" s="44"/>
    </row>
    <row r="158" ht="22" customHeight="1">
      <c r="A158" s="4" t="str">
        <v>Other costs — Plan to Datethrough 12/27/2025</v>
      </c>
      <c r="B158" s="2"/>
      <c r="C158" s="44"/>
      <c r="D158" s="44"/>
      <c r="E158" s="44"/>
      <c r="F158" s="44"/>
      <c r="G158" s="44"/>
      <c r="H158" s="44"/>
      <c r="I158" s="44"/>
      <c r="J158" s="44"/>
      <c r="K158" s="44"/>
      <c r="L158" s="44" t="n">
        <v>1275</v>
      </c>
      <c r="M158" s="45"/>
      <c r="N158" s="44"/>
      <c r="O158" s="44"/>
      <c r="P158" s="44"/>
      <c r="Q158" s="44"/>
      <c r="R158" s="44"/>
      <c r="S158" s="44"/>
      <c r="T158" s="44"/>
      <c r="U158" s="44"/>
      <c r="V158" s="44"/>
      <c r="W158" s="44"/>
      <c r="X158" s="44"/>
    </row>
    <row r="159" ht="24" customHeight="1">
      <c r="A159" s="51" t="str">
        <v>Total — Plan to Datethrough 12/27/2025</v>
      </c>
      <c r="B159" s="52"/>
      <c r="C159" s="53"/>
      <c r="D159" s="53"/>
      <c r="E159" s="53"/>
      <c r="F159" s="53"/>
      <c r="G159" s="53"/>
      <c r="H159" s="53"/>
      <c r="I159" s="53"/>
      <c r="J159" s="53"/>
      <c r="K159" s="53"/>
      <c r="L159" s="53" t="n">
        <v>3610</v>
      </c>
      <c r="M159" s="55"/>
      <c r="N159" s="53"/>
      <c r="O159" s="53"/>
      <c r="P159" s="53"/>
      <c r="Q159" s="53"/>
      <c r="R159" s="53"/>
      <c r="S159" s="53"/>
      <c r="T159" s="53"/>
      <c r="U159" s="53"/>
      <c r="V159" s="53"/>
      <c r="W159" s="53"/>
      <c r="X159" s="53"/>
    </row>
    <row r="160" ht="36" customHeight="1">
      <c r="A160" s="4" t="str">
        <v>Cost of sales — Cost Of Goods And Services Sold Restructuring / A2019Productivity Plan</v>
      </c>
      <c r="B160" s="2"/>
      <c r="C160" s="44"/>
      <c r="D160" s="44"/>
      <c r="E160" s="44"/>
      <c r="F160" s="44"/>
      <c r="G160" s="44"/>
      <c r="H160" s="44"/>
      <c r="I160" s="44"/>
      <c r="J160" s="44"/>
      <c r="K160" s="44"/>
      <c r="L160" s="44"/>
      <c r="M160" s="45"/>
      <c r="N160" s="44"/>
      <c r="O160" s="44"/>
      <c r="P160" s="44"/>
      <c r="Q160" s="44"/>
      <c r="R160" s="44" t="n">
        <v>1</v>
      </c>
      <c r="S160" s="44"/>
      <c r="T160" s="44" t="n">
        <v>16</v>
      </c>
      <c r="U160" s="44"/>
      <c r="V160" s="44" t="n">
        <v>19</v>
      </c>
      <c r="W160" s="44"/>
      <c r="X160" s="44" t="n">
        <v>9</v>
      </c>
    </row>
    <row r="161" ht="22" customHeight="1">
      <c r="A161" s="4" t="str">
        <v>Severance and other employee costs — Plan-to-Date</v>
      </c>
      <c r="B161" s="2"/>
      <c r="C161" s="44"/>
      <c r="D161" s="44"/>
      <c r="E161" s="44"/>
      <c r="F161" s="44"/>
      <c r="G161" s="44"/>
      <c r="H161" s="44"/>
      <c r="I161" s="44"/>
      <c r="J161" s="44"/>
      <c r="K161" s="44"/>
      <c r="L161" s="44"/>
      <c r="M161" s="45"/>
      <c r="N161" s="44"/>
      <c r="O161" s="44"/>
      <c r="P161" s="44"/>
      <c r="Q161" s="44"/>
      <c r="R161" s="44" t="n">
        <v>58</v>
      </c>
      <c r="S161" s="44"/>
      <c r="T161" s="44"/>
      <c r="U161" s="44"/>
      <c r="V161" s="44"/>
      <c r="W161" s="44"/>
      <c r="X161" s="44"/>
    </row>
    <row r="162" ht="22" customHeight="1">
      <c r="A162" s="4" t="str">
        <v>Severance and other employee costs — through 3/21/2026</v>
      </c>
      <c r="B162" s="2"/>
      <c r="C162" s="44"/>
      <c r="D162" s="44"/>
      <c r="E162" s="44"/>
      <c r="F162" s="44"/>
      <c r="G162" s="44"/>
      <c r="H162" s="44"/>
      <c r="I162" s="44"/>
      <c r="J162" s="44"/>
      <c r="K162" s="44"/>
      <c r="L162" s="44"/>
      <c r="M162" s="45"/>
      <c r="N162" s="44"/>
      <c r="O162" s="44"/>
      <c r="P162" s="44"/>
      <c r="Q162" s="44"/>
      <c r="R162" s="44"/>
      <c r="S162" s="44"/>
      <c r="T162" s="44"/>
      <c r="U162" s="44"/>
      <c r="V162" s="44" t="n">
        <v>1825</v>
      </c>
      <c r="W162" s="44"/>
      <c r="X162" s="44"/>
    </row>
    <row r="163" ht="22" customHeight="1">
      <c r="A163" s="4" t="str">
        <v>Other costs — Plan-to-Date</v>
      </c>
      <c r="B163" s="2"/>
      <c r="C163" s="44"/>
      <c r="D163" s="44"/>
      <c r="E163" s="44"/>
      <c r="F163" s="44"/>
      <c r="G163" s="44"/>
      <c r="H163" s="44"/>
      <c r="I163" s="44"/>
      <c r="J163" s="44"/>
      <c r="K163" s="44"/>
      <c r="L163" s="44"/>
      <c r="M163" s="45"/>
      <c r="N163" s="44"/>
      <c r="O163" s="44"/>
      <c r="P163" s="44"/>
      <c r="Q163" s="44"/>
      <c r="R163" s="44" t="n">
        <v>153</v>
      </c>
      <c r="S163" s="44"/>
      <c r="T163" s="44"/>
      <c r="U163" s="44"/>
      <c r="V163" s="44"/>
      <c r="W163" s="44"/>
      <c r="X163" s="44"/>
    </row>
    <row r="164" ht="22" customHeight="1">
      <c r="A164" s="4" t="str">
        <v>Other costs — through 3/21/2026</v>
      </c>
      <c r="B164" s="2"/>
      <c r="C164" s="44"/>
      <c r="D164" s="44"/>
      <c r="E164" s="44"/>
      <c r="F164" s="44"/>
      <c r="G164" s="44"/>
      <c r="H164" s="44"/>
      <c r="I164" s="44"/>
      <c r="J164" s="44"/>
      <c r="K164" s="44"/>
      <c r="L164" s="44"/>
      <c r="M164" s="45"/>
      <c r="N164" s="44"/>
      <c r="O164" s="44"/>
      <c r="P164" s="44"/>
      <c r="Q164" s="44"/>
      <c r="R164" s="44"/>
      <c r="S164" s="44"/>
      <c r="T164" s="44"/>
      <c r="U164" s="44"/>
      <c r="V164" s="44" t="n">
        <v>1313</v>
      </c>
      <c r="W164" s="44"/>
      <c r="X164" s="44"/>
    </row>
    <row r="165" ht="24" customHeight="1">
      <c r="A165" s="51" t="str">
        <v>Total — Plan-to-Date</v>
      </c>
      <c r="B165" s="52"/>
      <c r="C165" s="53"/>
      <c r="D165" s="53"/>
      <c r="E165" s="53"/>
      <c r="F165" s="53"/>
      <c r="G165" s="53"/>
      <c r="H165" s="53"/>
      <c r="I165" s="53"/>
      <c r="J165" s="53"/>
      <c r="K165" s="53"/>
      <c r="L165" s="53"/>
      <c r="M165" s="55"/>
      <c r="N165" s="53"/>
      <c r="O165" s="53"/>
      <c r="P165" s="53"/>
      <c r="Q165" s="53"/>
      <c r="R165" s="53" t="n">
        <v>213</v>
      </c>
      <c r="S165" s="53"/>
      <c r="T165" s="53"/>
      <c r="U165" s="53"/>
      <c r="V165" s="53"/>
      <c r="W165" s="53"/>
      <c r="X165" s="53"/>
    </row>
    <row r="166" ht="24" customHeight="1">
      <c r="A166" s="51" t="str">
        <v>Total — through 3/21/2026</v>
      </c>
      <c r="B166" s="52"/>
      <c r="C166" s="53"/>
      <c r="D166" s="53"/>
      <c r="E166" s="53"/>
      <c r="F166" s="53"/>
      <c r="G166" s="53"/>
      <c r="H166" s="53"/>
      <c r="I166" s="53"/>
      <c r="J166" s="53"/>
      <c r="K166" s="53"/>
      <c r="L166" s="53"/>
      <c r="M166" s="55"/>
      <c r="N166" s="53"/>
      <c r="O166" s="53"/>
      <c r="P166" s="53"/>
      <c r="Q166" s="53"/>
      <c r="R166" s="53"/>
      <c r="S166" s="53"/>
      <c r="T166" s="53"/>
      <c r="U166" s="53"/>
      <c r="V166" s="53" t="n">
        <v>3743</v>
      </c>
      <c r="W166" s="53"/>
      <c r="X166" s="53"/>
    </row>
    <row r="167" ht="36" customHeight="1">
      <c r="A167" s="4" t="str">
        <v>Restructuring charges — Severance and Other Employee Costs</v>
      </c>
      <c r="B167" s="2"/>
      <c r="C167" s="44"/>
      <c r="D167" s="44"/>
      <c r="E167" s="44"/>
      <c r="F167" s="44"/>
      <c r="G167" s="44"/>
      <c r="H167" s="44"/>
      <c r="I167" s="44"/>
      <c r="J167" s="44"/>
      <c r="K167" s="44"/>
      <c r="L167" s="44"/>
      <c r="M167" s="45"/>
      <c r="N167" s="44"/>
      <c r="O167" s="44"/>
      <c r="P167" s="44"/>
      <c r="Q167" s="44"/>
      <c r="R167" s="44"/>
      <c r="S167" s="44"/>
      <c r="T167" s="44"/>
      <c r="U167" s="44"/>
      <c r="V167" s="44" t="n">
        <v>36</v>
      </c>
      <c r="W167" s="44"/>
      <c r="X167" s="44"/>
    </row>
    <row r="168" ht="22" customHeight="1">
      <c r="A168" s="4" t="str">
        <v>Restructuring charges — Asset Impairments</v>
      </c>
      <c r="B168" s="2"/>
      <c r="C168" s="44"/>
      <c r="D168" s="44"/>
      <c r="E168" s="44"/>
      <c r="F168" s="44"/>
      <c r="G168" s="44"/>
      <c r="H168" s="44"/>
      <c r="I168" s="44"/>
      <c r="J168" s="44"/>
      <c r="K168" s="44"/>
      <c r="L168" s="44"/>
      <c r="M168" s="45"/>
      <c r="N168" s="44"/>
      <c r="O168" s="44"/>
      <c r="P168" s="44"/>
      <c r="Q168" s="44"/>
      <c r="R168" s="44"/>
      <c r="S168" s="44"/>
      <c r="T168" s="44"/>
      <c r="U168" s="44"/>
      <c r="V168" s="44" t="n">
        <v>59</v>
      </c>
      <c r="W168" s="44"/>
      <c r="X168" s="44"/>
    </row>
    <row r="169" ht="22" customHeight="1">
      <c r="A169" s="4" t="str">
        <v>Restructuring charges — Other Costs</v>
      </c>
      <c r="B169" s="2"/>
      <c r="C169" s="44"/>
      <c r="D169" s="44"/>
      <c r="E169" s="44"/>
      <c r="F169" s="44"/>
      <c r="G169" s="44"/>
      <c r="H169" s="44"/>
      <c r="I169" s="44"/>
      <c r="J169" s="44"/>
      <c r="K169" s="44"/>
      <c r="L169" s="44"/>
      <c r="M169" s="45"/>
      <c r="N169" s="44"/>
      <c r="O169" s="44"/>
      <c r="P169" s="44"/>
      <c r="Q169" s="44"/>
      <c r="R169" s="44"/>
      <c r="S169" s="44"/>
      <c r="T169" s="44"/>
      <c r="U169" s="44"/>
      <c r="V169" s="44" t="n">
        <v>38</v>
      </c>
      <c r="W169" s="44"/>
      <c r="X169" s="44"/>
    </row>
    <row r="170" ht="22" customHeight="1">
      <c r="A170" s="4" t="str">
        <v>Restructuring charges — Total</v>
      </c>
      <c r="B170" s="2"/>
      <c r="C170" s="44"/>
      <c r="D170" s="44"/>
      <c r="E170" s="44"/>
      <c r="F170" s="44"/>
      <c r="G170" s="44"/>
      <c r="H170" s="44"/>
      <c r="I170" s="44"/>
      <c r="J170" s="44"/>
      <c r="K170" s="44"/>
      <c r="L170" s="44"/>
      <c r="M170" s="45"/>
      <c r="N170" s="44"/>
      <c r="O170" s="44"/>
      <c r="P170" s="44"/>
      <c r="Q170" s="44"/>
      <c r="R170" s="44"/>
      <c r="S170" s="44"/>
      <c r="T170" s="44"/>
      <c r="U170" s="44"/>
      <c r="V170" s="44" t="n">
        <v>133</v>
      </c>
      <c r="W170" s="44"/>
      <c r="X170" s="44"/>
    </row>
    <row r="171" ht="36" customHeight="1">
      <c r="A171" s="4" t="str">
        <v>Cost of sales — A2019Productivity Plan / Cost Of Goods And Services Sold Restructuring</v>
      </c>
      <c r="B171" s="2"/>
      <c r="C171" s="44"/>
      <c r="D171" s="44"/>
      <c r="E171" s="44"/>
      <c r="F171" s="44"/>
      <c r="G171" s="44"/>
      <c r="H171" s="44"/>
      <c r="I171" s="44"/>
      <c r="J171" s="44"/>
      <c r="K171" s="44"/>
      <c r="L171" s="44"/>
      <c r="M171" s="45"/>
      <c r="N171" s="44"/>
      <c r="O171" s="44"/>
      <c r="P171" s="44"/>
      <c r="Q171" s="44"/>
      <c r="R171" s="44"/>
      <c r="S171" s="44" t="n">
        <v>102</v>
      </c>
      <c r="T171" s="44"/>
      <c r="U171" s="44"/>
      <c r="V171" s="44"/>
      <c r="W171" s="44" t="n">
        <v>-1</v>
      </c>
      <c r="X171" s="44"/>
    </row>
    <row r="172" ht="36" customHeight="1">
      <c r="A172" s="4" t="str">
        <v>Severance and other employee costs — Plan-to-Date / through 6/13/2026</v>
      </c>
      <c r="B172" s="2"/>
      <c r="C172" s="44"/>
      <c r="D172" s="44"/>
      <c r="E172" s="44"/>
      <c r="F172" s="44"/>
      <c r="G172" s="44"/>
      <c r="H172" s="44"/>
      <c r="I172" s="44"/>
      <c r="J172" s="44"/>
      <c r="K172" s="44"/>
      <c r="L172" s="44"/>
      <c r="M172" s="45"/>
      <c r="N172" s="44"/>
      <c r="O172" s="44"/>
      <c r="P172" s="44"/>
      <c r="Q172" s="44"/>
      <c r="R172" s="44"/>
      <c r="S172" s="44"/>
      <c r="T172" s="44"/>
      <c r="U172" s="44"/>
      <c r="V172" s="44"/>
      <c r="W172" s="44" t="n">
        <v>1840</v>
      </c>
      <c r="X172" s="44"/>
    </row>
    <row r="173" ht="22" customHeight="1">
      <c r="A173" s="4" t="str">
        <v>Other costs — Plan-to-Date / through 6/13/2026</v>
      </c>
      <c r="B173" s="2"/>
      <c r="C173" s="44"/>
      <c r="D173" s="44"/>
      <c r="E173" s="44"/>
      <c r="F173" s="44"/>
      <c r="G173" s="44"/>
      <c r="H173" s="44"/>
      <c r="I173" s="44"/>
      <c r="J173" s="44"/>
      <c r="K173" s="44"/>
      <c r="L173" s="44"/>
      <c r="M173" s="45"/>
      <c r="N173" s="44"/>
      <c r="O173" s="44"/>
      <c r="P173" s="44"/>
      <c r="Q173" s="44"/>
      <c r="R173" s="44"/>
      <c r="S173" s="44"/>
      <c r="T173" s="44"/>
      <c r="U173" s="44"/>
      <c r="V173" s="44"/>
      <c r="W173" s="44" t="n">
        <v>1347</v>
      </c>
      <c r="X173" s="44"/>
    </row>
    <row r="174" ht="24" customHeight="1">
      <c r="A174" s="51" t="str">
        <v>Total — Plan-to-Date / through 6/13/2026</v>
      </c>
      <c r="B174" s="52"/>
      <c r="C174" s="53"/>
      <c r="D174" s="53"/>
      <c r="E174" s="53"/>
      <c r="F174" s="53"/>
      <c r="G174" s="53"/>
      <c r="H174" s="53"/>
      <c r="I174" s="53"/>
      <c r="J174" s="53"/>
      <c r="K174" s="53"/>
      <c r="L174" s="53"/>
      <c r="M174" s="55"/>
      <c r="N174" s="53"/>
      <c r="O174" s="53"/>
      <c r="P174" s="53"/>
      <c r="Q174" s="53"/>
      <c r="R174" s="53"/>
      <c r="S174" s="53"/>
      <c r="T174" s="53"/>
      <c r="U174" s="53"/>
      <c r="V174" s="53"/>
      <c r="W174" s="53" t="n">
        <v>3792</v>
      </c>
      <c r="X174" s="53"/>
    </row>
    <row r="175" ht="36" customHeight="1">
      <c r="A175" s="4" t="str">
        <v>Severance and other employee costs — Plan-to-Date / through 9/5/2026</v>
      </c>
      <c r="B175" s="2"/>
      <c r="C175" s="44"/>
      <c r="D175" s="44"/>
      <c r="E175" s="44"/>
      <c r="F175" s="44"/>
      <c r="G175" s="44"/>
      <c r="H175" s="44"/>
      <c r="I175" s="44"/>
      <c r="J175" s="44"/>
      <c r="K175" s="44"/>
      <c r="L175" s="44"/>
      <c r="M175" s="45"/>
      <c r="N175" s="44"/>
      <c r="O175" s="44"/>
      <c r="P175" s="44"/>
      <c r="Q175" s="44"/>
      <c r="R175" s="44"/>
      <c r="S175" s="44"/>
      <c r="T175" s="44"/>
      <c r="U175" s="44"/>
      <c r="V175" s="44"/>
      <c r="W175" s="44"/>
      <c r="X175" s="44" t="n">
        <v>1988</v>
      </c>
    </row>
    <row r="176" ht="22" customHeight="1">
      <c r="A176" s="4" t="str">
        <v>Other costs — Plan-to-Date / through 9/5/2026</v>
      </c>
      <c r="B176" s="2"/>
      <c r="C176" s="44"/>
      <c r="D176" s="44"/>
      <c r="E176" s="44"/>
      <c r="F176" s="44"/>
      <c r="G176" s="44"/>
      <c r="H176" s="44"/>
      <c r="I176" s="44"/>
      <c r="J176" s="44"/>
      <c r="K176" s="44"/>
      <c r="L176" s="44"/>
      <c r="M176" s="45"/>
      <c r="N176" s="44"/>
      <c r="O176" s="44"/>
      <c r="P176" s="44"/>
      <c r="Q176" s="44"/>
      <c r="R176" s="44"/>
      <c r="S176" s="44"/>
      <c r="T176" s="44"/>
      <c r="U176" s="44"/>
      <c r="V176" s="44"/>
      <c r="W176" s="44"/>
      <c r="X176" s="44" t="n">
        <v>1384</v>
      </c>
    </row>
    <row r="177" ht="24" customHeight="1">
      <c r="A177" s="51" t="str">
        <v>Total — Plan-to-Date / through 9/5/2026</v>
      </c>
      <c r="B177" s="52"/>
      <c r="C177" s="53"/>
      <c r="D177" s="53"/>
      <c r="E177" s="53"/>
      <c r="F177" s="53"/>
      <c r="G177" s="53"/>
      <c r="H177" s="53"/>
      <c r="I177" s="53"/>
      <c r="J177" s="53"/>
      <c r="K177" s="53"/>
      <c r="L177" s="53"/>
      <c r="M177" s="55"/>
      <c r="N177" s="53"/>
      <c r="O177" s="53"/>
      <c r="P177" s="53"/>
      <c r="Q177" s="53"/>
      <c r="R177" s="53"/>
      <c r="S177" s="53"/>
      <c r="T177" s="53"/>
      <c r="U177" s="53"/>
      <c r="V177" s="53"/>
      <c r="W177" s="53"/>
      <c r="X177" s="53" t="n">
        <v>3977</v>
      </c>
    </row>
    <row r="178" ht="22" customHeight="1">
      <c r="A178" s="4" t="str">
        <v>Cost of sales — Cost Of Sales Domain</v>
      </c>
      <c r="B178" s="2"/>
      <c r="C178" s="44"/>
      <c r="D178" s="44"/>
      <c r="E178" s="44"/>
      <c r="F178" s="44"/>
      <c r="G178" s="44"/>
      <c r="H178" s="44"/>
      <c r="I178" s="44"/>
      <c r="J178" s="44"/>
      <c r="K178" s="44"/>
      <c r="L178" s="44"/>
      <c r="M178" s="45"/>
      <c r="N178" s="44"/>
      <c r="O178" s="44"/>
      <c r="P178" s="44"/>
      <c r="Q178" s="44"/>
      <c r="R178" s="44"/>
      <c r="S178" s="44"/>
      <c r="T178" s="44" t="n">
        <v>46</v>
      </c>
      <c r="U178" s="44"/>
      <c r="V178" s="44"/>
      <c r="W178" s="44"/>
      <c r="X178" s="44" t="n">
        <v>0</v>
      </c>
    </row>
    <row r="179" ht="36" customHeight="1">
      <c r="A179" s="4" t="str">
        <v>Impairment of intangible assets — Impairment Other Charges Domain</v>
      </c>
      <c r="B179" s="2"/>
      <c r="C179" s="44"/>
      <c r="D179" s="44"/>
      <c r="E179" s="44"/>
      <c r="F179" s="44"/>
      <c r="G179" s="44"/>
      <c r="H179" s="44"/>
      <c r="I179" s="44"/>
      <c r="J179" s="44"/>
      <c r="K179" s="44"/>
      <c r="L179" s="44"/>
      <c r="M179" s="45"/>
      <c r="N179" s="44"/>
      <c r="O179" s="44"/>
      <c r="P179" s="44"/>
      <c r="Q179" s="44"/>
      <c r="R179" s="44"/>
      <c r="S179" s="44"/>
      <c r="T179" s="44" t="n">
        <v>50</v>
      </c>
      <c r="U179" s="44"/>
      <c r="V179" s="44"/>
      <c r="W179" s="44"/>
      <c r="X179" s="44" t="n">
        <v>0</v>
      </c>
    </row>
    <row r="180" ht="22" customHeight="1">
      <c r="A180" s="4"/>
      <c r="B180" s="2"/>
      <c r="C180" s="3"/>
      <c r="D180" s="3"/>
      <c r="E180" s="3"/>
      <c r="F180" s="3"/>
      <c r="G180" s="3"/>
      <c r="H180" s="3"/>
      <c r="I180" s="3"/>
      <c r="J180" s="3"/>
      <c r="K180" s="3"/>
      <c r="L180" s="3"/>
      <c r="M180" s="3"/>
      <c r="N180" s="3"/>
      <c r="O180" s="3"/>
      <c r="P180" s="3"/>
      <c r="Q180" s="3"/>
      <c r="R180" s="3"/>
      <c r="S180" s="3"/>
      <c r="T180" s="3"/>
      <c r="U180" s="3"/>
      <c r="V180" s="3"/>
      <c r="W180" s="3"/>
      <c r="X180" s="3"/>
    </row>
    <row r="181" ht="22" customHeight="1">
      <c r="A181" s="29" t="str">
        <v>Restructuring charges and liabilities: YTD</v>
      </c>
      <c r="B181" s="29"/>
      <c r="C181" s="32"/>
      <c r="D181" s="32"/>
      <c r="E181" s="32"/>
      <c r="F181" s="32"/>
      <c r="G181" s="32"/>
      <c r="H181" s="32"/>
      <c r="I181" s="32"/>
      <c r="J181" s="32"/>
      <c r="K181" s="32"/>
      <c r="L181" s="32"/>
      <c r="M181" s="32"/>
      <c r="N181" s="32"/>
      <c r="O181" s="32"/>
      <c r="P181" s="32"/>
      <c r="Q181" s="32"/>
      <c r="R181" s="32"/>
      <c r="S181" s="32"/>
      <c r="T181" s="32"/>
      <c r="U181" s="32"/>
      <c r="V181" s="32"/>
      <c r="W181" s="32"/>
      <c r="X181" s="32"/>
    </row>
    <row r="182" ht="18" customHeight="1">
      <c r="A182" s="33" t="str">
        <v>Productivity plans and cost categories retain their distinct scopes; any expected future charges are company plan disclosures, not workbook forecasts.</v>
      </c>
      <c r="B182" s="33"/>
      <c r="C182" s="35"/>
      <c r="D182" s="35"/>
      <c r="E182" s="35"/>
      <c r="F182" s="35"/>
      <c r="G182" s="35"/>
      <c r="H182" s="35"/>
      <c r="I182" s="35"/>
      <c r="J182" s="35"/>
      <c r="K182" s="35"/>
      <c r="L182" s="35"/>
      <c r="M182" s="35"/>
      <c r="N182" s="35"/>
      <c r="O182" s="35"/>
      <c r="P182" s="35"/>
      <c r="Q182" s="35"/>
      <c r="R182" s="35"/>
      <c r="S182" s="35"/>
      <c r="T182" s="35"/>
      <c r="U182" s="35"/>
      <c r="V182" s="35"/>
      <c r="W182" s="35"/>
      <c r="X182" s="35"/>
    </row>
    <row r="183" ht="22" customHeight="1">
      <c r="A183" s="4" t="str">
        <v>Cost of sales — A2019Productivity Plan / Cost Of Sales</v>
      </c>
      <c r="B183" s="2"/>
      <c r="C183" s="44"/>
      <c r="D183" s="44"/>
      <c r="E183" s="44"/>
      <c r="F183" s="44"/>
      <c r="G183" s="44"/>
      <c r="H183" s="44"/>
      <c r="I183" s="44"/>
      <c r="J183" s="44"/>
      <c r="K183" s="44"/>
      <c r="L183" s="44"/>
      <c r="M183" s="45"/>
      <c r="N183" s="44"/>
      <c r="O183" s="44" t="n">
        <v>6</v>
      </c>
      <c r="P183" s="44"/>
      <c r="Q183" s="44"/>
      <c r="R183" s="44"/>
      <c r="S183" s="44"/>
      <c r="T183" s="44"/>
      <c r="U183" s="44"/>
      <c r="V183" s="44"/>
      <c r="W183" s="44"/>
      <c r="X183" s="44"/>
    </row>
    <row r="184" ht="36" customHeight="1">
      <c r="A184" s="51" t="str">
        <v>Total restructuring and impairment charges — A2019Productivity Plan</v>
      </c>
      <c r="B184" s="52"/>
      <c r="C184" s="53"/>
      <c r="D184" s="53"/>
      <c r="E184" s="53"/>
      <c r="F184" s="53"/>
      <c r="G184" s="53"/>
      <c r="H184" s="53"/>
      <c r="I184" s="53"/>
      <c r="J184" s="53"/>
      <c r="K184" s="53"/>
      <c r="L184" s="53"/>
      <c r="M184" s="55"/>
      <c r="N184" s="53"/>
      <c r="O184" s="53" t="n">
        <v>170</v>
      </c>
      <c r="P184" s="53" t="n">
        <v>415</v>
      </c>
      <c r="Q184" s="53"/>
      <c r="R184" s="53"/>
      <c r="S184" s="53" t="n">
        <v>426</v>
      </c>
      <c r="T184" s="53" t="n">
        <v>567</v>
      </c>
      <c r="U184" s="53"/>
      <c r="V184" s="53"/>
      <c r="W184" s="53" t="n">
        <v>182</v>
      </c>
      <c r="X184" s="53" t="n">
        <v>367</v>
      </c>
    </row>
    <row r="185" ht="36" customHeight="1">
      <c r="A185" s="4" t="str">
        <v>Severance and other employee costs — A2019Productivity Plan / Employee Severance</v>
      </c>
      <c r="B185" s="2"/>
      <c r="C185" s="44"/>
      <c r="D185" s="44"/>
      <c r="E185" s="44"/>
      <c r="F185" s="44"/>
      <c r="G185" s="44"/>
      <c r="H185" s="44"/>
      <c r="I185" s="44"/>
      <c r="J185" s="44"/>
      <c r="K185" s="44"/>
      <c r="L185" s="44"/>
      <c r="M185" s="45"/>
      <c r="N185" s="44"/>
      <c r="O185" s="44" t="n">
        <v>82</v>
      </c>
      <c r="P185" s="44"/>
      <c r="Q185" s="44"/>
      <c r="R185" s="44"/>
      <c r="S185" s="44" t="n">
        <v>122</v>
      </c>
      <c r="T185" s="44" t="n">
        <v>168</v>
      </c>
      <c r="U185" s="44"/>
      <c r="V185" s="44"/>
      <c r="W185" s="44" t="n">
        <v>51</v>
      </c>
      <c r="X185" s="44" t="n">
        <v>199</v>
      </c>
    </row>
    <row r="186" ht="36" customHeight="1">
      <c r="A186" s="4" t="str">
        <v>Other costs — A2019Productivity Plan / Other Restructuring</v>
      </c>
      <c r="B186" s="2"/>
      <c r="C186" s="44"/>
      <c r="D186" s="44"/>
      <c r="E186" s="44"/>
      <c r="F186" s="44"/>
      <c r="G186" s="44"/>
      <c r="H186" s="44"/>
      <c r="I186" s="44"/>
      <c r="J186" s="44"/>
      <c r="K186" s="44"/>
      <c r="L186" s="44"/>
      <c r="M186" s="45"/>
      <c r="N186" s="44"/>
      <c r="O186" s="44" t="n">
        <v>84</v>
      </c>
      <c r="P186" s="44"/>
      <c r="Q186" s="44"/>
      <c r="R186" s="44"/>
      <c r="S186" s="44" t="n">
        <v>217</v>
      </c>
      <c r="T186" s="44" t="n">
        <v>290</v>
      </c>
      <c r="U186" s="44"/>
      <c r="V186" s="44"/>
      <c r="W186" s="44" t="n">
        <v>72</v>
      </c>
      <c r="X186" s="44" t="n">
        <v>109</v>
      </c>
    </row>
    <row r="187" ht="24" customHeight="1">
      <c r="A187" s="51" t="str">
        <v>Total — A2019Productivity Plan</v>
      </c>
      <c r="B187" s="52"/>
      <c r="C187" s="53"/>
      <c r="D187" s="53"/>
      <c r="E187" s="53"/>
      <c r="F187" s="53"/>
      <c r="G187" s="53"/>
      <c r="H187" s="53"/>
      <c r="I187" s="53"/>
      <c r="J187" s="53"/>
      <c r="K187" s="53"/>
      <c r="L187" s="53"/>
      <c r="M187" s="55"/>
      <c r="N187" s="53"/>
      <c r="O187" s="53" t="n">
        <v>170</v>
      </c>
      <c r="P187" s="53" t="n">
        <v>415</v>
      </c>
      <c r="Q187" s="53"/>
      <c r="R187" s="53"/>
      <c r="S187" s="53" t="n">
        <v>426</v>
      </c>
      <c r="T187" s="53" t="n">
        <v>567</v>
      </c>
      <c r="U187" s="53"/>
      <c r="V187" s="53"/>
      <c r="W187" s="53" t="n">
        <v>182</v>
      </c>
      <c r="X187" s="53" t="n">
        <v>367</v>
      </c>
    </row>
    <row r="188" ht="36" customHeight="1">
      <c r="A188" s="4" t="str">
        <v>2024 restructuring charges — Severance and Other Employee Costs</v>
      </c>
      <c r="B188" s="2"/>
      <c r="C188" s="44"/>
      <c r="D188" s="44"/>
      <c r="E188" s="44"/>
      <c r="F188" s="44"/>
      <c r="G188" s="44"/>
      <c r="H188" s="44"/>
      <c r="I188" s="44"/>
      <c r="J188" s="44"/>
      <c r="K188" s="44" t="n">
        <v>82</v>
      </c>
      <c r="L188" s="44" t="n">
        <v>122</v>
      </c>
      <c r="M188" s="45"/>
      <c r="N188" s="44"/>
      <c r="O188" s="44"/>
      <c r="P188" s="44"/>
      <c r="Q188" s="44"/>
      <c r="R188" s="44"/>
      <c r="S188" s="44"/>
      <c r="T188" s="44"/>
      <c r="U188" s="44"/>
      <c r="V188" s="44"/>
      <c r="W188" s="44"/>
      <c r="X188" s="44"/>
    </row>
    <row r="189" ht="22" customHeight="1">
      <c r="A189" s="4" t="str">
        <v>2024 restructuring charges — Asset Impairments</v>
      </c>
      <c r="B189" s="2"/>
      <c r="C189" s="44"/>
      <c r="D189" s="44"/>
      <c r="E189" s="44"/>
      <c r="F189" s="44"/>
      <c r="G189" s="44"/>
      <c r="H189" s="44"/>
      <c r="I189" s="44"/>
      <c r="J189" s="44"/>
      <c r="K189" s="44" t="n">
        <v>4</v>
      </c>
      <c r="L189" s="44" t="n">
        <v>87</v>
      </c>
      <c r="M189" s="45"/>
      <c r="N189" s="44"/>
      <c r="O189" s="44"/>
      <c r="P189" s="44"/>
      <c r="Q189" s="44"/>
      <c r="R189" s="44"/>
      <c r="S189" s="44"/>
      <c r="T189" s="44"/>
      <c r="U189" s="44"/>
      <c r="V189" s="44"/>
      <c r="W189" s="44"/>
      <c r="X189" s="44"/>
    </row>
    <row r="190" ht="22" customHeight="1">
      <c r="A190" s="4" t="str">
        <v>2024 restructuring charges — Other Costs</v>
      </c>
      <c r="B190" s="2"/>
      <c r="C190" s="44"/>
      <c r="D190" s="44"/>
      <c r="E190" s="44"/>
      <c r="F190" s="44"/>
      <c r="G190" s="44"/>
      <c r="H190" s="44"/>
      <c r="I190" s="44"/>
      <c r="J190" s="44"/>
      <c r="K190" s="44" t="n">
        <v>84</v>
      </c>
      <c r="L190" s="44" t="n">
        <v>217</v>
      </c>
      <c r="M190" s="45"/>
      <c r="N190" s="44"/>
      <c r="O190" s="44"/>
      <c r="P190" s="44"/>
      <c r="Q190" s="44"/>
      <c r="R190" s="44"/>
      <c r="S190" s="44"/>
      <c r="T190" s="44"/>
      <c r="U190" s="44"/>
      <c r="V190" s="44"/>
      <c r="W190" s="44"/>
      <c r="X190" s="44"/>
    </row>
    <row r="191" ht="22" customHeight="1">
      <c r="A191" s="4" t="str">
        <v>2024 restructuring charges — Total</v>
      </c>
      <c r="B191" s="2"/>
      <c r="C191" s="44"/>
      <c r="D191" s="44"/>
      <c r="E191" s="44"/>
      <c r="F191" s="44"/>
      <c r="G191" s="44"/>
      <c r="H191" s="44"/>
      <c r="I191" s="44"/>
      <c r="J191" s="44"/>
      <c r="K191" s="44" t="n">
        <v>170</v>
      </c>
      <c r="L191" s="44" t="n">
        <v>426</v>
      </c>
      <c r="M191" s="45"/>
      <c r="N191" s="44"/>
      <c r="O191" s="44"/>
      <c r="P191" s="44"/>
      <c r="Q191" s="44"/>
      <c r="R191" s="44"/>
      <c r="S191" s="44"/>
      <c r="T191" s="44"/>
      <c r="U191" s="44"/>
      <c r="V191" s="44"/>
      <c r="W191" s="44"/>
      <c r="X191" s="44"/>
    </row>
    <row r="192" ht="22" customHeight="1">
      <c r="A192" s="4" t="str">
        <v>Cash payments — Severance and Other Employee Costs</v>
      </c>
      <c r="B192" s="2"/>
      <c r="C192" s="44"/>
      <c r="D192" s="44"/>
      <c r="E192" s="44"/>
      <c r="F192" s="44"/>
      <c r="G192" s="44"/>
      <c r="H192" s="44"/>
      <c r="I192" s="44"/>
      <c r="J192" s="44"/>
      <c r="K192" s="44"/>
      <c r="L192" s="44"/>
      <c r="M192" s="45"/>
      <c r="N192" s="44"/>
      <c r="O192" s="44" t="n">
        <v>-84</v>
      </c>
      <c r="P192" s="44" t="n">
        <v>-131</v>
      </c>
      <c r="Q192" s="44"/>
      <c r="R192" s="44"/>
      <c r="S192" s="44" t="n">
        <v>-153</v>
      </c>
      <c r="T192" s="44" t="n">
        <v>-245</v>
      </c>
      <c r="U192" s="44"/>
      <c r="V192" s="44"/>
      <c r="W192" s="44" t="n">
        <v>-172</v>
      </c>
      <c r="X192" s="44" t="n">
        <v>-231</v>
      </c>
    </row>
    <row r="193" ht="22" customHeight="1">
      <c r="A193" s="4" t="str">
        <v>Cash payments — Asset Impairments</v>
      </c>
      <c r="B193" s="2"/>
      <c r="C193" s="44"/>
      <c r="D193" s="44"/>
      <c r="E193" s="44"/>
      <c r="F193" s="44"/>
      <c r="G193" s="44"/>
      <c r="H193" s="44"/>
      <c r="I193" s="44"/>
      <c r="J193" s="44"/>
      <c r="K193" s="44"/>
      <c r="L193" s="44"/>
      <c r="M193" s="45"/>
      <c r="N193" s="44"/>
      <c r="O193" s="44" t="n">
        <v>0</v>
      </c>
      <c r="P193" s="44" t="n">
        <v>0</v>
      </c>
      <c r="Q193" s="44"/>
      <c r="R193" s="44"/>
      <c r="S193" s="44" t="n">
        <v>0</v>
      </c>
      <c r="T193" s="44" t="n">
        <v>0</v>
      </c>
      <c r="U193" s="44"/>
      <c r="V193" s="44"/>
      <c r="W193" s="44" t="n">
        <v>0</v>
      </c>
      <c r="X193" s="44" t="n">
        <v>0</v>
      </c>
    </row>
    <row r="194" ht="22" customHeight="1">
      <c r="A194" s="4" t="str">
        <v>Cash payments — Other Costs</v>
      </c>
      <c r="B194" s="2"/>
      <c r="C194" s="44"/>
      <c r="D194" s="44"/>
      <c r="E194" s="44"/>
      <c r="F194" s="44"/>
      <c r="G194" s="44"/>
      <c r="H194" s="44"/>
      <c r="I194" s="44"/>
      <c r="J194" s="44"/>
      <c r="K194" s="44"/>
      <c r="L194" s="44"/>
      <c r="M194" s="45"/>
      <c r="N194" s="44"/>
      <c r="O194" s="44" t="n">
        <v>-89</v>
      </c>
      <c r="P194" s="44" t="n">
        <v>-153</v>
      </c>
      <c r="Q194" s="44"/>
      <c r="R194" s="44"/>
      <c r="S194" s="44" t="n">
        <v>-234</v>
      </c>
      <c r="T194" s="44" t="n">
        <v>-309</v>
      </c>
      <c r="U194" s="44"/>
      <c r="V194" s="44"/>
      <c r="W194" s="44" t="n">
        <v>-92</v>
      </c>
      <c r="X194" s="44" t="n">
        <v>-142</v>
      </c>
    </row>
    <row r="195" ht="22" customHeight="1">
      <c r="A195" s="4" t="str">
        <v>Cash payments — Total</v>
      </c>
      <c r="B195" s="2"/>
      <c r="C195" s="44"/>
      <c r="D195" s="44"/>
      <c r="E195" s="44"/>
      <c r="F195" s="44"/>
      <c r="G195" s="44"/>
      <c r="H195" s="44"/>
      <c r="I195" s="44"/>
      <c r="J195" s="44"/>
      <c r="K195" s="44"/>
      <c r="L195" s="44"/>
      <c r="M195" s="45"/>
      <c r="N195" s="44"/>
      <c r="O195" s="44" t="n">
        <v>-173</v>
      </c>
      <c r="P195" s="44" t="n">
        <v>-284</v>
      </c>
      <c r="Q195" s="44"/>
      <c r="R195" s="44"/>
      <c r="S195" s="44" t="n">
        <v>-387</v>
      </c>
      <c r="T195" s="44" t="n">
        <v>-554</v>
      </c>
      <c r="U195" s="44"/>
      <c r="V195" s="44"/>
      <c r="W195" s="44" t="n">
        <v>-264</v>
      </c>
      <c r="X195" s="44" t="n">
        <v>-373</v>
      </c>
    </row>
    <row r="196" ht="36" customHeight="1">
      <c r="A196" s="4" t="str">
        <v>Non-cash charges and translation — Severance and Other Employee Costs</v>
      </c>
      <c r="B196" s="2"/>
      <c r="C196" s="44"/>
      <c r="D196" s="44"/>
      <c r="E196" s="44"/>
      <c r="F196" s="44"/>
      <c r="G196" s="44"/>
      <c r="H196" s="44"/>
      <c r="I196" s="44"/>
      <c r="J196" s="44"/>
      <c r="K196" s="44"/>
      <c r="L196" s="44"/>
      <c r="M196" s="45"/>
      <c r="N196" s="44"/>
      <c r="O196" s="44" t="n">
        <v>-11</v>
      </c>
      <c r="P196" s="44" t="n">
        <v>-17</v>
      </c>
      <c r="Q196" s="44"/>
      <c r="R196" s="44"/>
      <c r="S196" s="44" t="n">
        <v>-7</v>
      </c>
      <c r="T196" s="44" t="n">
        <v>-1</v>
      </c>
      <c r="U196" s="44"/>
      <c r="V196" s="44"/>
      <c r="W196" s="44" t="n">
        <v>-1</v>
      </c>
      <c r="X196" s="44" t="n">
        <v>3</v>
      </c>
    </row>
    <row r="197" ht="22" customHeight="1">
      <c r="A197" s="4" t="str">
        <v>Non-cash charges and translation — Asset Impairments</v>
      </c>
      <c r="B197" s="2"/>
      <c r="C197" s="44"/>
      <c r="D197" s="44"/>
      <c r="E197" s="44"/>
      <c r="F197" s="44"/>
      <c r="G197" s="44"/>
      <c r="H197" s="44"/>
      <c r="I197" s="44"/>
      <c r="J197" s="44"/>
      <c r="K197" s="44"/>
      <c r="L197" s="44"/>
      <c r="M197" s="45"/>
      <c r="N197" s="44"/>
      <c r="O197" s="44" t="n">
        <v>-4</v>
      </c>
      <c r="P197" s="44" t="n">
        <v>-34</v>
      </c>
      <c r="Q197" s="44"/>
      <c r="R197" s="44"/>
      <c r="S197" s="44" t="n">
        <v>-87</v>
      </c>
      <c r="T197" s="44" t="n">
        <v>-109</v>
      </c>
      <c r="U197" s="44"/>
      <c r="V197" s="44"/>
      <c r="W197" s="44" t="n">
        <v>-59</v>
      </c>
      <c r="X197" s="44" t="n">
        <v>-59</v>
      </c>
    </row>
    <row r="198" ht="22" customHeight="1">
      <c r="A198" s="4" t="str">
        <v>Non-cash charges and translation — Other Costs</v>
      </c>
      <c r="B198" s="2"/>
      <c r="C198" s="44"/>
      <c r="D198" s="44"/>
      <c r="E198" s="44"/>
      <c r="F198" s="44"/>
      <c r="G198" s="44"/>
      <c r="H198" s="44"/>
      <c r="I198" s="44"/>
      <c r="J198" s="44"/>
      <c r="K198" s="44"/>
      <c r="L198" s="44"/>
      <c r="M198" s="45"/>
      <c r="N198" s="44"/>
      <c r="O198" s="44" t="n">
        <v>14</v>
      </c>
      <c r="P198" s="44" t="n">
        <v>22</v>
      </c>
      <c r="Q198" s="44"/>
      <c r="R198" s="44"/>
      <c r="S198" s="44" t="n">
        <v>1</v>
      </c>
      <c r="T198" s="44" t="n">
        <v>-1</v>
      </c>
      <c r="U198" s="44"/>
      <c r="V198" s="44"/>
      <c r="W198" s="44" t="n">
        <v>12</v>
      </c>
      <c r="X198" s="44" t="n">
        <v>23</v>
      </c>
    </row>
    <row r="199" ht="22" customHeight="1">
      <c r="A199" s="4" t="str">
        <v>Non-cash charges and translation — Total</v>
      </c>
      <c r="B199" s="2"/>
      <c r="C199" s="44"/>
      <c r="D199" s="44"/>
      <c r="E199" s="44"/>
      <c r="F199" s="44"/>
      <c r="G199" s="44"/>
      <c r="H199" s="44"/>
      <c r="I199" s="44"/>
      <c r="J199" s="44"/>
      <c r="K199" s="44"/>
      <c r="L199" s="44"/>
      <c r="M199" s="45"/>
      <c r="N199" s="44"/>
      <c r="O199" s="44" t="n">
        <v>-1</v>
      </c>
      <c r="P199" s="44" t="n">
        <v>-29</v>
      </c>
      <c r="Q199" s="44"/>
      <c r="R199" s="44"/>
      <c r="S199" s="44" t="n">
        <v>-93</v>
      </c>
      <c r="T199" s="44" t="n">
        <v>-111</v>
      </c>
      <c r="U199" s="44"/>
      <c r="V199" s="44"/>
      <c r="W199" s="44" t="n">
        <v>-48</v>
      </c>
      <c r="X199" s="44" t="n">
        <v>-33</v>
      </c>
    </row>
    <row r="200" ht="22" customHeight="1">
      <c r="A200" s="4" t="str">
        <v>Cost of sales — Cost Of Sales / A2019Productivity Plan</v>
      </c>
      <c r="B200" s="2"/>
      <c r="C200" s="44"/>
      <c r="D200" s="44"/>
      <c r="E200" s="44"/>
      <c r="F200" s="44"/>
      <c r="G200" s="44"/>
      <c r="H200" s="44"/>
      <c r="I200" s="44"/>
      <c r="J200" s="44"/>
      <c r="K200" s="44"/>
      <c r="L200" s="44"/>
      <c r="M200" s="45"/>
      <c r="N200" s="44"/>
      <c r="O200" s="44" t="n">
        <v>6</v>
      </c>
      <c r="P200" s="44" t="n">
        <v>16</v>
      </c>
      <c r="Q200" s="44"/>
      <c r="R200" s="44"/>
      <c r="S200" s="44" t="n">
        <v>103</v>
      </c>
      <c r="T200" s="44" t="n">
        <v>119</v>
      </c>
      <c r="U200" s="44"/>
      <c r="V200" s="44"/>
      <c r="W200" s="44"/>
      <c r="X200" s="44"/>
    </row>
    <row r="201" ht="36" customHeight="1">
      <c r="A201" s="4" t="str">
        <v>Severance and other employee costs — Employee Severance / A2019Productivity Plan</v>
      </c>
      <c r="B201" s="2"/>
      <c r="C201" s="44"/>
      <c r="D201" s="44"/>
      <c r="E201" s="44"/>
      <c r="F201" s="44"/>
      <c r="G201" s="44"/>
      <c r="H201" s="44"/>
      <c r="I201" s="44"/>
      <c r="J201" s="44"/>
      <c r="K201" s="44"/>
      <c r="L201" s="44"/>
      <c r="M201" s="45"/>
      <c r="N201" s="44"/>
      <c r="O201" s="44" t="n">
        <v>82</v>
      </c>
      <c r="P201" s="44" t="n">
        <v>233</v>
      </c>
      <c r="Q201" s="44"/>
      <c r="R201" s="44"/>
      <c r="S201" s="44" t="n">
        <v>122</v>
      </c>
      <c r="T201" s="44" t="n">
        <v>168</v>
      </c>
      <c r="U201" s="44"/>
      <c r="V201" s="44"/>
      <c r="W201" s="44"/>
      <c r="X201" s="44"/>
    </row>
    <row r="202" ht="36" customHeight="1">
      <c r="A202" s="4" t="str">
        <v>Other costs — Other Restructuring / A2019Productivity Plan</v>
      </c>
      <c r="B202" s="2"/>
      <c r="C202" s="44"/>
      <c r="D202" s="44"/>
      <c r="E202" s="44"/>
      <c r="F202" s="44"/>
      <c r="G202" s="44"/>
      <c r="H202" s="44"/>
      <c r="I202" s="44"/>
      <c r="J202" s="44"/>
      <c r="K202" s="44"/>
      <c r="L202" s="44"/>
      <c r="M202" s="45"/>
      <c r="N202" s="44"/>
      <c r="O202" s="44" t="n">
        <v>84</v>
      </c>
      <c r="P202" s="44" t="n">
        <v>148</v>
      </c>
      <c r="Q202" s="44"/>
      <c r="R202" s="44"/>
      <c r="S202" s="44" t="n">
        <v>217</v>
      </c>
      <c r="T202" s="44" t="n">
        <v>290</v>
      </c>
      <c r="U202" s="44"/>
      <c r="V202" s="44"/>
      <c r="W202" s="44"/>
      <c r="X202" s="44"/>
    </row>
    <row r="203" ht="22" customHeight="1">
      <c r="A203" s="4" t="str">
        <v>Cost of sales</v>
      </c>
      <c r="B203" s="2"/>
      <c r="C203" s="44"/>
      <c r="D203" s="44"/>
      <c r="E203" s="44"/>
      <c r="F203" s="44"/>
      <c r="G203" s="44"/>
      <c r="H203" s="44"/>
      <c r="I203" s="44"/>
      <c r="J203" s="44"/>
      <c r="K203" s="44"/>
      <c r="L203" s="44"/>
      <c r="M203" s="45"/>
      <c r="N203" s="44"/>
      <c r="O203" s="44"/>
      <c r="P203" s="44" t="n">
        <v>0</v>
      </c>
      <c r="Q203" s="44"/>
      <c r="R203" s="44"/>
      <c r="S203" s="44"/>
      <c r="T203" s="44" t="n">
        <v>46</v>
      </c>
      <c r="U203" s="44"/>
      <c r="V203" s="44"/>
      <c r="W203" s="44"/>
      <c r="X203" s="44"/>
    </row>
    <row r="204" ht="24" customHeight="1">
      <c r="A204" s="51" t="str">
        <v>Total — Operating Income Loss</v>
      </c>
      <c r="B204" s="52"/>
      <c r="C204" s="53"/>
      <c r="D204" s="53"/>
      <c r="E204" s="53"/>
      <c r="F204" s="53"/>
      <c r="G204" s="53"/>
      <c r="H204" s="53"/>
      <c r="I204" s="53"/>
      <c r="J204" s="53"/>
      <c r="K204" s="53"/>
      <c r="L204" s="53"/>
      <c r="M204" s="55"/>
      <c r="N204" s="53"/>
      <c r="O204" s="53"/>
      <c r="P204" s="53" t="n">
        <v>7</v>
      </c>
      <c r="Q204" s="53"/>
      <c r="R204" s="53"/>
      <c r="S204" s="53"/>
      <c r="T204" s="53" t="n">
        <v>308</v>
      </c>
      <c r="U204" s="53"/>
      <c r="V204" s="53"/>
      <c r="W204" s="53"/>
      <c r="X204" s="53"/>
    </row>
    <row r="205" ht="36" customHeight="1">
      <c r="A205" s="4" t="str">
        <v>Cost of sales — A2019Productivity Plan / Cost Of Goods And Services Sold Restructuring</v>
      </c>
      <c r="B205" s="2"/>
      <c r="C205" s="44"/>
      <c r="D205" s="44"/>
      <c r="E205" s="44"/>
      <c r="F205" s="44"/>
      <c r="G205" s="44"/>
      <c r="H205" s="44"/>
      <c r="I205" s="44"/>
      <c r="J205" s="44"/>
      <c r="K205" s="44"/>
      <c r="L205" s="44"/>
      <c r="M205" s="45"/>
      <c r="N205" s="44"/>
      <c r="O205" s="44"/>
      <c r="P205" s="44"/>
      <c r="Q205" s="44"/>
      <c r="R205" s="44"/>
      <c r="S205" s="44" t="n">
        <v>103</v>
      </c>
      <c r="T205" s="44"/>
      <c r="U205" s="44"/>
      <c r="V205" s="44"/>
      <c r="W205" s="44" t="n">
        <v>18</v>
      </c>
      <c r="X205" s="44"/>
    </row>
    <row r="206" ht="36" customHeight="1">
      <c r="A206" s="4" t="str">
        <v>Restructuring charges — Severance and Other Employee Costs</v>
      </c>
      <c r="B206" s="2"/>
      <c r="C206" s="44"/>
      <c r="D206" s="44"/>
      <c r="E206" s="44"/>
      <c r="F206" s="44"/>
      <c r="G206" s="44"/>
      <c r="H206" s="44"/>
      <c r="I206" s="44"/>
      <c r="J206" s="44"/>
      <c r="K206" s="44"/>
      <c r="L206" s="44"/>
      <c r="M206" s="45"/>
      <c r="N206" s="44"/>
      <c r="O206" s="44"/>
      <c r="P206" s="44"/>
      <c r="Q206" s="44"/>
      <c r="R206" s="44"/>
      <c r="S206" s="44"/>
      <c r="T206" s="44"/>
      <c r="U206" s="44"/>
      <c r="V206" s="44"/>
      <c r="W206" s="44" t="n">
        <v>51</v>
      </c>
      <c r="X206" s="44" t="n">
        <v>199</v>
      </c>
    </row>
    <row r="207" ht="22" customHeight="1">
      <c r="A207" s="4" t="str">
        <v>Restructuring charges — Asset Impairments</v>
      </c>
      <c r="B207" s="2"/>
      <c r="C207" s="44"/>
      <c r="D207" s="44"/>
      <c r="E207" s="44"/>
      <c r="F207" s="44"/>
      <c r="G207" s="44"/>
      <c r="H207" s="44"/>
      <c r="I207" s="44"/>
      <c r="J207" s="44"/>
      <c r="K207" s="44"/>
      <c r="L207" s="44"/>
      <c r="M207" s="45"/>
      <c r="N207" s="44"/>
      <c r="O207" s="44"/>
      <c r="P207" s="44"/>
      <c r="Q207" s="44"/>
      <c r="R207" s="44"/>
      <c r="S207" s="44"/>
      <c r="T207" s="44"/>
      <c r="U207" s="44"/>
      <c r="V207" s="44"/>
      <c r="W207" s="44" t="n">
        <v>59</v>
      </c>
      <c r="X207" s="44" t="n">
        <v>59</v>
      </c>
    </row>
    <row r="208" ht="22" customHeight="1">
      <c r="A208" s="4" t="str">
        <v>Restructuring charges — Other Costs</v>
      </c>
      <c r="B208" s="2"/>
      <c r="C208" s="44"/>
      <c r="D208" s="44"/>
      <c r="E208" s="44"/>
      <c r="F208" s="44"/>
      <c r="G208" s="44"/>
      <c r="H208" s="44"/>
      <c r="I208" s="44"/>
      <c r="J208" s="44"/>
      <c r="K208" s="44"/>
      <c r="L208" s="44"/>
      <c r="M208" s="45"/>
      <c r="N208" s="44"/>
      <c r="O208" s="44"/>
      <c r="P208" s="44"/>
      <c r="Q208" s="44"/>
      <c r="R208" s="44"/>
      <c r="S208" s="44"/>
      <c r="T208" s="44"/>
      <c r="U208" s="44"/>
      <c r="V208" s="44"/>
      <c r="W208" s="44" t="n">
        <v>72</v>
      </c>
      <c r="X208" s="44" t="n">
        <v>109</v>
      </c>
    </row>
    <row r="209" ht="22" customHeight="1">
      <c r="A209" s="4" t="str">
        <v>Restructuring charges — Total</v>
      </c>
      <c r="B209" s="2"/>
      <c r="C209" s="44"/>
      <c r="D209" s="44"/>
      <c r="E209" s="44"/>
      <c r="F209" s="44"/>
      <c r="G209" s="44"/>
      <c r="H209" s="44"/>
      <c r="I209" s="44"/>
      <c r="J209" s="44"/>
      <c r="K209" s="44"/>
      <c r="L209" s="44"/>
      <c r="M209" s="45"/>
      <c r="N209" s="44"/>
      <c r="O209" s="44"/>
      <c r="P209" s="44"/>
      <c r="Q209" s="44"/>
      <c r="R209" s="44"/>
      <c r="S209" s="44"/>
      <c r="T209" s="44"/>
      <c r="U209" s="44"/>
      <c r="V209" s="44"/>
      <c r="W209" s="44" t="n">
        <v>182</v>
      </c>
      <c r="X209" s="44" t="n">
        <v>367</v>
      </c>
    </row>
    <row r="210" ht="36" customHeight="1">
      <c r="A210" s="4" t="str">
        <v>Cost of sales — Cost Of Goods And Services Sold Restructuring / A2019Productivity Plan</v>
      </c>
      <c r="B210" s="2"/>
      <c r="C210" s="44"/>
      <c r="D210" s="44"/>
      <c r="E210" s="44"/>
      <c r="F210" s="44"/>
      <c r="G210" s="44"/>
      <c r="H210" s="44"/>
      <c r="I210" s="44"/>
      <c r="J210" s="44"/>
      <c r="K210" s="44"/>
      <c r="L210" s="44"/>
      <c r="M210" s="45"/>
      <c r="N210" s="44"/>
      <c r="O210" s="44"/>
      <c r="P210" s="44"/>
      <c r="Q210" s="44"/>
      <c r="R210" s="44"/>
      <c r="S210" s="44"/>
      <c r="T210" s="44" t="n">
        <v>119</v>
      </c>
      <c r="U210" s="44"/>
      <c r="V210" s="44"/>
      <c r="W210" s="44"/>
      <c r="X210" s="44" t="n">
        <v>27</v>
      </c>
    </row>
    <row r="211" ht="22" customHeight="1">
      <c r="A211" s="4" t="str">
        <v>Cost of sales — Cost Of Sales Domain</v>
      </c>
      <c r="B211" s="2"/>
      <c r="C211" s="44"/>
      <c r="D211" s="44"/>
      <c r="E211" s="44"/>
      <c r="F211" s="44"/>
      <c r="G211" s="44"/>
      <c r="H211" s="44"/>
      <c r="I211" s="44"/>
      <c r="J211" s="44"/>
      <c r="K211" s="44"/>
      <c r="L211" s="44"/>
      <c r="M211" s="45"/>
      <c r="N211" s="44"/>
      <c r="O211" s="44"/>
      <c r="P211" s="44"/>
      <c r="Q211" s="44"/>
      <c r="R211" s="44"/>
      <c r="S211" s="44"/>
      <c r="T211" s="44" t="n">
        <v>46</v>
      </c>
      <c r="U211" s="44"/>
      <c r="V211" s="44"/>
      <c r="W211" s="44"/>
      <c r="X211" s="44" t="n">
        <v>0</v>
      </c>
    </row>
    <row r="212" ht="36" customHeight="1">
      <c r="A212" s="4" t="str">
        <v>Impairment of intangible assets — Impairment Other Charges Domain</v>
      </c>
      <c r="B212" s="2"/>
      <c r="C212" s="44"/>
      <c r="D212" s="44"/>
      <c r="E212" s="44"/>
      <c r="F212" s="44"/>
      <c r="G212" s="44"/>
      <c r="H212" s="44"/>
      <c r="I212" s="44"/>
      <c r="J212" s="44"/>
      <c r="K212" s="44"/>
      <c r="L212" s="44"/>
      <c r="M212" s="45"/>
      <c r="N212" s="44"/>
      <c r="O212" s="44"/>
      <c r="P212" s="44"/>
      <c r="Q212" s="44"/>
      <c r="R212" s="44"/>
      <c r="S212" s="44"/>
      <c r="T212" s="44" t="n">
        <v>50</v>
      </c>
      <c r="U212" s="44"/>
      <c r="V212" s="44"/>
      <c r="W212" s="44"/>
      <c r="X212" s="44" t="n">
        <v>0</v>
      </c>
    </row>
    <row r="213" ht="24" customHeight="1">
      <c r="A213" s="51" t="str">
        <v>Total</v>
      </c>
      <c r="B213" s="52"/>
      <c r="C213" s="53"/>
      <c r="D213" s="53"/>
      <c r="E213" s="53"/>
      <c r="F213" s="53"/>
      <c r="G213" s="53"/>
      <c r="H213" s="53"/>
      <c r="I213" s="53"/>
      <c r="J213" s="53"/>
      <c r="K213" s="53"/>
      <c r="L213" s="53"/>
      <c r="M213" s="55"/>
      <c r="N213" s="53"/>
      <c r="O213" s="53"/>
      <c r="P213" s="53"/>
      <c r="Q213" s="53"/>
      <c r="R213" s="53"/>
      <c r="S213" s="53"/>
      <c r="T213" s="53" t="n">
        <v>308</v>
      </c>
      <c r="U213" s="53"/>
      <c r="V213" s="53"/>
      <c r="W213" s="53"/>
      <c r="X213" s="53" t="n">
        <v>-254</v>
      </c>
    </row>
    <row r="214" ht="22" customHeight="1">
      <c r="A214" s="4"/>
      <c r="B214" s="2"/>
      <c r="C214" s="3"/>
      <c r="D214" s="3"/>
      <c r="E214" s="3"/>
      <c r="F214" s="3"/>
      <c r="G214" s="3"/>
      <c r="H214" s="3"/>
      <c r="I214" s="3"/>
      <c r="J214" s="3"/>
      <c r="K214" s="3"/>
      <c r="L214" s="3"/>
      <c r="M214" s="3"/>
      <c r="N214" s="3"/>
      <c r="O214" s="3"/>
      <c r="P214" s="3"/>
      <c r="Q214" s="3"/>
      <c r="R214" s="3"/>
      <c r="S214" s="3"/>
      <c r="T214" s="3"/>
      <c r="U214" s="3"/>
      <c r="V214" s="3"/>
      <c r="W214" s="3"/>
      <c r="X214" s="3"/>
    </row>
    <row r="215" ht="22" customHeight="1">
      <c r="A215" s="29" t="str">
        <v>Significant transactions and accounting treatment</v>
      </c>
      <c r="B215" s="29"/>
      <c r="C215" s="32"/>
      <c r="D215" s="32"/>
      <c r="E215" s="32"/>
      <c r="F215" s="32"/>
      <c r="G215" s="32"/>
      <c r="H215" s="32"/>
      <c r="I215" s="32"/>
      <c r="J215" s="32"/>
      <c r="K215" s="32"/>
      <c r="L215" s="32"/>
      <c r="M215" s="32"/>
      <c r="N215" s="32"/>
      <c r="O215" s="32"/>
      <c r="P215" s="32"/>
      <c r="Q215" s="32"/>
      <c r="R215" s="32"/>
      <c r="S215" s="32"/>
      <c r="T215" s="32"/>
      <c r="U215" s="32"/>
      <c r="V215" s="32"/>
      <c r="W215" s="32"/>
      <c r="X215" s="32"/>
    </row>
    <row r="216" ht="18" customHeight="1">
      <c r="A216" s="33" t="str">
        <v>Original filing excerpts and fiscal years are retained; payment terms are not workbook forecasts.</v>
      </c>
      <c r="B216" s="33"/>
      <c r="C216" s="35"/>
      <c r="D216" s="35"/>
      <c r="E216" s="35"/>
      <c r="F216" s="35"/>
      <c r="G216" s="35"/>
      <c r="H216" s="35"/>
      <c r="I216" s="35"/>
      <c r="J216" s="35"/>
      <c r="K216" s="35"/>
      <c r="L216" s="35"/>
      <c r="M216" s="35"/>
      <c r="N216" s="35"/>
      <c r="O216" s="35"/>
      <c r="P216" s="35"/>
      <c r="Q216" s="35"/>
      <c r="R216" s="35"/>
      <c r="S216" s="35"/>
      <c r="T216" s="35"/>
      <c r="U216" s="35"/>
      <c r="V216" s="35"/>
      <c r="W216" s="35"/>
      <c r="X216" s="35"/>
    </row>
    <row r="217" ht="66" customHeight="1">
      <c r="A217" s="33" t="str">
        <v>FY2018 source excerpt · SodaStream: On December 5, 2018, we acquired all of the outstanding shares of SodaStream, a manufacturer and distributor of sparkling water makers, for $144.00 per share in cash, in a transaction valued at approximately $3.3 billion . The total consideration transferred was approximately $3.3 billion (or $3.2 billion , net of cash and cash equivalents acquired), including $2.0 billion of consideration held by our paying agent in connection with this acquisition and reported as restricted cash as of December 29, 2018.</v>
      </c>
      <c r="B217" s="33"/>
      <c r="C217" s="35"/>
      <c r="D217" s="35"/>
      <c r="E217" s="35"/>
      <c r="F217" s="35"/>
      <c r="G217" s="35"/>
      <c r="H217" s="35"/>
      <c r="I217" s="35"/>
      <c r="J217" s="35"/>
      <c r="K217" s="35"/>
      <c r="L217" s="35"/>
      <c r="M217" s="3"/>
      <c r="N217" s="3"/>
      <c r="O217" s="3"/>
      <c r="P217" s="3"/>
      <c r="Q217" s="3"/>
      <c r="R217" s="3"/>
      <c r="S217" s="3"/>
      <c r="T217" s="3"/>
      <c r="U217" s="3"/>
      <c r="V217" s="3"/>
      <c r="W217" s="3"/>
      <c r="X217" s="3"/>
    </row>
    <row r="218" ht="50" customHeight="1">
      <c r="A218" s="33" t="str">
        <v>FY2020 source excerpt · Pioneer Foods: On March 23, 2020, we acquired all of the outstanding shares of Pioneer Foods, a food and beverage company in South Africa with exports to countries across the globe, for 110.00 South African rand per share in cash. The total consideration transferred was approximately $ 1.2 billion and was funded by the Bridge Loan Facilities entered into by one of our international consolidated subsidiaries.</v>
      </c>
      <c r="B218" s="33"/>
      <c r="C218" s="35"/>
      <c r="D218" s="35"/>
      <c r="E218" s="35"/>
      <c r="F218" s="35"/>
      <c r="G218" s="35"/>
      <c r="H218" s="35"/>
      <c r="I218" s="35"/>
      <c r="J218" s="35"/>
      <c r="K218" s="35"/>
      <c r="L218" s="35"/>
      <c r="M218" s="3"/>
      <c r="N218" s="3"/>
      <c r="O218" s="3"/>
      <c r="P218" s="3"/>
      <c r="Q218" s="3"/>
      <c r="R218" s="3"/>
      <c r="S218" s="3"/>
      <c r="T218" s="3"/>
      <c r="U218" s="3"/>
      <c r="V218" s="3"/>
      <c r="W218" s="3"/>
      <c r="X218" s="3"/>
    </row>
    <row r="219" ht="50" customHeight="1">
      <c r="A219" s="33" t="str">
        <v>FY2020 source excerpt · Rockstar: On April 24, 2020, we acquired Rockstar, an energy drink maker with whom we had a distribution agreement prior to the acquisition, for an upfront cash payment of approximately $ 3.85 billion and contingent consideration related to estimated future tax benefits associated with the acquisition of approximately $ 0.9 billion. See Note 9 for further information about the contingent consideration.</v>
      </c>
      <c r="B219" s="33"/>
      <c r="C219" s="35"/>
      <c r="D219" s="35"/>
      <c r="E219" s="35"/>
      <c r="F219" s="35"/>
      <c r="G219" s="35"/>
      <c r="H219" s="35"/>
      <c r="I219" s="35"/>
      <c r="J219" s="35"/>
      <c r="K219" s="35"/>
      <c r="L219" s="35"/>
      <c r="M219" s="3"/>
      <c r="N219" s="3"/>
      <c r="O219" s="3"/>
      <c r="P219" s="3"/>
      <c r="Q219" s="3"/>
      <c r="R219" s="3"/>
      <c r="S219" s="3"/>
      <c r="T219" s="3"/>
      <c r="U219" s="3"/>
      <c r="V219" s="3"/>
      <c r="W219" s="3"/>
      <c r="X219" s="3"/>
    </row>
    <row r="220" ht="36" customHeight="1">
      <c r="A220" s="33" t="str">
        <v>FY2020 source excerpt · Be &amp; Cheery: On June 1, 2020, we acquired all of the outstanding shares of Be &amp; Cheery, one of the largest online snacks companies in China, from Haoxiangni Health Food Co., Ltd. for cash. The total consideration transferred was approximately $ 0.7 billion.</v>
      </c>
      <c r="B220" s="33"/>
      <c r="C220" s="35"/>
      <c r="D220" s="35"/>
      <c r="E220" s="35"/>
      <c r="F220" s="35"/>
      <c r="G220" s="35"/>
      <c r="H220" s="35"/>
      <c r="I220" s="35"/>
      <c r="J220" s="35"/>
      <c r="K220" s="35"/>
      <c r="L220" s="35"/>
      <c r="M220" s="3"/>
      <c r="N220" s="3"/>
      <c r="O220" s="3"/>
      <c r="P220" s="3"/>
      <c r="Q220" s="3"/>
      <c r="R220" s="3"/>
      <c r="S220" s="3"/>
      <c r="T220" s="3"/>
      <c r="U220" s="3"/>
      <c r="V220" s="3"/>
      <c r="W220" s="3"/>
      <c r="X220" s="3"/>
    </row>
    <row r="221" ht="66" customHeight="1">
      <c r="A221" s="33" t="str">
        <v>FY2022 source excerpt · Juice Transaction: In the first quarter of 2022, we sold our Tropicana, Naked and other select juice brands to PAI Partners, while retaining a 39% noncontrolling interest in a newly formed joint venture, Tropicana Brands Group (TBG), operating across North America and Europe (Juice Transaction). In the United States, PepsiCo acts as the exclusive distributor for TBG’s portfolio of brands for small-format and foodservice customers with chilled direct-store-delivery (DSD).</v>
      </c>
      <c r="B221" s="33"/>
      <c r="C221" s="35"/>
      <c r="D221" s="35"/>
      <c r="E221" s="35"/>
      <c r="F221" s="35"/>
      <c r="G221" s="35"/>
      <c r="H221" s="35"/>
      <c r="I221" s="35"/>
      <c r="J221" s="35"/>
      <c r="K221" s="35"/>
      <c r="L221" s="35"/>
      <c r="M221" s="3"/>
      <c r="N221" s="3"/>
      <c r="O221" s="3"/>
      <c r="P221" s="3"/>
      <c r="Q221" s="3"/>
      <c r="R221" s="3"/>
      <c r="S221" s="3"/>
      <c r="T221" s="3"/>
      <c r="U221" s="3"/>
      <c r="V221" s="3"/>
      <c r="W221" s="3"/>
      <c r="X221" s="3"/>
    </row>
    <row r="222" ht="50" customHeight="1">
      <c r="A222" s="33" t="str">
        <v>FY2025 source excerpt · poppi: On May 19, 2025, we acquired all of the outstanding equity interest in poppi, a prebiotic soda business, for cash consideration of $ 1.95 billion and contingent consideration with an acquisition date fair value of $ 0.2 billion. See Note 9 for further information on the contingent consideration. In connection with this acquisition, other payments may be incurred, subject to the achievement of certain conditions.</v>
      </c>
      <c r="B222" s="33"/>
      <c r="C222" s="35"/>
      <c r="D222" s="35"/>
      <c r="E222" s="35"/>
      <c r="F222" s="35"/>
      <c r="G222" s="35"/>
      <c r="H222" s="35"/>
      <c r="I222" s="35"/>
      <c r="J222" s="35"/>
      <c r="K222" s="35"/>
      <c r="L222" s="35"/>
      <c r="M222" s="3"/>
      <c r="N222" s="3"/>
      <c r="O222" s="3"/>
      <c r="P222" s="3"/>
      <c r="Q222" s="3"/>
      <c r="R222" s="3"/>
      <c r="S222" s="3"/>
      <c r="T222" s="3"/>
      <c r="U222" s="3"/>
      <c r="V222" s="3"/>
      <c r="W222" s="3"/>
      <c r="X222" s="3"/>
    </row>
    <row r="223" ht="36" customHeight="1">
      <c r="A223" s="33" t="str">
        <v>FY2025 source excerpt · Siete: On January 17, 2025, we acquired all of the outstanding equity interest in Siete, a Mexican-American foods business, for total consideration of $ 1.2 billion in cash. We accounted for the transaction as a business combination in the first quarter of 2025.</v>
      </c>
      <c r="B223" s="33"/>
      <c r="C223" s="35"/>
      <c r="D223" s="35"/>
      <c r="E223" s="35"/>
      <c r="F223" s="35"/>
      <c r="G223" s="35"/>
      <c r="H223" s="35"/>
      <c r="I223" s="35"/>
      <c r="J223" s="35"/>
      <c r="K223" s="35"/>
      <c r="L223" s="35"/>
      <c r="M223" s="3"/>
      <c r="N223" s="3"/>
      <c r="O223" s="3"/>
      <c r="P223" s="3"/>
      <c r="Q223" s="3"/>
      <c r="R223" s="3"/>
      <c r="S223" s="3"/>
      <c r="T223" s="3"/>
      <c r="U223" s="3"/>
      <c r="V223" s="3"/>
      <c r="W223" s="3"/>
      <c r="X223" s="3"/>
    </row>
    <row r="224" ht="66" customHeight="1">
      <c r="A224" s="33" t="str">
        <v>FY2025 source excerpt · Sabra: On December 3, 2024, we acquired the Strauss Group’s 50 % ownership in Sabra for total consideration of $ 241 million in cash, resulting in Sabra becoming a wholly-owned subsidiary. Upon consolidation, we recognized a pre-tax gain of $ 122 million ($ 92 million after-tax or $ 0.07 per share) in our PFNA segment, recorded in selling, general and administrative expenses, related to the remeasurement of our previously held 50 % equity ownership in Sabra at fair value using a combination of the transaction price, net of a control premium, and discounted cash flows.</v>
      </c>
      <c r="B224" s="33"/>
      <c r="C224" s="35"/>
      <c r="D224" s="35"/>
      <c r="E224" s="35"/>
      <c r="F224" s="35"/>
      <c r="G224" s="35"/>
      <c r="H224" s="35"/>
      <c r="I224" s="35"/>
      <c r="J224" s="35"/>
      <c r="K224" s="35"/>
      <c r="L224" s="35"/>
      <c r="M224" s="3"/>
      <c r="N224" s="3"/>
      <c r="O224" s="3"/>
      <c r="P224" s="3"/>
      <c r="Q224" s="3"/>
      <c r="R224" s="3"/>
      <c r="S224" s="3"/>
      <c r="T224" s="3"/>
      <c r="U224" s="3"/>
      <c r="V224" s="3"/>
      <c r="W224" s="3"/>
      <c r="X224" s="3"/>
    </row>
    <row r="225" ht="66" customHeight="1">
      <c r="A225" s="33" t="str">
        <v>FY2025 source excerpt · Celsius / Rockstar: On August 28, 2025, we consummated a transaction with Celsius, pursuant to which we acquired convertible preferred shares and transferred cash and certain non-cash assets, primarily the Rockstar brand of $ 0.5 billion in the United States and Canada (Celsius Transaction). For further information on the convertible preferred shares, see Note 9. On the same date, we entered into an agreement with Celsius to be the exclusive distributor for the Alani Nu brand in certain channels in the United States and Canada that commenced in the fourth quarter of 2025.</v>
      </c>
      <c r="B225" s="33"/>
      <c r="C225" s="35"/>
      <c r="D225" s="35"/>
      <c r="E225" s="35"/>
      <c r="F225" s="35"/>
      <c r="G225" s="35"/>
      <c r="H225" s="35"/>
      <c r="I225" s="35"/>
      <c r="J225" s="35"/>
      <c r="K225" s="35"/>
      <c r="L225" s="35"/>
      <c r="M225" s="3"/>
      <c r="N225" s="3"/>
      <c r="O225" s="3"/>
      <c r="P225" s="3"/>
      <c r="Q225" s="3"/>
      <c r="R225" s="3"/>
      <c r="S225" s="3"/>
      <c r="T225" s="3"/>
      <c r="U225" s="3"/>
      <c r="V225" s="3"/>
      <c r="W225" s="3"/>
      <c r="X225" s="3"/>
    </row>
    <row r="226" ht="22" customHeight="1">
      <c r="A226" s="4"/>
      <c r="B226" s="2"/>
      <c r="C226" s="3"/>
      <c r="D226" s="3"/>
      <c r="E226" s="3"/>
      <c r="F226" s="3"/>
      <c r="G226" s="3"/>
      <c r="H226" s="3"/>
      <c r="I226" s="3"/>
      <c r="J226" s="3"/>
      <c r="K226" s="3"/>
      <c r="L226" s="3"/>
      <c r="M226" s="3"/>
      <c r="N226" s="3"/>
      <c r="O226" s="3"/>
      <c r="P226" s="3"/>
      <c r="Q226" s="3"/>
      <c r="R226" s="3"/>
      <c r="S226" s="3"/>
      <c r="T226" s="3"/>
      <c r="U226" s="3"/>
      <c r="V226" s="3"/>
      <c r="W226" s="3"/>
      <c r="X226" s="3"/>
    </row>
  </sheetData>
  <mergeCells>
    <mergeCell ref="A1:X1"/>
    <mergeCell ref="A2:X2"/>
    <mergeCell ref="C7:L7"/>
    <mergeCell ref="N7:X7"/>
    <mergeCell ref="C8:L8"/>
    <mergeCell ref="N8:X8"/>
    <mergeCell ref="C9:L9"/>
    <mergeCell ref="N9:X9"/>
    <mergeCell ref="C10:L10"/>
    <mergeCell ref="N10:X10"/>
    <mergeCell ref="A14:X14"/>
    <mergeCell ref="A32:X32"/>
    <mergeCell ref="A40:X40"/>
    <mergeCell ref="A41:X41"/>
    <mergeCell ref="A50:X50"/>
    <mergeCell ref="A51:X51"/>
    <mergeCell ref="A59:X59"/>
    <mergeCell ref="A64:X64"/>
    <mergeCell ref="A65:X65"/>
    <mergeCell ref="A181:X181"/>
    <mergeCell ref="A182:X182"/>
    <mergeCell ref="A215:X215"/>
    <mergeCell ref="A216:X216"/>
    <mergeCell ref="A217:L217"/>
    <mergeCell ref="A218:L218"/>
    <mergeCell ref="A219:L219"/>
    <mergeCell ref="A220:L220"/>
    <mergeCell ref="A221:L221"/>
    <mergeCell ref="A222:L222"/>
    <mergeCell ref="A223:L223"/>
    <mergeCell ref="A224:L224"/>
    <mergeCell ref="A225:L225"/>
  </mergeCells>
  <hyperlinks>
    <hyperlink ref="A3" location="'Contents'!A1" display="Metric (Return to Contents)"/>
    <hyperlink ref="C7" location="'Acquisitions &amp; Intangibles'!A14" display="Amortizable intangible assets: gross, accumulated amortization and net"/>
    <hyperlink ref="N7" location="'Acquisitions &amp; Intangibles'!A32" display="Indefinite-lived intangible assets"/>
    <hyperlink ref="C8" location="'Acquisitions &amp; Intangibles'!A40" display="Goodwill balances by current segment"/>
    <hyperlink ref="N8" location="'Acquisitions &amp; Intangibles'!A50" display="Goodwill balances by historical seven-segment structure"/>
    <hyperlink ref="C9" location="'Acquisitions &amp; Intangibles'!A59" display="Consolidated goodwill changes"/>
    <hyperlink ref="N9" location="'Acquisitions &amp; Intangibles'!A64" display="Restructuring charges and liabilities"/>
    <hyperlink ref="C10" location="'Acquisitions &amp; Intangibles'!A181" display="Restructuring charges and liabilities: YTD"/>
    <hyperlink ref="N10" location="'Acquisitions &amp; Intangibles'!A215" display="Significant transactions and accounting treatment"/>
  </hyperlinks>
  <pageMargins left="0.7" right="0.7" top="0.75" bottom="0.75" header="0.3" footer="0.3"/>
</worksheet>
</file>

<file path=xl/worksheets/sheet13.xml><?xml version="1.0" encoding="utf-8"?>
<worksheet xmlns="http://schemas.openxmlformats.org/spreadsheetml/2006/main">
  <sheetPr>
    <tabColor rgb="FFB08958"/>
  </sheetPr>
  <sheetViews>
    <sheetView showGridLines="0" workbookViewId="0">
      <pane xSplit="2" ySplit="5" topLeftCell="C6" activePane="bottomRight" state="frozen"/>
    </sheetView>
  </sheetViews>
  <sheetFormatPr defaultRowHeight="15"/>
  <cols>
    <col min="1" max="1" width="60" hidden="0" customWidth="1"/>
    <col min="2" max="2" width="2.200000047683716" hidden="0" customWidth="1"/>
    <col min="3" max="3" width="12.199999809265137" hidden="0" customWidth="1"/>
    <col min="4" max="4" width="12.199999809265137" hidden="0" customWidth="1"/>
    <col min="5" max="5" width="12.199999809265137" hidden="0" customWidth="1"/>
    <col min="6" max="6" width="12.199999809265137" hidden="0" customWidth="1"/>
    <col min="7" max="7" width="12.199999809265137" hidden="0" customWidth="1"/>
    <col min="8" max="8" width="12.199999809265137" hidden="0" customWidth="1"/>
    <col min="9" max="9" width="12.199999809265137" hidden="0" customWidth="1"/>
    <col min="10" max="10" width="12.199999809265137" hidden="0" customWidth="1"/>
    <col min="11" max="11" width="12.199999809265137" hidden="0" customWidth="1"/>
    <col min="12" max="12" width="12.199999809265137" hidden="0" customWidth="1"/>
    <col min="13" max="13" width="3" hidden="0" customWidth="1"/>
    <col min="14" max="14" width="12.199999809265137" hidden="0" customWidth="1"/>
    <col min="15" max="15" width="12.199999809265137" hidden="0" customWidth="1"/>
    <col min="16" max="16" width="12.199999809265137" hidden="0" customWidth="1"/>
    <col min="17" max="17" width="12.199999809265137" hidden="0" customWidth="1"/>
    <col min="18" max="18" width="12.199999809265137" hidden="0" customWidth="1"/>
    <col min="19" max="19" width="12.199999809265137" hidden="0" customWidth="1"/>
    <col min="20" max="20" width="12.199999809265137" hidden="0" customWidth="1"/>
    <col min="21" max="21" width="12.199999809265137" hidden="0" customWidth="1"/>
    <col min="22" max="22" width="12.199999809265137" hidden="0" customWidth="1"/>
    <col min="23" max="23" width="12.199999809265137" hidden="0" customWidth="1"/>
    <col min="24" max="24" width="12.199999809265137" hidden="0" customWidth="1"/>
  </cols>
  <sheetData>
    <row r="1" ht="28" customHeight="1">
      <c r="A1" s="7" t="str">
        <v>PepsiCo PEP — Pension &amp; Retiree Medical</v>
      </c>
      <c r="B1" s="7"/>
      <c r="C1" s="7"/>
      <c r="D1" s="7"/>
      <c r="E1" s="7"/>
      <c r="F1" s="7"/>
      <c r="G1" s="7"/>
      <c r="H1" s="7"/>
      <c r="I1" s="7"/>
      <c r="J1" s="7"/>
      <c r="K1" s="7"/>
      <c r="L1" s="7"/>
      <c r="M1" s="7"/>
      <c r="N1" s="7"/>
      <c r="O1" s="7"/>
      <c r="P1" s="7"/>
      <c r="Q1" s="7"/>
      <c r="R1" s="7"/>
      <c r="S1" s="7"/>
      <c r="T1" s="7"/>
      <c r="U1" s="7"/>
      <c r="V1" s="7"/>
      <c r="W1" s="7"/>
      <c r="X1" s="7"/>
    </row>
    <row r="2" ht="18" customHeight="1">
      <c r="A2" s="8" t="str">
        <v>USD millions; per-share amounts, share counts and percentages as labeled. US GAAP. As of 2026-10-20.</v>
      </c>
      <c r="B2" s="8"/>
      <c r="C2" s="8"/>
      <c r="D2" s="8"/>
      <c r="E2" s="8"/>
      <c r="F2" s="8"/>
      <c r="G2" s="8"/>
      <c r="H2" s="8"/>
      <c r="I2" s="8"/>
      <c r="J2" s="8"/>
      <c r="K2" s="8"/>
      <c r="L2" s="8"/>
      <c r="M2" s="8"/>
      <c r="N2" s="8"/>
      <c r="O2" s="8"/>
      <c r="P2" s="8"/>
      <c r="Q2" s="8"/>
      <c r="R2" s="8"/>
      <c r="S2" s="8"/>
      <c r="T2" s="8"/>
      <c r="U2" s="8"/>
      <c r="V2" s="8"/>
      <c r="W2" s="8"/>
      <c r="X2" s="8"/>
    </row>
    <row r="3" ht="24" customHeight="1">
      <c r="A3" s="9" t="str">
        <v>Metric (Return to Contents)</v>
      </c>
      <c r="B3" s="2"/>
      <c r="C3" s="13" t="str">
        <v>FY2016</v>
      </c>
      <c r="D3" s="13" t="str">
        <v>FY2017</v>
      </c>
      <c r="E3" s="13" t="str">
        <v>FY2018</v>
      </c>
      <c r="F3" s="13" t="str">
        <v>FY2019</v>
      </c>
      <c r="G3" s="13" t="str">
        <v>FY2020</v>
      </c>
      <c r="H3" s="13" t="str">
        <v>FY2021</v>
      </c>
      <c r="I3" s="13" t="str">
        <v>FY2022</v>
      </c>
      <c r="J3" s="13" t="str">
        <v>FY2023</v>
      </c>
      <c r="K3" s="13" t="str">
        <v>FY2024</v>
      </c>
      <c r="L3" s="13" t="str">
        <v>FY2025</v>
      </c>
      <c r="M3" s="2"/>
      <c r="N3" s="22" t="str">
        <v>FY2024Q1</v>
      </c>
      <c r="O3" s="22" t="str">
        <v>FY2024Q2</v>
      </c>
      <c r="P3" s="22" t="str">
        <v>FY2024Q3</v>
      </c>
      <c r="Q3" s="22" t="str">
        <v>FY2024Q4</v>
      </c>
      <c r="R3" s="22" t="str">
        <v>FY2025Q1</v>
      </c>
      <c r="S3" s="22" t="str">
        <v>FY2025Q2</v>
      </c>
      <c r="T3" s="22" t="str">
        <v>FY2025Q3</v>
      </c>
      <c r="U3" s="22" t="str">
        <v>FY2025Q4</v>
      </c>
      <c r="V3" s="22" t="str">
        <v>FY2026Q1</v>
      </c>
      <c r="W3" s="22" t="str">
        <v>FY2026Q2</v>
      </c>
      <c r="X3" s="22" t="str">
        <v>FY2026Q3</v>
      </c>
    </row>
    <row r="4" ht="18" customHeight="1">
      <c r="A4" s="2"/>
      <c r="B4" s="2"/>
      <c r="C4" s="17" t="d">
        <v>2016-12-31T00:00:00.000Z</v>
      </c>
      <c r="D4" s="17" t="d">
        <v>2017-12-30T00:00:00.000Z</v>
      </c>
      <c r="E4" s="17" t="d">
        <v>2018-12-29T00:00:00.000Z</v>
      </c>
      <c r="F4" s="17" t="d">
        <v>2019-12-28T00:00:00.000Z</v>
      </c>
      <c r="G4" s="17" t="d">
        <v>2020-12-26T00:00:00.000Z</v>
      </c>
      <c r="H4" s="17" t="d">
        <v>2021-12-25T00:00:00.000Z</v>
      </c>
      <c r="I4" s="17" t="d">
        <v>2022-12-31T00:00:00.000Z</v>
      </c>
      <c r="J4" s="17" t="d">
        <v>2023-12-30T00:00:00.000Z</v>
      </c>
      <c r="K4" s="17" t="d">
        <v>2024-12-28T00:00:00.000Z</v>
      </c>
      <c r="L4" s="17" t="d">
        <v>2025-12-27T00:00:00.000Z</v>
      </c>
      <c r="M4" s="2"/>
      <c r="N4" s="17" t="d">
        <v>2024-03-23T00:00:00.000Z</v>
      </c>
      <c r="O4" s="17" t="d">
        <v>2024-06-15T00:00:00.000Z</v>
      </c>
      <c r="P4" s="17" t="d">
        <v>2024-09-07T00:00:00.000Z</v>
      </c>
      <c r="Q4" s="17" t="d">
        <v>2024-12-28T00:00:00.000Z</v>
      </c>
      <c r="R4" s="17" t="d">
        <v>2025-03-22T00:00:00.000Z</v>
      </c>
      <c r="S4" s="17" t="d">
        <v>2025-06-14T00:00:00.000Z</v>
      </c>
      <c r="T4" s="17" t="d">
        <v>2025-09-06T00:00:00.000Z</v>
      </c>
      <c r="U4" s="17" t="d">
        <v>2025-12-27T00:00:00.000Z</v>
      </c>
      <c r="V4" s="17" t="d">
        <v>2026-03-21T00:00:00.000Z</v>
      </c>
      <c r="W4" s="17" t="d">
        <v>2026-06-13T00:00:00.000Z</v>
      </c>
      <c r="X4" s="17" t="d">
        <v>2026-09-05T00:00:00.000Z</v>
      </c>
    </row>
    <row r="5" ht="18" customHeight="1">
      <c r="A5" s="8" t="str">
        <v>Annual at left; quarterly / period-end at right; YTD as labeled</v>
      </c>
      <c r="B5" s="2"/>
      <c r="C5" s="18" t="str">
        <v>Year / year-end</v>
      </c>
      <c r="D5" s="18" t="str">
        <v>Year / year-end</v>
      </c>
      <c r="E5" s="18" t="str">
        <v>Year / year-end</v>
      </c>
      <c r="F5" s="18" t="str">
        <v>Year / year-end</v>
      </c>
      <c r="G5" s="18" t="str">
        <v>Year / year-end</v>
      </c>
      <c r="H5" s="18" t="str">
        <v>Year / year-end</v>
      </c>
      <c r="I5" s="18" t="str">
        <v>Year / year-end</v>
      </c>
      <c r="J5" s="18" t="str">
        <v>Year / year-end</v>
      </c>
      <c r="K5" s="18" t="str">
        <v>Year / year-end</v>
      </c>
      <c r="L5" s="18" t="str">
        <v>Year / year-end</v>
      </c>
      <c r="M5" s="2"/>
      <c r="N5" s="18" t="str">
        <v>Quarter / end</v>
      </c>
      <c r="O5" s="18" t="str">
        <v>Quarter / end</v>
      </c>
      <c r="P5" s="18" t="str">
        <v>Quarter / end</v>
      </c>
      <c r="Q5" s="18" t="str">
        <v>Quarter / end</v>
      </c>
      <c r="R5" s="18" t="str">
        <v>Quarter / end</v>
      </c>
      <c r="S5" s="18" t="str">
        <v>Quarter / end</v>
      </c>
      <c r="T5" s="18" t="str">
        <v>Quarter / end</v>
      </c>
      <c r="U5" s="18" t="str">
        <v>Quarter / end</v>
      </c>
      <c r="V5" s="18" t="str">
        <v>Quarter / end</v>
      </c>
      <c r="W5" s="18" t="str">
        <v>Quarter / end</v>
      </c>
      <c r="X5" s="18" t="str">
        <v>Quarter / end</v>
      </c>
    </row>
    <row r="6" ht="8" customHeight="1">
      <c r="A6" s="2"/>
      <c r="B6" s="2"/>
      <c r="C6" s="2"/>
      <c r="D6" s="2"/>
      <c r="E6" s="2"/>
      <c r="F6" s="2"/>
      <c r="G6" s="2"/>
      <c r="H6" s="2"/>
      <c r="I6" s="2"/>
      <c r="J6" s="2"/>
      <c r="K6" s="2"/>
      <c r="L6" s="2"/>
      <c r="M6" s="2"/>
      <c r="N6" s="2"/>
      <c r="O6" s="2"/>
      <c r="P6" s="2"/>
      <c r="Q6" s="2"/>
      <c r="R6" s="2"/>
      <c r="S6" s="2"/>
      <c r="T6" s="2"/>
      <c r="U6" s="2"/>
      <c r="V6" s="2"/>
      <c r="W6" s="2"/>
      <c r="X6" s="2"/>
    </row>
    <row r="7" ht="22" customHeight="1">
      <c r="A7" s="23" t="str">
        <v>On this sheet</v>
      </c>
      <c r="B7" s="2"/>
      <c r="C7" s="26" t="str">
        <v>U.S. pension plans</v>
      </c>
      <c r="D7" s="26"/>
      <c r="E7" s="26"/>
      <c r="F7" s="26"/>
      <c r="G7" s="26"/>
      <c r="H7" s="26"/>
      <c r="I7" s="26"/>
      <c r="J7" s="26"/>
      <c r="K7" s="26"/>
      <c r="L7" s="26"/>
      <c r="M7" s="3"/>
      <c r="N7" s="26" t="str">
        <v>International pension plans</v>
      </c>
      <c r="O7" s="26"/>
      <c r="P7" s="26"/>
      <c r="Q7" s="26"/>
      <c r="R7" s="26"/>
      <c r="S7" s="26"/>
      <c r="T7" s="26"/>
      <c r="U7" s="26"/>
      <c r="V7" s="26"/>
      <c r="W7" s="26"/>
      <c r="X7" s="26"/>
    </row>
    <row r="8" ht="22" customHeight="1">
      <c r="A8" s="4"/>
      <c r="B8" s="2"/>
      <c r="C8" s="26" t="str">
        <v>Retiree Medical</v>
      </c>
      <c r="D8" s="26"/>
      <c r="E8" s="26"/>
      <c r="F8" s="26"/>
      <c r="G8" s="26"/>
      <c r="H8" s="26"/>
      <c r="I8" s="26"/>
      <c r="J8" s="26"/>
      <c r="K8" s="26"/>
      <c r="L8" s="26"/>
      <c r="M8" s="3"/>
      <c r="N8" s="26" t="str">
        <v>Recent benefit costs: YTD</v>
      </c>
      <c r="O8" s="26"/>
      <c r="P8" s="26"/>
      <c r="Q8" s="26"/>
      <c r="R8" s="26"/>
      <c r="S8" s="26"/>
      <c r="T8" s="26"/>
      <c r="U8" s="26"/>
      <c r="V8" s="26"/>
      <c r="W8" s="26"/>
      <c r="X8" s="26"/>
    </row>
    <row r="9" ht="22" customHeight="1">
      <c r="A9" s="4"/>
      <c r="B9" s="2"/>
      <c r="C9" s="3"/>
      <c r="D9" s="3"/>
      <c r="E9" s="3"/>
      <c r="F9" s="3"/>
      <c r="G9" s="3"/>
      <c r="H9" s="3"/>
      <c r="I9" s="3"/>
      <c r="J9" s="3"/>
      <c r="K9" s="3"/>
      <c r="L9" s="3"/>
      <c r="M9" s="3"/>
      <c r="N9" s="3"/>
      <c r="O9" s="3"/>
      <c r="P9" s="3"/>
      <c r="Q9" s="3"/>
      <c r="R9" s="3"/>
      <c r="S9" s="3"/>
      <c r="T9" s="3"/>
      <c r="U9" s="3"/>
      <c r="V9" s="3"/>
      <c r="W9" s="3"/>
      <c r="X9" s="3"/>
    </row>
    <row r="10" ht="22" customHeight="1">
      <c r="A10" s="4"/>
      <c r="B10" s="2"/>
      <c r="C10" s="3"/>
      <c r="D10" s="3"/>
      <c r="E10" s="3"/>
      <c r="F10" s="3"/>
      <c r="G10" s="3"/>
      <c r="H10" s="3"/>
      <c r="I10" s="3"/>
      <c r="J10" s="3"/>
      <c r="K10" s="3"/>
      <c r="L10" s="3"/>
      <c r="M10" s="3"/>
      <c r="N10" s="3"/>
      <c r="O10" s="3"/>
      <c r="P10" s="3"/>
      <c r="Q10" s="3"/>
      <c r="R10" s="3"/>
      <c r="S10" s="3"/>
      <c r="T10" s="3"/>
      <c r="U10" s="3"/>
      <c r="V10" s="3"/>
      <c r="W10" s="3"/>
      <c r="X10" s="3"/>
    </row>
    <row r="11" ht="22" customHeight="1">
      <c r="A11" s="4"/>
      <c r="B11" s="2"/>
      <c r="C11" s="3"/>
      <c r="D11" s="3"/>
      <c r="E11" s="3"/>
      <c r="F11" s="3"/>
      <c r="G11" s="3"/>
      <c r="H11" s="3"/>
      <c r="I11" s="3"/>
      <c r="J11" s="3"/>
      <c r="K11" s="3"/>
      <c r="L11" s="3"/>
      <c r="M11" s="3"/>
      <c r="N11" s="3"/>
      <c r="O11" s="3"/>
      <c r="P11" s="3"/>
      <c r="Q11" s="3"/>
      <c r="R11" s="3"/>
      <c r="S11" s="3"/>
      <c r="T11" s="3"/>
      <c r="U11" s="3"/>
      <c r="V11" s="3"/>
      <c r="W11" s="3"/>
      <c r="X11" s="3"/>
    </row>
    <row r="12" ht="22" customHeight="1">
      <c r="A12" s="29" t="str">
        <v>U.S. pension plans</v>
      </c>
      <c r="B12" s="29"/>
      <c r="C12" s="32"/>
      <c r="D12" s="32"/>
      <c r="E12" s="32"/>
      <c r="F12" s="32"/>
      <c r="G12" s="32"/>
      <c r="H12" s="32"/>
      <c r="I12" s="32"/>
      <c r="J12" s="32"/>
      <c r="K12" s="32"/>
      <c r="L12" s="32"/>
      <c r="M12" s="32"/>
      <c r="N12" s="32"/>
      <c r="O12" s="32"/>
      <c r="P12" s="32"/>
      <c r="Q12" s="32"/>
      <c r="R12" s="32"/>
      <c r="S12" s="32"/>
      <c r="T12" s="32"/>
      <c r="U12" s="32"/>
      <c r="V12" s="32"/>
      <c r="W12" s="32"/>
      <c r="X12" s="32"/>
    </row>
    <row r="13" ht="18" customHeight="1">
      <c r="A13" s="33" t="str">
        <v>Liability/Obligation terminology is linked on a consistent benefit-obligation basis. FY2016 non-service expense = total benefit expense less service cost; later periods use the company's direct disclosure.</v>
      </c>
      <c r="B13" s="33"/>
      <c r="C13" s="35"/>
      <c r="D13" s="35"/>
      <c r="E13" s="35"/>
      <c r="F13" s="35"/>
      <c r="G13" s="35"/>
      <c r="H13" s="35"/>
      <c r="I13" s="35"/>
      <c r="J13" s="35"/>
      <c r="K13" s="35"/>
      <c r="L13" s="35"/>
      <c r="M13" s="35"/>
      <c r="N13" s="35"/>
      <c r="O13" s="35"/>
      <c r="P13" s="35"/>
      <c r="Q13" s="35"/>
      <c r="R13" s="35"/>
      <c r="S13" s="35"/>
      <c r="T13" s="35"/>
      <c r="U13" s="35"/>
      <c r="V13" s="35"/>
      <c r="W13" s="35"/>
      <c r="X13" s="35"/>
    </row>
    <row r="14" ht="24" customHeight="1">
      <c r="A14" s="39" t="str">
        <v>Change in benefit obligation</v>
      </c>
      <c r="B14" s="40"/>
      <c r="C14" s="41"/>
      <c r="D14" s="41"/>
      <c r="E14" s="41"/>
      <c r="F14" s="41"/>
      <c r="G14" s="41"/>
      <c r="H14" s="41"/>
      <c r="I14" s="41"/>
      <c r="J14" s="41"/>
      <c r="K14" s="41"/>
      <c r="L14" s="41"/>
      <c r="M14" s="42"/>
      <c r="N14" s="41"/>
      <c r="O14" s="41"/>
      <c r="P14" s="41"/>
      <c r="Q14" s="41"/>
      <c r="R14" s="41"/>
      <c r="S14" s="41"/>
      <c r="T14" s="41"/>
      <c r="U14" s="41"/>
      <c r="V14" s="41"/>
      <c r="W14" s="41"/>
      <c r="X14" s="41"/>
    </row>
    <row r="15" ht="24" customHeight="1">
      <c r="A15" s="51" t="str">
        <v>Benefit obligation, beginning of year</v>
      </c>
      <c r="B15" s="52"/>
      <c r="C15" s="53" t="n">
        <v>13033</v>
      </c>
      <c r="D15" s="53" t="n">
        <v>13192</v>
      </c>
      <c r="E15" s="53" t="n">
        <v>14777</v>
      </c>
      <c r="F15" s="53" t="n">
        <v>13807</v>
      </c>
      <c r="G15" s="53" t="n">
        <v>15230</v>
      </c>
      <c r="H15" s="53" t="n">
        <v>16753</v>
      </c>
      <c r="I15" s="53" t="n">
        <v>16216</v>
      </c>
      <c r="J15" s="53" t="n">
        <v>11543</v>
      </c>
      <c r="K15" s="53" t="n">
        <v>12035</v>
      </c>
      <c r="L15" s="53" t="n">
        <v>11324</v>
      </c>
      <c r="M15" s="55"/>
      <c r="N15" s="53"/>
      <c r="O15" s="53"/>
      <c r="P15" s="53"/>
      <c r="Q15" s="53"/>
      <c r="R15" s="53"/>
      <c r="S15" s="53"/>
      <c r="T15" s="53"/>
      <c r="U15" s="53"/>
      <c r="V15" s="53"/>
      <c r="W15" s="53"/>
      <c r="X15" s="53"/>
    </row>
    <row r="16" ht="22" customHeight="1">
      <c r="A16" s="4" t="str">
        <v>Service cost</v>
      </c>
      <c r="B16" s="2"/>
      <c r="C16" s="44" t="n">
        <v>393</v>
      </c>
      <c r="D16" s="44" t="n">
        <v>401</v>
      </c>
      <c r="E16" s="44" t="n">
        <v>431</v>
      </c>
      <c r="F16" s="44" t="n">
        <v>381</v>
      </c>
      <c r="G16" s="44" t="n">
        <v>434</v>
      </c>
      <c r="H16" s="44" t="n">
        <v>518</v>
      </c>
      <c r="I16" s="44" t="n">
        <v>487</v>
      </c>
      <c r="J16" s="44" t="n">
        <v>327</v>
      </c>
      <c r="K16" s="44" t="n">
        <v>347</v>
      </c>
      <c r="L16" s="44" t="n">
        <v>312</v>
      </c>
      <c r="M16" s="45"/>
      <c r="N16" s="44"/>
      <c r="O16" s="44"/>
      <c r="P16" s="44"/>
      <c r="Q16" s="44"/>
      <c r="R16" s="44"/>
      <c r="S16" s="44"/>
      <c r="T16" s="44"/>
      <c r="U16" s="44"/>
      <c r="V16" s="44"/>
      <c r="W16" s="44"/>
      <c r="X16" s="44"/>
    </row>
    <row r="17" ht="22" customHeight="1">
      <c r="A17" s="4" t="str">
        <v>Interest cost</v>
      </c>
      <c r="B17" s="2"/>
      <c r="C17" s="44" t="n">
        <v>484</v>
      </c>
      <c r="D17" s="44" t="n">
        <v>468</v>
      </c>
      <c r="E17" s="44" t="n">
        <v>482</v>
      </c>
      <c r="F17" s="44" t="n">
        <v>543</v>
      </c>
      <c r="G17" s="44" t="n">
        <v>435</v>
      </c>
      <c r="H17" s="44" t="n">
        <v>324</v>
      </c>
      <c r="I17" s="44" t="n">
        <v>434</v>
      </c>
      <c r="J17" s="44" t="n">
        <v>593</v>
      </c>
      <c r="K17" s="44" t="n">
        <v>585</v>
      </c>
      <c r="L17" s="44" t="n">
        <v>586</v>
      </c>
      <c r="M17" s="45"/>
      <c r="N17" s="44"/>
      <c r="O17" s="44"/>
      <c r="P17" s="44"/>
      <c r="Q17" s="44"/>
      <c r="R17" s="44"/>
      <c r="S17" s="44"/>
      <c r="T17" s="44"/>
      <c r="U17" s="44"/>
      <c r="V17" s="44"/>
      <c r="W17" s="44"/>
      <c r="X17" s="44"/>
    </row>
    <row r="18" ht="22" customHeight="1">
      <c r="A18" s="4" t="str">
        <v>Plan amendments</v>
      </c>
      <c r="B18" s="2"/>
      <c r="C18" s="44" t="n">
        <v>18</v>
      </c>
      <c r="D18" s="44" t="n">
        <v>10</v>
      </c>
      <c r="E18" s="44" t="n">
        <v>83</v>
      </c>
      <c r="F18" s="44" t="n">
        <v>15</v>
      </c>
      <c r="G18" s="44" t="n">
        <v>-221</v>
      </c>
      <c r="H18" s="44" t="n">
        <v>23</v>
      </c>
      <c r="I18" s="44" t="n">
        <v>10</v>
      </c>
      <c r="J18" s="44" t="n">
        <v>13</v>
      </c>
      <c r="K18" s="44" t="n">
        <v>12</v>
      </c>
      <c r="L18" s="44" t="n">
        <v>10</v>
      </c>
      <c r="M18" s="45"/>
      <c r="N18" s="44"/>
      <c r="O18" s="44"/>
      <c r="P18" s="44"/>
      <c r="Q18" s="44"/>
      <c r="R18" s="44"/>
      <c r="S18" s="44"/>
      <c r="T18" s="44"/>
      <c r="U18" s="44"/>
      <c r="V18" s="44"/>
      <c r="W18" s="44"/>
      <c r="X18" s="44"/>
    </row>
    <row r="19" ht="22" customHeight="1">
      <c r="A19" s="4" t="str">
        <v>Participant contributions</v>
      </c>
      <c r="B19" s="2"/>
      <c r="C19" s="44" t="n">
        <v>0</v>
      </c>
      <c r="D19" s="44" t="n">
        <v>0</v>
      </c>
      <c r="E19" s="44" t="n">
        <v>0</v>
      </c>
      <c r="F19" s="44" t="n">
        <v>0</v>
      </c>
      <c r="G19" s="44" t="n">
        <v>0</v>
      </c>
      <c r="H19" s="44" t="n">
        <v>0</v>
      </c>
      <c r="I19" s="44" t="n">
        <v>0</v>
      </c>
      <c r="J19" s="44" t="n">
        <v>0</v>
      </c>
      <c r="K19" s="44" t="n">
        <v>0</v>
      </c>
      <c r="L19" s="44" t="n">
        <v>0</v>
      </c>
      <c r="M19" s="45"/>
      <c r="N19" s="44"/>
      <c r="O19" s="44"/>
      <c r="P19" s="44"/>
      <c r="Q19" s="44"/>
      <c r="R19" s="44"/>
      <c r="S19" s="44"/>
      <c r="T19" s="44"/>
      <c r="U19" s="44"/>
      <c r="V19" s="44"/>
      <c r="W19" s="44"/>
      <c r="X19" s="44"/>
    </row>
    <row r="20" ht="22" customHeight="1">
      <c r="A20" s="4" t="str">
        <v>Experience loss/(gain)</v>
      </c>
      <c r="B20" s="2"/>
      <c r="C20" s="44" t="n">
        <v>614</v>
      </c>
      <c r="D20" s="44" t="n">
        <v>1529</v>
      </c>
      <c r="E20" s="44" t="n">
        <v>-972</v>
      </c>
      <c r="F20" s="44" t="n">
        <v>2091</v>
      </c>
      <c r="G20" s="44" t="n">
        <v>2042</v>
      </c>
      <c r="H20" s="44" t="n">
        <v>-215</v>
      </c>
      <c r="I20" s="44" t="n">
        <v>-3989</v>
      </c>
      <c r="J20" s="44" t="n">
        <v>603</v>
      </c>
      <c r="K20" s="44" t="n">
        <v>-563</v>
      </c>
      <c r="L20" s="44" t="n">
        <v>247</v>
      </c>
      <c r="M20" s="45"/>
      <c r="N20" s="44"/>
      <c r="O20" s="44"/>
      <c r="P20" s="44"/>
      <c r="Q20" s="44"/>
      <c r="R20" s="44"/>
      <c r="S20" s="44"/>
      <c r="T20" s="44"/>
      <c r="U20" s="44"/>
      <c r="V20" s="44"/>
      <c r="W20" s="44"/>
      <c r="X20" s="44"/>
    </row>
    <row r="21" ht="22" customHeight="1">
      <c r="A21" s="4" t="str">
        <v>Benefit payments</v>
      </c>
      <c r="B21" s="2"/>
      <c r="C21" s="44" t="n">
        <v>-347</v>
      </c>
      <c r="D21" s="44" t="n">
        <v>-825</v>
      </c>
      <c r="E21" s="44" t="n">
        <v>-956</v>
      </c>
      <c r="F21" s="44" t="n">
        <v>-341</v>
      </c>
      <c r="G21" s="44" t="n">
        <v>-378</v>
      </c>
      <c r="H21" s="44" t="n">
        <v>-976</v>
      </c>
      <c r="I21" s="44" t="n">
        <v>-412</v>
      </c>
      <c r="J21" s="44" t="n">
        <v>-1006</v>
      </c>
      <c r="K21" s="44" t="n">
        <v>-617</v>
      </c>
      <c r="L21" s="44" t="n">
        <v>-640</v>
      </c>
      <c r="M21" s="45"/>
      <c r="N21" s="44"/>
      <c r="O21" s="44"/>
      <c r="P21" s="44"/>
      <c r="Q21" s="44"/>
      <c r="R21" s="44"/>
      <c r="S21" s="44"/>
      <c r="T21" s="44"/>
      <c r="U21" s="44"/>
      <c r="V21" s="44"/>
      <c r="W21" s="44"/>
      <c r="X21" s="44"/>
    </row>
    <row r="22" ht="22" customHeight="1">
      <c r="A22" s="4" t="str">
        <v>Settlement/curtailment</v>
      </c>
      <c r="B22" s="2"/>
      <c r="C22" s="44" t="n">
        <v>-1014</v>
      </c>
      <c r="D22" s="44" t="n">
        <v>-58</v>
      </c>
      <c r="E22" s="44" t="n">
        <v>-74</v>
      </c>
      <c r="F22" s="44" t="n">
        <v>-1268</v>
      </c>
      <c r="G22" s="44" t="n">
        <v>-808</v>
      </c>
      <c r="H22" s="44" t="n">
        <v>-220</v>
      </c>
      <c r="I22" s="44" t="n">
        <v>-1109</v>
      </c>
      <c r="J22" s="44" t="n">
        <v>-36</v>
      </c>
      <c r="K22" s="44" t="n">
        <v>-506</v>
      </c>
      <c r="L22" s="44" t="n">
        <v>-678</v>
      </c>
      <c r="M22" s="45"/>
      <c r="N22" s="44"/>
      <c r="O22" s="44"/>
      <c r="P22" s="44"/>
      <c r="Q22" s="44"/>
      <c r="R22" s="44"/>
      <c r="S22" s="44"/>
      <c r="T22" s="44"/>
      <c r="U22" s="44"/>
      <c r="V22" s="44"/>
      <c r="W22" s="44"/>
      <c r="X22" s="44"/>
    </row>
    <row r="23" ht="22" customHeight="1">
      <c r="A23" s="4" t="str">
        <v>Special termination benefits</v>
      </c>
      <c r="B23" s="2"/>
      <c r="C23" s="44" t="n">
        <v>11</v>
      </c>
      <c r="D23" s="44" t="n">
        <v>60</v>
      </c>
      <c r="E23" s="44" t="n">
        <v>36</v>
      </c>
      <c r="F23" s="44" t="n">
        <v>2</v>
      </c>
      <c r="G23" s="44" t="n">
        <v>19</v>
      </c>
      <c r="H23" s="44" t="n">
        <v>9</v>
      </c>
      <c r="I23" s="44" t="n">
        <v>37</v>
      </c>
      <c r="J23" s="44" t="n">
        <v>-1</v>
      </c>
      <c r="K23" s="44" t="n">
        <v>31</v>
      </c>
      <c r="L23" s="44" t="n">
        <v>21</v>
      </c>
      <c r="M23" s="45"/>
      <c r="N23" s="44"/>
      <c r="O23" s="44"/>
      <c r="P23" s="44"/>
      <c r="Q23" s="44"/>
      <c r="R23" s="44"/>
      <c r="S23" s="44"/>
      <c r="T23" s="44"/>
      <c r="U23" s="44"/>
      <c r="V23" s="44"/>
      <c r="W23" s="44"/>
      <c r="X23" s="44"/>
    </row>
    <row r="24" ht="22" customHeight="1">
      <c r="A24" s="4" t="str">
        <v>Other, including foreign currency adjustment</v>
      </c>
      <c r="B24" s="2"/>
      <c r="C24" s="44" t="n">
        <v>0</v>
      </c>
      <c r="D24" s="44" t="n">
        <v>0</v>
      </c>
      <c r="E24" s="44" t="n">
        <v>0</v>
      </c>
      <c r="F24" s="44" t="n">
        <v>0</v>
      </c>
      <c r="G24" s="44" t="n">
        <v>0</v>
      </c>
      <c r="H24" s="44" t="n">
        <v>0</v>
      </c>
      <c r="I24" s="44" t="n">
        <v>-131</v>
      </c>
      <c r="J24" s="44" t="n">
        <v>-1</v>
      </c>
      <c r="K24" s="44" t="n">
        <v>0</v>
      </c>
      <c r="L24" s="44" t="n">
        <v>0</v>
      </c>
      <c r="M24" s="45"/>
      <c r="N24" s="44"/>
      <c r="O24" s="44"/>
      <c r="P24" s="44"/>
      <c r="Q24" s="44"/>
      <c r="R24" s="44"/>
      <c r="S24" s="44"/>
      <c r="T24" s="44"/>
      <c r="U24" s="44"/>
      <c r="V24" s="44"/>
      <c r="W24" s="44"/>
      <c r="X24" s="44"/>
    </row>
    <row r="25" ht="24" customHeight="1">
      <c r="A25" s="51" t="str">
        <v>Benefit obligation, end of year</v>
      </c>
      <c r="B25" s="52"/>
      <c r="C25" s="53" t="n">
        <v>13192</v>
      </c>
      <c r="D25" s="53" t="n">
        <v>14777</v>
      </c>
      <c r="E25" s="53" t="n">
        <v>13807</v>
      </c>
      <c r="F25" s="53" t="n">
        <v>15230</v>
      </c>
      <c r="G25" s="53" t="n">
        <v>16753</v>
      </c>
      <c r="H25" s="53" t="n">
        <v>16216</v>
      </c>
      <c r="I25" s="53" t="n">
        <v>11543</v>
      </c>
      <c r="J25" s="53" t="n">
        <v>12035</v>
      </c>
      <c r="K25" s="53" t="n">
        <v>11324</v>
      </c>
      <c r="L25" s="53" t="n">
        <v>11182</v>
      </c>
      <c r="M25" s="55"/>
      <c r="N25" s="53"/>
      <c r="O25" s="53"/>
      <c r="P25" s="53"/>
      <c r="Q25" s="53"/>
      <c r="R25" s="53"/>
      <c r="S25" s="53"/>
      <c r="T25" s="53"/>
      <c r="U25" s="53"/>
      <c r="V25" s="53"/>
      <c r="W25" s="53"/>
      <c r="X25" s="53"/>
    </row>
    <row r="26" ht="24" customHeight="1">
      <c r="A26" s="39" t="str">
        <v>Change in fair value of plan assets</v>
      </c>
      <c r="B26" s="40"/>
      <c r="C26" s="41"/>
      <c r="D26" s="41"/>
      <c r="E26" s="41"/>
      <c r="F26" s="41"/>
      <c r="G26" s="41"/>
      <c r="H26" s="41"/>
      <c r="I26" s="41"/>
      <c r="J26" s="41"/>
      <c r="K26" s="41"/>
      <c r="L26" s="41"/>
      <c r="M26" s="42"/>
      <c r="N26" s="41"/>
      <c r="O26" s="41"/>
      <c r="P26" s="41"/>
      <c r="Q26" s="41"/>
      <c r="R26" s="41"/>
      <c r="S26" s="41"/>
      <c r="T26" s="41"/>
      <c r="U26" s="41"/>
      <c r="V26" s="41"/>
      <c r="W26" s="41"/>
      <c r="X26" s="41"/>
    </row>
    <row r="27" ht="22" customHeight="1">
      <c r="A27" s="4" t="str">
        <v>Fair value at beginning of year</v>
      </c>
      <c r="B27" s="2"/>
      <c r="C27" s="44" t="n">
        <v>11397</v>
      </c>
      <c r="D27" s="44" t="n">
        <v>11458</v>
      </c>
      <c r="E27" s="44" t="n">
        <v>12582</v>
      </c>
      <c r="F27" s="44" t="n">
        <v>12258</v>
      </c>
      <c r="G27" s="44" t="n">
        <v>14302</v>
      </c>
      <c r="H27" s="44" t="n">
        <v>15465</v>
      </c>
      <c r="I27" s="44" t="n">
        <v>15904</v>
      </c>
      <c r="J27" s="44" t="n">
        <v>11148</v>
      </c>
      <c r="K27" s="44" t="n">
        <v>11541</v>
      </c>
      <c r="L27" s="44" t="n">
        <v>10609</v>
      </c>
      <c r="M27" s="45"/>
      <c r="N27" s="44"/>
      <c r="O27" s="44"/>
      <c r="P27" s="44"/>
      <c r="Q27" s="44"/>
      <c r="R27" s="44"/>
      <c r="S27" s="44"/>
      <c r="T27" s="44"/>
      <c r="U27" s="44"/>
      <c r="V27" s="44"/>
      <c r="W27" s="44"/>
      <c r="X27" s="44"/>
    </row>
    <row r="28" ht="22" customHeight="1">
      <c r="A28" s="4" t="str">
        <v>Actual return on plan assets</v>
      </c>
      <c r="B28" s="2"/>
      <c r="C28" s="44" t="n">
        <v>880</v>
      </c>
      <c r="D28" s="44" t="n">
        <v>1935</v>
      </c>
      <c r="E28" s="44" t="n">
        <v>-789</v>
      </c>
      <c r="F28" s="44" t="n">
        <v>3101</v>
      </c>
      <c r="G28" s="44" t="n">
        <v>1908</v>
      </c>
      <c r="H28" s="44" t="n">
        <v>1052</v>
      </c>
      <c r="I28" s="44" t="n">
        <v>-3337</v>
      </c>
      <c r="J28" s="44" t="n">
        <v>1121</v>
      </c>
      <c r="K28" s="44" t="n">
        <v>-10</v>
      </c>
      <c r="L28" s="44" t="n">
        <v>1296</v>
      </c>
      <c r="M28" s="45"/>
      <c r="N28" s="44"/>
      <c r="O28" s="44"/>
      <c r="P28" s="44"/>
      <c r="Q28" s="44"/>
      <c r="R28" s="44"/>
      <c r="S28" s="44"/>
      <c r="T28" s="44"/>
      <c r="U28" s="44"/>
      <c r="V28" s="44"/>
      <c r="W28" s="44"/>
      <c r="X28" s="44"/>
    </row>
    <row r="29" ht="22" customHeight="1">
      <c r="A29" s="4" t="str">
        <v>Employer contributions/funding</v>
      </c>
      <c r="B29" s="2"/>
      <c r="C29" s="44" t="n">
        <v>541</v>
      </c>
      <c r="D29" s="44" t="n">
        <v>60</v>
      </c>
      <c r="E29" s="44" t="n">
        <v>1495</v>
      </c>
      <c r="F29" s="44" t="n">
        <v>550</v>
      </c>
      <c r="G29" s="44" t="n">
        <v>387</v>
      </c>
      <c r="H29" s="44" t="n">
        <v>580</v>
      </c>
      <c r="I29" s="44" t="n">
        <v>235</v>
      </c>
      <c r="J29" s="44" t="n">
        <v>314</v>
      </c>
      <c r="K29" s="44" t="n">
        <v>236</v>
      </c>
      <c r="L29" s="44" t="n">
        <v>354</v>
      </c>
      <c r="M29" s="45"/>
      <c r="N29" s="44"/>
      <c r="O29" s="44"/>
      <c r="P29" s="44"/>
      <c r="Q29" s="44"/>
      <c r="R29" s="44"/>
      <c r="S29" s="44"/>
      <c r="T29" s="44"/>
      <c r="U29" s="44"/>
      <c r="V29" s="44"/>
      <c r="W29" s="44"/>
      <c r="X29" s="44"/>
    </row>
    <row r="30" ht="22" customHeight="1">
      <c r="A30" s="4" t="str">
        <v>Participant contributions</v>
      </c>
      <c r="B30" s="2"/>
      <c r="C30" s="44" t="n">
        <v>0</v>
      </c>
      <c r="D30" s="44" t="n">
        <v>0</v>
      </c>
      <c r="E30" s="44" t="n">
        <v>0</v>
      </c>
      <c r="F30" s="44" t="n">
        <v>0</v>
      </c>
      <c r="G30" s="44" t="n">
        <v>0</v>
      </c>
      <c r="H30" s="44" t="n">
        <v>0</v>
      </c>
      <c r="I30" s="44" t="n">
        <v>0</v>
      </c>
      <c r="J30" s="44" t="n">
        <v>0</v>
      </c>
      <c r="K30" s="44" t="n">
        <v>0</v>
      </c>
      <c r="L30" s="44" t="n">
        <v>0</v>
      </c>
      <c r="M30" s="45"/>
      <c r="N30" s="44"/>
      <c r="O30" s="44"/>
      <c r="P30" s="44"/>
      <c r="Q30" s="44"/>
      <c r="R30" s="44"/>
      <c r="S30" s="44"/>
      <c r="T30" s="44"/>
      <c r="U30" s="44"/>
      <c r="V30" s="44"/>
      <c r="W30" s="44"/>
      <c r="X30" s="44"/>
    </row>
    <row r="31" ht="22" customHeight="1">
      <c r="A31" s="4" t="str">
        <v>Benefit payments</v>
      </c>
      <c r="B31" s="2"/>
      <c r="C31" s="44" t="n">
        <v>-347</v>
      </c>
      <c r="D31" s="44" t="n">
        <v>-825</v>
      </c>
      <c r="E31" s="44" t="n">
        <v>-956</v>
      </c>
      <c r="F31" s="44" t="n">
        <v>-341</v>
      </c>
      <c r="G31" s="44" t="n">
        <v>-378</v>
      </c>
      <c r="H31" s="44" t="n">
        <v>-976</v>
      </c>
      <c r="I31" s="44" t="n">
        <v>-412</v>
      </c>
      <c r="J31" s="44" t="n">
        <v>-1006</v>
      </c>
      <c r="K31" s="44" t="n">
        <v>-617</v>
      </c>
      <c r="L31" s="44" t="n">
        <v>-640</v>
      </c>
      <c r="M31" s="45"/>
      <c r="N31" s="44"/>
      <c r="O31" s="44"/>
      <c r="P31" s="44"/>
      <c r="Q31" s="44"/>
      <c r="R31" s="44"/>
      <c r="S31" s="44"/>
      <c r="T31" s="44"/>
      <c r="U31" s="44"/>
      <c r="V31" s="44"/>
      <c r="W31" s="44"/>
      <c r="X31" s="44"/>
    </row>
    <row r="32" ht="22" customHeight="1">
      <c r="A32" s="4" t="str">
        <v>Settlement</v>
      </c>
      <c r="B32" s="2"/>
      <c r="C32" s="44" t="n">
        <v>-1013</v>
      </c>
      <c r="D32" s="44" t="n">
        <v>-46</v>
      </c>
      <c r="E32" s="44" t="n">
        <v>-74</v>
      </c>
      <c r="F32" s="44" t="n">
        <v>-1266</v>
      </c>
      <c r="G32" s="44" t="n">
        <v>-754</v>
      </c>
      <c r="H32" s="44" t="n">
        <v>-217</v>
      </c>
      <c r="I32" s="44" t="n">
        <v>-1117</v>
      </c>
      <c r="J32" s="44" t="n">
        <v>-36</v>
      </c>
      <c r="K32" s="44" t="n">
        <v>-539</v>
      </c>
      <c r="L32" s="44" t="n">
        <v>-670</v>
      </c>
      <c r="M32" s="45"/>
      <c r="N32" s="44"/>
      <c r="O32" s="44"/>
      <c r="P32" s="44"/>
      <c r="Q32" s="44"/>
      <c r="R32" s="44"/>
      <c r="S32" s="44"/>
      <c r="T32" s="44"/>
      <c r="U32" s="44"/>
      <c r="V32" s="44"/>
      <c r="W32" s="44"/>
      <c r="X32" s="44"/>
    </row>
    <row r="33" ht="22" customHeight="1">
      <c r="A33" s="4" t="str">
        <v>Other, including foreign currency adjustment</v>
      </c>
      <c r="B33" s="2"/>
      <c r="C33" s="44" t="n">
        <v>0</v>
      </c>
      <c r="D33" s="44" t="n">
        <v>0</v>
      </c>
      <c r="E33" s="44" t="n">
        <v>0</v>
      </c>
      <c r="F33" s="44" t="n">
        <v>0</v>
      </c>
      <c r="G33" s="44" t="n">
        <v>0</v>
      </c>
      <c r="H33" s="44" t="n">
        <v>0</v>
      </c>
      <c r="I33" s="44" t="n">
        <v>-125</v>
      </c>
      <c r="J33" s="44" t="n">
        <v>0</v>
      </c>
      <c r="K33" s="44" t="n">
        <v>-2</v>
      </c>
      <c r="L33" s="44" t="n">
        <v>0</v>
      </c>
      <c r="M33" s="45"/>
      <c r="N33" s="44"/>
      <c r="O33" s="44"/>
      <c r="P33" s="44"/>
      <c r="Q33" s="44"/>
      <c r="R33" s="44"/>
      <c r="S33" s="44"/>
      <c r="T33" s="44"/>
      <c r="U33" s="44"/>
      <c r="V33" s="44"/>
      <c r="W33" s="44"/>
      <c r="X33" s="44"/>
    </row>
    <row r="34" ht="24" customHeight="1">
      <c r="A34" s="51" t="str">
        <v>Fair value at end of year</v>
      </c>
      <c r="B34" s="52"/>
      <c r="C34" s="53" t="n">
        <v>11458</v>
      </c>
      <c r="D34" s="53" t="n">
        <v>12582</v>
      </c>
      <c r="E34" s="53" t="n">
        <v>12258</v>
      </c>
      <c r="F34" s="53" t="n">
        <v>14302</v>
      </c>
      <c r="G34" s="53" t="n">
        <v>15465</v>
      </c>
      <c r="H34" s="53" t="n">
        <v>15904</v>
      </c>
      <c r="I34" s="53" t="n">
        <v>11148</v>
      </c>
      <c r="J34" s="53" t="n">
        <v>11541</v>
      </c>
      <c r="K34" s="53" t="n">
        <v>10609</v>
      </c>
      <c r="L34" s="53" t="n">
        <v>10949</v>
      </c>
      <c r="M34" s="55"/>
      <c r="N34" s="53"/>
      <c r="O34" s="53"/>
      <c r="P34" s="53"/>
      <c r="Q34" s="53"/>
      <c r="R34" s="53"/>
      <c r="S34" s="53"/>
      <c r="T34" s="53"/>
      <c r="U34" s="53"/>
      <c r="V34" s="53"/>
      <c r="W34" s="53"/>
      <c r="X34" s="53"/>
    </row>
    <row r="35" ht="24" customHeight="1">
      <c r="A35" s="51" t="str">
        <v>Funded status</v>
      </c>
      <c r="B35" s="52"/>
      <c r="C35" s="53" t="n">
        <v>-1734</v>
      </c>
      <c r="D35" s="53" t="n">
        <v>-2195</v>
      </c>
      <c r="E35" s="53" t="n">
        <v>-1549</v>
      </c>
      <c r="F35" s="53" t="n">
        <v>-928</v>
      </c>
      <c r="G35" s="53" t="n">
        <v>-1288</v>
      </c>
      <c r="H35" s="53" t="n">
        <v>-312</v>
      </c>
      <c r="I35" s="53" t="n">
        <v>-395</v>
      </c>
      <c r="J35" s="53" t="n">
        <v>-494</v>
      </c>
      <c r="K35" s="53" t="n">
        <v>-715</v>
      </c>
      <c r="L35" s="53" t="n">
        <v>-233</v>
      </c>
      <c r="M35" s="55"/>
      <c r="N35" s="53"/>
      <c r="O35" s="53"/>
      <c r="P35" s="53"/>
      <c r="Q35" s="53"/>
      <c r="R35" s="53"/>
      <c r="S35" s="53"/>
      <c r="T35" s="53"/>
      <c r="U35" s="53"/>
      <c r="V35" s="53"/>
      <c r="W35" s="53"/>
      <c r="X35" s="53"/>
    </row>
    <row r="36" ht="24" customHeight="1">
      <c r="A36" s="39" t="str">
        <v>Amounts recognized on the balance sheet</v>
      </c>
      <c r="B36" s="40"/>
      <c r="C36" s="41"/>
      <c r="D36" s="41"/>
      <c r="E36" s="41"/>
      <c r="F36" s="41"/>
      <c r="G36" s="41"/>
      <c r="H36" s="41"/>
      <c r="I36" s="41"/>
      <c r="J36" s="41"/>
      <c r="K36" s="41"/>
      <c r="L36" s="41"/>
      <c r="M36" s="42"/>
      <c r="N36" s="41"/>
      <c r="O36" s="41"/>
      <c r="P36" s="41"/>
      <c r="Q36" s="41"/>
      <c r="R36" s="41"/>
      <c r="S36" s="41"/>
      <c r="T36" s="41"/>
      <c r="U36" s="41"/>
      <c r="V36" s="41"/>
      <c r="W36" s="41"/>
      <c r="X36" s="41"/>
    </row>
    <row r="37" ht="22" customHeight="1">
      <c r="A37" s="4" t="str">
        <v>Other assets</v>
      </c>
      <c r="B37" s="2"/>
      <c r="C37" s="44" t="n">
        <v>0</v>
      </c>
      <c r="D37" s="44" t="n">
        <v>286</v>
      </c>
      <c r="E37" s="44" t="n">
        <v>185</v>
      </c>
      <c r="F37" s="44" t="n">
        <v>744</v>
      </c>
      <c r="G37" s="44" t="n">
        <v>797</v>
      </c>
      <c r="H37" s="44" t="n">
        <v>692</v>
      </c>
      <c r="I37" s="44" t="n">
        <v>225</v>
      </c>
      <c r="J37" s="44" t="n">
        <v>313</v>
      </c>
      <c r="K37" s="44" t="n">
        <v>388</v>
      </c>
      <c r="L37" s="44" t="n">
        <v>413</v>
      </c>
      <c r="M37" s="45"/>
      <c r="N37" s="44"/>
      <c r="O37" s="44"/>
      <c r="P37" s="44"/>
      <c r="Q37" s="44"/>
      <c r="R37" s="44"/>
      <c r="S37" s="44"/>
      <c r="T37" s="44"/>
      <c r="U37" s="44"/>
      <c r="V37" s="44"/>
      <c r="W37" s="44"/>
      <c r="X37" s="44"/>
    </row>
    <row r="38" ht="22" customHeight="1">
      <c r="A38" s="4" t="str">
        <v>Other current liabilities</v>
      </c>
      <c r="B38" s="2"/>
      <c r="C38" s="44" t="n">
        <v>-42</v>
      </c>
      <c r="D38" s="44" t="n">
        <v>-74</v>
      </c>
      <c r="E38" s="44" t="n">
        <v>-107</v>
      </c>
      <c r="F38" s="44" t="n">
        <v>-52</v>
      </c>
      <c r="G38" s="44" t="n">
        <v>-53</v>
      </c>
      <c r="H38" s="44" t="n">
        <v>-48</v>
      </c>
      <c r="I38" s="44" t="n">
        <v>-56</v>
      </c>
      <c r="J38" s="44" t="n">
        <v>-75</v>
      </c>
      <c r="K38" s="44" t="n">
        <v>-85</v>
      </c>
      <c r="L38" s="44" t="n">
        <v>-61</v>
      </c>
      <c r="M38" s="45"/>
      <c r="N38" s="44"/>
      <c r="O38" s="44"/>
      <c r="P38" s="44"/>
      <c r="Q38" s="44"/>
      <c r="R38" s="44"/>
      <c r="S38" s="44"/>
      <c r="T38" s="44"/>
      <c r="U38" s="44"/>
      <c r="V38" s="44"/>
      <c r="W38" s="44"/>
      <c r="X38" s="44"/>
    </row>
    <row r="39" ht="22" customHeight="1">
      <c r="A39" s="4" t="str">
        <v>Other liabilities</v>
      </c>
      <c r="B39" s="2"/>
      <c r="C39" s="44" t="n">
        <v>-1692</v>
      </c>
      <c r="D39" s="44" t="n">
        <v>-2407</v>
      </c>
      <c r="E39" s="44" t="n">
        <v>-1627</v>
      </c>
      <c r="F39" s="44" t="n">
        <v>-1620</v>
      </c>
      <c r="G39" s="44" t="n">
        <v>-2032</v>
      </c>
      <c r="H39" s="44" t="n">
        <v>-956</v>
      </c>
      <c r="I39" s="44" t="n">
        <v>-564</v>
      </c>
      <c r="J39" s="44" t="n">
        <v>-732</v>
      </c>
      <c r="K39" s="44" t="n">
        <v>-1018</v>
      </c>
      <c r="L39" s="44" t="n">
        <v>-585</v>
      </c>
      <c r="M39" s="45"/>
      <c r="N39" s="44"/>
      <c r="O39" s="44"/>
      <c r="P39" s="44"/>
      <c r="Q39" s="44"/>
      <c r="R39" s="44"/>
      <c r="S39" s="44"/>
      <c r="T39" s="44"/>
      <c r="U39" s="44"/>
      <c r="V39" s="44"/>
      <c r="W39" s="44"/>
      <c r="X39" s="44"/>
    </row>
    <row r="40" ht="24" customHeight="1">
      <c r="A40" s="51" t="str">
        <v>Net amount recognized</v>
      </c>
      <c r="B40" s="52"/>
      <c r="C40" s="53" t="n">
        <v>-1734</v>
      </c>
      <c r="D40" s="53" t="n">
        <v>-2195</v>
      </c>
      <c r="E40" s="53" t="n">
        <v>-1549</v>
      </c>
      <c r="F40" s="53" t="n">
        <v>-928</v>
      </c>
      <c r="G40" s="53" t="n">
        <v>-1288</v>
      </c>
      <c r="H40" s="53" t="n">
        <v>-312</v>
      </c>
      <c r="I40" s="53" t="n">
        <v>-395</v>
      </c>
      <c r="J40" s="53" t="n">
        <v>-494</v>
      </c>
      <c r="K40" s="53" t="n">
        <v>-715</v>
      </c>
      <c r="L40" s="53" t="n">
        <v>-233</v>
      </c>
      <c r="M40" s="55"/>
      <c r="N40" s="53"/>
      <c r="O40" s="53"/>
      <c r="P40" s="53"/>
      <c r="Q40" s="53"/>
      <c r="R40" s="53"/>
      <c r="S40" s="53"/>
      <c r="T40" s="53"/>
      <c r="U40" s="53"/>
      <c r="V40" s="53"/>
      <c r="W40" s="53"/>
      <c r="X40" s="53"/>
    </row>
    <row r="41" ht="24" customHeight="1">
      <c r="A41" s="39" t="str">
        <v>Benefit expense/(income)</v>
      </c>
      <c r="B41" s="40"/>
      <c r="C41" s="41"/>
      <c r="D41" s="41"/>
      <c r="E41" s="41"/>
      <c r="F41" s="41"/>
      <c r="G41" s="41"/>
      <c r="H41" s="41"/>
      <c r="I41" s="41"/>
      <c r="J41" s="41"/>
      <c r="K41" s="41"/>
      <c r="L41" s="41"/>
      <c r="M41" s="42"/>
      <c r="N41" s="41"/>
      <c r="O41" s="41"/>
      <c r="P41" s="41"/>
      <c r="Q41" s="41"/>
      <c r="R41" s="41"/>
      <c r="S41" s="41"/>
      <c r="T41" s="41"/>
      <c r="U41" s="41"/>
      <c r="V41" s="41"/>
      <c r="W41" s="41"/>
      <c r="X41" s="41"/>
    </row>
    <row r="42" ht="22" customHeight="1">
      <c r="A42" s="4" t="str">
        <v>Service cost</v>
      </c>
      <c r="B42" s="2"/>
      <c r="C42" s="43" t="n">
        <f>IF(COUNT('Pension &amp; Retiree Medical'!C16)=1,'Pension &amp; Retiree Medical'!C16,"")</f>
        <v>393</v>
      </c>
      <c r="D42" s="43" t="n">
        <f>IF(COUNT('Pension &amp; Retiree Medical'!D16)=1,'Pension &amp; Retiree Medical'!D16,"")</f>
        <v>401</v>
      </c>
      <c r="E42" s="43" t="n">
        <f>IF(COUNT('Pension &amp; Retiree Medical'!E16)=1,'Pension &amp; Retiree Medical'!E16,"")</f>
        <v>431</v>
      </c>
      <c r="F42" s="43" t="n">
        <f>IF(COUNT('Pension &amp; Retiree Medical'!F16)=1,'Pension &amp; Retiree Medical'!F16,"")</f>
        <v>381</v>
      </c>
      <c r="G42" s="43" t="n">
        <f>IF(COUNT('Pension &amp; Retiree Medical'!G16)=1,'Pension &amp; Retiree Medical'!G16,"")</f>
        <v>434</v>
      </c>
      <c r="H42" s="43" t="n">
        <f>IF(COUNT('Pension &amp; Retiree Medical'!H16)=1,'Pension &amp; Retiree Medical'!H16,"")</f>
        <v>518</v>
      </c>
      <c r="I42" s="43" t="n">
        <f>IF(COUNT('Pension &amp; Retiree Medical'!I16)=1,'Pension &amp; Retiree Medical'!I16,"")</f>
        <v>487</v>
      </c>
      <c r="J42" s="43" t="n">
        <f>IF(COUNT('Pension &amp; Retiree Medical'!J16)=1,'Pension &amp; Retiree Medical'!J16,"")</f>
        <v>327</v>
      </c>
      <c r="K42" s="43" t="n">
        <f>IF(COUNT('Pension &amp; Retiree Medical'!K16)=1,'Pension &amp; Retiree Medical'!K16,"")</f>
        <v>347</v>
      </c>
      <c r="L42" s="43" t="n">
        <f>IF(COUNT('Pension &amp; Retiree Medical'!L16)=1,'Pension &amp; Retiree Medical'!L16,"")</f>
        <v>312</v>
      </c>
      <c r="M42" s="45"/>
      <c r="N42" s="44" t="n">
        <v>80</v>
      </c>
      <c r="O42" s="44" t="n">
        <v>80</v>
      </c>
      <c r="P42" s="44" t="n">
        <v>80</v>
      </c>
      <c r="Q42" s="43" t="str">
        <f>IF(COUNT('Pension &amp; Retiree Medical'!Q16)=1,'Pension &amp; Retiree Medical'!Q16,"")</f>
      </c>
      <c r="R42" s="44" t="n">
        <v>72</v>
      </c>
      <c r="S42" s="44" t="n">
        <v>73</v>
      </c>
      <c r="T42" s="44" t="n">
        <v>71</v>
      </c>
      <c r="U42" s="43" t="str">
        <f>IF(COUNT('Pension &amp; Retiree Medical'!U16)=1,'Pension &amp; Retiree Medical'!U16,"")</f>
      </c>
      <c r="V42" s="44" t="n">
        <v>54</v>
      </c>
      <c r="W42" s="44" t="n">
        <v>54</v>
      </c>
      <c r="X42" s="44" t="n">
        <v>55</v>
      </c>
    </row>
    <row r="43" ht="22" customHeight="1">
      <c r="A43" s="4" t="str">
        <v>Expected return on plan assets</v>
      </c>
      <c r="B43" s="2"/>
      <c r="C43" s="44" t="n">
        <v>-834</v>
      </c>
      <c r="D43" s="44" t="n">
        <v>-849</v>
      </c>
      <c r="E43" s="44" t="n">
        <v>-943</v>
      </c>
      <c r="F43" s="44" t="n">
        <v>-892</v>
      </c>
      <c r="G43" s="44" t="n">
        <v>-929</v>
      </c>
      <c r="H43" s="44" t="n">
        <v>-970</v>
      </c>
      <c r="I43" s="44" t="n">
        <v>-912</v>
      </c>
      <c r="J43" s="44" t="n">
        <v>-851</v>
      </c>
      <c r="K43" s="44" t="n">
        <v>-871</v>
      </c>
      <c r="L43" s="44" t="n">
        <v>-805</v>
      </c>
      <c r="M43" s="45"/>
      <c r="N43" s="44" t="n">
        <v>-201</v>
      </c>
      <c r="O43" s="44" t="n">
        <v>-202</v>
      </c>
      <c r="P43" s="44" t="n">
        <v>-201</v>
      </c>
      <c r="Q43" s="44"/>
      <c r="R43" s="44" t="n">
        <v>-186</v>
      </c>
      <c r="S43" s="44" t="n">
        <v>-186</v>
      </c>
      <c r="T43" s="44" t="n">
        <v>-186</v>
      </c>
      <c r="U43" s="44"/>
      <c r="V43" s="44" t="n">
        <v>-191</v>
      </c>
      <c r="W43" s="44" t="n">
        <v>-191</v>
      </c>
      <c r="X43" s="44" t="n">
        <v>-191</v>
      </c>
    </row>
    <row r="44" ht="22" customHeight="1">
      <c r="A44" s="4" t="str">
        <v>Amortization of prior service cost/(credits)</v>
      </c>
      <c r="B44" s="2"/>
      <c r="C44" s="44" t="n">
        <v>-1</v>
      </c>
      <c r="D44" s="44" t="n">
        <v>1</v>
      </c>
      <c r="E44" s="44" t="n">
        <v>3</v>
      </c>
      <c r="F44" s="44" t="n">
        <v>10</v>
      </c>
      <c r="G44" s="44" t="n">
        <v>12</v>
      </c>
      <c r="H44" s="44" t="n">
        <v>-31</v>
      </c>
      <c r="I44" s="44" t="n">
        <v>-28</v>
      </c>
      <c r="J44" s="44" t="n">
        <v>-26</v>
      </c>
      <c r="K44" s="44" t="n">
        <v>-24</v>
      </c>
      <c r="L44" s="44" t="n">
        <v>3</v>
      </c>
      <c r="M44" s="45"/>
      <c r="N44" s="44" t="n">
        <v>-6</v>
      </c>
      <c r="O44" s="44" t="n">
        <v>-5</v>
      </c>
      <c r="P44" s="44" t="n">
        <v>-6</v>
      </c>
      <c r="Q44" s="44"/>
      <c r="R44" s="44" t="n">
        <v>1</v>
      </c>
      <c r="S44" s="44" t="n">
        <v>0</v>
      </c>
      <c r="T44" s="44" t="n">
        <v>1</v>
      </c>
      <c r="U44" s="44"/>
      <c r="V44" s="44" t="n">
        <v>2</v>
      </c>
      <c r="W44" s="44" t="n">
        <v>2</v>
      </c>
      <c r="X44" s="44" t="n">
        <v>2</v>
      </c>
    </row>
    <row r="45" ht="22" customHeight="1">
      <c r="A45" s="4" t="str">
        <v>Amortization of net losses/(gains)</v>
      </c>
      <c r="B45" s="2"/>
      <c r="C45" s="44" t="n">
        <v>168</v>
      </c>
      <c r="D45" s="44" t="n">
        <v>123</v>
      </c>
      <c r="E45" s="44" t="n">
        <v>179</v>
      </c>
      <c r="F45" s="44" t="n">
        <v>161</v>
      </c>
      <c r="G45" s="44" t="n">
        <v>196</v>
      </c>
      <c r="H45" s="44" t="n">
        <v>224</v>
      </c>
      <c r="I45" s="44" t="n">
        <v>149</v>
      </c>
      <c r="J45" s="44" t="n">
        <v>70</v>
      </c>
      <c r="K45" s="44" t="n">
        <v>77</v>
      </c>
      <c r="L45" s="44" t="n">
        <v>84</v>
      </c>
      <c r="M45" s="45"/>
      <c r="N45" s="44" t="n">
        <v>18</v>
      </c>
      <c r="O45" s="44" t="n">
        <v>18</v>
      </c>
      <c r="P45" s="44" t="n">
        <v>17</v>
      </c>
      <c r="Q45" s="44"/>
      <c r="R45" s="44" t="n">
        <v>19</v>
      </c>
      <c r="S45" s="44" t="n">
        <v>20</v>
      </c>
      <c r="T45" s="44" t="n">
        <v>19</v>
      </c>
      <c r="U45" s="44"/>
      <c r="V45" s="44" t="n">
        <v>17</v>
      </c>
      <c r="W45" s="44" t="n">
        <v>17</v>
      </c>
      <c r="X45" s="44" t="n">
        <v>16</v>
      </c>
    </row>
    <row r="46" ht="22" customHeight="1">
      <c r="A46" s="4" t="str">
        <v>Settlement/curtailment losses/(gains)</v>
      </c>
      <c r="B46" s="2"/>
      <c r="C46" s="44" t="n">
        <v>245</v>
      </c>
      <c r="D46" s="44" t="n">
        <v>8</v>
      </c>
      <c r="E46" s="44" t="n">
        <v>8</v>
      </c>
      <c r="F46" s="44" t="n">
        <v>296</v>
      </c>
      <c r="G46" s="44" t="n">
        <v>213</v>
      </c>
      <c r="H46" s="44" t="n">
        <v>40</v>
      </c>
      <c r="I46" s="44" t="n">
        <v>322</v>
      </c>
      <c r="J46" s="44" t="n">
        <v>4</v>
      </c>
      <c r="K46" s="44" t="n">
        <v>254</v>
      </c>
      <c r="L46" s="44" t="n">
        <v>247</v>
      </c>
      <c r="M46" s="45"/>
      <c r="N46" s="44"/>
      <c r="O46" s="44" t="n">
        <v>0</v>
      </c>
      <c r="P46" s="44" t="n">
        <v>8</v>
      </c>
      <c r="Q46" s="44"/>
      <c r="R46" s="44"/>
      <c r="S46" s="44" t="n">
        <v>0</v>
      </c>
      <c r="T46" s="44" t="n">
        <v>5</v>
      </c>
      <c r="U46" s="44"/>
      <c r="V46" s="44"/>
      <c r="W46" s="44" t="n">
        <v>0</v>
      </c>
      <c r="X46" s="44" t="n">
        <v>171</v>
      </c>
    </row>
    <row r="47" ht="22" customHeight="1">
      <c r="A47" s="4" t="str">
        <v>Total benefit expense/(income), including service cost</v>
      </c>
      <c r="B47" s="2"/>
      <c r="C47" s="44" t="n">
        <v>466</v>
      </c>
      <c r="D47" s="44" t="n">
        <v>212</v>
      </c>
      <c r="E47" s="44" t="n">
        <v>196</v>
      </c>
      <c r="F47" s="44" t="n">
        <v>500</v>
      </c>
      <c r="G47" s="44" t="n">
        <v>380</v>
      </c>
      <c r="H47" s="44" t="n">
        <v>114</v>
      </c>
      <c r="I47" s="44" t="n">
        <v>489</v>
      </c>
      <c r="J47" s="44" t="n">
        <v>116</v>
      </c>
      <c r="K47" s="44" t="n">
        <v>399</v>
      </c>
      <c r="L47" s="44" t="n">
        <v>448</v>
      </c>
      <c r="M47" s="45"/>
      <c r="N47" s="44" t="n">
        <v>33</v>
      </c>
      <c r="O47" s="44" t="n">
        <v>34</v>
      </c>
      <c r="P47" s="44" t="n">
        <v>41</v>
      </c>
      <c r="Q47" s="44"/>
      <c r="R47" s="44" t="n">
        <v>57</v>
      </c>
      <c r="S47" s="44" t="n">
        <v>40</v>
      </c>
      <c r="T47" s="44" t="n">
        <v>45</v>
      </c>
      <c r="U47" s="44"/>
      <c r="V47" s="44" t="n">
        <v>3</v>
      </c>
      <c r="W47" s="44" t="n">
        <v>2</v>
      </c>
      <c r="X47" s="44" t="n">
        <v>167</v>
      </c>
    </row>
    <row r="48" ht="22" customHeight="1">
      <c r="A48" s="4" t="str">
        <v>Interest cost</v>
      </c>
      <c r="B48" s="2"/>
      <c r="C48" s="43" t="n">
        <f>IF(COUNT('Pension &amp; Retiree Medical'!C17)=1,'Pension &amp; Retiree Medical'!C17,"")</f>
        <v>484</v>
      </c>
      <c r="D48" s="44" t="n">
        <v>468</v>
      </c>
      <c r="E48" s="44" t="n">
        <v>482</v>
      </c>
      <c r="F48" s="44" t="n">
        <v>543</v>
      </c>
      <c r="G48" s="44" t="n">
        <v>435</v>
      </c>
      <c r="H48" s="44" t="n">
        <v>324</v>
      </c>
      <c r="I48" s="44" t="n">
        <v>434</v>
      </c>
      <c r="J48" s="44" t="n">
        <v>593</v>
      </c>
      <c r="K48" s="44" t="n">
        <v>585</v>
      </c>
      <c r="L48" s="44" t="n">
        <v>586</v>
      </c>
      <c r="M48" s="45"/>
      <c r="N48" s="44" t="n">
        <v>135</v>
      </c>
      <c r="O48" s="44" t="n">
        <v>135</v>
      </c>
      <c r="P48" s="44" t="n">
        <v>135</v>
      </c>
      <c r="Q48" s="43" t="str">
        <f>IF(COUNT('Pension &amp; Retiree Medical'!Q17)=1,'Pension &amp; Retiree Medical'!Q17,"")</f>
      </c>
      <c r="R48" s="44" t="n">
        <v>135</v>
      </c>
      <c r="S48" s="44" t="n">
        <v>135</v>
      </c>
      <c r="T48" s="44" t="n">
        <v>136</v>
      </c>
      <c r="U48" s="43" t="str">
        <f>IF(COUNT('Pension &amp; Retiree Medical'!U17)=1,'Pension &amp; Retiree Medical'!U17,"")</f>
      </c>
      <c r="V48" s="44" t="n">
        <v>120</v>
      </c>
      <c r="W48" s="44" t="n">
        <v>120</v>
      </c>
      <c r="X48" s="44" t="n">
        <v>121</v>
      </c>
    </row>
    <row r="49" ht="22" customHeight="1">
      <c r="A49" s="4" t="str">
        <v>Special termination benefits</v>
      </c>
      <c r="B49" s="2"/>
      <c r="C49" s="43" t="n">
        <f>IF(COUNT('Pension &amp; Retiree Medical'!C23)=1,'Pension &amp; Retiree Medical'!C23,"")</f>
        <v>11</v>
      </c>
      <c r="D49" s="44" t="n">
        <v>60</v>
      </c>
      <c r="E49" s="44" t="n">
        <v>36</v>
      </c>
      <c r="F49" s="44" t="n">
        <v>1</v>
      </c>
      <c r="G49" s="44" t="n">
        <v>19</v>
      </c>
      <c r="H49" s="44" t="n">
        <v>9</v>
      </c>
      <c r="I49" s="44" t="n">
        <v>37</v>
      </c>
      <c r="J49" s="44" t="n">
        <v>-1</v>
      </c>
      <c r="K49" s="44" t="n">
        <v>31</v>
      </c>
      <c r="L49" s="44" t="n">
        <v>21</v>
      </c>
      <c r="M49" s="45"/>
      <c r="N49" s="44" t="n">
        <v>7</v>
      </c>
      <c r="O49" s="44" t="n">
        <v>8</v>
      </c>
      <c r="P49" s="44" t="n">
        <v>8</v>
      </c>
      <c r="Q49" s="43" t="str">
        <f>IF(COUNT('Pension &amp; Retiree Medical'!Q23)=1,'Pension &amp; Retiree Medical'!Q23,"")</f>
      </c>
      <c r="R49" s="44" t="n">
        <v>16</v>
      </c>
      <c r="S49" s="44" t="n">
        <v>-2</v>
      </c>
      <c r="T49" s="44" t="n">
        <v>-1</v>
      </c>
      <c r="U49" s="43" t="str">
        <f>IF(COUNT('Pension &amp; Retiree Medical'!U23)=1,'Pension &amp; Retiree Medical'!U23,"")</f>
      </c>
      <c r="V49" s="44" t="n">
        <v>1</v>
      </c>
      <c r="W49" s="44" t="n">
        <v>0</v>
      </c>
      <c r="X49" s="44" t="n">
        <v>-7</v>
      </c>
    </row>
    <row r="50" ht="36" customHeight="1">
      <c r="A50" s="4" t="str">
        <v>Total other pension and retiree medical benefits expense/(income)</v>
      </c>
      <c r="B50" s="2"/>
      <c r="C50" s="43" t="n">
        <f>IF(COUNT('Pension &amp; Retiree Medical'!C47,'Pension &amp; Retiree Medical'!C16)=2,'Pension &amp; Retiree Medical'!C47-'Pension &amp; Retiree Medical'!C16,"")</f>
        <v>73</v>
      </c>
      <c r="D50" s="44" t="n">
        <v>-189</v>
      </c>
      <c r="E50" s="44" t="n">
        <v>-235</v>
      </c>
      <c r="F50" s="44" t="n">
        <v>119</v>
      </c>
      <c r="G50" s="44" t="n">
        <v>-54</v>
      </c>
      <c r="H50" s="44" t="n">
        <v>-404</v>
      </c>
      <c r="I50" s="44" t="n">
        <v>2</v>
      </c>
      <c r="J50" s="44" t="n">
        <v>-211</v>
      </c>
      <c r="K50" s="44" t="n">
        <v>52</v>
      </c>
      <c r="L50" s="44" t="n">
        <v>136</v>
      </c>
      <c r="M50" s="45"/>
      <c r="N50" s="44" t="n">
        <v>-47</v>
      </c>
      <c r="O50" s="44" t="n">
        <v>-46</v>
      </c>
      <c r="P50" s="44" t="n">
        <v>-39</v>
      </c>
      <c r="Q50" s="43" t="str">
        <f>IF(COUNT('Pension &amp; Retiree Medical'!Q47,'Pension &amp; Retiree Medical'!Q16)=2,'Pension &amp; Retiree Medical'!Q47-'Pension &amp; Retiree Medical'!Q16,"")</f>
      </c>
      <c r="R50" s="44" t="n">
        <v>-15</v>
      </c>
      <c r="S50" s="44" t="n">
        <v>-33</v>
      </c>
      <c r="T50" s="44" t="n">
        <v>-26</v>
      </c>
      <c r="U50" s="43" t="str">
        <f>IF(COUNT('Pension &amp; Retiree Medical'!U47,'Pension &amp; Retiree Medical'!U16)=2,'Pension &amp; Retiree Medical'!U47-'Pension &amp; Retiree Medical'!U16,"")</f>
      </c>
      <c r="V50" s="44" t="n">
        <v>-51</v>
      </c>
      <c r="W50" s="44" t="n">
        <v>-52</v>
      </c>
      <c r="X50" s="44" t="n">
        <v>112</v>
      </c>
    </row>
    <row r="51" ht="24" customHeight="1">
      <c r="A51" s="39" t="str">
        <v>Actuarial assumptions</v>
      </c>
      <c r="B51" s="40"/>
      <c r="C51" s="41"/>
      <c r="D51" s="41"/>
      <c r="E51" s="41"/>
      <c r="F51" s="41"/>
      <c r="G51" s="41"/>
      <c r="H51" s="41"/>
      <c r="I51" s="41"/>
      <c r="J51" s="41"/>
      <c r="K51" s="41"/>
      <c r="L51" s="41"/>
      <c r="M51" s="42"/>
      <c r="N51" s="41"/>
      <c r="O51" s="41"/>
      <c r="P51" s="41"/>
      <c r="Q51" s="41"/>
      <c r="R51" s="41"/>
      <c r="S51" s="41"/>
      <c r="T51" s="41"/>
      <c r="U51" s="41"/>
      <c r="V51" s="41"/>
      <c r="W51" s="41"/>
      <c r="X51" s="41"/>
    </row>
    <row r="52" ht="20" customHeight="1">
      <c r="A52" s="56" t="str">
        <v>Benefit obligation discount rate</v>
      </c>
      <c r="B52" s="2"/>
      <c r="C52" s="58" t="n">
        <v>0.044000000000000004</v>
      </c>
      <c r="D52" s="58" t="n">
        <v>0.037000000000000005</v>
      </c>
      <c r="E52" s="58" t="n">
        <v>0.044000000000000004</v>
      </c>
      <c r="F52" s="58" t="n">
        <v>0.033</v>
      </c>
      <c r="G52" s="58" t="n">
        <v>0.025</v>
      </c>
      <c r="H52" s="58" t="n">
        <v>0.028999999999999998</v>
      </c>
      <c r="I52" s="58" t="n">
        <v>0.054000000000000006</v>
      </c>
      <c r="J52" s="58" t="n">
        <v>0.051</v>
      </c>
      <c r="K52" s="58" t="n">
        <v>0.057</v>
      </c>
      <c r="L52" s="58" t="n">
        <v>0.055</v>
      </c>
      <c r="M52" s="60"/>
      <c r="N52" s="58"/>
      <c r="O52" s="58"/>
      <c r="P52" s="58"/>
      <c r="Q52" s="58"/>
      <c r="R52" s="58"/>
      <c r="S52" s="58"/>
      <c r="T52" s="58"/>
      <c r="U52" s="58"/>
      <c r="V52" s="58"/>
      <c r="W52" s="58"/>
      <c r="X52" s="58"/>
    </row>
    <row r="53" ht="20" customHeight="1">
      <c r="A53" s="56" t="str">
        <v>Service cost discount rate</v>
      </c>
      <c r="B53" s="2"/>
      <c r="C53" s="58" t="n">
        <v>0.046</v>
      </c>
      <c r="D53" s="58" t="n">
        <v>0.045</v>
      </c>
      <c r="E53" s="58" t="n">
        <v>0.038</v>
      </c>
      <c r="F53" s="58" t="n">
        <v>0.044000000000000004</v>
      </c>
      <c r="G53" s="58" t="n">
        <v>0.034</v>
      </c>
      <c r="H53" s="58" t="n">
        <v>0.026000000000000002</v>
      </c>
      <c r="I53" s="58" t="n">
        <v>0.031000000000000003</v>
      </c>
      <c r="J53" s="58" t="n">
        <v>0.054000000000000006</v>
      </c>
      <c r="K53" s="58" t="n">
        <v>0.051</v>
      </c>
      <c r="L53" s="58" t="n">
        <v>0.057999999999999996</v>
      </c>
      <c r="M53" s="60"/>
      <c r="N53" s="58"/>
      <c r="O53" s="58"/>
      <c r="P53" s="58"/>
      <c r="Q53" s="58"/>
      <c r="R53" s="58"/>
      <c r="S53" s="58"/>
      <c r="T53" s="58"/>
      <c r="U53" s="58"/>
      <c r="V53" s="58"/>
      <c r="W53" s="58"/>
      <c r="X53" s="58"/>
    </row>
    <row r="54" ht="20" customHeight="1">
      <c r="A54" s="56" t="str">
        <v>Interest cost discount rate</v>
      </c>
      <c r="B54" s="2"/>
      <c r="C54" s="58" t="n">
        <v>0.038</v>
      </c>
      <c r="D54" s="58" t="n">
        <v>0.037000000000000005</v>
      </c>
      <c r="E54" s="58" t="n">
        <v>0.034</v>
      </c>
      <c r="F54" s="58" t="n">
        <v>0.040999999999999995</v>
      </c>
      <c r="G54" s="58" t="n">
        <v>0.028999999999999998</v>
      </c>
      <c r="H54" s="58" t="n">
        <v>0.02</v>
      </c>
      <c r="I54" s="58" t="n">
        <v>0.031000000000000003</v>
      </c>
      <c r="J54" s="58" t="n">
        <v>0.054000000000000006</v>
      </c>
      <c r="K54" s="58" t="n">
        <v>0.051</v>
      </c>
      <c r="L54" s="58" t="n">
        <v>0.054000000000000006</v>
      </c>
      <c r="M54" s="60"/>
      <c r="N54" s="58"/>
      <c r="O54" s="58"/>
      <c r="P54" s="58"/>
      <c r="Q54" s="58"/>
      <c r="R54" s="58"/>
      <c r="S54" s="58"/>
      <c r="T54" s="58"/>
      <c r="U54" s="58"/>
      <c r="V54" s="58"/>
      <c r="W54" s="58"/>
      <c r="X54" s="58"/>
    </row>
    <row r="55" ht="20" customHeight="1">
      <c r="A55" s="56" t="str">
        <v>Expected return on plan assets</v>
      </c>
      <c r="B55" s="2"/>
      <c r="C55" s="58" t="n">
        <v>0.075</v>
      </c>
      <c r="D55" s="58" t="n">
        <v>0.075</v>
      </c>
      <c r="E55" s="58" t="n">
        <v>0.07200000000000001</v>
      </c>
      <c r="F55" s="58" t="n">
        <v>0.071</v>
      </c>
      <c r="G55" s="58" t="n">
        <v>0.068</v>
      </c>
      <c r="H55" s="58" t="n">
        <v>0.064</v>
      </c>
      <c r="I55" s="58" t="n">
        <v>0.067</v>
      </c>
      <c r="J55" s="58" t="n">
        <v>0.07400000000000001</v>
      </c>
      <c r="K55" s="58" t="n">
        <v>0.07400000000000001</v>
      </c>
      <c r="L55" s="58" t="n">
        <v>0.075</v>
      </c>
      <c r="M55" s="60"/>
      <c r="N55" s="58"/>
      <c r="O55" s="58"/>
      <c r="P55" s="58"/>
      <c r="Q55" s="58"/>
      <c r="R55" s="58"/>
      <c r="S55" s="58"/>
      <c r="T55" s="58"/>
      <c r="U55" s="58"/>
      <c r="V55" s="58"/>
      <c r="W55" s="58"/>
      <c r="X55" s="58"/>
    </row>
    <row r="56" ht="20" customHeight="1">
      <c r="A56" s="56" t="str">
        <v>Rate of salary increases — benefit obligation</v>
      </c>
      <c r="B56" s="2"/>
      <c r="C56" s="58" t="n">
        <v>0.031000000000000003</v>
      </c>
      <c r="D56" s="58" t="n">
        <v>0.031000000000000003</v>
      </c>
      <c r="E56" s="58" t="n">
        <v>0.031000000000000003</v>
      </c>
      <c r="F56" s="58" t="n">
        <v>0.031000000000000003</v>
      </c>
      <c r="G56" s="58" t="n">
        <v>0.03</v>
      </c>
      <c r="H56" s="58" t="n">
        <v>0.03</v>
      </c>
      <c r="I56" s="58" t="n">
        <v>0.032</v>
      </c>
      <c r="J56" s="58" t="n">
        <v>0.039</v>
      </c>
      <c r="K56" s="58" t="n">
        <v>0.039</v>
      </c>
      <c r="L56" s="58" t="n">
        <v>0.031000000000000003</v>
      </c>
      <c r="M56" s="60"/>
      <c r="N56" s="58"/>
      <c r="O56" s="58"/>
      <c r="P56" s="58"/>
      <c r="Q56" s="58"/>
      <c r="R56" s="58"/>
      <c r="S56" s="58"/>
      <c r="T56" s="58"/>
      <c r="U56" s="58"/>
      <c r="V56" s="58"/>
      <c r="W56" s="58"/>
      <c r="X56" s="58"/>
    </row>
    <row r="57" ht="20" customHeight="1">
      <c r="A57" s="56" t="str">
        <v>Rate of salary increases — expense</v>
      </c>
      <c r="B57" s="2"/>
      <c r="C57" s="58" t="n">
        <v>0.031000000000000003</v>
      </c>
      <c r="D57" s="58" t="n">
        <v>0.031000000000000003</v>
      </c>
      <c r="E57" s="58" t="n">
        <v>0.031000000000000003</v>
      </c>
      <c r="F57" s="58" t="n">
        <v>0.031000000000000003</v>
      </c>
      <c r="G57" s="58" t="n">
        <v>0.031000000000000003</v>
      </c>
      <c r="H57" s="58" t="n">
        <v>0.03</v>
      </c>
      <c r="I57" s="58" t="n">
        <v>0.03</v>
      </c>
      <c r="J57" s="58" t="n">
        <v>0.032</v>
      </c>
      <c r="K57" s="58" t="n">
        <v>0.039</v>
      </c>
      <c r="L57" s="58" t="n">
        <v>0.039</v>
      </c>
      <c r="M57" s="60"/>
      <c r="N57" s="58"/>
      <c r="O57" s="58"/>
      <c r="P57" s="58"/>
      <c r="Q57" s="58"/>
      <c r="R57" s="58"/>
      <c r="S57" s="58"/>
      <c r="T57" s="58"/>
      <c r="U57" s="58"/>
      <c r="V57" s="58"/>
      <c r="W57" s="58"/>
      <c r="X57" s="58"/>
    </row>
    <row r="58" ht="22" customHeight="1">
      <c r="A58" s="4" t="str">
        <v>Plan assets − benefit obligation − funded status</v>
      </c>
      <c r="B58" s="2"/>
      <c r="C58" s="61" t="n">
        <f>IF(COUNT('Pension &amp; Retiree Medical'!C34,'Pension &amp; Retiree Medical'!C25,'Pension &amp; Retiree Medical'!C35)=3,'Pension &amp; Retiree Medical'!C34-'Pension &amp; Retiree Medical'!C25-'Pension &amp; Retiree Medical'!C35,"")</f>
        <v>0</v>
      </c>
      <c r="D58" s="61" t="n">
        <f>IF(COUNT('Pension &amp; Retiree Medical'!D34,'Pension &amp; Retiree Medical'!D25,'Pension &amp; Retiree Medical'!D35)=3,'Pension &amp; Retiree Medical'!D34-'Pension &amp; Retiree Medical'!D25-'Pension &amp; Retiree Medical'!D35,"")</f>
        <v>0</v>
      </c>
      <c r="E58" s="61" t="n">
        <f>IF(COUNT('Pension &amp; Retiree Medical'!E34,'Pension &amp; Retiree Medical'!E25,'Pension &amp; Retiree Medical'!E35)=3,'Pension &amp; Retiree Medical'!E34-'Pension &amp; Retiree Medical'!E25-'Pension &amp; Retiree Medical'!E35,"")</f>
        <v>0</v>
      </c>
      <c r="F58" s="61" t="n">
        <f>IF(COUNT('Pension &amp; Retiree Medical'!F34,'Pension &amp; Retiree Medical'!F25,'Pension &amp; Retiree Medical'!F35)=3,'Pension &amp; Retiree Medical'!F34-'Pension &amp; Retiree Medical'!F25-'Pension &amp; Retiree Medical'!F35,"")</f>
        <v>0</v>
      </c>
      <c r="G58" s="61" t="n">
        <f>IF(COUNT('Pension &amp; Retiree Medical'!G34,'Pension &amp; Retiree Medical'!G25,'Pension &amp; Retiree Medical'!G35)=3,'Pension &amp; Retiree Medical'!G34-'Pension &amp; Retiree Medical'!G25-'Pension &amp; Retiree Medical'!G35,"")</f>
        <v>0</v>
      </c>
      <c r="H58" s="61" t="n">
        <f>IF(COUNT('Pension &amp; Retiree Medical'!H34,'Pension &amp; Retiree Medical'!H25,'Pension &amp; Retiree Medical'!H35)=3,'Pension &amp; Retiree Medical'!H34-'Pension &amp; Retiree Medical'!H25-'Pension &amp; Retiree Medical'!H35,"")</f>
        <v>0</v>
      </c>
      <c r="I58" s="61" t="n">
        <f>IF(COUNT('Pension &amp; Retiree Medical'!I34,'Pension &amp; Retiree Medical'!I25,'Pension &amp; Retiree Medical'!I35)=3,'Pension &amp; Retiree Medical'!I34-'Pension &amp; Retiree Medical'!I25-'Pension &amp; Retiree Medical'!I35,"")</f>
        <v>0</v>
      </c>
      <c r="J58" s="61" t="n">
        <f>IF(COUNT('Pension &amp; Retiree Medical'!J34,'Pension &amp; Retiree Medical'!J25,'Pension &amp; Retiree Medical'!J35)=3,'Pension &amp; Retiree Medical'!J34-'Pension &amp; Retiree Medical'!J25-'Pension &amp; Retiree Medical'!J35,"")</f>
        <v>0</v>
      </c>
      <c r="K58" s="61" t="n">
        <f>IF(COUNT('Pension &amp; Retiree Medical'!K34,'Pension &amp; Retiree Medical'!K25,'Pension &amp; Retiree Medical'!K35)=3,'Pension &amp; Retiree Medical'!K34-'Pension &amp; Retiree Medical'!K25-'Pension &amp; Retiree Medical'!K35,"")</f>
        <v>0</v>
      </c>
      <c r="L58" s="61" t="n">
        <f>IF(COUNT('Pension &amp; Retiree Medical'!L34,'Pension &amp; Retiree Medical'!L25,'Pension &amp; Retiree Medical'!L35)=3,'Pension &amp; Retiree Medical'!L34-'Pension &amp; Retiree Medical'!L25-'Pension &amp; Retiree Medical'!L35,"")</f>
        <v>0</v>
      </c>
      <c r="M58" s="63"/>
      <c r="N58" s="61" t="str">
        <f>IF(COUNT('Pension &amp; Retiree Medical'!N34,'Pension &amp; Retiree Medical'!N25,'Pension &amp; Retiree Medical'!N35)=3,'Pension &amp; Retiree Medical'!N34-'Pension &amp; Retiree Medical'!N25-'Pension &amp; Retiree Medical'!N35,"")</f>
      </c>
      <c r="O58" s="61" t="str">
        <f>IF(COUNT('Pension &amp; Retiree Medical'!O34,'Pension &amp; Retiree Medical'!O25,'Pension &amp; Retiree Medical'!O35)=3,'Pension &amp; Retiree Medical'!O34-'Pension &amp; Retiree Medical'!O25-'Pension &amp; Retiree Medical'!O35,"")</f>
      </c>
      <c r="P58" s="61" t="str">
        <f>IF(COUNT('Pension &amp; Retiree Medical'!P34,'Pension &amp; Retiree Medical'!P25,'Pension &amp; Retiree Medical'!P35)=3,'Pension &amp; Retiree Medical'!P34-'Pension &amp; Retiree Medical'!P25-'Pension &amp; Retiree Medical'!P35,"")</f>
      </c>
      <c r="Q58" s="61" t="str">
        <f>IF(COUNT('Pension &amp; Retiree Medical'!Q34,'Pension &amp; Retiree Medical'!Q25,'Pension &amp; Retiree Medical'!Q35)=3,'Pension &amp; Retiree Medical'!Q34-'Pension &amp; Retiree Medical'!Q25-'Pension &amp; Retiree Medical'!Q35,"")</f>
      </c>
      <c r="R58" s="61" t="str">
        <f>IF(COUNT('Pension &amp; Retiree Medical'!R34,'Pension &amp; Retiree Medical'!R25,'Pension &amp; Retiree Medical'!R35)=3,'Pension &amp; Retiree Medical'!R34-'Pension &amp; Retiree Medical'!R25-'Pension &amp; Retiree Medical'!R35,"")</f>
      </c>
      <c r="S58" s="61" t="str">
        <f>IF(COUNT('Pension &amp; Retiree Medical'!S34,'Pension &amp; Retiree Medical'!S25,'Pension &amp; Retiree Medical'!S35)=3,'Pension &amp; Retiree Medical'!S34-'Pension &amp; Retiree Medical'!S25-'Pension &amp; Retiree Medical'!S35,"")</f>
      </c>
      <c r="T58" s="61" t="str">
        <f>IF(COUNT('Pension &amp; Retiree Medical'!T34,'Pension &amp; Retiree Medical'!T25,'Pension &amp; Retiree Medical'!T35)=3,'Pension &amp; Retiree Medical'!T34-'Pension &amp; Retiree Medical'!T25-'Pension &amp; Retiree Medical'!T35,"")</f>
      </c>
      <c r="U58" s="61" t="str">
        <f>IF(COUNT('Pension &amp; Retiree Medical'!U34,'Pension &amp; Retiree Medical'!U25,'Pension &amp; Retiree Medical'!U35)=3,'Pension &amp; Retiree Medical'!U34-'Pension &amp; Retiree Medical'!U25-'Pension &amp; Retiree Medical'!U35,"")</f>
      </c>
      <c r="V58" s="61" t="str">
        <f>IF(COUNT('Pension &amp; Retiree Medical'!V34,'Pension &amp; Retiree Medical'!V25,'Pension &amp; Retiree Medical'!V35)=3,'Pension &amp; Retiree Medical'!V34-'Pension &amp; Retiree Medical'!V25-'Pension &amp; Retiree Medical'!V35,"")</f>
      </c>
      <c r="W58" s="61" t="str">
        <f>IF(COUNT('Pension &amp; Retiree Medical'!W34,'Pension &amp; Retiree Medical'!W25,'Pension &amp; Retiree Medical'!W35)=3,'Pension &amp; Retiree Medical'!W34-'Pension &amp; Retiree Medical'!W25-'Pension &amp; Retiree Medical'!W35,"")</f>
      </c>
      <c r="X58" s="61" t="str">
        <f>IF(COUNT('Pension &amp; Retiree Medical'!X34,'Pension &amp; Retiree Medical'!X25,'Pension &amp; Retiree Medical'!X35)=3,'Pension &amp; Retiree Medical'!X34-'Pension &amp; Retiree Medical'!X25-'Pension &amp; Retiree Medical'!X35,"")</f>
      </c>
    </row>
    <row r="59" ht="22" customHeight="1">
      <c r="A59" s="4" t="str">
        <v>Net amount recognized − funded status</v>
      </c>
      <c r="B59" s="2"/>
      <c r="C59" s="61" t="n">
        <f>IF(COUNT('Pension &amp; Retiree Medical'!C40,'Pension &amp; Retiree Medical'!C35)=2,'Pension &amp; Retiree Medical'!C40-'Pension &amp; Retiree Medical'!C35,"")</f>
        <v>0</v>
      </c>
      <c r="D59" s="61" t="n">
        <f>IF(COUNT('Pension &amp; Retiree Medical'!D40,'Pension &amp; Retiree Medical'!D35)=2,'Pension &amp; Retiree Medical'!D40-'Pension &amp; Retiree Medical'!D35,"")</f>
        <v>0</v>
      </c>
      <c r="E59" s="61" t="n">
        <f>IF(COUNT('Pension &amp; Retiree Medical'!E40,'Pension &amp; Retiree Medical'!E35)=2,'Pension &amp; Retiree Medical'!E40-'Pension &amp; Retiree Medical'!E35,"")</f>
        <v>0</v>
      </c>
      <c r="F59" s="61" t="n">
        <f>IF(COUNT('Pension &amp; Retiree Medical'!F40,'Pension &amp; Retiree Medical'!F35)=2,'Pension &amp; Retiree Medical'!F40-'Pension &amp; Retiree Medical'!F35,"")</f>
        <v>0</v>
      </c>
      <c r="G59" s="61" t="n">
        <f>IF(COUNT('Pension &amp; Retiree Medical'!G40,'Pension &amp; Retiree Medical'!G35)=2,'Pension &amp; Retiree Medical'!G40-'Pension &amp; Retiree Medical'!G35,"")</f>
        <v>0</v>
      </c>
      <c r="H59" s="61" t="n">
        <f>IF(COUNT('Pension &amp; Retiree Medical'!H40,'Pension &amp; Retiree Medical'!H35)=2,'Pension &amp; Retiree Medical'!H40-'Pension &amp; Retiree Medical'!H35,"")</f>
        <v>0</v>
      </c>
      <c r="I59" s="61" t="n">
        <f>IF(COUNT('Pension &amp; Retiree Medical'!I40,'Pension &amp; Retiree Medical'!I35)=2,'Pension &amp; Retiree Medical'!I40-'Pension &amp; Retiree Medical'!I35,"")</f>
        <v>0</v>
      </c>
      <c r="J59" s="61" t="n">
        <f>IF(COUNT('Pension &amp; Retiree Medical'!J40,'Pension &amp; Retiree Medical'!J35)=2,'Pension &amp; Retiree Medical'!J40-'Pension &amp; Retiree Medical'!J35,"")</f>
        <v>0</v>
      </c>
      <c r="K59" s="61" t="n">
        <f>IF(COUNT('Pension &amp; Retiree Medical'!K40,'Pension &amp; Retiree Medical'!K35)=2,'Pension &amp; Retiree Medical'!K40-'Pension &amp; Retiree Medical'!K35,"")</f>
        <v>0</v>
      </c>
      <c r="L59" s="61" t="n">
        <f>IF(COUNT('Pension &amp; Retiree Medical'!L40,'Pension &amp; Retiree Medical'!L35)=2,'Pension &amp; Retiree Medical'!L40-'Pension &amp; Retiree Medical'!L35,"")</f>
        <v>0</v>
      </c>
      <c r="M59" s="63"/>
      <c r="N59" s="61" t="str">
        <f>IF(COUNT('Pension &amp; Retiree Medical'!N40,'Pension &amp; Retiree Medical'!N35)=2,'Pension &amp; Retiree Medical'!N40-'Pension &amp; Retiree Medical'!N35,"")</f>
      </c>
      <c r="O59" s="61" t="str">
        <f>IF(COUNT('Pension &amp; Retiree Medical'!O40,'Pension &amp; Retiree Medical'!O35)=2,'Pension &amp; Retiree Medical'!O40-'Pension &amp; Retiree Medical'!O35,"")</f>
      </c>
      <c r="P59" s="61" t="str">
        <f>IF(COUNT('Pension &amp; Retiree Medical'!P40,'Pension &amp; Retiree Medical'!P35)=2,'Pension &amp; Retiree Medical'!P40-'Pension &amp; Retiree Medical'!P35,"")</f>
      </c>
      <c r="Q59" s="61" t="str">
        <f>IF(COUNT('Pension &amp; Retiree Medical'!Q40,'Pension &amp; Retiree Medical'!Q35)=2,'Pension &amp; Retiree Medical'!Q40-'Pension &amp; Retiree Medical'!Q35,"")</f>
      </c>
      <c r="R59" s="61" t="str">
        <f>IF(COUNT('Pension &amp; Retiree Medical'!R40,'Pension &amp; Retiree Medical'!R35)=2,'Pension &amp; Retiree Medical'!R40-'Pension &amp; Retiree Medical'!R35,"")</f>
      </c>
      <c r="S59" s="61" t="str">
        <f>IF(COUNT('Pension &amp; Retiree Medical'!S40,'Pension &amp; Retiree Medical'!S35)=2,'Pension &amp; Retiree Medical'!S40-'Pension &amp; Retiree Medical'!S35,"")</f>
      </c>
      <c r="T59" s="61" t="str">
        <f>IF(COUNT('Pension &amp; Retiree Medical'!T40,'Pension &amp; Retiree Medical'!T35)=2,'Pension &amp; Retiree Medical'!T40-'Pension &amp; Retiree Medical'!T35,"")</f>
      </c>
      <c r="U59" s="61" t="str">
        <f>IF(COUNT('Pension &amp; Retiree Medical'!U40,'Pension &amp; Retiree Medical'!U35)=2,'Pension &amp; Retiree Medical'!U40-'Pension &amp; Retiree Medical'!U35,"")</f>
      </c>
      <c r="V59" s="61" t="str">
        <f>IF(COUNT('Pension &amp; Retiree Medical'!V40,'Pension &amp; Retiree Medical'!V35)=2,'Pension &amp; Retiree Medical'!V40-'Pension &amp; Retiree Medical'!V35,"")</f>
      </c>
      <c r="W59" s="61" t="str">
        <f>IF(COUNT('Pension &amp; Retiree Medical'!W40,'Pension &amp; Retiree Medical'!W35)=2,'Pension &amp; Retiree Medical'!W40-'Pension &amp; Retiree Medical'!W35,"")</f>
      </c>
      <c r="X59" s="61" t="str">
        <f>IF(COUNT('Pension &amp; Retiree Medical'!X40,'Pension &amp; Retiree Medical'!X35)=2,'Pension &amp; Retiree Medical'!X40-'Pension &amp; Retiree Medical'!X35,"")</f>
      </c>
    </row>
    <row r="60" ht="36" customHeight="1">
      <c r="A60" s="4" t="str">
        <v>Total benefit expense − service cost − non-service expense</v>
      </c>
      <c r="B60" s="2"/>
      <c r="C60" s="61" t="n">
        <f>IF(COUNT('Pension &amp; Retiree Medical'!C47,'Pension &amp; Retiree Medical'!C16,'Pension &amp; Retiree Medical'!C50)=3,'Pension &amp; Retiree Medical'!C47-'Pension &amp; Retiree Medical'!C16-'Pension &amp; Retiree Medical'!C50,"")</f>
        <v>0</v>
      </c>
      <c r="D60" s="61" t="n">
        <f>IF(COUNT('Pension &amp; Retiree Medical'!D47,'Pension &amp; Retiree Medical'!D16,'Pension &amp; Retiree Medical'!D50)=3,'Pension &amp; Retiree Medical'!D47-'Pension &amp; Retiree Medical'!D16-'Pension &amp; Retiree Medical'!D50,"")</f>
        <v>0</v>
      </c>
      <c r="E60" s="61" t="n">
        <f>IF(COUNT('Pension &amp; Retiree Medical'!E47,'Pension &amp; Retiree Medical'!E16,'Pension &amp; Retiree Medical'!E50)=3,'Pension &amp; Retiree Medical'!E47-'Pension &amp; Retiree Medical'!E16-'Pension &amp; Retiree Medical'!E50,"")</f>
        <v>0</v>
      </c>
      <c r="F60" s="61" t="n">
        <f>IF(COUNT('Pension &amp; Retiree Medical'!F47,'Pension &amp; Retiree Medical'!F16,'Pension &amp; Retiree Medical'!F50)=3,'Pension &amp; Retiree Medical'!F47-'Pension &amp; Retiree Medical'!F16-'Pension &amp; Retiree Medical'!F50,"")</f>
        <v>0</v>
      </c>
      <c r="G60" s="61" t="n">
        <f>IF(COUNT('Pension &amp; Retiree Medical'!G47,'Pension &amp; Retiree Medical'!G16,'Pension &amp; Retiree Medical'!G50)=3,'Pension &amp; Retiree Medical'!G47-'Pension &amp; Retiree Medical'!G16-'Pension &amp; Retiree Medical'!G50,"")</f>
        <v>0</v>
      </c>
      <c r="H60" s="61" t="n">
        <f>IF(COUNT('Pension &amp; Retiree Medical'!H47,'Pension &amp; Retiree Medical'!H16,'Pension &amp; Retiree Medical'!H50)=3,'Pension &amp; Retiree Medical'!H47-'Pension &amp; Retiree Medical'!H16-'Pension &amp; Retiree Medical'!H50,"")</f>
        <v>0</v>
      </c>
      <c r="I60" s="61" t="n">
        <f>IF(COUNT('Pension &amp; Retiree Medical'!I47,'Pension &amp; Retiree Medical'!I16,'Pension &amp; Retiree Medical'!I50)=3,'Pension &amp; Retiree Medical'!I47-'Pension &amp; Retiree Medical'!I16-'Pension &amp; Retiree Medical'!I50,"")</f>
        <v>0</v>
      </c>
      <c r="J60" s="61" t="n">
        <f>IF(COUNT('Pension &amp; Retiree Medical'!J47,'Pension &amp; Retiree Medical'!J16,'Pension &amp; Retiree Medical'!J50)=3,'Pension &amp; Retiree Medical'!J47-'Pension &amp; Retiree Medical'!J16-'Pension &amp; Retiree Medical'!J50,"")</f>
        <v>0</v>
      </c>
      <c r="K60" s="61" t="n">
        <f>IF(COUNT('Pension &amp; Retiree Medical'!K47,'Pension &amp; Retiree Medical'!K16,'Pension &amp; Retiree Medical'!K50)=3,'Pension &amp; Retiree Medical'!K47-'Pension &amp; Retiree Medical'!K16-'Pension &amp; Retiree Medical'!K50,"")</f>
        <v>0</v>
      </c>
      <c r="L60" s="61" t="n">
        <f>IF(COUNT('Pension &amp; Retiree Medical'!L47,'Pension &amp; Retiree Medical'!L16,'Pension &amp; Retiree Medical'!L50)=3,'Pension &amp; Retiree Medical'!L47-'Pension &amp; Retiree Medical'!L16-'Pension &amp; Retiree Medical'!L50,"")</f>
        <v>0</v>
      </c>
      <c r="M60" s="63"/>
      <c r="N60" s="61" t="str">
        <f>IF(COUNT('Pension &amp; Retiree Medical'!N47,'Pension &amp; Retiree Medical'!N16,'Pension &amp; Retiree Medical'!N50)=3,'Pension &amp; Retiree Medical'!N47-'Pension &amp; Retiree Medical'!N16-'Pension &amp; Retiree Medical'!N50,"")</f>
      </c>
      <c r="O60" s="61" t="str">
        <f>IF(COUNT('Pension &amp; Retiree Medical'!O47,'Pension &amp; Retiree Medical'!O16,'Pension &amp; Retiree Medical'!O50)=3,'Pension &amp; Retiree Medical'!O47-'Pension &amp; Retiree Medical'!O16-'Pension &amp; Retiree Medical'!O50,"")</f>
      </c>
      <c r="P60" s="61" t="str">
        <f>IF(COUNT('Pension &amp; Retiree Medical'!P47,'Pension &amp; Retiree Medical'!P16,'Pension &amp; Retiree Medical'!P50)=3,'Pension &amp; Retiree Medical'!P47-'Pension &amp; Retiree Medical'!P16-'Pension &amp; Retiree Medical'!P50,"")</f>
      </c>
      <c r="Q60" s="61" t="str">
        <f>IF(COUNT('Pension &amp; Retiree Medical'!Q47,'Pension &amp; Retiree Medical'!Q16,'Pension &amp; Retiree Medical'!Q50)=3,'Pension &amp; Retiree Medical'!Q47-'Pension &amp; Retiree Medical'!Q16-'Pension &amp; Retiree Medical'!Q50,"")</f>
      </c>
      <c r="R60" s="61" t="str">
        <f>IF(COUNT('Pension &amp; Retiree Medical'!R47,'Pension &amp; Retiree Medical'!R16,'Pension &amp; Retiree Medical'!R50)=3,'Pension &amp; Retiree Medical'!R47-'Pension &amp; Retiree Medical'!R16-'Pension &amp; Retiree Medical'!R50,"")</f>
      </c>
      <c r="S60" s="61" t="str">
        <f>IF(COUNT('Pension &amp; Retiree Medical'!S47,'Pension &amp; Retiree Medical'!S16,'Pension &amp; Retiree Medical'!S50)=3,'Pension &amp; Retiree Medical'!S47-'Pension &amp; Retiree Medical'!S16-'Pension &amp; Retiree Medical'!S50,"")</f>
      </c>
      <c r="T60" s="61" t="str">
        <f>IF(COUNT('Pension &amp; Retiree Medical'!T47,'Pension &amp; Retiree Medical'!T16,'Pension &amp; Retiree Medical'!T50)=3,'Pension &amp; Retiree Medical'!T47-'Pension &amp; Retiree Medical'!T16-'Pension &amp; Retiree Medical'!T50,"")</f>
      </c>
      <c r="U60" s="61" t="str">
        <f>IF(COUNT('Pension &amp; Retiree Medical'!U47,'Pension &amp; Retiree Medical'!U16,'Pension &amp; Retiree Medical'!U50)=3,'Pension &amp; Retiree Medical'!U47-'Pension &amp; Retiree Medical'!U16-'Pension &amp; Retiree Medical'!U50,"")</f>
      </c>
      <c r="V60" s="61" t="str">
        <f>IF(COUNT('Pension &amp; Retiree Medical'!V47,'Pension &amp; Retiree Medical'!V16,'Pension &amp; Retiree Medical'!V50)=3,'Pension &amp; Retiree Medical'!V47-'Pension &amp; Retiree Medical'!V16-'Pension &amp; Retiree Medical'!V50,"")</f>
      </c>
      <c r="W60" s="61" t="str">
        <f>IF(COUNT('Pension &amp; Retiree Medical'!W47,'Pension &amp; Retiree Medical'!W16,'Pension &amp; Retiree Medical'!W50)=3,'Pension &amp; Retiree Medical'!W47-'Pension &amp; Retiree Medical'!W16-'Pension &amp; Retiree Medical'!W50,"")</f>
      </c>
      <c r="X60" s="61" t="str">
        <f>IF(COUNT('Pension &amp; Retiree Medical'!X47,'Pension &amp; Retiree Medical'!X16,'Pension &amp; Retiree Medical'!X50)=3,'Pension &amp; Retiree Medical'!X47-'Pension &amp; Retiree Medical'!X16-'Pension &amp; Retiree Medical'!X50,"")</f>
      </c>
    </row>
    <row r="61" ht="22" customHeight="1">
      <c r="A61" s="4"/>
      <c r="B61" s="2"/>
      <c r="C61" s="3"/>
      <c r="D61" s="3"/>
      <c r="E61" s="3"/>
      <c r="F61" s="3"/>
      <c r="G61" s="3"/>
      <c r="H61" s="3"/>
      <c r="I61" s="3"/>
      <c r="J61" s="3"/>
      <c r="K61" s="3"/>
      <c r="L61" s="3"/>
      <c r="M61" s="3"/>
      <c r="N61" s="3"/>
      <c r="O61" s="3"/>
      <c r="P61" s="3"/>
      <c r="Q61" s="3"/>
      <c r="R61" s="3"/>
      <c r="S61" s="3"/>
      <c r="T61" s="3"/>
      <c r="U61" s="3"/>
      <c r="V61" s="3"/>
      <c r="W61" s="3"/>
      <c r="X61" s="3"/>
    </row>
    <row r="62" ht="22" customHeight="1">
      <c r="A62" s="29" t="str">
        <v>International pension plans</v>
      </c>
      <c r="B62" s="29"/>
      <c r="C62" s="32"/>
      <c r="D62" s="32"/>
      <c r="E62" s="32"/>
      <c r="F62" s="32"/>
      <c r="G62" s="32"/>
      <c r="H62" s="32"/>
      <c r="I62" s="32"/>
      <c r="J62" s="32"/>
      <c r="K62" s="32"/>
      <c r="L62" s="32"/>
      <c r="M62" s="32"/>
      <c r="N62" s="32"/>
      <c r="O62" s="32"/>
      <c r="P62" s="32"/>
      <c r="Q62" s="32"/>
      <c r="R62" s="32"/>
      <c r="S62" s="32"/>
      <c r="T62" s="32"/>
      <c r="U62" s="32"/>
      <c r="V62" s="32"/>
      <c r="W62" s="32"/>
      <c r="X62" s="32"/>
    </row>
    <row r="63" ht="18" customHeight="1">
      <c r="A63" s="33" t="str">
        <v>Liability/Obligation terminology is linked on a consistent benefit-obligation basis. FY2016 non-service expense = total benefit expense less service cost; later periods use the company's direct disclosure.</v>
      </c>
      <c r="B63" s="33"/>
      <c r="C63" s="35"/>
      <c r="D63" s="35"/>
      <c r="E63" s="35"/>
      <c r="F63" s="35"/>
      <c r="G63" s="35"/>
      <c r="H63" s="35"/>
      <c r="I63" s="35"/>
      <c r="J63" s="35"/>
      <c r="K63" s="35"/>
      <c r="L63" s="35"/>
      <c r="M63" s="35"/>
      <c r="N63" s="35"/>
      <c r="O63" s="35"/>
      <c r="P63" s="35"/>
      <c r="Q63" s="35"/>
      <c r="R63" s="35"/>
      <c r="S63" s="35"/>
      <c r="T63" s="35"/>
      <c r="U63" s="35"/>
      <c r="V63" s="35"/>
      <c r="W63" s="35"/>
      <c r="X63" s="35"/>
    </row>
    <row r="64" ht="24" customHeight="1">
      <c r="A64" s="39" t="str">
        <v>Change in benefit obligation</v>
      </c>
      <c r="B64" s="40"/>
      <c r="C64" s="41"/>
      <c r="D64" s="41"/>
      <c r="E64" s="41"/>
      <c r="F64" s="41"/>
      <c r="G64" s="41"/>
      <c r="H64" s="41"/>
      <c r="I64" s="41"/>
      <c r="J64" s="41"/>
      <c r="K64" s="41"/>
      <c r="L64" s="41"/>
      <c r="M64" s="42"/>
      <c r="N64" s="41"/>
      <c r="O64" s="41"/>
      <c r="P64" s="41"/>
      <c r="Q64" s="41"/>
      <c r="R64" s="41"/>
      <c r="S64" s="41"/>
      <c r="T64" s="41"/>
      <c r="U64" s="41"/>
      <c r="V64" s="41"/>
      <c r="W64" s="41"/>
      <c r="X64" s="41"/>
    </row>
    <row r="65" ht="24" customHeight="1">
      <c r="A65" s="51" t="str">
        <v>Benefit obligation, beginning of year</v>
      </c>
      <c r="B65" s="52"/>
      <c r="C65" s="53" t="n">
        <v>2872</v>
      </c>
      <c r="D65" s="53" t="n">
        <v>3124</v>
      </c>
      <c r="E65" s="53" t="n">
        <v>3490</v>
      </c>
      <c r="F65" s="53" t="n">
        <v>3098</v>
      </c>
      <c r="G65" s="53" t="n">
        <v>3753</v>
      </c>
      <c r="H65" s="53" t="n">
        <v>4430</v>
      </c>
      <c r="I65" s="53" t="n">
        <v>4175</v>
      </c>
      <c r="J65" s="53" t="n">
        <v>2603</v>
      </c>
      <c r="K65" s="53" t="n">
        <v>2986</v>
      </c>
      <c r="L65" s="53" t="n">
        <v>2786</v>
      </c>
      <c r="M65" s="55"/>
      <c r="N65" s="53"/>
      <c r="O65" s="53"/>
      <c r="P65" s="53"/>
      <c r="Q65" s="53"/>
      <c r="R65" s="53"/>
      <c r="S65" s="53"/>
      <c r="T65" s="53"/>
      <c r="U65" s="53"/>
      <c r="V65" s="53"/>
      <c r="W65" s="53"/>
      <c r="X65" s="53"/>
    </row>
    <row r="66" ht="22" customHeight="1">
      <c r="A66" s="4" t="str">
        <v>Service cost</v>
      </c>
      <c r="B66" s="2"/>
      <c r="C66" s="44" t="n">
        <v>80</v>
      </c>
      <c r="D66" s="44" t="n">
        <v>91</v>
      </c>
      <c r="E66" s="44" t="n">
        <v>92</v>
      </c>
      <c r="F66" s="44" t="n">
        <v>73</v>
      </c>
      <c r="G66" s="44" t="n">
        <v>86</v>
      </c>
      <c r="H66" s="44" t="n">
        <v>104</v>
      </c>
      <c r="I66" s="44" t="n">
        <v>64</v>
      </c>
      <c r="J66" s="44" t="n">
        <v>43</v>
      </c>
      <c r="K66" s="44" t="n">
        <v>46</v>
      </c>
      <c r="L66" s="44" t="n">
        <v>47</v>
      </c>
      <c r="M66" s="45"/>
      <c r="N66" s="44"/>
      <c r="O66" s="44"/>
      <c r="P66" s="44"/>
      <c r="Q66" s="44"/>
      <c r="R66" s="44"/>
      <c r="S66" s="44"/>
      <c r="T66" s="44"/>
      <c r="U66" s="44"/>
      <c r="V66" s="44"/>
      <c r="W66" s="44"/>
      <c r="X66" s="44"/>
    </row>
    <row r="67" ht="22" customHeight="1">
      <c r="A67" s="4" t="str">
        <v>Interest cost</v>
      </c>
      <c r="B67" s="2"/>
      <c r="C67" s="44" t="n">
        <v>94</v>
      </c>
      <c r="D67" s="44" t="n">
        <v>89</v>
      </c>
      <c r="E67" s="44" t="n">
        <v>93</v>
      </c>
      <c r="F67" s="44" t="n">
        <v>97</v>
      </c>
      <c r="G67" s="44" t="n">
        <v>85</v>
      </c>
      <c r="H67" s="44" t="n">
        <v>74</v>
      </c>
      <c r="I67" s="44" t="n">
        <v>90</v>
      </c>
      <c r="J67" s="44" t="n">
        <v>141</v>
      </c>
      <c r="K67" s="44" t="n">
        <v>144</v>
      </c>
      <c r="L67" s="44" t="n">
        <v>152</v>
      </c>
      <c r="M67" s="45"/>
      <c r="N67" s="44"/>
      <c r="O67" s="44"/>
      <c r="P67" s="44"/>
      <c r="Q67" s="44"/>
      <c r="R67" s="44"/>
      <c r="S67" s="44"/>
      <c r="T67" s="44"/>
      <c r="U67" s="44"/>
      <c r="V67" s="44"/>
      <c r="W67" s="44"/>
      <c r="X67" s="44"/>
    </row>
    <row r="68" ht="22" customHeight="1">
      <c r="A68" s="4" t="str">
        <v>Plan amendments</v>
      </c>
      <c r="B68" s="2"/>
      <c r="C68" s="44" t="n">
        <v>0</v>
      </c>
      <c r="D68" s="44" t="n">
        <v>2</v>
      </c>
      <c r="E68" s="44" t="n">
        <v>2</v>
      </c>
      <c r="F68" s="44" t="n">
        <v>1</v>
      </c>
      <c r="G68" s="44" t="n">
        <v>-17</v>
      </c>
      <c r="H68" s="44" t="n">
        <v>3</v>
      </c>
      <c r="I68" s="44" t="n">
        <v>0</v>
      </c>
      <c r="J68" s="44" t="n">
        <v>0</v>
      </c>
      <c r="K68" s="44" t="n">
        <v>1</v>
      </c>
      <c r="L68" s="44" t="n">
        <v>1</v>
      </c>
      <c r="M68" s="45"/>
      <c r="N68" s="44"/>
      <c r="O68" s="44"/>
      <c r="P68" s="44"/>
      <c r="Q68" s="44"/>
      <c r="R68" s="44"/>
      <c r="S68" s="44"/>
      <c r="T68" s="44"/>
      <c r="U68" s="44"/>
      <c r="V68" s="44"/>
      <c r="W68" s="44"/>
      <c r="X68" s="44"/>
    </row>
    <row r="69" ht="22" customHeight="1">
      <c r="A69" s="4" t="str">
        <v>Participant contributions</v>
      </c>
      <c r="B69" s="2"/>
      <c r="C69" s="44" t="n">
        <v>2</v>
      </c>
      <c r="D69" s="44" t="n">
        <v>2</v>
      </c>
      <c r="E69" s="44" t="n">
        <v>2</v>
      </c>
      <c r="F69" s="44" t="n">
        <v>2</v>
      </c>
      <c r="G69" s="44" t="n">
        <v>2</v>
      </c>
      <c r="H69" s="44" t="n">
        <v>3</v>
      </c>
      <c r="I69" s="44" t="n">
        <v>2</v>
      </c>
      <c r="J69" s="44" t="n">
        <v>2</v>
      </c>
      <c r="K69" s="44" t="n">
        <v>2</v>
      </c>
      <c r="L69" s="44" t="n">
        <v>2</v>
      </c>
      <c r="M69" s="45"/>
      <c r="N69" s="44"/>
      <c r="O69" s="44"/>
      <c r="P69" s="44"/>
      <c r="Q69" s="44"/>
      <c r="R69" s="44"/>
      <c r="S69" s="44"/>
      <c r="T69" s="44"/>
      <c r="U69" s="44"/>
      <c r="V69" s="44"/>
      <c r="W69" s="44"/>
      <c r="X69" s="44"/>
    </row>
    <row r="70" ht="22" customHeight="1">
      <c r="A70" s="4" t="str">
        <v>Experience loss/(gain)</v>
      </c>
      <c r="B70" s="2"/>
      <c r="C70" s="44" t="n">
        <v>560</v>
      </c>
      <c r="D70" s="44" t="n">
        <v>5</v>
      </c>
      <c r="E70" s="44" t="n">
        <v>-230</v>
      </c>
      <c r="F70" s="44" t="n">
        <v>515</v>
      </c>
      <c r="G70" s="44" t="n">
        <v>467</v>
      </c>
      <c r="H70" s="44" t="n">
        <v>-178</v>
      </c>
      <c r="I70" s="44" t="n">
        <v>-1284</v>
      </c>
      <c r="J70" s="44" t="n">
        <v>194</v>
      </c>
      <c r="K70" s="44" t="n">
        <v>-55</v>
      </c>
      <c r="L70" s="44" t="n">
        <v>-74</v>
      </c>
      <c r="M70" s="45"/>
      <c r="N70" s="44"/>
      <c r="O70" s="44"/>
      <c r="P70" s="44"/>
      <c r="Q70" s="44"/>
      <c r="R70" s="44"/>
      <c r="S70" s="44"/>
      <c r="T70" s="44"/>
      <c r="U70" s="44"/>
      <c r="V70" s="44"/>
      <c r="W70" s="44"/>
      <c r="X70" s="44"/>
    </row>
    <row r="71" ht="22" customHeight="1">
      <c r="A71" s="4" t="str">
        <v>Benefit payments</v>
      </c>
      <c r="B71" s="2"/>
      <c r="C71" s="44" t="n">
        <v>-83</v>
      </c>
      <c r="D71" s="44" t="n">
        <v>-104</v>
      </c>
      <c r="E71" s="44" t="n">
        <v>-114</v>
      </c>
      <c r="F71" s="44" t="n">
        <v>-100</v>
      </c>
      <c r="G71" s="44" t="n">
        <v>-92</v>
      </c>
      <c r="H71" s="44" t="n">
        <v>-106</v>
      </c>
      <c r="I71" s="44" t="n">
        <v>-127</v>
      </c>
      <c r="J71" s="44" t="n">
        <v>-116</v>
      </c>
      <c r="K71" s="44" t="n">
        <v>-108</v>
      </c>
      <c r="L71" s="44" t="n">
        <v>-112</v>
      </c>
      <c r="M71" s="45"/>
      <c r="N71" s="44"/>
      <c r="O71" s="44"/>
      <c r="P71" s="44"/>
      <c r="Q71" s="44"/>
      <c r="R71" s="44"/>
      <c r="S71" s="44"/>
      <c r="T71" s="44"/>
      <c r="U71" s="44"/>
      <c r="V71" s="44"/>
      <c r="W71" s="44"/>
      <c r="X71" s="44"/>
    </row>
    <row r="72" ht="22" customHeight="1">
      <c r="A72" s="4" t="str">
        <v>Settlement/curtailment</v>
      </c>
      <c r="B72" s="2"/>
      <c r="C72" s="44" t="n">
        <v>-19</v>
      </c>
      <c r="D72" s="44" t="n">
        <v>-22</v>
      </c>
      <c r="E72" s="44" t="n">
        <v>-35</v>
      </c>
      <c r="F72" s="44" t="n">
        <v>-31</v>
      </c>
      <c r="G72" s="44" t="n">
        <v>-24</v>
      </c>
      <c r="H72" s="44" t="n">
        <v>-99</v>
      </c>
      <c r="I72" s="44" t="n">
        <v>-5</v>
      </c>
      <c r="J72" s="44" t="n">
        <v>-26</v>
      </c>
      <c r="K72" s="44" t="n">
        <v>-62</v>
      </c>
      <c r="L72" s="44" t="n">
        <v>-109</v>
      </c>
      <c r="M72" s="45"/>
      <c r="N72" s="44"/>
      <c r="O72" s="44"/>
      <c r="P72" s="44"/>
      <c r="Q72" s="44"/>
      <c r="R72" s="44"/>
      <c r="S72" s="44"/>
      <c r="T72" s="44"/>
      <c r="U72" s="44"/>
      <c r="V72" s="44"/>
      <c r="W72" s="44"/>
      <c r="X72" s="44"/>
    </row>
    <row r="73" ht="22" customHeight="1">
      <c r="A73" s="4" t="str">
        <v>Special termination benefits</v>
      </c>
      <c r="B73" s="2"/>
      <c r="C73" s="44" t="n">
        <v>1</v>
      </c>
      <c r="D73" s="44" t="n">
        <v>0</v>
      </c>
      <c r="E73" s="44" t="n">
        <v>2</v>
      </c>
      <c r="F73" s="44" t="n">
        <v>0</v>
      </c>
      <c r="G73" s="44" t="n">
        <v>0</v>
      </c>
      <c r="H73" s="44" t="n">
        <v>0</v>
      </c>
      <c r="I73" s="44" t="n">
        <v>0</v>
      </c>
      <c r="J73" s="44" t="n">
        <v>0</v>
      </c>
      <c r="K73" s="44" t="n">
        <v>0</v>
      </c>
      <c r="L73" s="44" t="n">
        <v>0</v>
      </c>
      <c r="M73" s="45"/>
      <c r="N73" s="44"/>
      <c r="O73" s="44"/>
      <c r="P73" s="44"/>
      <c r="Q73" s="44"/>
      <c r="R73" s="44"/>
      <c r="S73" s="44"/>
      <c r="T73" s="44"/>
      <c r="U73" s="44"/>
      <c r="V73" s="44"/>
      <c r="W73" s="44"/>
      <c r="X73" s="44"/>
    </row>
    <row r="74" ht="22" customHeight="1">
      <c r="A74" s="4" t="str">
        <v>Other, including foreign currency adjustment</v>
      </c>
      <c r="B74" s="2"/>
      <c r="C74" s="44" t="n">
        <v>-383</v>
      </c>
      <c r="D74" s="44" t="n">
        <v>303</v>
      </c>
      <c r="E74" s="44" t="n">
        <v>-204</v>
      </c>
      <c r="F74" s="44" t="n">
        <v>98</v>
      </c>
      <c r="G74" s="44" t="n">
        <v>170</v>
      </c>
      <c r="H74" s="44" t="n">
        <v>-56</v>
      </c>
      <c r="I74" s="44" t="n">
        <v>-312</v>
      </c>
      <c r="J74" s="44" t="n">
        <v>145</v>
      </c>
      <c r="K74" s="44" t="n">
        <v>-168</v>
      </c>
      <c r="L74" s="44" t="n">
        <v>234</v>
      </c>
      <c r="M74" s="45"/>
      <c r="N74" s="44"/>
      <c r="O74" s="44"/>
      <c r="P74" s="44"/>
      <c r="Q74" s="44"/>
      <c r="R74" s="44"/>
      <c r="S74" s="44"/>
      <c r="T74" s="44"/>
      <c r="U74" s="44"/>
      <c r="V74" s="44"/>
      <c r="W74" s="44"/>
      <c r="X74" s="44"/>
    </row>
    <row r="75" ht="24" customHeight="1">
      <c r="A75" s="51" t="str">
        <v>Benefit obligation, end of year</v>
      </c>
      <c r="B75" s="52"/>
      <c r="C75" s="53" t="n">
        <v>3124</v>
      </c>
      <c r="D75" s="53" t="n">
        <v>3490</v>
      </c>
      <c r="E75" s="53" t="n">
        <v>3098</v>
      </c>
      <c r="F75" s="53" t="n">
        <v>3753</v>
      </c>
      <c r="G75" s="53" t="n">
        <v>4430</v>
      </c>
      <c r="H75" s="53" t="n">
        <v>4175</v>
      </c>
      <c r="I75" s="53" t="n">
        <v>2603</v>
      </c>
      <c r="J75" s="53" t="n">
        <v>2986</v>
      </c>
      <c r="K75" s="53" t="n">
        <v>2786</v>
      </c>
      <c r="L75" s="53" t="n">
        <v>2927</v>
      </c>
      <c r="M75" s="55"/>
      <c r="N75" s="53"/>
      <c r="O75" s="53"/>
      <c r="P75" s="53"/>
      <c r="Q75" s="53"/>
      <c r="R75" s="53"/>
      <c r="S75" s="53"/>
      <c r="T75" s="53"/>
      <c r="U75" s="53"/>
      <c r="V75" s="53"/>
      <c r="W75" s="53"/>
      <c r="X75" s="53"/>
    </row>
    <row r="76" ht="24" customHeight="1">
      <c r="A76" s="39" t="str">
        <v>Change in fair value of plan assets</v>
      </c>
      <c r="B76" s="40"/>
      <c r="C76" s="41"/>
      <c r="D76" s="41"/>
      <c r="E76" s="41"/>
      <c r="F76" s="41"/>
      <c r="G76" s="41"/>
      <c r="H76" s="41"/>
      <c r="I76" s="41"/>
      <c r="J76" s="41"/>
      <c r="K76" s="41"/>
      <c r="L76" s="41"/>
      <c r="M76" s="42"/>
      <c r="N76" s="41"/>
      <c r="O76" s="41"/>
      <c r="P76" s="41"/>
      <c r="Q76" s="41"/>
      <c r="R76" s="41"/>
      <c r="S76" s="41"/>
      <c r="T76" s="41"/>
      <c r="U76" s="41"/>
      <c r="V76" s="41"/>
      <c r="W76" s="41"/>
      <c r="X76" s="41"/>
    </row>
    <row r="77" ht="22" customHeight="1">
      <c r="A77" s="4" t="str">
        <v>Fair value at beginning of year</v>
      </c>
      <c r="B77" s="2"/>
      <c r="C77" s="44" t="n">
        <v>2823</v>
      </c>
      <c r="D77" s="44" t="n">
        <v>2894</v>
      </c>
      <c r="E77" s="44" t="n">
        <v>3460</v>
      </c>
      <c r="F77" s="44" t="n">
        <v>3090</v>
      </c>
      <c r="G77" s="44" t="n">
        <v>3732</v>
      </c>
      <c r="H77" s="44" t="n">
        <v>4303</v>
      </c>
      <c r="I77" s="44" t="n">
        <v>4624</v>
      </c>
      <c r="J77" s="44" t="n">
        <v>3195</v>
      </c>
      <c r="K77" s="44" t="n">
        <v>3528</v>
      </c>
      <c r="L77" s="44" t="n">
        <v>3397</v>
      </c>
      <c r="M77" s="45"/>
      <c r="N77" s="44"/>
      <c r="O77" s="44"/>
      <c r="P77" s="44"/>
      <c r="Q77" s="44"/>
      <c r="R77" s="44"/>
      <c r="S77" s="44"/>
      <c r="T77" s="44"/>
      <c r="U77" s="44"/>
      <c r="V77" s="44"/>
      <c r="W77" s="44"/>
      <c r="X77" s="44"/>
    </row>
    <row r="78" ht="22" customHeight="1">
      <c r="A78" s="4" t="str">
        <v>Actual return on plan assets</v>
      </c>
      <c r="B78" s="2"/>
      <c r="C78" s="44" t="n">
        <v>409</v>
      </c>
      <c r="D78" s="44" t="n">
        <v>288</v>
      </c>
      <c r="E78" s="44" t="n">
        <v>-136</v>
      </c>
      <c r="F78" s="44" t="n">
        <v>551</v>
      </c>
      <c r="G78" s="44" t="n">
        <v>401</v>
      </c>
      <c r="H78" s="44" t="n">
        <v>387</v>
      </c>
      <c r="I78" s="44" t="n">
        <v>-1026</v>
      </c>
      <c r="J78" s="44" t="n">
        <v>267</v>
      </c>
      <c r="K78" s="44" t="n">
        <v>142</v>
      </c>
      <c r="L78" s="44" t="n">
        <v>149</v>
      </c>
      <c r="M78" s="45"/>
      <c r="N78" s="44"/>
      <c r="O78" s="44"/>
      <c r="P78" s="44"/>
      <c r="Q78" s="44"/>
      <c r="R78" s="44"/>
      <c r="S78" s="44"/>
      <c r="T78" s="44"/>
      <c r="U78" s="44"/>
      <c r="V78" s="44"/>
      <c r="W78" s="44"/>
      <c r="X78" s="44"/>
    </row>
    <row r="79" ht="22" customHeight="1">
      <c r="A79" s="4" t="str">
        <v>Employer contributions/funding</v>
      </c>
      <c r="B79" s="2"/>
      <c r="C79" s="44" t="n">
        <v>118</v>
      </c>
      <c r="D79" s="44" t="n">
        <v>104</v>
      </c>
      <c r="E79" s="44" t="n">
        <v>120</v>
      </c>
      <c r="F79" s="44" t="n">
        <v>122</v>
      </c>
      <c r="G79" s="44" t="n">
        <v>120</v>
      </c>
      <c r="H79" s="44" t="n">
        <v>158</v>
      </c>
      <c r="I79" s="44" t="n">
        <v>101</v>
      </c>
      <c r="J79" s="44" t="n">
        <v>50</v>
      </c>
      <c r="K79" s="44" t="n">
        <v>59</v>
      </c>
      <c r="L79" s="44" t="n">
        <v>67</v>
      </c>
      <c r="M79" s="45"/>
      <c r="N79" s="44"/>
      <c r="O79" s="44"/>
      <c r="P79" s="44"/>
      <c r="Q79" s="44"/>
      <c r="R79" s="44"/>
      <c r="S79" s="44"/>
      <c r="T79" s="44"/>
      <c r="U79" s="44"/>
      <c r="V79" s="44"/>
      <c r="W79" s="44"/>
      <c r="X79" s="44"/>
    </row>
    <row r="80" ht="22" customHeight="1">
      <c r="A80" s="4" t="str">
        <v>Participant contributions</v>
      </c>
      <c r="B80" s="2"/>
      <c r="C80" s="44" t="n">
        <v>2</v>
      </c>
      <c r="D80" s="44" t="n">
        <v>2</v>
      </c>
      <c r="E80" s="44" t="n">
        <v>2</v>
      </c>
      <c r="F80" s="44" t="n">
        <v>2</v>
      </c>
      <c r="G80" s="44" t="n">
        <v>2</v>
      </c>
      <c r="H80" s="44" t="n">
        <v>3</v>
      </c>
      <c r="I80" s="44" t="n">
        <v>2</v>
      </c>
      <c r="J80" s="44" t="n">
        <v>2</v>
      </c>
      <c r="K80" s="44" t="n">
        <v>2</v>
      </c>
      <c r="L80" s="44" t="n">
        <v>2</v>
      </c>
      <c r="M80" s="45"/>
      <c r="N80" s="44"/>
      <c r="O80" s="44"/>
      <c r="P80" s="44"/>
      <c r="Q80" s="44"/>
      <c r="R80" s="44"/>
      <c r="S80" s="44"/>
      <c r="T80" s="44"/>
      <c r="U80" s="44"/>
      <c r="V80" s="44"/>
      <c r="W80" s="44"/>
      <c r="X80" s="44"/>
    </row>
    <row r="81" ht="22" customHeight="1">
      <c r="A81" s="4" t="str">
        <v>Benefit payments</v>
      </c>
      <c r="B81" s="2"/>
      <c r="C81" s="44" t="n">
        <v>-83</v>
      </c>
      <c r="D81" s="44" t="n">
        <v>-104</v>
      </c>
      <c r="E81" s="44" t="n">
        <v>-114</v>
      </c>
      <c r="F81" s="44" t="n">
        <v>-100</v>
      </c>
      <c r="G81" s="44" t="n">
        <v>-92</v>
      </c>
      <c r="H81" s="44" t="n">
        <v>-106</v>
      </c>
      <c r="I81" s="44" t="n">
        <v>-127</v>
      </c>
      <c r="J81" s="44" t="n">
        <v>-116</v>
      </c>
      <c r="K81" s="44" t="n">
        <v>-108</v>
      </c>
      <c r="L81" s="44" t="n">
        <v>-112</v>
      </c>
      <c r="M81" s="45"/>
      <c r="N81" s="44"/>
      <c r="O81" s="44"/>
      <c r="P81" s="44"/>
      <c r="Q81" s="44"/>
      <c r="R81" s="44"/>
      <c r="S81" s="44"/>
      <c r="T81" s="44"/>
      <c r="U81" s="44"/>
      <c r="V81" s="44"/>
      <c r="W81" s="44"/>
      <c r="X81" s="44"/>
    </row>
    <row r="82" ht="22" customHeight="1">
      <c r="A82" s="4" t="str">
        <v>Settlement</v>
      </c>
      <c r="B82" s="2"/>
      <c r="C82" s="44" t="n">
        <v>-22</v>
      </c>
      <c r="D82" s="44" t="n">
        <v>-18</v>
      </c>
      <c r="E82" s="44" t="n">
        <v>-32</v>
      </c>
      <c r="F82" s="44" t="n">
        <v>-31</v>
      </c>
      <c r="G82" s="44" t="n">
        <v>-29</v>
      </c>
      <c r="H82" s="44" t="n">
        <v>-52</v>
      </c>
      <c r="I82" s="44" t="n">
        <v>-5</v>
      </c>
      <c r="J82" s="44" t="n">
        <v>-26</v>
      </c>
      <c r="K82" s="44" t="n">
        <v>-62</v>
      </c>
      <c r="L82" s="44" t="n">
        <v>-109</v>
      </c>
      <c r="M82" s="45"/>
      <c r="N82" s="44"/>
      <c r="O82" s="44"/>
      <c r="P82" s="44"/>
      <c r="Q82" s="44"/>
      <c r="R82" s="44"/>
      <c r="S82" s="44"/>
      <c r="T82" s="44"/>
      <c r="U82" s="44"/>
      <c r="V82" s="44"/>
      <c r="W82" s="44"/>
      <c r="X82" s="44"/>
    </row>
    <row r="83" ht="22" customHeight="1">
      <c r="A83" s="4" t="str">
        <v>Other, including foreign currency adjustment</v>
      </c>
      <c r="B83" s="2"/>
      <c r="C83" s="44" t="n">
        <v>-353</v>
      </c>
      <c r="D83" s="44" t="n">
        <v>294</v>
      </c>
      <c r="E83" s="44" t="n">
        <v>-210</v>
      </c>
      <c r="F83" s="44" t="n">
        <v>98</v>
      </c>
      <c r="G83" s="44" t="n">
        <v>169</v>
      </c>
      <c r="H83" s="44" t="n">
        <v>-69</v>
      </c>
      <c r="I83" s="44" t="n">
        <v>-374</v>
      </c>
      <c r="J83" s="44" t="n">
        <v>156</v>
      </c>
      <c r="K83" s="44" t="n">
        <v>-164</v>
      </c>
      <c r="L83" s="44" t="n">
        <v>258</v>
      </c>
      <c r="M83" s="45"/>
      <c r="N83" s="44"/>
      <c r="O83" s="44"/>
      <c r="P83" s="44"/>
      <c r="Q83" s="44"/>
      <c r="R83" s="44"/>
      <c r="S83" s="44"/>
      <c r="T83" s="44"/>
      <c r="U83" s="44"/>
      <c r="V83" s="44"/>
      <c r="W83" s="44"/>
      <c r="X83" s="44"/>
    </row>
    <row r="84" ht="24" customHeight="1">
      <c r="A84" s="51" t="str">
        <v>Fair value at end of year</v>
      </c>
      <c r="B84" s="52"/>
      <c r="C84" s="53" t="n">
        <v>2894</v>
      </c>
      <c r="D84" s="53" t="n">
        <v>3460</v>
      </c>
      <c r="E84" s="53" t="n">
        <v>3090</v>
      </c>
      <c r="F84" s="53" t="n">
        <v>3732</v>
      </c>
      <c r="G84" s="53" t="n">
        <v>4303</v>
      </c>
      <c r="H84" s="53" t="n">
        <v>4624</v>
      </c>
      <c r="I84" s="53" t="n">
        <v>3195</v>
      </c>
      <c r="J84" s="53" t="n">
        <v>3528</v>
      </c>
      <c r="K84" s="53" t="n">
        <v>3397</v>
      </c>
      <c r="L84" s="53" t="n">
        <v>3652</v>
      </c>
      <c r="M84" s="55"/>
      <c r="N84" s="53"/>
      <c r="O84" s="53"/>
      <c r="P84" s="53"/>
      <c r="Q84" s="53"/>
      <c r="R84" s="53"/>
      <c r="S84" s="53"/>
      <c r="T84" s="53"/>
      <c r="U84" s="53"/>
      <c r="V84" s="53"/>
      <c r="W84" s="53"/>
      <c r="X84" s="53"/>
    </row>
    <row r="85" ht="24" customHeight="1">
      <c r="A85" s="51" t="str">
        <v>Funded status</v>
      </c>
      <c r="B85" s="52"/>
      <c r="C85" s="53" t="n">
        <v>-230</v>
      </c>
      <c r="D85" s="53" t="n">
        <v>-30</v>
      </c>
      <c r="E85" s="53" t="n">
        <v>-8</v>
      </c>
      <c r="F85" s="53" t="n">
        <v>-21</v>
      </c>
      <c r="G85" s="53" t="n">
        <v>-127</v>
      </c>
      <c r="H85" s="53" t="n">
        <v>449</v>
      </c>
      <c r="I85" s="53" t="n">
        <v>592</v>
      </c>
      <c r="J85" s="53" t="n">
        <v>542</v>
      </c>
      <c r="K85" s="53" t="n">
        <v>611</v>
      </c>
      <c r="L85" s="53" t="n">
        <v>725</v>
      </c>
      <c r="M85" s="55"/>
      <c r="N85" s="53"/>
      <c r="O85" s="53"/>
      <c r="P85" s="53"/>
      <c r="Q85" s="53"/>
      <c r="R85" s="53"/>
      <c r="S85" s="53"/>
      <c r="T85" s="53"/>
      <c r="U85" s="53"/>
      <c r="V85" s="53"/>
      <c r="W85" s="53"/>
      <c r="X85" s="53"/>
    </row>
    <row r="86" ht="24" customHeight="1">
      <c r="A86" s="39" t="str">
        <v>Amounts recognized on the balance sheet</v>
      </c>
      <c r="B86" s="40"/>
      <c r="C86" s="41"/>
      <c r="D86" s="41"/>
      <c r="E86" s="41"/>
      <c r="F86" s="41"/>
      <c r="G86" s="41"/>
      <c r="H86" s="41"/>
      <c r="I86" s="41"/>
      <c r="J86" s="41"/>
      <c r="K86" s="41"/>
      <c r="L86" s="41"/>
      <c r="M86" s="42"/>
      <c r="N86" s="41"/>
      <c r="O86" s="41"/>
      <c r="P86" s="41"/>
      <c r="Q86" s="41"/>
      <c r="R86" s="41"/>
      <c r="S86" s="41"/>
      <c r="T86" s="41"/>
      <c r="U86" s="41"/>
      <c r="V86" s="41"/>
      <c r="W86" s="41"/>
      <c r="X86" s="41"/>
    </row>
    <row r="87" ht="22" customHeight="1">
      <c r="A87" s="4" t="str">
        <v>Other assets</v>
      </c>
      <c r="B87" s="2"/>
      <c r="C87" s="44" t="n">
        <v>51</v>
      </c>
      <c r="D87" s="44" t="n">
        <v>85</v>
      </c>
      <c r="E87" s="44" t="n">
        <v>81</v>
      </c>
      <c r="F87" s="44" t="n">
        <v>99</v>
      </c>
      <c r="G87" s="44" t="n">
        <v>110</v>
      </c>
      <c r="H87" s="44" t="n">
        <v>564</v>
      </c>
      <c r="I87" s="44" t="n">
        <v>708</v>
      </c>
      <c r="J87" s="44" t="n">
        <v>727</v>
      </c>
      <c r="K87" s="44" t="n">
        <v>792</v>
      </c>
      <c r="L87" s="44" t="n">
        <v>983</v>
      </c>
      <c r="M87" s="45"/>
      <c r="N87" s="44"/>
      <c r="O87" s="44"/>
      <c r="P87" s="44"/>
      <c r="Q87" s="44"/>
      <c r="R87" s="44"/>
      <c r="S87" s="44"/>
      <c r="T87" s="44"/>
      <c r="U87" s="44"/>
      <c r="V87" s="44"/>
      <c r="W87" s="44"/>
      <c r="X87" s="44"/>
    </row>
    <row r="88" ht="22" customHeight="1">
      <c r="A88" s="4" t="str">
        <v>Other current liabilities</v>
      </c>
      <c r="B88" s="2"/>
      <c r="C88" s="44" t="n">
        <v>-1</v>
      </c>
      <c r="D88" s="44" t="n">
        <v>-1</v>
      </c>
      <c r="E88" s="44" t="n">
        <v>-1</v>
      </c>
      <c r="F88" s="44" t="n">
        <v>-1</v>
      </c>
      <c r="G88" s="44" t="n">
        <v>-1</v>
      </c>
      <c r="H88" s="44" t="n">
        <v>-1</v>
      </c>
      <c r="I88" s="44" t="n">
        <v>-7</v>
      </c>
      <c r="J88" s="44" t="n">
        <v>-11</v>
      </c>
      <c r="K88" s="44" t="n">
        <v>-10</v>
      </c>
      <c r="L88" s="44" t="n">
        <v>-14</v>
      </c>
      <c r="M88" s="45"/>
      <c r="N88" s="44"/>
      <c r="O88" s="44"/>
      <c r="P88" s="44"/>
      <c r="Q88" s="44"/>
      <c r="R88" s="44"/>
      <c r="S88" s="44"/>
      <c r="T88" s="44"/>
      <c r="U88" s="44"/>
      <c r="V88" s="44"/>
      <c r="W88" s="44"/>
      <c r="X88" s="44"/>
    </row>
    <row r="89" ht="22" customHeight="1">
      <c r="A89" s="4" t="str">
        <v>Other liabilities</v>
      </c>
      <c r="B89" s="2"/>
      <c r="C89" s="44" t="n">
        <v>-280</v>
      </c>
      <c r="D89" s="44" t="n">
        <v>-114</v>
      </c>
      <c r="E89" s="44" t="n">
        <v>-88</v>
      </c>
      <c r="F89" s="44" t="n">
        <v>-119</v>
      </c>
      <c r="G89" s="44" t="n">
        <v>-236</v>
      </c>
      <c r="H89" s="44" t="n">
        <v>-114</v>
      </c>
      <c r="I89" s="44" t="n">
        <v>-109</v>
      </c>
      <c r="J89" s="44" t="n">
        <v>-174</v>
      </c>
      <c r="K89" s="44" t="n">
        <v>-171</v>
      </c>
      <c r="L89" s="44" t="n">
        <v>-244</v>
      </c>
      <c r="M89" s="45"/>
      <c r="N89" s="44"/>
      <c r="O89" s="44"/>
      <c r="P89" s="44"/>
      <c r="Q89" s="44"/>
      <c r="R89" s="44"/>
      <c r="S89" s="44"/>
      <c r="T89" s="44"/>
      <c r="U89" s="44"/>
      <c r="V89" s="44"/>
      <c r="W89" s="44"/>
      <c r="X89" s="44"/>
    </row>
    <row r="90" ht="24" customHeight="1">
      <c r="A90" s="51" t="str">
        <v>Net amount recognized</v>
      </c>
      <c r="B90" s="52"/>
      <c r="C90" s="53" t="n">
        <v>-230</v>
      </c>
      <c r="D90" s="53" t="n">
        <v>-30</v>
      </c>
      <c r="E90" s="53" t="n">
        <v>-8</v>
      </c>
      <c r="F90" s="53" t="n">
        <v>-21</v>
      </c>
      <c r="G90" s="53" t="n">
        <v>-127</v>
      </c>
      <c r="H90" s="53" t="n">
        <v>449</v>
      </c>
      <c r="I90" s="53" t="n">
        <v>592</v>
      </c>
      <c r="J90" s="53" t="n">
        <v>542</v>
      </c>
      <c r="K90" s="53" t="n">
        <v>611</v>
      </c>
      <c r="L90" s="53" t="n">
        <v>725</v>
      </c>
      <c r="M90" s="55"/>
      <c r="N90" s="53"/>
      <c r="O90" s="53"/>
      <c r="P90" s="53"/>
      <c r="Q90" s="53"/>
      <c r="R90" s="53"/>
      <c r="S90" s="53"/>
      <c r="T90" s="53"/>
      <c r="U90" s="53"/>
      <c r="V90" s="53"/>
      <c r="W90" s="53"/>
      <c r="X90" s="53"/>
    </row>
    <row r="91" ht="24" customHeight="1">
      <c r="A91" s="39" t="str">
        <v>Benefit expense/(income)</v>
      </c>
      <c r="B91" s="40"/>
      <c r="C91" s="41"/>
      <c r="D91" s="41"/>
      <c r="E91" s="41"/>
      <c r="F91" s="41"/>
      <c r="G91" s="41"/>
      <c r="H91" s="41"/>
      <c r="I91" s="41"/>
      <c r="J91" s="41"/>
      <c r="K91" s="41"/>
      <c r="L91" s="41"/>
      <c r="M91" s="42"/>
      <c r="N91" s="41"/>
      <c r="O91" s="41"/>
      <c r="P91" s="41"/>
      <c r="Q91" s="41"/>
      <c r="R91" s="41"/>
      <c r="S91" s="41"/>
      <c r="T91" s="41"/>
      <c r="U91" s="41"/>
      <c r="V91" s="41"/>
      <c r="W91" s="41"/>
      <c r="X91" s="41"/>
    </row>
    <row r="92" ht="22" customHeight="1">
      <c r="A92" s="4" t="str">
        <v>Service cost</v>
      </c>
      <c r="B92" s="2"/>
      <c r="C92" s="43" t="n">
        <f>IF(COUNT('Pension &amp; Retiree Medical'!C66)=1,'Pension &amp; Retiree Medical'!C66,"")</f>
        <v>80</v>
      </c>
      <c r="D92" s="43" t="n">
        <f>IF(COUNT('Pension &amp; Retiree Medical'!D66)=1,'Pension &amp; Retiree Medical'!D66,"")</f>
        <v>91</v>
      </c>
      <c r="E92" s="43" t="n">
        <f>IF(COUNT('Pension &amp; Retiree Medical'!E66)=1,'Pension &amp; Retiree Medical'!E66,"")</f>
        <v>92</v>
      </c>
      <c r="F92" s="43" t="n">
        <f>IF(COUNT('Pension &amp; Retiree Medical'!F66)=1,'Pension &amp; Retiree Medical'!F66,"")</f>
        <v>73</v>
      </c>
      <c r="G92" s="43" t="n">
        <f>IF(COUNT('Pension &amp; Retiree Medical'!G66)=1,'Pension &amp; Retiree Medical'!G66,"")</f>
        <v>86</v>
      </c>
      <c r="H92" s="43" t="n">
        <f>IF(COUNT('Pension &amp; Retiree Medical'!H66)=1,'Pension &amp; Retiree Medical'!H66,"")</f>
        <v>104</v>
      </c>
      <c r="I92" s="43" t="n">
        <f>IF(COUNT('Pension &amp; Retiree Medical'!I66)=1,'Pension &amp; Retiree Medical'!I66,"")</f>
        <v>64</v>
      </c>
      <c r="J92" s="43" t="n">
        <f>IF(COUNT('Pension &amp; Retiree Medical'!J66)=1,'Pension &amp; Retiree Medical'!J66,"")</f>
        <v>43</v>
      </c>
      <c r="K92" s="43" t="n">
        <f>IF(COUNT('Pension &amp; Retiree Medical'!K66)=1,'Pension &amp; Retiree Medical'!K66,"")</f>
        <v>46</v>
      </c>
      <c r="L92" s="43" t="n">
        <f>IF(COUNT('Pension &amp; Retiree Medical'!L66)=1,'Pension &amp; Retiree Medical'!L66,"")</f>
        <v>47</v>
      </c>
      <c r="M92" s="45"/>
      <c r="N92" s="44" t="n">
        <v>9</v>
      </c>
      <c r="O92" s="44" t="n">
        <v>12</v>
      </c>
      <c r="P92" s="44" t="n">
        <v>11</v>
      </c>
      <c r="Q92" s="43" t="str">
        <f>IF(COUNT('Pension &amp; Retiree Medical'!Q66)=1,'Pension &amp; Retiree Medical'!Q66,"")</f>
      </c>
      <c r="R92" s="44" t="n">
        <v>8</v>
      </c>
      <c r="S92" s="44" t="n">
        <v>11</v>
      </c>
      <c r="T92" s="44" t="n">
        <v>11</v>
      </c>
      <c r="U92" s="43" t="str">
        <f>IF(COUNT('Pension &amp; Retiree Medical'!U66)=1,'Pension &amp; Retiree Medical'!U66,"")</f>
      </c>
      <c r="V92" s="44" t="n">
        <v>10</v>
      </c>
      <c r="W92" s="44" t="n">
        <v>13</v>
      </c>
      <c r="X92" s="44" t="n">
        <v>13</v>
      </c>
    </row>
    <row r="93" ht="22" customHeight="1">
      <c r="A93" s="4" t="str">
        <v>Expected return on plan assets</v>
      </c>
      <c r="B93" s="2"/>
      <c r="C93" s="44" t="n">
        <v>-163</v>
      </c>
      <c r="D93" s="44" t="n">
        <v>-176</v>
      </c>
      <c r="E93" s="44" t="n">
        <v>-197</v>
      </c>
      <c r="F93" s="44" t="n">
        <v>-188</v>
      </c>
      <c r="G93" s="44" t="n">
        <v>-202</v>
      </c>
      <c r="H93" s="44" t="n">
        <v>-231</v>
      </c>
      <c r="I93" s="44" t="n">
        <v>-218</v>
      </c>
      <c r="J93" s="44" t="n">
        <v>-192</v>
      </c>
      <c r="K93" s="44" t="n">
        <v>-205</v>
      </c>
      <c r="L93" s="44" t="n">
        <v>-202</v>
      </c>
      <c r="M93" s="45"/>
      <c r="N93" s="44" t="n">
        <v>-39</v>
      </c>
      <c r="O93" s="44" t="n">
        <v>-50</v>
      </c>
      <c r="P93" s="44" t="n">
        <v>-50</v>
      </c>
      <c r="Q93" s="44"/>
      <c r="R93" s="44" t="n">
        <v>-36</v>
      </c>
      <c r="S93" s="44" t="n">
        <v>-47</v>
      </c>
      <c r="T93" s="44" t="n">
        <v>-46</v>
      </c>
      <c r="U93" s="44"/>
      <c r="V93" s="44" t="n">
        <v>-39</v>
      </c>
      <c r="W93" s="44" t="n">
        <v>-51</v>
      </c>
      <c r="X93" s="44" t="n">
        <v>-50</v>
      </c>
    </row>
    <row r="94" ht="22" customHeight="1">
      <c r="A94" s="4" t="str">
        <v>Amortization of prior service cost/(credits)</v>
      </c>
      <c r="B94" s="2"/>
      <c r="C94" s="44" t="n">
        <v>0</v>
      </c>
      <c r="D94" s="44" t="n">
        <v>0</v>
      </c>
      <c r="E94" s="44" t="n">
        <v>0</v>
      </c>
      <c r="F94" s="44" t="n">
        <v>0</v>
      </c>
      <c r="G94" s="44" t="n">
        <v>0</v>
      </c>
      <c r="H94" s="44" t="n">
        <v>-2</v>
      </c>
      <c r="I94" s="44" t="n">
        <v>-1</v>
      </c>
      <c r="J94" s="44" t="n">
        <v>-1</v>
      </c>
      <c r="K94" s="44" t="n">
        <v>-2</v>
      </c>
      <c r="L94" s="44" t="n">
        <v>-1</v>
      </c>
      <c r="M94" s="45"/>
      <c r="N94" s="44" t="n">
        <v>0</v>
      </c>
      <c r="O94" s="44" t="n">
        <v>-1</v>
      </c>
      <c r="P94" s="44" t="n">
        <v>0</v>
      </c>
      <c r="Q94" s="44"/>
      <c r="R94" s="44" t="n">
        <v>0</v>
      </c>
      <c r="S94" s="44" t="n">
        <v>0</v>
      </c>
      <c r="T94" s="44" t="n">
        <v>-1</v>
      </c>
      <c r="U94" s="44"/>
      <c r="V94" s="44" t="n">
        <v>0</v>
      </c>
      <c r="W94" s="44" t="n">
        <v>0</v>
      </c>
      <c r="X94" s="44" t="n">
        <v>0</v>
      </c>
    </row>
    <row r="95" ht="22" customHeight="1">
      <c r="A95" s="4" t="str">
        <v>Amortization of net losses/(gains)</v>
      </c>
      <c r="B95" s="2"/>
      <c r="C95" s="44" t="n">
        <v>40</v>
      </c>
      <c r="D95" s="44" t="n">
        <v>53</v>
      </c>
      <c r="E95" s="44" t="n">
        <v>45</v>
      </c>
      <c r="F95" s="44" t="n">
        <v>32</v>
      </c>
      <c r="G95" s="44" t="n">
        <v>61</v>
      </c>
      <c r="H95" s="44" t="n">
        <v>77</v>
      </c>
      <c r="I95" s="44" t="n">
        <v>29</v>
      </c>
      <c r="J95" s="44" t="n">
        <v>13</v>
      </c>
      <c r="K95" s="44" t="n">
        <v>21</v>
      </c>
      <c r="L95" s="44" t="n">
        <v>27</v>
      </c>
      <c r="M95" s="45"/>
      <c r="N95" s="44" t="n">
        <v>4</v>
      </c>
      <c r="O95" s="44" t="n">
        <v>5</v>
      </c>
      <c r="P95" s="44" t="n">
        <v>6</v>
      </c>
      <c r="Q95" s="44"/>
      <c r="R95" s="44" t="n">
        <v>4</v>
      </c>
      <c r="S95" s="44" t="n">
        <v>6</v>
      </c>
      <c r="T95" s="44" t="n">
        <v>7</v>
      </c>
      <c r="U95" s="44"/>
      <c r="V95" s="44" t="n">
        <v>6</v>
      </c>
      <c r="W95" s="44" t="n">
        <v>8</v>
      </c>
      <c r="X95" s="44" t="n">
        <v>9</v>
      </c>
    </row>
    <row r="96" ht="22" customHeight="1">
      <c r="A96" s="4" t="str">
        <v>Settlement/curtailment losses/(gains)</v>
      </c>
      <c r="B96" s="2"/>
      <c r="C96" s="44" t="n">
        <v>9</v>
      </c>
      <c r="D96" s="44" t="n">
        <v>11</v>
      </c>
      <c r="E96" s="44" t="n">
        <v>6</v>
      </c>
      <c r="F96" s="44" t="n">
        <v>12</v>
      </c>
      <c r="G96" s="44" t="n">
        <v>19</v>
      </c>
      <c r="H96" s="44" t="n">
        <v>-11</v>
      </c>
      <c r="I96" s="44" t="n">
        <v>1</v>
      </c>
      <c r="J96" s="44" t="n">
        <v>10</v>
      </c>
      <c r="K96" s="44" t="n">
        <v>22</v>
      </c>
      <c r="L96" s="44" t="n">
        <v>32</v>
      </c>
      <c r="M96" s="45"/>
      <c r="N96" s="44"/>
      <c r="O96" s="44" t="n">
        <v>2</v>
      </c>
      <c r="P96" s="44" t="n">
        <v>7</v>
      </c>
      <c r="Q96" s="44"/>
      <c r="R96" s="44"/>
      <c r="S96" s="44" t="n">
        <v>-1</v>
      </c>
      <c r="T96" s="44" t="n">
        <v>8</v>
      </c>
      <c r="U96" s="44"/>
      <c r="V96" s="44"/>
      <c r="W96" s="44" t="n">
        <v>0</v>
      </c>
      <c r="X96" s="44" t="n">
        <v>8</v>
      </c>
    </row>
    <row r="97" ht="22" customHeight="1">
      <c r="A97" s="4" t="str">
        <v>Total benefit expense/(income), including service cost</v>
      </c>
      <c r="B97" s="2"/>
      <c r="C97" s="44" t="n">
        <v>61</v>
      </c>
      <c r="D97" s="44" t="n">
        <v>68</v>
      </c>
      <c r="E97" s="44" t="n">
        <v>41</v>
      </c>
      <c r="F97" s="44" t="n">
        <v>26</v>
      </c>
      <c r="G97" s="44" t="n">
        <v>49</v>
      </c>
      <c r="H97" s="44" t="n">
        <v>11</v>
      </c>
      <c r="I97" s="44" t="n">
        <v>-35</v>
      </c>
      <c r="J97" s="44" t="n">
        <v>14</v>
      </c>
      <c r="K97" s="44" t="n">
        <v>26</v>
      </c>
      <c r="L97" s="44" t="n">
        <v>55</v>
      </c>
      <c r="M97" s="45"/>
      <c r="N97" s="44" t="n">
        <v>1</v>
      </c>
      <c r="O97" s="44" t="n">
        <v>4</v>
      </c>
      <c r="P97" s="44" t="n">
        <v>10</v>
      </c>
      <c r="Q97" s="44"/>
      <c r="R97" s="44" t="n">
        <v>2</v>
      </c>
      <c r="S97" s="44" t="n">
        <v>5</v>
      </c>
      <c r="T97" s="44" t="n">
        <v>14</v>
      </c>
      <c r="U97" s="44"/>
      <c r="V97" s="44" t="n">
        <v>5</v>
      </c>
      <c r="W97" s="44" t="n">
        <v>7</v>
      </c>
      <c r="X97" s="44" t="n">
        <v>18</v>
      </c>
    </row>
    <row r="98" ht="22" customHeight="1">
      <c r="A98" s="4" t="str">
        <v>Interest cost</v>
      </c>
      <c r="B98" s="2"/>
      <c r="C98" s="43" t="n">
        <f>IF(COUNT('Pension &amp; Retiree Medical'!C67)=1,'Pension &amp; Retiree Medical'!C67,"")</f>
        <v>94</v>
      </c>
      <c r="D98" s="44" t="n">
        <v>89</v>
      </c>
      <c r="E98" s="44" t="n">
        <v>93</v>
      </c>
      <c r="F98" s="44" t="n">
        <v>97</v>
      </c>
      <c r="G98" s="44" t="n">
        <v>85</v>
      </c>
      <c r="H98" s="44" t="n">
        <v>74</v>
      </c>
      <c r="I98" s="44" t="n">
        <v>90</v>
      </c>
      <c r="J98" s="44" t="n">
        <v>141</v>
      </c>
      <c r="K98" s="44" t="n">
        <v>144</v>
      </c>
      <c r="L98" s="44" t="n">
        <v>152</v>
      </c>
      <c r="M98" s="45"/>
      <c r="N98" s="44" t="n">
        <v>27</v>
      </c>
      <c r="O98" s="44" t="n">
        <v>36</v>
      </c>
      <c r="P98" s="44" t="n">
        <v>36</v>
      </c>
      <c r="Q98" s="43" t="str">
        <f>IF(COUNT('Pension &amp; Retiree Medical'!Q67)=1,'Pension &amp; Retiree Medical'!Q67,"")</f>
      </c>
      <c r="R98" s="44" t="n">
        <v>26</v>
      </c>
      <c r="S98" s="44" t="n">
        <v>36</v>
      </c>
      <c r="T98" s="44" t="n">
        <v>35</v>
      </c>
      <c r="U98" s="43" t="str">
        <f>IF(COUNT('Pension &amp; Retiree Medical'!U67)=1,'Pension &amp; Retiree Medical'!U67,"")</f>
      </c>
      <c r="V98" s="44" t="n">
        <v>28</v>
      </c>
      <c r="W98" s="44" t="n">
        <v>37</v>
      </c>
      <c r="X98" s="44" t="n">
        <v>38</v>
      </c>
    </row>
    <row r="99" ht="22" customHeight="1">
      <c r="A99" s="4" t="str">
        <v>Special termination benefits</v>
      </c>
      <c r="B99" s="2"/>
      <c r="C99" s="43" t="n">
        <f>IF(COUNT('Pension &amp; Retiree Medical'!C73)=1,'Pension &amp; Retiree Medical'!C73,"")</f>
        <v>1</v>
      </c>
      <c r="D99" s="44" t="n">
        <v>0</v>
      </c>
      <c r="E99" s="44" t="n">
        <v>2</v>
      </c>
      <c r="F99" s="44" t="n">
        <v>0</v>
      </c>
      <c r="G99" s="44" t="n">
        <v>0</v>
      </c>
      <c r="H99" s="44" t="n">
        <v>0</v>
      </c>
      <c r="I99" s="44" t="n">
        <v>0</v>
      </c>
      <c r="J99" s="44" t="n">
        <v>0</v>
      </c>
      <c r="K99" s="44" t="n">
        <v>0</v>
      </c>
      <c r="L99" s="44" t="n">
        <v>0</v>
      </c>
      <c r="M99" s="45"/>
      <c r="N99" s="44" t="n">
        <v>0</v>
      </c>
      <c r="O99" s="44" t="n">
        <v>0</v>
      </c>
      <c r="P99" s="44" t="n">
        <v>0</v>
      </c>
      <c r="Q99" s="43" t="str">
        <f>IF(COUNT('Pension &amp; Retiree Medical'!Q73)=1,'Pension &amp; Retiree Medical'!Q73,"")</f>
      </c>
      <c r="R99" s="44" t="n">
        <v>0</v>
      </c>
      <c r="S99" s="44" t="n">
        <v>0</v>
      </c>
      <c r="T99" s="44" t="n">
        <v>0</v>
      </c>
      <c r="U99" s="43" t="str">
        <f>IF(COUNT('Pension &amp; Retiree Medical'!U73)=1,'Pension &amp; Retiree Medical'!U73,"")</f>
      </c>
      <c r="V99" s="44" t="n">
        <v>0</v>
      </c>
      <c r="W99" s="44" t="n">
        <v>0</v>
      </c>
      <c r="X99" s="44" t="n">
        <v>0</v>
      </c>
    </row>
    <row r="100" ht="36" customHeight="1">
      <c r="A100" s="4" t="str">
        <v>Total other pension and retiree medical benefits expense/(income)</v>
      </c>
      <c r="B100" s="2"/>
      <c r="C100" s="43" t="n">
        <f>IF(COUNT('Pension &amp; Retiree Medical'!C97,'Pension &amp; Retiree Medical'!C66)=2,'Pension &amp; Retiree Medical'!C97-'Pension &amp; Retiree Medical'!C66,"")</f>
        <v>-19</v>
      </c>
      <c r="D100" s="44" t="n">
        <v>-23</v>
      </c>
      <c r="E100" s="44" t="n">
        <v>-51</v>
      </c>
      <c r="F100" s="44" t="n">
        <v>-47</v>
      </c>
      <c r="G100" s="44" t="n">
        <v>-37</v>
      </c>
      <c r="H100" s="44" t="n">
        <v>-93</v>
      </c>
      <c r="I100" s="44" t="n">
        <v>-99</v>
      </c>
      <c r="J100" s="44" t="n">
        <v>-29</v>
      </c>
      <c r="K100" s="44" t="n">
        <v>-20</v>
      </c>
      <c r="L100" s="44" t="n">
        <v>8</v>
      </c>
      <c r="M100" s="45"/>
      <c r="N100" s="44" t="n">
        <v>-8</v>
      </c>
      <c r="O100" s="44" t="n">
        <v>-8</v>
      </c>
      <c r="P100" s="44" t="n">
        <v>-1</v>
      </c>
      <c r="Q100" s="43" t="str">
        <f>IF(COUNT('Pension &amp; Retiree Medical'!Q97,'Pension &amp; Retiree Medical'!Q66)=2,'Pension &amp; Retiree Medical'!Q97-'Pension &amp; Retiree Medical'!Q66,"")</f>
      </c>
      <c r="R100" s="44" t="n">
        <v>-6</v>
      </c>
      <c r="S100" s="44" t="n">
        <v>-6</v>
      </c>
      <c r="T100" s="44" t="n">
        <v>3</v>
      </c>
      <c r="U100" s="43" t="str">
        <f>IF(COUNT('Pension &amp; Retiree Medical'!U97,'Pension &amp; Retiree Medical'!U66)=2,'Pension &amp; Retiree Medical'!U97-'Pension &amp; Retiree Medical'!U66,"")</f>
      </c>
      <c r="V100" s="44" t="n">
        <v>-5</v>
      </c>
      <c r="W100" s="44" t="n">
        <v>-6</v>
      </c>
      <c r="X100" s="44" t="n">
        <v>5</v>
      </c>
    </row>
    <row r="101" ht="24" customHeight="1">
      <c r="A101" s="39" t="str">
        <v>Actuarial assumptions</v>
      </c>
      <c r="B101" s="40"/>
      <c r="C101" s="41"/>
      <c r="D101" s="41"/>
      <c r="E101" s="41"/>
      <c r="F101" s="41"/>
      <c r="G101" s="41"/>
      <c r="H101" s="41"/>
      <c r="I101" s="41"/>
      <c r="J101" s="41"/>
      <c r="K101" s="41"/>
      <c r="L101" s="41"/>
      <c r="M101" s="42"/>
      <c r="N101" s="41"/>
      <c r="O101" s="41"/>
      <c r="P101" s="41"/>
      <c r="Q101" s="41"/>
      <c r="R101" s="41"/>
      <c r="S101" s="41"/>
      <c r="T101" s="41"/>
      <c r="U101" s="41"/>
      <c r="V101" s="41"/>
      <c r="W101" s="41"/>
      <c r="X101" s="41"/>
    </row>
    <row r="102" ht="20" customHeight="1">
      <c r="A102" s="56" t="str">
        <v>Benefit obligation discount rate</v>
      </c>
      <c r="B102" s="2"/>
      <c r="C102" s="58" t="n">
        <v>0.031000000000000003</v>
      </c>
      <c r="D102" s="58" t="n">
        <v>0.03</v>
      </c>
      <c r="E102" s="58" t="n">
        <v>0.034</v>
      </c>
      <c r="F102" s="58" t="n">
        <v>0.025</v>
      </c>
      <c r="G102" s="58" t="n">
        <v>0.02</v>
      </c>
      <c r="H102" s="58" t="n">
        <v>0.024</v>
      </c>
      <c r="I102" s="58" t="n">
        <v>0.053</v>
      </c>
      <c r="J102" s="58" t="n">
        <v>0.051</v>
      </c>
      <c r="K102" s="58" t="n">
        <v>0.055</v>
      </c>
      <c r="L102" s="58" t="n">
        <v>0.057999999999999996</v>
      </c>
      <c r="M102" s="60"/>
      <c r="N102" s="58"/>
      <c r="O102" s="58"/>
      <c r="P102" s="58"/>
      <c r="Q102" s="58"/>
      <c r="R102" s="58"/>
      <c r="S102" s="58"/>
      <c r="T102" s="58"/>
      <c r="U102" s="58"/>
      <c r="V102" s="58"/>
      <c r="W102" s="58"/>
      <c r="X102" s="58"/>
    </row>
    <row r="103" ht="20" customHeight="1">
      <c r="A103" s="56" t="str">
        <v>Service cost discount rate</v>
      </c>
      <c r="B103" s="2"/>
      <c r="C103" s="58" t="n">
        <v>0.040999999999999995</v>
      </c>
      <c r="D103" s="58" t="n">
        <v>0.036000000000000004</v>
      </c>
      <c r="E103" s="58" t="n">
        <v>0.035</v>
      </c>
      <c r="F103" s="58" t="n">
        <v>0.042</v>
      </c>
      <c r="G103" s="58" t="n">
        <v>0.032</v>
      </c>
      <c r="H103" s="58" t="n">
        <v>0.027000000000000003</v>
      </c>
      <c r="I103" s="58" t="n">
        <v>0.042</v>
      </c>
      <c r="J103" s="58" t="n">
        <v>0.07</v>
      </c>
      <c r="K103" s="58" t="n">
        <v>0.069</v>
      </c>
      <c r="L103" s="58" t="n">
        <v>0.078</v>
      </c>
      <c r="M103" s="60"/>
      <c r="N103" s="58"/>
      <c r="O103" s="58"/>
      <c r="P103" s="58"/>
      <c r="Q103" s="58"/>
      <c r="R103" s="58"/>
      <c r="S103" s="58"/>
      <c r="T103" s="58"/>
      <c r="U103" s="58"/>
      <c r="V103" s="58"/>
      <c r="W103" s="58"/>
      <c r="X103" s="58"/>
    </row>
    <row r="104" ht="20" customHeight="1">
      <c r="A104" s="56" t="str">
        <v>Interest cost discount rate</v>
      </c>
      <c r="B104" s="2"/>
      <c r="C104" s="58" t="n">
        <v>0.035</v>
      </c>
      <c r="D104" s="58" t="n">
        <v>0.027999999999999997</v>
      </c>
      <c r="E104" s="58" t="n">
        <v>0.027999999999999997</v>
      </c>
      <c r="F104" s="58" t="n">
        <v>0.032</v>
      </c>
      <c r="G104" s="58" t="n">
        <v>0.024</v>
      </c>
      <c r="H104" s="58" t="n">
        <v>0.017</v>
      </c>
      <c r="I104" s="58" t="n">
        <v>0.023</v>
      </c>
      <c r="J104" s="58" t="n">
        <v>0.054000000000000006</v>
      </c>
      <c r="K104" s="58" t="n">
        <v>0.05</v>
      </c>
      <c r="L104" s="58" t="n">
        <v>0.053</v>
      </c>
      <c r="M104" s="60"/>
      <c r="N104" s="58"/>
      <c r="O104" s="58"/>
      <c r="P104" s="58"/>
      <c r="Q104" s="58"/>
      <c r="R104" s="58"/>
      <c r="S104" s="58"/>
      <c r="T104" s="58"/>
      <c r="U104" s="58"/>
      <c r="V104" s="58"/>
      <c r="W104" s="58"/>
      <c r="X104" s="58"/>
    </row>
    <row r="105" ht="20" customHeight="1">
      <c r="A105" s="56" t="str">
        <v>Expected return on plan assets</v>
      </c>
      <c r="B105" s="2"/>
      <c r="C105" s="58" t="n">
        <v>0.062000000000000006</v>
      </c>
      <c r="D105" s="58" t="n">
        <v>0.06</v>
      </c>
      <c r="E105" s="58" t="n">
        <v>0.06</v>
      </c>
      <c r="F105" s="58" t="n">
        <v>0.057999999999999996</v>
      </c>
      <c r="G105" s="58" t="n">
        <v>0.055999999999999994</v>
      </c>
      <c r="H105" s="58" t="n">
        <v>0.053</v>
      </c>
      <c r="I105" s="58" t="n">
        <v>0.053</v>
      </c>
      <c r="J105" s="58" t="n">
        <v>0.057</v>
      </c>
      <c r="K105" s="58" t="n">
        <v>0.057999999999999996</v>
      </c>
      <c r="L105" s="58" t="n">
        <v>0.057999999999999996</v>
      </c>
      <c r="M105" s="60"/>
      <c r="N105" s="58"/>
      <c r="O105" s="58"/>
      <c r="P105" s="58"/>
      <c r="Q105" s="58"/>
      <c r="R105" s="58"/>
      <c r="S105" s="58"/>
      <c r="T105" s="58"/>
      <c r="U105" s="58"/>
      <c r="V105" s="58"/>
      <c r="W105" s="58"/>
      <c r="X105" s="58"/>
    </row>
    <row r="106" ht="20" customHeight="1">
      <c r="A106" s="56" t="str">
        <v>Rate of salary increases — benefit obligation</v>
      </c>
      <c r="B106" s="2"/>
      <c r="C106" s="58" t="n">
        <v>0.036000000000000004</v>
      </c>
      <c r="D106" s="58" t="n">
        <v>0.037000000000000005</v>
      </c>
      <c r="E106" s="58" t="n">
        <v>0.037000000000000005</v>
      </c>
      <c r="F106" s="58" t="n">
        <v>0.033</v>
      </c>
      <c r="G106" s="58" t="n">
        <v>0.033</v>
      </c>
      <c r="H106" s="58" t="n">
        <v>0.033</v>
      </c>
      <c r="I106" s="58" t="n">
        <v>0.042</v>
      </c>
      <c r="J106" s="58" t="n">
        <v>0.043</v>
      </c>
      <c r="K106" s="58" t="n">
        <v>0.04</v>
      </c>
      <c r="L106" s="58" t="n">
        <v>0.045</v>
      </c>
      <c r="M106" s="60"/>
      <c r="N106" s="58"/>
      <c r="O106" s="58"/>
      <c r="P106" s="58"/>
      <c r="Q106" s="58"/>
      <c r="R106" s="58"/>
      <c r="S106" s="58"/>
      <c r="T106" s="58"/>
      <c r="U106" s="58"/>
      <c r="V106" s="58"/>
      <c r="W106" s="58"/>
      <c r="X106" s="58"/>
    </row>
    <row r="107" ht="20" customHeight="1">
      <c r="A107" s="56" t="str">
        <v>Rate of salary increases — expense</v>
      </c>
      <c r="B107" s="2"/>
      <c r="C107" s="58" t="n">
        <v>0.036000000000000004</v>
      </c>
      <c r="D107" s="58" t="n">
        <v>0.036000000000000004</v>
      </c>
      <c r="E107" s="58" t="n">
        <v>0.037000000000000005</v>
      </c>
      <c r="F107" s="58" t="n">
        <v>0.037000000000000005</v>
      </c>
      <c r="G107" s="58" t="n">
        <v>0.033</v>
      </c>
      <c r="H107" s="58" t="n">
        <v>0.033</v>
      </c>
      <c r="I107" s="58" t="n">
        <v>0.033</v>
      </c>
      <c r="J107" s="58" t="n">
        <v>0.042</v>
      </c>
      <c r="K107" s="58" t="n">
        <v>0.043</v>
      </c>
      <c r="L107" s="58" t="n">
        <v>0.04</v>
      </c>
      <c r="M107" s="60"/>
      <c r="N107" s="58"/>
      <c r="O107" s="58"/>
      <c r="P107" s="58"/>
      <c r="Q107" s="58"/>
      <c r="R107" s="58"/>
      <c r="S107" s="58"/>
      <c r="T107" s="58"/>
      <c r="U107" s="58"/>
      <c r="V107" s="58"/>
      <c r="W107" s="58"/>
      <c r="X107" s="58"/>
    </row>
    <row r="108" ht="22" customHeight="1">
      <c r="A108" s="4" t="str">
        <v>Plan assets − benefit obligation − funded status</v>
      </c>
      <c r="B108" s="2"/>
      <c r="C108" s="61" t="n">
        <f>IF(COUNT('Pension &amp; Retiree Medical'!C84,'Pension &amp; Retiree Medical'!C75,'Pension &amp; Retiree Medical'!C85)=3,'Pension &amp; Retiree Medical'!C84-'Pension &amp; Retiree Medical'!C75-'Pension &amp; Retiree Medical'!C85,"")</f>
        <v>0</v>
      </c>
      <c r="D108" s="61" t="n">
        <f>IF(COUNT('Pension &amp; Retiree Medical'!D84,'Pension &amp; Retiree Medical'!D75,'Pension &amp; Retiree Medical'!D85)=3,'Pension &amp; Retiree Medical'!D84-'Pension &amp; Retiree Medical'!D75-'Pension &amp; Retiree Medical'!D85,"")</f>
        <v>0</v>
      </c>
      <c r="E108" s="61" t="n">
        <f>IF(COUNT('Pension &amp; Retiree Medical'!E84,'Pension &amp; Retiree Medical'!E75,'Pension &amp; Retiree Medical'!E85)=3,'Pension &amp; Retiree Medical'!E84-'Pension &amp; Retiree Medical'!E75-'Pension &amp; Retiree Medical'!E85,"")</f>
        <v>0</v>
      </c>
      <c r="F108" s="61" t="n">
        <f>IF(COUNT('Pension &amp; Retiree Medical'!F84,'Pension &amp; Retiree Medical'!F75,'Pension &amp; Retiree Medical'!F85)=3,'Pension &amp; Retiree Medical'!F84-'Pension &amp; Retiree Medical'!F75-'Pension &amp; Retiree Medical'!F85,"")</f>
        <v>0</v>
      </c>
      <c r="G108" s="61" t="n">
        <f>IF(COUNT('Pension &amp; Retiree Medical'!G84,'Pension &amp; Retiree Medical'!G75,'Pension &amp; Retiree Medical'!G85)=3,'Pension &amp; Retiree Medical'!G84-'Pension &amp; Retiree Medical'!G75-'Pension &amp; Retiree Medical'!G85,"")</f>
        <v>0</v>
      </c>
      <c r="H108" s="61" t="n">
        <f>IF(COUNT('Pension &amp; Retiree Medical'!H84,'Pension &amp; Retiree Medical'!H75,'Pension &amp; Retiree Medical'!H85)=3,'Pension &amp; Retiree Medical'!H84-'Pension &amp; Retiree Medical'!H75-'Pension &amp; Retiree Medical'!H85,"")</f>
        <v>0</v>
      </c>
      <c r="I108" s="61" t="n">
        <f>IF(COUNT('Pension &amp; Retiree Medical'!I84,'Pension &amp; Retiree Medical'!I75,'Pension &amp; Retiree Medical'!I85)=3,'Pension &amp; Retiree Medical'!I84-'Pension &amp; Retiree Medical'!I75-'Pension &amp; Retiree Medical'!I85,"")</f>
        <v>0</v>
      </c>
      <c r="J108" s="61" t="n">
        <f>IF(COUNT('Pension &amp; Retiree Medical'!J84,'Pension &amp; Retiree Medical'!J75,'Pension &amp; Retiree Medical'!J85)=3,'Pension &amp; Retiree Medical'!J84-'Pension &amp; Retiree Medical'!J75-'Pension &amp; Retiree Medical'!J85,"")</f>
        <v>0</v>
      </c>
      <c r="K108" s="61" t="n">
        <f>IF(COUNT('Pension &amp; Retiree Medical'!K84,'Pension &amp; Retiree Medical'!K75,'Pension &amp; Retiree Medical'!K85)=3,'Pension &amp; Retiree Medical'!K84-'Pension &amp; Retiree Medical'!K75-'Pension &amp; Retiree Medical'!K85,"")</f>
        <v>0</v>
      </c>
      <c r="L108" s="61" t="n">
        <f>IF(COUNT('Pension &amp; Retiree Medical'!L84,'Pension &amp; Retiree Medical'!L75,'Pension &amp; Retiree Medical'!L85)=3,'Pension &amp; Retiree Medical'!L84-'Pension &amp; Retiree Medical'!L75-'Pension &amp; Retiree Medical'!L85,"")</f>
        <v>0</v>
      </c>
      <c r="M108" s="63"/>
      <c r="N108" s="61" t="str">
        <f>IF(COUNT('Pension &amp; Retiree Medical'!N84,'Pension &amp; Retiree Medical'!N75,'Pension &amp; Retiree Medical'!N85)=3,'Pension &amp; Retiree Medical'!N84-'Pension &amp; Retiree Medical'!N75-'Pension &amp; Retiree Medical'!N85,"")</f>
      </c>
      <c r="O108" s="61" t="str">
        <f>IF(COUNT('Pension &amp; Retiree Medical'!O84,'Pension &amp; Retiree Medical'!O75,'Pension &amp; Retiree Medical'!O85)=3,'Pension &amp; Retiree Medical'!O84-'Pension &amp; Retiree Medical'!O75-'Pension &amp; Retiree Medical'!O85,"")</f>
      </c>
      <c r="P108" s="61" t="str">
        <f>IF(COUNT('Pension &amp; Retiree Medical'!P84,'Pension &amp; Retiree Medical'!P75,'Pension &amp; Retiree Medical'!P85)=3,'Pension &amp; Retiree Medical'!P84-'Pension &amp; Retiree Medical'!P75-'Pension &amp; Retiree Medical'!P85,"")</f>
      </c>
      <c r="Q108" s="61" t="str">
        <f>IF(COUNT('Pension &amp; Retiree Medical'!Q84,'Pension &amp; Retiree Medical'!Q75,'Pension &amp; Retiree Medical'!Q85)=3,'Pension &amp; Retiree Medical'!Q84-'Pension &amp; Retiree Medical'!Q75-'Pension &amp; Retiree Medical'!Q85,"")</f>
      </c>
      <c r="R108" s="61" t="str">
        <f>IF(COUNT('Pension &amp; Retiree Medical'!R84,'Pension &amp; Retiree Medical'!R75,'Pension &amp; Retiree Medical'!R85)=3,'Pension &amp; Retiree Medical'!R84-'Pension &amp; Retiree Medical'!R75-'Pension &amp; Retiree Medical'!R85,"")</f>
      </c>
      <c r="S108" s="61" t="str">
        <f>IF(COUNT('Pension &amp; Retiree Medical'!S84,'Pension &amp; Retiree Medical'!S75,'Pension &amp; Retiree Medical'!S85)=3,'Pension &amp; Retiree Medical'!S84-'Pension &amp; Retiree Medical'!S75-'Pension &amp; Retiree Medical'!S85,"")</f>
      </c>
      <c r="T108" s="61" t="str">
        <f>IF(COUNT('Pension &amp; Retiree Medical'!T84,'Pension &amp; Retiree Medical'!T75,'Pension &amp; Retiree Medical'!T85)=3,'Pension &amp; Retiree Medical'!T84-'Pension &amp; Retiree Medical'!T75-'Pension &amp; Retiree Medical'!T85,"")</f>
      </c>
      <c r="U108" s="61" t="str">
        <f>IF(COUNT('Pension &amp; Retiree Medical'!U84,'Pension &amp; Retiree Medical'!U75,'Pension &amp; Retiree Medical'!U85)=3,'Pension &amp; Retiree Medical'!U84-'Pension &amp; Retiree Medical'!U75-'Pension &amp; Retiree Medical'!U85,"")</f>
      </c>
      <c r="V108" s="61" t="str">
        <f>IF(COUNT('Pension &amp; Retiree Medical'!V84,'Pension &amp; Retiree Medical'!V75,'Pension &amp; Retiree Medical'!V85)=3,'Pension &amp; Retiree Medical'!V84-'Pension &amp; Retiree Medical'!V75-'Pension &amp; Retiree Medical'!V85,"")</f>
      </c>
      <c r="W108" s="61" t="str">
        <f>IF(COUNT('Pension &amp; Retiree Medical'!W84,'Pension &amp; Retiree Medical'!W75,'Pension &amp; Retiree Medical'!W85)=3,'Pension &amp; Retiree Medical'!W84-'Pension &amp; Retiree Medical'!W75-'Pension &amp; Retiree Medical'!W85,"")</f>
      </c>
      <c r="X108" s="61" t="str">
        <f>IF(COUNT('Pension &amp; Retiree Medical'!X84,'Pension &amp; Retiree Medical'!X75,'Pension &amp; Retiree Medical'!X85)=3,'Pension &amp; Retiree Medical'!X84-'Pension &amp; Retiree Medical'!X75-'Pension &amp; Retiree Medical'!X85,"")</f>
      </c>
    </row>
    <row r="109" ht="22" customHeight="1">
      <c r="A109" s="4" t="str">
        <v>Net amount recognized − funded status</v>
      </c>
      <c r="B109" s="2"/>
      <c r="C109" s="61" t="n">
        <f>IF(COUNT('Pension &amp; Retiree Medical'!C90,'Pension &amp; Retiree Medical'!C85)=2,'Pension &amp; Retiree Medical'!C90-'Pension &amp; Retiree Medical'!C85,"")</f>
        <v>0</v>
      </c>
      <c r="D109" s="61" t="n">
        <f>IF(COUNT('Pension &amp; Retiree Medical'!D90,'Pension &amp; Retiree Medical'!D85)=2,'Pension &amp; Retiree Medical'!D90-'Pension &amp; Retiree Medical'!D85,"")</f>
        <v>0</v>
      </c>
      <c r="E109" s="61" t="n">
        <f>IF(COUNT('Pension &amp; Retiree Medical'!E90,'Pension &amp; Retiree Medical'!E85)=2,'Pension &amp; Retiree Medical'!E90-'Pension &amp; Retiree Medical'!E85,"")</f>
        <v>0</v>
      </c>
      <c r="F109" s="61" t="n">
        <f>IF(COUNT('Pension &amp; Retiree Medical'!F90,'Pension &amp; Retiree Medical'!F85)=2,'Pension &amp; Retiree Medical'!F90-'Pension &amp; Retiree Medical'!F85,"")</f>
        <v>0</v>
      </c>
      <c r="G109" s="61" t="n">
        <f>IF(COUNT('Pension &amp; Retiree Medical'!G90,'Pension &amp; Retiree Medical'!G85)=2,'Pension &amp; Retiree Medical'!G90-'Pension &amp; Retiree Medical'!G85,"")</f>
        <v>0</v>
      </c>
      <c r="H109" s="61" t="n">
        <f>IF(COUNT('Pension &amp; Retiree Medical'!H90,'Pension &amp; Retiree Medical'!H85)=2,'Pension &amp; Retiree Medical'!H90-'Pension &amp; Retiree Medical'!H85,"")</f>
        <v>0</v>
      </c>
      <c r="I109" s="61" t="n">
        <f>IF(COUNT('Pension &amp; Retiree Medical'!I90,'Pension &amp; Retiree Medical'!I85)=2,'Pension &amp; Retiree Medical'!I90-'Pension &amp; Retiree Medical'!I85,"")</f>
        <v>0</v>
      </c>
      <c r="J109" s="61" t="n">
        <f>IF(COUNT('Pension &amp; Retiree Medical'!J90,'Pension &amp; Retiree Medical'!J85)=2,'Pension &amp; Retiree Medical'!J90-'Pension &amp; Retiree Medical'!J85,"")</f>
        <v>0</v>
      </c>
      <c r="K109" s="61" t="n">
        <f>IF(COUNT('Pension &amp; Retiree Medical'!K90,'Pension &amp; Retiree Medical'!K85)=2,'Pension &amp; Retiree Medical'!K90-'Pension &amp; Retiree Medical'!K85,"")</f>
        <v>0</v>
      </c>
      <c r="L109" s="61" t="n">
        <f>IF(COUNT('Pension &amp; Retiree Medical'!L90,'Pension &amp; Retiree Medical'!L85)=2,'Pension &amp; Retiree Medical'!L90-'Pension &amp; Retiree Medical'!L85,"")</f>
        <v>0</v>
      </c>
      <c r="M109" s="63"/>
      <c r="N109" s="61" t="str">
        <f>IF(COUNT('Pension &amp; Retiree Medical'!N90,'Pension &amp; Retiree Medical'!N85)=2,'Pension &amp; Retiree Medical'!N90-'Pension &amp; Retiree Medical'!N85,"")</f>
      </c>
      <c r="O109" s="61" t="str">
        <f>IF(COUNT('Pension &amp; Retiree Medical'!O90,'Pension &amp; Retiree Medical'!O85)=2,'Pension &amp; Retiree Medical'!O90-'Pension &amp; Retiree Medical'!O85,"")</f>
      </c>
      <c r="P109" s="61" t="str">
        <f>IF(COUNT('Pension &amp; Retiree Medical'!P90,'Pension &amp; Retiree Medical'!P85)=2,'Pension &amp; Retiree Medical'!P90-'Pension &amp; Retiree Medical'!P85,"")</f>
      </c>
      <c r="Q109" s="61" t="str">
        <f>IF(COUNT('Pension &amp; Retiree Medical'!Q90,'Pension &amp; Retiree Medical'!Q85)=2,'Pension &amp; Retiree Medical'!Q90-'Pension &amp; Retiree Medical'!Q85,"")</f>
      </c>
      <c r="R109" s="61" t="str">
        <f>IF(COUNT('Pension &amp; Retiree Medical'!R90,'Pension &amp; Retiree Medical'!R85)=2,'Pension &amp; Retiree Medical'!R90-'Pension &amp; Retiree Medical'!R85,"")</f>
      </c>
      <c r="S109" s="61" t="str">
        <f>IF(COUNT('Pension &amp; Retiree Medical'!S90,'Pension &amp; Retiree Medical'!S85)=2,'Pension &amp; Retiree Medical'!S90-'Pension &amp; Retiree Medical'!S85,"")</f>
      </c>
      <c r="T109" s="61" t="str">
        <f>IF(COUNT('Pension &amp; Retiree Medical'!T90,'Pension &amp; Retiree Medical'!T85)=2,'Pension &amp; Retiree Medical'!T90-'Pension &amp; Retiree Medical'!T85,"")</f>
      </c>
      <c r="U109" s="61" t="str">
        <f>IF(COUNT('Pension &amp; Retiree Medical'!U90,'Pension &amp; Retiree Medical'!U85)=2,'Pension &amp; Retiree Medical'!U90-'Pension &amp; Retiree Medical'!U85,"")</f>
      </c>
      <c r="V109" s="61" t="str">
        <f>IF(COUNT('Pension &amp; Retiree Medical'!V90,'Pension &amp; Retiree Medical'!V85)=2,'Pension &amp; Retiree Medical'!V90-'Pension &amp; Retiree Medical'!V85,"")</f>
      </c>
      <c r="W109" s="61" t="str">
        <f>IF(COUNT('Pension &amp; Retiree Medical'!W90,'Pension &amp; Retiree Medical'!W85)=2,'Pension &amp; Retiree Medical'!W90-'Pension &amp; Retiree Medical'!W85,"")</f>
      </c>
      <c r="X109" s="61" t="str">
        <f>IF(COUNT('Pension &amp; Retiree Medical'!X90,'Pension &amp; Retiree Medical'!X85)=2,'Pension &amp; Retiree Medical'!X90-'Pension &amp; Retiree Medical'!X85,"")</f>
      </c>
    </row>
    <row r="110" ht="36" customHeight="1">
      <c r="A110" s="4" t="str">
        <v>Total benefit expense − service cost − non-service expense</v>
      </c>
      <c r="B110" s="2"/>
      <c r="C110" s="61" t="n">
        <f>IF(COUNT('Pension &amp; Retiree Medical'!C97,'Pension &amp; Retiree Medical'!C66,'Pension &amp; Retiree Medical'!C100)=3,'Pension &amp; Retiree Medical'!C97-'Pension &amp; Retiree Medical'!C66-'Pension &amp; Retiree Medical'!C100,"")</f>
        <v>0</v>
      </c>
      <c r="D110" s="61" t="n">
        <f>IF(COUNT('Pension &amp; Retiree Medical'!D97,'Pension &amp; Retiree Medical'!D66,'Pension &amp; Retiree Medical'!D100)=3,'Pension &amp; Retiree Medical'!D97-'Pension &amp; Retiree Medical'!D66-'Pension &amp; Retiree Medical'!D100,"")</f>
        <v>0</v>
      </c>
      <c r="E110" s="61" t="n">
        <f>IF(COUNT('Pension &amp; Retiree Medical'!E97,'Pension &amp; Retiree Medical'!E66,'Pension &amp; Retiree Medical'!E100)=3,'Pension &amp; Retiree Medical'!E97-'Pension &amp; Retiree Medical'!E66-'Pension &amp; Retiree Medical'!E100,"")</f>
        <v>0</v>
      </c>
      <c r="F110" s="61" t="n">
        <f>IF(COUNT('Pension &amp; Retiree Medical'!F97,'Pension &amp; Retiree Medical'!F66,'Pension &amp; Retiree Medical'!F100)=3,'Pension &amp; Retiree Medical'!F97-'Pension &amp; Retiree Medical'!F66-'Pension &amp; Retiree Medical'!F100,"")</f>
        <v>0</v>
      </c>
      <c r="G110" s="61" t="n">
        <f>IF(COUNT('Pension &amp; Retiree Medical'!G97,'Pension &amp; Retiree Medical'!G66,'Pension &amp; Retiree Medical'!G100)=3,'Pension &amp; Retiree Medical'!G97-'Pension &amp; Retiree Medical'!G66-'Pension &amp; Retiree Medical'!G100,"")</f>
        <v>0</v>
      </c>
      <c r="H110" s="61" t="n">
        <f>IF(COUNT('Pension &amp; Retiree Medical'!H97,'Pension &amp; Retiree Medical'!H66,'Pension &amp; Retiree Medical'!H100)=3,'Pension &amp; Retiree Medical'!H97-'Pension &amp; Retiree Medical'!H66-'Pension &amp; Retiree Medical'!H100,"")</f>
        <v>0</v>
      </c>
      <c r="I110" s="61" t="n">
        <f>IF(COUNT('Pension &amp; Retiree Medical'!I97,'Pension &amp; Retiree Medical'!I66,'Pension &amp; Retiree Medical'!I100)=3,'Pension &amp; Retiree Medical'!I97-'Pension &amp; Retiree Medical'!I66-'Pension &amp; Retiree Medical'!I100,"")</f>
        <v>0</v>
      </c>
      <c r="J110" s="61" t="n">
        <f>IF(COUNT('Pension &amp; Retiree Medical'!J97,'Pension &amp; Retiree Medical'!J66,'Pension &amp; Retiree Medical'!J100)=3,'Pension &amp; Retiree Medical'!J97-'Pension &amp; Retiree Medical'!J66-'Pension &amp; Retiree Medical'!J100,"")</f>
        <v>0</v>
      </c>
      <c r="K110" s="61" t="n">
        <f>IF(COUNT('Pension &amp; Retiree Medical'!K97,'Pension &amp; Retiree Medical'!K66,'Pension &amp; Retiree Medical'!K100)=3,'Pension &amp; Retiree Medical'!K97-'Pension &amp; Retiree Medical'!K66-'Pension &amp; Retiree Medical'!K100,"")</f>
        <v>0</v>
      </c>
      <c r="L110" s="61" t="n">
        <f>IF(COUNT('Pension &amp; Retiree Medical'!L97,'Pension &amp; Retiree Medical'!L66,'Pension &amp; Retiree Medical'!L100)=3,'Pension &amp; Retiree Medical'!L97-'Pension &amp; Retiree Medical'!L66-'Pension &amp; Retiree Medical'!L100,"")</f>
        <v>0</v>
      </c>
      <c r="M110" s="63"/>
      <c r="N110" s="61" t="str">
        <f>IF(COUNT('Pension &amp; Retiree Medical'!N97,'Pension &amp; Retiree Medical'!N66,'Pension &amp; Retiree Medical'!N100)=3,'Pension &amp; Retiree Medical'!N97-'Pension &amp; Retiree Medical'!N66-'Pension &amp; Retiree Medical'!N100,"")</f>
      </c>
      <c r="O110" s="61" t="str">
        <f>IF(COUNT('Pension &amp; Retiree Medical'!O97,'Pension &amp; Retiree Medical'!O66,'Pension &amp; Retiree Medical'!O100)=3,'Pension &amp; Retiree Medical'!O97-'Pension &amp; Retiree Medical'!O66-'Pension &amp; Retiree Medical'!O100,"")</f>
      </c>
      <c r="P110" s="61" t="str">
        <f>IF(COUNT('Pension &amp; Retiree Medical'!P97,'Pension &amp; Retiree Medical'!P66,'Pension &amp; Retiree Medical'!P100)=3,'Pension &amp; Retiree Medical'!P97-'Pension &amp; Retiree Medical'!P66-'Pension &amp; Retiree Medical'!P100,"")</f>
      </c>
      <c r="Q110" s="61" t="str">
        <f>IF(COUNT('Pension &amp; Retiree Medical'!Q97,'Pension &amp; Retiree Medical'!Q66,'Pension &amp; Retiree Medical'!Q100)=3,'Pension &amp; Retiree Medical'!Q97-'Pension &amp; Retiree Medical'!Q66-'Pension &amp; Retiree Medical'!Q100,"")</f>
      </c>
      <c r="R110" s="61" t="str">
        <f>IF(COUNT('Pension &amp; Retiree Medical'!R97,'Pension &amp; Retiree Medical'!R66,'Pension &amp; Retiree Medical'!R100)=3,'Pension &amp; Retiree Medical'!R97-'Pension &amp; Retiree Medical'!R66-'Pension &amp; Retiree Medical'!R100,"")</f>
      </c>
      <c r="S110" s="61" t="str">
        <f>IF(COUNT('Pension &amp; Retiree Medical'!S97,'Pension &amp; Retiree Medical'!S66,'Pension &amp; Retiree Medical'!S100)=3,'Pension &amp; Retiree Medical'!S97-'Pension &amp; Retiree Medical'!S66-'Pension &amp; Retiree Medical'!S100,"")</f>
      </c>
      <c r="T110" s="61" t="str">
        <f>IF(COUNT('Pension &amp; Retiree Medical'!T97,'Pension &amp; Retiree Medical'!T66,'Pension &amp; Retiree Medical'!T100)=3,'Pension &amp; Retiree Medical'!T97-'Pension &amp; Retiree Medical'!T66-'Pension &amp; Retiree Medical'!T100,"")</f>
      </c>
      <c r="U110" s="61" t="str">
        <f>IF(COUNT('Pension &amp; Retiree Medical'!U97,'Pension &amp; Retiree Medical'!U66,'Pension &amp; Retiree Medical'!U100)=3,'Pension &amp; Retiree Medical'!U97-'Pension &amp; Retiree Medical'!U66-'Pension &amp; Retiree Medical'!U100,"")</f>
      </c>
      <c r="V110" s="61" t="str">
        <f>IF(COUNT('Pension &amp; Retiree Medical'!V97,'Pension &amp; Retiree Medical'!V66,'Pension &amp; Retiree Medical'!V100)=3,'Pension &amp; Retiree Medical'!V97-'Pension &amp; Retiree Medical'!V66-'Pension &amp; Retiree Medical'!V100,"")</f>
      </c>
      <c r="W110" s="61" t="str">
        <f>IF(COUNT('Pension &amp; Retiree Medical'!W97,'Pension &amp; Retiree Medical'!W66,'Pension &amp; Retiree Medical'!W100)=3,'Pension &amp; Retiree Medical'!W97-'Pension &amp; Retiree Medical'!W66-'Pension &amp; Retiree Medical'!W100,"")</f>
      </c>
      <c r="X110" s="61" t="str">
        <f>IF(COUNT('Pension &amp; Retiree Medical'!X97,'Pension &amp; Retiree Medical'!X66,'Pension &amp; Retiree Medical'!X100)=3,'Pension &amp; Retiree Medical'!X97-'Pension &amp; Retiree Medical'!X66-'Pension &amp; Retiree Medical'!X100,"")</f>
      </c>
    </row>
    <row r="111" ht="22" customHeight="1">
      <c r="A111" s="4"/>
      <c r="B111" s="2"/>
      <c r="C111" s="3"/>
      <c r="D111" s="3"/>
      <c r="E111" s="3"/>
      <c r="F111" s="3"/>
      <c r="G111" s="3"/>
      <c r="H111" s="3"/>
      <c r="I111" s="3"/>
      <c r="J111" s="3"/>
      <c r="K111" s="3"/>
      <c r="L111" s="3"/>
      <c r="M111" s="3"/>
      <c r="N111" s="3"/>
      <c r="O111" s="3"/>
      <c r="P111" s="3"/>
      <c r="Q111" s="3"/>
      <c r="R111" s="3"/>
      <c r="S111" s="3"/>
      <c r="T111" s="3"/>
      <c r="U111" s="3"/>
      <c r="V111" s="3"/>
      <c r="W111" s="3"/>
      <c r="X111" s="3"/>
    </row>
    <row r="112" ht="22" customHeight="1">
      <c r="A112" s="29" t="str">
        <v>Retiree Medical</v>
      </c>
      <c r="B112" s="29"/>
      <c r="C112" s="32"/>
      <c r="D112" s="32"/>
      <c r="E112" s="32"/>
      <c r="F112" s="32"/>
      <c r="G112" s="32"/>
      <c r="H112" s="32"/>
      <c r="I112" s="32"/>
      <c r="J112" s="32"/>
      <c r="K112" s="32"/>
      <c r="L112" s="32"/>
      <c r="M112" s="32"/>
      <c r="N112" s="32"/>
      <c r="O112" s="32"/>
      <c r="P112" s="32"/>
      <c r="Q112" s="32"/>
      <c r="R112" s="32"/>
      <c r="S112" s="32"/>
      <c r="T112" s="32"/>
      <c r="U112" s="32"/>
      <c r="V112" s="32"/>
      <c r="W112" s="32"/>
      <c r="X112" s="32"/>
    </row>
    <row r="113" ht="18" customHeight="1">
      <c r="A113" s="33" t="str">
        <v>Liability/Obligation terminology is linked on a consistent benefit-obligation basis. FY2016 non-service expense = total benefit expense less service cost; later periods use the company's direct disclosure.</v>
      </c>
      <c r="B113" s="33"/>
      <c r="C113" s="35"/>
      <c r="D113" s="35"/>
      <c r="E113" s="35"/>
      <c r="F113" s="35"/>
      <c r="G113" s="35"/>
      <c r="H113" s="35"/>
      <c r="I113" s="35"/>
      <c r="J113" s="35"/>
      <c r="K113" s="35"/>
      <c r="L113" s="35"/>
      <c r="M113" s="35"/>
      <c r="N113" s="35"/>
      <c r="O113" s="35"/>
      <c r="P113" s="35"/>
      <c r="Q113" s="35"/>
      <c r="R113" s="35"/>
      <c r="S113" s="35"/>
      <c r="T113" s="35"/>
      <c r="U113" s="35"/>
      <c r="V113" s="35"/>
      <c r="W113" s="35"/>
      <c r="X113" s="35"/>
    </row>
    <row r="114" ht="24" customHeight="1">
      <c r="A114" s="39" t="str">
        <v>Change in benefit obligation</v>
      </c>
      <c r="B114" s="40"/>
      <c r="C114" s="41"/>
      <c r="D114" s="41"/>
      <c r="E114" s="41"/>
      <c r="F114" s="41"/>
      <c r="G114" s="41"/>
      <c r="H114" s="41"/>
      <c r="I114" s="41"/>
      <c r="J114" s="41"/>
      <c r="K114" s="41"/>
      <c r="L114" s="41"/>
      <c r="M114" s="42"/>
      <c r="N114" s="41"/>
      <c r="O114" s="41"/>
      <c r="P114" s="41"/>
      <c r="Q114" s="41"/>
      <c r="R114" s="41"/>
      <c r="S114" s="41"/>
      <c r="T114" s="41"/>
      <c r="U114" s="41"/>
      <c r="V114" s="41"/>
      <c r="W114" s="41"/>
      <c r="X114" s="41"/>
    </row>
    <row r="115" ht="24" customHeight="1">
      <c r="A115" s="51" t="str">
        <v>Benefit obligation, beginning of year</v>
      </c>
      <c r="B115" s="52"/>
      <c r="C115" s="53" t="n">
        <v>1300</v>
      </c>
      <c r="D115" s="53" t="n">
        <v>1208</v>
      </c>
      <c r="E115" s="53" t="n">
        <v>1187</v>
      </c>
      <c r="F115" s="53" t="n">
        <v>996</v>
      </c>
      <c r="G115" s="53" t="n">
        <v>988</v>
      </c>
      <c r="H115" s="53" t="n">
        <v>1006</v>
      </c>
      <c r="I115" s="53" t="n">
        <v>954</v>
      </c>
      <c r="J115" s="53" t="n">
        <v>714</v>
      </c>
      <c r="K115" s="53" t="n">
        <v>677</v>
      </c>
      <c r="L115" s="53" t="n">
        <v>616</v>
      </c>
      <c r="M115" s="55"/>
      <c r="N115" s="53"/>
      <c r="O115" s="53"/>
      <c r="P115" s="53"/>
      <c r="Q115" s="53"/>
      <c r="R115" s="53"/>
      <c r="S115" s="53"/>
      <c r="T115" s="53"/>
      <c r="U115" s="53"/>
      <c r="V115" s="53"/>
      <c r="W115" s="53"/>
      <c r="X115" s="53"/>
    </row>
    <row r="116" ht="22" customHeight="1">
      <c r="A116" s="4" t="str">
        <v>Service cost</v>
      </c>
      <c r="B116" s="2"/>
      <c r="C116" s="44" t="n">
        <v>31</v>
      </c>
      <c r="D116" s="44" t="n">
        <v>28</v>
      </c>
      <c r="E116" s="44" t="n">
        <v>32</v>
      </c>
      <c r="F116" s="44" t="n">
        <v>23</v>
      </c>
      <c r="G116" s="44" t="n">
        <v>25</v>
      </c>
      <c r="H116" s="44" t="n">
        <v>33</v>
      </c>
      <c r="I116" s="44" t="n">
        <v>37</v>
      </c>
      <c r="J116" s="44" t="n">
        <v>29</v>
      </c>
      <c r="K116" s="44" t="n">
        <v>31</v>
      </c>
      <c r="L116" s="44" t="n">
        <v>31</v>
      </c>
      <c r="M116" s="45"/>
      <c r="N116" s="44"/>
      <c r="O116" s="44"/>
      <c r="P116" s="44"/>
      <c r="Q116" s="44"/>
      <c r="R116" s="44"/>
      <c r="S116" s="44"/>
      <c r="T116" s="44"/>
      <c r="U116" s="44"/>
      <c r="V116" s="44"/>
      <c r="W116" s="44"/>
      <c r="X116" s="44"/>
    </row>
    <row r="117" ht="22" customHeight="1">
      <c r="A117" s="4" t="str">
        <v>Interest cost</v>
      </c>
      <c r="B117" s="2"/>
      <c r="C117" s="44" t="n">
        <v>41</v>
      </c>
      <c r="D117" s="44" t="n">
        <v>36</v>
      </c>
      <c r="E117" s="44" t="n">
        <v>34</v>
      </c>
      <c r="F117" s="44" t="n">
        <v>36</v>
      </c>
      <c r="G117" s="44" t="n">
        <v>25</v>
      </c>
      <c r="H117" s="44" t="n">
        <v>15</v>
      </c>
      <c r="I117" s="44" t="n">
        <v>19</v>
      </c>
      <c r="J117" s="44" t="n">
        <v>36</v>
      </c>
      <c r="K117" s="44" t="n">
        <v>32</v>
      </c>
      <c r="L117" s="44" t="n">
        <v>30</v>
      </c>
      <c r="M117" s="45"/>
      <c r="N117" s="44"/>
      <c r="O117" s="44"/>
      <c r="P117" s="44"/>
      <c r="Q117" s="44"/>
      <c r="R117" s="44"/>
      <c r="S117" s="44"/>
      <c r="T117" s="44"/>
      <c r="U117" s="44"/>
      <c r="V117" s="44"/>
      <c r="W117" s="44"/>
      <c r="X117" s="44"/>
    </row>
    <row r="118" ht="22" customHeight="1">
      <c r="A118" s="4" t="str">
        <v>Plan amendments</v>
      </c>
      <c r="B118" s="2"/>
      <c r="C118" s="44" t="n">
        <v>-15</v>
      </c>
      <c r="D118" s="44" t="n">
        <v>-5</v>
      </c>
      <c r="E118" s="44" t="n">
        <v>0</v>
      </c>
      <c r="F118" s="44" t="n">
        <v>0</v>
      </c>
      <c r="G118" s="44" t="n">
        <v>-25</v>
      </c>
      <c r="H118" s="44" t="n">
        <v>0</v>
      </c>
      <c r="I118" s="44" t="n">
        <v>0</v>
      </c>
      <c r="J118" s="44" t="n">
        <v>0</v>
      </c>
      <c r="K118" s="44" t="n">
        <v>0</v>
      </c>
      <c r="L118" s="44" t="n">
        <v>0</v>
      </c>
      <c r="M118" s="45"/>
      <c r="N118" s="44"/>
      <c r="O118" s="44"/>
      <c r="P118" s="44"/>
      <c r="Q118" s="44"/>
      <c r="R118" s="44"/>
      <c r="S118" s="44"/>
      <c r="T118" s="44"/>
      <c r="U118" s="44"/>
      <c r="V118" s="44"/>
      <c r="W118" s="44"/>
      <c r="X118" s="44"/>
    </row>
    <row r="119" ht="22" customHeight="1">
      <c r="A119" s="4" t="str">
        <v>Participant contributions</v>
      </c>
      <c r="B119" s="2"/>
      <c r="C119" s="44" t="n">
        <v>0</v>
      </c>
      <c r="D119" s="44" t="n">
        <v>0</v>
      </c>
      <c r="E119" s="44" t="n">
        <v>0</v>
      </c>
      <c r="F119" s="44" t="n">
        <v>0</v>
      </c>
      <c r="G119" s="44" t="n">
        <v>0</v>
      </c>
      <c r="H119" s="44" t="n">
        <v>0</v>
      </c>
      <c r="I119" s="44" t="n">
        <v>0</v>
      </c>
      <c r="J119" s="44" t="n">
        <v>0</v>
      </c>
      <c r="K119" s="44" t="n">
        <v>0</v>
      </c>
      <c r="L119" s="44" t="n">
        <v>0</v>
      </c>
      <c r="M119" s="45"/>
      <c r="N119" s="44"/>
      <c r="O119" s="44"/>
      <c r="P119" s="44"/>
      <c r="Q119" s="44"/>
      <c r="R119" s="44"/>
      <c r="S119" s="44"/>
      <c r="T119" s="44"/>
      <c r="U119" s="44"/>
      <c r="V119" s="44"/>
      <c r="W119" s="44"/>
      <c r="X119" s="44"/>
    </row>
    <row r="120" ht="22" customHeight="1">
      <c r="A120" s="4" t="str">
        <v>Experience loss/(gain)</v>
      </c>
      <c r="B120" s="2"/>
      <c r="C120" s="44" t="n">
        <v>-51</v>
      </c>
      <c r="D120" s="44" t="n">
        <v>21</v>
      </c>
      <c r="E120" s="44" t="n">
        <v>-147</v>
      </c>
      <c r="F120" s="44" t="n">
        <v>36</v>
      </c>
      <c r="G120" s="44" t="n">
        <v>81</v>
      </c>
      <c r="H120" s="44" t="n">
        <v>-17</v>
      </c>
      <c r="I120" s="44" t="n">
        <v>-198</v>
      </c>
      <c r="J120" s="44" t="n">
        <v>-22</v>
      </c>
      <c r="K120" s="44" t="n">
        <v>-44</v>
      </c>
      <c r="L120" s="44" t="n">
        <v>18</v>
      </c>
      <c r="M120" s="45"/>
      <c r="N120" s="44"/>
      <c r="O120" s="44"/>
      <c r="P120" s="44"/>
      <c r="Q120" s="44"/>
      <c r="R120" s="44"/>
      <c r="S120" s="44"/>
      <c r="T120" s="44"/>
      <c r="U120" s="44"/>
      <c r="V120" s="44"/>
      <c r="W120" s="44"/>
      <c r="X120" s="44"/>
    </row>
    <row r="121" ht="22" customHeight="1">
      <c r="A121" s="4" t="str">
        <v>Benefit payments</v>
      </c>
      <c r="B121" s="2"/>
      <c r="C121" s="44" t="n">
        <v>-100</v>
      </c>
      <c r="D121" s="44" t="n">
        <v>-107</v>
      </c>
      <c r="E121" s="44" t="n">
        <v>-108</v>
      </c>
      <c r="F121" s="44" t="n">
        <v>-105</v>
      </c>
      <c r="G121" s="44" t="n">
        <v>-89</v>
      </c>
      <c r="H121" s="44" t="n">
        <v>-83</v>
      </c>
      <c r="I121" s="44" t="n">
        <v>-81</v>
      </c>
      <c r="J121" s="44" t="n">
        <v>-80</v>
      </c>
      <c r="K121" s="44" t="n">
        <v>-78</v>
      </c>
      <c r="L121" s="44" t="n">
        <v>-74</v>
      </c>
      <c r="M121" s="45"/>
      <c r="N121" s="44"/>
      <c r="O121" s="44"/>
      <c r="P121" s="44"/>
      <c r="Q121" s="44"/>
      <c r="R121" s="44"/>
      <c r="S121" s="44"/>
      <c r="T121" s="44"/>
      <c r="U121" s="44"/>
      <c r="V121" s="44"/>
      <c r="W121" s="44"/>
      <c r="X121" s="44"/>
    </row>
    <row r="122" ht="22" customHeight="1">
      <c r="A122" s="4" t="str">
        <v>Settlement/curtailment</v>
      </c>
      <c r="B122" s="2"/>
      <c r="C122" s="44" t="n">
        <v>0</v>
      </c>
      <c r="D122" s="44" t="n">
        <v>0</v>
      </c>
      <c r="E122" s="44" t="n">
        <v>0</v>
      </c>
      <c r="F122" s="44" t="n">
        <v>0</v>
      </c>
      <c r="G122" s="44" t="n">
        <v>0</v>
      </c>
      <c r="H122" s="44" t="n">
        <v>0</v>
      </c>
      <c r="I122" s="44" t="n">
        <v>-14</v>
      </c>
      <c r="J122" s="44" t="n">
        <v>0</v>
      </c>
      <c r="K122" s="44" t="n">
        <v>0</v>
      </c>
      <c r="L122" s="44" t="n">
        <v>0</v>
      </c>
      <c r="M122" s="45"/>
      <c r="N122" s="44"/>
      <c r="O122" s="44"/>
      <c r="P122" s="44"/>
      <c r="Q122" s="44"/>
      <c r="R122" s="44"/>
      <c r="S122" s="44"/>
      <c r="T122" s="44"/>
      <c r="U122" s="44"/>
      <c r="V122" s="44"/>
      <c r="W122" s="44"/>
      <c r="X122" s="44"/>
    </row>
    <row r="123" ht="22" customHeight="1">
      <c r="A123" s="4" t="str">
        <v>Special termination benefits</v>
      </c>
      <c r="B123" s="2"/>
      <c r="C123" s="44" t="n">
        <v>1</v>
      </c>
      <c r="D123" s="44" t="n">
        <v>2</v>
      </c>
      <c r="E123" s="44" t="n">
        <v>1</v>
      </c>
      <c r="F123" s="44" t="n">
        <v>0</v>
      </c>
      <c r="G123" s="44" t="n">
        <v>0</v>
      </c>
      <c r="H123" s="44" t="n">
        <v>0</v>
      </c>
      <c r="I123" s="44" t="n">
        <v>0</v>
      </c>
      <c r="J123" s="44" t="n">
        <v>0</v>
      </c>
      <c r="K123" s="44" t="n">
        <v>1</v>
      </c>
      <c r="L123" s="44" t="n">
        <v>0</v>
      </c>
      <c r="M123" s="45"/>
      <c r="N123" s="44"/>
      <c r="O123" s="44"/>
      <c r="P123" s="44"/>
      <c r="Q123" s="44"/>
      <c r="R123" s="44"/>
      <c r="S123" s="44"/>
      <c r="T123" s="44"/>
      <c r="U123" s="44"/>
      <c r="V123" s="44"/>
      <c r="W123" s="44"/>
      <c r="X123" s="44"/>
    </row>
    <row r="124" ht="22" customHeight="1">
      <c r="A124" s="4" t="str">
        <v>Other, including foreign currency adjustment</v>
      </c>
      <c r="B124" s="2"/>
      <c r="C124" s="44" t="n">
        <v>1</v>
      </c>
      <c r="D124" s="44" t="n">
        <v>4</v>
      </c>
      <c r="E124" s="44" t="n">
        <v>-3</v>
      </c>
      <c r="F124" s="44" t="n">
        <v>2</v>
      </c>
      <c r="G124" s="44" t="n">
        <v>1</v>
      </c>
      <c r="H124" s="44" t="n">
        <v>0</v>
      </c>
      <c r="I124" s="44" t="n">
        <v>-3</v>
      </c>
      <c r="J124" s="44" t="n">
        <v>0</v>
      </c>
      <c r="K124" s="44" t="n">
        <v>-3</v>
      </c>
      <c r="L124" s="44" t="n">
        <v>2</v>
      </c>
      <c r="M124" s="45"/>
      <c r="N124" s="44"/>
      <c r="O124" s="44"/>
      <c r="P124" s="44"/>
      <c r="Q124" s="44"/>
      <c r="R124" s="44"/>
      <c r="S124" s="44"/>
      <c r="T124" s="44"/>
      <c r="U124" s="44"/>
      <c r="V124" s="44"/>
      <c r="W124" s="44"/>
      <c r="X124" s="44"/>
    </row>
    <row r="125" ht="24" customHeight="1">
      <c r="A125" s="51" t="str">
        <v>Benefit obligation, end of year</v>
      </c>
      <c r="B125" s="52"/>
      <c r="C125" s="53" t="n">
        <v>1208</v>
      </c>
      <c r="D125" s="53" t="n">
        <v>1187</v>
      </c>
      <c r="E125" s="53" t="n">
        <v>996</v>
      </c>
      <c r="F125" s="53" t="n">
        <v>988</v>
      </c>
      <c r="G125" s="53" t="n">
        <v>1006</v>
      </c>
      <c r="H125" s="53" t="n">
        <v>954</v>
      </c>
      <c r="I125" s="53" t="n">
        <v>714</v>
      </c>
      <c r="J125" s="53" t="n">
        <v>677</v>
      </c>
      <c r="K125" s="53" t="n">
        <v>616</v>
      </c>
      <c r="L125" s="53" t="n">
        <v>623</v>
      </c>
      <c r="M125" s="55"/>
      <c r="N125" s="53"/>
      <c r="O125" s="53"/>
      <c r="P125" s="53"/>
      <c r="Q125" s="53"/>
      <c r="R125" s="53"/>
      <c r="S125" s="53"/>
      <c r="T125" s="53"/>
      <c r="U125" s="53"/>
      <c r="V125" s="53"/>
      <c r="W125" s="53"/>
      <c r="X125" s="53"/>
    </row>
    <row r="126" ht="24" customHeight="1">
      <c r="A126" s="39" t="str">
        <v>Change in fair value of plan assets</v>
      </c>
      <c r="B126" s="40"/>
      <c r="C126" s="41"/>
      <c r="D126" s="41"/>
      <c r="E126" s="41"/>
      <c r="F126" s="41"/>
      <c r="G126" s="41"/>
      <c r="H126" s="41"/>
      <c r="I126" s="41"/>
      <c r="J126" s="41"/>
      <c r="K126" s="41"/>
      <c r="L126" s="41"/>
      <c r="M126" s="42"/>
      <c r="N126" s="41"/>
      <c r="O126" s="41"/>
      <c r="P126" s="41"/>
      <c r="Q126" s="41"/>
      <c r="R126" s="41"/>
      <c r="S126" s="41"/>
      <c r="T126" s="41"/>
      <c r="U126" s="41"/>
      <c r="V126" s="41"/>
      <c r="W126" s="41"/>
      <c r="X126" s="41"/>
    </row>
    <row r="127" ht="22" customHeight="1">
      <c r="A127" s="4" t="str">
        <v>Fair value at beginning of year</v>
      </c>
      <c r="B127" s="2"/>
      <c r="C127" s="44" t="n">
        <v>354</v>
      </c>
      <c r="D127" s="44" t="n">
        <v>320</v>
      </c>
      <c r="E127" s="44" t="n">
        <v>321</v>
      </c>
      <c r="F127" s="44" t="n">
        <v>285</v>
      </c>
      <c r="G127" s="44" t="n">
        <v>302</v>
      </c>
      <c r="H127" s="44" t="n">
        <v>315</v>
      </c>
      <c r="I127" s="44" t="n">
        <v>299</v>
      </c>
      <c r="J127" s="44" t="n">
        <v>196</v>
      </c>
      <c r="K127" s="44" t="n">
        <v>183</v>
      </c>
      <c r="L127" s="44" t="n">
        <v>163</v>
      </c>
      <c r="M127" s="45"/>
      <c r="N127" s="44"/>
      <c r="O127" s="44"/>
      <c r="P127" s="44"/>
      <c r="Q127" s="44"/>
      <c r="R127" s="44"/>
      <c r="S127" s="44"/>
      <c r="T127" s="44"/>
      <c r="U127" s="44"/>
      <c r="V127" s="44"/>
      <c r="W127" s="44"/>
      <c r="X127" s="44"/>
    </row>
    <row r="128" ht="22" customHeight="1">
      <c r="A128" s="4" t="str">
        <v>Actual return on plan assets</v>
      </c>
      <c r="B128" s="2"/>
      <c r="C128" s="44" t="n">
        <v>30</v>
      </c>
      <c r="D128" s="44" t="n">
        <v>52</v>
      </c>
      <c r="E128" s="44" t="n">
        <v>-21</v>
      </c>
      <c r="F128" s="44" t="n">
        <v>78</v>
      </c>
      <c r="G128" s="44" t="n">
        <v>47</v>
      </c>
      <c r="H128" s="44" t="n">
        <v>20</v>
      </c>
      <c r="I128" s="44" t="n">
        <v>-68</v>
      </c>
      <c r="J128" s="44" t="n">
        <v>21</v>
      </c>
      <c r="K128" s="44" t="n">
        <v>5</v>
      </c>
      <c r="L128" s="44" t="n">
        <v>15</v>
      </c>
      <c r="M128" s="45"/>
      <c r="N128" s="44"/>
      <c r="O128" s="44"/>
      <c r="P128" s="44"/>
      <c r="Q128" s="44"/>
      <c r="R128" s="44"/>
      <c r="S128" s="44"/>
      <c r="T128" s="44"/>
      <c r="U128" s="44"/>
      <c r="V128" s="44"/>
      <c r="W128" s="44"/>
      <c r="X128" s="44"/>
    </row>
    <row r="129" ht="22" customHeight="1">
      <c r="A129" s="4" t="str">
        <v>Employer contributions/funding</v>
      </c>
      <c r="B129" s="2"/>
      <c r="C129" s="44" t="n">
        <v>36</v>
      </c>
      <c r="D129" s="44" t="n">
        <v>56</v>
      </c>
      <c r="E129" s="44" t="n">
        <v>93</v>
      </c>
      <c r="F129" s="44" t="n">
        <v>44</v>
      </c>
      <c r="G129" s="44" t="n">
        <v>55</v>
      </c>
      <c r="H129" s="44" t="n">
        <v>47</v>
      </c>
      <c r="I129" s="44" t="n">
        <v>48</v>
      </c>
      <c r="J129" s="44" t="n">
        <v>46</v>
      </c>
      <c r="K129" s="44" t="n">
        <v>53</v>
      </c>
      <c r="L129" s="44" t="n">
        <v>51</v>
      </c>
      <c r="M129" s="45"/>
      <c r="N129" s="44"/>
      <c r="O129" s="44"/>
      <c r="P129" s="44"/>
      <c r="Q129" s="44"/>
      <c r="R129" s="44"/>
      <c r="S129" s="44"/>
      <c r="T129" s="44"/>
      <c r="U129" s="44"/>
      <c r="V129" s="44"/>
      <c r="W129" s="44"/>
      <c r="X129" s="44"/>
    </row>
    <row r="130" ht="22" customHeight="1">
      <c r="A130" s="4" t="str">
        <v>Participant contributions</v>
      </c>
      <c r="B130" s="2"/>
      <c r="C130" s="44" t="n">
        <v>0</v>
      </c>
      <c r="D130" s="44" t="n">
        <v>0</v>
      </c>
      <c r="E130" s="44" t="n">
        <v>0</v>
      </c>
      <c r="F130" s="44" t="n">
        <v>0</v>
      </c>
      <c r="G130" s="44" t="n">
        <v>0</v>
      </c>
      <c r="H130" s="44" t="n">
        <v>0</v>
      </c>
      <c r="I130" s="44" t="n">
        <v>0</v>
      </c>
      <c r="J130" s="44" t="n">
        <v>0</v>
      </c>
      <c r="K130" s="44" t="n">
        <v>0</v>
      </c>
      <c r="L130" s="44" t="n">
        <v>0</v>
      </c>
      <c r="M130" s="45"/>
      <c r="N130" s="44"/>
      <c r="O130" s="44"/>
      <c r="P130" s="44"/>
      <c r="Q130" s="44"/>
      <c r="R130" s="44"/>
      <c r="S130" s="44"/>
      <c r="T130" s="44"/>
      <c r="U130" s="44"/>
      <c r="V130" s="44"/>
      <c r="W130" s="44"/>
      <c r="X130" s="44"/>
    </row>
    <row r="131" ht="22" customHeight="1">
      <c r="A131" s="4" t="str">
        <v>Benefit payments</v>
      </c>
      <c r="B131" s="2"/>
      <c r="C131" s="44" t="n">
        <v>-100</v>
      </c>
      <c r="D131" s="44" t="n">
        <v>-107</v>
      </c>
      <c r="E131" s="44" t="n">
        <v>-108</v>
      </c>
      <c r="F131" s="44" t="n">
        <v>-105</v>
      </c>
      <c r="G131" s="44" t="n">
        <v>-89</v>
      </c>
      <c r="H131" s="44" t="n">
        <v>-83</v>
      </c>
      <c r="I131" s="44" t="n">
        <v>-81</v>
      </c>
      <c r="J131" s="44" t="n">
        <v>-80</v>
      </c>
      <c r="K131" s="44" t="n">
        <v>-78</v>
      </c>
      <c r="L131" s="44" t="n">
        <v>-74</v>
      </c>
      <c r="M131" s="45"/>
      <c r="N131" s="44"/>
      <c r="O131" s="44"/>
      <c r="P131" s="44"/>
      <c r="Q131" s="44"/>
      <c r="R131" s="44"/>
      <c r="S131" s="44"/>
      <c r="T131" s="44"/>
      <c r="U131" s="44"/>
      <c r="V131" s="44"/>
      <c r="W131" s="44"/>
      <c r="X131" s="44"/>
    </row>
    <row r="132" ht="22" customHeight="1">
      <c r="A132" s="4" t="str">
        <v>Settlement</v>
      </c>
      <c r="B132" s="2"/>
      <c r="C132" s="44" t="n">
        <v>0</v>
      </c>
      <c r="D132" s="44" t="n">
        <v>0</v>
      </c>
      <c r="E132" s="44" t="n">
        <v>0</v>
      </c>
      <c r="F132" s="44" t="n">
        <v>0</v>
      </c>
      <c r="G132" s="44" t="n">
        <v>0</v>
      </c>
      <c r="H132" s="44" t="n">
        <v>0</v>
      </c>
      <c r="I132" s="44" t="n">
        <v>0</v>
      </c>
      <c r="J132" s="44" t="n">
        <v>0</v>
      </c>
      <c r="K132" s="44" t="n">
        <v>0</v>
      </c>
      <c r="L132" s="44" t="n">
        <v>0</v>
      </c>
      <c r="M132" s="45"/>
      <c r="N132" s="44"/>
      <c r="O132" s="44"/>
      <c r="P132" s="44"/>
      <c r="Q132" s="44"/>
      <c r="R132" s="44"/>
      <c r="S132" s="44"/>
      <c r="T132" s="44"/>
      <c r="U132" s="44"/>
      <c r="V132" s="44"/>
      <c r="W132" s="44"/>
      <c r="X132" s="44"/>
    </row>
    <row r="133" ht="22" customHeight="1">
      <c r="A133" s="4" t="str">
        <v>Other, including foreign currency adjustment</v>
      </c>
      <c r="B133" s="2"/>
      <c r="C133" s="44" t="n">
        <v>0</v>
      </c>
      <c r="D133" s="44" t="n">
        <v>0</v>
      </c>
      <c r="E133" s="44" t="n">
        <v>0</v>
      </c>
      <c r="F133" s="44" t="n">
        <v>0</v>
      </c>
      <c r="G133" s="44" t="n">
        <v>0</v>
      </c>
      <c r="H133" s="44" t="n">
        <v>0</v>
      </c>
      <c r="I133" s="44" t="n">
        <v>-2</v>
      </c>
      <c r="J133" s="44" t="n">
        <v>0</v>
      </c>
      <c r="K133" s="44" t="n">
        <v>0</v>
      </c>
      <c r="L133" s="44" t="n">
        <v>0</v>
      </c>
      <c r="M133" s="45"/>
      <c r="N133" s="44"/>
      <c r="O133" s="44"/>
      <c r="P133" s="44"/>
      <c r="Q133" s="44"/>
      <c r="R133" s="44"/>
      <c r="S133" s="44"/>
      <c r="T133" s="44"/>
      <c r="U133" s="44"/>
      <c r="V133" s="44"/>
      <c r="W133" s="44"/>
      <c r="X133" s="44"/>
    </row>
    <row r="134" ht="24" customHeight="1">
      <c r="A134" s="51" t="str">
        <v>Fair value at end of year</v>
      </c>
      <c r="B134" s="52"/>
      <c r="C134" s="53" t="n">
        <v>320</v>
      </c>
      <c r="D134" s="53" t="n">
        <v>321</v>
      </c>
      <c r="E134" s="53" t="n">
        <v>285</v>
      </c>
      <c r="F134" s="53" t="n">
        <v>302</v>
      </c>
      <c r="G134" s="53" t="n">
        <v>315</v>
      </c>
      <c r="H134" s="53" t="n">
        <v>299</v>
      </c>
      <c r="I134" s="53" t="n">
        <v>196</v>
      </c>
      <c r="J134" s="53" t="n">
        <v>183</v>
      </c>
      <c r="K134" s="53" t="n">
        <v>163</v>
      </c>
      <c r="L134" s="53" t="n">
        <v>155</v>
      </c>
      <c r="M134" s="55"/>
      <c r="N134" s="53"/>
      <c r="O134" s="53"/>
      <c r="P134" s="53"/>
      <c r="Q134" s="53"/>
      <c r="R134" s="53"/>
      <c r="S134" s="53"/>
      <c r="T134" s="53"/>
      <c r="U134" s="53"/>
      <c r="V134" s="53"/>
      <c r="W134" s="53"/>
      <c r="X134" s="53"/>
    </row>
    <row r="135" ht="24" customHeight="1">
      <c r="A135" s="51" t="str">
        <v>Funded status</v>
      </c>
      <c r="B135" s="52"/>
      <c r="C135" s="53" t="n">
        <v>-888</v>
      </c>
      <c r="D135" s="53" t="n">
        <v>-866</v>
      </c>
      <c r="E135" s="53" t="n">
        <v>-711</v>
      </c>
      <c r="F135" s="53" t="n">
        <v>-686</v>
      </c>
      <c r="G135" s="53" t="n">
        <v>-691</v>
      </c>
      <c r="H135" s="53" t="n">
        <v>-655</v>
      </c>
      <c r="I135" s="53" t="n">
        <v>-518</v>
      </c>
      <c r="J135" s="53" t="n">
        <v>-494</v>
      </c>
      <c r="K135" s="53" t="n">
        <v>-453</v>
      </c>
      <c r="L135" s="53" t="n">
        <v>-468</v>
      </c>
      <c r="M135" s="55"/>
      <c r="N135" s="53"/>
      <c r="O135" s="53"/>
      <c r="P135" s="53"/>
      <c r="Q135" s="53"/>
      <c r="R135" s="53"/>
      <c r="S135" s="53"/>
      <c r="T135" s="53"/>
      <c r="U135" s="53"/>
      <c r="V135" s="53"/>
      <c r="W135" s="53"/>
      <c r="X135" s="53"/>
    </row>
    <row r="136" ht="24" customHeight="1">
      <c r="A136" s="39" t="str">
        <v>Amounts recognized on the balance sheet</v>
      </c>
      <c r="B136" s="40"/>
      <c r="C136" s="41"/>
      <c r="D136" s="41"/>
      <c r="E136" s="41"/>
      <c r="F136" s="41"/>
      <c r="G136" s="41"/>
      <c r="H136" s="41"/>
      <c r="I136" s="41"/>
      <c r="J136" s="41"/>
      <c r="K136" s="41"/>
      <c r="L136" s="41"/>
      <c r="M136" s="42"/>
      <c r="N136" s="41"/>
      <c r="O136" s="41"/>
      <c r="P136" s="41"/>
      <c r="Q136" s="41"/>
      <c r="R136" s="41"/>
      <c r="S136" s="41"/>
      <c r="T136" s="41"/>
      <c r="U136" s="41"/>
      <c r="V136" s="41"/>
      <c r="W136" s="41"/>
      <c r="X136" s="41"/>
    </row>
    <row r="137" ht="22" customHeight="1">
      <c r="A137" s="4" t="str">
        <v>Other assets</v>
      </c>
      <c r="B137" s="2"/>
      <c r="C137" s="44" t="n">
        <v>0</v>
      </c>
      <c r="D137" s="44" t="n">
        <v>0</v>
      </c>
      <c r="E137" s="44" t="n">
        <v>0</v>
      </c>
      <c r="F137" s="44" t="n">
        <v>0</v>
      </c>
      <c r="G137" s="44" t="n">
        <v>0</v>
      </c>
      <c r="H137" s="44" t="n">
        <v>0</v>
      </c>
      <c r="I137" s="44" t="n">
        <v>0</v>
      </c>
      <c r="J137" s="44" t="n">
        <v>0</v>
      </c>
      <c r="K137" s="44" t="n">
        <v>0</v>
      </c>
      <c r="L137" s="44" t="n">
        <v>0</v>
      </c>
      <c r="M137" s="45"/>
      <c r="N137" s="44"/>
      <c r="O137" s="44"/>
      <c r="P137" s="44"/>
      <c r="Q137" s="44"/>
      <c r="R137" s="44"/>
      <c r="S137" s="44"/>
      <c r="T137" s="44"/>
      <c r="U137" s="44"/>
      <c r="V137" s="44"/>
      <c r="W137" s="44"/>
      <c r="X137" s="44"/>
    </row>
    <row r="138" ht="22" customHeight="1">
      <c r="A138" s="4" t="str">
        <v>Other current liabilities</v>
      </c>
      <c r="B138" s="2"/>
      <c r="C138" s="44" t="n">
        <v>-54</v>
      </c>
      <c r="D138" s="44" t="n">
        <v>-75</v>
      </c>
      <c r="E138" s="44" t="n">
        <v>-41</v>
      </c>
      <c r="F138" s="44" t="n">
        <v>-58</v>
      </c>
      <c r="G138" s="44" t="n">
        <v>-51</v>
      </c>
      <c r="H138" s="44" t="n">
        <v>-57</v>
      </c>
      <c r="I138" s="44" t="n">
        <v>-54</v>
      </c>
      <c r="J138" s="44" t="n">
        <v>-52</v>
      </c>
      <c r="K138" s="44" t="n">
        <v>-52</v>
      </c>
      <c r="L138" s="44" t="n">
        <v>-55</v>
      </c>
      <c r="M138" s="45"/>
      <c r="N138" s="44"/>
      <c r="O138" s="44"/>
      <c r="P138" s="44"/>
      <c r="Q138" s="44"/>
      <c r="R138" s="44"/>
      <c r="S138" s="44"/>
      <c r="T138" s="44"/>
      <c r="U138" s="44"/>
      <c r="V138" s="44"/>
      <c r="W138" s="44"/>
      <c r="X138" s="44"/>
    </row>
    <row r="139" ht="22" customHeight="1">
      <c r="A139" s="4" t="str">
        <v>Other liabilities</v>
      </c>
      <c r="B139" s="2"/>
      <c r="C139" s="44" t="n">
        <v>-834</v>
      </c>
      <c r="D139" s="44" t="n">
        <v>-791</v>
      </c>
      <c r="E139" s="44" t="n">
        <v>-670</v>
      </c>
      <c r="F139" s="44" t="n">
        <v>-628</v>
      </c>
      <c r="G139" s="44" t="n">
        <v>-640</v>
      </c>
      <c r="H139" s="44" t="n">
        <v>-598</v>
      </c>
      <c r="I139" s="44" t="n">
        <v>-464</v>
      </c>
      <c r="J139" s="44" t="n">
        <v>-442</v>
      </c>
      <c r="K139" s="44" t="n">
        <v>-401</v>
      </c>
      <c r="L139" s="44" t="n">
        <v>-413</v>
      </c>
      <c r="M139" s="45"/>
      <c r="N139" s="44"/>
      <c r="O139" s="44"/>
      <c r="P139" s="44"/>
      <c r="Q139" s="44"/>
      <c r="R139" s="44"/>
      <c r="S139" s="44"/>
      <c r="T139" s="44"/>
      <c r="U139" s="44"/>
      <c r="V139" s="44"/>
      <c r="W139" s="44"/>
      <c r="X139" s="44"/>
    </row>
    <row r="140" ht="24" customHeight="1">
      <c r="A140" s="51" t="str">
        <v>Net amount recognized</v>
      </c>
      <c r="B140" s="52"/>
      <c r="C140" s="53" t="n">
        <v>-888</v>
      </c>
      <c r="D140" s="53" t="n">
        <v>-866</v>
      </c>
      <c r="E140" s="53" t="n">
        <v>-711</v>
      </c>
      <c r="F140" s="53" t="n">
        <v>-686</v>
      </c>
      <c r="G140" s="53" t="n">
        <v>-691</v>
      </c>
      <c r="H140" s="53" t="n">
        <v>-655</v>
      </c>
      <c r="I140" s="53" t="n">
        <v>-518</v>
      </c>
      <c r="J140" s="53" t="n">
        <v>-494</v>
      </c>
      <c r="K140" s="53" t="n">
        <v>-453</v>
      </c>
      <c r="L140" s="53" t="n">
        <v>-468</v>
      </c>
      <c r="M140" s="55"/>
      <c r="N140" s="53"/>
      <c r="O140" s="53"/>
      <c r="P140" s="53"/>
      <c r="Q140" s="53"/>
      <c r="R140" s="53"/>
      <c r="S140" s="53"/>
      <c r="T140" s="53"/>
      <c r="U140" s="53"/>
      <c r="V140" s="53"/>
      <c r="W140" s="53"/>
      <c r="X140" s="53"/>
    </row>
    <row r="141" ht="24" customHeight="1">
      <c r="A141" s="39" t="str">
        <v>Benefit expense/(income)</v>
      </c>
      <c r="B141" s="40"/>
      <c r="C141" s="41"/>
      <c r="D141" s="41"/>
      <c r="E141" s="41"/>
      <c r="F141" s="41"/>
      <c r="G141" s="41"/>
      <c r="H141" s="41"/>
      <c r="I141" s="41"/>
      <c r="J141" s="41"/>
      <c r="K141" s="41"/>
      <c r="L141" s="41"/>
      <c r="M141" s="42"/>
      <c r="N141" s="41"/>
      <c r="O141" s="41"/>
      <c r="P141" s="41"/>
      <c r="Q141" s="41"/>
      <c r="R141" s="41"/>
      <c r="S141" s="41"/>
      <c r="T141" s="41"/>
      <c r="U141" s="41"/>
      <c r="V141" s="41"/>
      <c r="W141" s="41"/>
      <c r="X141" s="41"/>
    </row>
    <row r="142" ht="22" customHeight="1">
      <c r="A142" s="4" t="str">
        <v>Service cost</v>
      </c>
      <c r="B142" s="2"/>
      <c r="C142" s="43" t="n">
        <f>IF(COUNT('Pension &amp; Retiree Medical'!C116)=1,'Pension &amp; Retiree Medical'!C116,"")</f>
        <v>31</v>
      </c>
      <c r="D142" s="43" t="n">
        <f>IF(COUNT('Pension &amp; Retiree Medical'!D116)=1,'Pension &amp; Retiree Medical'!D116,"")</f>
        <v>28</v>
      </c>
      <c r="E142" s="43" t="n">
        <f>IF(COUNT('Pension &amp; Retiree Medical'!E116)=1,'Pension &amp; Retiree Medical'!E116,"")</f>
        <v>32</v>
      </c>
      <c r="F142" s="43" t="n">
        <f>IF(COUNT('Pension &amp; Retiree Medical'!F116)=1,'Pension &amp; Retiree Medical'!F116,"")</f>
        <v>23</v>
      </c>
      <c r="G142" s="43" t="n">
        <f>IF(COUNT('Pension &amp; Retiree Medical'!G116)=1,'Pension &amp; Retiree Medical'!G116,"")</f>
        <v>25</v>
      </c>
      <c r="H142" s="43" t="n">
        <f>IF(COUNT('Pension &amp; Retiree Medical'!H116)=1,'Pension &amp; Retiree Medical'!H116,"")</f>
        <v>33</v>
      </c>
      <c r="I142" s="43" t="n">
        <f>IF(COUNT('Pension &amp; Retiree Medical'!I116)=1,'Pension &amp; Retiree Medical'!I116,"")</f>
        <v>37</v>
      </c>
      <c r="J142" s="43" t="n">
        <f>IF(COUNT('Pension &amp; Retiree Medical'!J116)=1,'Pension &amp; Retiree Medical'!J116,"")</f>
        <v>29</v>
      </c>
      <c r="K142" s="43" t="n">
        <f>IF(COUNT('Pension &amp; Retiree Medical'!K116)=1,'Pension &amp; Retiree Medical'!K116,"")</f>
        <v>31</v>
      </c>
      <c r="L142" s="43" t="n">
        <f>IF(COUNT('Pension &amp; Retiree Medical'!L116)=1,'Pension &amp; Retiree Medical'!L116,"")</f>
        <v>31</v>
      </c>
      <c r="M142" s="45"/>
      <c r="N142" s="44" t="n">
        <v>7</v>
      </c>
      <c r="O142" s="44" t="n">
        <v>8</v>
      </c>
      <c r="P142" s="44" t="n">
        <v>7</v>
      </c>
      <c r="Q142" s="43" t="str">
        <f>IF(COUNT('Pension &amp; Retiree Medical'!Q116)=1,'Pension &amp; Retiree Medical'!Q116,"")</f>
      </c>
      <c r="R142" s="44" t="n">
        <v>7</v>
      </c>
      <c r="S142" s="44" t="n">
        <v>7</v>
      </c>
      <c r="T142" s="44" t="n">
        <v>8</v>
      </c>
      <c r="U142" s="43" t="str">
        <f>IF(COUNT('Pension &amp; Retiree Medical'!U116)=1,'Pension &amp; Retiree Medical'!U116,"")</f>
      </c>
      <c r="V142" s="44" t="n">
        <v>8</v>
      </c>
      <c r="W142" s="44" t="n">
        <v>9</v>
      </c>
      <c r="X142" s="44" t="n">
        <v>8</v>
      </c>
    </row>
    <row r="143" ht="22" customHeight="1">
      <c r="A143" s="4" t="str">
        <v>Expected return on plan assets</v>
      </c>
      <c r="B143" s="2"/>
      <c r="C143" s="44" t="n">
        <v>-24</v>
      </c>
      <c r="D143" s="44" t="n">
        <v>-22</v>
      </c>
      <c r="E143" s="44" t="n">
        <v>-19</v>
      </c>
      <c r="F143" s="44" t="n">
        <v>-18</v>
      </c>
      <c r="G143" s="44" t="n">
        <v>-16</v>
      </c>
      <c r="H143" s="44" t="n">
        <v>-15</v>
      </c>
      <c r="I143" s="44" t="n">
        <v>-16</v>
      </c>
      <c r="J143" s="44" t="n">
        <v>-13</v>
      </c>
      <c r="K143" s="44" t="n">
        <v>-13</v>
      </c>
      <c r="L143" s="44" t="n">
        <v>-11</v>
      </c>
      <c r="M143" s="45"/>
      <c r="N143" s="44" t="n">
        <v>-3</v>
      </c>
      <c r="O143" s="44" t="n">
        <v>-3</v>
      </c>
      <c r="P143" s="44" t="n">
        <v>-3</v>
      </c>
      <c r="Q143" s="44"/>
      <c r="R143" s="44" t="n">
        <v>-2</v>
      </c>
      <c r="S143" s="44" t="n">
        <v>-3</v>
      </c>
      <c r="T143" s="44" t="n">
        <v>-3</v>
      </c>
      <c r="U143" s="44"/>
      <c r="V143" s="44" t="n">
        <v>-2</v>
      </c>
      <c r="W143" s="44" t="n">
        <v>-2</v>
      </c>
      <c r="X143" s="44" t="n">
        <v>-4</v>
      </c>
    </row>
    <row r="144" ht="22" customHeight="1">
      <c r="A144" s="4" t="str">
        <v>Amortization of prior service cost/(credits)</v>
      </c>
      <c r="B144" s="2"/>
      <c r="C144" s="44" t="n">
        <v>-38</v>
      </c>
      <c r="D144" s="44" t="n">
        <v>-25</v>
      </c>
      <c r="E144" s="44" t="n">
        <v>-20</v>
      </c>
      <c r="F144" s="44" t="n">
        <v>-19</v>
      </c>
      <c r="G144" s="44" t="n">
        <v>-12</v>
      </c>
      <c r="H144" s="44" t="n">
        <v>-11</v>
      </c>
      <c r="I144" s="44" t="n">
        <v>-8</v>
      </c>
      <c r="J144" s="44" t="n">
        <v>-6</v>
      </c>
      <c r="K144" s="44" t="n">
        <v>-5</v>
      </c>
      <c r="L144" s="44" t="n">
        <v>-5</v>
      </c>
      <c r="M144" s="45"/>
      <c r="N144" s="44" t="n">
        <v>-1</v>
      </c>
      <c r="O144" s="44" t="n">
        <v>-1</v>
      </c>
      <c r="P144" s="44" t="n">
        <v>-1</v>
      </c>
      <c r="Q144" s="44"/>
      <c r="R144" s="44" t="n">
        <v>-1</v>
      </c>
      <c r="S144" s="44" t="n">
        <v>-1</v>
      </c>
      <c r="T144" s="44" t="n">
        <v>-1</v>
      </c>
      <c r="U144" s="44"/>
      <c r="V144" s="44" t="n">
        <v>-1</v>
      </c>
      <c r="W144" s="44" t="n">
        <v>-1</v>
      </c>
      <c r="X144" s="44" t="n">
        <v>-1</v>
      </c>
    </row>
    <row r="145" ht="22" customHeight="1">
      <c r="A145" s="4" t="str">
        <v>Amortization of net losses/(gains)</v>
      </c>
      <c r="B145" s="2"/>
      <c r="C145" s="44" t="n">
        <v>-1</v>
      </c>
      <c r="D145" s="44" t="n">
        <v>-12</v>
      </c>
      <c r="E145" s="44" t="n">
        <v>-8</v>
      </c>
      <c r="F145" s="44" t="n">
        <v>-27</v>
      </c>
      <c r="G145" s="44" t="n">
        <v>-23</v>
      </c>
      <c r="H145" s="44" t="n">
        <v>-14</v>
      </c>
      <c r="I145" s="44" t="n">
        <v>-14</v>
      </c>
      <c r="J145" s="44" t="n">
        <v>-27</v>
      </c>
      <c r="K145" s="44" t="n">
        <v>-25</v>
      </c>
      <c r="L145" s="44" t="n">
        <v>-25</v>
      </c>
      <c r="M145" s="45"/>
      <c r="N145" s="44" t="n">
        <v>-6</v>
      </c>
      <c r="O145" s="44" t="n">
        <v>-6</v>
      </c>
      <c r="P145" s="44" t="n">
        <v>-6</v>
      </c>
      <c r="Q145" s="44"/>
      <c r="R145" s="44" t="n">
        <v>-6</v>
      </c>
      <c r="S145" s="44" t="n">
        <v>-6</v>
      </c>
      <c r="T145" s="44" t="n">
        <v>-5</v>
      </c>
      <c r="U145" s="44"/>
      <c r="V145" s="44" t="n">
        <v>-5</v>
      </c>
      <c r="W145" s="44" t="n">
        <v>-4</v>
      </c>
      <c r="X145" s="44" t="n">
        <v>-5</v>
      </c>
    </row>
    <row r="146" ht="22" customHeight="1">
      <c r="A146" s="4" t="str">
        <v>Settlement/curtailment losses/(gains)</v>
      </c>
      <c r="B146" s="2"/>
      <c r="C146" s="44" t="n">
        <v>-14</v>
      </c>
      <c r="D146" s="44" t="n">
        <v>0</v>
      </c>
      <c r="E146" s="44" t="n">
        <v>0</v>
      </c>
      <c r="F146" s="44" t="n">
        <v>0</v>
      </c>
      <c r="G146" s="44" t="n">
        <v>0</v>
      </c>
      <c r="H146" s="44" t="n">
        <v>0</v>
      </c>
      <c r="I146" s="44" t="n">
        <v>-16</v>
      </c>
      <c r="J146" s="44" t="n">
        <v>0</v>
      </c>
      <c r="K146" s="44" t="n">
        <v>0</v>
      </c>
      <c r="L146" s="44" t="n">
        <v>0</v>
      </c>
      <c r="M146" s="45"/>
      <c r="N146" s="44"/>
      <c r="O146" s="44" t="n">
        <v>0</v>
      </c>
      <c r="P146" s="44" t="n">
        <v>0</v>
      </c>
      <c r="Q146" s="44"/>
      <c r="R146" s="44"/>
      <c r="S146" s="44" t="n">
        <v>0</v>
      </c>
      <c r="T146" s="44" t="n">
        <v>0</v>
      </c>
      <c r="U146" s="44"/>
      <c r="V146" s="44"/>
      <c r="W146" s="44" t="n">
        <v>0</v>
      </c>
      <c r="X146" s="44" t="n">
        <v>0</v>
      </c>
    </row>
    <row r="147" ht="22" customHeight="1">
      <c r="A147" s="4" t="str">
        <v>Total benefit expense/(income), including service cost</v>
      </c>
      <c r="B147" s="2"/>
      <c r="C147" s="44" t="n">
        <v>-4</v>
      </c>
      <c r="D147" s="44" t="n">
        <v>7</v>
      </c>
      <c r="E147" s="44" t="n">
        <v>20</v>
      </c>
      <c r="F147" s="44" t="n">
        <v>-5</v>
      </c>
      <c r="G147" s="44" t="n">
        <v>-1</v>
      </c>
      <c r="H147" s="44" t="n">
        <v>8</v>
      </c>
      <c r="I147" s="44" t="n">
        <v>2</v>
      </c>
      <c r="J147" s="44" t="n">
        <v>19</v>
      </c>
      <c r="K147" s="44" t="n">
        <v>21</v>
      </c>
      <c r="L147" s="44" t="n">
        <v>20</v>
      </c>
      <c r="M147" s="45"/>
      <c r="N147" s="44" t="n">
        <v>4</v>
      </c>
      <c r="O147" s="44" t="n">
        <v>6</v>
      </c>
      <c r="P147" s="44" t="n">
        <v>6</v>
      </c>
      <c r="Q147" s="44"/>
      <c r="R147" s="44" t="n">
        <v>5</v>
      </c>
      <c r="S147" s="44" t="n">
        <v>4</v>
      </c>
      <c r="T147" s="44" t="n">
        <v>5</v>
      </c>
      <c r="U147" s="44"/>
      <c r="V147" s="44" t="n">
        <v>6</v>
      </c>
      <c r="W147" s="44" t="n">
        <v>8</v>
      </c>
      <c r="X147" s="44" t="n">
        <v>5</v>
      </c>
    </row>
    <row r="148" ht="22" customHeight="1">
      <c r="A148" s="4" t="str">
        <v>Interest cost</v>
      </c>
      <c r="B148" s="2"/>
      <c r="C148" s="43" t="n">
        <f>IF(COUNT('Pension &amp; Retiree Medical'!C117)=1,'Pension &amp; Retiree Medical'!C117,"")</f>
        <v>41</v>
      </c>
      <c r="D148" s="44" t="n">
        <v>36</v>
      </c>
      <c r="E148" s="44" t="n">
        <v>34</v>
      </c>
      <c r="F148" s="44" t="n">
        <v>36</v>
      </c>
      <c r="G148" s="44" t="n">
        <v>25</v>
      </c>
      <c r="H148" s="44" t="n">
        <v>15</v>
      </c>
      <c r="I148" s="44" t="n">
        <v>19</v>
      </c>
      <c r="J148" s="44" t="n">
        <v>36</v>
      </c>
      <c r="K148" s="44" t="n">
        <v>32</v>
      </c>
      <c r="L148" s="44" t="n">
        <v>30</v>
      </c>
      <c r="M148" s="45"/>
      <c r="N148" s="44" t="n">
        <v>7</v>
      </c>
      <c r="O148" s="44" t="n">
        <v>8</v>
      </c>
      <c r="P148" s="44" t="n">
        <v>7</v>
      </c>
      <c r="Q148" s="43" t="str">
        <f>IF(COUNT('Pension &amp; Retiree Medical'!Q117)=1,'Pension &amp; Retiree Medical'!Q117,"")</f>
      </c>
      <c r="R148" s="44" t="n">
        <v>7</v>
      </c>
      <c r="S148" s="44" t="n">
        <v>7</v>
      </c>
      <c r="T148" s="44" t="n">
        <v>6</v>
      </c>
      <c r="U148" s="43" t="str">
        <f>IF(COUNT('Pension &amp; Retiree Medical'!U117)=1,'Pension &amp; Retiree Medical'!U117,"")</f>
      </c>
      <c r="V148" s="44" t="n">
        <v>6</v>
      </c>
      <c r="W148" s="44" t="n">
        <v>6</v>
      </c>
      <c r="X148" s="44" t="n">
        <v>7</v>
      </c>
    </row>
    <row r="149" ht="22" customHeight="1">
      <c r="A149" s="4" t="str">
        <v>Special termination benefits</v>
      </c>
      <c r="B149" s="2"/>
      <c r="C149" s="43" t="n">
        <f>IF(COUNT('Pension &amp; Retiree Medical'!C123)=1,'Pension &amp; Retiree Medical'!C123,"")</f>
        <v>1</v>
      </c>
      <c r="D149" s="44" t="n">
        <v>2</v>
      </c>
      <c r="E149" s="44" t="n">
        <v>1</v>
      </c>
      <c r="F149" s="44" t="n">
        <v>0</v>
      </c>
      <c r="G149" s="44" t="n">
        <v>0</v>
      </c>
      <c r="H149" s="44" t="n">
        <v>0</v>
      </c>
      <c r="I149" s="44" t="n">
        <v>0</v>
      </c>
      <c r="J149" s="44" t="n">
        <v>0</v>
      </c>
      <c r="K149" s="44" t="n">
        <v>1</v>
      </c>
      <c r="L149" s="44" t="n">
        <v>0</v>
      </c>
      <c r="M149" s="45"/>
      <c r="N149" s="44" t="n">
        <v>0</v>
      </c>
      <c r="O149" s="44" t="n">
        <v>0</v>
      </c>
      <c r="P149" s="44" t="n">
        <v>2</v>
      </c>
      <c r="Q149" s="43" t="str">
        <f>IF(COUNT('Pension &amp; Retiree Medical'!Q123)=1,'Pension &amp; Retiree Medical'!Q123,"")</f>
      </c>
      <c r="R149" s="44" t="n">
        <v>0</v>
      </c>
      <c r="S149" s="44" t="n">
        <v>0</v>
      </c>
      <c r="T149" s="44" t="n">
        <v>0</v>
      </c>
      <c r="U149" s="43" t="str">
        <f>IF(COUNT('Pension &amp; Retiree Medical'!U123)=1,'Pension &amp; Retiree Medical'!U123,"")</f>
      </c>
      <c r="V149" s="44" t="n">
        <v>0</v>
      </c>
      <c r="W149" s="44" t="n">
        <v>0</v>
      </c>
      <c r="X149" s="44" t="n">
        <v>0</v>
      </c>
    </row>
    <row r="150" ht="36" customHeight="1">
      <c r="A150" s="4" t="str">
        <v>Total other pension and retiree medical benefits expense/(income)</v>
      </c>
      <c r="B150" s="2"/>
      <c r="C150" s="43" t="n">
        <f>IF(COUNT('Pension &amp; Retiree Medical'!C147,'Pension &amp; Retiree Medical'!C116)=2,'Pension &amp; Retiree Medical'!C147-'Pension &amp; Retiree Medical'!C116,"")</f>
        <v>-35</v>
      </c>
      <c r="D150" s="44" t="n">
        <v>-21</v>
      </c>
      <c r="E150" s="44" t="n">
        <v>-12</v>
      </c>
      <c r="F150" s="44" t="n">
        <v>-28</v>
      </c>
      <c r="G150" s="44" t="n">
        <v>-26</v>
      </c>
      <c r="H150" s="44" t="n">
        <v>-25</v>
      </c>
      <c r="I150" s="44" t="n">
        <v>-35</v>
      </c>
      <c r="J150" s="44" t="n">
        <v>-10</v>
      </c>
      <c r="K150" s="44" t="n">
        <v>-10</v>
      </c>
      <c r="L150" s="44" t="n">
        <v>-11</v>
      </c>
      <c r="M150" s="45"/>
      <c r="N150" s="44" t="n">
        <v>-3</v>
      </c>
      <c r="O150" s="44" t="n">
        <v>-2</v>
      </c>
      <c r="P150" s="44" t="n">
        <v>-1</v>
      </c>
      <c r="Q150" s="43" t="str">
        <f>IF(COUNT('Pension &amp; Retiree Medical'!Q147,'Pension &amp; Retiree Medical'!Q116)=2,'Pension &amp; Retiree Medical'!Q147-'Pension &amp; Retiree Medical'!Q116,"")</f>
      </c>
      <c r="R150" s="44" t="n">
        <v>-2</v>
      </c>
      <c r="S150" s="44" t="n">
        <v>-3</v>
      </c>
      <c r="T150" s="44" t="n">
        <v>-3</v>
      </c>
      <c r="U150" s="43" t="str">
        <f>IF(COUNT('Pension &amp; Retiree Medical'!U147,'Pension &amp; Retiree Medical'!U116)=2,'Pension &amp; Retiree Medical'!U147-'Pension &amp; Retiree Medical'!U116,"")</f>
      </c>
      <c r="V150" s="44" t="n">
        <v>-2</v>
      </c>
      <c r="W150" s="44" t="n">
        <v>-1</v>
      </c>
      <c r="X150" s="44" t="n">
        <v>-3</v>
      </c>
    </row>
    <row r="151" ht="24" customHeight="1">
      <c r="A151" s="39" t="str">
        <v>Actuarial assumptions</v>
      </c>
      <c r="B151" s="40"/>
      <c r="C151" s="41"/>
      <c r="D151" s="41"/>
      <c r="E151" s="41"/>
      <c r="F151" s="41"/>
      <c r="G151" s="41"/>
      <c r="H151" s="41"/>
      <c r="I151" s="41"/>
      <c r="J151" s="41"/>
      <c r="K151" s="41"/>
      <c r="L151" s="41"/>
      <c r="M151" s="42"/>
      <c r="N151" s="41"/>
      <c r="O151" s="41"/>
      <c r="P151" s="41"/>
      <c r="Q151" s="41"/>
      <c r="R151" s="41"/>
      <c r="S151" s="41"/>
      <c r="T151" s="41"/>
      <c r="U151" s="41"/>
      <c r="V151" s="41"/>
      <c r="W151" s="41"/>
      <c r="X151" s="41"/>
    </row>
    <row r="152" ht="20" customHeight="1">
      <c r="A152" s="56" t="str">
        <v>Benefit obligation discount rate</v>
      </c>
      <c r="B152" s="2"/>
      <c r="C152" s="58" t="n">
        <v>0.04</v>
      </c>
      <c r="D152" s="58" t="n">
        <v>0.035</v>
      </c>
      <c r="E152" s="58" t="n">
        <v>0.042</v>
      </c>
      <c r="F152" s="58" t="n">
        <v>0.031000000000000003</v>
      </c>
      <c r="G152" s="58" t="n">
        <v>0.023</v>
      </c>
      <c r="H152" s="58" t="n">
        <v>0.027000000000000003</v>
      </c>
      <c r="I152" s="58" t="n">
        <v>0.054000000000000006</v>
      </c>
      <c r="J152" s="58" t="n">
        <v>0.051</v>
      </c>
      <c r="K152" s="58" t="n">
        <v>0.055</v>
      </c>
      <c r="L152" s="58" t="n">
        <v>0.052000000000000005</v>
      </c>
      <c r="M152" s="60"/>
      <c r="N152" s="58"/>
      <c r="O152" s="58"/>
      <c r="P152" s="58"/>
      <c r="Q152" s="58"/>
      <c r="R152" s="58"/>
      <c r="S152" s="58"/>
      <c r="T152" s="58"/>
      <c r="U152" s="58"/>
      <c r="V152" s="58"/>
      <c r="W152" s="58"/>
      <c r="X152" s="58"/>
    </row>
    <row r="153" ht="20" customHeight="1">
      <c r="A153" s="56" t="str">
        <v>Service cost discount rate</v>
      </c>
      <c r="B153" s="2"/>
      <c r="C153" s="58" t="n">
        <v>0.043</v>
      </c>
      <c r="D153" s="58" t="n">
        <v>0.04</v>
      </c>
      <c r="E153" s="58" t="n">
        <v>0.036000000000000004</v>
      </c>
      <c r="F153" s="58" t="n">
        <v>0.043</v>
      </c>
      <c r="G153" s="58" t="n">
        <v>0.032</v>
      </c>
      <c r="H153" s="58" t="n">
        <v>0.023</v>
      </c>
      <c r="I153" s="58" t="n">
        <v>0.027999999999999997</v>
      </c>
      <c r="J153" s="58" t="n">
        <v>0.054000000000000006</v>
      </c>
      <c r="K153" s="58" t="n">
        <v>0.051</v>
      </c>
      <c r="L153" s="58" t="n">
        <v>0.055999999999999994</v>
      </c>
      <c r="M153" s="60"/>
      <c r="N153" s="58"/>
      <c r="O153" s="58"/>
      <c r="P153" s="58"/>
      <c r="Q153" s="58"/>
      <c r="R153" s="58"/>
      <c r="S153" s="58"/>
      <c r="T153" s="58"/>
      <c r="U153" s="58"/>
      <c r="V153" s="58"/>
      <c r="W153" s="58"/>
      <c r="X153" s="58"/>
    </row>
    <row r="154" ht="20" customHeight="1">
      <c r="A154" s="56" t="str">
        <v>Interest cost discount rate</v>
      </c>
      <c r="B154" s="2"/>
      <c r="C154" s="58" t="n">
        <v>0.033</v>
      </c>
      <c r="D154" s="58" t="n">
        <v>0.032</v>
      </c>
      <c r="E154" s="58" t="n">
        <v>0.03</v>
      </c>
      <c r="F154" s="58" t="n">
        <v>0.038</v>
      </c>
      <c r="G154" s="58" t="n">
        <v>0.026000000000000002</v>
      </c>
      <c r="H154" s="58" t="n">
        <v>0.016</v>
      </c>
      <c r="I154" s="58" t="n">
        <v>0.021</v>
      </c>
      <c r="J154" s="58" t="n">
        <v>0.053</v>
      </c>
      <c r="K154" s="58" t="n">
        <v>0.05</v>
      </c>
      <c r="L154" s="58" t="n">
        <v>0.052000000000000005</v>
      </c>
      <c r="M154" s="60"/>
      <c r="N154" s="58"/>
      <c r="O154" s="58"/>
      <c r="P154" s="58"/>
      <c r="Q154" s="58"/>
      <c r="R154" s="58"/>
      <c r="S154" s="58"/>
      <c r="T154" s="58"/>
      <c r="U154" s="58"/>
      <c r="V154" s="58"/>
      <c r="W154" s="58"/>
      <c r="X154" s="58"/>
    </row>
    <row r="155" ht="20" customHeight="1">
      <c r="A155" s="56" t="str">
        <v>Expected return on plan assets</v>
      </c>
      <c r="B155" s="2"/>
      <c r="C155" s="58" t="n">
        <v>0.075</v>
      </c>
      <c r="D155" s="58" t="n">
        <v>0.075</v>
      </c>
      <c r="E155" s="58" t="n">
        <v>0.065</v>
      </c>
      <c r="F155" s="58" t="n">
        <v>0.066</v>
      </c>
      <c r="G155" s="58" t="n">
        <v>0.057999999999999996</v>
      </c>
      <c r="H155" s="58" t="n">
        <v>0.054000000000000006</v>
      </c>
      <c r="I155" s="58" t="n">
        <v>0.057</v>
      </c>
      <c r="J155" s="58" t="n">
        <v>0.071</v>
      </c>
      <c r="K155" s="58" t="n">
        <v>0.071</v>
      </c>
      <c r="L155" s="58" t="n">
        <v>0.071</v>
      </c>
      <c r="M155" s="60"/>
      <c r="N155" s="58"/>
      <c r="O155" s="58"/>
      <c r="P155" s="58"/>
      <c r="Q155" s="58"/>
      <c r="R155" s="58"/>
      <c r="S155" s="58"/>
      <c r="T155" s="58"/>
      <c r="U155" s="58"/>
      <c r="V155" s="58"/>
      <c r="W155" s="58"/>
      <c r="X155" s="58"/>
    </row>
    <row r="156" ht="22" customHeight="1">
      <c r="A156" s="4" t="str">
        <v>Plan assets − benefit obligation − funded status</v>
      </c>
      <c r="B156" s="2"/>
      <c r="C156" s="61" t="n">
        <f>IF(COUNT('Pension &amp; Retiree Medical'!C134,'Pension &amp; Retiree Medical'!C125,'Pension &amp; Retiree Medical'!C135)=3,'Pension &amp; Retiree Medical'!C134-'Pension &amp; Retiree Medical'!C125-'Pension &amp; Retiree Medical'!C135,"")</f>
        <v>0</v>
      </c>
      <c r="D156" s="61" t="n">
        <f>IF(COUNT('Pension &amp; Retiree Medical'!D134,'Pension &amp; Retiree Medical'!D125,'Pension &amp; Retiree Medical'!D135)=3,'Pension &amp; Retiree Medical'!D134-'Pension &amp; Retiree Medical'!D125-'Pension &amp; Retiree Medical'!D135,"")</f>
        <v>0</v>
      </c>
      <c r="E156" s="61" t="n">
        <f>IF(COUNT('Pension &amp; Retiree Medical'!E134,'Pension &amp; Retiree Medical'!E125,'Pension &amp; Retiree Medical'!E135)=3,'Pension &amp; Retiree Medical'!E134-'Pension &amp; Retiree Medical'!E125-'Pension &amp; Retiree Medical'!E135,"")</f>
        <v>0</v>
      </c>
      <c r="F156" s="61" t="n">
        <f>IF(COUNT('Pension &amp; Retiree Medical'!F134,'Pension &amp; Retiree Medical'!F125,'Pension &amp; Retiree Medical'!F135)=3,'Pension &amp; Retiree Medical'!F134-'Pension &amp; Retiree Medical'!F125-'Pension &amp; Retiree Medical'!F135,"")</f>
        <v>0</v>
      </c>
      <c r="G156" s="61" t="n">
        <f>IF(COUNT('Pension &amp; Retiree Medical'!G134,'Pension &amp; Retiree Medical'!G125,'Pension &amp; Retiree Medical'!G135)=3,'Pension &amp; Retiree Medical'!G134-'Pension &amp; Retiree Medical'!G125-'Pension &amp; Retiree Medical'!G135,"")</f>
        <v>0</v>
      </c>
      <c r="H156" s="61" t="n">
        <f>IF(COUNT('Pension &amp; Retiree Medical'!H134,'Pension &amp; Retiree Medical'!H125,'Pension &amp; Retiree Medical'!H135)=3,'Pension &amp; Retiree Medical'!H134-'Pension &amp; Retiree Medical'!H125-'Pension &amp; Retiree Medical'!H135,"")</f>
        <v>0</v>
      </c>
      <c r="I156" s="61" t="n">
        <f>IF(COUNT('Pension &amp; Retiree Medical'!I134,'Pension &amp; Retiree Medical'!I125,'Pension &amp; Retiree Medical'!I135)=3,'Pension &amp; Retiree Medical'!I134-'Pension &amp; Retiree Medical'!I125-'Pension &amp; Retiree Medical'!I135,"")</f>
        <v>0</v>
      </c>
      <c r="J156" s="61" t="n">
        <f>IF(COUNT('Pension &amp; Retiree Medical'!J134,'Pension &amp; Retiree Medical'!J125,'Pension &amp; Retiree Medical'!J135)=3,'Pension &amp; Retiree Medical'!J134-'Pension &amp; Retiree Medical'!J125-'Pension &amp; Retiree Medical'!J135,"")</f>
        <v>0</v>
      </c>
      <c r="K156" s="61" t="n">
        <f>IF(COUNT('Pension &amp; Retiree Medical'!K134,'Pension &amp; Retiree Medical'!K125,'Pension &amp; Retiree Medical'!K135)=3,'Pension &amp; Retiree Medical'!K134-'Pension &amp; Retiree Medical'!K125-'Pension &amp; Retiree Medical'!K135,"")</f>
        <v>0</v>
      </c>
      <c r="L156" s="61" t="n">
        <f>IF(COUNT('Pension &amp; Retiree Medical'!L134,'Pension &amp; Retiree Medical'!L125,'Pension &amp; Retiree Medical'!L135)=3,'Pension &amp; Retiree Medical'!L134-'Pension &amp; Retiree Medical'!L125-'Pension &amp; Retiree Medical'!L135,"")</f>
        <v>0</v>
      </c>
      <c r="M156" s="63"/>
      <c r="N156" s="61" t="str">
        <f>IF(COUNT('Pension &amp; Retiree Medical'!N134,'Pension &amp; Retiree Medical'!N125,'Pension &amp; Retiree Medical'!N135)=3,'Pension &amp; Retiree Medical'!N134-'Pension &amp; Retiree Medical'!N125-'Pension &amp; Retiree Medical'!N135,"")</f>
      </c>
      <c r="O156" s="61" t="str">
        <f>IF(COUNT('Pension &amp; Retiree Medical'!O134,'Pension &amp; Retiree Medical'!O125,'Pension &amp; Retiree Medical'!O135)=3,'Pension &amp; Retiree Medical'!O134-'Pension &amp; Retiree Medical'!O125-'Pension &amp; Retiree Medical'!O135,"")</f>
      </c>
      <c r="P156" s="61" t="str">
        <f>IF(COUNT('Pension &amp; Retiree Medical'!P134,'Pension &amp; Retiree Medical'!P125,'Pension &amp; Retiree Medical'!P135)=3,'Pension &amp; Retiree Medical'!P134-'Pension &amp; Retiree Medical'!P125-'Pension &amp; Retiree Medical'!P135,"")</f>
      </c>
      <c r="Q156" s="61" t="str">
        <f>IF(COUNT('Pension &amp; Retiree Medical'!Q134,'Pension &amp; Retiree Medical'!Q125,'Pension &amp; Retiree Medical'!Q135)=3,'Pension &amp; Retiree Medical'!Q134-'Pension &amp; Retiree Medical'!Q125-'Pension &amp; Retiree Medical'!Q135,"")</f>
      </c>
      <c r="R156" s="61" t="str">
        <f>IF(COUNT('Pension &amp; Retiree Medical'!R134,'Pension &amp; Retiree Medical'!R125,'Pension &amp; Retiree Medical'!R135)=3,'Pension &amp; Retiree Medical'!R134-'Pension &amp; Retiree Medical'!R125-'Pension &amp; Retiree Medical'!R135,"")</f>
      </c>
      <c r="S156" s="61" t="str">
        <f>IF(COUNT('Pension &amp; Retiree Medical'!S134,'Pension &amp; Retiree Medical'!S125,'Pension &amp; Retiree Medical'!S135)=3,'Pension &amp; Retiree Medical'!S134-'Pension &amp; Retiree Medical'!S125-'Pension &amp; Retiree Medical'!S135,"")</f>
      </c>
      <c r="T156" s="61" t="str">
        <f>IF(COUNT('Pension &amp; Retiree Medical'!T134,'Pension &amp; Retiree Medical'!T125,'Pension &amp; Retiree Medical'!T135)=3,'Pension &amp; Retiree Medical'!T134-'Pension &amp; Retiree Medical'!T125-'Pension &amp; Retiree Medical'!T135,"")</f>
      </c>
      <c r="U156" s="61" t="str">
        <f>IF(COUNT('Pension &amp; Retiree Medical'!U134,'Pension &amp; Retiree Medical'!U125,'Pension &amp; Retiree Medical'!U135)=3,'Pension &amp; Retiree Medical'!U134-'Pension &amp; Retiree Medical'!U125-'Pension &amp; Retiree Medical'!U135,"")</f>
      </c>
      <c r="V156" s="61" t="str">
        <f>IF(COUNT('Pension &amp; Retiree Medical'!V134,'Pension &amp; Retiree Medical'!V125,'Pension &amp; Retiree Medical'!V135)=3,'Pension &amp; Retiree Medical'!V134-'Pension &amp; Retiree Medical'!V125-'Pension &amp; Retiree Medical'!V135,"")</f>
      </c>
      <c r="W156" s="61" t="str">
        <f>IF(COUNT('Pension &amp; Retiree Medical'!W134,'Pension &amp; Retiree Medical'!W125,'Pension &amp; Retiree Medical'!W135)=3,'Pension &amp; Retiree Medical'!W134-'Pension &amp; Retiree Medical'!W125-'Pension &amp; Retiree Medical'!W135,"")</f>
      </c>
      <c r="X156" s="61" t="str">
        <f>IF(COUNT('Pension &amp; Retiree Medical'!X134,'Pension &amp; Retiree Medical'!X125,'Pension &amp; Retiree Medical'!X135)=3,'Pension &amp; Retiree Medical'!X134-'Pension &amp; Retiree Medical'!X125-'Pension &amp; Retiree Medical'!X135,"")</f>
      </c>
    </row>
    <row r="157" ht="22" customHeight="1">
      <c r="A157" s="4" t="str">
        <v>Net amount recognized − funded status</v>
      </c>
      <c r="B157" s="2"/>
      <c r="C157" s="61" t="n">
        <f>IF(COUNT('Pension &amp; Retiree Medical'!C140,'Pension &amp; Retiree Medical'!C135)=2,'Pension &amp; Retiree Medical'!C140-'Pension &amp; Retiree Medical'!C135,"")</f>
        <v>0</v>
      </c>
      <c r="D157" s="61" t="n">
        <f>IF(COUNT('Pension &amp; Retiree Medical'!D140,'Pension &amp; Retiree Medical'!D135)=2,'Pension &amp; Retiree Medical'!D140-'Pension &amp; Retiree Medical'!D135,"")</f>
        <v>0</v>
      </c>
      <c r="E157" s="61" t="n">
        <f>IF(COUNT('Pension &amp; Retiree Medical'!E140,'Pension &amp; Retiree Medical'!E135)=2,'Pension &amp; Retiree Medical'!E140-'Pension &amp; Retiree Medical'!E135,"")</f>
        <v>0</v>
      </c>
      <c r="F157" s="61" t="n">
        <f>IF(COUNT('Pension &amp; Retiree Medical'!F140,'Pension &amp; Retiree Medical'!F135)=2,'Pension &amp; Retiree Medical'!F140-'Pension &amp; Retiree Medical'!F135,"")</f>
        <v>0</v>
      </c>
      <c r="G157" s="61" t="n">
        <f>IF(COUNT('Pension &amp; Retiree Medical'!G140,'Pension &amp; Retiree Medical'!G135)=2,'Pension &amp; Retiree Medical'!G140-'Pension &amp; Retiree Medical'!G135,"")</f>
        <v>0</v>
      </c>
      <c r="H157" s="61" t="n">
        <f>IF(COUNT('Pension &amp; Retiree Medical'!H140,'Pension &amp; Retiree Medical'!H135)=2,'Pension &amp; Retiree Medical'!H140-'Pension &amp; Retiree Medical'!H135,"")</f>
        <v>0</v>
      </c>
      <c r="I157" s="61" t="n">
        <f>IF(COUNT('Pension &amp; Retiree Medical'!I140,'Pension &amp; Retiree Medical'!I135)=2,'Pension &amp; Retiree Medical'!I140-'Pension &amp; Retiree Medical'!I135,"")</f>
        <v>0</v>
      </c>
      <c r="J157" s="61" t="n">
        <f>IF(COUNT('Pension &amp; Retiree Medical'!J140,'Pension &amp; Retiree Medical'!J135)=2,'Pension &amp; Retiree Medical'!J140-'Pension &amp; Retiree Medical'!J135,"")</f>
        <v>0</v>
      </c>
      <c r="K157" s="61" t="n">
        <f>IF(COUNT('Pension &amp; Retiree Medical'!K140,'Pension &amp; Retiree Medical'!K135)=2,'Pension &amp; Retiree Medical'!K140-'Pension &amp; Retiree Medical'!K135,"")</f>
        <v>0</v>
      </c>
      <c r="L157" s="61" t="n">
        <f>IF(COUNT('Pension &amp; Retiree Medical'!L140,'Pension &amp; Retiree Medical'!L135)=2,'Pension &amp; Retiree Medical'!L140-'Pension &amp; Retiree Medical'!L135,"")</f>
        <v>0</v>
      </c>
      <c r="M157" s="63"/>
      <c r="N157" s="61" t="str">
        <f>IF(COUNT('Pension &amp; Retiree Medical'!N140,'Pension &amp; Retiree Medical'!N135)=2,'Pension &amp; Retiree Medical'!N140-'Pension &amp; Retiree Medical'!N135,"")</f>
      </c>
      <c r="O157" s="61" t="str">
        <f>IF(COUNT('Pension &amp; Retiree Medical'!O140,'Pension &amp; Retiree Medical'!O135)=2,'Pension &amp; Retiree Medical'!O140-'Pension &amp; Retiree Medical'!O135,"")</f>
      </c>
      <c r="P157" s="61" t="str">
        <f>IF(COUNT('Pension &amp; Retiree Medical'!P140,'Pension &amp; Retiree Medical'!P135)=2,'Pension &amp; Retiree Medical'!P140-'Pension &amp; Retiree Medical'!P135,"")</f>
      </c>
      <c r="Q157" s="61" t="str">
        <f>IF(COUNT('Pension &amp; Retiree Medical'!Q140,'Pension &amp; Retiree Medical'!Q135)=2,'Pension &amp; Retiree Medical'!Q140-'Pension &amp; Retiree Medical'!Q135,"")</f>
      </c>
      <c r="R157" s="61" t="str">
        <f>IF(COUNT('Pension &amp; Retiree Medical'!R140,'Pension &amp; Retiree Medical'!R135)=2,'Pension &amp; Retiree Medical'!R140-'Pension &amp; Retiree Medical'!R135,"")</f>
      </c>
      <c r="S157" s="61" t="str">
        <f>IF(COUNT('Pension &amp; Retiree Medical'!S140,'Pension &amp; Retiree Medical'!S135)=2,'Pension &amp; Retiree Medical'!S140-'Pension &amp; Retiree Medical'!S135,"")</f>
      </c>
      <c r="T157" s="61" t="str">
        <f>IF(COUNT('Pension &amp; Retiree Medical'!T140,'Pension &amp; Retiree Medical'!T135)=2,'Pension &amp; Retiree Medical'!T140-'Pension &amp; Retiree Medical'!T135,"")</f>
      </c>
      <c r="U157" s="61" t="str">
        <f>IF(COUNT('Pension &amp; Retiree Medical'!U140,'Pension &amp; Retiree Medical'!U135)=2,'Pension &amp; Retiree Medical'!U140-'Pension &amp; Retiree Medical'!U135,"")</f>
      </c>
      <c r="V157" s="61" t="str">
        <f>IF(COUNT('Pension &amp; Retiree Medical'!V140,'Pension &amp; Retiree Medical'!V135)=2,'Pension &amp; Retiree Medical'!V140-'Pension &amp; Retiree Medical'!V135,"")</f>
      </c>
      <c r="W157" s="61" t="str">
        <f>IF(COUNT('Pension &amp; Retiree Medical'!W140,'Pension &amp; Retiree Medical'!W135)=2,'Pension &amp; Retiree Medical'!W140-'Pension &amp; Retiree Medical'!W135,"")</f>
      </c>
      <c r="X157" s="61" t="str">
        <f>IF(COUNT('Pension &amp; Retiree Medical'!X140,'Pension &amp; Retiree Medical'!X135)=2,'Pension &amp; Retiree Medical'!X140-'Pension &amp; Retiree Medical'!X135,"")</f>
      </c>
    </row>
    <row r="158" ht="36" customHeight="1">
      <c r="A158" s="4" t="str">
        <v>Total benefit expense − service cost − non-service expense</v>
      </c>
      <c r="B158" s="2"/>
      <c r="C158" s="61" t="n">
        <f>IF(COUNT('Pension &amp; Retiree Medical'!C147,'Pension &amp; Retiree Medical'!C116,'Pension &amp; Retiree Medical'!C150)=3,'Pension &amp; Retiree Medical'!C147-'Pension &amp; Retiree Medical'!C116-'Pension &amp; Retiree Medical'!C150,"")</f>
        <v>0</v>
      </c>
      <c r="D158" s="61" t="n">
        <f>IF(COUNT('Pension &amp; Retiree Medical'!D147,'Pension &amp; Retiree Medical'!D116,'Pension &amp; Retiree Medical'!D150)=3,'Pension &amp; Retiree Medical'!D147-'Pension &amp; Retiree Medical'!D116-'Pension &amp; Retiree Medical'!D150,"")</f>
        <v>0</v>
      </c>
      <c r="E158" s="61" t="n">
        <f>IF(COUNT('Pension &amp; Retiree Medical'!E147,'Pension &amp; Retiree Medical'!E116,'Pension &amp; Retiree Medical'!E150)=3,'Pension &amp; Retiree Medical'!E147-'Pension &amp; Retiree Medical'!E116-'Pension &amp; Retiree Medical'!E150,"")</f>
        <v>0</v>
      </c>
      <c r="F158" s="61" t="n">
        <f>IF(COUNT('Pension &amp; Retiree Medical'!F147,'Pension &amp; Retiree Medical'!F116,'Pension &amp; Retiree Medical'!F150)=3,'Pension &amp; Retiree Medical'!F147-'Pension &amp; Retiree Medical'!F116-'Pension &amp; Retiree Medical'!F150,"")</f>
        <v>0</v>
      </c>
      <c r="G158" s="61" t="n">
        <f>IF(COUNT('Pension &amp; Retiree Medical'!G147,'Pension &amp; Retiree Medical'!G116,'Pension &amp; Retiree Medical'!G150)=3,'Pension &amp; Retiree Medical'!G147-'Pension &amp; Retiree Medical'!G116-'Pension &amp; Retiree Medical'!G150,"")</f>
        <v>0</v>
      </c>
      <c r="H158" s="61" t="n">
        <f>IF(COUNT('Pension &amp; Retiree Medical'!H147,'Pension &amp; Retiree Medical'!H116,'Pension &amp; Retiree Medical'!H150)=3,'Pension &amp; Retiree Medical'!H147-'Pension &amp; Retiree Medical'!H116-'Pension &amp; Retiree Medical'!H150,"")</f>
        <v>0</v>
      </c>
      <c r="I158" s="61" t="n">
        <f>IF(COUNT('Pension &amp; Retiree Medical'!I147,'Pension &amp; Retiree Medical'!I116,'Pension &amp; Retiree Medical'!I150)=3,'Pension &amp; Retiree Medical'!I147-'Pension &amp; Retiree Medical'!I116-'Pension &amp; Retiree Medical'!I150,"")</f>
        <v>0</v>
      </c>
      <c r="J158" s="61" t="n">
        <f>IF(COUNT('Pension &amp; Retiree Medical'!J147,'Pension &amp; Retiree Medical'!J116,'Pension &amp; Retiree Medical'!J150)=3,'Pension &amp; Retiree Medical'!J147-'Pension &amp; Retiree Medical'!J116-'Pension &amp; Retiree Medical'!J150,"")</f>
        <v>0</v>
      </c>
      <c r="K158" s="61" t="n">
        <f>IF(COUNT('Pension &amp; Retiree Medical'!K147,'Pension &amp; Retiree Medical'!K116,'Pension &amp; Retiree Medical'!K150)=3,'Pension &amp; Retiree Medical'!K147-'Pension &amp; Retiree Medical'!K116-'Pension &amp; Retiree Medical'!K150,"")</f>
        <v>0</v>
      </c>
      <c r="L158" s="61" t="n">
        <f>IF(COUNT('Pension &amp; Retiree Medical'!L147,'Pension &amp; Retiree Medical'!L116,'Pension &amp; Retiree Medical'!L150)=3,'Pension &amp; Retiree Medical'!L147-'Pension &amp; Retiree Medical'!L116-'Pension &amp; Retiree Medical'!L150,"")</f>
        <v>0</v>
      </c>
      <c r="M158" s="63"/>
      <c r="N158" s="61" t="str">
        <f>IF(COUNT('Pension &amp; Retiree Medical'!N147,'Pension &amp; Retiree Medical'!N116,'Pension &amp; Retiree Medical'!N150)=3,'Pension &amp; Retiree Medical'!N147-'Pension &amp; Retiree Medical'!N116-'Pension &amp; Retiree Medical'!N150,"")</f>
      </c>
      <c r="O158" s="61" t="str">
        <f>IF(COUNT('Pension &amp; Retiree Medical'!O147,'Pension &amp; Retiree Medical'!O116,'Pension &amp; Retiree Medical'!O150)=3,'Pension &amp; Retiree Medical'!O147-'Pension &amp; Retiree Medical'!O116-'Pension &amp; Retiree Medical'!O150,"")</f>
      </c>
      <c r="P158" s="61" t="str">
        <f>IF(COUNT('Pension &amp; Retiree Medical'!P147,'Pension &amp; Retiree Medical'!P116,'Pension &amp; Retiree Medical'!P150)=3,'Pension &amp; Retiree Medical'!P147-'Pension &amp; Retiree Medical'!P116-'Pension &amp; Retiree Medical'!P150,"")</f>
      </c>
      <c r="Q158" s="61" t="str">
        <f>IF(COUNT('Pension &amp; Retiree Medical'!Q147,'Pension &amp; Retiree Medical'!Q116,'Pension &amp; Retiree Medical'!Q150)=3,'Pension &amp; Retiree Medical'!Q147-'Pension &amp; Retiree Medical'!Q116-'Pension &amp; Retiree Medical'!Q150,"")</f>
      </c>
      <c r="R158" s="61" t="str">
        <f>IF(COUNT('Pension &amp; Retiree Medical'!R147,'Pension &amp; Retiree Medical'!R116,'Pension &amp; Retiree Medical'!R150)=3,'Pension &amp; Retiree Medical'!R147-'Pension &amp; Retiree Medical'!R116-'Pension &amp; Retiree Medical'!R150,"")</f>
      </c>
      <c r="S158" s="61" t="str">
        <f>IF(COUNT('Pension &amp; Retiree Medical'!S147,'Pension &amp; Retiree Medical'!S116,'Pension &amp; Retiree Medical'!S150)=3,'Pension &amp; Retiree Medical'!S147-'Pension &amp; Retiree Medical'!S116-'Pension &amp; Retiree Medical'!S150,"")</f>
      </c>
      <c r="T158" s="61" t="str">
        <f>IF(COUNT('Pension &amp; Retiree Medical'!T147,'Pension &amp; Retiree Medical'!T116,'Pension &amp; Retiree Medical'!T150)=3,'Pension &amp; Retiree Medical'!T147-'Pension &amp; Retiree Medical'!T116-'Pension &amp; Retiree Medical'!T150,"")</f>
      </c>
      <c r="U158" s="61" t="str">
        <f>IF(COUNT('Pension &amp; Retiree Medical'!U147,'Pension &amp; Retiree Medical'!U116,'Pension &amp; Retiree Medical'!U150)=3,'Pension &amp; Retiree Medical'!U147-'Pension &amp; Retiree Medical'!U116-'Pension &amp; Retiree Medical'!U150,"")</f>
      </c>
      <c r="V158" s="61" t="str">
        <f>IF(COUNT('Pension &amp; Retiree Medical'!V147,'Pension &amp; Retiree Medical'!V116,'Pension &amp; Retiree Medical'!V150)=3,'Pension &amp; Retiree Medical'!V147-'Pension &amp; Retiree Medical'!V116-'Pension &amp; Retiree Medical'!V150,"")</f>
      </c>
      <c r="W158" s="61" t="str">
        <f>IF(COUNT('Pension &amp; Retiree Medical'!W147,'Pension &amp; Retiree Medical'!W116,'Pension &amp; Retiree Medical'!W150)=3,'Pension &amp; Retiree Medical'!W147-'Pension &amp; Retiree Medical'!W116-'Pension &amp; Retiree Medical'!W150,"")</f>
      </c>
      <c r="X158" s="61" t="str">
        <f>IF(COUNT('Pension &amp; Retiree Medical'!X147,'Pension &amp; Retiree Medical'!X116,'Pension &amp; Retiree Medical'!X150)=3,'Pension &amp; Retiree Medical'!X147-'Pension &amp; Retiree Medical'!X116-'Pension &amp; Retiree Medical'!X150,"")</f>
      </c>
    </row>
    <row r="159" ht="22" customHeight="1">
      <c r="A159" s="4"/>
      <c r="B159" s="2"/>
      <c r="C159" s="3"/>
      <c r="D159" s="3"/>
      <c r="E159" s="3"/>
      <c r="F159" s="3"/>
      <c r="G159" s="3"/>
      <c r="H159" s="3"/>
      <c r="I159" s="3"/>
      <c r="J159" s="3"/>
      <c r="K159" s="3"/>
      <c r="L159" s="3"/>
      <c r="M159" s="3"/>
      <c r="N159" s="3"/>
      <c r="O159" s="3"/>
      <c r="P159" s="3"/>
      <c r="Q159" s="3"/>
      <c r="R159" s="3"/>
      <c r="S159" s="3"/>
      <c r="T159" s="3"/>
      <c r="U159" s="3"/>
      <c r="V159" s="3"/>
      <c r="W159" s="3"/>
      <c r="X159" s="3"/>
    </row>
    <row r="160" ht="22" customHeight="1">
      <c r="A160" s="29" t="str">
        <v>Recent benefit costs: YTD</v>
      </c>
      <c r="B160" s="29"/>
      <c r="C160" s="32"/>
      <c r="D160" s="32"/>
      <c r="E160" s="32"/>
      <c r="F160" s="32"/>
      <c r="G160" s="32"/>
      <c r="H160" s="32"/>
      <c r="I160" s="32"/>
      <c r="J160" s="32"/>
      <c r="K160" s="32"/>
      <c r="L160" s="32"/>
      <c r="M160" s="32"/>
      <c r="N160" s="32"/>
      <c r="O160" s="32"/>
      <c r="P160" s="32"/>
      <c r="Q160" s="32"/>
      <c r="R160" s="32"/>
      <c r="S160" s="32"/>
      <c r="T160" s="32"/>
      <c r="U160" s="32"/>
      <c r="V160" s="32"/>
      <c r="W160" s="32"/>
      <c r="X160" s="32"/>
    </row>
    <row r="161" ht="18" customHeight="1">
      <c r="A161" s="33" t="str">
        <v>Right-hand columns show YTD. Annual obligations and plan-asset balances are in the plan blocks above.</v>
      </c>
      <c r="B161" s="33"/>
      <c r="C161" s="35"/>
      <c r="D161" s="35"/>
      <c r="E161" s="35"/>
      <c r="F161" s="35"/>
      <c r="G161" s="35"/>
      <c r="H161" s="35"/>
      <c r="I161" s="35"/>
      <c r="J161" s="35"/>
      <c r="K161" s="35"/>
      <c r="L161" s="35"/>
      <c r="M161" s="35"/>
      <c r="N161" s="35"/>
      <c r="O161" s="35"/>
      <c r="P161" s="35"/>
      <c r="Q161" s="35"/>
      <c r="R161" s="35"/>
      <c r="S161" s="35"/>
      <c r="T161" s="35"/>
      <c r="U161" s="35"/>
      <c r="V161" s="35"/>
      <c r="W161" s="35"/>
      <c r="X161" s="35"/>
    </row>
    <row r="162" ht="24" customHeight="1">
      <c r="A162" s="39" t="str">
        <v>Pension / U.S.</v>
      </c>
      <c r="B162" s="40"/>
      <c r="C162" s="41"/>
      <c r="D162" s="41"/>
      <c r="E162" s="41"/>
      <c r="F162" s="41"/>
      <c r="G162" s="41"/>
      <c r="H162" s="41"/>
      <c r="I162" s="41"/>
      <c r="J162" s="41"/>
      <c r="K162" s="41"/>
      <c r="L162" s="41"/>
      <c r="M162" s="42"/>
      <c r="N162" s="41"/>
      <c r="O162" s="41"/>
      <c r="P162" s="41"/>
      <c r="Q162" s="41"/>
      <c r="R162" s="41"/>
      <c r="S162" s="41"/>
      <c r="T162" s="41"/>
      <c r="U162" s="41"/>
      <c r="V162" s="41"/>
      <c r="W162" s="41"/>
      <c r="X162" s="41"/>
    </row>
    <row r="163" ht="22" customHeight="1">
      <c r="A163" s="4" t="str">
        <v>Service cost</v>
      </c>
      <c r="B163" s="2"/>
      <c r="C163" s="44"/>
      <c r="D163" s="44"/>
      <c r="E163" s="44"/>
      <c r="F163" s="44"/>
      <c r="G163" s="44"/>
      <c r="H163" s="44"/>
      <c r="I163" s="44"/>
      <c r="J163" s="44"/>
      <c r="K163" s="44"/>
      <c r="L163" s="44"/>
      <c r="M163" s="45"/>
      <c r="N163" s="44"/>
      <c r="O163" s="44" t="n">
        <v>160</v>
      </c>
      <c r="P163" s="44" t="n">
        <v>240</v>
      </c>
      <c r="Q163" s="44"/>
      <c r="R163" s="44"/>
      <c r="S163" s="44" t="n">
        <v>145</v>
      </c>
      <c r="T163" s="44" t="n">
        <v>216</v>
      </c>
      <c r="U163" s="44"/>
      <c r="V163" s="44"/>
      <c r="W163" s="44" t="n">
        <v>108</v>
      </c>
      <c r="X163" s="44" t="n">
        <v>163</v>
      </c>
    </row>
    <row r="164" ht="22" customHeight="1">
      <c r="A164" s="4" t="str">
        <v>Interest cost</v>
      </c>
      <c r="B164" s="2"/>
      <c r="C164" s="44"/>
      <c r="D164" s="44"/>
      <c r="E164" s="44"/>
      <c r="F164" s="44"/>
      <c r="G164" s="44"/>
      <c r="H164" s="44"/>
      <c r="I164" s="44"/>
      <c r="J164" s="44"/>
      <c r="K164" s="44"/>
      <c r="L164" s="44"/>
      <c r="M164" s="45"/>
      <c r="N164" s="44"/>
      <c r="O164" s="44" t="n">
        <v>270</v>
      </c>
      <c r="P164" s="44" t="n">
        <v>405</v>
      </c>
      <c r="Q164" s="44"/>
      <c r="R164" s="44"/>
      <c r="S164" s="44" t="n">
        <v>270</v>
      </c>
      <c r="T164" s="44" t="n">
        <v>406</v>
      </c>
      <c r="U164" s="44"/>
      <c r="V164" s="44"/>
      <c r="W164" s="44"/>
      <c r="X164" s="44"/>
    </row>
    <row r="165" ht="22" customHeight="1">
      <c r="A165" s="4" t="str">
        <v>Expected return on plan assets</v>
      </c>
      <c r="B165" s="2"/>
      <c r="C165" s="44"/>
      <c r="D165" s="44"/>
      <c r="E165" s="44"/>
      <c r="F165" s="44"/>
      <c r="G165" s="44"/>
      <c r="H165" s="44"/>
      <c r="I165" s="44"/>
      <c r="J165" s="44"/>
      <c r="K165" s="44"/>
      <c r="L165" s="44"/>
      <c r="M165" s="45"/>
      <c r="N165" s="44"/>
      <c r="O165" s="44" t="n">
        <v>-403</v>
      </c>
      <c r="P165" s="44" t="n">
        <v>-604</v>
      </c>
      <c r="Q165" s="44"/>
      <c r="R165" s="44"/>
      <c r="S165" s="44" t="n">
        <v>-372</v>
      </c>
      <c r="T165" s="44" t="n">
        <v>-558</v>
      </c>
      <c r="U165" s="44"/>
      <c r="V165" s="44"/>
      <c r="W165" s="44"/>
      <c r="X165" s="44"/>
    </row>
    <row r="166" ht="22" customHeight="1">
      <c r="A166" s="4" t="str">
        <v>Amortization of prior service credits</v>
      </c>
      <c r="B166" s="2"/>
      <c r="C166" s="44"/>
      <c r="D166" s="44"/>
      <c r="E166" s="44"/>
      <c r="F166" s="44"/>
      <c r="G166" s="44"/>
      <c r="H166" s="44"/>
      <c r="I166" s="44"/>
      <c r="J166" s="44"/>
      <c r="K166" s="44"/>
      <c r="L166" s="44"/>
      <c r="M166" s="45"/>
      <c r="N166" s="44"/>
      <c r="O166" s="44" t="n">
        <v>-11</v>
      </c>
      <c r="P166" s="44" t="n">
        <v>-17</v>
      </c>
      <c r="Q166" s="44"/>
      <c r="R166" s="44"/>
      <c r="S166" s="44"/>
      <c r="T166" s="44"/>
      <c r="U166" s="44"/>
      <c r="V166" s="44"/>
      <c r="W166" s="44"/>
      <c r="X166" s="44"/>
    </row>
    <row r="167" ht="22" customHeight="1">
      <c r="A167" s="4" t="str">
        <v>Amortization of net losses/(gains)</v>
      </c>
      <c r="B167" s="2"/>
      <c r="C167" s="44"/>
      <c r="D167" s="44"/>
      <c r="E167" s="44"/>
      <c r="F167" s="44"/>
      <c r="G167" s="44"/>
      <c r="H167" s="44"/>
      <c r="I167" s="44"/>
      <c r="J167" s="44"/>
      <c r="K167" s="44"/>
      <c r="L167" s="44"/>
      <c r="M167" s="45"/>
      <c r="N167" s="44"/>
      <c r="O167" s="44" t="n">
        <v>36</v>
      </c>
      <c r="P167" s="44" t="n">
        <v>53</v>
      </c>
      <c r="Q167" s="44"/>
      <c r="R167" s="44"/>
      <c r="S167" s="44" t="n">
        <v>39</v>
      </c>
      <c r="T167" s="44" t="n">
        <v>58</v>
      </c>
      <c r="U167" s="44"/>
      <c r="V167" s="44"/>
      <c r="W167" s="44"/>
      <c r="X167" s="44"/>
    </row>
    <row r="168" ht="22" customHeight="1">
      <c r="A168" s="4" t="str">
        <v>Settlement losses</v>
      </c>
      <c r="B168" s="2"/>
      <c r="C168" s="44"/>
      <c r="D168" s="44"/>
      <c r="E168" s="44"/>
      <c r="F168" s="44"/>
      <c r="G168" s="44"/>
      <c r="H168" s="44"/>
      <c r="I168" s="44"/>
      <c r="J168" s="44"/>
      <c r="K168" s="44"/>
      <c r="L168" s="44"/>
      <c r="M168" s="45"/>
      <c r="N168" s="44"/>
      <c r="O168" s="44" t="n">
        <v>0</v>
      </c>
      <c r="P168" s="44" t="n">
        <v>8</v>
      </c>
      <c r="Q168" s="44"/>
      <c r="R168" s="44"/>
      <c r="S168" s="44"/>
      <c r="T168" s="44"/>
      <c r="U168" s="44"/>
      <c r="V168" s="44"/>
      <c r="W168" s="44"/>
      <c r="X168" s="44"/>
    </row>
    <row r="169" ht="22" customHeight="1">
      <c r="A169" s="4" t="str">
        <v>Special termination benefits</v>
      </c>
      <c r="B169" s="2"/>
      <c r="C169" s="44"/>
      <c r="D169" s="44"/>
      <c r="E169" s="44"/>
      <c r="F169" s="44"/>
      <c r="G169" s="44"/>
      <c r="H169" s="44"/>
      <c r="I169" s="44"/>
      <c r="J169" s="44"/>
      <c r="K169" s="44"/>
      <c r="L169" s="44"/>
      <c r="M169" s="45"/>
      <c r="N169" s="44"/>
      <c r="O169" s="44" t="n">
        <v>15</v>
      </c>
      <c r="P169" s="44" t="n">
        <v>23</v>
      </c>
      <c r="Q169" s="44"/>
      <c r="R169" s="44"/>
      <c r="S169" s="44" t="n">
        <v>14</v>
      </c>
      <c r="T169" s="44" t="n">
        <v>13</v>
      </c>
      <c r="U169" s="44"/>
      <c r="V169" s="44"/>
      <c r="W169" s="44"/>
      <c r="X169" s="44"/>
    </row>
    <row r="170" ht="24" customHeight="1">
      <c r="A170" s="51" t="str">
        <v>Total other pension and retiree medical benefits income</v>
      </c>
      <c r="B170" s="52"/>
      <c r="C170" s="53"/>
      <c r="D170" s="53"/>
      <c r="E170" s="53"/>
      <c r="F170" s="53"/>
      <c r="G170" s="53"/>
      <c r="H170" s="53"/>
      <c r="I170" s="53"/>
      <c r="J170" s="53"/>
      <c r="K170" s="53"/>
      <c r="L170" s="53"/>
      <c r="M170" s="55"/>
      <c r="N170" s="53"/>
      <c r="O170" s="53" t="n">
        <v>-93</v>
      </c>
      <c r="P170" s="53" t="n">
        <v>-132</v>
      </c>
      <c r="Q170" s="53"/>
      <c r="R170" s="53"/>
      <c r="S170" s="53" t="n">
        <v>-48</v>
      </c>
      <c r="T170" s="53" t="n">
        <v>-74</v>
      </c>
      <c r="U170" s="53"/>
      <c r="V170" s="53"/>
      <c r="W170" s="53"/>
      <c r="X170" s="53"/>
    </row>
    <row r="171" ht="24" customHeight="1">
      <c r="A171" s="51" t="str">
        <v>Total</v>
      </c>
      <c r="B171" s="52"/>
      <c r="C171" s="53"/>
      <c r="D171" s="53"/>
      <c r="E171" s="53"/>
      <c r="F171" s="53"/>
      <c r="G171" s="53"/>
      <c r="H171" s="53"/>
      <c r="I171" s="53"/>
      <c r="J171" s="53"/>
      <c r="K171" s="53"/>
      <c r="L171" s="53"/>
      <c r="M171" s="55"/>
      <c r="N171" s="53"/>
      <c r="O171" s="53" t="n">
        <v>67</v>
      </c>
      <c r="P171" s="53" t="n">
        <v>108</v>
      </c>
      <c r="Q171" s="53"/>
      <c r="R171" s="53"/>
      <c r="S171" s="53" t="n">
        <v>97</v>
      </c>
      <c r="T171" s="53" t="n">
        <v>142</v>
      </c>
      <c r="U171" s="53"/>
      <c r="V171" s="53"/>
      <c r="W171" s="53"/>
      <c r="X171" s="53"/>
    </row>
    <row r="172" ht="22" customHeight="1">
      <c r="A172" s="4" t="str">
        <v>Amortization of prior service cost/(credits)</v>
      </c>
      <c r="B172" s="2"/>
      <c r="C172" s="44"/>
      <c r="D172" s="44"/>
      <c r="E172" s="44"/>
      <c r="F172" s="44"/>
      <c r="G172" s="44"/>
      <c r="H172" s="44"/>
      <c r="I172" s="44"/>
      <c r="J172" s="44"/>
      <c r="K172" s="44"/>
      <c r="L172" s="44"/>
      <c r="M172" s="45"/>
      <c r="N172" s="44"/>
      <c r="O172" s="44" t="n">
        <v>-11</v>
      </c>
      <c r="P172" s="44" t="n">
        <v>-17</v>
      </c>
      <c r="Q172" s="44"/>
      <c r="R172" s="44"/>
      <c r="S172" s="44" t="n">
        <v>1</v>
      </c>
      <c r="T172" s="44" t="n">
        <v>2</v>
      </c>
      <c r="U172" s="44"/>
      <c r="V172" s="44"/>
      <c r="W172" s="44"/>
      <c r="X172" s="44"/>
    </row>
    <row r="173" ht="22" customHeight="1">
      <c r="A173" s="4" t="str">
        <v>Settlement/curtailment (gains)/losses</v>
      </c>
      <c r="B173" s="2"/>
      <c r="C173" s="44"/>
      <c r="D173" s="44"/>
      <c r="E173" s="44"/>
      <c r="F173" s="44"/>
      <c r="G173" s="44"/>
      <c r="H173" s="44"/>
      <c r="I173" s="44"/>
      <c r="J173" s="44"/>
      <c r="K173" s="44"/>
      <c r="L173" s="44"/>
      <c r="M173" s="45"/>
      <c r="N173" s="44"/>
      <c r="O173" s="44" t="n">
        <v>0</v>
      </c>
      <c r="P173" s="44"/>
      <c r="Q173" s="44"/>
      <c r="R173" s="44"/>
      <c r="S173" s="44" t="n">
        <v>0</v>
      </c>
      <c r="T173" s="44"/>
      <c r="U173" s="44"/>
      <c r="V173" s="44"/>
      <c r="W173" s="44"/>
      <c r="X173" s="44"/>
    </row>
    <row r="174" ht="22" customHeight="1">
      <c r="A174" s="4" t="str">
        <v>Net settlement/curtailment losses</v>
      </c>
      <c r="B174" s="2"/>
      <c r="C174" s="44"/>
      <c r="D174" s="44"/>
      <c r="E174" s="44"/>
      <c r="F174" s="44"/>
      <c r="G174" s="44"/>
      <c r="H174" s="44"/>
      <c r="I174" s="44"/>
      <c r="J174" s="44"/>
      <c r="K174" s="44"/>
      <c r="L174" s="44"/>
      <c r="M174" s="45"/>
      <c r="N174" s="44"/>
      <c r="O174" s="44"/>
      <c r="P174" s="44" t="n">
        <v>8</v>
      </c>
      <c r="Q174" s="44"/>
      <c r="R174" s="44"/>
      <c r="S174" s="44"/>
      <c r="T174" s="44" t="n">
        <v>5</v>
      </c>
      <c r="U174" s="44"/>
      <c r="V174" s="44"/>
      <c r="W174" s="44"/>
      <c r="X174" s="44"/>
    </row>
    <row r="175" ht="22" customHeight="1">
      <c r="A175" s="4" t="str">
        <v>Interest cost</v>
      </c>
      <c r="B175" s="2"/>
      <c r="C175" s="44"/>
      <c r="D175" s="44"/>
      <c r="E175" s="44"/>
      <c r="F175" s="44"/>
      <c r="G175" s="44"/>
      <c r="H175" s="44"/>
      <c r="I175" s="44"/>
      <c r="J175" s="44"/>
      <c r="K175" s="44"/>
      <c r="L175" s="44"/>
      <c r="M175" s="45"/>
      <c r="N175" s="44"/>
      <c r="O175" s="44"/>
      <c r="P175" s="44"/>
      <c r="Q175" s="44"/>
      <c r="R175" s="44"/>
      <c r="S175" s="44" t="n">
        <v>270</v>
      </c>
      <c r="T175" s="44"/>
      <c r="U175" s="44"/>
      <c r="V175" s="44"/>
      <c r="W175" s="44" t="n">
        <v>240</v>
      </c>
      <c r="X175" s="44"/>
    </row>
    <row r="176" ht="22" customHeight="1">
      <c r="A176" s="4" t="str">
        <v>Expected return on plan assets</v>
      </c>
      <c r="B176" s="2"/>
      <c r="C176" s="44"/>
      <c r="D176" s="44"/>
      <c r="E176" s="44"/>
      <c r="F176" s="44"/>
      <c r="G176" s="44"/>
      <c r="H176" s="44"/>
      <c r="I176" s="44"/>
      <c r="J176" s="44"/>
      <c r="K176" s="44"/>
      <c r="L176" s="44"/>
      <c r="M176" s="45"/>
      <c r="N176" s="44"/>
      <c r="O176" s="44"/>
      <c r="P176" s="44"/>
      <c r="Q176" s="44"/>
      <c r="R176" s="44"/>
      <c r="S176" s="44" t="n">
        <v>-372</v>
      </c>
      <c r="T176" s="44"/>
      <c r="U176" s="44"/>
      <c r="V176" s="44"/>
      <c r="W176" s="44" t="n">
        <v>-382</v>
      </c>
      <c r="X176" s="44"/>
    </row>
    <row r="177" ht="22" customHeight="1">
      <c r="A177" s="4" t="str">
        <v>Amortization of prior service cost/(credits)</v>
      </c>
      <c r="B177" s="2"/>
      <c r="C177" s="44"/>
      <c r="D177" s="44"/>
      <c r="E177" s="44"/>
      <c r="F177" s="44"/>
      <c r="G177" s="44"/>
      <c r="H177" s="44"/>
      <c r="I177" s="44"/>
      <c r="J177" s="44"/>
      <c r="K177" s="44"/>
      <c r="L177" s="44"/>
      <c r="M177" s="45"/>
      <c r="N177" s="44"/>
      <c r="O177" s="44"/>
      <c r="P177" s="44"/>
      <c r="Q177" s="44"/>
      <c r="R177" s="44"/>
      <c r="S177" s="44" t="n">
        <v>1</v>
      </c>
      <c r="T177" s="44"/>
      <c r="U177" s="44"/>
      <c r="V177" s="44"/>
      <c r="W177" s="44" t="n">
        <v>4</v>
      </c>
      <c r="X177" s="44"/>
    </row>
    <row r="178" ht="22" customHeight="1">
      <c r="A178" s="4" t="str">
        <v>Amortization of net losses/(gains)</v>
      </c>
      <c r="B178" s="2"/>
      <c r="C178" s="44"/>
      <c r="D178" s="44"/>
      <c r="E178" s="44"/>
      <c r="F178" s="44"/>
      <c r="G178" s="44"/>
      <c r="H178" s="44"/>
      <c r="I178" s="44"/>
      <c r="J178" s="44"/>
      <c r="K178" s="44"/>
      <c r="L178" s="44"/>
      <c r="M178" s="45"/>
      <c r="N178" s="44"/>
      <c r="O178" s="44"/>
      <c r="P178" s="44"/>
      <c r="Q178" s="44"/>
      <c r="R178" s="44"/>
      <c r="S178" s="44" t="n">
        <v>39</v>
      </c>
      <c r="T178" s="44"/>
      <c r="U178" s="44"/>
      <c r="V178" s="44"/>
      <c r="W178" s="44" t="n">
        <v>34</v>
      </c>
      <c r="X178" s="44"/>
    </row>
    <row r="179" ht="22" customHeight="1">
      <c r="A179" s="4" t="str">
        <v>Settlement/curtailment gains</v>
      </c>
      <c r="B179" s="2"/>
      <c r="C179" s="44"/>
      <c r="D179" s="44"/>
      <c r="E179" s="44"/>
      <c r="F179" s="44"/>
      <c r="G179" s="44"/>
      <c r="H179" s="44"/>
      <c r="I179" s="44"/>
      <c r="J179" s="44"/>
      <c r="K179" s="44"/>
      <c r="L179" s="44"/>
      <c r="M179" s="45"/>
      <c r="N179" s="44"/>
      <c r="O179" s="44"/>
      <c r="P179" s="44"/>
      <c r="Q179" s="44"/>
      <c r="R179" s="44"/>
      <c r="S179" s="44" t="n">
        <v>0</v>
      </c>
      <c r="T179" s="44"/>
      <c r="U179" s="44"/>
      <c r="V179" s="44"/>
      <c r="W179" s="44" t="n">
        <v>0</v>
      </c>
      <c r="X179" s="44"/>
    </row>
    <row r="180" ht="22" customHeight="1">
      <c r="A180" s="4" t="str">
        <v>Special termination benefits</v>
      </c>
      <c r="B180" s="2"/>
      <c r="C180" s="44"/>
      <c r="D180" s="44"/>
      <c r="E180" s="44"/>
      <c r="F180" s="44"/>
      <c r="G180" s="44"/>
      <c r="H180" s="44"/>
      <c r="I180" s="44"/>
      <c r="J180" s="44"/>
      <c r="K180" s="44"/>
      <c r="L180" s="44"/>
      <c r="M180" s="45"/>
      <c r="N180" s="44"/>
      <c r="O180" s="44"/>
      <c r="P180" s="44"/>
      <c r="Q180" s="44"/>
      <c r="R180" s="44"/>
      <c r="S180" s="44" t="n">
        <v>14</v>
      </c>
      <c r="T180" s="44"/>
      <c r="U180" s="44"/>
      <c r="V180" s="44"/>
      <c r="W180" s="44" t="n">
        <v>1</v>
      </c>
      <c r="X180" s="44"/>
    </row>
    <row r="181" ht="24" customHeight="1">
      <c r="A181" s="51" t="str">
        <v>Total other pension and retiree medical benefits income</v>
      </c>
      <c r="B181" s="52"/>
      <c r="C181" s="53"/>
      <c r="D181" s="53"/>
      <c r="E181" s="53"/>
      <c r="F181" s="53"/>
      <c r="G181" s="53"/>
      <c r="H181" s="53"/>
      <c r="I181" s="53"/>
      <c r="J181" s="53"/>
      <c r="K181" s="53"/>
      <c r="L181" s="53"/>
      <c r="M181" s="55"/>
      <c r="N181" s="53"/>
      <c r="O181" s="53"/>
      <c r="P181" s="53"/>
      <c r="Q181" s="53"/>
      <c r="R181" s="53"/>
      <c r="S181" s="53" t="n">
        <v>-48</v>
      </c>
      <c r="T181" s="53"/>
      <c r="U181" s="53"/>
      <c r="V181" s="53"/>
      <c r="W181" s="53" t="n">
        <v>-103</v>
      </c>
      <c r="X181" s="53"/>
    </row>
    <row r="182" ht="24" customHeight="1">
      <c r="A182" s="51" t="str">
        <v>Total</v>
      </c>
      <c r="B182" s="52"/>
      <c r="C182" s="53"/>
      <c r="D182" s="53"/>
      <c r="E182" s="53"/>
      <c r="F182" s="53"/>
      <c r="G182" s="53"/>
      <c r="H182" s="53"/>
      <c r="I182" s="53"/>
      <c r="J182" s="53"/>
      <c r="K182" s="53"/>
      <c r="L182" s="53"/>
      <c r="M182" s="55"/>
      <c r="N182" s="53"/>
      <c r="O182" s="53"/>
      <c r="P182" s="53"/>
      <c r="Q182" s="53"/>
      <c r="R182" s="53"/>
      <c r="S182" s="53" t="n">
        <v>97</v>
      </c>
      <c r="T182" s="53"/>
      <c r="U182" s="53"/>
      <c r="V182" s="53"/>
      <c r="W182" s="53" t="n">
        <v>5</v>
      </c>
      <c r="X182" s="53"/>
    </row>
    <row r="183" ht="22" customHeight="1">
      <c r="A183" s="4" t="str">
        <v>Interest cost</v>
      </c>
      <c r="B183" s="2"/>
      <c r="C183" s="44"/>
      <c r="D183" s="44"/>
      <c r="E183" s="44"/>
      <c r="F183" s="44"/>
      <c r="G183" s="44"/>
      <c r="H183" s="44"/>
      <c r="I183" s="44"/>
      <c r="J183" s="44"/>
      <c r="K183" s="44"/>
      <c r="L183" s="44"/>
      <c r="M183" s="45"/>
      <c r="N183" s="44"/>
      <c r="O183" s="44"/>
      <c r="P183" s="44"/>
      <c r="Q183" s="44"/>
      <c r="R183" s="44"/>
      <c r="S183" s="44"/>
      <c r="T183" s="44" t="n">
        <v>406</v>
      </c>
      <c r="U183" s="44"/>
      <c r="V183" s="44"/>
      <c r="W183" s="44"/>
      <c r="X183" s="44" t="n">
        <v>361</v>
      </c>
    </row>
    <row r="184" ht="22" customHeight="1">
      <c r="A184" s="4" t="str">
        <v>Expected return on plan assets</v>
      </c>
      <c r="B184" s="2"/>
      <c r="C184" s="44"/>
      <c r="D184" s="44"/>
      <c r="E184" s="44"/>
      <c r="F184" s="44"/>
      <c r="G184" s="44"/>
      <c r="H184" s="44"/>
      <c r="I184" s="44"/>
      <c r="J184" s="44"/>
      <c r="K184" s="44"/>
      <c r="L184" s="44"/>
      <c r="M184" s="45"/>
      <c r="N184" s="44"/>
      <c r="O184" s="44"/>
      <c r="P184" s="44"/>
      <c r="Q184" s="44"/>
      <c r="R184" s="44"/>
      <c r="S184" s="44"/>
      <c r="T184" s="44" t="n">
        <v>-558</v>
      </c>
      <c r="U184" s="44"/>
      <c r="V184" s="44"/>
      <c r="W184" s="44"/>
      <c r="X184" s="44" t="n">
        <v>-573</v>
      </c>
    </row>
    <row r="185" ht="22" customHeight="1">
      <c r="A185" s="4" t="str">
        <v>Amortization of prior service cost/(credits)</v>
      </c>
      <c r="B185" s="2"/>
      <c r="C185" s="44"/>
      <c r="D185" s="44"/>
      <c r="E185" s="44"/>
      <c r="F185" s="44"/>
      <c r="G185" s="44"/>
      <c r="H185" s="44"/>
      <c r="I185" s="44"/>
      <c r="J185" s="44"/>
      <c r="K185" s="44"/>
      <c r="L185" s="44"/>
      <c r="M185" s="45"/>
      <c r="N185" s="44"/>
      <c r="O185" s="44"/>
      <c r="P185" s="44"/>
      <c r="Q185" s="44"/>
      <c r="R185" s="44"/>
      <c r="S185" s="44"/>
      <c r="T185" s="44" t="n">
        <v>2</v>
      </c>
      <c r="U185" s="44"/>
      <c r="V185" s="44"/>
      <c r="W185" s="44"/>
      <c r="X185" s="44" t="n">
        <v>6</v>
      </c>
    </row>
    <row r="186" ht="22" customHeight="1">
      <c r="A186" s="4" t="str">
        <v>Amortization of net losses/(gains)</v>
      </c>
      <c r="B186" s="2"/>
      <c r="C186" s="44"/>
      <c r="D186" s="44"/>
      <c r="E186" s="44"/>
      <c r="F186" s="44"/>
      <c r="G186" s="44"/>
      <c r="H186" s="44"/>
      <c r="I186" s="44"/>
      <c r="J186" s="44"/>
      <c r="K186" s="44"/>
      <c r="L186" s="44"/>
      <c r="M186" s="45"/>
      <c r="N186" s="44"/>
      <c r="O186" s="44"/>
      <c r="P186" s="44"/>
      <c r="Q186" s="44"/>
      <c r="R186" s="44"/>
      <c r="S186" s="44"/>
      <c r="T186" s="44" t="n">
        <v>58</v>
      </c>
      <c r="U186" s="44"/>
      <c r="V186" s="44"/>
      <c r="W186" s="44"/>
      <c r="X186" s="44" t="n">
        <v>50</v>
      </c>
    </row>
    <row r="187" ht="22" customHeight="1">
      <c r="A187" s="4" t="str">
        <v>Net settlement/curtailment losses</v>
      </c>
      <c r="B187" s="2"/>
      <c r="C187" s="44"/>
      <c r="D187" s="44"/>
      <c r="E187" s="44"/>
      <c r="F187" s="44"/>
      <c r="G187" s="44"/>
      <c r="H187" s="44"/>
      <c r="I187" s="44"/>
      <c r="J187" s="44"/>
      <c r="K187" s="44"/>
      <c r="L187" s="44"/>
      <c r="M187" s="45"/>
      <c r="N187" s="44"/>
      <c r="O187" s="44"/>
      <c r="P187" s="44"/>
      <c r="Q187" s="44"/>
      <c r="R187" s="44"/>
      <c r="S187" s="44"/>
      <c r="T187" s="44" t="n">
        <v>5</v>
      </c>
      <c r="U187" s="44"/>
      <c r="V187" s="44"/>
      <c r="W187" s="44"/>
      <c r="X187" s="44" t="n">
        <v>171</v>
      </c>
    </row>
    <row r="188" ht="22" customHeight="1">
      <c r="A188" s="4" t="str">
        <v>Special termination benefits</v>
      </c>
      <c r="B188" s="2"/>
      <c r="C188" s="44"/>
      <c r="D188" s="44"/>
      <c r="E188" s="44"/>
      <c r="F188" s="44"/>
      <c r="G188" s="44"/>
      <c r="H188" s="44"/>
      <c r="I188" s="44"/>
      <c r="J188" s="44"/>
      <c r="K188" s="44"/>
      <c r="L188" s="44"/>
      <c r="M188" s="45"/>
      <c r="N188" s="44"/>
      <c r="O188" s="44"/>
      <c r="P188" s="44"/>
      <c r="Q188" s="44"/>
      <c r="R188" s="44"/>
      <c r="S188" s="44"/>
      <c r="T188" s="44" t="n">
        <v>13</v>
      </c>
      <c r="U188" s="44"/>
      <c r="V188" s="44"/>
      <c r="W188" s="44"/>
      <c r="X188" s="44" t="n">
        <v>-6</v>
      </c>
    </row>
    <row r="189" ht="36" customHeight="1">
      <c r="A189" s="51" t="str">
        <v>Total other pension and retiree medical benefits expense/(income)</v>
      </c>
      <c r="B189" s="52"/>
      <c r="C189" s="53"/>
      <c r="D189" s="53"/>
      <c r="E189" s="53"/>
      <c r="F189" s="53"/>
      <c r="G189" s="53"/>
      <c r="H189" s="53"/>
      <c r="I189" s="53"/>
      <c r="J189" s="53"/>
      <c r="K189" s="53"/>
      <c r="L189" s="53"/>
      <c r="M189" s="55"/>
      <c r="N189" s="53"/>
      <c r="O189" s="53"/>
      <c r="P189" s="53"/>
      <c r="Q189" s="53"/>
      <c r="R189" s="53"/>
      <c r="S189" s="53"/>
      <c r="T189" s="53" t="n">
        <v>-74</v>
      </c>
      <c r="U189" s="53"/>
      <c r="V189" s="53"/>
      <c r="W189" s="53"/>
      <c r="X189" s="53" t="n">
        <v>9</v>
      </c>
    </row>
    <row r="190" ht="24" customHeight="1">
      <c r="A190" s="51" t="str">
        <v>Total</v>
      </c>
      <c r="B190" s="52"/>
      <c r="C190" s="53"/>
      <c r="D190" s="53"/>
      <c r="E190" s="53"/>
      <c r="F190" s="53"/>
      <c r="G190" s="53"/>
      <c r="H190" s="53"/>
      <c r="I190" s="53"/>
      <c r="J190" s="53"/>
      <c r="K190" s="53"/>
      <c r="L190" s="53"/>
      <c r="M190" s="55"/>
      <c r="N190" s="53"/>
      <c r="O190" s="53"/>
      <c r="P190" s="53"/>
      <c r="Q190" s="53"/>
      <c r="R190" s="53"/>
      <c r="S190" s="53"/>
      <c r="T190" s="53" t="n">
        <v>142</v>
      </c>
      <c r="U190" s="53"/>
      <c r="V190" s="53"/>
      <c r="W190" s="53"/>
      <c r="X190" s="53" t="n">
        <v>172</v>
      </c>
    </row>
    <row r="191" ht="24" customHeight="1">
      <c r="A191" s="39" t="str">
        <v>Pension / International</v>
      </c>
      <c r="B191" s="40"/>
      <c r="C191" s="41"/>
      <c r="D191" s="41"/>
      <c r="E191" s="41"/>
      <c r="F191" s="41"/>
      <c r="G191" s="41"/>
      <c r="H191" s="41"/>
      <c r="I191" s="41"/>
      <c r="J191" s="41"/>
      <c r="K191" s="41"/>
      <c r="L191" s="41"/>
      <c r="M191" s="42"/>
      <c r="N191" s="41"/>
      <c r="O191" s="41"/>
      <c r="P191" s="41"/>
      <c r="Q191" s="41"/>
      <c r="R191" s="41"/>
      <c r="S191" s="41"/>
      <c r="T191" s="41"/>
      <c r="U191" s="41"/>
      <c r="V191" s="41"/>
      <c r="W191" s="41"/>
      <c r="X191" s="41"/>
    </row>
    <row r="192" ht="22" customHeight="1">
      <c r="A192" s="4" t="str">
        <v>Service cost</v>
      </c>
      <c r="B192" s="2"/>
      <c r="C192" s="44"/>
      <c r="D192" s="44"/>
      <c r="E192" s="44"/>
      <c r="F192" s="44"/>
      <c r="G192" s="44"/>
      <c r="H192" s="44"/>
      <c r="I192" s="44"/>
      <c r="J192" s="44"/>
      <c r="K192" s="44"/>
      <c r="L192" s="44"/>
      <c r="M192" s="45"/>
      <c r="N192" s="44"/>
      <c r="O192" s="44" t="n">
        <v>21</v>
      </c>
      <c r="P192" s="44" t="n">
        <v>32</v>
      </c>
      <c r="Q192" s="44"/>
      <c r="R192" s="44"/>
      <c r="S192" s="44" t="n">
        <v>19</v>
      </c>
      <c r="T192" s="44" t="n">
        <v>30</v>
      </c>
      <c r="U192" s="44"/>
      <c r="V192" s="44"/>
      <c r="W192" s="44" t="n">
        <v>23</v>
      </c>
      <c r="X192" s="44" t="n">
        <v>36</v>
      </c>
    </row>
    <row r="193" ht="22" customHeight="1">
      <c r="A193" s="4" t="str">
        <v>Interest cost</v>
      </c>
      <c r="B193" s="2"/>
      <c r="C193" s="44"/>
      <c r="D193" s="44"/>
      <c r="E193" s="44"/>
      <c r="F193" s="44"/>
      <c r="G193" s="44"/>
      <c r="H193" s="44"/>
      <c r="I193" s="44"/>
      <c r="J193" s="44"/>
      <c r="K193" s="44"/>
      <c r="L193" s="44"/>
      <c r="M193" s="45"/>
      <c r="N193" s="44"/>
      <c r="O193" s="44" t="n">
        <v>63</v>
      </c>
      <c r="P193" s="44" t="n">
        <v>99</v>
      </c>
      <c r="Q193" s="44"/>
      <c r="R193" s="44"/>
      <c r="S193" s="44" t="n">
        <v>62</v>
      </c>
      <c r="T193" s="44" t="n">
        <v>97</v>
      </c>
      <c r="U193" s="44"/>
      <c r="V193" s="44"/>
      <c r="W193" s="44"/>
      <c r="X193" s="44"/>
    </row>
    <row r="194" ht="22" customHeight="1">
      <c r="A194" s="4" t="str">
        <v>Expected return on plan assets</v>
      </c>
      <c r="B194" s="2"/>
      <c r="C194" s="44"/>
      <c r="D194" s="44"/>
      <c r="E194" s="44"/>
      <c r="F194" s="44"/>
      <c r="G194" s="44"/>
      <c r="H194" s="44"/>
      <c r="I194" s="44"/>
      <c r="J194" s="44"/>
      <c r="K194" s="44"/>
      <c r="L194" s="44"/>
      <c r="M194" s="45"/>
      <c r="N194" s="44"/>
      <c r="O194" s="44" t="n">
        <v>-89</v>
      </c>
      <c r="P194" s="44" t="n">
        <v>-139</v>
      </c>
      <c r="Q194" s="44"/>
      <c r="R194" s="44"/>
      <c r="S194" s="44" t="n">
        <v>-83</v>
      </c>
      <c r="T194" s="44" t="n">
        <v>-129</v>
      </c>
      <c r="U194" s="44"/>
      <c r="V194" s="44"/>
      <c r="W194" s="44"/>
      <c r="X194" s="44"/>
    </row>
    <row r="195" ht="22" customHeight="1">
      <c r="A195" s="4" t="str">
        <v>Amortization of prior service credits</v>
      </c>
      <c r="B195" s="2"/>
      <c r="C195" s="44"/>
      <c r="D195" s="44"/>
      <c r="E195" s="44"/>
      <c r="F195" s="44"/>
      <c r="G195" s="44"/>
      <c r="H195" s="44"/>
      <c r="I195" s="44"/>
      <c r="J195" s="44"/>
      <c r="K195" s="44"/>
      <c r="L195" s="44"/>
      <c r="M195" s="45"/>
      <c r="N195" s="44"/>
      <c r="O195" s="44" t="n">
        <v>-1</v>
      </c>
      <c r="P195" s="44" t="n">
        <v>-1</v>
      </c>
      <c r="Q195" s="44"/>
      <c r="R195" s="44"/>
      <c r="S195" s="44"/>
      <c r="T195" s="44"/>
      <c r="U195" s="44"/>
      <c r="V195" s="44"/>
      <c r="W195" s="44"/>
      <c r="X195" s="44"/>
    </row>
    <row r="196" ht="22" customHeight="1">
      <c r="A196" s="4" t="str">
        <v>Amortization of net losses/(gains)</v>
      </c>
      <c r="B196" s="2"/>
      <c r="C196" s="44"/>
      <c r="D196" s="44"/>
      <c r="E196" s="44"/>
      <c r="F196" s="44"/>
      <c r="G196" s="44"/>
      <c r="H196" s="44"/>
      <c r="I196" s="44"/>
      <c r="J196" s="44"/>
      <c r="K196" s="44"/>
      <c r="L196" s="44"/>
      <c r="M196" s="45"/>
      <c r="N196" s="44"/>
      <c r="O196" s="44" t="n">
        <v>9</v>
      </c>
      <c r="P196" s="44" t="n">
        <v>15</v>
      </c>
      <c r="Q196" s="44"/>
      <c r="R196" s="44"/>
      <c r="S196" s="44" t="n">
        <v>10</v>
      </c>
      <c r="T196" s="44" t="n">
        <v>17</v>
      </c>
      <c r="U196" s="44"/>
      <c r="V196" s="44"/>
      <c r="W196" s="44"/>
      <c r="X196" s="44"/>
    </row>
    <row r="197" ht="22" customHeight="1">
      <c r="A197" s="4" t="str">
        <v>Settlement losses</v>
      </c>
      <c r="B197" s="2"/>
      <c r="C197" s="44"/>
      <c r="D197" s="44"/>
      <c r="E197" s="44"/>
      <c r="F197" s="44"/>
      <c r="G197" s="44"/>
      <c r="H197" s="44"/>
      <c r="I197" s="44"/>
      <c r="J197" s="44"/>
      <c r="K197" s="44"/>
      <c r="L197" s="44"/>
      <c r="M197" s="45"/>
      <c r="N197" s="44"/>
      <c r="O197" s="44" t="n">
        <v>2</v>
      </c>
      <c r="P197" s="44" t="n">
        <v>9</v>
      </c>
      <c r="Q197" s="44"/>
      <c r="R197" s="44"/>
      <c r="S197" s="44"/>
      <c r="T197" s="44"/>
      <c r="U197" s="44"/>
      <c r="V197" s="44"/>
      <c r="W197" s="44"/>
      <c r="X197" s="44"/>
    </row>
    <row r="198" ht="22" customHeight="1">
      <c r="A198" s="4" t="str">
        <v>Special termination benefits</v>
      </c>
      <c r="B198" s="2"/>
      <c r="C198" s="44"/>
      <c r="D198" s="44"/>
      <c r="E198" s="44"/>
      <c r="F198" s="44"/>
      <c r="G198" s="44"/>
      <c r="H198" s="44"/>
      <c r="I198" s="44"/>
      <c r="J198" s="44"/>
      <c r="K198" s="44"/>
      <c r="L198" s="44"/>
      <c r="M198" s="45"/>
      <c r="N198" s="44"/>
      <c r="O198" s="44" t="n">
        <v>0</v>
      </c>
      <c r="P198" s="44" t="n">
        <v>0</v>
      </c>
      <c r="Q198" s="44"/>
      <c r="R198" s="44"/>
      <c r="S198" s="44" t="n">
        <v>0</v>
      </c>
      <c r="T198" s="44" t="n">
        <v>0</v>
      </c>
      <c r="U198" s="44"/>
      <c r="V198" s="44"/>
      <c r="W198" s="44"/>
      <c r="X198" s="44"/>
    </row>
    <row r="199" ht="24" customHeight="1">
      <c r="A199" s="51" t="str">
        <v>Total other pension and retiree medical benefits income</v>
      </c>
      <c r="B199" s="52"/>
      <c r="C199" s="53"/>
      <c r="D199" s="53"/>
      <c r="E199" s="53"/>
      <c r="F199" s="53"/>
      <c r="G199" s="53"/>
      <c r="H199" s="53"/>
      <c r="I199" s="53"/>
      <c r="J199" s="53"/>
      <c r="K199" s="53"/>
      <c r="L199" s="53"/>
      <c r="M199" s="55"/>
      <c r="N199" s="53"/>
      <c r="O199" s="53" t="n">
        <v>-16</v>
      </c>
      <c r="P199" s="53" t="n">
        <v>-17</v>
      </c>
      <c r="Q199" s="53"/>
      <c r="R199" s="53"/>
      <c r="S199" s="53" t="n">
        <v>-12</v>
      </c>
      <c r="T199" s="53" t="n">
        <v>-9</v>
      </c>
      <c r="U199" s="53"/>
      <c r="V199" s="53"/>
      <c r="W199" s="53"/>
      <c r="X199" s="53"/>
    </row>
    <row r="200" ht="24" customHeight="1">
      <c r="A200" s="51" t="str">
        <v>Total</v>
      </c>
      <c r="B200" s="52"/>
      <c r="C200" s="53"/>
      <c r="D200" s="53"/>
      <c r="E200" s="53"/>
      <c r="F200" s="53"/>
      <c r="G200" s="53"/>
      <c r="H200" s="53"/>
      <c r="I200" s="53"/>
      <c r="J200" s="53"/>
      <c r="K200" s="53"/>
      <c r="L200" s="53"/>
      <c r="M200" s="55"/>
      <c r="N200" s="53"/>
      <c r="O200" s="53" t="n">
        <v>5</v>
      </c>
      <c r="P200" s="53" t="n">
        <v>15</v>
      </c>
      <c r="Q200" s="53"/>
      <c r="R200" s="53"/>
      <c r="S200" s="53" t="n">
        <v>7</v>
      </c>
      <c r="T200" s="53" t="n">
        <v>21</v>
      </c>
      <c r="U200" s="53"/>
      <c r="V200" s="53"/>
      <c r="W200" s="53"/>
      <c r="X200" s="53"/>
    </row>
    <row r="201" ht="22" customHeight="1">
      <c r="A201" s="4" t="str">
        <v>Amortization of prior service cost/(credits)</v>
      </c>
      <c r="B201" s="2"/>
      <c r="C201" s="44"/>
      <c r="D201" s="44"/>
      <c r="E201" s="44"/>
      <c r="F201" s="44"/>
      <c r="G201" s="44"/>
      <c r="H201" s="44"/>
      <c r="I201" s="44"/>
      <c r="J201" s="44"/>
      <c r="K201" s="44"/>
      <c r="L201" s="44"/>
      <c r="M201" s="45"/>
      <c r="N201" s="44"/>
      <c r="O201" s="44" t="n">
        <v>-1</v>
      </c>
      <c r="P201" s="44" t="n">
        <v>-1</v>
      </c>
      <c r="Q201" s="44"/>
      <c r="R201" s="44"/>
      <c r="S201" s="44" t="n">
        <v>0</v>
      </c>
      <c r="T201" s="44" t="n">
        <v>-1</v>
      </c>
      <c r="U201" s="44"/>
      <c r="V201" s="44"/>
      <c r="W201" s="44"/>
      <c r="X201" s="44"/>
    </row>
    <row r="202" ht="22" customHeight="1">
      <c r="A202" s="4" t="str">
        <v>Settlement/curtailment (gains)/losses</v>
      </c>
      <c r="B202" s="2"/>
      <c r="C202" s="44"/>
      <c r="D202" s="44"/>
      <c r="E202" s="44"/>
      <c r="F202" s="44"/>
      <c r="G202" s="44"/>
      <c r="H202" s="44"/>
      <c r="I202" s="44"/>
      <c r="J202" s="44"/>
      <c r="K202" s="44"/>
      <c r="L202" s="44"/>
      <c r="M202" s="45"/>
      <c r="N202" s="44"/>
      <c r="O202" s="44" t="n">
        <v>2</v>
      </c>
      <c r="P202" s="44"/>
      <c r="Q202" s="44"/>
      <c r="R202" s="44"/>
      <c r="S202" s="44" t="n">
        <v>-1</v>
      </c>
      <c r="T202" s="44"/>
      <c r="U202" s="44"/>
      <c r="V202" s="44"/>
      <c r="W202" s="44"/>
      <c r="X202" s="44"/>
    </row>
    <row r="203" ht="22" customHeight="1">
      <c r="A203" s="4" t="str">
        <v>Net settlement/curtailment losses</v>
      </c>
      <c r="B203" s="2"/>
      <c r="C203" s="44"/>
      <c r="D203" s="44"/>
      <c r="E203" s="44"/>
      <c r="F203" s="44"/>
      <c r="G203" s="44"/>
      <c r="H203" s="44"/>
      <c r="I203" s="44"/>
      <c r="J203" s="44"/>
      <c r="K203" s="44"/>
      <c r="L203" s="44"/>
      <c r="M203" s="45"/>
      <c r="N203" s="44"/>
      <c r="O203" s="44"/>
      <c r="P203" s="44" t="n">
        <v>9</v>
      </c>
      <c r="Q203" s="44"/>
      <c r="R203" s="44"/>
      <c r="S203" s="44"/>
      <c r="T203" s="44" t="n">
        <v>7</v>
      </c>
      <c r="U203" s="44"/>
      <c r="V203" s="44"/>
      <c r="W203" s="44"/>
      <c r="X203" s="44"/>
    </row>
    <row r="204" ht="22" customHeight="1">
      <c r="A204" s="4" t="str">
        <v>Interest cost</v>
      </c>
      <c r="B204" s="2"/>
      <c r="C204" s="44"/>
      <c r="D204" s="44"/>
      <c r="E204" s="44"/>
      <c r="F204" s="44"/>
      <c r="G204" s="44"/>
      <c r="H204" s="44"/>
      <c r="I204" s="44"/>
      <c r="J204" s="44"/>
      <c r="K204" s="44"/>
      <c r="L204" s="44"/>
      <c r="M204" s="45"/>
      <c r="N204" s="44"/>
      <c r="O204" s="44"/>
      <c r="P204" s="44"/>
      <c r="Q204" s="44"/>
      <c r="R204" s="44"/>
      <c r="S204" s="44" t="n">
        <v>62</v>
      </c>
      <c r="T204" s="44"/>
      <c r="U204" s="44"/>
      <c r="V204" s="44"/>
      <c r="W204" s="44" t="n">
        <v>65</v>
      </c>
      <c r="X204" s="44"/>
    </row>
    <row r="205" ht="22" customHeight="1">
      <c r="A205" s="4" t="str">
        <v>Expected return on plan assets</v>
      </c>
      <c r="B205" s="2"/>
      <c r="C205" s="44"/>
      <c r="D205" s="44"/>
      <c r="E205" s="44"/>
      <c r="F205" s="44"/>
      <c r="G205" s="44"/>
      <c r="H205" s="44"/>
      <c r="I205" s="44"/>
      <c r="J205" s="44"/>
      <c r="K205" s="44"/>
      <c r="L205" s="44"/>
      <c r="M205" s="45"/>
      <c r="N205" s="44"/>
      <c r="O205" s="44"/>
      <c r="P205" s="44"/>
      <c r="Q205" s="44"/>
      <c r="R205" s="44"/>
      <c r="S205" s="44" t="n">
        <v>-83</v>
      </c>
      <c r="T205" s="44"/>
      <c r="U205" s="44"/>
      <c r="V205" s="44"/>
      <c r="W205" s="44" t="n">
        <v>-90</v>
      </c>
      <c r="X205" s="44"/>
    </row>
    <row r="206" ht="22" customHeight="1">
      <c r="A206" s="4" t="str">
        <v>Amortization of prior service cost/(credits)</v>
      </c>
      <c r="B206" s="2"/>
      <c r="C206" s="44"/>
      <c r="D206" s="44"/>
      <c r="E206" s="44"/>
      <c r="F206" s="44"/>
      <c r="G206" s="44"/>
      <c r="H206" s="44"/>
      <c r="I206" s="44"/>
      <c r="J206" s="44"/>
      <c r="K206" s="44"/>
      <c r="L206" s="44"/>
      <c r="M206" s="45"/>
      <c r="N206" s="44"/>
      <c r="O206" s="44"/>
      <c r="P206" s="44"/>
      <c r="Q206" s="44"/>
      <c r="R206" s="44"/>
      <c r="S206" s="44" t="n">
        <v>0</v>
      </c>
      <c r="T206" s="44"/>
      <c r="U206" s="44"/>
      <c r="V206" s="44"/>
      <c r="W206" s="44" t="n">
        <v>0</v>
      </c>
      <c r="X206" s="44"/>
    </row>
    <row r="207" ht="22" customHeight="1">
      <c r="A207" s="4" t="str">
        <v>Amortization of net losses/(gains)</v>
      </c>
      <c r="B207" s="2"/>
      <c r="C207" s="44"/>
      <c r="D207" s="44"/>
      <c r="E207" s="44"/>
      <c r="F207" s="44"/>
      <c r="G207" s="44"/>
      <c r="H207" s="44"/>
      <c r="I207" s="44"/>
      <c r="J207" s="44"/>
      <c r="K207" s="44"/>
      <c r="L207" s="44"/>
      <c r="M207" s="45"/>
      <c r="N207" s="44"/>
      <c r="O207" s="44"/>
      <c r="P207" s="44"/>
      <c r="Q207" s="44"/>
      <c r="R207" s="44"/>
      <c r="S207" s="44" t="n">
        <v>10</v>
      </c>
      <c r="T207" s="44"/>
      <c r="U207" s="44"/>
      <c r="V207" s="44"/>
      <c r="W207" s="44" t="n">
        <v>14</v>
      </c>
      <c r="X207" s="44"/>
    </row>
    <row r="208" ht="22" customHeight="1">
      <c r="A208" s="4" t="str">
        <v>Settlement/curtailment gains</v>
      </c>
      <c r="B208" s="2"/>
      <c r="C208" s="44"/>
      <c r="D208" s="44"/>
      <c r="E208" s="44"/>
      <c r="F208" s="44"/>
      <c r="G208" s="44"/>
      <c r="H208" s="44"/>
      <c r="I208" s="44"/>
      <c r="J208" s="44"/>
      <c r="K208" s="44"/>
      <c r="L208" s="44"/>
      <c r="M208" s="45"/>
      <c r="N208" s="44"/>
      <c r="O208" s="44"/>
      <c r="P208" s="44"/>
      <c r="Q208" s="44"/>
      <c r="R208" s="44"/>
      <c r="S208" s="44" t="n">
        <v>-1</v>
      </c>
      <c r="T208" s="44"/>
      <c r="U208" s="44"/>
      <c r="V208" s="44"/>
      <c r="W208" s="44" t="n">
        <v>0</v>
      </c>
      <c r="X208" s="44"/>
    </row>
    <row r="209" ht="22" customHeight="1">
      <c r="A209" s="4" t="str">
        <v>Special termination benefits</v>
      </c>
      <c r="B209" s="2"/>
      <c r="C209" s="44"/>
      <c r="D209" s="44"/>
      <c r="E209" s="44"/>
      <c r="F209" s="44"/>
      <c r="G209" s="44"/>
      <c r="H209" s="44"/>
      <c r="I209" s="44"/>
      <c r="J209" s="44"/>
      <c r="K209" s="44"/>
      <c r="L209" s="44"/>
      <c r="M209" s="45"/>
      <c r="N209" s="44"/>
      <c r="O209" s="44"/>
      <c r="P209" s="44"/>
      <c r="Q209" s="44"/>
      <c r="R209" s="44"/>
      <c r="S209" s="44" t="n">
        <v>0</v>
      </c>
      <c r="T209" s="44"/>
      <c r="U209" s="44"/>
      <c r="V209" s="44"/>
      <c r="W209" s="44" t="n">
        <v>0</v>
      </c>
      <c r="X209" s="44"/>
    </row>
    <row r="210" ht="24" customHeight="1">
      <c r="A210" s="51" t="str">
        <v>Total other pension and retiree medical benefits income</v>
      </c>
      <c r="B210" s="52"/>
      <c r="C210" s="53"/>
      <c r="D210" s="53"/>
      <c r="E210" s="53"/>
      <c r="F210" s="53"/>
      <c r="G210" s="53"/>
      <c r="H210" s="53"/>
      <c r="I210" s="53"/>
      <c r="J210" s="53"/>
      <c r="K210" s="53"/>
      <c r="L210" s="53"/>
      <c r="M210" s="55"/>
      <c r="N210" s="53"/>
      <c r="O210" s="53"/>
      <c r="P210" s="53"/>
      <c r="Q210" s="53"/>
      <c r="R210" s="53"/>
      <c r="S210" s="53" t="n">
        <v>-12</v>
      </c>
      <c r="T210" s="53"/>
      <c r="U210" s="53"/>
      <c r="V210" s="53"/>
      <c r="W210" s="53" t="n">
        <v>-11</v>
      </c>
      <c r="X210" s="53"/>
    </row>
    <row r="211" ht="24" customHeight="1">
      <c r="A211" s="51" t="str">
        <v>Total</v>
      </c>
      <c r="B211" s="52"/>
      <c r="C211" s="53"/>
      <c r="D211" s="53"/>
      <c r="E211" s="53"/>
      <c r="F211" s="53"/>
      <c r="G211" s="53"/>
      <c r="H211" s="53"/>
      <c r="I211" s="53"/>
      <c r="J211" s="53"/>
      <c r="K211" s="53"/>
      <c r="L211" s="53"/>
      <c r="M211" s="55"/>
      <c r="N211" s="53"/>
      <c r="O211" s="53"/>
      <c r="P211" s="53"/>
      <c r="Q211" s="53"/>
      <c r="R211" s="53"/>
      <c r="S211" s="53" t="n">
        <v>7</v>
      </c>
      <c r="T211" s="53"/>
      <c r="U211" s="53"/>
      <c r="V211" s="53"/>
      <c r="W211" s="53" t="n">
        <v>12</v>
      </c>
      <c r="X211" s="53"/>
    </row>
    <row r="212" ht="22" customHeight="1">
      <c r="A212" s="4" t="str">
        <v>Interest cost</v>
      </c>
      <c r="B212" s="2"/>
      <c r="C212" s="44"/>
      <c r="D212" s="44"/>
      <c r="E212" s="44"/>
      <c r="F212" s="44"/>
      <c r="G212" s="44"/>
      <c r="H212" s="44"/>
      <c r="I212" s="44"/>
      <c r="J212" s="44"/>
      <c r="K212" s="44"/>
      <c r="L212" s="44"/>
      <c r="M212" s="45"/>
      <c r="N212" s="44"/>
      <c r="O212" s="44"/>
      <c r="P212" s="44"/>
      <c r="Q212" s="44"/>
      <c r="R212" s="44"/>
      <c r="S212" s="44"/>
      <c r="T212" s="44" t="n">
        <v>97</v>
      </c>
      <c r="U212" s="44"/>
      <c r="V212" s="44"/>
      <c r="W212" s="44"/>
      <c r="X212" s="44" t="n">
        <v>103</v>
      </c>
    </row>
    <row r="213" ht="22" customHeight="1">
      <c r="A213" s="4" t="str">
        <v>Expected return on plan assets</v>
      </c>
      <c r="B213" s="2"/>
      <c r="C213" s="44"/>
      <c r="D213" s="44"/>
      <c r="E213" s="44"/>
      <c r="F213" s="44"/>
      <c r="G213" s="44"/>
      <c r="H213" s="44"/>
      <c r="I213" s="44"/>
      <c r="J213" s="44"/>
      <c r="K213" s="44"/>
      <c r="L213" s="44"/>
      <c r="M213" s="45"/>
      <c r="N213" s="44"/>
      <c r="O213" s="44"/>
      <c r="P213" s="44"/>
      <c r="Q213" s="44"/>
      <c r="R213" s="44"/>
      <c r="S213" s="44"/>
      <c r="T213" s="44" t="n">
        <v>-129</v>
      </c>
      <c r="U213" s="44"/>
      <c r="V213" s="44"/>
      <c r="W213" s="44"/>
      <c r="X213" s="44" t="n">
        <v>-140</v>
      </c>
    </row>
    <row r="214" ht="22" customHeight="1">
      <c r="A214" s="4" t="str">
        <v>Amortization of prior service cost/(credits)</v>
      </c>
      <c r="B214" s="2"/>
      <c r="C214" s="44"/>
      <c r="D214" s="44"/>
      <c r="E214" s="44"/>
      <c r="F214" s="44"/>
      <c r="G214" s="44"/>
      <c r="H214" s="44"/>
      <c r="I214" s="44"/>
      <c r="J214" s="44"/>
      <c r="K214" s="44"/>
      <c r="L214" s="44"/>
      <c r="M214" s="45"/>
      <c r="N214" s="44"/>
      <c r="O214" s="44"/>
      <c r="P214" s="44"/>
      <c r="Q214" s="44"/>
      <c r="R214" s="44"/>
      <c r="S214" s="44"/>
      <c r="T214" s="44" t="n">
        <v>-1</v>
      </c>
      <c r="U214" s="44"/>
      <c r="V214" s="44"/>
      <c r="W214" s="44"/>
      <c r="X214" s="44" t="n">
        <v>0</v>
      </c>
    </row>
    <row r="215" ht="22" customHeight="1">
      <c r="A215" s="4" t="str">
        <v>Amortization of net losses/(gains)</v>
      </c>
      <c r="B215" s="2"/>
      <c r="C215" s="44"/>
      <c r="D215" s="44"/>
      <c r="E215" s="44"/>
      <c r="F215" s="44"/>
      <c r="G215" s="44"/>
      <c r="H215" s="44"/>
      <c r="I215" s="44"/>
      <c r="J215" s="44"/>
      <c r="K215" s="44"/>
      <c r="L215" s="44"/>
      <c r="M215" s="45"/>
      <c r="N215" s="44"/>
      <c r="O215" s="44"/>
      <c r="P215" s="44"/>
      <c r="Q215" s="44"/>
      <c r="R215" s="44"/>
      <c r="S215" s="44"/>
      <c r="T215" s="44" t="n">
        <v>17</v>
      </c>
      <c r="U215" s="44"/>
      <c r="V215" s="44"/>
      <c r="W215" s="44"/>
      <c r="X215" s="44" t="n">
        <v>23</v>
      </c>
    </row>
    <row r="216" ht="22" customHeight="1">
      <c r="A216" s="4" t="str">
        <v>Net settlement/curtailment losses</v>
      </c>
      <c r="B216" s="2"/>
      <c r="C216" s="44"/>
      <c r="D216" s="44"/>
      <c r="E216" s="44"/>
      <c r="F216" s="44"/>
      <c r="G216" s="44"/>
      <c r="H216" s="44"/>
      <c r="I216" s="44"/>
      <c r="J216" s="44"/>
      <c r="K216" s="44"/>
      <c r="L216" s="44"/>
      <c r="M216" s="45"/>
      <c r="N216" s="44"/>
      <c r="O216" s="44"/>
      <c r="P216" s="44"/>
      <c r="Q216" s="44"/>
      <c r="R216" s="44"/>
      <c r="S216" s="44"/>
      <c r="T216" s="44" t="n">
        <v>7</v>
      </c>
      <c r="U216" s="44"/>
      <c r="V216" s="44"/>
      <c r="W216" s="44"/>
      <c r="X216" s="44" t="n">
        <v>8</v>
      </c>
    </row>
    <row r="217" ht="22" customHeight="1">
      <c r="A217" s="4" t="str">
        <v>Special termination benefits</v>
      </c>
      <c r="B217" s="2"/>
      <c r="C217" s="44"/>
      <c r="D217" s="44"/>
      <c r="E217" s="44"/>
      <c r="F217" s="44"/>
      <c r="G217" s="44"/>
      <c r="H217" s="44"/>
      <c r="I217" s="44"/>
      <c r="J217" s="44"/>
      <c r="K217" s="44"/>
      <c r="L217" s="44"/>
      <c r="M217" s="45"/>
      <c r="N217" s="44"/>
      <c r="O217" s="44"/>
      <c r="P217" s="44"/>
      <c r="Q217" s="44"/>
      <c r="R217" s="44"/>
      <c r="S217" s="44"/>
      <c r="T217" s="44" t="n">
        <v>0</v>
      </c>
      <c r="U217" s="44"/>
      <c r="V217" s="44"/>
      <c r="W217" s="44"/>
      <c r="X217" s="44" t="n">
        <v>0</v>
      </c>
    </row>
    <row r="218" ht="36" customHeight="1">
      <c r="A218" s="51" t="str">
        <v>Total other pension and retiree medical benefits expense/(income)</v>
      </c>
      <c r="B218" s="52"/>
      <c r="C218" s="53"/>
      <c r="D218" s="53"/>
      <c r="E218" s="53"/>
      <c r="F218" s="53"/>
      <c r="G218" s="53"/>
      <c r="H218" s="53"/>
      <c r="I218" s="53"/>
      <c r="J218" s="53"/>
      <c r="K218" s="53"/>
      <c r="L218" s="53"/>
      <c r="M218" s="55"/>
      <c r="N218" s="53"/>
      <c r="O218" s="53"/>
      <c r="P218" s="53"/>
      <c r="Q218" s="53"/>
      <c r="R218" s="53"/>
      <c r="S218" s="53"/>
      <c r="T218" s="53" t="n">
        <v>-9</v>
      </c>
      <c r="U218" s="53"/>
      <c r="V218" s="53"/>
      <c r="W218" s="53"/>
      <c r="X218" s="53" t="n">
        <v>-6</v>
      </c>
    </row>
    <row r="219" ht="24" customHeight="1">
      <c r="A219" s="51" t="str">
        <v>Total</v>
      </c>
      <c r="B219" s="52"/>
      <c r="C219" s="53"/>
      <c r="D219" s="53"/>
      <c r="E219" s="53"/>
      <c r="F219" s="53"/>
      <c r="G219" s="53"/>
      <c r="H219" s="53"/>
      <c r="I219" s="53"/>
      <c r="J219" s="53"/>
      <c r="K219" s="53"/>
      <c r="L219" s="53"/>
      <c r="M219" s="55"/>
      <c r="N219" s="53"/>
      <c r="O219" s="53"/>
      <c r="P219" s="53"/>
      <c r="Q219" s="53"/>
      <c r="R219" s="53"/>
      <c r="S219" s="53"/>
      <c r="T219" s="53" t="n">
        <v>21</v>
      </c>
      <c r="U219" s="53"/>
      <c r="V219" s="53"/>
      <c r="W219" s="53"/>
      <c r="X219" s="53" t="n">
        <v>30</v>
      </c>
    </row>
    <row r="220" ht="24" customHeight="1">
      <c r="A220" s="39" t="str">
        <v>Retiree Medical</v>
      </c>
      <c r="B220" s="40"/>
      <c r="C220" s="41"/>
      <c r="D220" s="41"/>
      <c r="E220" s="41"/>
      <c r="F220" s="41"/>
      <c r="G220" s="41"/>
      <c r="H220" s="41"/>
      <c r="I220" s="41"/>
      <c r="J220" s="41"/>
      <c r="K220" s="41"/>
      <c r="L220" s="41"/>
      <c r="M220" s="42"/>
      <c r="N220" s="41"/>
      <c r="O220" s="41"/>
      <c r="P220" s="41"/>
      <c r="Q220" s="41"/>
      <c r="R220" s="41"/>
      <c r="S220" s="41"/>
      <c r="T220" s="41"/>
      <c r="U220" s="41"/>
      <c r="V220" s="41"/>
      <c r="W220" s="41"/>
      <c r="X220" s="41"/>
    </row>
    <row r="221" ht="22" customHeight="1">
      <c r="A221" s="4" t="str">
        <v>Service cost</v>
      </c>
      <c r="B221" s="2"/>
      <c r="C221" s="44"/>
      <c r="D221" s="44"/>
      <c r="E221" s="44"/>
      <c r="F221" s="44"/>
      <c r="G221" s="44"/>
      <c r="H221" s="44"/>
      <c r="I221" s="44"/>
      <c r="J221" s="44"/>
      <c r="K221" s="44"/>
      <c r="L221" s="44"/>
      <c r="M221" s="45"/>
      <c r="N221" s="44"/>
      <c r="O221" s="44" t="n">
        <v>15</v>
      </c>
      <c r="P221" s="44" t="n">
        <v>22</v>
      </c>
      <c r="Q221" s="44"/>
      <c r="R221" s="44"/>
      <c r="S221" s="44" t="n">
        <v>14</v>
      </c>
      <c r="T221" s="44" t="n">
        <v>22</v>
      </c>
      <c r="U221" s="44"/>
      <c r="V221" s="44"/>
      <c r="W221" s="44" t="n">
        <v>17</v>
      </c>
      <c r="X221" s="44" t="n">
        <v>25</v>
      </c>
    </row>
    <row r="222" ht="22" customHeight="1">
      <c r="A222" s="4" t="str">
        <v>Interest cost</v>
      </c>
      <c r="B222" s="2"/>
      <c r="C222" s="44"/>
      <c r="D222" s="44"/>
      <c r="E222" s="44"/>
      <c r="F222" s="44"/>
      <c r="G222" s="44"/>
      <c r="H222" s="44"/>
      <c r="I222" s="44"/>
      <c r="J222" s="44"/>
      <c r="K222" s="44"/>
      <c r="L222" s="44"/>
      <c r="M222" s="45"/>
      <c r="N222" s="44"/>
      <c r="O222" s="44" t="n">
        <v>15</v>
      </c>
      <c r="P222" s="44" t="n">
        <v>22</v>
      </c>
      <c r="Q222" s="44"/>
      <c r="R222" s="44"/>
      <c r="S222" s="44" t="n">
        <v>14</v>
      </c>
      <c r="T222" s="44" t="n">
        <v>20</v>
      </c>
      <c r="U222" s="44"/>
      <c r="V222" s="44"/>
      <c r="W222" s="44"/>
      <c r="X222" s="44"/>
    </row>
    <row r="223" ht="22" customHeight="1">
      <c r="A223" s="4" t="str">
        <v>Expected return on plan assets</v>
      </c>
      <c r="B223" s="2"/>
      <c r="C223" s="44"/>
      <c r="D223" s="44"/>
      <c r="E223" s="44"/>
      <c r="F223" s="44"/>
      <c r="G223" s="44"/>
      <c r="H223" s="44"/>
      <c r="I223" s="44"/>
      <c r="J223" s="44"/>
      <c r="K223" s="44"/>
      <c r="L223" s="44"/>
      <c r="M223" s="45"/>
      <c r="N223" s="44"/>
      <c r="O223" s="44" t="n">
        <v>-6</v>
      </c>
      <c r="P223" s="44" t="n">
        <v>-9</v>
      </c>
      <c r="Q223" s="44"/>
      <c r="R223" s="44"/>
      <c r="S223" s="44" t="n">
        <v>-5</v>
      </c>
      <c r="T223" s="44" t="n">
        <v>-8</v>
      </c>
      <c r="U223" s="44"/>
      <c r="V223" s="44"/>
      <c r="W223" s="44"/>
      <c r="X223" s="44"/>
    </row>
    <row r="224" ht="22" customHeight="1">
      <c r="A224" s="4" t="str">
        <v>Amortization of prior service credits</v>
      </c>
      <c r="B224" s="2"/>
      <c r="C224" s="44"/>
      <c r="D224" s="44"/>
      <c r="E224" s="44"/>
      <c r="F224" s="44"/>
      <c r="G224" s="44"/>
      <c r="H224" s="44"/>
      <c r="I224" s="44"/>
      <c r="J224" s="44"/>
      <c r="K224" s="44"/>
      <c r="L224" s="44"/>
      <c r="M224" s="45"/>
      <c r="N224" s="44"/>
      <c r="O224" s="44" t="n">
        <v>-2</v>
      </c>
      <c r="P224" s="44" t="n">
        <v>-3</v>
      </c>
      <c r="Q224" s="44"/>
      <c r="R224" s="44"/>
      <c r="S224" s="44"/>
      <c r="T224" s="44"/>
      <c r="U224" s="44"/>
      <c r="V224" s="44"/>
      <c r="W224" s="44"/>
      <c r="X224" s="44"/>
    </row>
    <row r="225" ht="22" customHeight="1">
      <c r="A225" s="4" t="str">
        <v>Amortization of net losses/(gains)</v>
      </c>
      <c r="B225" s="2"/>
      <c r="C225" s="44"/>
      <c r="D225" s="44"/>
      <c r="E225" s="44"/>
      <c r="F225" s="44"/>
      <c r="G225" s="44"/>
      <c r="H225" s="44"/>
      <c r="I225" s="44"/>
      <c r="J225" s="44"/>
      <c r="K225" s="44"/>
      <c r="L225" s="44"/>
      <c r="M225" s="45"/>
      <c r="N225" s="44"/>
      <c r="O225" s="44" t="n">
        <v>-12</v>
      </c>
      <c r="P225" s="44" t="n">
        <v>-18</v>
      </c>
      <c r="Q225" s="44"/>
      <c r="R225" s="44"/>
      <c r="S225" s="44" t="n">
        <v>-12</v>
      </c>
      <c r="T225" s="44" t="n">
        <v>-17</v>
      </c>
      <c r="U225" s="44"/>
      <c r="V225" s="44"/>
      <c r="W225" s="44"/>
      <c r="X225" s="44"/>
    </row>
    <row r="226" ht="22" customHeight="1">
      <c r="A226" s="4" t="str">
        <v>Settlement losses</v>
      </c>
      <c r="B226" s="2"/>
      <c r="C226" s="44"/>
      <c r="D226" s="44"/>
      <c r="E226" s="44"/>
      <c r="F226" s="44"/>
      <c r="G226" s="44"/>
      <c r="H226" s="44"/>
      <c r="I226" s="44"/>
      <c r="J226" s="44"/>
      <c r="K226" s="44"/>
      <c r="L226" s="44"/>
      <c r="M226" s="45"/>
      <c r="N226" s="44"/>
      <c r="O226" s="44" t="n">
        <v>0</v>
      </c>
      <c r="P226" s="44" t="n">
        <v>0</v>
      </c>
      <c r="Q226" s="44"/>
      <c r="R226" s="44"/>
      <c r="S226" s="44"/>
      <c r="T226" s="44"/>
      <c r="U226" s="44"/>
      <c r="V226" s="44"/>
      <c r="W226" s="44"/>
      <c r="X226" s="44"/>
    </row>
    <row r="227" ht="22" customHeight="1">
      <c r="A227" s="4" t="str">
        <v>Special termination benefits</v>
      </c>
      <c r="B227" s="2"/>
      <c r="C227" s="44"/>
      <c r="D227" s="44"/>
      <c r="E227" s="44"/>
      <c r="F227" s="44"/>
      <c r="G227" s="44"/>
      <c r="H227" s="44"/>
      <c r="I227" s="44"/>
      <c r="J227" s="44"/>
      <c r="K227" s="44"/>
      <c r="L227" s="44"/>
      <c r="M227" s="45"/>
      <c r="N227" s="44"/>
      <c r="O227" s="44" t="n">
        <v>0</v>
      </c>
      <c r="P227" s="44" t="n">
        <v>2</v>
      </c>
      <c r="Q227" s="44"/>
      <c r="R227" s="44"/>
      <c r="S227" s="44" t="n">
        <v>0</v>
      </c>
      <c r="T227" s="44" t="n">
        <v>0</v>
      </c>
      <c r="U227" s="44"/>
      <c r="V227" s="44"/>
      <c r="W227" s="44"/>
      <c r="X227" s="44"/>
    </row>
    <row r="228" ht="24" customHeight="1">
      <c r="A228" s="51" t="str">
        <v>Total other pension and retiree medical benefits income</v>
      </c>
      <c r="B228" s="52"/>
      <c r="C228" s="53"/>
      <c r="D228" s="53"/>
      <c r="E228" s="53"/>
      <c r="F228" s="53"/>
      <c r="G228" s="53"/>
      <c r="H228" s="53"/>
      <c r="I228" s="53"/>
      <c r="J228" s="53"/>
      <c r="K228" s="53"/>
      <c r="L228" s="53"/>
      <c r="M228" s="55"/>
      <c r="N228" s="53"/>
      <c r="O228" s="53" t="n">
        <v>-5</v>
      </c>
      <c r="P228" s="53" t="n">
        <v>-6</v>
      </c>
      <c r="Q228" s="53"/>
      <c r="R228" s="53"/>
      <c r="S228" s="53" t="n">
        <v>-5</v>
      </c>
      <c r="T228" s="53" t="n">
        <v>-8</v>
      </c>
      <c r="U228" s="53"/>
      <c r="V228" s="53"/>
      <c r="W228" s="53"/>
      <c r="X228" s="53"/>
    </row>
    <row r="229" ht="24" customHeight="1">
      <c r="A229" s="51" t="str">
        <v>Total</v>
      </c>
      <c r="B229" s="52"/>
      <c r="C229" s="53"/>
      <c r="D229" s="53"/>
      <c r="E229" s="53"/>
      <c r="F229" s="53"/>
      <c r="G229" s="53"/>
      <c r="H229" s="53"/>
      <c r="I229" s="53"/>
      <c r="J229" s="53"/>
      <c r="K229" s="53"/>
      <c r="L229" s="53"/>
      <c r="M229" s="55"/>
      <c r="N229" s="53"/>
      <c r="O229" s="53" t="n">
        <v>10</v>
      </c>
      <c r="P229" s="53" t="n">
        <v>16</v>
      </c>
      <c r="Q229" s="53"/>
      <c r="R229" s="53"/>
      <c r="S229" s="53" t="n">
        <v>9</v>
      </c>
      <c r="T229" s="53" t="n">
        <v>14</v>
      </c>
      <c r="U229" s="53"/>
      <c r="V229" s="53"/>
      <c r="W229" s="53"/>
      <c r="X229" s="53"/>
    </row>
    <row r="230" ht="22" customHeight="1">
      <c r="A230" s="4" t="str">
        <v>Amortization of prior service cost/(credits)</v>
      </c>
      <c r="B230" s="2"/>
      <c r="C230" s="44"/>
      <c r="D230" s="44"/>
      <c r="E230" s="44"/>
      <c r="F230" s="44"/>
      <c r="G230" s="44"/>
      <c r="H230" s="44"/>
      <c r="I230" s="44"/>
      <c r="J230" s="44"/>
      <c r="K230" s="44"/>
      <c r="L230" s="44"/>
      <c r="M230" s="45"/>
      <c r="N230" s="44"/>
      <c r="O230" s="44" t="n">
        <v>-2</v>
      </c>
      <c r="P230" s="44" t="n">
        <v>-3</v>
      </c>
      <c r="Q230" s="44"/>
      <c r="R230" s="44"/>
      <c r="S230" s="44" t="n">
        <v>-2</v>
      </c>
      <c r="T230" s="44" t="n">
        <v>-3</v>
      </c>
      <c r="U230" s="44"/>
      <c r="V230" s="44"/>
      <c r="W230" s="44"/>
      <c r="X230" s="44"/>
    </row>
    <row r="231" ht="22" customHeight="1">
      <c r="A231" s="4" t="str">
        <v>Settlement/curtailment (gains)/losses</v>
      </c>
      <c r="B231" s="2"/>
      <c r="C231" s="44"/>
      <c r="D231" s="44"/>
      <c r="E231" s="44"/>
      <c r="F231" s="44"/>
      <c r="G231" s="44"/>
      <c r="H231" s="44"/>
      <c r="I231" s="44"/>
      <c r="J231" s="44"/>
      <c r="K231" s="44"/>
      <c r="L231" s="44"/>
      <c r="M231" s="45"/>
      <c r="N231" s="44"/>
      <c r="O231" s="44" t="n">
        <v>0</v>
      </c>
      <c r="P231" s="44"/>
      <c r="Q231" s="44"/>
      <c r="R231" s="44"/>
      <c r="S231" s="44" t="n">
        <v>0</v>
      </c>
      <c r="T231" s="44"/>
      <c r="U231" s="44"/>
      <c r="V231" s="44"/>
      <c r="W231" s="44"/>
      <c r="X231" s="44"/>
    </row>
    <row r="232" ht="22" customHeight="1">
      <c r="A232" s="4" t="str">
        <v>Net settlement/curtailment losses</v>
      </c>
      <c r="B232" s="2"/>
      <c r="C232" s="44"/>
      <c r="D232" s="44"/>
      <c r="E232" s="44"/>
      <c r="F232" s="44"/>
      <c r="G232" s="44"/>
      <c r="H232" s="44"/>
      <c r="I232" s="44"/>
      <c r="J232" s="44"/>
      <c r="K232" s="44"/>
      <c r="L232" s="44"/>
      <c r="M232" s="45"/>
      <c r="N232" s="44"/>
      <c r="O232" s="44"/>
      <c r="P232" s="44" t="n">
        <v>0</v>
      </c>
      <c r="Q232" s="44"/>
      <c r="R232" s="44"/>
      <c r="S232" s="44"/>
      <c r="T232" s="44" t="n">
        <v>0</v>
      </c>
      <c r="U232" s="44"/>
      <c r="V232" s="44"/>
      <c r="W232" s="44"/>
      <c r="X232" s="44"/>
    </row>
    <row r="233" ht="22" customHeight="1">
      <c r="A233" s="4" t="str">
        <v>Interest cost</v>
      </c>
      <c r="B233" s="2"/>
      <c r="C233" s="44"/>
      <c r="D233" s="44"/>
      <c r="E233" s="44"/>
      <c r="F233" s="44"/>
      <c r="G233" s="44"/>
      <c r="H233" s="44"/>
      <c r="I233" s="44"/>
      <c r="J233" s="44"/>
      <c r="K233" s="44"/>
      <c r="L233" s="44"/>
      <c r="M233" s="45"/>
      <c r="N233" s="44"/>
      <c r="O233" s="44"/>
      <c r="P233" s="44"/>
      <c r="Q233" s="44"/>
      <c r="R233" s="44"/>
      <c r="S233" s="44" t="n">
        <v>14</v>
      </c>
      <c r="T233" s="44"/>
      <c r="U233" s="44"/>
      <c r="V233" s="44"/>
      <c r="W233" s="44" t="n">
        <v>12</v>
      </c>
      <c r="X233" s="44"/>
    </row>
    <row r="234" ht="22" customHeight="1">
      <c r="A234" s="4" t="str">
        <v>Expected return on plan assets</v>
      </c>
      <c r="B234" s="2"/>
      <c r="C234" s="44"/>
      <c r="D234" s="44"/>
      <c r="E234" s="44"/>
      <c r="F234" s="44"/>
      <c r="G234" s="44"/>
      <c r="H234" s="44"/>
      <c r="I234" s="44"/>
      <c r="J234" s="44"/>
      <c r="K234" s="44"/>
      <c r="L234" s="44"/>
      <c r="M234" s="45"/>
      <c r="N234" s="44"/>
      <c r="O234" s="44"/>
      <c r="P234" s="44"/>
      <c r="Q234" s="44"/>
      <c r="R234" s="44"/>
      <c r="S234" s="44" t="n">
        <v>-5</v>
      </c>
      <c r="T234" s="44"/>
      <c r="U234" s="44"/>
      <c r="V234" s="44"/>
      <c r="W234" s="44" t="n">
        <v>-4</v>
      </c>
      <c r="X234" s="44"/>
    </row>
    <row r="235" ht="22" customHeight="1">
      <c r="A235" s="4" t="str">
        <v>Amortization of prior service cost/(credits)</v>
      </c>
      <c r="B235" s="2"/>
      <c r="C235" s="44"/>
      <c r="D235" s="44"/>
      <c r="E235" s="44"/>
      <c r="F235" s="44"/>
      <c r="G235" s="44"/>
      <c r="H235" s="44"/>
      <c r="I235" s="44"/>
      <c r="J235" s="44"/>
      <c r="K235" s="44"/>
      <c r="L235" s="44"/>
      <c r="M235" s="45"/>
      <c r="N235" s="44"/>
      <c r="O235" s="44"/>
      <c r="P235" s="44"/>
      <c r="Q235" s="44"/>
      <c r="R235" s="44"/>
      <c r="S235" s="44" t="n">
        <v>-2</v>
      </c>
      <c r="T235" s="44"/>
      <c r="U235" s="44"/>
      <c r="V235" s="44"/>
      <c r="W235" s="44" t="n">
        <v>-2</v>
      </c>
      <c r="X235" s="44"/>
    </row>
    <row r="236" ht="22" customHeight="1">
      <c r="A236" s="4" t="str">
        <v>Amortization of net losses/(gains)</v>
      </c>
      <c r="B236" s="2"/>
      <c r="C236" s="44"/>
      <c r="D236" s="44"/>
      <c r="E236" s="44"/>
      <c r="F236" s="44"/>
      <c r="G236" s="44"/>
      <c r="H236" s="44"/>
      <c r="I236" s="44"/>
      <c r="J236" s="44"/>
      <c r="K236" s="44"/>
      <c r="L236" s="44"/>
      <c r="M236" s="45"/>
      <c r="N236" s="44"/>
      <c r="O236" s="44"/>
      <c r="P236" s="44"/>
      <c r="Q236" s="44"/>
      <c r="R236" s="44"/>
      <c r="S236" s="44" t="n">
        <v>-12</v>
      </c>
      <c r="T236" s="44"/>
      <c r="U236" s="44"/>
      <c r="V236" s="44"/>
      <c r="W236" s="44" t="n">
        <v>-9</v>
      </c>
      <c r="X236" s="44"/>
    </row>
    <row r="237" ht="22" customHeight="1">
      <c r="A237" s="4" t="str">
        <v>Settlement/curtailment gains</v>
      </c>
      <c r="B237" s="2"/>
      <c r="C237" s="44"/>
      <c r="D237" s="44"/>
      <c r="E237" s="44"/>
      <c r="F237" s="44"/>
      <c r="G237" s="44"/>
      <c r="H237" s="44"/>
      <c r="I237" s="44"/>
      <c r="J237" s="44"/>
      <c r="K237" s="44"/>
      <c r="L237" s="44"/>
      <c r="M237" s="45"/>
      <c r="N237" s="44"/>
      <c r="O237" s="44"/>
      <c r="P237" s="44"/>
      <c r="Q237" s="44"/>
      <c r="R237" s="44"/>
      <c r="S237" s="44" t="n">
        <v>0</v>
      </c>
      <c r="T237" s="44"/>
      <c r="U237" s="44"/>
      <c r="V237" s="44"/>
      <c r="W237" s="44" t="n">
        <v>0</v>
      </c>
      <c r="X237" s="44"/>
    </row>
    <row r="238" ht="22" customHeight="1">
      <c r="A238" s="4" t="str">
        <v>Special termination benefits</v>
      </c>
      <c r="B238" s="2"/>
      <c r="C238" s="44"/>
      <c r="D238" s="44"/>
      <c r="E238" s="44"/>
      <c r="F238" s="44"/>
      <c r="G238" s="44"/>
      <c r="H238" s="44"/>
      <c r="I238" s="44"/>
      <c r="J238" s="44"/>
      <c r="K238" s="44"/>
      <c r="L238" s="44"/>
      <c r="M238" s="45"/>
      <c r="N238" s="44"/>
      <c r="O238" s="44"/>
      <c r="P238" s="44"/>
      <c r="Q238" s="44"/>
      <c r="R238" s="44"/>
      <c r="S238" s="44" t="n">
        <v>0</v>
      </c>
      <c r="T238" s="44"/>
      <c r="U238" s="44"/>
      <c r="V238" s="44"/>
      <c r="W238" s="44" t="n">
        <v>0</v>
      </c>
      <c r="X238" s="44"/>
    </row>
    <row r="239" ht="24" customHeight="1">
      <c r="A239" s="51" t="str">
        <v>Total other pension and retiree medical benefits income</v>
      </c>
      <c r="B239" s="52"/>
      <c r="C239" s="53"/>
      <c r="D239" s="53"/>
      <c r="E239" s="53"/>
      <c r="F239" s="53"/>
      <c r="G239" s="53"/>
      <c r="H239" s="53"/>
      <c r="I239" s="53"/>
      <c r="J239" s="53"/>
      <c r="K239" s="53"/>
      <c r="L239" s="53"/>
      <c r="M239" s="55"/>
      <c r="N239" s="53"/>
      <c r="O239" s="53"/>
      <c r="P239" s="53"/>
      <c r="Q239" s="53"/>
      <c r="R239" s="53"/>
      <c r="S239" s="53" t="n">
        <v>-5</v>
      </c>
      <c r="T239" s="53"/>
      <c r="U239" s="53"/>
      <c r="V239" s="53"/>
      <c r="W239" s="53" t="n">
        <v>-3</v>
      </c>
      <c r="X239" s="53"/>
    </row>
    <row r="240" ht="24" customHeight="1">
      <c r="A240" s="51" t="str">
        <v>Total</v>
      </c>
      <c r="B240" s="52"/>
      <c r="C240" s="53"/>
      <c r="D240" s="53"/>
      <c r="E240" s="53"/>
      <c r="F240" s="53"/>
      <c r="G240" s="53"/>
      <c r="H240" s="53"/>
      <c r="I240" s="53"/>
      <c r="J240" s="53"/>
      <c r="K240" s="53"/>
      <c r="L240" s="53"/>
      <c r="M240" s="55"/>
      <c r="N240" s="53"/>
      <c r="O240" s="53"/>
      <c r="P240" s="53"/>
      <c r="Q240" s="53"/>
      <c r="R240" s="53"/>
      <c r="S240" s="53" t="n">
        <v>9</v>
      </c>
      <c r="T240" s="53"/>
      <c r="U240" s="53"/>
      <c r="V240" s="53"/>
      <c r="W240" s="53" t="n">
        <v>14</v>
      </c>
      <c r="X240" s="53"/>
    </row>
    <row r="241" ht="22" customHeight="1">
      <c r="A241" s="4" t="str">
        <v>Interest cost</v>
      </c>
      <c r="B241" s="2"/>
      <c r="C241" s="44"/>
      <c r="D241" s="44"/>
      <c r="E241" s="44"/>
      <c r="F241" s="44"/>
      <c r="G241" s="44"/>
      <c r="H241" s="44"/>
      <c r="I241" s="44"/>
      <c r="J241" s="44"/>
      <c r="K241" s="44"/>
      <c r="L241" s="44"/>
      <c r="M241" s="45"/>
      <c r="N241" s="44"/>
      <c r="O241" s="44"/>
      <c r="P241" s="44"/>
      <c r="Q241" s="44"/>
      <c r="R241" s="44"/>
      <c r="S241" s="44"/>
      <c r="T241" s="44" t="n">
        <v>20</v>
      </c>
      <c r="U241" s="44"/>
      <c r="V241" s="44"/>
      <c r="W241" s="44"/>
      <c r="X241" s="44" t="n">
        <v>19</v>
      </c>
    </row>
    <row r="242" ht="22" customHeight="1">
      <c r="A242" s="4" t="str">
        <v>Expected return on plan assets</v>
      </c>
      <c r="B242" s="2"/>
      <c r="C242" s="44"/>
      <c r="D242" s="44"/>
      <c r="E242" s="44"/>
      <c r="F242" s="44"/>
      <c r="G242" s="44"/>
      <c r="H242" s="44"/>
      <c r="I242" s="44"/>
      <c r="J242" s="44"/>
      <c r="K242" s="44"/>
      <c r="L242" s="44"/>
      <c r="M242" s="45"/>
      <c r="N242" s="44"/>
      <c r="O242" s="44"/>
      <c r="P242" s="44"/>
      <c r="Q242" s="44"/>
      <c r="R242" s="44"/>
      <c r="S242" s="44"/>
      <c r="T242" s="44" t="n">
        <v>-8</v>
      </c>
      <c r="U242" s="44"/>
      <c r="V242" s="44"/>
      <c r="W242" s="44"/>
      <c r="X242" s="44" t="n">
        <v>-8</v>
      </c>
    </row>
    <row r="243" ht="22" customHeight="1">
      <c r="A243" s="4" t="str">
        <v>Amortization of prior service cost/(credits)</v>
      </c>
      <c r="B243" s="2"/>
      <c r="C243" s="44"/>
      <c r="D243" s="44"/>
      <c r="E243" s="44"/>
      <c r="F243" s="44"/>
      <c r="G243" s="44"/>
      <c r="H243" s="44"/>
      <c r="I243" s="44"/>
      <c r="J243" s="44"/>
      <c r="K243" s="44"/>
      <c r="L243" s="44"/>
      <c r="M243" s="45"/>
      <c r="N243" s="44"/>
      <c r="O243" s="44"/>
      <c r="P243" s="44"/>
      <c r="Q243" s="44"/>
      <c r="R243" s="44"/>
      <c r="S243" s="44"/>
      <c r="T243" s="44" t="n">
        <v>-3</v>
      </c>
      <c r="U243" s="44"/>
      <c r="V243" s="44"/>
      <c r="W243" s="44"/>
      <c r="X243" s="44" t="n">
        <v>-3</v>
      </c>
    </row>
    <row r="244" ht="22" customHeight="1">
      <c r="A244" s="4" t="str">
        <v>Amortization of net losses/(gains)</v>
      </c>
      <c r="B244" s="2"/>
      <c r="C244" s="44"/>
      <c r="D244" s="44"/>
      <c r="E244" s="44"/>
      <c r="F244" s="44"/>
      <c r="G244" s="44"/>
      <c r="H244" s="44"/>
      <c r="I244" s="44"/>
      <c r="J244" s="44"/>
      <c r="K244" s="44"/>
      <c r="L244" s="44"/>
      <c r="M244" s="45"/>
      <c r="N244" s="44"/>
      <c r="O244" s="44"/>
      <c r="P244" s="44"/>
      <c r="Q244" s="44"/>
      <c r="R244" s="44"/>
      <c r="S244" s="44"/>
      <c r="T244" s="44" t="n">
        <v>-17</v>
      </c>
      <c r="U244" s="44"/>
      <c r="V244" s="44"/>
      <c r="W244" s="44"/>
      <c r="X244" s="44" t="n">
        <v>-14</v>
      </c>
    </row>
    <row r="245" ht="22" customHeight="1">
      <c r="A245" s="4" t="str">
        <v>Net settlement/curtailment losses</v>
      </c>
      <c r="B245" s="2"/>
      <c r="C245" s="44"/>
      <c r="D245" s="44"/>
      <c r="E245" s="44"/>
      <c r="F245" s="44"/>
      <c r="G245" s="44"/>
      <c r="H245" s="44"/>
      <c r="I245" s="44"/>
      <c r="J245" s="44"/>
      <c r="K245" s="44"/>
      <c r="L245" s="44"/>
      <c r="M245" s="45"/>
      <c r="N245" s="44"/>
      <c r="O245" s="44"/>
      <c r="P245" s="44"/>
      <c r="Q245" s="44"/>
      <c r="R245" s="44"/>
      <c r="S245" s="44"/>
      <c r="T245" s="44" t="n">
        <v>0</v>
      </c>
      <c r="U245" s="44"/>
      <c r="V245" s="44"/>
      <c r="W245" s="44"/>
      <c r="X245" s="44" t="n">
        <v>0</v>
      </c>
    </row>
    <row r="246" ht="22" customHeight="1">
      <c r="A246" s="4" t="str">
        <v>Special termination benefits</v>
      </c>
      <c r="B246" s="2"/>
      <c r="C246" s="44"/>
      <c r="D246" s="44"/>
      <c r="E246" s="44"/>
      <c r="F246" s="44"/>
      <c r="G246" s="44"/>
      <c r="H246" s="44"/>
      <c r="I246" s="44"/>
      <c r="J246" s="44"/>
      <c r="K246" s="44"/>
      <c r="L246" s="44"/>
      <c r="M246" s="45"/>
      <c r="N246" s="44"/>
      <c r="O246" s="44"/>
      <c r="P246" s="44"/>
      <c r="Q246" s="44"/>
      <c r="R246" s="44"/>
      <c r="S246" s="44"/>
      <c r="T246" s="44" t="n">
        <v>0</v>
      </c>
      <c r="U246" s="44"/>
      <c r="V246" s="44"/>
      <c r="W246" s="44"/>
      <c r="X246" s="44" t="n">
        <v>0</v>
      </c>
    </row>
    <row r="247" ht="36" customHeight="1">
      <c r="A247" s="51" t="str">
        <v>Total other pension and retiree medical benefits expense/(income)</v>
      </c>
      <c r="B247" s="52"/>
      <c r="C247" s="53"/>
      <c r="D247" s="53"/>
      <c r="E247" s="53"/>
      <c r="F247" s="53"/>
      <c r="G247" s="53"/>
      <c r="H247" s="53"/>
      <c r="I247" s="53"/>
      <c r="J247" s="53"/>
      <c r="K247" s="53"/>
      <c r="L247" s="53"/>
      <c r="M247" s="55"/>
      <c r="N247" s="53"/>
      <c r="O247" s="53"/>
      <c r="P247" s="53"/>
      <c r="Q247" s="53"/>
      <c r="R247" s="53"/>
      <c r="S247" s="53"/>
      <c r="T247" s="53" t="n">
        <v>-8</v>
      </c>
      <c r="U247" s="53"/>
      <c r="V247" s="53"/>
      <c r="W247" s="53"/>
      <c r="X247" s="53" t="n">
        <v>-6</v>
      </c>
    </row>
    <row r="248" ht="24" customHeight="1">
      <c r="A248" s="51" t="str">
        <v>Total</v>
      </c>
      <c r="B248" s="52"/>
      <c r="C248" s="53"/>
      <c r="D248" s="53"/>
      <c r="E248" s="53"/>
      <c r="F248" s="53"/>
      <c r="G248" s="53"/>
      <c r="H248" s="53"/>
      <c r="I248" s="53"/>
      <c r="J248" s="53"/>
      <c r="K248" s="53"/>
      <c r="L248" s="53"/>
      <c r="M248" s="55"/>
      <c r="N248" s="53"/>
      <c r="O248" s="53"/>
      <c r="P248" s="53"/>
      <c r="Q248" s="53"/>
      <c r="R248" s="53"/>
      <c r="S248" s="53"/>
      <c r="T248" s="53" t="n">
        <v>14</v>
      </c>
      <c r="U248" s="53"/>
      <c r="V248" s="53"/>
      <c r="W248" s="53"/>
      <c r="X248" s="53" t="n">
        <v>19</v>
      </c>
    </row>
    <row r="249" ht="22" customHeight="1">
      <c r="A249" s="4"/>
      <c r="B249" s="2"/>
      <c r="C249" s="3"/>
      <c r="D249" s="3"/>
      <c r="E249" s="3"/>
      <c r="F249" s="3"/>
      <c r="G249" s="3"/>
      <c r="H249" s="3"/>
      <c r="I249" s="3"/>
      <c r="J249" s="3"/>
      <c r="K249" s="3"/>
      <c r="L249" s="3"/>
      <c r="M249" s="3"/>
      <c r="N249" s="3"/>
      <c r="O249" s="3"/>
      <c r="P249" s="3"/>
      <c r="Q249" s="3"/>
      <c r="R249" s="3"/>
      <c r="S249" s="3"/>
      <c r="T249" s="3"/>
      <c r="U249" s="3"/>
      <c r="V249" s="3"/>
      <c r="W249" s="3"/>
      <c r="X249" s="3"/>
    </row>
  </sheetData>
  <mergeCells>
    <mergeCell ref="A1:X1"/>
    <mergeCell ref="A2:X2"/>
    <mergeCell ref="C7:L7"/>
    <mergeCell ref="N7:X7"/>
    <mergeCell ref="C8:L8"/>
    <mergeCell ref="N8:X8"/>
    <mergeCell ref="A12:X12"/>
    <mergeCell ref="A13:X13"/>
    <mergeCell ref="A14:L14"/>
    <mergeCell ref="N14:X14"/>
    <mergeCell ref="A26:L26"/>
    <mergeCell ref="N26:X26"/>
    <mergeCell ref="A36:L36"/>
    <mergeCell ref="N36:X36"/>
    <mergeCell ref="A41:L41"/>
    <mergeCell ref="N41:X41"/>
    <mergeCell ref="A51:L51"/>
    <mergeCell ref="N51:X51"/>
    <mergeCell ref="A62:X62"/>
    <mergeCell ref="A63:X63"/>
    <mergeCell ref="A64:L64"/>
    <mergeCell ref="N64:X64"/>
    <mergeCell ref="A76:L76"/>
    <mergeCell ref="N76:X76"/>
    <mergeCell ref="A86:L86"/>
    <mergeCell ref="N86:X86"/>
    <mergeCell ref="A91:L91"/>
    <mergeCell ref="N91:X91"/>
    <mergeCell ref="A101:L101"/>
    <mergeCell ref="N101:X101"/>
    <mergeCell ref="A112:X112"/>
    <mergeCell ref="A113:X113"/>
    <mergeCell ref="A114:L114"/>
    <mergeCell ref="N114:X114"/>
    <mergeCell ref="A126:L126"/>
    <mergeCell ref="N126:X126"/>
    <mergeCell ref="A136:L136"/>
    <mergeCell ref="N136:X136"/>
    <mergeCell ref="A141:L141"/>
    <mergeCell ref="N141:X141"/>
    <mergeCell ref="A151:L151"/>
    <mergeCell ref="N151:X151"/>
    <mergeCell ref="A160:X160"/>
    <mergeCell ref="A161:X161"/>
    <mergeCell ref="A162:L162"/>
    <mergeCell ref="N162:X162"/>
    <mergeCell ref="A191:L191"/>
    <mergeCell ref="N191:X191"/>
    <mergeCell ref="A220:L220"/>
    <mergeCell ref="N220:X220"/>
  </mergeCells>
  <conditionalFormatting sqref="C58:X58">
    <cfRule type="cellIs" dxfId="92" priority="1" operator="greaterThan">
      <formula>1</formula>
    </cfRule>
    <cfRule type="cellIs" dxfId="93" priority="2" operator="lessThan">
      <formula>-1</formula>
    </cfRule>
  </conditionalFormatting>
  <conditionalFormatting sqref="C59:X59">
    <cfRule type="cellIs" dxfId="94" priority="3" operator="greaterThan">
      <formula>1</formula>
    </cfRule>
    <cfRule type="cellIs" dxfId="95" priority="4" operator="lessThan">
      <formula>-1</formula>
    </cfRule>
  </conditionalFormatting>
  <conditionalFormatting sqref="C60:X60">
    <cfRule type="cellIs" dxfId="96" priority="5" operator="greaterThan">
      <formula>1</formula>
    </cfRule>
    <cfRule type="cellIs" dxfId="97" priority="6" operator="lessThan">
      <formula>-1</formula>
    </cfRule>
  </conditionalFormatting>
  <conditionalFormatting sqref="C108:X108">
    <cfRule type="cellIs" dxfId="98" priority="7" operator="greaterThan">
      <formula>1</formula>
    </cfRule>
    <cfRule type="cellIs" dxfId="99" priority="8" operator="lessThan">
      <formula>-1</formula>
    </cfRule>
  </conditionalFormatting>
  <conditionalFormatting sqref="C109:X109">
    <cfRule type="cellIs" dxfId="100" priority="9" operator="greaterThan">
      <formula>1</formula>
    </cfRule>
    <cfRule type="cellIs" dxfId="101" priority="10" operator="lessThan">
      <formula>-1</formula>
    </cfRule>
  </conditionalFormatting>
  <conditionalFormatting sqref="C110:X110">
    <cfRule type="cellIs" dxfId="102" priority="11" operator="greaterThan">
      <formula>1</formula>
    </cfRule>
    <cfRule type="cellIs" dxfId="103" priority="12" operator="lessThan">
      <formula>-1</formula>
    </cfRule>
  </conditionalFormatting>
  <conditionalFormatting sqref="C156:X156">
    <cfRule type="cellIs" dxfId="104" priority="13" operator="greaterThan">
      <formula>1</formula>
    </cfRule>
    <cfRule type="cellIs" dxfId="105" priority="14" operator="lessThan">
      <formula>-1</formula>
    </cfRule>
  </conditionalFormatting>
  <conditionalFormatting sqref="C157:X157">
    <cfRule type="cellIs" dxfId="106" priority="15" operator="greaterThan">
      <formula>1</formula>
    </cfRule>
    <cfRule type="cellIs" dxfId="107" priority="16" operator="lessThan">
      <formula>-1</formula>
    </cfRule>
  </conditionalFormatting>
  <conditionalFormatting sqref="C158:X158">
    <cfRule type="cellIs" dxfId="108" priority="17" operator="greaterThan">
      <formula>1</formula>
    </cfRule>
    <cfRule type="cellIs" dxfId="109" priority="18" operator="lessThan">
      <formula>-1</formula>
    </cfRule>
  </conditionalFormatting>
  <hyperlinks>
    <hyperlink ref="A3" location="'Contents'!A1" display="Metric (Return to Contents)"/>
    <hyperlink ref="C7" location="'Pension &amp; Retiree Medical'!A12" display="U.S. pension plans"/>
    <hyperlink ref="N7" location="'Pension &amp; Retiree Medical'!A62" display="International pension plans"/>
    <hyperlink ref="C8" location="'Pension &amp; Retiree Medical'!A112" display="Retiree Medical"/>
    <hyperlink ref="N8" location="'Pension &amp; Retiree Medical'!A160" display="Recent benefit costs: YTD"/>
  </hyperlinks>
  <pageMargins left="0.7" right="0.7" top="0.75" bottom="0.75" header="0.3" footer="0.3"/>
</worksheet>
</file>

<file path=xl/worksheets/sheet14.xml><?xml version="1.0" encoding="utf-8"?>
<worksheet xmlns="http://schemas.openxmlformats.org/spreadsheetml/2006/main">
  <sheetPr>
    <tabColor rgb="FFB08958"/>
  </sheetPr>
  <sheetViews>
    <sheetView showGridLines="0" workbookViewId="0">
      <pane xSplit="2" ySplit="5" topLeftCell="C6" activePane="bottomRight" state="frozen"/>
    </sheetView>
  </sheetViews>
  <sheetFormatPr defaultRowHeight="15"/>
  <cols>
    <col min="1" max="1" width="60" hidden="0" customWidth="1"/>
    <col min="2" max="2" width="2.200000047683716" hidden="0" customWidth="1"/>
    <col min="3" max="3" width="12.199999809265137" hidden="0" customWidth="1"/>
    <col min="4" max="4" width="12.199999809265137" hidden="0" customWidth="1"/>
    <col min="5" max="5" width="12.199999809265137" hidden="0" customWidth="1"/>
    <col min="6" max="6" width="12.199999809265137" hidden="0" customWidth="1"/>
    <col min="7" max="7" width="12.199999809265137" hidden="0" customWidth="1"/>
    <col min="8" max="8" width="12.199999809265137" hidden="0" customWidth="1"/>
    <col min="9" max="9" width="12.199999809265137" hidden="0" customWidth="1"/>
    <col min="10" max="10" width="12.199999809265137" hidden="0" customWidth="1"/>
    <col min="11" max="11" width="12.199999809265137" hidden="0" customWidth="1"/>
    <col min="12" max="12" width="12.199999809265137" hidden="0" customWidth="1"/>
    <col min="13" max="13" width="3" hidden="0" customWidth="1"/>
    <col min="14" max="14" width="12.199999809265137" hidden="0" customWidth="1"/>
    <col min="15" max="15" width="12.199999809265137" hidden="0" customWidth="1"/>
    <col min="16" max="16" width="12.199999809265137" hidden="0" customWidth="1"/>
    <col min="17" max="17" width="12.199999809265137" hidden="0" customWidth="1"/>
    <col min="18" max="18" width="12.199999809265137" hidden="0" customWidth="1"/>
    <col min="19" max="19" width="12.199999809265137" hidden="0" customWidth="1"/>
    <col min="20" max="20" width="12.199999809265137" hidden="0" customWidth="1"/>
    <col min="21" max="21" width="12.199999809265137" hidden="0" customWidth="1"/>
    <col min="22" max="22" width="12.199999809265137" hidden="0" customWidth="1"/>
    <col min="23" max="23" width="12.199999809265137" hidden="0" customWidth="1"/>
    <col min="24" max="24" width="12.199999809265137" hidden="0" customWidth="1"/>
  </cols>
  <sheetData>
    <row r="1" ht="28" customHeight="1">
      <c r="A1" s="7" t="str">
        <v>PepsiCo PEP — Core Reconciliations</v>
      </c>
      <c r="B1" s="7"/>
      <c r="C1" s="7"/>
      <c r="D1" s="7"/>
      <c r="E1" s="7"/>
      <c r="F1" s="7"/>
      <c r="G1" s="7"/>
      <c r="H1" s="7"/>
      <c r="I1" s="7"/>
      <c r="J1" s="7"/>
      <c r="K1" s="7"/>
      <c r="L1" s="7"/>
      <c r="M1" s="7"/>
      <c r="N1" s="7"/>
      <c r="O1" s="7"/>
      <c r="P1" s="7"/>
      <c r="Q1" s="7"/>
      <c r="R1" s="7"/>
      <c r="S1" s="7"/>
      <c r="T1" s="7"/>
      <c r="U1" s="7"/>
      <c r="V1" s="7"/>
      <c r="W1" s="7"/>
      <c r="X1" s="7"/>
    </row>
    <row r="2" ht="18" customHeight="1">
      <c r="A2" s="8" t="str">
        <v>USD millions; per-share amounts, share counts and percentages as labeled. US GAAP. As of 2026-10-20.</v>
      </c>
      <c r="B2" s="8"/>
      <c r="C2" s="8"/>
      <c r="D2" s="8"/>
      <c r="E2" s="8"/>
      <c r="F2" s="8"/>
      <c r="G2" s="8"/>
      <c r="H2" s="8"/>
      <c r="I2" s="8"/>
      <c r="J2" s="8"/>
      <c r="K2" s="8"/>
      <c r="L2" s="8"/>
      <c r="M2" s="8"/>
      <c r="N2" s="8"/>
      <c r="O2" s="8"/>
      <c r="P2" s="8"/>
      <c r="Q2" s="8"/>
      <c r="R2" s="8"/>
      <c r="S2" s="8"/>
      <c r="T2" s="8"/>
      <c r="U2" s="8"/>
      <c r="V2" s="8"/>
      <c r="W2" s="8"/>
      <c r="X2" s="8"/>
    </row>
    <row r="3" ht="24" customHeight="1">
      <c r="A3" s="9" t="str">
        <v>Metric (Return to Contents)</v>
      </c>
      <c r="B3" s="2"/>
      <c r="C3" s="13" t="str">
        <v>FY2016</v>
      </c>
      <c r="D3" s="13" t="str">
        <v>FY2017</v>
      </c>
      <c r="E3" s="13" t="str">
        <v>FY2018</v>
      </c>
      <c r="F3" s="13" t="str">
        <v>FY2019</v>
      </c>
      <c r="G3" s="13" t="str">
        <v>FY2020</v>
      </c>
      <c r="H3" s="13" t="str">
        <v>FY2021</v>
      </c>
      <c r="I3" s="13" t="str">
        <v>FY2022</v>
      </c>
      <c r="J3" s="13" t="str">
        <v>FY2023</v>
      </c>
      <c r="K3" s="13" t="str">
        <v>FY2024</v>
      </c>
      <c r="L3" s="13" t="str">
        <v>FY2025</v>
      </c>
      <c r="M3" s="2"/>
      <c r="N3" s="22" t="str">
        <v>FY2024Q1</v>
      </c>
      <c r="O3" s="22" t="str">
        <v>FY2024Q2</v>
      </c>
      <c r="P3" s="22" t="str">
        <v>FY2024Q3</v>
      </c>
      <c r="Q3" s="22" t="str">
        <v>FY2024Q4</v>
      </c>
      <c r="R3" s="22" t="str">
        <v>FY2025Q1</v>
      </c>
      <c r="S3" s="22" t="str">
        <v>FY2025Q2</v>
      </c>
      <c r="T3" s="22" t="str">
        <v>FY2025Q3</v>
      </c>
      <c r="U3" s="22" t="str">
        <v>FY2025Q4</v>
      </c>
      <c r="V3" s="22" t="str">
        <v>FY2026Q1</v>
      </c>
      <c r="W3" s="22" t="str">
        <v>FY2026Q2</v>
      </c>
      <c r="X3" s="22" t="str">
        <v>FY2026Q3</v>
      </c>
    </row>
    <row r="4" ht="18" customHeight="1">
      <c r="A4" s="2"/>
      <c r="B4" s="2"/>
      <c r="C4" s="17" t="d">
        <v>2016-12-31T00:00:00.000Z</v>
      </c>
      <c r="D4" s="17" t="d">
        <v>2017-12-30T00:00:00.000Z</v>
      </c>
      <c r="E4" s="17" t="d">
        <v>2018-12-29T00:00:00.000Z</v>
      </c>
      <c r="F4" s="17" t="d">
        <v>2019-12-28T00:00:00.000Z</v>
      </c>
      <c r="G4" s="17" t="d">
        <v>2020-12-26T00:00:00.000Z</v>
      </c>
      <c r="H4" s="17" t="d">
        <v>2021-12-25T00:00:00.000Z</v>
      </c>
      <c r="I4" s="17" t="d">
        <v>2022-12-31T00:00:00.000Z</v>
      </c>
      <c r="J4" s="17" t="d">
        <v>2023-12-30T00:00:00.000Z</v>
      </c>
      <c r="K4" s="17" t="d">
        <v>2024-12-28T00:00:00.000Z</v>
      </c>
      <c r="L4" s="17" t="d">
        <v>2025-12-27T00:00:00.000Z</v>
      </c>
      <c r="M4" s="2"/>
      <c r="N4" s="17" t="d">
        <v>2024-03-23T00:00:00.000Z</v>
      </c>
      <c r="O4" s="17" t="d">
        <v>2024-06-15T00:00:00.000Z</v>
      </c>
      <c r="P4" s="17" t="d">
        <v>2024-09-07T00:00:00.000Z</v>
      </c>
      <c r="Q4" s="17" t="d">
        <v>2024-12-28T00:00:00.000Z</v>
      </c>
      <c r="R4" s="17" t="d">
        <v>2025-03-22T00:00:00.000Z</v>
      </c>
      <c r="S4" s="17" t="d">
        <v>2025-06-14T00:00:00.000Z</v>
      </c>
      <c r="T4" s="17" t="d">
        <v>2025-09-06T00:00:00.000Z</v>
      </c>
      <c r="U4" s="17" t="d">
        <v>2025-12-27T00:00:00.000Z</v>
      </c>
      <c r="V4" s="17" t="d">
        <v>2026-03-21T00:00:00.000Z</v>
      </c>
      <c r="W4" s="17" t="d">
        <v>2026-06-13T00:00:00.000Z</v>
      </c>
      <c r="X4" s="17" t="d">
        <v>2026-09-05T00:00:00.000Z</v>
      </c>
    </row>
    <row r="5" ht="18" customHeight="1">
      <c r="A5" s="8" t="str">
        <v>Annual at left; quarterly / period-end at right; YTD as labeled</v>
      </c>
      <c r="B5" s="2"/>
      <c r="C5" s="18" t="str">
        <v>Year / year-end</v>
      </c>
      <c r="D5" s="18" t="str">
        <v>Year / year-end</v>
      </c>
      <c r="E5" s="18" t="str">
        <v>Year / year-end</v>
      </c>
      <c r="F5" s="18" t="str">
        <v>Year / year-end</v>
      </c>
      <c r="G5" s="18" t="str">
        <v>Year / year-end</v>
      </c>
      <c r="H5" s="18" t="str">
        <v>Year / year-end</v>
      </c>
      <c r="I5" s="18" t="str">
        <v>Year / year-end</v>
      </c>
      <c r="J5" s="18" t="str">
        <v>Year / year-end</v>
      </c>
      <c r="K5" s="18" t="str">
        <v>Year / year-end</v>
      </c>
      <c r="L5" s="18" t="str">
        <v>Year / year-end</v>
      </c>
      <c r="M5" s="2"/>
      <c r="N5" s="18" t="str">
        <v>Quarter / end</v>
      </c>
      <c r="O5" s="18" t="str">
        <v>Quarter / end</v>
      </c>
      <c r="P5" s="18" t="str">
        <v>Quarter / end</v>
      </c>
      <c r="Q5" s="18" t="str">
        <v>Quarter / end</v>
      </c>
      <c r="R5" s="18" t="str">
        <v>Quarter / end</v>
      </c>
      <c r="S5" s="18" t="str">
        <v>Quarter / end</v>
      </c>
      <c r="T5" s="18" t="str">
        <v>Quarter / end</v>
      </c>
      <c r="U5" s="18" t="str">
        <v>Quarter / end</v>
      </c>
      <c r="V5" s="18" t="str">
        <v>Quarter / end</v>
      </c>
      <c r="W5" s="18" t="str">
        <v>Quarter / end</v>
      </c>
      <c r="X5" s="18" t="str">
        <v>Quarter / end</v>
      </c>
    </row>
    <row r="6" ht="8" customHeight="1">
      <c r="A6" s="2"/>
      <c r="B6" s="2"/>
      <c r="C6" s="2"/>
      <c r="D6" s="2"/>
      <c r="E6" s="2"/>
      <c r="F6" s="2"/>
      <c r="G6" s="2"/>
      <c r="H6" s="2"/>
      <c r="I6" s="2"/>
      <c r="J6" s="2"/>
      <c r="K6" s="2"/>
      <c r="L6" s="2"/>
      <c r="M6" s="2"/>
      <c r="N6" s="2"/>
      <c r="O6" s="2"/>
      <c r="P6" s="2"/>
      <c r="Q6" s="2"/>
      <c r="R6" s="2"/>
      <c r="S6" s="2"/>
      <c r="T6" s="2"/>
      <c r="U6" s="2"/>
      <c r="V6" s="2"/>
      <c r="W6" s="2"/>
      <c r="X6" s="2"/>
    </row>
    <row r="7" ht="22" customHeight="1">
      <c r="A7" s="23" t="str">
        <v>On this sheet</v>
      </c>
      <c r="B7" s="2"/>
      <c r="C7" s="26" t="str">
        <v>Company-reported FCF reconciliation: annual and YTD</v>
      </c>
      <c r="D7" s="26"/>
      <c r="E7" s="26"/>
      <c r="F7" s="26"/>
      <c r="G7" s="26"/>
      <c r="H7" s="26"/>
      <c r="I7" s="26"/>
      <c r="J7" s="26"/>
      <c r="K7" s="26"/>
      <c r="L7" s="26"/>
      <c r="M7" s="3"/>
      <c r="N7" s="26" t="str">
        <v>Company-reported ROIC (financing-capital basis)</v>
      </c>
      <c r="O7" s="26"/>
      <c r="P7" s="26"/>
      <c r="Q7" s="26"/>
      <c r="R7" s="26"/>
      <c r="S7" s="26"/>
      <c r="T7" s="26"/>
      <c r="U7" s="26"/>
      <c r="V7" s="26"/>
      <c r="W7" s="26"/>
      <c r="X7" s="26"/>
    </row>
    <row r="8" ht="22" customHeight="1">
      <c r="A8" s="4"/>
      <c r="B8" s="2"/>
      <c r="C8" s="26" t="str">
        <v>Current structure: consolidated Core reconciliation</v>
      </c>
      <c r="D8" s="26"/>
      <c r="E8" s="26"/>
      <c r="F8" s="26"/>
      <c r="G8" s="26"/>
      <c r="H8" s="26"/>
      <c r="I8" s="26"/>
      <c r="J8" s="26"/>
      <c r="K8" s="26"/>
      <c r="L8" s="26"/>
      <c r="M8" s="3"/>
      <c r="N8" s="26" t="str">
        <v>Current structure: consolidated Core reconciliation (YTD)</v>
      </c>
      <c r="O8" s="26"/>
      <c r="P8" s="26"/>
      <c r="Q8" s="26"/>
      <c r="R8" s="26"/>
      <c r="S8" s="26"/>
      <c r="T8" s="26"/>
      <c r="U8" s="26"/>
      <c r="V8" s="26"/>
      <c r="W8" s="26"/>
      <c r="X8" s="26"/>
    </row>
    <row r="9" ht="22" customHeight="1">
      <c r="A9" s="4"/>
      <c r="B9" s="2"/>
      <c r="C9" s="26" t="str">
        <v>Earlier structure: consolidated Core reconciliation</v>
      </c>
      <c r="D9" s="26"/>
      <c r="E9" s="26"/>
      <c r="F9" s="26"/>
      <c r="G9" s="26"/>
      <c r="H9" s="26"/>
      <c r="I9" s="26"/>
      <c r="J9" s="26"/>
      <c r="K9" s="26"/>
      <c r="L9" s="26"/>
      <c r="M9" s="3"/>
      <c r="N9" s="26" t="str">
        <v>Consolidated GAAP / company Core diluted EPS reconciliation</v>
      </c>
      <c r="O9" s="26"/>
      <c r="P9" s="26"/>
      <c r="Q9" s="26"/>
      <c r="R9" s="26"/>
      <c r="S9" s="26"/>
      <c r="T9" s="26"/>
      <c r="U9" s="26"/>
      <c r="V9" s="26"/>
      <c r="W9" s="26"/>
      <c r="X9" s="26"/>
    </row>
    <row r="10" ht="22" customHeight="1">
      <c r="A10" s="4"/>
      <c r="B10" s="2"/>
      <c r="C10" s="26" t="str">
        <v>Consolidated GAAP / company Core diluted EPS reconciliation: YTD</v>
      </c>
      <c r="D10" s="26"/>
      <c r="E10" s="26"/>
      <c r="F10" s="26"/>
      <c r="G10" s="26"/>
      <c r="H10" s="26"/>
      <c r="I10" s="26"/>
      <c r="J10" s="26"/>
      <c r="K10" s="26"/>
      <c r="L10" s="26"/>
      <c r="M10" s="3"/>
      <c r="N10" s="3"/>
      <c r="O10" s="3"/>
      <c r="P10" s="3"/>
      <c r="Q10" s="3"/>
      <c r="R10" s="3"/>
      <c r="S10" s="3"/>
      <c r="T10" s="3"/>
      <c r="U10" s="3"/>
      <c r="V10" s="3"/>
      <c r="W10" s="3"/>
      <c r="X10" s="3"/>
    </row>
    <row r="11" ht="22" customHeight="1">
      <c r="A11" s="4"/>
      <c r="B11" s="2"/>
      <c r="C11" s="3"/>
      <c r="D11" s="3"/>
      <c r="E11" s="3"/>
      <c r="F11" s="3"/>
      <c r="G11" s="3"/>
      <c r="H11" s="3"/>
      <c r="I11" s="3"/>
      <c r="J11" s="3"/>
      <c r="K11" s="3"/>
      <c r="L11" s="3"/>
      <c r="M11" s="3"/>
      <c r="N11" s="3"/>
      <c r="O11" s="3"/>
      <c r="P11" s="3"/>
      <c r="Q11" s="3"/>
      <c r="R11" s="3"/>
      <c r="S11" s="3"/>
      <c r="T11" s="3"/>
      <c r="U11" s="3"/>
      <c r="V11" s="3"/>
      <c r="W11" s="3"/>
      <c r="X11" s="3"/>
    </row>
    <row r="12" ht="22" customHeight="1">
      <c r="A12" s="4"/>
      <c r="B12" s="2"/>
      <c r="C12" s="3"/>
      <c r="D12" s="3"/>
      <c r="E12" s="3"/>
      <c r="F12" s="3"/>
      <c r="G12" s="3"/>
      <c r="H12" s="3"/>
      <c r="I12" s="3"/>
      <c r="J12" s="3"/>
      <c r="K12" s="3"/>
      <c r="L12" s="3"/>
      <c r="M12" s="3"/>
      <c r="N12" s="3"/>
      <c r="O12" s="3"/>
      <c r="P12" s="3"/>
      <c r="Q12" s="3"/>
      <c r="R12" s="3"/>
      <c r="S12" s="3"/>
      <c r="T12" s="3"/>
      <c r="U12" s="3"/>
      <c r="V12" s="3"/>
      <c r="W12" s="3"/>
      <c r="X12" s="3"/>
    </row>
    <row r="13" ht="22" customHeight="1">
      <c r="A13" s="4"/>
      <c r="B13" s="2"/>
      <c r="C13" s="3"/>
      <c r="D13" s="3"/>
      <c r="E13" s="3"/>
      <c r="F13" s="3"/>
      <c r="G13" s="3"/>
      <c r="H13" s="3"/>
      <c r="I13" s="3"/>
      <c r="J13" s="3"/>
      <c r="K13" s="3"/>
      <c r="L13" s="3"/>
      <c r="M13" s="3"/>
      <c r="N13" s="3"/>
      <c r="O13" s="3"/>
      <c r="P13" s="3"/>
      <c r="Q13" s="3"/>
      <c r="R13" s="3"/>
      <c r="S13" s="3"/>
      <c r="T13" s="3"/>
      <c r="U13" s="3"/>
      <c r="V13" s="3"/>
      <c r="W13" s="3"/>
      <c r="X13" s="3"/>
    </row>
    <row r="14" ht="22" customHeight="1">
      <c r="A14" s="29" t="str">
        <v>Company-reported FCF reconciliation: annual and YTD</v>
      </c>
      <c r="B14" s="29"/>
      <c r="C14" s="32"/>
      <c r="D14" s="32"/>
      <c r="E14" s="32"/>
      <c r="F14" s="32"/>
      <c r="G14" s="32"/>
      <c r="H14" s="32"/>
      <c r="I14" s="32"/>
      <c r="J14" s="32"/>
      <c r="K14" s="32"/>
      <c r="L14" s="32"/>
      <c r="M14" s="32"/>
      <c r="N14" s="32"/>
      <c r="O14" s="32"/>
      <c r="P14" s="32"/>
      <c r="Q14" s="32"/>
      <c r="R14" s="32"/>
      <c r="S14" s="32"/>
      <c r="T14" s="32"/>
      <c r="U14" s="32"/>
      <c r="V14" s="32"/>
      <c r="W14" s="32"/>
      <c r="X14" s="32"/>
    </row>
    <row r="15" ht="18" customHeight="1">
      <c r="A15" s="33" t="str">
        <v>Independent company-reported reconciliation. Right-hand columns show YTD, not discrete quarters. Derived cash metrics still link to the cash flow statement; reported FCF is retained as an independent check.</v>
      </c>
      <c r="B15" s="33"/>
      <c r="C15" s="35"/>
      <c r="D15" s="35"/>
      <c r="E15" s="35"/>
      <c r="F15" s="35"/>
      <c r="G15" s="35"/>
      <c r="H15" s="35"/>
      <c r="I15" s="35"/>
      <c r="J15" s="35"/>
      <c r="K15" s="35"/>
      <c r="L15" s="35"/>
      <c r="M15" s="35"/>
      <c r="N15" s="35"/>
      <c r="O15" s="35"/>
      <c r="P15" s="35"/>
      <c r="Q15" s="35"/>
      <c r="R15" s="35"/>
      <c r="S15" s="35"/>
      <c r="T15" s="35"/>
      <c r="U15" s="35"/>
      <c r="V15" s="35"/>
      <c r="W15" s="35"/>
      <c r="X15" s="35"/>
    </row>
    <row r="16" ht="22" customHeight="1">
      <c r="A16" s="4" t="str">
        <v>Net Cash Provided by/(Used for) Operating Activities</v>
      </c>
      <c r="B16" s="2"/>
      <c r="C16" s="44" t="n">
        <v>10663</v>
      </c>
      <c r="D16" s="44" t="n">
        <v>10030</v>
      </c>
      <c r="E16" s="44" t="n">
        <v>9415</v>
      </c>
      <c r="F16" s="44" t="n">
        <v>9649</v>
      </c>
      <c r="G16" s="44" t="n">
        <v>10613</v>
      </c>
      <c r="H16" s="44" t="n">
        <v>11616</v>
      </c>
      <c r="I16" s="44" t="n">
        <v>10811</v>
      </c>
      <c r="J16" s="44" t="n">
        <v>13442</v>
      </c>
      <c r="K16" s="44" t="n">
        <v>12507</v>
      </c>
      <c r="L16" s="44" t="n">
        <v>12087</v>
      </c>
      <c r="M16" s="45"/>
      <c r="N16" s="44" t="n">
        <v>-1041</v>
      </c>
      <c r="O16" s="44" t="n">
        <v>1315</v>
      </c>
      <c r="P16" s="44" t="n">
        <v>6220</v>
      </c>
      <c r="Q16" s="43" t="n">
        <f>IF(COUNT('Core Reconciliations'!K16)=1,'Core Reconciliations'!K16,"")</f>
        <v>12507</v>
      </c>
      <c r="R16" s="44" t="n">
        <v>-973</v>
      </c>
      <c r="S16" s="44" t="n">
        <v>996</v>
      </c>
      <c r="T16" s="44" t="n">
        <v>5468</v>
      </c>
      <c r="U16" s="43" t="n">
        <f>IF(COUNT('Core Reconciliations'!L16)=1,'Core Reconciliations'!L16,"")</f>
        <v>12087</v>
      </c>
      <c r="V16" s="44" t="n">
        <v>41</v>
      </c>
      <c r="W16" s="44" t="n">
        <v>2365</v>
      </c>
      <c r="X16" s="44" t="n">
        <v>7950</v>
      </c>
    </row>
    <row r="17" ht="20" customHeight="1">
      <c r="A17" s="56" t="str">
        <v>Net cash provided by operating activities — % Change（%）</v>
      </c>
      <c r="B17" s="2"/>
      <c r="C17" s="58"/>
      <c r="D17" s="58"/>
      <c r="E17" s="58" t="n">
        <v>-0.06</v>
      </c>
      <c r="F17" s="58"/>
      <c r="G17" s="58"/>
      <c r="H17" s="58"/>
      <c r="I17" s="58"/>
      <c r="J17" s="58"/>
      <c r="K17" s="58"/>
      <c r="L17" s="58"/>
      <c r="M17" s="60"/>
      <c r="N17" s="58"/>
      <c r="O17" s="58"/>
      <c r="P17" s="58"/>
      <c r="Q17" s="58"/>
      <c r="R17" s="58"/>
      <c r="S17" s="58"/>
      <c r="T17" s="58"/>
      <c r="U17" s="58"/>
      <c r="V17" s="58"/>
      <c r="W17" s="58"/>
      <c r="X17" s="58"/>
    </row>
    <row r="18" ht="22" customHeight="1">
      <c r="A18" s="4" t="str">
        <v>Capital spending</v>
      </c>
      <c r="B18" s="2"/>
      <c r="C18" s="44" t="n">
        <v>-3040</v>
      </c>
      <c r="D18" s="44" t="n">
        <v>-2969</v>
      </c>
      <c r="E18" s="44" t="n">
        <v>-3282</v>
      </c>
      <c r="F18" s="44" t="n">
        <v>-4232</v>
      </c>
      <c r="G18" s="44" t="n">
        <v>-4240</v>
      </c>
      <c r="H18" s="44" t="n">
        <v>-4625</v>
      </c>
      <c r="I18" s="44" t="n">
        <v>-5207</v>
      </c>
      <c r="J18" s="44" t="n">
        <v>-5518</v>
      </c>
      <c r="K18" s="44" t="n">
        <v>-5318</v>
      </c>
      <c r="L18" s="44" t="n">
        <v>-4415</v>
      </c>
      <c r="M18" s="45"/>
      <c r="N18" s="44" t="n">
        <v>-614</v>
      </c>
      <c r="O18" s="44" t="n">
        <v>-1701</v>
      </c>
      <c r="P18" s="44" t="n">
        <v>-2850</v>
      </c>
      <c r="Q18" s="43" t="n">
        <f>IF(COUNT('Core Reconciliations'!K18)=1,'Core Reconciliations'!K18,"")</f>
        <v>-5318</v>
      </c>
      <c r="R18" s="44" t="n">
        <v>-603</v>
      </c>
      <c r="S18" s="44" t="n">
        <v>-1507</v>
      </c>
      <c r="T18" s="44" t="n">
        <v>-2499</v>
      </c>
      <c r="U18" s="43" t="n">
        <f>IF(COUNT('Core Reconciliations'!L18)=1,'Core Reconciliations'!L18,"")</f>
        <v>-4415</v>
      </c>
      <c r="V18" s="44" t="n">
        <v>-447</v>
      </c>
      <c r="W18" s="44" t="n">
        <v>-1266</v>
      </c>
      <c r="X18" s="44" t="n">
        <v>-2182</v>
      </c>
    </row>
    <row r="19" ht="22" customHeight="1">
      <c r="A19" s="4" t="str">
        <v>Sales of property, plant and equipment</v>
      </c>
      <c r="B19" s="2"/>
      <c r="C19" s="44" t="n">
        <v>99</v>
      </c>
      <c r="D19" s="44" t="n">
        <v>180</v>
      </c>
      <c r="E19" s="44" t="n">
        <v>134</v>
      </c>
      <c r="F19" s="44" t="n">
        <v>170</v>
      </c>
      <c r="G19" s="44" t="n">
        <v>55</v>
      </c>
      <c r="H19" s="44" t="n">
        <v>166</v>
      </c>
      <c r="I19" s="44" t="n">
        <v>251</v>
      </c>
      <c r="J19" s="44" t="n">
        <v>198</v>
      </c>
      <c r="K19" s="44" t="n">
        <v>342</v>
      </c>
      <c r="L19" s="44" t="n">
        <v>528</v>
      </c>
      <c r="M19" s="45"/>
      <c r="N19" s="44" t="n">
        <v>7</v>
      </c>
      <c r="O19" s="44" t="n">
        <v>127</v>
      </c>
      <c r="P19" s="44" t="n">
        <v>177</v>
      </c>
      <c r="Q19" s="43" t="n">
        <f>IF(COUNT('Core Reconciliations'!K19)=1,'Core Reconciliations'!K19,"")</f>
        <v>342</v>
      </c>
      <c r="R19" s="44" t="n">
        <v>132</v>
      </c>
      <c r="S19" s="44" t="n">
        <v>169</v>
      </c>
      <c r="T19" s="44" t="n">
        <v>272</v>
      </c>
      <c r="U19" s="43" t="n">
        <f>IF(COUNT('Core Reconciliations'!L19)=1,'Core Reconciliations'!L19,"")</f>
        <v>528</v>
      </c>
      <c r="V19" s="44" t="n">
        <v>13</v>
      </c>
      <c r="W19" s="44" t="n">
        <v>71</v>
      </c>
      <c r="X19" s="44" t="n">
        <v>89</v>
      </c>
    </row>
    <row r="20" ht="22" customHeight="1">
      <c r="A20" s="4" t="str">
        <v>Company-defined free cash flow</v>
      </c>
      <c r="B20" s="2"/>
      <c r="C20" s="44" t="n">
        <v>7722</v>
      </c>
      <c r="D20" s="44" t="n">
        <v>7241</v>
      </c>
      <c r="E20" s="44" t="n">
        <v>6267</v>
      </c>
      <c r="F20" s="44" t="n">
        <v>5587</v>
      </c>
      <c r="G20" s="44" t="n">
        <v>6428</v>
      </c>
      <c r="H20" s="44" t="n">
        <v>7157</v>
      </c>
      <c r="I20" s="44" t="n">
        <v>5855</v>
      </c>
      <c r="J20" s="44" t="n">
        <v>8122</v>
      </c>
      <c r="K20" s="44" t="n">
        <v>7531</v>
      </c>
      <c r="L20" s="44" t="n">
        <v>8200</v>
      </c>
      <c r="M20" s="45"/>
      <c r="N20" s="44" t="n">
        <v>-1648</v>
      </c>
      <c r="O20" s="44" t="n">
        <v>-259</v>
      </c>
      <c r="P20" s="44" t="n">
        <v>3547</v>
      </c>
      <c r="Q20" s="43" t="n">
        <f>IF(COUNT('Core Reconciliations'!K20)=1,'Core Reconciliations'!K20,"")</f>
        <v>7531</v>
      </c>
      <c r="R20" s="44" t="n">
        <v>-1444</v>
      </c>
      <c r="S20" s="44" t="n">
        <v>-342</v>
      </c>
      <c r="T20" s="44" t="n">
        <v>3241</v>
      </c>
      <c r="U20" s="43" t="n">
        <f>IF(COUNT('Core Reconciliations'!L20)=1,'Core Reconciliations'!L20,"")</f>
        <v>8200</v>
      </c>
      <c r="V20" s="44" t="n">
        <v>-393</v>
      </c>
      <c r="W20" s="44" t="n">
        <v>1170</v>
      </c>
      <c r="X20" s="44" t="n">
        <v>5857</v>
      </c>
    </row>
    <row r="21" ht="20" customHeight="1">
      <c r="A21" s="56" t="str">
        <v>Free cash flow — % Change（%）</v>
      </c>
      <c r="B21" s="2"/>
      <c r="C21" s="58"/>
      <c r="D21" s="58"/>
      <c r="E21" s="58" t="n">
        <v>-0.13</v>
      </c>
      <c r="F21" s="58"/>
      <c r="G21" s="58"/>
      <c r="H21" s="58"/>
      <c r="I21" s="58"/>
      <c r="J21" s="58"/>
      <c r="K21" s="58"/>
      <c r="L21" s="58"/>
      <c r="M21" s="60"/>
      <c r="N21" s="58"/>
      <c r="O21" s="58"/>
      <c r="P21" s="58"/>
      <c r="Q21" s="58"/>
      <c r="R21" s="58"/>
      <c r="S21" s="58"/>
      <c r="T21" s="58"/>
      <c r="U21" s="58"/>
      <c r="V21" s="58"/>
      <c r="W21" s="58"/>
      <c r="X21" s="58"/>
    </row>
    <row r="22" ht="22" customHeight="1">
      <c r="A22" s="4"/>
      <c r="B22" s="2"/>
      <c r="C22" s="3"/>
      <c r="D22" s="3"/>
      <c r="E22" s="3"/>
      <c r="F22" s="3"/>
      <c r="G22" s="3"/>
      <c r="H22" s="3"/>
      <c r="I22" s="3"/>
      <c r="J22" s="3"/>
      <c r="K22" s="3"/>
      <c r="L22" s="3"/>
      <c r="M22" s="3"/>
      <c r="N22" s="3"/>
      <c r="O22" s="3"/>
      <c r="P22" s="3"/>
      <c r="Q22" s="3"/>
      <c r="R22" s="3"/>
      <c r="S22" s="3"/>
      <c r="T22" s="3"/>
      <c r="U22" s="3"/>
      <c r="V22" s="3"/>
      <c r="W22" s="3"/>
      <c r="X22" s="3"/>
    </row>
    <row r="23" ht="22" customHeight="1">
      <c r="A23" s="29" t="str">
        <v>Company-reported ROIC (financing-capital basis)</v>
      </c>
      <c r="B23" s="29"/>
      <c r="C23" s="32"/>
      <c r="D23" s="32"/>
      <c r="E23" s="32"/>
      <c r="F23" s="32"/>
      <c r="G23" s="32"/>
      <c r="H23" s="32"/>
      <c r="I23" s="32"/>
      <c r="J23" s="32"/>
      <c r="K23" s="32"/>
      <c r="L23" s="32"/>
      <c r="M23" s="32"/>
      <c r="N23" s="32"/>
      <c r="O23" s="32"/>
      <c r="P23" s="32"/>
      <c r="Q23" s="32"/>
      <c r="R23" s="32"/>
      <c r="S23" s="32"/>
      <c r="T23" s="32"/>
      <c r="U23" s="32"/>
      <c r="V23" s="32"/>
      <c r="W23" s="32"/>
      <c r="X23" s="32"/>
    </row>
    <row r="24" ht="18" customHeight="1">
      <c r="A24" s="33" t="str">
        <v>USD millions unless per-share amounts, share counts, percentages or other units are specified. Distinct accounting dimensions, segment structures and YTD intervals are retained separately.</v>
      </c>
      <c r="B24" s="33"/>
      <c r="C24" s="35"/>
      <c r="D24" s="35"/>
      <c r="E24" s="35"/>
      <c r="F24" s="35"/>
      <c r="G24" s="35"/>
      <c r="H24" s="35"/>
      <c r="I24" s="35"/>
      <c r="J24" s="35"/>
      <c r="K24" s="35"/>
      <c r="L24" s="35"/>
      <c r="M24" s="35"/>
      <c r="N24" s="35"/>
      <c r="O24" s="35"/>
      <c r="P24" s="35"/>
      <c r="Q24" s="35"/>
      <c r="R24" s="35"/>
      <c r="S24" s="35"/>
      <c r="T24" s="35"/>
      <c r="U24" s="35"/>
      <c r="V24" s="35"/>
      <c r="W24" s="35"/>
      <c r="X24" s="35"/>
    </row>
    <row r="25" ht="22" customHeight="1">
      <c r="A25" s="4" t="str">
        <v>Net income attributable to PepsiCo</v>
      </c>
      <c r="B25" s="2"/>
      <c r="C25" s="44" t="n">
        <v>6329</v>
      </c>
      <c r="D25" s="44" t="n">
        <v>4857</v>
      </c>
      <c r="E25" s="44" t="n">
        <v>12515</v>
      </c>
      <c r="F25" s="44" t="n">
        <v>7314</v>
      </c>
      <c r="G25" s="44" t="n">
        <v>7120</v>
      </c>
      <c r="H25" s="44" t="n">
        <v>7618</v>
      </c>
      <c r="I25" s="44" t="n">
        <v>8910</v>
      </c>
      <c r="J25" s="44" t="n">
        <v>9074</v>
      </c>
      <c r="K25" s="44" t="n">
        <v>9578</v>
      </c>
      <c r="L25" s="44" t="n">
        <v>8240</v>
      </c>
      <c r="M25" s="45"/>
      <c r="N25" s="44"/>
      <c r="O25" s="44"/>
      <c r="P25" s="44"/>
      <c r="Q25" s="44"/>
      <c r="R25" s="44"/>
      <c r="S25" s="44"/>
      <c r="T25" s="44"/>
      <c r="U25" s="44"/>
      <c r="V25" s="44"/>
      <c r="W25" s="44"/>
      <c r="X25" s="44"/>
    </row>
    <row r="26" ht="22" customHeight="1">
      <c r="A26" s="4" t="str">
        <v>Interest expense</v>
      </c>
      <c r="B26" s="2"/>
      <c r="C26" s="44" t="n">
        <v>1342</v>
      </c>
      <c r="D26" s="44" t="n">
        <v>1151</v>
      </c>
      <c r="E26" s="44" t="n">
        <v>1525</v>
      </c>
      <c r="F26" s="44" t="n">
        <v>1135</v>
      </c>
      <c r="G26" s="44" t="n">
        <v>1252</v>
      </c>
      <c r="H26" s="44" t="n">
        <v>1988</v>
      </c>
      <c r="I26" s="44" t="n">
        <v>1119</v>
      </c>
      <c r="J26" s="44" t="n">
        <v>1437</v>
      </c>
      <c r="K26" s="44" t="n">
        <v>1606</v>
      </c>
      <c r="L26" s="44" t="n">
        <v>1840</v>
      </c>
      <c r="M26" s="45"/>
      <c r="N26" s="44"/>
      <c r="O26" s="44"/>
      <c r="P26" s="44"/>
      <c r="Q26" s="44"/>
      <c r="R26" s="44"/>
      <c r="S26" s="44"/>
      <c r="T26" s="44"/>
      <c r="U26" s="44"/>
      <c r="V26" s="44"/>
      <c r="W26" s="44"/>
      <c r="X26" s="44"/>
    </row>
    <row r="27" ht="22" customHeight="1">
      <c r="A27" s="4" t="str">
        <v>Tax on interest expense</v>
      </c>
      <c r="B27" s="2"/>
      <c r="C27" s="44" t="n">
        <v>-483</v>
      </c>
      <c r="D27" s="44" t="n">
        <v>-415</v>
      </c>
      <c r="E27" s="44" t="n">
        <v>-339</v>
      </c>
      <c r="F27" s="44" t="n">
        <v>-252</v>
      </c>
      <c r="G27" s="44" t="n">
        <v>-278</v>
      </c>
      <c r="H27" s="44" t="n">
        <v>-441</v>
      </c>
      <c r="I27" s="44" t="n">
        <v>-248</v>
      </c>
      <c r="J27" s="44" t="n">
        <v>-319</v>
      </c>
      <c r="K27" s="44" t="n">
        <v>-357</v>
      </c>
      <c r="L27" s="44" t="n">
        <v>-410</v>
      </c>
      <c r="M27" s="45"/>
      <c r="N27" s="44"/>
      <c r="O27" s="44"/>
      <c r="P27" s="44"/>
      <c r="Q27" s="44"/>
      <c r="R27" s="44"/>
      <c r="S27" s="44"/>
      <c r="T27" s="44"/>
      <c r="U27" s="44"/>
      <c r="V27" s="44"/>
      <c r="W27" s="44"/>
      <c r="X27" s="44"/>
    </row>
    <row r="28" ht="36" customHeight="1">
      <c r="A28" s="4" t="str">
        <v>Company ROIC numerator: net income attributable to PepsiCo + interest − related tax</v>
      </c>
      <c r="B28" s="2"/>
      <c r="C28" s="44" t="n">
        <v>7188</v>
      </c>
      <c r="D28" s="44" t="n">
        <v>5593</v>
      </c>
      <c r="E28" s="44" t="n">
        <v>13701</v>
      </c>
      <c r="F28" s="44" t="n">
        <v>8197</v>
      </c>
      <c r="G28" s="44" t="n">
        <v>8094</v>
      </c>
      <c r="H28" s="44" t="n">
        <v>9165</v>
      </c>
      <c r="I28" s="44" t="n">
        <v>9781</v>
      </c>
      <c r="J28" s="44" t="n">
        <v>10192</v>
      </c>
      <c r="K28" s="44" t="n">
        <v>10827</v>
      </c>
      <c r="L28" s="44" t="n">
        <v>9670</v>
      </c>
      <c r="M28" s="45"/>
      <c r="N28" s="44"/>
      <c r="O28" s="44"/>
      <c r="P28" s="44"/>
      <c r="Q28" s="44"/>
      <c r="R28" s="44"/>
      <c r="S28" s="44"/>
      <c r="T28" s="44"/>
      <c r="U28" s="44"/>
      <c r="V28" s="44"/>
      <c r="W28" s="44"/>
      <c r="X28" s="44"/>
    </row>
    <row r="29" ht="22" customHeight="1">
      <c r="A29" s="4" t="str">
        <v>Average debt obligations</v>
      </c>
      <c r="B29" s="2"/>
      <c r="C29" s="44" t="n">
        <v>35308</v>
      </c>
      <c r="D29" s="44" t="n">
        <v>38707</v>
      </c>
      <c r="E29" s="44" t="n">
        <v>38169</v>
      </c>
      <c r="F29" s="44" t="n">
        <v>31975</v>
      </c>
      <c r="G29" s="44" t="n">
        <v>41402</v>
      </c>
      <c r="H29" s="44" t="n">
        <v>42341</v>
      </c>
      <c r="I29" s="44" t="n">
        <v>39595</v>
      </c>
      <c r="J29" s="44" t="n">
        <v>42668</v>
      </c>
      <c r="K29" s="44" t="n">
        <v>44844</v>
      </c>
      <c r="L29" s="44" t="n">
        <v>48848</v>
      </c>
      <c r="M29" s="45"/>
      <c r="N29" s="44"/>
      <c r="O29" s="44"/>
      <c r="P29" s="44"/>
      <c r="Q29" s="44"/>
      <c r="R29" s="44"/>
      <c r="S29" s="44"/>
      <c r="T29" s="44"/>
      <c r="U29" s="44"/>
      <c r="V29" s="44"/>
      <c r="W29" s="44"/>
      <c r="X29" s="44"/>
    </row>
    <row r="30" ht="22" customHeight="1">
      <c r="A30" s="4" t="str">
        <v>Average common shareholders’ equity</v>
      </c>
      <c r="B30" s="2"/>
      <c r="C30" s="44" t="n">
        <v>11943</v>
      </c>
      <c r="D30" s="44" t="n">
        <v>12004</v>
      </c>
      <c r="E30" s="44" t="n">
        <v>11368</v>
      </c>
      <c r="F30" s="44" t="n">
        <v>14317</v>
      </c>
      <c r="G30" s="44" t="n">
        <v>13536</v>
      </c>
      <c r="H30" s="44" t="n">
        <v>14924</v>
      </c>
      <c r="I30" s="44" t="n">
        <v>17785</v>
      </c>
      <c r="J30" s="44" t="n">
        <v>17837</v>
      </c>
      <c r="K30" s="44" t="n">
        <v>18898</v>
      </c>
      <c r="L30" s="44" t="n">
        <v>18929</v>
      </c>
      <c r="M30" s="45"/>
      <c r="N30" s="44"/>
      <c r="O30" s="44"/>
      <c r="P30" s="44"/>
      <c r="Q30" s="44"/>
      <c r="R30" s="44"/>
      <c r="S30" s="44"/>
      <c r="T30" s="44"/>
      <c r="U30" s="44"/>
      <c r="V30" s="44"/>
      <c r="W30" s="44"/>
      <c r="X30" s="44"/>
    </row>
    <row r="31" ht="22" customHeight="1">
      <c r="A31" s="4" t="str">
        <v>Average invested capital</v>
      </c>
      <c r="B31" s="2"/>
      <c r="C31" s="44" t="n">
        <v>47251</v>
      </c>
      <c r="D31" s="44" t="n">
        <v>50711</v>
      </c>
      <c r="E31" s="44" t="n">
        <v>49537</v>
      </c>
      <c r="F31" s="44" t="n">
        <v>46292</v>
      </c>
      <c r="G31" s="44" t="n">
        <v>54938</v>
      </c>
      <c r="H31" s="44" t="n">
        <v>57265</v>
      </c>
      <c r="I31" s="44" t="n">
        <v>57380</v>
      </c>
      <c r="J31" s="44" t="n">
        <v>60505</v>
      </c>
      <c r="K31" s="44" t="n">
        <v>63742</v>
      </c>
      <c r="L31" s="44" t="n">
        <v>67777</v>
      </c>
      <c r="M31" s="45"/>
      <c r="N31" s="44"/>
      <c r="O31" s="44"/>
      <c r="P31" s="44"/>
      <c r="Q31" s="44"/>
      <c r="R31" s="44"/>
      <c r="S31" s="44"/>
      <c r="T31" s="44"/>
      <c r="U31" s="44"/>
      <c r="V31" s="44"/>
      <c r="W31" s="44"/>
      <c r="X31" s="44"/>
    </row>
    <row r="32" ht="20" customHeight="1">
      <c r="A32" s="56" t="str">
        <v>Company-reported ROIC</v>
      </c>
      <c r="B32" s="2"/>
      <c r="C32" s="58" t="n">
        <v>0.152</v>
      </c>
      <c r="D32" s="58" t="n">
        <v>0.11</v>
      </c>
      <c r="E32" s="58" t="n">
        <v>0.277</v>
      </c>
      <c r="F32" s="58" t="n">
        <v>0.177</v>
      </c>
      <c r="G32" s="58" t="n">
        <v>0.147</v>
      </c>
      <c r="H32" s="58" t="n">
        <v>0.16</v>
      </c>
      <c r="I32" s="58" t="n">
        <v>0.17</v>
      </c>
      <c r="J32" s="58" t="n">
        <v>0.168</v>
      </c>
      <c r="K32" s="58" t="n">
        <v>0.17</v>
      </c>
      <c r="L32" s="58" t="n">
        <v>0.14300000000000002</v>
      </c>
      <c r="M32" s="60"/>
      <c r="N32" s="58"/>
      <c r="O32" s="58"/>
      <c r="P32" s="58"/>
      <c r="Q32" s="58"/>
      <c r="R32" s="58"/>
      <c r="S32" s="58"/>
      <c r="T32" s="58"/>
      <c r="U32" s="58"/>
      <c r="V32" s="58"/>
      <c r="W32" s="58"/>
      <c r="X32" s="58"/>
    </row>
    <row r="33" ht="22" customHeight="1">
      <c r="A33" s="4"/>
      <c r="B33" s="2"/>
      <c r="C33" s="3"/>
      <c r="D33" s="3"/>
      <c r="E33" s="3"/>
      <c r="F33" s="3"/>
      <c r="G33" s="3"/>
      <c r="H33" s="3"/>
      <c r="I33" s="3"/>
      <c r="J33" s="3"/>
      <c r="K33" s="3"/>
      <c r="L33" s="3"/>
      <c r="M33" s="3"/>
      <c r="N33" s="3"/>
      <c r="O33" s="3"/>
      <c r="P33" s="3"/>
      <c r="Q33" s="3"/>
      <c r="R33" s="3"/>
      <c r="S33" s="3"/>
      <c r="T33" s="3"/>
      <c r="U33" s="3"/>
      <c r="V33" s="3"/>
      <c r="W33" s="3"/>
      <c r="X33" s="3"/>
    </row>
    <row r="34" ht="22" customHeight="1">
      <c r="A34" s="29" t="str">
        <v>Current structure: consolidated Core reconciliation</v>
      </c>
      <c r="B34" s="29"/>
      <c r="C34" s="32"/>
      <c r="D34" s="32"/>
      <c r="E34" s="32"/>
      <c r="F34" s="32"/>
      <c r="G34" s="32"/>
      <c r="H34" s="32"/>
      <c r="I34" s="32"/>
      <c r="J34" s="32"/>
      <c r="K34" s="32"/>
      <c r="L34" s="32"/>
      <c r="M34" s="32"/>
      <c r="N34" s="32"/>
      <c r="O34" s="32"/>
      <c r="P34" s="32"/>
      <c r="Q34" s="32"/>
      <c r="R34" s="32"/>
      <c r="S34" s="32"/>
      <c r="T34" s="32"/>
      <c r="U34" s="32"/>
      <c r="V34" s="32"/>
      <c r="W34" s="32"/>
      <c r="X34" s="32"/>
    </row>
    <row r="35" ht="18" customHeight="1">
      <c r="A35" s="33" t="str">
        <v>Consolidated reconciliation retained; see original filings for segment-level non-GAAP adjustments. Segment GAAP profit is in Segments.</v>
      </c>
      <c r="B35" s="33"/>
      <c r="C35" s="35"/>
      <c r="D35" s="35"/>
      <c r="E35" s="35"/>
      <c r="F35" s="35"/>
      <c r="G35" s="35"/>
      <c r="H35" s="35"/>
      <c r="I35" s="35"/>
      <c r="J35" s="35"/>
      <c r="K35" s="35"/>
      <c r="L35" s="35"/>
      <c r="M35" s="35"/>
      <c r="N35" s="35"/>
      <c r="O35" s="35"/>
      <c r="P35" s="35"/>
      <c r="Q35" s="35"/>
      <c r="R35" s="35"/>
      <c r="S35" s="35"/>
      <c r="T35" s="35"/>
      <c r="U35" s="35"/>
      <c r="V35" s="35"/>
      <c r="W35" s="35"/>
      <c r="X35" s="35"/>
    </row>
    <row r="36" ht="24" customHeight="1">
      <c r="A36" s="39" t="str">
        <v>Operating profit reconciliation (USD millions)</v>
      </c>
      <c r="B36" s="40"/>
      <c r="C36" s="41"/>
      <c r="D36" s="41"/>
      <c r="E36" s="41"/>
      <c r="F36" s="41"/>
      <c r="G36" s="41"/>
      <c r="H36" s="41"/>
      <c r="I36" s="41"/>
      <c r="J36" s="41"/>
      <c r="K36" s="41"/>
      <c r="L36" s="41"/>
      <c r="M36" s="42"/>
      <c r="N36" s="41"/>
      <c r="O36" s="41"/>
      <c r="P36" s="41"/>
      <c r="Q36" s="41"/>
      <c r="R36" s="41"/>
      <c r="S36" s="41"/>
      <c r="T36" s="41"/>
      <c r="U36" s="41"/>
      <c r="V36" s="41"/>
      <c r="W36" s="41"/>
      <c r="X36" s="41"/>
    </row>
    <row r="37" ht="24" customHeight="1">
      <c r="A37" s="51" t="str">
        <v>Reported, GAAP measure</v>
      </c>
      <c r="B37" s="52"/>
      <c r="C37" s="53"/>
      <c r="D37" s="53"/>
      <c r="E37" s="53"/>
      <c r="F37" s="53"/>
      <c r="G37" s="53"/>
      <c r="H37" s="53"/>
      <c r="I37" s="53"/>
      <c r="J37" s="53"/>
      <c r="K37" s="53" t="n">
        <v>12887</v>
      </c>
      <c r="L37" s="53" t="n">
        <v>11498</v>
      </c>
      <c r="M37" s="55"/>
      <c r="N37" s="53" t="n">
        <v>2717</v>
      </c>
      <c r="O37" s="53" t="n">
        <v>4048</v>
      </c>
      <c r="P37" s="53" t="n">
        <v>3872</v>
      </c>
      <c r="Q37" s="53"/>
      <c r="R37" s="53" t="n">
        <v>2583</v>
      </c>
      <c r="S37" s="53" t="n">
        <v>1789</v>
      </c>
      <c r="T37" s="53" t="n">
        <v>3569</v>
      </c>
      <c r="U37" s="53"/>
      <c r="V37" s="53" t="n">
        <v>3213</v>
      </c>
      <c r="W37" s="53" t="n">
        <v>4023</v>
      </c>
      <c r="X37" s="53" t="n">
        <v>4260</v>
      </c>
    </row>
    <row r="38" ht="22" customHeight="1">
      <c r="A38" s="4" t="str">
        <v>Mark-to-market net impact</v>
      </c>
      <c r="B38" s="2"/>
      <c r="C38" s="44"/>
      <c r="D38" s="44"/>
      <c r="E38" s="44"/>
      <c r="F38" s="44"/>
      <c r="G38" s="44"/>
      <c r="H38" s="44"/>
      <c r="I38" s="44"/>
      <c r="J38" s="44"/>
      <c r="K38" s="44" t="n">
        <v>-25</v>
      </c>
      <c r="L38" s="44" t="n">
        <v>-1</v>
      </c>
      <c r="M38" s="45"/>
      <c r="N38" s="44" t="n">
        <v>-36</v>
      </c>
      <c r="O38" s="44" t="n">
        <v>-8</v>
      </c>
      <c r="P38" s="44" t="n">
        <v>52</v>
      </c>
      <c r="Q38" s="44"/>
      <c r="R38" s="44" t="n">
        <v>-16</v>
      </c>
      <c r="S38" s="44" t="n">
        <v>-15</v>
      </c>
      <c r="T38" s="44" t="n">
        <v>23</v>
      </c>
      <c r="U38" s="44"/>
      <c r="V38" s="44" t="n">
        <v>-182</v>
      </c>
      <c r="W38" s="44" t="n">
        <v>40</v>
      </c>
      <c r="X38" s="44" t="n">
        <v>-79</v>
      </c>
    </row>
    <row r="39" ht="22" customHeight="1">
      <c r="A39" s="4" t="str">
        <v>Restructuring and impairment charges</v>
      </c>
      <c r="B39" s="2"/>
      <c r="C39" s="44"/>
      <c r="D39" s="44"/>
      <c r="E39" s="44"/>
      <c r="F39" s="44"/>
      <c r="G39" s="44"/>
      <c r="H39" s="44"/>
      <c r="I39" s="44"/>
      <c r="J39" s="44"/>
      <c r="K39" s="44" t="n">
        <v>698</v>
      </c>
      <c r="L39" s="44" t="n">
        <v>964</v>
      </c>
      <c r="M39" s="45"/>
      <c r="N39" s="44" t="n">
        <v>89</v>
      </c>
      <c r="O39" s="44" t="n">
        <v>66</v>
      </c>
      <c r="P39" s="44" t="n">
        <v>238</v>
      </c>
      <c r="Q39" s="44"/>
      <c r="R39" s="44" t="n">
        <v>197</v>
      </c>
      <c r="S39" s="44" t="n">
        <v>215</v>
      </c>
      <c r="T39" s="44" t="n">
        <v>142</v>
      </c>
      <c r="U39" s="44"/>
      <c r="V39" s="44" t="n">
        <v>132</v>
      </c>
      <c r="W39" s="44" t="n">
        <v>49</v>
      </c>
      <c r="X39" s="44" t="n">
        <v>192</v>
      </c>
    </row>
    <row r="40" ht="22" customHeight="1">
      <c r="A40" s="4" t="str">
        <v>Acquisition and divestiture-related charges</v>
      </c>
      <c r="B40" s="2"/>
      <c r="C40" s="44"/>
      <c r="D40" s="44"/>
      <c r="E40" s="44"/>
      <c r="F40" s="44"/>
      <c r="G40" s="44"/>
      <c r="H40" s="44"/>
      <c r="I40" s="44"/>
      <c r="J40" s="44"/>
      <c r="K40" s="44" t="n">
        <v>22</v>
      </c>
      <c r="L40" s="44" t="n">
        <v>453</v>
      </c>
      <c r="M40" s="45"/>
      <c r="N40" s="44" t="n">
        <v>2</v>
      </c>
      <c r="O40" s="44"/>
      <c r="P40" s="44" t="n">
        <v>5</v>
      </c>
      <c r="Q40" s="44"/>
      <c r="R40" s="44" t="n">
        <v>25</v>
      </c>
      <c r="S40" s="44" t="n">
        <v>62</v>
      </c>
      <c r="T40" s="44" t="n">
        <v>221</v>
      </c>
      <c r="U40" s="44"/>
      <c r="V40" s="44" t="n">
        <v>-113</v>
      </c>
      <c r="W40" s="44" t="n">
        <v>-45</v>
      </c>
      <c r="X40" s="44" t="n">
        <v>-96</v>
      </c>
    </row>
    <row r="41" ht="24" customHeight="1">
      <c r="A41" s="51" t="str">
        <v>Core, non-GAAP measure</v>
      </c>
      <c r="B41" s="52"/>
      <c r="C41" s="53"/>
      <c r="D41" s="53"/>
      <c r="E41" s="53"/>
      <c r="F41" s="53"/>
      <c r="G41" s="53"/>
      <c r="H41" s="53"/>
      <c r="I41" s="53"/>
      <c r="J41" s="53"/>
      <c r="K41" s="53" t="n">
        <v>14698</v>
      </c>
      <c r="L41" s="53" t="n">
        <v>14912</v>
      </c>
      <c r="M41" s="55"/>
      <c r="N41" s="53" t="n">
        <v>2939</v>
      </c>
      <c r="O41" s="53" t="n">
        <v>4121</v>
      </c>
      <c r="P41" s="53" t="n">
        <v>4176</v>
      </c>
      <c r="Q41" s="53"/>
      <c r="R41" s="53" t="n">
        <v>2789</v>
      </c>
      <c r="S41" s="53" t="n">
        <v>3911</v>
      </c>
      <c r="T41" s="53" t="n">
        <v>4137</v>
      </c>
      <c r="U41" s="53"/>
      <c r="V41" s="53" t="n">
        <v>3050</v>
      </c>
      <c r="W41" s="53" t="n">
        <v>4067</v>
      </c>
      <c r="X41" s="53" t="n">
        <v>4277</v>
      </c>
    </row>
    <row r="42" ht="22" customHeight="1">
      <c r="A42" s="4" t="str">
        <v>Impact of foreign exchange translation</v>
      </c>
      <c r="B42" s="2"/>
      <c r="C42" s="44"/>
      <c r="D42" s="44"/>
      <c r="E42" s="44"/>
      <c r="F42" s="44"/>
      <c r="G42" s="44"/>
      <c r="H42" s="44"/>
      <c r="I42" s="44"/>
      <c r="J42" s="44"/>
      <c r="K42" s="44"/>
      <c r="L42" s="44" t="n">
        <v>36</v>
      </c>
      <c r="M42" s="45"/>
      <c r="N42" s="44"/>
      <c r="O42" s="44"/>
      <c r="P42" s="44"/>
      <c r="Q42" s="44"/>
      <c r="R42" s="44" t="n">
        <v>117</v>
      </c>
      <c r="S42" s="44" t="n">
        <v>92</v>
      </c>
      <c r="T42" s="44" t="n">
        <v>-23</v>
      </c>
      <c r="U42" s="44"/>
      <c r="V42" s="44" t="n">
        <v>-112</v>
      </c>
      <c r="W42" s="44" t="n">
        <v>-103</v>
      </c>
      <c r="X42" s="44" t="n">
        <v>-38</v>
      </c>
    </row>
    <row r="43" ht="22" customHeight="1">
      <c r="A43" s="4" t="str">
        <v>Core Constant Currency, non-GAAP measure</v>
      </c>
      <c r="B43" s="2"/>
      <c r="C43" s="44"/>
      <c r="D43" s="44"/>
      <c r="E43" s="44"/>
      <c r="F43" s="44"/>
      <c r="G43" s="44"/>
      <c r="H43" s="44"/>
      <c r="I43" s="44"/>
      <c r="J43" s="44"/>
      <c r="K43" s="44"/>
      <c r="L43" s="44" t="n">
        <v>14948</v>
      </c>
      <c r="M43" s="45"/>
      <c r="N43" s="44"/>
      <c r="O43" s="44"/>
      <c r="P43" s="44"/>
      <c r="Q43" s="44"/>
      <c r="R43" s="44" t="n">
        <v>2906</v>
      </c>
      <c r="S43" s="44" t="n">
        <v>4003</v>
      </c>
      <c r="T43" s="44" t="n">
        <v>4114</v>
      </c>
      <c r="U43" s="44"/>
      <c r="V43" s="44" t="n">
        <v>2938</v>
      </c>
      <c r="W43" s="44" t="n">
        <v>3964</v>
      </c>
      <c r="X43" s="44" t="n">
        <v>4239</v>
      </c>
    </row>
    <row r="44" ht="24" customHeight="1">
      <c r="A44" s="39" t="str">
        <v>Growth and foreign exchange attribution (%)</v>
      </c>
      <c r="B44" s="40"/>
      <c r="C44" s="41"/>
      <c r="D44" s="41"/>
      <c r="E44" s="41"/>
      <c r="F44" s="41"/>
      <c r="G44" s="41"/>
      <c r="H44" s="41"/>
      <c r="I44" s="41"/>
      <c r="J44" s="41"/>
      <c r="K44" s="41"/>
      <c r="L44" s="41"/>
      <c r="M44" s="42"/>
      <c r="N44" s="41"/>
      <c r="O44" s="41"/>
      <c r="P44" s="41"/>
      <c r="Q44" s="41"/>
      <c r="R44" s="41"/>
      <c r="S44" s="41"/>
      <c r="T44" s="41"/>
      <c r="U44" s="41"/>
      <c r="V44" s="41"/>
      <c r="W44" s="41"/>
      <c r="X44" s="41"/>
    </row>
    <row r="45" ht="24" customHeight="1">
      <c r="A45" s="68" t="str">
        <v>Reported Operating Profit % Change, GAAP measure</v>
      </c>
      <c r="B45" s="52"/>
      <c r="C45" s="69"/>
      <c r="D45" s="69"/>
      <c r="E45" s="69"/>
      <c r="F45" s="69"/>
      <c r="G45" s="69"/>
      <c r="H45" s="69"/>
      <c r="I45" s="69"/>
      <c r="J45" s="69"/>
      <c r="K45" s="69"/>
      <c r="L45" s="69"/>
      <c r="M45" s="70"/>
      <c r="N45" s="69"/>
      <c r="O45" s="69"/>
      <c r="P45" s="69"/>
      <c r="Q45" s="69"/>
      <c r="R45" s="69" t="n">
        <v>-0.05</v>
      </c>
      <c r="S45" s="69"/>
      <c r="T45" s="69" t="n">
        <v>-0.08</v>
      </c>
      <c r="U45" s="69"/>
      <c r="V45" s="69" t="n">
        <v>0.24</v>
      </c>
      <c r="W45" s="69" t="n">
        <v>1.25</v>
      </c>
      <c r="X45" s="69" t="n">
        <v>0.19</v>
      </c>
    </row>
    <row r="46" ht="20" customHeight="1">
      <c r="A46" s="56" t="str">
        <v>Core Operating Profit % Change, non-GAAP measure</v>
      </c>
      <c r="B46" s="2"/>
      <c r="C46" s="58"/>
      <c r="D46" s="58"/>
      <c r="E46" s="58"/>
      <c r="F46" s="58"/>
      <c r="G46" s="58"/>
      <c r="H46" s="58"/>
      <c r="I46" s="58"/>
      <c r="J46" s="58"/>
      <c r="K46" s="58"/>
      <c r="L46" s="58"/>
      <c r="M46" s="60"/>
      <c r="N46" s="58"/>
      <c r="O46" s="58"/>
      <c r="P46" s="58"/>
      <c r="Q46" s="58"/>
      <c r="R46" s="58" t="n">
        <v>-0.05</v>
      </c>
      <c r="S46" s="58" t="n">
        <v>-0.05</v>
      </c>
      <c r="T46" s="58" t="n">
        <v>-0.01</v>
      </c>
      <c r="U46" s="58"/>
      <c r="V46" s="58" t="n">
        <v>0.09</v>
      </c>
      <c r="W46" s="58" t="n">
        <v>0.04</v>
      </c>
      <c r="X46" s="58" t="n">
        <v>0.03</v>
      </c>
    </row>
    <row r="47" ht="36" customHeight="1">
      <c r="A47" s="56" t="str">
        <v>Core Constant Currency Operating Profit % Change, non-GAAP measure</v>
      </c>
      <c r="B47" s="2"/>
      <c r="C47" s="58"/>
      <c r="D47" s="58"/>
      <c r="E47" s="58"/>
      <c r="F47" s="58"/>
      <c r="G47" s="58"/>
      <c r="H47" s="58"/>
      <c r="I47" s="58"/>
      <c r="J47" s="58"/>
      <c r="K47" s="58"/>
      <c r="L47" s="58"/>
      <c r="M47" s="60"/>
      <c r="N47" s="58"/>
      <c r="O47" s="58"/>
      <c r="P47" s="58"/>
      <c r="Q47" s="58"/>
      <c r="R47" s="58" t="n">
        <v>-0.01</v>
      </c>
      <c r="S47" s="58" t="n">
        <v>-0.03</v>
      </c>
      <c r="T47" s="58" t="n">
        <v>-0.015</v>
      </c>
      <c r="U47" s="58"/>
      <c r="V47" s="58" t="n">
        <v>0.05</v>
      </c>
      <c r="W47" s="58" t="n">
        <v>0.01</v>
      </c>
      <c r="X47" s="58" t="n">
        <v>0.025</v>
      </c>
    </row>
    <row r="48" ht="24" customHeight="1">
      <c r="A48" s="39" t="str">
        <v>Operating profit reconciliation (USD millions)</v>
      </c>
      <c r="B48" s="40"/>
      <c r="C48" s="41"/>
      <c r="D48" s="41"/>
      <c r="E48" s="41"/>
      <c r="F48" s="41"/>
      <c r="G48" s="41"/>
      <c r="H48" s="41"/>
      <c r="I48" s="41"/>
      <c r="J48" s="41"/>
      <c r="K48" s="41"/>
      <c r="L48" s="41"/>
      <c r="M48" s="42"/>
      <c r="N48" s="41"/>
      <c r="O48" s="41"/>
      <c r="P48" s="41"/>
      <c r="Q48" s="41"/>
      <c r="R48" s="41"/>
      <c r="S48" s="41"/>
      <c r="T48" s="41"/>
      <c r="U48" s="41"/>
      <c r="V48" s="41"/>
      <c r="W48" s="41"/>
      <c r="X48" s="41"/>
    </row>
    <row r="49" ht="22" customHeight="1">
      <c r="A49" s="4" t="str">
        <v>Product recall-related impact</v>
      </c>
      <c r="B49" s="2"/>
      <c r="C49" s="44"/>
      <c r="D49" s="44"/>
      <c r="E49" s="44"/>
      <c r="F49" s="44"/>
      <c r="G49" s="44"/>
      <c r="H49" s="44"/>
      <c r="I49" s="44"/>
      <c r="J49" s="44"/>
      <c r="K49" s="44" t="n">
        <v>184</v>
      </c>
      <c r="L49" s="44"/>
      <c r="M49" s="45"/>
      <c r="N49" s="44" t="n">
        <v>167</v>
      </c>
      <c r="O49" s="44" t="n">
        <v>15</v>
      </c>
      <c r="P49" s="44" t="n">
        <v>-1</v>
      </c>
      <c r="Q49" s="44"/>
      <c r="R49" s="44"/>
      <c r="S49" s="44"/>
      <c r="T49" s="44"/>
      <c r="U49" s="44"/>
      <c r="V49" s="44"/>
      <c r="W49" s="44"/>
      <c r="X49" s="44"/>
    </row>
    <row r="50" ht="22" customHeight="1">
      <c r="A50" s="4" t="str">
        <v>Impairment and other charges</v>
      </c>
      <c r="B50" s="2"/>
      <c r="C50" s="44"/>
      <c r="D50" s="44"/>
      <c r="E50" s="44"/>
      <c r="F50" s="44"/>
      <c r="G50" s="44"/>
      <c r="H50" s="44"/>
      <c r="I50" s="44"/>
      <c r="J50" s="44"/>
      <c r="K50" s="44" t="n">
        <v>714</v>
      </c>
      <c r="L50" s="44" t="n">
        <v>1946</v>
      </c>
      <c r="M50" s="45"/>
      <c r="N50" s="44"/>
      <c r="O50" s="44"/>
      <c r="P50" s="44" t="n">
        <v>10</v>
      </c>
      <c r="Q50" s="44"/>
      <c r="R50" s="44"/>
      <c r="S50" s="44" t="n">
        <v>1860</v>
      </c>
      <c r="T50" s="44" t="n">
        <v>100</v>
      </c>
      <c r="U50" s="44"/>
      <c r="V50" s="44"/>
      <c r="W50" s="44"/>
      <c r="X50" s="44"/>
    </row>
    <row r="51" ht="24" customHeight="1">
      <c r="A51" s="39" t="str">
        <v>Growth and foreign exchange attribution (%)</v>
      </c>
      <c r="B51" s="40"/>
      <c r="C51" s="41"/>
      <c r="D51" s="41"/>
      <c r="E51" s="41"/>
      <c r="F51" s="41"/>
      <c r="G51" s="41"/>
      <c r="H51" s="41"/>
      <c r="I51" s="41"/>
      <c r="J51" s="41"/>
      <c r="K51" s="41"/>
      <c r="L51" s="41"/>
      <c r="M51" s="42"/>
      <c r="N51" s="41"/>
      <c r="O51" s="41"/>
      <c r="P51" s="41"/>
      <c r="Q51" s="41"/>
      <c r="R51" s="41"/>
      <c r="S51" s="41"/>
      <c r="T51" s="41"/>
      <c r="U51" s="41"/>
      <c r="V51" s="41"/>
      <c r="W51" s="41"/>
      <c r="X51" s="41"/>
    </row>
    <row r="52" ht="24" customHeight="1">
      <c r="A52" s="68" t="str">
        <v>Reported Operating Profit/Loss % Change, GAAP measure</v>
      </c>
      <c r="B52" s="52"/>
      <c r="C52" s="69"/>
      <c r="D52" s="69"/>
      <c r="E52" s="69"/>
      <c r="F52" s="69"/>
      <c r="G52" s="69"/>
      <c r="H52" s="69"/>
      <c r="I52" s="69"/>
      <c r="J52" s="69"/>
      <c r="K52" s="69"/>
      <c r="L52" s="69"/>
      <c r="M52" s="70"/>
      <c r="N52" s="69"/>
      <c r="O52" s="69"/>
      <c r="P52" s="69"/>
      <c r="Q52" s="69"/>
      <c r="R52" s="69"/>
      <c r="S52" s="69" t="n">
        <v>-0.56</v>
      </c>
      <c r="T52" s="69"/>
      <c r="U52" s="69"/>
      <c r="V52" s="69"/>
      <c r="W52" s="69"/>
      <c r="X52" s="69"/>
    </row>
    <row r="53" ht="24" customHeight="1">
      <c r="A53" s="39" t="str">
        <v>Operating profit reconciliation (USD millions)</v>
      </c>
      <c r="B53" s="40"/>
      <c r="C53" s="41"/>
      <c r="D53" s="41"/>
      <c r="E53" s="41"/>
      <c r="F53" s="41"/>
      <c r="G53" s="41"/>
      <c r="H53" s="41"/>
      <c r="I53" s="41"/>
      <c r="J53" s="41"/>
      <c r="K53" s="41"/>
      <c r="L53" s="41"/>
      <c r="M53" s="42"/>
      <c r="N53" s="41"/>
      <c r="O53" s="41"/>
      <c r="P53" s="41"/>
      <c r="Q53" s="41"/>
      <c r="R53" s="41"/>
      <c r="S53" s="41"/>
      <c r="T53" s="41"/>
      <c r="U53" s="41"/>
      <c r="V53" s="41"/>
      <c r="W53" s="41"/>
      <c r="X53" s="41"/>
    </row>
    <row r="54" ht="22" customHeight="1">
      <c r="A54" s="4" t="str">
        <v>Indirect and income tax impact</v>
      </c>
      <c r="B54" s="2"/>
      <c r="C54" s="44"/>
      <c r="D54" s="44"/>
      <c r="E54" s="44"/>
      <c r="F54" s="44"/>
      <c r="G54" s="44"/>
      <c r="H54" s="44"/>
      <c r="I54" s="44"/>
      <c r="J54" s="44"/>
      <c r="K54" s="44"/>
      <c r="L54" s="44"/>
      <c r="M54" s="45"/>
      <c r="N54" s="44"/>
      <c r="O54" s="44"/>
      <c r="P54" s="44"/>
      <c r="Q54" s="44"/>
      <c r="R54" s="44"/>
      <c r="S54" s="44"/>
      <c r="T54" s="44" t="n">
        <v>82</v>
      </c>
      <c r="U54" s="44"/>
      <c r="V54" s="44"/>
      <c r="W54" s="44"/>
      <c r="X54" s="44"/>
    </row>
    <row r="55" ht="22" customHeight="1">
      <c r="A55" s="4" t="str">
        <v>Indirect tax impact</v>
      </c>
      <c r="B55" s="2"/>
      <c r="C55" s="44"/>
      <c r="D55" s="44"/>
      <c r="E55" s="44"/>
      <c r="F55" s="44"/>
      <c r="G55" s="44"/>
      <c r="H55" s="44"/>
      <c r="I55" s="44"/>
      <c r="J55" s="44"/>
      <c r="K55" s="44" t="n">
        <v>218</v>
      </c>
      <c r="L55" s="44" t="n">
        <v>82</v>
      </c>
      <c r="M55" s="45"/>
      <c r="N55" s="44"/>
      <c r="O55" s="44"/>
      <c r="P55" s="44"/>
      <c r="Q55" s="44"/>
      <c r="R55" s="44"/>
      <c r="S55" s="44"/>
      <c r="T55" s="44"/>
      <c r="U55" s="44"/>
      <c r="V55" s="44"/>
      <c r="W55" s="44"/>
      <c r="X55" s="44"/>
    </row>
    <row r="56" ht="22" customHeight="1">
      <c r="A56" s="4" t="str">
        <v>Pension and retiree medical-related impact</v>
      </c>
      <c r="B56" s="2"/>
      <c r="C56" s="44"/>
      <c r="D56" s="44"/>
      <c r="E56" s="44"/>
      <c r="F56" s="44"/>
      <c r="G56" s="44"/>
      <c r="H56" s="44"/>
      <c r="I56" s="44"/>
      <c r="J56" s="44"/>
      <c r="K56" s="44"/>
      <c r="L56" s="44" t="n">
        <v>-30</v>
      </c>
      <c r="M56" s="45"/>
      <c r="N56" s="44"/>
      <c r="O56" s="44"/>
      <c r="P56" s="44"/>
      <c r="Q56" s="44"/>
      <c r="R56" s="44"/>
      <c r="S56" s="44"/>
      <c r="T56" s="44"/>
      <c r="U56" s="44"/>
      <c r="V56" s="44"/>
      <c r="W56" s="44"/>
      <c r="X56" s="44"/>
    </row>
    <row r="57" ht="22" customHeight="1">
      <c r="A57" s="4"/>
      <c r="B57" s="2"/>
      <c r="C57" s="3"/>
      <c r="D57" s="3"/>
      <c r="E57" s="3"/>
      <c r="F57" s="3"/>
      <c r="G57" s="3"/>
      <c r="H57" s="3"/>
      <c r="I57" s="3"/>
      <c r="J57" s="3"/>
      <c r="K57" s="3"/>
      <c r="L57" s="3"/>
      <c r="M57" s="3"/>
      <c r="N57" s="3"/>
      <c r="O57" s="3"/>
      <c r="P57" s="3"/>
      <c r="Q57" s="3"/>
      <c r="R57" s="3"/>
      <c r="S57" s="3"/>
      <c r="T57" s="3"/>
      <c r="U57" s="3"/>
      <c r="V57" s="3"/>
      <c r="W57" s="3"/>
      <c r="X57" s="3"/>
    </row>
    <row r="58" ht="22" customHeight="1">
      <c r="A58" s="29" t="str">
        <v>Current structure: consolidated Core reconciliation (YTD)</v>
      </c>
      <c r="B58" s="29"/>
      <c r="C58" s="32"/>
      <c r="D58" s="32"/>
      <c r="E58" s="32"/>
      <c r="F58" s="32"/>
      <c r="G58" s="32"/>
      <c r="H58" s="32"/>
      <c r="I58" s="32"/>
      <c r="J58" s="32"/>
      <c r="K58" s="32"/>
      <c r="L58" s="32"/>
      <c r="M58" s="32"/>
      <c r="N58" s="32"/>
      <c r="O58" s="32"/>
      <c r="P58" s="32"/>
      <c r="Q58" s="32"/>
      <c r="R58" s="32"/>
      <c r="S58" s="32"/>
      <c r="T58" s="32"/>
      <c r="U58" s="32"/>
      <c r="V58" s="32"/>
      <c r="W58" s="32"/>
      <c r="X58" s="32"/>
    </row>
    <row r="59" ht="18" customHeight="1">
      <c r="A59" s="33" t="str">
        <v>Consolidated reconciliation retained; see original filings for segment-level non-GAAP adjustments. Segment GAAP profit is in Segments.</v>
      </c>
      <c r="B59" s="33"/>
      <c r="C59" s="35"/>
      <c r="D59" s="35"/>
      <c r="E59" s="35"/>
      <c r="F59" s="35"/>
      <c r="G59" s="35"/>
      <c r="H59" s="35"/>
      <c r="I59" s="35"/>
      <c r="J59" s="35"/>
      <c r="K59" s="35"/>
      <c r="L59" s="35"/>
      <c r="M59" s="35"/>
      <c r="N59" s="35"/>
      <c r="O59" s="35"/>
      <c r="P59" s="35"/>
      <c r="Q59" s="35"/>
      <c r="R59" s="35"/>
      <c r="S59" s="35"/>
      <c r="T59" s="35"/>
      <c r="U59" s="35"/>
      <c r="V59" s="35"/>
      <c r="W59" s="35"/>
      <c r="X59" s="35"/>
    </row>
    <row r="60" ht="24" customHeight="1">
      <c r="A60" s="39" t="str">
        <v>Operating profit reconciliation (USD millions)</v>
      </c>
      <c r="B60" s="40"/>
      <c r="C60" s="41"/>
      <c r="D60" s="41"/>
      <c r="E60" s="41"/>
      <c r="F60" s="41"/>
      <c r="G60" s="41"/>
      <c r="H60" s="41"/>
      <c r="I60" s="41"/>
      <c r="J60" s="41"/>
      <c r="K60" s="41"/>
      <c r="L60" s="41"/>
      <c r="M60" s="42"/>
      <c r="N60" s="41"/>
      <c r="O60" s="41"/>
      <c r="P60" s="41"/>
      <c r="Q60" s="41"/>
      <c r="R60" s="41"/>
      <c r="S60" s="41"/>
      <c r="T60" s="41"/>
      <c r="U60" s="41"/>
      <c r="V60" s="41"/>
      <c r="W60" s="41"/>
      <c r="X60" s="41"/>
    </row>
    <row r="61" ht="24" customHeight="1">
      <c r="A61" s="51" t="str">
        <v>Reported, GAAP measure</v>
      </c>
      <c r="B61" s="52"/>
      <c r="C61" s="53"/>
      <c r="D61" s="53"/>
      <c r="E61" s="53"/>
      <c r="F61" s="53"/>
      <c r="G61" s="53"/>
      <c r="H61" s="53"/>
      <c r="I61" s="53"/>
      <c r="J61" s="53"/>
      <c r="K61" s="53"/>
      <c r="L61" s="53"/>
      <c r="M61" s="55"/>
      <c r="N61" s="53"/>
      <c r="O61" s="53" t="n">
        <v>6765</v>
      </c>
      <c r="P61" s="53" t="n">
        <v>10637</v>
      </c>
      <c r="Q61" s="53"/>
      <c r="R61" s="53"/>
      <c r="S61" s="53" t="n">
        <v>4372</v>
      </c>
      <c r="T61" s="53" t="n">
        <v>7941</v>
      </c>
      <c r="U61" s="53"/>
      <c r="V61" s="53"/>
      <c r="W61" s="53" t="n">
        <v>7236</v>
      </c>
      <c r="X61" s="53" t="n">
        <v>11496</v>
      </c>
    </row>
    <row r="62" ht="22" customHeight="1">
      <c r="A62" s="4" t="str">
        <v>Mark-to-market net impact</v>
      </c>
      <c r="B62" s="2"/>
      <c r="C62" s="44"/>
      <c r="D62" s="44"/>
      <c r="E62" s="44"/>
      <c r="F62" s="44"/>
      <c r="G62" s="44"/>
      <c r="H62" s="44"/>
      <c r="I62" s="44"/>
      <c r="J62" s="44"/>
      <c r="K62" s="44"/>
      <c r="L62" s="44"/>
      <c r="M62" s="45"/>
      <c r="N62" s="44"/>
      <c r="O62" s="44" t="n">
        <v>-44</v>
      </c>
      <c r="P62" s="44" t="n">
        <v>8</v>
      </c>
      <c r="Q62" s="44"/>
      <c r="R62" s="44"/>
      <c r="S62" s="44" t="n">
        <v>-31</v>
      </c>
      <c r="T62" s="44" t="n">
        <v>-8</v>
      </c>
      <c r="U62" s="44"/>
      <c r="V62" s="44"/>
      <c r="W62" s="44" t="n">
        <v>-142</v>
      </c>
      <c r="X62" s="44" t="n">
        <v>-221</v>
      </c>
    </row>
    <row r="63" ht="22" customHeight="1">
      <c r="A63" s="4" t="str">
        <v>Restructuring and impairment charges</v>
      </c>
      <c r="B63" s="2"/>
      <c r="C63" s="44"/>
      <c r="D63" s="44"/>
      <c r="E63" s="44"/>
      <c r="F63" s="44"/>
      <c r="G63" s="44"/>
      <c r="H63" s="44"/>
      <c r="I63" s="44"/>
      <c r="J63" s="44"/>
      <c r="K63" s="44"/>
      <c r="L63" s="44"/>
      <c r="M63" s="45"/>
      <c r="N63" s="44"/>
      <c r="O63" s="44" t="n">
        <v>155</v>
      </c>
      <c r="P63" s="44" t="n">
        <v>393</v>
      </c>
      <c r="Q63" s="44"/>
      <c r="R63" s="44"/>
      <c r="S63" s="44" t="n">
        <v>412</v>
      </c>
      <c r="T63" s="44" t="n">
        <v>554</v>
      </c>
      <c r="U63" s="44"/>
      <c r="V63" s="44"/>
      <c r="W63" s="44" t="n">
        <v>181</v>
      </c>
      <c r="X63" s="44" t="n">
        <v>373</v>
      </c>
    </row>
    <row r="64" ht="22" customHeight="1">
      <c r="A64" s="4" t="str">
        <v>Acquisition and divestiture-related charges</v>
      </c>
      <c r="B64" s="2"/>
      <c r="C64" s="44"/>
      <c r="D64" s="44"/>
      <c r="E64" s="44"/>
      <c r="F64" s="44"/>
      <c r="G64" s="44"/>
      <c r="H64" s="44"/>
      <c r="I64" s="44"/>
      <c r="J64" s="44"/>
      <c r="K64" s="44"/>
      <c r="L64" s="44"/>
      <c r="M64" s="45"/>
      <c r="N64" s="44"/>
      <c r="O64" s="44" t="n">
        <v>2</v>
      </c>
      <c r="P64" s="44" t="n">
        <v>7</v>
      </c>
      <c r="Q64" s="44"/>
      <c r="R64" s="44"/>
      <c r="S64" s="44" t="n">
        <v>87</v>
      </c>
      <c r="T64" s="44" t="n">
        <v>308</v>
      </c>
      <c r="U64" s="44"/>
      <c r="V64" s="44"/>
      <c r="W64" s="44" t="n">
        <v>-158</v>
      </c>
      <c r="X64" s="44" t="n">
        <v>-254</v>
      </c>
    </row>
    <row r="65" ht="22" customHeight="1">
      <c r="A65" s="4" t="str">
        <v>Impairment and other charges</v>
      </c>
      <c r="B65" s="2"/>
      <c r="C65" s="44"/>
      <c r="D65" s="44"/>
      <c r="E65" s="44"/>
      <c r="F65" s="44"/>
      <c r="G65" s="44"/>
      <c r="H65" s="44"/>
      <c r="I65" s="44"/>
      <c r="J65" s="44"/>
      <c r="K65" s="44"/>
      <c r="L65" s="44"/>
      <c r="M65" s="45"/>
      <c r="N65" s="44"/>
      <c r="O65" s="44"/>
      <c r="P65" s="44" t="n">
        <v>10</v>
      </c>
      <c r="Q65" s="44"/>
      <c r="R65" s="44"/>
      <c r="S65" s="44" t="n">
        <v>1860</v>
      </c>
      <c r="T65" s="44" t="n">
        <v>1960</v>
      </c>
      <c r="U65" s="44"/>
      <c r="V65" s="44"/>
      <c r="W65" s="44"/>
      <c r="X65" s="44"/>
    </row>
    <row r="66" ht="24" customHeight="1">
      <c r="A66" s="51" t="str">
        <v>Core, non-GAAP measure</v>
      </c>
      <c r="B66" s="52"/>
      <c r="C66" s="53"/>
      <c r="D66" s="53"/>
      <c r="E66" s="53"/>
      <c r="F66" s="53"/>
      <c r="G66" s="53"/>
      <c r="H66" s="53"/>
      <c r="I66" s="53"/>
      <c r="J66" s="53"/>
      <c r="K66" s="53"/>
      <c r="L66" s="53"/>
      <c r="M66" s="55"/>
      <c r="N66" s="53"/>
      <c r="O66" s="53" t="n">
        <v>7060</v>
      </c>
      <c r="P66" s="53" t="n">
        <v>11236</v>
      </c>
      <c r="Q66" s="53"/>
      <c r="R66" s="53"/>
      <c r="S66" s="53" t="n">
        <v>6700</v>
      </c>
      <c r="T66" s="53" t="n">
        <v>10837</v>
      </c>
      <c r="U66" s="53"/>
      <c r="V66" s="53"/>
      <c r="W66" s="53" t="n">
        <v>7117</v>
      </c>
      <c r="X66" s="53" t="n">
        <v>11394</v>
      </c>
    </row>
    <row r="67" ht="22" customHeight="1">
      <c r="A67" s="4" t="str">
        <v>Impact of foreign exchange translation</v>
      </c>
      <c r="B67" s="2"/>
      <c r="C67" s="44"/>
      <c r="D67" s="44"/>
      <c r="E67" s="44"/>
      <c r="F67" s="44"/>
      <c r="G67" s="44"/>
      <c r="H67" s="44"/>
      <c r="I67" s="44"/>
      <c r="J67" s="44"/>
      <c r="K67" s="44"/>
      <c r="L67" s="44"/>
      <c r="M67" s="45"/>
      <c r="N67" s="44"/>
      <c r="O67" s="44"/>
      <c r="P67" s="44"/>
      <c r="Q67" s="44"/>
      <c r="R67" s="44"/>
      <c r="S67" s="44" t="n">
        <v>209</v>
      </c>
      <c r="T67" s="44" t="n">
        <v>186</v>
      </c>
      <c r="U67" s="44"/>
      <c r="V67" s="44"/>
      <c r="W67" s="44" t="n">
        <v>-215</v>
      </c>
      <c r="X67" s="44" t="n">
        <v>-253</v>
      </c>
    </row>
    <row r="68" ht="22" customHeight="1">
      <c r="A68" s="4" t="str">
        <v>Core Constant Currency, non-GAAP measure</v>
      </c>
      <c r="B68" s="2"/>
      <c r="C68" s="44"/>
      <c r="D68" s="44"/>
      <c r="E68" s="44"/>
      <c r="F68" s="44"/>
      <c r="G68" s="44"/>
      <c r="H68" s="44"/>
      <c r="I68" s="44"/>
      <c r="J68" s="44"/>
      <c r="K68" s="44"/>
      <c r="L68" s="44"/>
      <c r="M68" s="45"/>
      <c r="N68" s="44"/>
      <c r="O68" s="44"/>
      <c r="P68" s="44"/>
      <c r="Q68" s="44"/>
      <c r="R68" s="44"/>
      <c r="S68" s="44" t="n">
        <v>6909</v>
      </c>
      <c r="T68" s="44" t="n">
        <v>11023</v>
      </c>
      <c r="U68" s="44"/>
      <c r="V68" s="44"/>
      <c r="W68" s="44" t="n">
        <v>6902</v>
      </c>
      <c r="X68" s="44" t="n">
        <v>11141</v>
      </c>
    </row>
    <row r="69" ht="24" customHeight="1">
      <c r="A69" s="39" t="str">
        <v>Growth and foreign exchange attribution (%)</v>
      </c>
      <c r="B69" s="40"/>
      <c r="C69" s="41"/>
      <c r="D69" s="41"/>
      <c r="E69" s="41"/>
      <c r="F69" s="41"/>
      <c r="G69" s="41"/>
      <c r="H69" s="41"/>
      <c r="I69" s="41"/>
      <c r="J69" s="41"/>
      <c r="K69" s="41"/>
      <c r="L69" s="41"/>
      <c r="M69" s="42"/>
      <c r="N69" s="41"/>
      <c r="O69" s="41"/>
      <c r="P69" s="41"/>
      <c r="Q69" s="41"/>
      <c r="R69" s="41"/>
      <c r="S69" s="41"/>
      <c r="T69" s="41"/>
      <c r="U69" s="41"/>
      <c r="V69" s="41"/>
      <c r="W69" s="41"/>
      <c r="X69" s="41"/>
    </row>
    <row r="70" ht="24" customHeight="1">
      <c r="A70" s="68" t="str">
        <v>Reported Operating Profit/Loss % Change, GAAP measure</v>
      </c>
      <c r="B70" s="52"/>
      <c r="C70" s="69"/>
      <c r="D70" s="69"/>
      <c r="E70" s="69"/>
      <c r="F70" s="69"/>
      <c r="G70" s="69"/>
      <c r="H70" s="69"/>
      <c r="I70" s="69"/>
      <c r="J70" s="69"/>
      <c r="K70" s="69"/>
      <c r="L70" s="69"/>
      <c r="M70" s="70"/>
      <c r="N70" s="69"/>
      <c r="O70" s="69"/>
      <c r="P70" s="69"/>
      <c r="Q70" s="69"/>
      <c r="R70" s="69"/>
      <c r="S70" s="69" t="n">
        <v>-0.35000000000000003</v>
      </c>
      <c r="T70" s="69"/>
      <c r="U70" s="69"/>
      <c r="V70" s="69"/>
      <c r="W70" s="69"/>
      <c r="X70" s="69"/>
    </row>
    <row r="71" ht="20" customHeight="1">
      <c r="A71" s="56" t="str">
        <v>Core Operating Profit % Change, non-GAAP measure</v>
      </c>
      <c r="B71" s="2"/>
      <c r="C71" s="58"/>
      <c r="D71" s="58"/>
      <c r="E71" s="58"/>
      <c r="F71" s="58"/>
      <c r="G71" s="58"/>
      <c r="H71" s="58"/>
      <c r="I71" s="58"/>
      <c r="J71" s="58"/>
      <c r="K71" s="58"/>
      <c r="L71" s="58"/>
      <c r="M71" s="60"/>
      <c r="N71" s="58"/>
      <c r="O71" s="58"/>
      <c r="P71" s="58"/>
      <c r="Q71" s="58"/>
      <c r="R71" s="58"/>
      <c r="S71" s="58" t="n">
        <v>-0.05</v>
      </c>
      <c r="T71" s="58" t="n">
        <v>-0.04</v>
      </c>
      <c r="U71" s="58"/>
      <c r="V71" s="58"/>
      <c r="W71" s="58" t="n">
        <v>0.06</v>
      </c>
      <c r="X71" s="58" t="n">
        <v>0.05</v>
      </c>
    </row>
    <row r="72" ht="36" customHeight="1">
      <c r="A72" s="56" t="str">
        <v>Core Constant Currency Operating Profit % Change, non-GAAP measure</v>
      </c>
      <c r="B72" s="2"/>
      <c r="C72" s="58"/>
      <c r="D72" s="58"/>
      <c r="E72" s="58"/>
      <c r="F72" s="58"/>
      <c r="G72" s="58"/>
      <c r="H72" s="58"/>
      <c r="I72" s="58"/>
      <c r="J72" s="58"/>
      <c r="K72" s="58"/>
      <c r="L72" s="58"/>
      <c r="M72" s="60"/>
      <c r="N72" s="58"/>
      <c r="O72" s="58"/>
      <c r="P72" s="58"/>
      <c r="Q72" s="58"/>
      <c r="R72" s="58"/>
      <c r="S72" s="58" t="n">
        <v>-0.02</v>
      </c>
      <c r="T72" s="58" t="n">
        <v>-0.02</v>
      </c>
      <c r="U72" s="58"/>
      <c r="V72" s="58"/>
      <c r="W72" s="58" t="n">
        <v>0.03</v>
      </c>
      <c r="X72" s="58" t="n">
        <v>0.03</v>
      </c>
    </row>
    <row r="73" ht="24" customHeight="1">
      <c r="A73" s="39" t="str">
        <v>Operating profit reconciliation (USD millions)</v>
      </c>
      <c r="B73" s="40"/>
      <c r="C73" s="41"/>
      <c r="D73" s="41"/>
      <c r="E73" s="41"/>
      <c r="F73" s="41"/>
      <c r="G73" s="41"/>
      <c r="H73" s="41"/>
      <c r="I73" s="41"/>
      <c r="J73" s="41"/>
      <c r="K73" s="41"/>
      <c r="L73" s="41"/>
      <c r="M73" s="42"/>
      <c r="N73" s="41"/>
      <c r="O73" s="41"/>
      <c r="P73" s="41"/>
      <c r="Q73" s="41"/>
      <c r="R73" s="41"/>
      <c r="S73" s="41"/>
      <c r="T73" s="41"/>
      <c r="U73" s="41"/>
      <c r="V73" s="41"/>
      <c r="W73" s="41"/>
      <c r="X73" s="41"/>
    </row>
    <row r="74" ht="22" customHeight="1">
      <c r="A74" s="4" t="str">
        <v>Product recall-related impact</v>
      </c>
      <c r="B74" s="2"/>
      <c r="C74" s="44"/>
      <c r="D74" s="44"/>
      <c r="E74" s="44"/>
      <c r="F74" s="44"/>
      <c r="G74" s="44"/>
      <c r="H74" s="44"/>
      <c r="I74" s="44"/>
      <c r="J74" s="44"/>
      <c r="K74" s="44"/>
      <c r="L74" s="44"/>
      <c r="M74" s="45"/>
      <c r="N74" s="44"/>
      <c r="O74" s="44" t="n">
        <v>182</v>
      </c>
      <c r="P74" s="44" t="n">
        <v>181</v>
      </c>
      <c r="Q74" s="44"/>
      <c r="R74" s="44"/>
      <c r="S74" s="44"/>
      <c r="T74" s="44"/>
      <c r="U74" s="44"/>
      <c r="V74" s="44"/>
      <c r="W74" s="44"/>
      <c r="X74" s="44"/>
    </row>
    <row r="75" ht="22" customHeight="1">
      <c r="A75" s="4" t="str">
        <v>Indirect and income tax impact</v>
      </c>
      <c r="B75" s="2"/>
      <c r="C75" s="44"/>
      <c r="D75" s="44"/>
      <c r="E75" s="44"/>
      <c r="F75" s="44"/>
      <c r="G75" s="44"/>
      <c r="H75" s="44"/>
      <c r="I75" s="44"/>
      <c r="J75" s="44"/>
      <c r="K75" s="44"/>
      <c r="L75" s="44"/>
      <c r="M75" s="45"/>
      <c r="N75" s="44"/>
      <c r="O75" s="44"/>
      <c r="P75" s="44"/>
      <c r="Q75" s="44"/>
      <c r="R75" s="44"/>
      <c r="S75" s="44"/>
      <c r="T75" s="44" t="n">
        <v>82</v>
      </c>
      <c r="U75" s="44"/>
      <c r="V75" s="44"/>
      <c r="W75" s="44"/>
      <c r="X75" s="44"/>
    </row>
    <row r="76" ht="24" customHeight="1">
      <c r="A76" s="39" t="str">
        <v>Growth and foreign exchange attribution (%)</v>
      </c>
      <c r="B76" s="40"/>
      <c r="C76" s="41"/>
      <c r="D76" s="41"/>
      <c r="E76" s="41"/>
      <c r="F76" s="41"/>
      <c r="G76" s="41"/>
      <c r="H76" s="41"/>
      <c r="I76" s="41"/>
      <c r="J76" s="41"/>
      <c r="K76" s="41"/>
      <c r="L76" s="41"/>
      <c r="M76" s="42"/>
      <c r="N76" s="41"/>
      <c r="O76" s="41"/>
      <c r="P76" s="41"/>
      <c r="Q76" s="41"/>
      <c r="R76" s="41"/>
      <c r="S76" s="41"/>
      <c r="T76" s="41"/>
      <c r="U76" s="41"/>
      <c r="V76" s="41"/>
      <c r="W76" s="41"/>
      <c r="X76" s="41"/>
    </row>
    <row r="77" ht="24" customHeight="1">
      <c r="A77" s="68" t="str">
        <v>Reported Operating Profit % Change, GAAP measure</v>
      </c>
      <c r="B77" s="52"/>
      <c r="C77" s="69"/>
      <c r="D77" s="69"/>
      <c r="E77" s="69"/>
      <c r="F77" s="69"/>
      <c r="G77" s="69"/>
      <c r="H77" s="69"/>
      <c r="I77" s="69"/>
      <c r="J77" s="69"/>
      <c r="K77" s="69"/>
      <c r="L77" s="69"/>
      <c r="M77" s="70"/>
      <c r="N77" s="69"/>
      <c r="O77" s="69"/>
      <c r="P77" s="69"/>
      <c r="Q77" s="69"/>
      <c r="R77" s="69"/>
      <c r="S77" s="69"/>
      <c r="T77" s="69" t="n">
        <v>-0.25</v>
      </c>
      <c r="U77" s="69"/>
      <c r="V77" s="69"/>
      <c r="W77" s="69" t="n">
        <v>0.65</v>
      </c>
      <c r="X77" s="69" t="n">
        <v>0.45</v>
      </c>
    </row>
    <row r="78" ht="22" customHeight="1">
      <c r="A78" s="4"/>
      <c r="B78" s="2"/>
      <c r="C78" s="3"/>
      <c r="D78" s="3"/>
      <c r="E78" s="3"/>
      <c r="F78" s="3"/>
      <c r="G78" s="3"/>
      <c r="H78" s="3"/>
      <c r="I78" s="3"/>
      <c r="J78" s="3"/>
      <c r="K78" s="3"/>
      <c r="L78" s="3"/>
      <c r="M78" s="3"/>
      <c r="N78" s="3"/>
      <c r="O78" s="3"/>
      <c r="P78" s="3"/>
      <c r="Q78" s="3"/>
      <c r="R78" s="3"/>
      <c r="S78" s="3"/>
      <c r="T78" s="3"/>
      <c r="U78" s="3"/>
      <c r="V78" s="3"/>
      <c r="W78" s="3"/>
      <c r="X78" s="3"/>
    </row>
    <row r="79" ht="22" customHeight="1">
      <c r="A79" s="29" t="str">
        <v>Earlier structure: consolidated Core reconciliation</v>
      </c>
      <c r="B79" s="29"/>
      <c r="C79" s="32"/>
      <c r="D79" s="32"/>
      <c r="E79" s="32"/>
      <c r="F79" s="32"/>
      <c r="G79" s="32"/>
      <c r="H79" s="32"/>
      <c r="I79" s="32"/>
      <c r="J79" s="32"/>
      <c r="K79" s="32"/>
      <c r="L79" s="32"/>
      <c r="M79" s="32"/>
      <c r="N79" s="32"/>
      <c r="O79" s="32"/>
      <c r="P79" s="32"/>
      <c r="Q79" s="32"/>
      <c r="R79" s="32"/>
      <c r="S79" s="32"/>
      <c r="T79" s="32"/>
      <c r="U79" s="32"/>
      <c r="V79" s="32"/>
      <c r="W79" s="32"/>
      <c r="X79" s="32"/>
    </row>
    <row r="80" ht="18" customHeight="1">
      <c r="A80" s="33" t="str">
        <v>Consolidated reconciliation retained; see original filings for segment-level non-GAAP adjustments. Segment GAAP profit is in Segments.</v>
      </c>
      <c r="B80" s="33"/>
      <c r="C80" s="35"/>
      <c r="D80" s="35"/>
      <c r="E80" s="35"/>
      <c r="F80" s="35"/>
      <c r="G80" s="35"/>
      <c r="H80" s="35"/>
      <c r="I80" s="35"/>
      <c r="J80" s="35"/>
      <c r="K80" s="35"/>
      <c r="L80" s="35"/>
      <c r="M80" s="35"/>
      <c r="N80" s="35"/>
      <c r="O80" s="35"/>
      <c r="P80" s="35"/>
      <c r="Q80" s="35"/>
      <c r="R80" s="35"/>
      <c r="S80" s="35"/>
      <c r="T80" s="35"/>
      <c r="U80" s="35"/>
      <c r="V80" s="35"/>
      <c r="W80" s="35"/>
      <c r="X80" s="35"/>
    </row>
    <row r="81" ht="24" customHeight="1">
      <c r="A81" s="39" t="str">
        <v>Consolidated operating profit reconciliation (USD millions)</v>
      </c>
      <c r="B81" s="40"/>
      <c r="C81" s="41"/>
      <c r="D81" s="41"/>
      <c r="E81" s="41"/>
      <c r="F81" s="41"/>
      <c r="G81" s="41"/>
      <c r="H81" s="41"/>
      <c r="I81" s="41"/>
      <c r="J81" s="41"/>
      <c r="K81" s="41"/>
      <c r="L81" s="41"/>
      <c r="M81" s="42"/>
      <c r="N81" s="41"/>
      <c r="O81" s="41"/>
      <c r="P81" s="41"/>
      <c r="Q81" s="41"/>
      <c r="R81" s="41"/>
      <c r="S81" s="41"/>
      <c r="T81" s="41"/>
      <c r="U81" s="41"/>
      <c r="V81" s="41"/>
      <c r="W81" s="41"/>
      <c r="X81" s="41"/>
    </row>
    <row r="82" ht="24" customHeight="1">
      <c r="A82" s="51" t="str">
        <v>Reported, GAAP Measure</v>
      </c>
      <c r="B82" s="52"/>
      <c r="C82" s="53" t="n">
        <v>9804</v>
      </c>
      <c r="D82" s="53" t="n">
        <v>10276</v>
      </c>
      <c r="E82" s="53" t="n">
        <v>10110</v>
      </c>
      <c r="F82" s="53"/>
      <c r="G82" s="53"/>
      <c r="H82" s="53"/>
      <c r="I82" s="53"/>
      <c r="J82" s="53"/>
      <c r="K82" s="53"/>
      <c r="L82" s="53"/>
      <c r="M82" s="55"/>
      <c r="N82" s="53"/>
      <c r="O82" s="53"/>
      <c r="P82" s="53"/>
      <c r="Q82" s="53"/>
      <c r="R82" s="53"/>
      <c r="S82" s="53"/>
      <c r="T82" s="53"/>
      <c r="U82" s="53"/>
      <c r="V82" s="53"/>
      <c r="W82" s="53"/>
      <c r="X82" s="53"/>
    </row>
    <row r="83" ht="22" customHeight="1">
      <c r="A83" s="4" t="str">
        <v>Mark-to-market net impact</v>
      </c>
      <c r="B83" s="2"/>
      <c r="C83" s="44" t="n">
        <v>-167</v>
      </c>
      <c r="D83" s="44" t="n">
        <v>-15</v>
      </c>
      <c r="E83" s="44" t="n">
        <v>163</v>
      </c>
      <c r="F83" s="44"/>
      <c r="G83" s="44"/>
      <c r="H83" s="44"/>
      <c r="I83" s="44"/>
      <c r="J83" s="44"/>
      <c r="K83" s="44"/>
      <c r="L83" s="44"/>
      <c r="M83" s="45"/>
      <c r="N83" s="44"/>
      <c r="O83" s="44"/>
      <c r="P83" s="44"/>
      <c r="Q83" s="44"/>
      <c r="R83" s="44"/>
      <c r="S83" s="44"/>
      <c r="T83" s="44"/>
      <c r="U83" s="44"/>
      <c r="V83" s="44"/>
      <c r="W83" s="44"/>
      <c r="X83" s="44"/>
    </row>
    <row r="84" ht="22" customHeight="1">
      <c r="A84" s="4" t="str">
        <v>Restructuring and impairment charges</v>
      </c>
      <c r="B84" s="2"/>
      <c r="C84" s="44" t="n">
        <v>155</v>
      </c>
      <c r="D84" s="44" t="n">
        <v>229</v>
      </c>
      <c r="E84" s="44" t="n">
        <v>272</v>
      </c>
      <c r="F84" s="44"/>
      <c r="G84" s="44"/>
      <c r="H84" s="44"/>
      <c r="I84" s="44"/>
      <c r="J84" s="44"/>
      <c r="K84" s="44"/>
      <c r="L84" s="44"/>
      <c r="M84" s="45"/>
      <c r="N84" s="44"/>
      <c r="O84" s="44"/>
      <c r="P84" s="44"/>
      <c r="Q84" s="44"/>
      <c r="R84" s="44"/>
      <c r="S84" s="44"/>
      <c r="T84" s="44"/>
      <c r="U84" s="44"/>
      <c r="V84" s="44"/>
      <c r="W84" s="44"/>
      <c r="X84" s="44"/>
    </row>
    <row r="85" ht="22" customHeight="1">
      <c r="A85" s="4" t="str">
        <v>Charge related to the transaction with Tingyi</v>
      </c>
      <c r="B85" s="2"/>
      <c r="C85" s="44" t="n">
        <v>373</v>
      </c>
      <c r="D85" s="44"/>
      <c r="E85" s="44"/>
      <c r="F85" s="44"/>
      <c r="G85" s="44"/>
      <c r="H85" s="44"/>
      <c r="I85" s="44"/>
      <c r="J85" s="44"/>
      <c r="K85" s="44"/>
      <c r="L85" s="44"/>
      <c r="M85" s="45"/>
      <c r="N85" s="44"/>
      <c r="O85" s="44"/>
      <c r="P85" s="44"/>
      <c r="Q85" s="44"/>
      <c r="R85" s="44"/>
      <c r="S85" s="44"/>
      <c r="T85" s="44"/>
      <c r="U85" s="44"/>
      <c r="V85" s="44"/>
      <c r="W85" s="44"/>
      <c r="X85" s="44"/>
    </row>
    <row r="86" ht="22" customHeight="1">
      <c r="A86" s="4" t="str">
        <v>Charge related to debt redemption</v>
      </c>
      <c r="B86" s="2"/>
      <c r="C86" s="44" t="n">
        <v>0</v>
      </c>
      <c r="D86" s="44"/>
      <c r="E86" s="44"/>
      <c r="F86" s="44"/>
      <c r="G86" s="44"/>
      <c r="H86" s="44"/>
      <c r="I86" s="44"/>
      <c r="J86" s="44"/>
      <c r="K86" s="44"/>
      <c r="L86" s="44"/>
      <c r="M86" s="45"/>
      <c r="N86" s="44"/>
      <c r="O86" s="44"/>
      <c r="P86" s="44"/>
      <c r="Q86" s="44"/>
      <c r="R86" s="44"/>
      <c r="S86" s="44"/>
      <c r="T86" s="44"/>
      <c r="U86" s="44"/>
      <c r="V86" s="44"/>
      <c r="W86" s="44"/>
      <c r="X86" s="44"/>
    </row>
    <row r="87" ht="22" customHeight="1">
      <c r="A87" s="4" t="str">
        <v>Pension-related settlement charge</v>
      </c>
      <c r="B87" s="2"/>
      <c r="C87" s="44" t="n">
        <v>0</v>
      </c>
      <c r="D87" s="44"/>
      <c r="E87" s="44"/>
      <c r="F87" s="44"/>
      <c r="G87" s="44"/>
      <c r="H87" s="44"/>
      <c r="I87" s="44"/>
      <c r="J87" s="44"/>
      <c r="K87" s="44"/>
      <c r="L87" s="44"/>
      <c r="M87" s="45"/>
      <c r="N87" s="44"/>
      <c r="O87" s="44"/>
      <c r="P87" s="44"/>
      <c r="Q87" s="44"/>
      <c r="R87" s="44"/>
      <c r="S87" s="44"/>
      <c r="T87" s="44"/>
      <c r="U87" s="44"/>
      <c r="V87" s="44"/>
      <c r="W87" s="44"/>
      <c r="X87" s="44"/>
    </row>
    <row r="88" ht="24" customHeight="1">
      <c r="A88" s="51" t="str">
        <v>Core, Non-GAAP Measure</v>
      </c>
      <c r="B88" s="52"/>
      <c r="C88" s="53" t="n">
        <v>10165</v>
      </c>
      <c r="D88" s="53" t="n">
        <v>10490</v>
      </c>
      <c r="E88" s="53" t="n">
        <v>10620</v>
      </c>
      <c r="F88" s="53"/>
      <c r="G88" s="53"/>
      <c r="H88" s="53"/>
      <c r="I88" s="53"/>
      <c r="J88" s="53"/>
      <c r="K88" s="53"/>
      <c r="L88" s="53"/>
      <c r="M88" s="55"/>
      <c r="N88" s="53"/>
      <c r="O88" s="53"/>
      <c r="P88" s="53"/>
      <c r="Q88" s="53"/>
      <c r="R88" s="53"/>
      <c r="S88" s="53"/>
      <c r="T88" s="53"/>
      <c r="U88" s="53"/>
      <c r="V88" s="53"/>
      <c r="W88" s="53"/>
      <c r="X88" s="53"/>
    </row>
    <row r="89" ht="22" customHeight="1">
      <c r="A89" s="4" t="str">
        <v>Provisional net tax expense related to the TCJ Act</v>
      </c>
      <c r="B89" s="2"/>
      <c r="C89" s="44"/>
      <c r="D89" s="44" t="n">
        <v>0</v>
      </c>
      <c r="E89" s="44"/>
      <c r="F89" s="44"/>
      <c r="G89" s="44"/>
      <c r="H89" s="44"/>
      <c r="I89" s="44"/>
      <c r="J89" s="44"/>
      <c r="K89" s="44"/>
      <c r="L89" s="44"/>
      <c r="M89" s="45"/>
      <c r="N89" s="44"/>
      <c r="O89" s="44"/>
      <c r="P89" s="44"/>
      <c r="Q89" s="44"/>
      <c r="R89" s="44"/>
      <c r="S89" s="44"/>
      <c r="T89" s="44"/>
      <c r="U89" s="44"/>
      <c r="V89" s="44"/>
      <c r="W89" s="44"/>
      <c r="X89" s="44"/>
    </row>
    <row r="90" ht="22" customHeight="1">
      <c r="A90" s="4" t="str">
        <v>Merger and integration charges</v>
      </c>
      <c r="B90" s="2"/>
      <c r="C90" s="44"/>
      <c r="D90" s="44"/>
      <c r="E90" s="44" t="n">
        <v>75</v>
      </c>
      <c r="F90" s="44"/>
      <c r="G90" s="44"/>
      <c r="H90" s="44"/>
      <c r="I90" s="44"/>
      <c r="J90" s="44"/>
      <c r="K90" s="44"/>
      <c r="L90" s="44"/>
      <c r="M90" s="45"/>
      <c r="N90" s="44"/>
      <c r="O90" s="44"/>
      <c r="P90" s="44"/>
      <c r="Q90" s="44"/>
      <c r="R90" s="44"/>
      <c r="S90" s="44"/>
      <c r="T90" s="44"/>
      <c r="U90" s="44"/>
      <c r="V90" s="44"/>
      <c r="W90" s="44"/>
      <c r="X90" s="44"/>
    </row>
    <row r="91" ht="22" customHeight="1">
      <c r="A91" s="4" t="str">
        <v>Net tax benefit related to the TCJ Act</v>
      </c>
      <c r="B91" s="2"/>
      <c r="C91" s="44"/>
      <c r="D91" s="44"/>
      <c r="E91" s="44" t="n">
        <v>0</v>
      </c>
      <c r="F91" s="44"/>
      <c r="G91" s="44"/>
      <c r="H91" s="44"/>
      <c r="I91" s="44"/>
      <c r="J91" s="44"/>
      <c r="K91" s="44"/>
      <c r="L91" s="44"/>
      <c r="M91" s="45"/>
      <c r="N91" s="44"/>
      <c r="O91" s="44"/>
      <c r="P91" s="44"/>
      <c r="Q91" s="44"/>
      <c r="R91" s="44"/>
      <c r="S91" s="44"/>
      <c r="T91" s="44"/>
      <c r="U91" s="44"/>
      <c r="V91" s="44"/>
      <c r="W91" s="44"/>
      <c r="X91" s="44"/>
    </row>
    <row r="92" ht="22" customHeight="1">
      <c r="A92" s="4" t="str">
        <v>Other net tax benefits</v>
      </c>
      <c r="B92" s="2"/>
      <c r="C92" s="44"/>
      <c r="D92" s="44"/>
      <c r="E92" s="44" t="n">
        <v>0</v>
      </c>
      <c r="F92" s="44"/>
      <c r="G92" s="44"/>
      <c r="H92" s="44"/>
      <c r="I92" s="44"/>
      <c r="J92" s="44"/>
      <c r="K92" s="44"/>
      <c r="L92" s="44"/>
      <c r="M92" s="45"/>
      <c r="N92" s="44"/>
      <c r="O92" s="44"/>
      <c r="P92" s="44"/>
      <c r="Q92" s="44"/>
      <c r="R92" s="44"/>
      <c r="S92" s="44"/>
      <c r="T92" s="44"/>
      <c r="U92" s="44"/>
      <c r="V92" s="44"/>
      <c r="W92" s="44"/>
      <c r="X92" s="44"/>
    </row>
    <row r="93" ht="22" customHeight="1">
      <c r="A93" s="4" t="str">
        <v>Charges related to cash tender and exchange offers</v>
      </c>
      <c r="B93" s="2"/>
      <c r="C93" s="44"/>
      <c r="D93" s="44"/>
      <c r="E93" s="44" t="n">
        <v>0</v>
      </c>
      <c r="F93" s="44"/>
      <c r="G93" s="44"/>
      <c r="H93" s="44"/>
      <c r="I93" s="44"/>
      <c r="J93" s="44"/>
      <c r="K93" s="44"/>
      <c r="L93" s="44"/>
      <c r="M93" s="45"/>
      <c r="N93" s="44"/>
      <c r="O93" s="44"/>
      <c r="P93" s="44"/>
      <c r="Q93" s="44"/>
      <c r="R93" s="44"/>
      <c r="S93" s="44"/>
      <c r="T93" s="44"/>
      <c r="U93" s="44"/>
      <c r="V93" s="44"/>
      <c r="W93" s="44"/>
      <c r="X93" s="44"/>
    </row>
    <row r="94" ht="24" customHeight="1">
      <c r="A94" s="39" t="str">
        <v>Net income attributable to PepsiCo reconciliation (USD millions)</v>
      </c>
      <c r="B94" s="40"/>
      <c r="C94" s="41"/>
      <c r="D94" s="41"/>
      <c r="E94" s="41"/>
      <c r="F94" s="41"/>
      <c r="G94" s="41"/>
      <c r="H94" s="41"/>
      <c r="I94" s="41"/>
      <c r="J94" s="41"/>
      <c r="K94" s="41"/>
      <c r="L94" s="41"/>
      <c r="M94" s="42"/>
      <c r="N94" s="41"/>
      <c r="O94" s="41"/>
      <c r="P94" s="41"/>
      <c r="Q94" s="41"/>
      <c r="R94" s="41"/>
      <c r="S94" s="41"/>
      <c r="T94" s="41"/>
      <c r="U94" s="41"/>
      <c r="V94" s="41"/>
      <c r="W94" s="41"/>
      <c r="X94" s="41"/>
    </row>
    <row r="95" ht="24" customHeight="1">
      <c r="A95" s="51" t="str">
        <v>Reported, GAAP Measure</v>
      </c>
      <c r="B95" s="52"/>
      <c r="C95" s="53" t="n">
        <v>6329</v>
      </c>
      <c r="D95" s="53" t="n">
        <v>4857</v>
      </c>
      <c r="E95" s="53" t="n">
        <v>12515</v>
      </c>
      <c r="F95" s="53"/>
      <c r="G95" s="53"/>
      <c r="H95" s="53"/>
      <c r="I95" s="53"/>
      <c r="J95" s="53"/>
      <c r="K95" s="53"/>
      <c r="L95" s="53"/>
      <c r="M95" s="55"/>
      <c r="N95" s="53"/>
      <c r="O95" s="53"/>
      <c r="P95" s="53"/>
      <c r="Q95" s="53"/>
      <c r="R95" s="53"/>
      <c r="S95" s="53"/>
      <c r="T95" s="53"/>
      <c r="U95" s="53"/>
      <c r="V95" s="53"/>
      <c r="W95" s="53"/>
      <c r="X95" s="53"/>
    </row>
    <row r="96" ht="22" customHeight="1">
      <c r="A96" s="4" t="str">
        <v>Mark-to-market net impact</v>
      </c>
      <c r="B96" s="2"/>
      <c r="C96" s="44" t="n">
        <v>-111</v>
      </c>
      <c r="D96" s="44" t="n">
        <v>-8</v>
      </c>
      <c r="E96" s="44" t="n">
        <v>125</v>
      </c>
      <c r="F96" s="44"/>
      <c r="G96" s="44"/>
      <c r="H96" s="44"/>
      <c r="I96" s="44"/>
      <c r="J96" s="44"/>
      <c r="K96" s="44"/>
      <c r="L96" s="44"/>
      <c r="M96" s="45"/>
      <c r="N96" s="44"/>
      <c r="O96" s="44"/>
      <c r="P96" s="44"/>
      <c r="Q96" s="44"/>
      <c r="R96" s="44"/>
      <c r="S96" s="44"/>
      <c r="T96" s="44"/>
      <c r="U96" s="44"/>
      <c r="V96" s="44"/>
      <c r="W96" s="44"/>
      <c r="X96" s="44"/>
    </row>
    <row r="97" ht="22" customHeight="1">
      <c r="A97" s="4" t="str">
        <v>Restructuring and impairment charges</v>
      </c>
      <c r="B97" s="2"/>
      <c r="C97" s="44" t="n">
        <v>131</v>
      </c>
      <c r="D97" s="44" t="n">
        <v>224</v>
      </c>
      <c r="E97" s="44" t="n">
        <v>251</v>
      </c>
      <c r="F97" s="44"/>
      <c r="G97" s="44"/>
      <c r="H97" s="44"/>
      <c r="I97" s="44"/>
      <c r="J97" s="44"/>
      <c r="K97" s="44"/>
      <c r="L97" s="44"/>
      <c r="M97" s="45"/>
      <c r="N97" s="44"/>
      <c r="O97" s="44"/>
      <c r="P97" s="44"/>
      <c r="Q97" s="44"/>
      <c r="R97" s="44"/>
      <c r="S97" s="44"/>
      <c r="T97" s="44"/>
      <c r="U97" s="44"/>
      <c r="V97" s="44"/>
      <c r="W97" s="44"/>
      <c r="X97" s="44"/>
    </row>
    <row r="98" ht="22" customHeight="1">
      <c r="A98" s="4" t="str">
        <v>Charge related to the transaction with Tingyi</v>
      </c>
      <c r="B98" s="2"/>
      <c r="C98" s="44" t="n">
        <v>373</v>
      </c>
      <c r="D98" s="44"/>
      <c r="E98" s="44"/>
      <c r="F98" s="44"/>
      <c r="G98" s="44"/>
      <c r="H98" s="44"/>
      <c r="I98" s="44"/>
      <c r="J98" s="44"/>
      <c r="K98" s="44"/>
      <c r="L98" s="44"/>
      <c r="M98" s="45"/>
      <c r="N98" s="44"/>
      <c r="O98" s="44"/>
      <c r="P98" s="44"/>
      <c r="Q98" s="44"/>
      <c r="R98" s="44"/>
      <c r="S98" s="44"/>
      <c r="T98" s="44"/>
      <c r="U98" s="44"/>
      <c r="V98" s="44"/>
      <c r="W98" s="44"/>
      <c r="X98" s="44"/>
    </row>
    <row r="99" ht="22" customHeight="1">
      <c r="A99" s="4" t="str">
        <v>Charge related to debt redemption</v>
      </c>
      <c r="B99" s="2"/>
      <c r="C99" s="44" t="n">
        <v>156</v>
      </c>
      <c r="D99" s="44"/>
      <c r="E99" s="44"/>
      <c r="F99" s="44"/>
      <c r="G99" s="44"/>
      <c r="H99" s="44"/>
      <c r="I99" s="44"/>
      <c r="J99" s="44"/>
      <c r="K99" s="44"/>
      <c r="L99" s="44"/>
      <c r="M99" s="45"/>
      <c r="N99" s="44"/>
      <c r="O99" s="44"/>
      <c r="P99" s="44"/>
      <c r="Q99" s="44"/>
      <c r="R99" s="44"/>
      <c r="S99" s="44"/>
      <c r="T99" s="44"/>
      <c r="U99" s="44"/>
      <c r="V99" s="44"/>
      <c r="W99" s="44"/>
      <c r="X99" s="44"/>
    </row>
    <row r="100" ht="22" customHeight="1">
      <c r="A100" s="4" t="str">
        <v>Pension-related settlement charge</v>
      </c>
      <c r="B100" s="2"/>
      <c r="C100" s="44" t="n">
        <v>162</v>
      </c>
      <c r="D100" s="44"/>
      <c r="E100" s="44"/>
      <c r="F100" s="44"/>
      <c r="G100" s="44"/>
      <c r="H100" s="44"/>
      <c r="I100" s="44"/>
      <c r="J100" s="44"/>
      <c r="K100" s="44"/>
      <c r="L100" s="44"/>
      <c r="M100" s="45"/>
      <c r="N100" s="44"/>
      <c r="O100" s="44"/>
      <c r="P100" s="44"/>
      <c r="Q100" s="44"/>
      <c r="R100" s="44"/>
      <c r="S100" s="44"/>
      <c r="T100" s="44"/>
      <c r="U100" s="44"/>
      <c r="V100" s="44"/>
      <c r="W100" s="44"/>
      <c r="X100" s="44"/>
    </row>
    <row r="101" ht="24" customHeight="1">
      <c r="A101" s="51" t="str">
        <v>Core, Non-GAAP Measure</v>
      </c>
      <c r="B101" s="52"/>
      <c r="C101" s="53" t="n">
        <v>7040</v>
      </c>
      <c r="D101" s="53" t="n">
        <v>7524</v>
      </c>
      <c r="E101" s="53" t="n">
        <v>8065</v>
      </c>
      <c r="F101" s="53"/>
      <c r="G101" s="53"/>
      <c r="H101" s="53"/>
      <c r="I101" s="53"/>
      <c r="J101" s="53"/>
      <c r="K101" s="53"/>
      <c r="L101" s="53"/>
      <c r="M101" s="55"/>
      <c r="N101" s="53"/>
      <c r="O101" s="53"/>
      <c r="P101" s="53"/>
      <c r="Q101" s="53"/>
      <c r="R101" s="53"/>
      <c r="S101" s="53"/>
      <c r="T101" s="53"/>
      <c r="U101" s="53"/>
      <c r="V101" s="53"/>
      <c r="W101" s="53"/>
      <c r="X101" s="53"/>
    </row>
    <row r="102" ht="22" customHeight="1">
      <c r="A102" s="4" t="str">
        <v>Provisional net tax expense related to the TCJ Act</v>
      </c>
      <c r="B102" s="2"/>
      <c r="C102" s="44"/>
      <c r="D102" s="44" t="n">
        <v>2451</v>
      </c>
      <c r="E102" s="44"/>
      <c r="F102" s="44"/>
      <c r="G102" s="44"/>
      <c r="H102" s="44"/>
      <c r="I102" s="44"/>
      <c r="J102" s="44"/>
      <c r="K102" s="44"/>
      <c r="L102" s="44"/>
      <c r="M102" s="45"/>
      <c r="N102" s="44"/>
      <c r="O102" s="44"/>
      <c r="P102" s="44"/>
      <c r="Q102" s="44"/>
      <c r="R102" s="44"/>
      <c r="S102" s="44"/>
      <c r="T102" s="44"/>
      <c r="U102" s="44"/>
      <c r="V102" s="44"/>
      <c r="W102" s="44"/>
      <c r="X102" s="44"/>
    </row>
    <row r="103" ht="22" customHeight="1">
      <c r="A103" s="4" t="str">
        <v>Merger and integration charges</v>
      </c>
      <c r="B103" s="2"/>
      <c r="C103" s="44"/>
      <c r="D103" s="44"/>
      <c r="E103" s="44" t="n">
        <v>75</v>
      </c>
      <c r="F103" s="44"/>
      <c r="G103" s="44"/>
      <c r="H103" s="44"/>
      <c r="I103" s="44"/>
      <c r="J103" s="44"/>
      <c r="K103" s="44"/>
      <c r="L103" s="44"/>
      <c r="M103" s="45"/>
      <c r="N103" s="44"/>
      <c r="O103" s="44"/>
      <c r="P103" s="44"/>
      <c r="Q103" s="44"/>
      <c r="R103" s="44"/>
      <c r="S103" s="44"/>
      <c r="T103" s="44"/>
      <c r="U103" s="44"/>
      <c r="V103" s="44"/>
      <c r="W103" s="44"/>
      <c r="X103" s="44"/>
    </row>
    <row r="104" ht="22" customHeight="1">
      <c r="A104" s="4" t="str">
        <v>Net tax benefit related to the TCJ Act</v>
      </c>
      <c r="B104" s="2"/>
      <c r="C104" s="44"/>
      <c r="D104" s="44"/>
      <c r="E104" s="44" t="n">
        <v>-28</v>
      </c>
      <c r="F104" s="44"/>
      <c r="G104" s="44"/>
      <c r="H104" s="44"/>
      <c r="I104" s="44"/>
      <c r="J104" s="44"/>
      <c r="K104" s="44"/>
      <c r="L104" s="44"/>
      <c r="M104" s="45"/>
      <c r="N104" s="44"/>
      <c r="O104" s="44"/>
      <c r="P104" s="44"/>
      <c r="Q104" s="44"/>
      <c r="R104" s="44"/>
      <c r="S104" s="44"/>
      <c r="T104" s="44"/>
      <c r="U104" s="44"/>
      <c r="V104" s="44"/>
      <c r="W104" s="44"/>
      <c r="X104" s="44"/>
    </row>
    <row r="105" ht="22" customHeight="1">
      <c r="A105" s="4" t="str">
        <v>Other net tax benefits</v>
      </c>
      <c r="B105" s="2"/>
      <c r="C105" s="44"/>
      <c r="D105" s="44"/>
      <c r="E105" s="44" t="n">
        <v>-5064</v>
      </c>
      <c r="F105" s="44"/>
      <c r="G105" s="44"/>
      <c r="H105" s="44"/>
      <c r="I105" s="44"/>
      <c r="J105" s="44"/>
      <c r="K105" s="44"/>
      <c r="L105" s="44"/>
      <c r="M105" s="45"/>
      <c r="N105" s="44"/>
      <c r="O105" s="44"/>
      <c r="P105" s="44"/>
      <c r="Q105" s="44"/>
      <c r="R105" s="44"/>
      <c r="S105" s="44"/>
      <c r="T105" s="44"/>
      <c r="U105" s="44"/>
      <c r="V105" s="44"/>
      <c r="W105" s="44"/>
      <c r="X105" s="44"/>
    </row>
    <row r="106" ht="22" customHeight="1">
      <c r="A106" s="4" t="str">
        <v>Charges related to cash tender and exchange offers</v>
      </c>
      <c r="B106" s="2"/>
      <c r="C106" s="44"/>
      <c r="D106" s="44"/>
      <c r="E106" s="44" t="n">
        <v>191</v>
      </c>
      <c r="F106" s="44"/>
      <c r="G106" s="44"/>
      <c r="H106" s="44"/>
      <c r="I106" s="44"/>
      <c r="J106" s="44"/>
      <c r="K106" s="44"/>
      <c r="L106" s="44"/>
      <c r="M106" s="45"/>
      <c r="N106" s="44"/>
      <c r="O106" s="44"/>
      <c r="P106" s="44"/>
      <c r="Q106" s="44"/>
      <c r="R106" s="44"/>
      <c r="S106" s="44"/>
      <c r="T106" s="44"/>
      <c r="U106" s="44"/>
      <c r="V106" s="44"/>
      <c r="W106" s="44"/>
      <c r="X106" s="44"/>
    </row>
    <row r="107" ht="22" customHeight="1">
      <c r="A107" s="4"/>
      <c r="B107" s="2"/>
      <c r="C107" s="3"/>
      <c r="D107" s="3"/>
      <c r="E107" s="3"/>
      <c r="F107" s="3"/>
      <c r="G107" s="3"/>
      <c r="H107" s="3"/>
      <c r="I107" s="3"/>
      <c r="J107" s="3"/>
      <c r="K107" s="3"/>
      <c r="L107" s="3"/>
      <c r="M107" s="3"/>
      <c r="N107" s="3"/>
      <c r="O107" s="3"/>
      <c r="P107" s="3"/>
      <c r="Q107" s="3"/>
      <c r="R107" s="3"/>
      <c r="S107" s="3"/>
      <c r="T107" s="3"/>
      <c r="U107" s="3"/>
      <c r="V107" s="3"/>
      <c r="W107" s="3"/>
      <c r="X107" s="3"/>
    </row>
    <row r="108" ht="22" customHeight="1">
      <c r="A108" s="29" t="str">
        <v>Consolidated GAAP / company Core diluted EPS reconciliation</v>
      </c>
      <c r="B108" s="29"/>
      <c r="C108" s="32"/>
      <c r="D108" s="32"/>
      <c r="E108" s="32"/>
      <c r="F108" s="32"/>
      <c r="G108" s="32"/>
      <c r="H108" s="32"/>
      <c r="I108" s="32"/>
      <c r="J108" s="32"/>
      <c r="K108" s="32"/>
      <c r="L108" s="32"/>
      <c r="M108" s="32"/>
      <c r="N108" s="32"/>
      <c r="O108" s="32"/>
      <c r="P108" s="32"/>
      <c r="Q108" s="32"/>
      <c r="R108" s="32"/>
      <c r="S108" s="32"/>
      <c r="T108" s="32"/>
      <c r="U108" s="32"/>
      <c r="V108" s="32"/>
      <c r="W108" s="32"/>
      <c r="X108" s="32"/>
    </row>
    <row r="109" ht="18" customHeight="1">
      <c r="A109" s="33" t="str">
        <v>Company Core measures are non-GAAP. Per-share amounts and growth contributions are separate; right-hand columns show discrete quarters.</v>
      </c>
      <c r="B109" s="33"/>
      <c r="C109" s="35"/>
      <c r="D109" s="35"/>
      <c r="E109" s="35"/>
      <c r="F109" s="35"/>
      <c r="G109" s="35"/>
      <c r="H109" s="35"/>
      <c r="I109" s="35"/>
      <c r="J109" s="35"/>
      <c r="K109" s="35"/>
      <c r="L109" s="35"/>
      <c r="M109" s="35"/>
      <c r="N109" s="35"/>
      <c r="O109" s="35"/>
      <c r="P109" s="35"/>
      <c r="Q109" s="35"/>
      <c r="R109" s="35"/>
      <c r="S109" s="35"/>
      <c r="T109" s="35"/>
      <c r="U109" s="35"/>
      <c r="V109" s="35"/>
      <c r="W109" s="35"/>
      <c r="X109" s="35"/>
    </row>
    <row r="110" ht="24" customHeight="1">
      <c r="A110" s="39" t="str">
        <v>Diluted EPS reconciliation (USD per share)</v>
      </c>
      <c r="B110" s="40"/>
      <c r="C110" s="41"/>
      <c r="D110" s="41"/>
      <c r="E110" s="41"/>
      <c r="F110" s="41"/>
      <c r="G110" s="41"/>
      <c r="H110" s="41"/>
      <c r="I110" s="41"/>
      <c r="J110" s="41"/>
      <c r="K110" s="41"/>
      <c r="L110" s="41"/>
      <c r="M110" s="42"/>
      <c r="N110" s="41"/>
      <c r="O110" s="41"/>
      <c r="P110" s="41"/>
      <c r="Q110" s="41"/>
      <c r="R110" s="41"/>
      <c r="S110" s="41"/>
      <c r="T110" s="41"/>
      <c r="U110" s="41"/>
      <c r="V110" s="41"/>
      <c r="W110" s="41"/>
      <c r="X110" s="41"/>
    </row>
    <row r="111" ht="36" customHeight="1">
      <c r="A111" s="4" t="str">
        <v>Net income attributable to PepsiCo per common share – diluted, GAAP measure (USD per share)</v>
      </c>
      <c r="B111" s="2"/>
      <c r="C111" s="62"/>
      <c r="D111" s="62"/>
      <c r="E111" s="62"/>
      <c r="F111" s="62" t="n">
        <v>5.2</v>
      </c>
      <c r="G111" s="62" t="n">
        <v>5.12</v>
      </c>
      <c r="H111" s="62" t="n">
        <v>5.49</v>
      </c>
      <c r="I111" s="62" t="n">
        <v>6.42</v>
      </c>
      <c r="J111" s="62" t="n">
        <v>6.56</v>
      </c>
      <c r="K111" s="62" t="n">
        <v>6.95</v>
      </c>
      <c r="L111" s="62" t="n">
        <v>6</v>
      </c>
      <c r="M111" s="73"/>
      <c r="N111" s="62" t="n">
        <v>1.48</v>
      </c>
      <c r="O111" s="62" t="n">
        <v>2.23</v>
      </c>
      <c r="P111" s="62" t="n">
        <v>2.13</v>
      </c>
      <c r="Q111" s="62"/>
      <c r="R111" s="62" t="n">
        <v>1.33</v>
      </c>
      <c r="S111" s="62" t="n">
        <v>0.92</v>
      </c>
      <c r="T111" s="62" t="n">
        <v>1.9</v>
      </c>
      <c r="U111" s="62"/>
      <c r="V111" s="62" t="n">
        <v>1.7</v>
      </c>
      <c r="W111" s="62" t="n">
        <v>2.18</v>
      </c>
      <c r="X111" s="62" t="n">
        <v>2.23</v>
      </c>
    </row>
    <row r="112" ht="22" customHeight="1">
      <c r="A112" s="4" t="str">
        <v>Mark-to-market net impact (USD per share)</v>
      </c>
      <c r="B112" s="2"/>
      <c r="C112" s="62"/>
      <c r="D112" s="62"/>
      <c r="E112" s="62"/>
      <c r="F112" s="62" t="n">
        <v>-0.06</v>
      </c>
      <c r="G112" s="62" t="n">
        <v>-0.04</v>
      </c>
      <c r="H112" s="62" t="n">
        <v>0.01</v>
      </c>
      <c r="I112" s="62" t="n">
        <v>0.03</v>
      </c>
      <c r="J112" s="62" t="n">
        <v>0.02</v>
      </c>
      <c r="K112" s="62" t="n">
        <v>-0.01</v>
      </c>
      <c r="L112" s="62" t="n">
        <v>0</v>
      </c>
      <c r="M112" s="73"/>
      <c r="N112" s="62" t="n">
        <v>-0.02</v>
      </c>
      <c r="O112" s="62" t="n">
        <v>0</v>
      </c>
      <c r="P112" s="62" t="n">
        <v>0.03</v>
      </c>
      <c r="Q112" s="62"/>
      <c r="R112" s="62" t="n">
        <v>-0.01</v>
      </c>
      <c r="S112" s="62" t="n">
        <v>-0.01</v>
      </c>
      <c r="T112" s="62" t="n">
        <v>0.01</v>
      </c>
      <c r="U112" s="62"/>
      <c r="V112" s="62" t="n">
        <v>-0.1</v>
      </c>
      <c r="W112" s="62" t="n">
        <v>0.02</v>
      </c>
      <c r="X112" s="62" t="n">
        <v>-0.04</v>
      </c>
    </row>
    <row r="113" ht="22" customHeight="1">
      <c r="A113" s="4" t="str">
        <v>Restructuring and impairment charges (USD per share)</v>
      </c>
      <c r="B113" s="2"/>
      <c r="C113" s="62"/>
      <c r="D113" s="62"/>
      <c r="E113" s="62"/>
      <c r="F113" s="62" t="n">
        <v>0.21</v>
      </c>
      <c r="G113" s="62" t="n">
        <v>0.17</v>
      </c>
      <c r="H113" s="62" t="n">
        <v>0.15</v>
      </c>
      <c r="I113" s="62" t="n">
        <v>0.24</v>
      </c>
      <c r="J113" s="62" t="n">
        <v>0.25</v>
      </c>
      <c r="K113" s="62" t="n">
        <v>0.41</v>
      </c>
      <c r="L113" s="62" t="n">
        <v>0.58</v>
      </c>
      <c r="M113" s="73"/>
      <c r="N113" s="62" t="n">
        <v>0.05</v>
      </c>
      <c r="O113" s="62" t="n">
        <v>0.04</v>
      </c>
      <c r="P113" s="62" t="n">
        <v>0.14</v>
      </c>
      <c r="Q113" s="62"/>
      <c r="R113" s="62" t="n">
        <v>0.14</v>
      </c>
      <c r="S113" s="62" t="n">
        <v>0.12</v>
      </c>
      <c r="T113" s="62" t="n">
        <v>0.08</v>
      </c>
      <c r="U113" s="62"/>
      <c r="V113" s="62" t="n">
        <v>0.07</v>
      </c>
      <c r="W113" s="62" t="n">
        <v>0.03</v>
      </c>
      <c r="X113" s="62" t="n">
        <v>0.11</v>
      </c>
    </row>
    <row r="114" ht="36" customHeight="1">
      <c r="A114" s="4" t="str">
        <v>Inventory fair value adjustments and merger and integration charges (USD per share)</v>
      </c>
      <c r="B114" s="2"/>
      <c r="C114" s="62"/>
      <c r="D114" s="62"/>
      <c r="E114" s="62"/>
      <c r="F114" s="62" t="n">
        <v>0.03</v>
      </c>
      <c r="G114" s="62"/>
      <c r="H114" s="62"/>
      <c r="I114" s="62"/>
      <c r="J114" s="62"/>
      <c r="K114" s="62"/>
      <c r="L114" s="62"/>
      <c r="M114" s="73"/>
      <c r="N114" s="62"/>
      <c r="O114" s="62"/>
      <c r="P114" s="62"/>
      <c r="Q114" s="62"/>
      <c r="R114" s="62"/>
      <c r="S114" s="62"/>
      <c r="T114" s="62"/>
      <c r="U114" s="62"/>
      <c r="V114" s="62"/>
      <c r="W114" s="62"/>
      <c r="X114" s="62"/>
    </row>
    <row r="115" ht="22" customHeight="1">
      <c r="A115" s="4" t="str">
        <v>Pension-related settlement charges (USD per share)</v>
      </c>
      <c r="B115" s="2"/>
      <c r="C115" s="62"/>
      <c r="D115" s="62"/>
      <c r="E115" s="62"/>
      <c r="F115" s="62" t="n">
        <v>0.15</v>
      </c>
      <c r="G115" s="62"/>
      <c r="H115" s="62"/>
      <c r="I115" s="62"/>
      <c r="J115" s="62"/>
      <c r="K115" s="62"/>
      <c r="L115" s="62"/>
      <c r="M115" s="73"/>
      <c r="N115" s="62"/>
      <c r="O115" s="62"/>
      <c r="P115" s="62"/>
      <c r="Q115" s="62"/>
      <c r="R115" s="62"/>
      <c r="S115" s="62"/>
      <c r="T115" s="62"/>
      <c r="U115" s="62"/>
      <c r="V115" s="62"/>
      <c r="W115" s="62"/>
      <c r="X115" s="62"/>
    </row>
    <row r="116" ht="22" customHeight="1">
      <c r="A116" s="4" t="str">
        <v>Net tax related to the TCJ Act (USD per share)</v>
      </c>
      <c r="B116" s="2"/>
      <c r="C116" s="62"/>
      <c r="D116" s="62"/>
      <c r="E116" s="62"/>
      <c r="F116" s="62" t="n">
        <v>-0.01</v>
      </c>
      <c r="G116" s="62"/>
      <c r="H116" s="62"/>
      <c r="I116" s="62"/>
      <c r="J116" s="62"/>
      <c r="K116" s="62"/>
      <c r="L116" s="62"/>
      <c r="M116" s="73"/>
      <c r="N116" s="62"/>
      <c r="O116" s="62"/>
      <c r="P116" s="62"/>
      <c r="Q116" s="62"/>
      <c r="R116" s="62"/>
      <c r="S116" s="62"/>
      <c r="T116" s="62"/>
      <c r="U116" s="62"/>
      <c r="V116" s="62"/>
      <c r="W116" s="62"/>
      <c r="X116" s="62"/>
    </row>
    <row r="117" ht="36" customHeight="1">
      <c r="A117" s="4" t="str">
        <v>Core net income attributable to PepsiCo per common share – diluted, non-GAAP measure (USD per share)</v>
      </c>
      <c r="B117" s="2"/>
      <c r="C117" s="62"/>
      <c r="D117" s="62"/>
      <c r="E117" s="62"/>
      <c r="F117" s="62" t="n">
        <v>5.53</v>
      </c>
      <c r="G117" s="62" t="n">
        <v>5.52</v>
      </c>
      <c r="H117" s="62" t="n">
        <v>6.26</v>
      </c>
      <c r="I117" s="62" t="n">
        <v>6.79</v>
      </c>
      <c r="J117" s="62" t="n">
        <v>7.62</v>
      </c>
      <c r="K117" s="62" t="n">
        <v>8.16</v>
      </c>
      <c r="L117" s="62" t="n">
        <v>8.14</v>
      </c>
      <c r="M117" s="73"/>
      <c r="N117" s="62" t="n">
        <v>1.61</v>
      </c>
      <c r="O117" s="62" t="n">
        <v>2.28</v>
      </c>
      <c r="P117" s="62" t="n">
        <v>2.31</v>
      </c>
      <c r="Q117" s="62"/>
      <c r="R117" s="62" t="n">
        <v>1.48</v>
      </c>
      <c r="S117" s="62" t="n">
        <v>2.12</v>
      </c>
      <c r="T117" s="62" t="n">
        <v>2.29</v>
      </c>
      <c r="U117" s="62"/>
      <c r="V117" s="62" t="n">
        <v>1.61</v>
      </c>
      <c r="W117" s="62" t="n">
        <v>2.2</v>
      </c>
      <c r="X117" s="62" t="n">
        <v>2.34</v>
      </c>
    </row>
    <row r="118" ht="36" customHeight="1">
      <c r="A118" s="4" t="str">
        <v>Acquisition and divestiture-related charges (USD per share)</v>
      </c>
      <c r="B118" s="2"/>
      <c r="C118" s="62"/>
      <c r="D118" s="62"/>
      <c r="E118" s="62"/>
      <c r="F118" s="62"/>
      <c r="G118" s="62" t="n">
        <v>0.17</v>
      </c>
      <c r="H118" s="62" t="n">
        <v>-0.02</v>
      </c>
      <c r="I118" s="62" t="n">
        <v>0.05</v>
      </c>
      <c r="J118" s="62" t="n">
        <v>0.02</v>
      </c>
      <c r="K118" s="62" t="n">
        <v>0.01</v>
      </c>
      <c r="L118" s="62" t="n">
        <v>0.25</v>
      </c>
      <c r="M118" s="73"/>
      <c r="N118" s="62" t="n">
        <v>0</v>
      </c>
      <c r="O118" s="62" t="n">
        <v>0</v>
      </c>
      <c r="P118" s="62" t="n">
        <v>0</v>
      </c>
      <c r="Q118" s="62"/>
      <c r="R118" s="62"/>
      <c r="S118" s="62"/>
      <c r="T118" s="62"/>
      <c r="U118" s="62"/>
      <c r="V118" s="62"/>
      <c r="W118" s="62"/>
      <c r="X118" s="62"/>
    </row>
    <row r="119" ht="22" customHeight="1">
      <c r="A119" s="4" t="str">
        <v>Pension and retiree medical-related impact (USD per share)</v>
      </c>
      <c r="B119" s="2"/>
      <c r="C119" s="62"/>
      <c r="D119" s="62"/>
      <c r="E119" s="62"/>
      <c r="F119" s="62"/>
      <c r="G119" s="62" t="n">
        <v>0.11</v>
      </c>
      <c r="H119" s="62" t="n">
        <v>0.01</v>
      </c>
      <c r="I119" s="62" t="n">
        <v>0.17</v>
      </c>
      <c r="J119" s="62" t="n">
        <v>0.01</v>
      </c>
      <c r="K119" s="62" t="n">
        <v>0.16</v>
      </c>
      <c r="L119" s="62" t="n">
        <v>0.14</v>
      </c>
      <c r="M119" s="73"/>
      <c r="N119" s="62"/>
      <c r="O119" s="62" t="n">
        <v>0</v>
      </c>
      <c r="P119" s="62" t="n">
        <v>0.01</v>
      </c>
      <c r="Q119" s="62"/>
      <c r="R119" s="62"/>
      <c r="S119" s="62" t="n">
        <v>0</v>
      </c>
      <c r="T119" s="62" t="n">
        <v>0.01</v>
      </c>
      <c r="U119" s="62"/>
      <c r="V119" s="62"/>
      <c r="W119" s="62" t="n">
        <v>0</v>
      </c>
      <c r="X119" s="62" t="n">
        <v>0.1</v>
      </c>
    </row>
    <row r="120" ht="22" customHeight="1">
      <c r="A120" s="4" t="str">
        <v>Charge related to cash tender offers (USD per share)</v>
      </c>
      <c r="B120" s="2"/>
      <c r="C120" s="62"/>
      <c r="D120" s="62"/>
      <c r="E120" s="62"/>
      <c r="F120" s="62"/>
      <c r="G120" s="62" t="n">
        <v>0</v>
      </c>
      <c r="H120" s="62" t="n">
        <v>0.49</v>
      </c>
      <c r="I120" s="62"/>
      <c r="J120" s="62"/>
      <c r="K120" s="62"/>
      <c r="L120" s="62"/>
      <c r="M120" s="73"/>
      <c r="N120" s="62"/>
      <c r="O120" s="62"/>
      <c r="P120" s="62"/>
      <c r="Q120" s="62"/>
      <c r="R120" s="62"/>
      <c r="S120" s="62"/>
      <c r="T120" s="62"/>
      <c r="U120" s="62"/>
      <c r="V120" s="62"/>
      <c r="W120" s="62"/>
      <c r="X120" s="62"/>
    </row>
    <row r="121" ht="22" customHeight="1">
      <c r="A121" s="4" t="str">
        <v>Tax expense related to the TCJ Act (USD per share)</v>
      </c>
      <c r="B121" s="2"/>
      <c r="C121" s="62"/>
      <c r="D121" s="62"/>
      <c r="E121" s="62"/>
      <c r="F121" s="62"/>
      <c r="G121" s="62" t="n">
        <v>0</v>
      </c>
      <c r="H121" s="62" t="n">
        <v>0.14</v>
      </c>
      <c r="I121" s="62" t="n">
        <v>0.06</v>
      </c>
      <c r="J121" s="62"/>
      <c r="K121" s="62"/>
      <c r="L121" s="62"/>
      <c r="M121" s="73"/>
      <c r="N121" s="62"/>
      <c r="O121" s="62"/>
      <c r="P121" s="62"/>
      <c r="Q121" s="62"/>
      <c r="R121" s="62"/>
      <c r="S121" s="62"/>
      <c r="T121" s="62"/>
      <c r="U121" s="62"/>
      <c r="V121" s="62"/>
      <c r="W121" s="62"/>
      <c r="X121" s="62"/>
    </row>
    <row r="122" ht="22" customHeight="1">
      <c r="A122" s="4" t="str">
        <v>Gain associated with the Juice Transaction (USD per share)</v>
      </c>
      <c r="B122" s="2"/>
      <c r="C122" s="62"/>
      <c r="D122" s="62"/>
      <c r="E122" s="62"/>
      <c r="F122" s="62"/>
      <c r="G122" s="62"/>
      <c r="H122" s="62" t="n">
        <v>0</v>
      </c>
      <c r="I122" s="62" t="n">
        <v>-2.08</v>
      </c>
      <c r="J122" s="62"/>
      <c r="K122" s="62"/>
      <c r="L122" s="62"/>
      <c r="M122" s="73"/>
      <c r="N122" s="62"/>
      <c r="O122" s="62"/>
      <c r="P122" s="62"/>
      <c r="Q122" s="62"/>
      <c r="R122" s="62"/>
      <c r="S122" s="62"/>
      <c r="T122" s="62"/>
      <c r="U122" s="62"/>
      <c r="V122" s="62"/>
      <c r="W122" s="62"/>
      <c r="X122" s="62"/>
    </row>
    <row r="123" ht="22" customHeight="1">
      <c r="A123" s="4" t="str">
        <v>Impairment and other charges (USD per share)</v>
      </c>
      <c r="B123" s="2"/>
      <c r="C123" s="62"/>
      <c r="D123" s="62"/>
      <c r="E123" s="62"/>
      <c r="F123" s="62"/>
      <c r="G123" s="62"/>
      <c r="H123" s="62" t="n">
        <v>0</v>
      </c>
      <c r="I123" s="62" t="n">
        <v>2.12</v>
      </c>
      <c r="J123" s="62"/>
      <c r="K123" s="62" t="n">
        <v>0.38</v>
      </c>
      <c r="L123" s="62" t="n">
        <v>1.09</v>
      </c>
      <c r="M123" s="73"/>
      <c r="N123" s="62"/>
      <c r="O123" s="62" t="n">
        <v>0</v>
      </c>
      <c r="P123" s="62" t="n">
        <v>0.01</v>
      </c>
      <c r="Q123" s="62"/>
      <c r="R123" s="62"/>
      <c r="S123" s="62" t="n">
        <v>1.05</v>
      </c>
      <c r="T123" s="62" t="n">
        <v>0.07</v>
      </c>
      <c r="U123" s="62"/>
      <c r="V123" s="62"/>
      <c r="W123" s="62" t="n">
        <v>0</v>
      </c>
      <c r="X123" s="62" t="n">
        <v>0</v>
      </c>
    </row>
    <row r="124" ht="22" customHeight="1">
      <c r="A124" s="4" t="str">
        <v>Tax benefit related to the IRS audit (USD per share)</v>
      </c>
      <c r="B124" s="2"/>
      <c r="C124" s="62"/>
      <c r="D124" s="62"/>
      <c r="E124" s="62"/>
      <c r="F124" s="62"/>
      <c r="G124" s="62"/>
      <c r="H124" s="62" t="n">
        <v>0</v>
      </c>
      <c r="I124" s="62" t="n">
        <v>-0.23</v>
      </c>
      <c r="J124" s="62"/>
      <c r="K124" s="62"/>
      <c r="L124" s="62"/>
      <c r="M124" s="73"/>
      <c r="N124" s="62"/>
      <c r="O124" s="62"/>
      <c r="P124" s="62"/>
      <c r="Q124" s="62"/>
      <c r="R124" s="62"/>
      <c r="S124" s="62"/>
      <c r="T124" s="62"/>
      <c r="U124" s="62"/>
      <c r="V124" s="62"/>
      <c r="W124" s="62"/>
      <c r="X124" s="62"/>
    </row>
    <row r="125" ht="22" customHeight="1">
      <c r="A125" s="4" t="str">
        <v>Product recall-related impact (USD per share)</v>
      </c>
      <c r="B125" s="2"/>
      <c r="C125" s="62"/>
      <c r="D125" s="62"/>
      <c r="E125" s="62"/>
      <c r="F125" s="62"/>
      <c r="G125" s="62"/>
      <c r="H125" s="62"/>
      <c r="I125" s="62" t="n">
        <v>0</v>
      </c>
      <c r="J125" s="62" t="n">
        <v>0.07</v>
      </c>
      <c r="K125" s="62" t="n">
        <v>0.1</v>
      </c>
      <c r="L125" s="62" t="n">
        <v>0</v>
      </c>
      <c r="M125" s="73"/>
      <c r="N125" s="62" t="n">
        <v>0.09</v>
      </c>
      <c r="O125" s="62" t="n">
        <v>0.01</v>
      </c>
      <c r="P125" s="62" t="n">
        <v>0</v>
      </c>
      <c r="Q125" s="62"/>
      <c r="R125" s="62"/>
      <c r="S125" s="62"/>
      <c r="T125" s="62"/>
      <c r="U125" s="62"/>
      <c r="V125" s="62"/>
      <c r="W125" s="62"/>
      <c r="X125" s="62"/>
    </row>
    <row r="126" ht="22" customHeight="1">
      <c r="A126" s="4" t="str">
        <v>Impairment and other charges/credits (USD per share)</v>
      </c>
      <c r="B126" s="2"/>
      <c r="C126" s="62"/>
      <c r="D126" s="62"/>
      <c r="E126" s="62"/>
      <c r="F126" s="62"/>
      <c r="G126" s="62"/>
      <c r="H126" s="62"/>
      <c r="I126" s="62"/>
      <c r="J126" s="62" t="n">
        <v>0.68</v>
      </c>
      <c r="K126" s="62"/>
      <c r="L126" s="62"/>
      <c r="M126" s="73"/>
      <c r="N126" s="62"/>
      <c r="O126" s="62"/>
      <c r="P126" s="62"/>
      <c r="Q126" s="62"/>
      <c r="R126" s="62"/>
      <c r="S126" s="62"/>
      <c r="T126" s="62"/>
      <c r="U126" s="62"/>
      <c r="V126" s="62"/>
      <c r="W126" s="62"/>
      <c r="X126" s="62"/>
    </row>
    <row r="127" ht="22" customHeight="1">
      <c r="A127" s="4" t="str">
        <v>Indirect tax impact (USD per share)</v>
      </c>
      <c r="B127" s="2"/>
      <c r="C127" s="62"/>
      <c r="D127" s="62"/>
      <c r="E127" s="62"/>
      <c r="F127" s="62"/>
      <c r="G127" s="62"/>
      <c r="H127" s="62"/>
      <c r="I127" s="62"/>
      <c r="J127" s="62" t="n">
        <v>0</v>
      </c>
      <c r="K127" s="62"/>
      <c r="L127" s="62"/>
      <c r="M127" s="73"/>
      <c r="N127" s="62"/>
      <c r="O127" s="62"/>
      <c r="P127" s="62"/>
      <c r="Q127" s="62"/>
      <c r="R127" s="62"/>
      <c r="S127" s="62"/>
      <c r="T127" s="62"/>
      <c r="U127" s="62"/>
      <c r="V127" s="62"/>
      <c r="W127" s="62"/>
      <c r="X127" s="62"/>
    </row>
    <row r="128" ht="22" customHeight="1">
      <c r="A128" s="4" t="str">
        <v>Indirect and income tax impact (USD per share)</v>
      </c>
      <c r="B128" s="2"/>
      <c r="C128" s="62"/>
      <c r="D128" s="62"/>
      <c r="E128" s="62"/>
      <c r="F128" s="62"/>
      <c r="G128" s="62"/>
      <c r="H128" s="62"/>
      <c r="I128" s="62"/>
      <c r="J128" s="62"/>
      <c r="K128" s="62" t="n">
        <v>0.16</v>
      </c>
      <c r="L128" s="62" t="n">
        <v>0.08</v>
      </c>
      <c r="M128" s="73"/>
      <c r="N128" s="62"/>
      <c r="O128" s="62"/>
      <c r="P128" s="62" t="n">
        <v>0</v>
      </c>
      <c r="Q128" s="62"/>
      <c r="R128" s="62"/>
      <c r="S128" s="62"/>
      <c r="T128" s="62" t="n">
        <v>0.09</v>
      </c>
      <c r="U128" s="62"/>
      <c r="V128" s="62"/>
      <c r="W128" s="62"/>
      <c r="X128" s="62" t="n">
        <v>0</v>
      </c>
    </row>
    <row r="129" ht="36" customHeight="1">
      <c r="A129" s="4" t="str">
        <v>Acquisition and divestiture-related charges/credits (USD per share)</v>
      </c>
      <c r="B129" s="2"/>
      <c r="C129" s="62"/>
      <c r="D129" s="62"/>
      <c r="E129" s="62"/>
      <c r="F129" s="62"/>
      <c r="G129" s="62"/>
      <c r="H129" s="62"/>
      <c r="I129" s="62"/>
      <c r="J129" s="62"/>
      <c r="K129" s="62"/>
      <c r="L129" s="62"/>
      <c r="M129" s="73"/>
      <c r="N129" s="62"/>
      <c r="O129" s="62"/>
      <c r="P129" s="62"/>
      <c r="Q129" s="62"/>
      <c r="R129" s="62" t="n">
        <v>0.01</v>
      </c>
      <c r="S129" s="62" t="n">
        <v>0.03</v>
      </c>
      <c r="T129" s="62" t="n">
        <v>0.12</v>
      </c>
      <c r="U129" s="62"/>
      <c r="V129" s="62" t="n">
        <v>-0.06</v>
      </c>
      <c r="W129" s="62" t="n">
        <v>-0.03</v>
      </c>
      <c r="X129" s="62" t="n">
        <v>-0.05</v>
      </c>
    </row>
    <row r="130" ht="24" customHeight="1">
      <c r="A130" s="39" t="str">
        <v>YoY growth attribution (%)</v>
      </c>
      <c r="B130" s="40"/>
      <c r="C130" s="41"/>
      <c r="D130" s="41"/>
      <c r="E130" s="41"/>
      <c r="F130" s="41"/>
      <c r="G130" s="41"/>
      <c r="H130" s="41"/>
      <c r="I130" s="41"/>
      <c r="J130" s="41"/>
      <c r="K130" s="41"/>
      <c r="L130" s="41"/>
      <c r="M130" s="42"/>
      <c r="N130" s="41"/>
      <c r="O130" s="41"/>
      <c r="P130" s="41"/>
      <c r="Q130" s="41"/>
      <c r="R130" s="41"/>
      <c r="S130" s="41"/>
      <c r="T130" s="41"/>
      <c r="U130" s="41"/>
      <c r="V130" s="41"/>
      <c r="W130" s="41"/>
      <c r="X130" s="41"/>
    </row>
    <row r="131" ht="36" customHeight="1">
      <c r="A131" s="56" t="str">
        <v>Net income attributable to PepsiCo per common share – diluted, GAAP measure — Change（%）</v>
      </c>
      <c r="B131" s="2"/>
      <c r="C131" s="58"/>
      <c r="D131" s="58"/>
      <c r="E131" s="58"/>
      <c r="F131" s="58"/>
      <c r="G131" s="58"/>
      <c r="H131" s="58"/>
      <c r="I131" s="58"/>
      <c r="J131" s="58"/>
      <c r="K131" s="58"/>
      <c r="L131" s="58"/>
      <c r="M131" s="60"/>
      <c r="N131" s="58" t="n">
        <v>0.06</v>
      </c>
      <c r="O131" s="58" t="n">
        <v>0.13</v>
      </c>
      <c r="P131" s="58" t="n">
        <v>-0.05</v>
      </c>
      <c r="Q131" s="58"/>
      <c r="R131" s="58" t="n">
        <v>-0.1</v>
      </c>
      <c r="S131" s="58" t="n">
        <v>-0.59</v>
      </c>
      <c r="T131" s="58" t="n">
        <v>-0.11</v>
      </c>
      <c r="U131" s="58"/>
      <c r="V131" s="58" t="n">
        <v>0.27</v>
      </c>
      <c r="W131" s="58" t="n">
        <v>1.37</v>
      </c>
      <c r="X131" s="58" t="n">
        <v>0.17</v>
      </c>
    </row>
    <row r="132" ht="36" customHeight="1">
      <c r="A132" s="56" t="str">
        <v>Core net income attributable to PepsiCo per common share – diluted, non-GAAP measure — Change（%）</v>
      </c>
      <c r="B132" s="2"/>
      <c r="C132" s="58"/>
      <c r="D132" s="58"/>
      <c r="E132" s="58"/>
      <c r="F132" s="58"/>
      <c r="G132" s="58"/>
      <c r="H132" s="58"/>
      <c r="I132" s="58"/>
      <c r="J132" s="58"/>
      <c r="K132" s="58"/>
      <c r="L132" s="58"/>
      <c r="M132" s="60"/>
      <c r="N132" s="58" t="n">
        <v>0.07</v>
      </c>
      <c r="O132" s="58" t="n">
        <v>0.09</v>
      </c>
      <c r="P132" s="58" t="n">
        <v>0.03</v>
      </c>
      <c r="Q132" s="58"/>
      <c r="R132" s="58" t="n">
        <v>-0.08</v>
      </c>
      <c r="S132" s="58" t="n">
        <v>-0.07</v>
      </c>
      <c r="T132" s="58" t="n">
        <v>-0.01</v>
      </c>
      <c r="U132" s="58"/>
      <c r="V132" s="58" t="n">
        <v>0.09</v>
      </c>
      <c r="W132" s="58" t="n">
        <v>0.04</v>
      </c>
      <c r="X132" s="58" t="n">
        <v>0.02</v>
      </c>
    </row>
    <row r="133" ht="20" customHeight="1">
      <c r="A133" s="56" t="str">
        <v>Impact of foreign exchange translation — Change（%）</v>
      </c>
      <c r="B133" s="2"/>
      <c r="C133" s="58"/>
      <c r="D133" s="58"/>
      <c r="E133" s="58"/>
      <c r="F133" s="58"/>
      <c r="G133" s="58"/>
      <c r="H133" s="58"/>
      <c r="I133" s="58"/>
      <c r="J133" s="58"/>
      <c r="K133" s="58"/>
      <c r="L133" s="58"/>
      <c r="M133" s="60"/>
      <c r="N133" s="58" t="n">
        <v>0</v>
      </c>
      <c r="O133" s="58" t="n">
        <v>0.01</v>
      </c>
      <c r="P133" s="58" t="n">
        <v>0.02</v>
      </c>
      <c r="Q133" s="58"/>
      <c r="R133" s="58" t="n">
        <v>0.04</v>
      </c>
      <c r="S133" s="58" t="n">
        <v>0.02</v>
      </c>
      <c r="T133" s="58" t="n">
        <v>-0.01</v>
      </c>
      <c r="U133" s="58"/>
      <c r="V133" s="58" t="n">
        <v>-0.04</v>
      </c>
      <c r="W133" s="58" t="n">
        <v>-0.03</v>
      </c>
      <c r="X133" s="58" t="n">
        <v>-0.01</v>
      </c>
    </row>
    <row r="134" ht="50" customHeight="1">
      <c r="A134" s="56" t="str">
        <v>Growth in core net income attributable to PepsiCo per common share – diluted, on a constant currency basis, non-GAAP measure — Change（%）</v>
      </c>
      <c r="B134" s="2"/>
      <c r="C134" s="58"/>
      <c r="D134" s="58"/>
      <c r="E134" s="58"/>
      <c r="F134" s="58"/>
      <c r="G134" s="58"/>
      <c r="H134" s="58"/>
      <c r="I134" s="58"/>
      <c r="J134" s="58"/>
      <c r="K134" s="58"/>
      <c r="L134" s="58"/>
      <c r="M134" s="60"/>
      <c r="N134" s="58" t="n">
        <v>0.07</v>
      </c>
      <c r="O134" s="58" t="n">
        <v>0.1</v>
      </c>
      <c r="P134" s="58" t="n">
        <v>0.05</v>
      </c>
      <c r="Q134" s="58"/>
      <c r="R134" s="58"/>
      <c r="S134" s="58" t="n">
        <v>-0.05</v>
      </c>
      <c r="T134" s="58" t="n">
        <v>-0.02</v>
      </c>
      <c r="U134" s="58"/>
      <c r="V134" s="58"/>
      <c r="W134" s="58"/>
      <c r="X134" s="58"/>
    </row>
    <row r="135" ht="50" customHeight="1">
      <c r="A135" s="56" t="str">
        <v>Change in core net income attributable to PepsiCo per common share – diluted, on a constant currency basis, non-GAAP measure — Change（%）</v>
      </c>
      <c r="B135" s="2"/>
      <c r="C135" s="58"/>
      <c r="D135" s="58"/>
      <c r="E135" s="58"/>
      <c r="F135" s="58"/>
      <c r="G135" s="58"/>
      <c r="H135" s="58"/>
      <c r="I135" s="58"/>
      <c r="J135" s="58"/>
      <c r="K135" s="58"/>
      <c r="L135" s="58"/>
      <c r="M135" s="60"/>
      <c r="N135" s="58"/>
      <c r="O135" s="58"/>
      <c r="P135" s="58"/>
      <c r="Q135" s="58"/>
      <c r="R135" s="58" t="n">
        <v>-0.04</v>
      </c>
      <c r="S135" s="58"/>
      <c r="T135" s="58"/>
      <c r="U135" s="58"/>
      <c r="V135" s="58" t="n">
        <v>0.05</v>
      </c>
      <c r="W135" s="58" t="n">
        <v>0.01</v>
      </c>
      <c r="X135" s="58" t="n">
        <v>0.015</v>
      </c>
    </row>
    <row r="136" ht="22" customHeight="1">
      <c r="A136" s="4"/>
      <c r="B136" s="2"/>
      <c r="C136" s="3"/>
      <c r="D136" s="3"/>
      <c r="E136" s="3"/>
      <c r="F136" s="3"/>
      <c r="G136" s="3"/>
      <c r="H136" s="3"/>
      <c r="I136" s="3"/>
      <c r="J136" s="3"/>
      <c r="K136" s="3"/>
      <c r="L136" s="3"/>
      <c r="M136" s="3"/>
      <c r="N136" s="3"/>
      <c r="O136" s="3"/>
      <c r="P136" s="3"/>
      <c r="Q136" s="3"/>
      <c r="R136" s="3"/>
      <c r="S136" s="3"/>
      <c r="T136" s="3"/>
      <c r="U136" s="3"/>
      <c r="V136" s="3"/>
      <c r="W136" s="3"/>
      <c r="X136" s="3"/>
    </row>
    <row r="137" ht="22" customHeight="1">
      <c r="A137" s="29" t="str">
        <v>Consolidated GAAP / company Core diluted EPS reconciliation: YTD</v>
      </c>
      <c r="B137" s="29"/>
      <c r="C137" s="32"/>
      <c r="D137" s="32"/>
      <c r="E137" s="32"/>
      <c r="F137" s="32"/>
      <c r="G137" s="32"/>
      <c r="H137" s="32"/>
      <c r="I137" s="32"/>
      <c r="J137" s="32"/>
      <c r="K137" s="32"/>
      <c r="L137" s="32"/>
      <c r="M137" s="32"/>
      <c r="N137" s="32"/>
      <c r="O137" s="32"/>
      <c r="P137" s="32"/>
      <c r="Q137" s="32"/>
      <c r="R137" s="32"/>
      <c r="S137" s="32"/>
      <c r="T137" s="32"/>
      <c r="U137" s="32"/>
      <c r="V137" s="32"/>
      <c r="W137" s="32"/>
      <c r="X137" s="32"/>
    </row>
    <row r="138" ht="18" customHeight="1">
      <c r="A138" s="33" t="str">
        <v>Company Core measures are non-GAAP. Per-share amounts and growth contributions are separate; right-hand columns show YTD.</v>
      </c>
      <c r="B138" s="33"/>
      <c r="C138" s="35"/>
      <c r="D138" s="35"/>
      <c r="E138" s="35"/>
      <c r="F138" s="35"/>
      <c r="G138" s="35"/>
      <c r="H138" s="35"/>
      <c r="I138" s="35"/>
      <c r="J138" s="35"/>
      <c r="K138" s="35"/>
      <c r="L138" s="35"/>
      <c r="M138" s="35"/>
      <c r="N138" s="35"/>
      <c r="O138" s="35"/>
      <c r="P138" s="35"/>
      <c r="Q138" s="35"/>
      <c r="R138" s="35"/>
      <c r="S138" s="35"/>
      <c r="T138" s="35"/>
      <c r="U138" s="35"/>
      <c r="V138" s="35"/>
      <c r="W138" s="35"/>
      <c r="X138" s="35"/>
    </row>
    <row r="139" ht="24" customHeight="1">
      <c r="A139" s="39" t="str">
        <v>Diluted EPS reconciliation (USD per share)</v>
      </c>
      <c r="B139" s="40"/>
      <c r="C139" s="41"/>
      <c r="D139" s="41"/>
      <c r="E139" s="41"/>
      <c r="F139" s="41"/>
      <c r="G139" s="41"/>
      <c r="H139" s="41"/>
      <c r="I139" s="41"/>
      <c r="J139" s="41"/>
      <c r="K139" s="41"/>
      <c r="L139" s="41"/>
      <c r="M139" s="42"/>
      <c r="N139" s="41"/>
      <c r="O139" s="41"/>
      <c r="P139" s="41"/>
      <c r="Q139" s="41"/>
      <c r="R139" s="41"/>
      <c r="S139" s="41"/>
      <c r="T139" s="41"/>
      <c r="U139" s="41"/>
      <c r="V139" s="41"/>
      <c r="W139" s="41"/>
      <c r="X139" s="41"/>
    </row>
    <row r="140" ht="36" customHeight="1">
      <c r="A140" s="4" t="str">
        <v>Net income attributable to PepsiCo per common share – diluted, GAAP measure (USD per share)</v>
      </c>
      <c r="B140" s="2"/>
      <c r="C140" s="62"/>
      <c r="D140" s="62"/>
      <c r="E140" s="62"/>
      <c r="F140" s="62"/>
      <c r="G140" s="62"/>
      <c r="H140" s="62"/>
      <c r="I140" s="62"/>
      <c r="J140" s="62"/>
      <c r="K140" s="62"/>
      <c r="L140" s="62"/>
      <c r="M140" s="73"/>
      <c r="N140" s="62"/>
      <c r="O140" s="62" t="n">
        <v>3.71</v>
      </c>
      <c r="P140" s="62" t="n">
        <v>5.84</v>
      </c>
      <c r="Q140" s="62"/>
      <c r="R140" s="62"/>
      <c r="S140" s="62" t="n">
        <v>2.25</v>
      </c>
      <c r="T140" s="62" t="n">
        <v>4.15</v>
      </c>
      <c r="U140" s="62"/>
      <c r="V140" s="62"/>
      <c r="W140" s="62" t="n">
        <v>3.88</v>
      </c>
      <c r="X140" s="62" t="n">
        <v>6.1</v>
      </c>
    </row>
    <row r="141" ht="22" customHeight="1">
      <c r="A141" s="4" t="str">
        <v>Mark-to-market net impact (USD per share)</v>
      </c>
      <c r="B141" s="2"/>
      <c r="C141" s="62"/>
      <c r="D141" s="62"/>
      <c r="E141" s="62"/>
      <c r="F141" s="62"/>
      <c r="G141" s="62"/>
      <c r="H141" s="62"/>
      <c r="I141" s="62"/>
      <c r="J141" s="62"/>
      <c r="K141" s="62"/>
      <c r="L141" s="62"/>
      <c r="M141" s="73"/>
      <c r="N141" s="62"/>
      <c r="O141" s="62" t="n">
        <v>-0.02</v>
      </c>
      <c r="P141" s="62" t="n">
        <v>0</v>
      </c>
      <c r="Q141" s="62"/>
      <c r="R141" s="62"/>
      <c r="S141" s="62" t="n">
        <v>-0.02</v>
      </c>
      <c r="T141" s="62" t="n">
        <v>0</v>
      </c>
      <c r="U141" s="62"/>
      <c r="V141" s="62"/>
      <c r="W141" s="62" t="n">
        <v>-0.08</v>
      </c>
      <c r="X141" s="62" t="n">
        <v>-0.12</v>
      </c>
    </row>
    <row r="142" ht="22" customHeight="1">
      <c r="A142" s="4" t="str">
        <v>Restructuring and impairment charges (USD per share)</v>
      </c>
      <c r="B142" s="2"/>
      <c r="C142" s="62"/>
      <c r="D142" s="62"/>
      <c r="E142" s="62"/>
      <c r="F142" s="62"/>
      <c r="G142" s="62"/>
      <c r="H142" s="62"/>
      <c r="I142" s="62"/>
      <c r="J142" s="62"/>
      <c r="K142" s="62"/>
      <c r="L142" s="62"/>
      <c r="M142" s="73"/>
      <c r="N142" s="62"/>
      <c r="O142" s="62" t="n">
        <v>0.09</v>
      </c>
      <c r="P142" s="62" t="n">
        <v>0.24</v>
      </c>
      <c r="Q142" s="62"/>
      <c r="R142" s="62"/>
      <c r="S142" s="62" t="n">
        <v>0.26</v>
      </c>
      <c r="T142" s="62" t="n">
        <v>0.34</v>
      </c>
      <c r="U142" s="62"/>
      <c r="V142" s="62"/>
      <c r="W142" s="62" t="n">
        <v>0.1</v>
      </c>
      <c r="X142" s="62" t="n">
        <v>0.21</v>
      </c>
    </row>
    <row r="143" ht="36" customHeight="1">
      <c r="A143" s="4" t="str">
        <v>Acquisition and divestiture-related charges (USD per share)</v>
      </c>
      <c r="B143" s="2"/>
      <c r="C143" s="62"/>
      <c r="D143" s="62"/>
      <c r="E143" s="62"/>
      <c r="F143" s="62"/>
      <c r="G143" s="62"/>
      <c r="H143" s="62"/>
      <c r="I143" s="62"/>
      <c r="J143" s="62"/>
      <c r="K143" s="62"/>
      <c r="L143" s="62"/>
      <c r="M143" s="73"/>
      <c r="N143" s="62"/>
      <c r="O143" s="62" t="n">
        <v>0</v>
      </c>
      <c r="P143" s="62" t="n">
        <v>0</v>
      </c>
      <c r="Q143" s="62"/>
      <c r="R143" s="62"/>
      <c r="S143" s="62"/>
      <c r="T143" s="62"/>
      <c r="U143" s="62"/>
      <c r="V143" s="62"/>
      <c r="W143" s="62"/>
      <c r="X143" s="62"/>
    </row>
    <row r="144" ht="22" customHeight="1">
      <c r="A144" s="4" t="str">
        <v>Product recall-related impact (USD per share)</v>
      </c>
      <c r="B144" s="2"/>
      <c r="C144" s="62"/>
      <c r="D144" s="62"/>
      <c r="E144" s="62"/>
      <c r="F144" s="62"/>
      <c r="G144" s="62"/>
      <c r="H144" s="62"/>
      <c r="I144" s="62"/>
      <c r="J144" s="62"/>
      <c r="K144" s="62"/>
      <c r="L144" s="62"/>
      <c r="M144" s="73"/>
      <c r="N144" s="62"/>
      <c r="O144" s="62" t="n">
        <v>0.1</v>
      </c>
      <c r="P144" s="62" t="n">
        <v>0.1</v>
      </c>
      <c r="Q144" s="62"/>
      <c r="R144" s="62"/>
      <c r="S144" s="62"/>
      <c r="T144" s="62"/>
      <c r="U144" s="62"/>
      <c r="V144" s="62"/>
      <c r="W144" s="62"/>
      <c r="X144" s="62"/>
    </row>
    <row r="145" ht="22" customHeight="1">
      <c r="A145" s="4" t="str">
        <v>Pension and retiree medical-related impact (USD per share)</v>
      </c>
      <c r="B145" s="2"/>
      <c r="C145" s="62"/>
      <c r="D145" s="62"/>
      <c r="E145" s="62"/>
      <c r="F145" s="62"/>
      <c r="G145" s="62"/>
      <c r="H145" s="62"/>
      <c r="I145" s="62"/>
      <c r="J145" s="62"/>
      <c r="K145" s="62"/>
      <c r="L145" s="62"/>
      <c r="M145" s="73"/>
      <c r="N145" s="62"/>
      <c r="O145" s="62" t="n">
        <v>0</v>
      </c>
      <c r="P145" s="62" t="n">
        <v>0.01</v>
      </c>
      <c r="Q145" s="62"/>
      <c r="R145" s="62"/>
      <c r="S145" s="62" t="n">
        <v>0</v>
      </c>
      <c r="T145" s="62" t="n">
        <v>0.01</v>
      </c>
      <c r="U145" s="62"/>
      <c r="V145" s="62"/>
      <c r="W145" s="62" t="n">
        <v>0</v>
      </c>
      <c r="X145" s="62" t="n">
        <v>0.1</v>
      </c>
    </row>
    <row r="146" ht="36" customHeight="1">
      <c r="A146" s="4" t="str">
        <v>Core net income attributable to PepsiCo per common share – diluted, non-GAAP measure (USD per share)</v>
      </c>
      <c r="B146" s="2"/>
      <c r="C146" s="62"/>
      <c r="D146" s="62"/>
      <c r="E146" s="62"/>
      <c r="F146" s="62"/>
      <c r="G146" s="62"/>
      <c r="H146" s="62"/>
      <c r="I146" s="62"/>
      <c r="J146" s="62"/>
      <c r="K146" s="62"/>
      <c r="L146" s="62"/>
      <c r="M146" s="73"/>
      <c r="N146" s="62"/>
      <c r="O146" s="62" t="n">
        <v>3.89</v>
      </c>
      <c r="P146" s="62" t="n">
        <v>6.2</v>
      </c>
      <c r="Q146" s="62"/>
      <c r="R146" s="62"/>
      <c r="S146" s="62" t="n">
        <v>3.59</v>
      </c>
      <c r="T146" s="62" t="n">
        <v>5.88</v>
      </c>
      <c r="U146" s="62"/>
      <c r="V146" s="62"/>
      <c r="W146" s="62" t="n">
        <v>3.81</v>
      </c>
      <c r="X146" s="62" t="n">
        <v>6.15</v>
      </c>
    </row>
    <row r="147" ht="22" customHeight="1">
      <c r="A147" s="4" t="str">
        <v>Impairment and other charges (USD per share)</v>
      </c>
      <c r="B147" s="2"/>
      <c r="C147" s="62"/>
      <c r="D147" s="62"/>
      <c r="E147" s="62"/>
      <c r="F147" s="62"/>
      <c r="G147" s="62"/>
      <c r="H147" s="62"/>
      <c r="I147" s="62"/>
      <c r="J147" s="62"/>
      <c r="K147" s="62"/>
      <c r="L147" s="62"/>
      <c r="M147" s="73"/>
      <c r="N147" s="62"/>
      <c r="O147" s="62" t="n">
        <v>0</v>
      </c>
      <c r="P147" s="62" t="n">
        <v>0.01</v>
      </c>
      <c r="Q147" s="62"/>
      <c r="R147" s="62"/>
      <c r="S147" s="62" t="n">
        <v>1.05</v>
      </c>
      <c r="T147" s="62" t="n">
        <v>1.12</v>
      </c>
      <c r="U147" s="62"/>
      <c r="V147" s="62"/>
      <c r="W147" s="62" t="n">
        <v>0</v>
      </c>
      <c r="X147" s="62" t="n">
        <v>0</v>
      </c>
    </row>
    <row r="148" ht="22" customHeight="1">
      <c r="A148" s="4" t="str">
        <v>Indirect and income tax impact (USD per share)</v>
      </c>
      <c r="B148" s="2"/>
      <c r="C148" s="62"/>
      <c r="D148" s="62"/>
      <c r="E148" s="62"/>
      <c r="F148" s="62"/>
      <c r="G148" s="62"/>
      <c r="H148" s="62"/>
      <c r="I148" s="62"/>
      <c r="J148" s="62"/>
      <c r="K148" s="62"/>
      <c r="L148" s="62"/>
      <c r="M148" s="73"/>
      <c r="N148" s="62"/>
      <c r="O148" s="62"/>
      <c r="P148" s="62" t="n">
        <v>0</v>
      </c>
      <c r="Q148" s="62"/>
      <c r="R148" s="62"/>
      <c r="S148" s="62"/>
      <c r="T148" s="62" t="n">
        <v>0.09</v>
      </c>
      <c r="U148" s="62"/>
      <c r="V148" s="62"/>
      <c r="W148" s="62"/>
      <c r="X148" s="62" t="n">
        <v>0</v>
      </c>
    </row>
    <row r="149" ht="36" customHeight="1">
      <c r="A149" s="4" t="str">
        <v>Acquisition and divestiture-related charges/credits (USD per share)</v>
      </c>
      <c r="B149" s="2"/>
      <c r="C149" s="62"/>
      <c r="D149" s="62"/>
      <c r="E149" s="62"/>
      <c r="F149" s="62"/>
      <c r="G149" s="62"/>
      <c r="H149" s="62"/>
      <c r="I149" s="62"/>
      <c r="J149" s="62"/>
      <c r="K149" s="62"/>
      <c r="L149" s="62"/>
      <c r="M149" s="73"/>
      <c r="N149" s="62"/>
      <c r="O149" s="62"/>
      <c r="P149" s="62"/>
      <c r="Q149" s="62"/>
      <c r="R149" s="62"/>
      <c r="S149" s="62" t="n">
        <v>0.05</v>
      </c>
      <c r="T149" s="62" t="n">
        <v>0.17</v>
      </c>
      <c r="U149" s="62"/>
      <c r="V149" s="62"/>
      <c r="W149" s="62" t="n">
        <v>-0.09</v>
      </c>
      <c r="X149" s="62" t="n">
        <v>-0.14</v>
      </c>
    </row>
    <row r="150" ht="24" customHeight="1">
      <c r="A150" s="39" t="str">
        <v>YoY growth attribution (%)</v>
      </c>
      <c r="B150" s="40"/>
      <c r="C150" s="41"/>
      <c r="D150" s="41"/>
      <c r="E150" s="41"/>
      <c r="F150" s="41"/>
      <c r="G150" s="41"/>
      <c r="H150" s="41"/>
      <c r="I150" s="41"/>
      <c r="J150" s="41"/>
      <c r="K150" s="41"/>
      <c r="L150" s="41"/>
      <c r="M150" s="42"/>
      <c r="N150" s="41"/>
      <c r="O150" s="41"/>
      <c r="P150" s="41"/>
      <c r="Q150" s="41"/>
      <c r="R150" s="41"/>
      <c r="S150" s="41"/>
      <c r="T150" s="41"/>
      <c r="U150" s="41"/>
      <c r="V150" s="41"/>
      <c r="W150" s="41"/>
      <c r="X150" s="41"/>
    </row>
    <row r="151" ht="36" customHeight="1">
      <c r="A151" s="56" t="str">
        <v>Net income attributable to PepsiCo per common share – diluted, GAAP measure — Change（%）</v>
      </c>
      <c r="B151" s="2"/>
      <c r="C151" s="58"/>
      <c r="D151" s="58"/>
      <c r="E151" s="58"/>
      <c r="F151" s="58"/>
      <c r="G151" s="58"/>
      <c r="H151" s="58"/>
      <c r="I151" s="58"/>
      <c r="J151" s="58"/>
      <c r="K151" s="58"/>
      <c r="L151" s="58"/>
      <c r="M151" s="60"/>
      <c r="N151" s="58"/>
      <c r="O151" s="58" t="n">
        <v>0.1</v>
      </c>
      <c r="P151" s="58" t="n">
        <v>0.04</v>
      </c>
      <c r="Q151" s="58"/>
      <c r="R151" s="58"/>
      <c r="S151" s="58" t="n">
        <v>-0.39</v>
      </c>
      <c r="T151" s="58" t="n">
        <v>-0.29</v>
      </c>
      <c r="U151" s="58"/>
      <c r="V151" s="58"/>
      <c r="W151" s="58" t="n">
        <v>0.72</v>
      </c>
      <c r="X151" s="58" t="n">
        <v>0.47000000000000003</v>
      </c>
    </row>
    <row r="152" ht="36" customHeight="1">
      <c r="A152" s="56" t="str">
        <v>Core net income attributable to PepsiCo per common share – diluted, non-GAAP measure — Change（%）</v>
      </c>
      <c r="B152" s="2"/>
      <c r="C152" s="58"/>
      <c r="D152" s="58"/>
      <c r="E152" s="58"/>
      <c r="F152" s="58"/>
      <c r="G152" s="58"/>
      <c r="H152" s="58"/>
      <c r="I152" s="58"/>
      <c r="J152" s="58"/>
      <c r="K152" s="58"/>
      <c r="L152" s="58"/>
      <c r="M152" s="60"/>
      <c r="N152" s="58"/>
      <c r="O152" s="58" t="n">
        <v>0.08</v>
      </c>
      <c r="P152" s="58" t="n">
        <v>0.06</v>
      </c>
      <c r="Q152" s="58"/>
      <c r="R152" s="58"/>
      <c r="S152" s="58" t="n">
        <v>-0.08</v>
      </c>
      <c r="T152" s="58" t="n">
        <v>-0.05</v>
      </c>
      <c r="U152" s="58"/>
      <c r="V152" s="58"/>
      <c r="W152" s="58" t="n">
        <v>0.06</v>
      </c>
      <c r="X152" s="58" t="n">
        <v>0.05</v>
      </c>
    </row>
    <row r="153" ht="20" customHeight="1">
      <c r="A153" s="56" t="str">
        <v>Impact of foreign exchange translation — Change（%）</v>
      </c>
      <c r="B153" s="2"/>
      <c r="C153" s="58"/>
      <c r="D153" s="58"/>
      <c r="E153" s="58"/>
      <c r="F153" s="58"/>
      <c r="G153" s="58"/>
      <c r="H153" s="58"/>
      <c r="I153" s="58"/>
      <c r="J153" s="58"/>
      <c r="K153" s="58"/>
      <c r="L153" s="58"/>
      <c r="M153" s="60"/>
      <c r="N153" s="58"/>
      <c r="O153" s="58" t="n">
        <v>0</v>
      </c>
      <c r="P153" s="58" t="n">
        <v>0.01</v>
      </c>
      <c r="Q153" s="58"/>
      <c r="R153" s="58"/>
      <c r="S153" s="58" t="n">
        <v>0.03</v>
      </c>
      <c r="T153" s="58" t="n">
        <v>0.02</v>
      </c>
      <c r="U153" s="58"/>
      <c r="V153" s="58"/>
      <c r="W153" s="58" t="n">
        <v>-0.03</v>
      </c>
      <c r="X153" s="58" t="n">
        <v>-0.025</v>
      </c>
    </row>
    <row r="154" ht="50" customHeight="1">
      <c r="A154" s="56" t="str">
        <v>Growth in core net income attributable to PepsiCo per common share – diluted, on a constant currency basis, non-GAAP measure — Change（%）</v>
      </c>
      <c r="B154" s="2"/>
      <c r="C154" s="58"/>
      <c r="D154" s="58"/>
      <c r="E154" s="58"/>
      <c r="F154" s="58"/>
      <c r="G154" s="58"/>
      <c r="H154" s="58"/>
      <c r="I154" s="58"/>
      <c r="J154" s="58"/>
      <c r="K154" s="58"/>
      <c r="L154" s="58"/>
      <c r="M154" s="60"/>
      <c r="N154" s="58"/>
      <c r="O154" s="58" t="n">
        <v>0.09</v>
      </c>
      <c r="P154" s="58" t="n">
        <v>0.07</v>
      </c>
      <c r="Q154" s="58"/>
      <c r="R154" s="58"/>
      <c r="S154" s="58" t="n">
        <v>-0.045</v>
      </c>
      <c r="T154" s="58" t="n">
        <v>-0.035</v>
      </c>
      <c r="U154" s="58"/>
      <c r="V154" s="58"/>
      <c r="W154" s="58"/>
      <c r="X154" s="58"/>
    </row>
    <row r="155" ht="50" customHeight="1">
      <c r="A155" s="56" t="str">
        <v>Change in core net income attributable to PepsiCo per common share – diluted, on a constant currency basis, non-GAAP measure — Change（%）</v>
      </c>
      <c r="B155" s="2"/>
      <c r="C155" s="58"/>
      <c r="D155" s="58"/>
      <c r="E155" s="58"/>
      <c r="F155" s="58"/>
      <c r="G155" s="58"/>
      <c r="H155" s="58"/>
      <c r="I155" s="58"/>
      <c r="J155" s="58"/>
      <c r="K155" s="58"/>
      <c r="L155" s="58"/>
      <c r="M155" s="60"/>
      <c r="N155" s="58"/>
      <c r="O155" s="58"/>
      <c r="P155" s="58"/>
      <c r="Q155" s="58"/>
      <c r="R155" s="58"/>
      <c r="S155" s="58"/>
      <c r="T155" s="58"/>
      <c r="U155" s="58"/>
      <c r="V155" s="58"/>
      <c r="W155" s="58" t="n">
        <v>0.03</v>
      </c>
      <c r="X155" s="58" t="n">
        <v>0.02</v>
      </c>
    </row>
    <row r="156" ht="22" customHeight="1">
      <c r="A156" s="4"/>
      <c r="B156" s="2"/>
      <c r="C156" s="3"/>
      <c r="D156" s="3"/>
      <c r="E156" s="3"/>
      <c r="F156" s="3"/>
      <c r="G156" s="3"/>
      <c r="H156" s="3"/>
      <c r="I156" s="3"/>
      <c r="J156" s="3"/>
      <c r="K156" s="3"/>
      <c r="L156" s="3"/>
      <c r="M156" s="3"/>
      <c r="N156" s="3"/>
      <c r="O156" s="3"/>
      <c r="P156" s="3"/>
      <c r="Q156" s="3"/>
      <c r="R156" s="3"/>
      <c r="S156" s="3"/>
      <c r="T156" s="3"/>
      <c r="U156" s="3"/>
      <c r="V156" s="3"/>
      <c r="W156" s="3"/>
      <c r="X156" s="3"/>
    </row>
  </sheetData>
  <mergeCells>
    <mergeCell ref="A1:X1"/>
    <mergeCell ref="A2:X2"/>
    <mergeCell ref="C7:L7"/>
    <mergeCell ref="N7:X7"/>
    <mergeCell ref="C8:L8"/>
    <mergeCell ref="N8:X8"/>
    <mergeCell ref="C9:L9"/>
    <mergeCell ref="N9:X9"/>
    <mergeCell ref="C10:L10"/>
    <mergeCell ref="A14:X14"/>
    <mergeCell ref="A15:X15"/>
    <mergeCell ref="A23:X23"/>
    <mergeCell ref="A24:X24"/>
    <mergeCell ref="A34:X34"/>
    <mergeCell ref="A35:X35"/>
    <mergeCell ref="A36:L36"/>
    <mergeCell ref="N36:X36"/>
    <mergeCell ref="A44:L44"/>
    <mergeCell ref="N44:X44"/>
    <mergeCell ref="A48:L48"/>
    <mergeCell ref="N48:X48"/>
    <mergeCell ref="A51:L51"/>
    <mergeCell ref="N51:X51"/>
    <mergeCell ref="A53:L53"/>
    <mergeCell ref="N53:X53"/>
    <mergeCell ref="A58:X58"/>
    <mergeCell ref="A59:X59"/>
    <mergeCell ref="A60:L60"/>
    <mergeCell ref="N60:X60"/>
    <mergeCell ref="A69:L69"/>
    <mergeCell ref="N69:X69"/>
    <mergeCell ref="A73:L73"/>
    <mergeCell ref="N73:X73"/>
    <mergeCell ref="A76:L76"/>
    <mergeCell ref="N76:X76"/>
    <mergeCell ref="A79:X79"/>
    <mergeCell ref="A80:X80"/>
    <mergeCell ref="A81:L81"/>
    <mergeCell ref="N81:X81"/>
    <mergeCell ref="A94:L94"/>
    <mergeCell ref="N94:X94"/>
    <mergeCell ref="A108:X108"/>
    <mergeCell ref="A109:X109"/>
    <mergeCell ref="A110:L110"/>
    <mergeCell ref="N110:X110"/>
    <mergeCell ref="A130:L130"/>
    <mergeCell ref="N130:X130"/>
    <mergeCell ref="A137:X137"/>
    <mergeCell ref="A138:X138"/>
    <mergeCell ref="A139:L139"/>
    <mergeCell ref="N139:X139"/>
    <mergeCell ref="A150:L150"/>
    <mergeCell ref="N150:X150"/>
  </mergeCells>
  <hyperlinks>
    <hyperlink ref="A3" location="'Contents'!A1" display="Metric (Return to Contents)"/>
    <hyperlink ref="C7" location="'Core Reconciliations'!A14" display="Company-reported FCF reconciliation: annual and YTD"/>
    <hyperlink ref="N7" location="'Core Reconciliations'!A23" display="Company-reported ROIC (financing-capital basis)"/>
    <hyperlink ref="C8" location="'Core Reconciliations'!A34" display="Current structure: consolidated Core reconciliation"/>
    <hyperlink ref="N8" location="'Core Reconciliations'!A58" display="Current structure: consolidated Core reconciliation (YTD)"/>
    <hyperlink ref="C9" location="'Core Reconciliations'!A79" display="Earlier structure: consolidated Core reconciliation"/>
    <hyperlink ref="N9" location="'Core Reconciliations'!A108" display="Consolidated GAAP / company Core diluted EPS reconciliation"/>
    <hyperlink ref="C10" location="'Core Reconciliations'!A137" display="Consolidated GAAP / company Core diluted EPS reconciliation: YTD"/>
  </hyperlinks>
  <pageMargins left="0.7" right="0.7" top="0.75" bottom="0.75" header="0.3" footer="0.3"/>
</worksheet>
</file>