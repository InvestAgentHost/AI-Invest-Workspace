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8400" windowHeight="19460" tabRatio="600" firstSheet="0" activeTab="1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Segments" sheetId="5" state="visible" r:id="rId5"/>
    <sheet xmlns:r="http://schemas.openxmlformats.org/officeDocument/2006/relationships" name="Geography &amp; Products" sheetId="6" state="visible" r:id="rId6"/>
    <sheet xmlns:r="http://schemas.openxmlformats.org/officeDocument/2006/relationships" name="Derived Metrics" sheetId="7" state="visible" r:id="rId7"/>
    <sheet xmlns:r="http://schemas.openxmlformats.org/officeDocument/2006/relationships" name="Sources" sheetId="8" state="visible" r:id="rId8"/>
    <sheet xmlns:r="http://schemas.openxmlformats.org/officeDocument/2006/relationships" name="Asset Structure" sheetId="9" state="visible" r:id="rId9"/>
    <sheet xmlns:r="http://schemas.openxmlformats.org/officeDocument/2006/relationships" name="Net Cash" sheetId="10" state="visible" r:id="rId10"/>
    <sheet xmlns:r="http://schemas.openxmlformats.org/officeDocument/2006/relationships" name="Working Capital" sheetId="11" state="visible" r:id="rId11"/>
    <sheet xmlns:r="http://schemas.openxmlformats.org/officeDocument/2006/relationships" name="Cash-Flow Attribution" sheetId="12" state="visible" r:id="rId12"/>
    <sheet xmlns:r="http://schemas.openxmlformats.org/officeDocument/2006/relationships" name="Yearly Factor Table" sheetId="13" state="visible" r:id="rId13"/>
    <sheet xmlns:r="http://schemas.openxmlformats.org/officeDocument/2006/relationships" name="Interval Factor Table" sheetId="14" state="visible" r:id="rId14"/>
    <sheet xmlns:r="http://schemas.openxmlformats.org/officeDocument/2006/relationships" name="Growth Factor Table" sheetId="15" state="visible" r:id="rId15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#,##0;\(#,##0\);&quot;-&quot;"/>
    <numFmt numFmtId="165" formatCode="0.0%;\(0.0%\);&quot;-&quot;"/>
    <numFmt numFmtId="166" formatCode="#,##0.00;\(#,##0.00\);&quot;-&quot;"/>
    <numFmt numFmtId="167" formatCode="#,##0.0;\(#,##0.0\);&quot;-&quot;"/>
    <numFmt numFmtId="168" formatCode="0.0&quot;x&quot;;\(0.0&quot;x&quot;\);&quot;-&quot;"/>
    <numFmt numFmtId="169" formatCode="#,##0.0&quot;x&quot;;\(#,##0.0&quot;x&quot;\);&quot;-&quot;"/>
  </numFmts>
  <fonts count="17">
    <font>
      <name val="宋体"/>
      <family val="2"/>
      <color theme="1"/>
      <sz val="11"/>
      <scheme val="minor"/>
    </font>
    <font>
      <name val="Arial"/>
      <b val="1"/>
      <color rgb="FFFFFFFF"/>
      <sz val="14"/>
    </font>
    <font>
      <name val="Arial"/>
      <i val="1"/>
      <color rgb="FF808080"/>
      <sz val="9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i val="1"/>
      <color rgb="FF808080"/>
      <sz val="8"/>
    </font>
    <font>
      <name val="Arial"/>
      <i val="1"/>
      <color rgb="FF999999"/>
      <sz val="9"/>
    </font>
    <font>
      <name val="Arial"/>
      <color rgb="FF0563C1"/>
      <sz val="9"/>
      <u val="single"/>
    </font>
    <font>
      <name val="Arial"/>
      <b val="1"/>
      <color rgb="FF0000CC"/>
      <sz val="10"/>
    </font>
    <font>
      <name val="Arial"/>
      <color rgb="FF0000CC"/>
      <sz val="10"/>
    </font>
    <font>
      <name val="Arial"/>
      <b val="1"/>
      <color rgb="FF008000"/>
      <sz val="10"/>
    </font>
    <font>
      <name val="Arial"/>
      <color rgb="FF008000"/>
      <sz val="10"/>
    </font>
    <font>
      <name val="宋体"/>
      <charset val="134"/>
      <family val="3"/>
      <sz val="9"/>
      <scheme val="minor"/>
    </font>
    <font>
      <name val="Arial"/>
      <family val="2"/>
      <color rgb="FF333333"/>
      <sz val="10"/>
    </font>
    <font>
      <name val="Arial"/>
      <color rgb="FF808080"/>
      <sz val="8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/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top style="thin">
        <color rgb="FF999999"/>
      </top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6" fillId="3" borderId="1" applyAlignment="1" pivotButton="0" quotePrefix="0" xfId="0">
      <alignment horizontal="center"/>
    </xf>
    <xf numFmtId="0" fontId="8" fillId="6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0" fillId="6" borderId="0" pivotButton="0" quotePrefix="0" xfId="0"/>
    <xf numFmtId="0" fontId="6" fillId="0" borderId="0" pivotButton="0" quotePrefix="0" xfId="0"/>
    <xf numFmtId="0" fontId="9" fillId="0" borderId="0" applyAlignment="1" pivotButton="0" quotePrefix="0" xfId="0">
      <alignment indent="1"/>
    </xf>
    <xf numFmtId="164" fontId="10" fillId="0" borderId="0" applyAlignment="1" pivotButton="0" quotePrefix="0" xfId="0">
      <alignment horizontal="right"/>
    </xf>
    <xf numFmtId="0" fontId="8" fillId="0" borderId="0" pivotButton="0" quotePrefix="0" xfId="0"/>
    <xf numFmtId="165" fontId="8" fillId="0" borderId="0" applyAlignment="1" pivotButton="0" quotePrefix="0" xfId="0">
      <alignment horizontal="right"/>
    </xf>
    <xf numFmtId="0" fontId="5" fillId="0" borderId="0" applyAlignment="1" pivotButton="0" quotePrefix="0" xfId="0">
      <alignment indent="1"/>
    </xf>
    <xf numFmtId="0" fontId="7" fillId="0" borderId="0" applyAlignment="1" pivotButton="0" quotePrefix="0" xfId="0">
      <alignment vertical="top" wrapText="1"/>
    </xf>
    <xf numFmtId="164" fontId="11" fillId="0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164" fontId="6" fillId="0" borderId="2" applyAlignment="1" pivotButton="0" quotePrefix="0" xfId="0">
      <alignment horizontal="right"/>
    </xf>
    <xf numFmtId="0" fontId="0" fillId="6" borderId="2" pivotButton="0" quotePrefix="0" xfId="0"/>
    <xf numFmtId="164" fontId="6" fillId="0" borderId="0" applyAlignment="1" pivotButton="0" quotePrefix="0" xfId="0">
      <alignment horizontal="right"/>
    </xf>
    <xf numFmtId="166" fontId="10" fillId="0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167" fontId="8" fillId="0" borderId="0" applyAlignment="1" pivotButton="0" quotePrefix="0" xfId="0">
      <alignment horizontal="right"/>
    </xf>
    <xf numFmtId="164" fontId="12" fillId="0" borderId="0" applyAlignment="1" pivotButton="0" quotePrefix="0" xfId="0">
      <alignment horizontal="right"/>
    </xf>
    <xf numFmtId="0" fontId="8" fillId="0" borderId="0" applyAlignment="1" pivotButton="0" quotePrefix="0" xfId="0">
      <alignment indent="1"/>
    </xf>
    <xf numFmtId="165" fontId="13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68" fontId="5" fillId="0" borderId="0" applyAlignment="1" pivotButton="0" quotePrefix="0" xfId="0">
      <alignment horizontal="right"/>
    </xf>
    <xf numFmtId="167" fontId="13" fillId="0" borderId="0" applyAlignment="1" pivotButton="0" quotePrefix="0" xfId="0">
      <alignment horizontal="right"/>
    </xf>
    <xf numFmtId="0" fontId="15" fillId="0" borderId="0" applyAlignment="1" pivotButton="0" quotePrefix="0" xfId="0">
      <alignment indent="1"/>
    </xf>
    <xf numFmtId="164" fontId="10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164" fontId="6" fillId="0" borderId="2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6" fontId="10" fillId="0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167" fontId="8" fillId="0" borderId="0" applyAlignment="1" pivotButton="0" quotePrefix="0" xfId="0">
      <alignment horizontal="right"/>
    </xf>
    <xf numFmtId="164" fontId="12" fillId="0" borderId="0" applyAlignment="1" pivotButton="0" quotePrefix="0" xfId="0">
      <alignment horizontal="right"/>
    </xf>
    <xf numFmtId="165" fontId="13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68" fontId="5" fillId="0" borderId="0" applyAlignment="1" pivotButton="0" quotePrefix="0" xfId="0">
      <alignment horizontal="right"/>
    </xf>
    <xf numFmtId="167" fontId="13" fillId="0" borderId="0" applyAlignment="1" pivotButton="0" quotePrefix="0" xfId="0">
      <alignment horizontal="right"/>
    </xf>
    <xf numFmtId="0" fontId="1" fillId="2" borderId="0" pivotButton="0" quotePrefix="0" xfId="0"/>
    <xf numFmtId="0" fontId="6" fillId="3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7" fillId="0" borderId="0" pivotButton="0" quotePrefix="0" xfId="0"/>
    <xf numFmtId="164" fontId="13" fillId="0" borderId="0" applyAlignment="1" pivotButton="0" quotePrefix="0" xfId="0">
      <alignment horizontal="right"/>
    </xf>
    <xf numFmtId="164" fontId="6" fillId="0" borderId="3" applyAlignment="1" pivotButton="0" quotePrefix="0" xfId="0">
      <alignment horizontal="right"/>
    </xf>
    <xf numFmtId="165" fontId="6" fillId="0" borderId="3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7" fontId="0" fillId="0" borderId="0" pivotButton="0" quotePrefix="0" xfId="0"/>
    <xf numFmtId="0" fontId="8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169" fontId="5" fillId="0" borderId="0" applyAlignment="1" pivotButton="0" quotePrefix="0" xfId="0">
      <alignment horizontal="right"/>
    </xf>
    <xf numFmtId="166" fontId="5" fillId="0" borderId="0" applyAlignment="1" pivotButton="0" quotePrefix="0" xfId="0">
      <alignment horizontal="right"/>
    </xf>
    <xf numFmtId="0" fontId="6" fillId="3" borderId="0" applyAlignment="1" pivotButton="0" quotePrefix="0" xfId="0">
      <alignment horizontal="center" vertical="center" wrapText="1"/>
    </xf>
  </cellXfs>
  <cellStyles count="1">
    <cellStyle name="常规" xfId="0" builtinId="0"/>
  </cellStyles>
  <dxfs count="11">
    <dxf>
      <font>
        <name val="Arial"/>
        <b val="1"/>
        <color rgb="FFFF0000"/>
        <sz val="10"/>
      </font>
    </dxf>
    <dxf>
      <font>
        <name val="Arial"/>
        <b val="1"/>
        <color rgb="FFFF0000"/>
        <sz val="10"/>
      </font>
    </dxf>
    <dxf>
      <font>
        <name val="Arial"/>
        <b val="1"/>
        <color rgb="FFFF0000"/>
        <sz val="10"/>
      </font>
    </dxf>
    <dxf>
      <font>
        <name val="Arial"/>
        <b val="1"/>
        <color rgb="FFFF0000"/>
        <sz val="10"/>
      </font>
    </dxf>
    <dxf>
      <font>
        <name val="Arial"/>
        <b val="1"/>
        <color rgb="FFFF0000"/>
        <sz val="10"/>
      </font>
    </dxf>
    <dxf>
      <font>
        <name val="Arial"/>
        <b val="1"/>
        <color rgb="FFFF0000"/>
        <sz val="10"/>
      </font>
    </dxf>
    <dxf>
      <font>
        <name val="Arial"/>
        <b val="1"/>
        <color rgb="FFFF0000"/>
        <sz val="10"/>
      </font>
    </dxf>
    <dxf>
      <font>
        <name val="Arial"/>
        <b val="1"/>
        <color rgb="FFFF0000"/>
        <sz val="10"/>
      </font>
    </dxf>
    <dxf>
      <font>
        <name val="Arial"/>
        <b val="1"/>
        <color rgb="FFFF0000"/>
        <sz val="10"/>
      </font>
    </dxf>
    <dxf>
      <font>
        <name val="Arial"/>
        <b val="1"/>
        <color rgb="FFFF0000"/>
        <sz val="10"/>
      </font>
    </dxf>
    <dxf>
      <font>
        <name val="Arial"/>
        <b val="1"/>
        <color rgb="FFFF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Asset Mix (% of Total Assets), FY2016-FY2025</a:t>
            </a:r>
          </a:p>
        </rich>
      </tx>
    </title>
    <plotArea>
      <barChart>
        <barDir val="col"/>
        <grouping val="percentStacked"/>
        <ser>
          <idx val="0"/>
          <order val="0"/>
          <tx>
            <v>Cash and cash equivalents</v>
          </tx>
          <spPr>
            <a:ln xmlns:a="http://schemas.openxmlformats.org/drawingml/2006/main">
              <a:prstDash val="solid"/>
            </a:ln>
          </spPr>
          <cat>
            <numRef>
              <f>'Asset Structure'!$C$3:$L$3</f>
            </numRef>
          </cat>
          <val>
            <numRef>
              <f>'Asset Structure'!$C$26:$L$26</f>
            </numRef>
          </val>
        </ser>
        <ser>
          <idx val="1"/>
          <order val="1"/>
          <tx>
            <v>Trade receivables, net</v>
          </tx>
          <spPr>
            <a:ln xmlns:a="http://schemas.openxmlformats.org/drawingml/2006/main">
              <a:prstDash val="solid"/>
            </a:ln>
          </spPr>
          <cat>
            <numRef>
              <f>'Asset Structure'!$C$3:$L$3</f>
            </numRef>
          </cat>
          <val>
            <numRef>
              <f>'Asset Structure'!$C$27:$L$27</f>
            </numRef>
          </val>
        </ser>
        <ser>
          <idx val="2"/>
          <order val="2"/>
          <tx>
            <v>Inventory</v>
          </tx>
          <spPr>
            <a:ln xmlns:a="http://schemas.openxmlformats.org/drawingml/2006/main">
              <a:prstDash val="solid"/>
            </a:ln>
          </spPr>
          <cat>
            <numRef>
              <f>'Asset Structure'!$C$3:$L$3</f>
            </numRef>
          </cat>
          <val>
            <numRef>
              <f>'Asset Structure'!$C$28:$L$28</f>
            </numRef>
          </val>
        </ser>
        <ser>
          <idx val="3"/>
          <order val="3"/>
          <tx>
            <v>Other current assets</v>
          </tx>
          <spPr>
            <a:ln xmlns:a="http://schemas.openxmlformats.org/drawingml/2006/main">
              <a:prstDash val="solid"/>
            </a:ln>
          </spPr>
          <cat>
            <numRef>
              <f>'Asset Structure'!$C$3:$L$3</f>
            </numRef>
          </cat>
          <val>
            <numRef>
              <f>'Asset Structure'!$C$29:$L$29</f>
            </numRef>
          </val>
        </ser>
        <ser>
          <idx val="4"/>
          <order val="4"/>
          <tx>
            <v>Property, plant &amp; equipment, net</v>
          </tx>
          <spPr>
            <a:ln xmlns:a="http://schemas.openxmlformats.org/drawingml/2006/main">
              <a:prstDash val="solid"/>
            </a:ln>
          </spPr>
          <cat>
            <numRef>
              <f>'Asset Structure'!$C$3:$L$3</f>
            </numRef>
          </cat>
          <val>
            <numRef>
              <f>'Asset Structure'!$C$30:$L$30</f>
            </numRef>
          </val>
        </ser>
        <ser>
          <idx val="5"/>
          <order val="5"/>
          <tx>
            <v>Goodwill</v>
          </tx>
          <spPr>
            <a:ln xmlns:a="http://schemas.openxmlformats.org/drawingml/2006/main">
              <a:prstDash val="solid"/>
            </a:ln>
          </spPr>
          <cat>
            <numRef>
              <f>'Asset Structure'!$C$3:$L$3</f>
            </numRef>
          </cat>
          <val>
            <numRef>
              <f>'Asset Structure'!$C$31:$L$31</f>
            </numRef>
          </val>
        </ser>
        <ser>
          <idx val="6"/>
          <order val="6"/>
          <tx>
            <v>Intangible assets, net</v>
          </tx>
          <spPr>
            <a:ln xmlns:a="http://schemas.openxmlformats.org/drawingml/2006/main">
              <a:prstDash val="solid"/>
            </a:ln>
          </spPr>
          <cat>
            <numRef>
              <f>'Asset Structure'!$C$3:$L$3</f>
            </numRef>
          </cat>
          <val>
            <numRef>
              <f>'Asset Structure'!$C$32:$L$32</f>
            </numRef>
          </val>
        </ser>
        <ser>
          <idx val="7"/>
          <order val="7"/>
          <tx>
            <v>Other long-term assets</v>
          </tx>
          <spPr>
            <a:ln xmlns:a="http://schemas.openxmlformats.org/drawingml/2006/main">
              <a:prstDash val="solid"/>
            </a:ln>
          </spPr>
          <cat>
            <numRef>
              <f>'Asset Structure'!$C$3:$L$3</f>
            </numRef>
          </cat>
          <val>
            <numRef>
              <f>'Asset Structure'!$C$33:$L$33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total assets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Cash / (Net Debt) Trend, FY2016-FY2025</a:t>
            </a:r>
          </a:p>
        </rich>
      </tx>
    </title>
    <plotArea>
      <lineChart>
        <grouping val="standard"/>
        <ser>
          <idx val="0"/>
          <order val="0"/>
          <tx>
            <v>Net cash / (net debt)</v>
          </tx>
          <spPr>
            <a:ln xmlns:a="http://schemas.openxmlformats.org/drawingml/2006/main"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cat>
            <numRef>
              <f>'Net Cash'!$C$3:$L$3</f>
            </numRef>
          </cat>
          <val>
            <numRef>
              <f>'Net Cash'!$C$13:$L$13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millions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Working Capital Trend, FY2016-FY2025</a:t>
            </a:r>
          </a:p>
        </rich>
      </tx>
    </title>
    <plotArea>
      <lineChart>
        <grouping val="standard"/>
        <ser>
          <idx val="0"/>
          <order val="0"/>
          <tx>
            <v>Net working capital</v>
          </tx>
          <spPr>
            <a:ln xmlns:a="http://schemas.openxmlformats.org/drawingml/2006/main"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cat>
            <numRef>
              <f>'Working Capital'!$C$3:$L$3</f>
            </numRef>
          </cat>
          <val>
            <numRef>
              <f>'Working Capital'!$C$18:$L$18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millions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Cash-Flow Attribution Bridge — FY2025 (waterfall)</a:t>
            </a:r>
          </a:p>
        </rich>
      </tx>
    </title>
    <plotArea>
      <barChart>
        <barDir val="col"/>
        <grouping val="stacked"/>
        <ser>
          <idx val="0"/>
          <order val="0"/>
          <tx>
            <v>Base (invisible)</v>
          </tx>
          <spPr>
            <a:noFill xmlns:a="http://schemas.openxmlformats.org/drawingml/2006/main"/>
            <a:ln xmlns:a="http://schemas.openxmlformats.org/drawingml/2006/main">
              <a:prstDash val="solid"/>
            </a:ln>
          </spPr>
          <cat>
            <numRef>
              <f>'Cash-Flow Attribution'!$A$36:$A$51</f>
            </numRef>
          </cat>
          <val>
            <numRef>
              <f>'Cash-Flow Attribution'!$B$36:$B$51</f>
            </numRef>
          </val>
        </ser>
        <ser>
          <idx val="1"/>
          <order val="1"/>
          <tx>
            <v>Delta</v>
          </tx>
          <spPr>
            <a:ln xmlns:a="http://schemas.openxmlformats.org/drawingml/2006/main">
              <a:prstDash val="solid"/>
            </a:ln>
          </spPr>
          <cat>
            <numRef>
              <f>'Cash-Flow Attribution'!$A$36:$A$51</f>
            </numRef>
          </cat>
          <val>
            <numRef>
              <f>'Cash-Flow Attribution'!$C$36:$C$51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millions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15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20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33</row>
      <rowOff>0</rowOff>
    </from>
    <ext cx="93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tabColor rgb="FF1F4E79"/>
    <outlinePr summaryBelow="1" summaryRight="1"/>
    <pageSetUpPr/>
  </sheetPr>
  <dimension ref="A1:H39"/>
  <sheetViews>
    <sheetView showGridLines="0" zoomScale="85" workbookViewId="0">
      <pane ySplit="3" topLeftCell="A4" activePane="bottomLeft" state="frozen"/>
      <selection pane="bottomLeft" activeCell="A1" sqref="A1"/>
    </sheetView>
  </sheetViews>
  <sheetFormatPr baseColWidth="10" defaultColWidth="8.83203125" defaultRowHeight="14"/>
  <cols>
    <col width="30" customWidth="1" min="1" max="1"/>
    <col width="80" customWidth="1" min="2" max="2"/>
  </cols>
  <sheetData>
    <row r="1" ht="28" customHeight="1">
      <c r="A1" s="1" t="inlineStr">
        <is>
          <t>Broadcom Inc. — Cover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$ in millions except per-share data  |  USD  |  as of 2026-09-22</t>
        </is>
      </c>
    </row>
    <row r="4">
      <c r="A4" s="4" t="inlineStr">
        <is>
          <t>Broadcom Inc. (NASDAQ: AVGO) — Financial Model</t>
        </is>
      </c>
    </row>
    <row r="6">
      <c r="A6" s="5" t="inlineStr">
        <is>
          <t>Company Overview</t>
        </is>
      </c>
      <c r="B6" s="5" t="n"/>
    </row>
    <row r="7">
      <c r="A7" s="6" t="inlineStr">
        <is>
          <t>Legal name</t>
        </is>
      </c>
      <c r="B7" s="6" t="inlineStr">
        <is>
          <t>Broadcom Inc. (Delaware; formerly Broadcom Limited, a Singapore public company, through the April 2018 redomiciliation)</t>
        </is>
      </c>
    </row>
    <row r="8">
      <c r="A8" s="6" t="inlineStr">
        <is>
          <t>Ticker</t>
        </is>
      </c>
      <c r="B8" s="6" t="inlineStr">
        <is>
          <t>AVGO (NASDAQ)</t>
        </is>
      </c>
    </row>
    <row r="9">
      <c r="A9" s="6" t="inlineStr">
        <is>
          <t>Reporting currency / units</t>
        </is>
      </c>
      <c r="B9" s="6" t="inlineStr">
        <is>
          <t>USD, $ in millions except per-share data</t>
        </is>
      </c>
    </row>
    <row r="10">
      <c r="A10" s="6" t="inlineStr">
        <is>
          <t>Reporting framework</t>
        </is>
      </c>
      <c r="B10" s="6" t="inlineStr">
        <is>
          <t>US GAAP</t>
        </is>
      </c>
    </row>
    <row r="11">
      <c r="A11" s="6" t="inlineStr">
        <is>
          <t>Fiscal year end</t>
        </is>
      </c>
      <c r="B11" s="6" t="inlineStr">
        <is>
          <t>Last Sunday of October or first Sunday of November (52/53-week fiscal year)</t>
        </is>
      </c>
    </row>
    <row r="12">
      <c r="A12" s="6" t="inlineStr">
        <is>
          <t>Fiscal years covered</t>
        </is>
      </c>
      <c r="B12" s="6" t="inlineStr">
        <is>
          <t>FY2016 (ended 2016-10-30) through FY2025 (ended 2025-11-02), plus 3Q FY2026 (13 weeks ended 2026-08-02)</t>
        </is>
      </c>
    </row>
    <row r="13">
      <c r="A13" s="6" t="inlineStr">
        <is>
          <t>As-of date</t>
        </is>
      </c>
      <c r="B13" s="6" t="inlineStr">
        <is>
          <t>2025-11-02 (FY2025 fiscal year end); interim data through 2026-08-02</t>
        </is>
      </c>
    </row>
    <row r="14">
      <c r="A14" s="6" t="inlineStr">
        <is>
          <t>Model date</t>
        </is>
      </c>
      <c r="B14" s="6" t="inlineStr">
        <is>
          <t>2026-09-22</t>
        </is>
      </c>
    </row>
    <row r="15">
      <c r="A15" s="6" t="inlineStr">
        <is>
          <t>Consolidation scope</t>
        </is>
      </c>
      <c r="B15" s="6" t="inlineStr">
        <is>
          <t>Consolidated (includes VMware, Inc. from November 22, 2023)</t>
        </is>
      </c>
    </row>
    <row r="17">
      <c r="A17" s="5" t="inlineStr">
        <is>
          <t>Color Legend</t>
        </is>
      </c>
      <c r="B17" s="5" t="n"/>
    </row>
    <row r="18">
      <c r="A18" s="7" t="inlineStr">
        <is>
          <t>Hardcoded reported value</t>
        </is>
      </c>
      <c r="B18" s="6" t="inlineStr">
        <is>
          <t>Blue font — taken directly from a source filing</t>
        </is>
      </c>
    </row>
    <row r="19">
      <c r="A19" s="8" t="inlineStr">
        <is>
          <t>Formula / calculation</t>
        </is>
      </c>
      <c r="B19" s="6" t="inlineStr">
        <is>
          <t>Black font — computed from other cells in this workbook</t>
        </is>
      </c>
    </row>
    <row r="20">
      <c r="A20" s="9" t="inlineStr">
        <is>
          <t>Cross-sheet link</t>
        </is>
      </c>
      <c r="B20" s="6" t="inlineStr">
        <is>
          <t>Green font — pulled from another sheet</t>
        </is>
      </c>
    </row>
    <row r="21">
      <c r="A21" s="8" t="inlineStr">
        <is>
          <t>Memo / commentary</t>
        </is>
      </c>
      <c r="B21" s="6" t="inlineStr">
        <is>
          <t>Grey italic — margin, growth, or annotation row</t>
        </is>
      </c>
    </row>
    <row r="23">
      <c r="A23" s="5" t="inlineStr">
        <is>
          <t>Sheet Directory</t>
        </is>
      </c>
      <c r="B23" s="5" t="n"/>
    </row>
    <row r="24">
      <c r="A24" s="6" t="inlineStr">
        <is>
          <t>IS — Income Statement</t>
        </is>
      </c>
      <c r="B24" s="6" t="inlineStr">
        <is>
          <t>As-reported revenue through net income, EPS, margins, YoY growth</t>
        </is>
      </c>
    </row>
    <row r="25">
      <c r="A25" s="6" t="inlineStr">
        <is>
          <t>BS — Balance Sheet</t>
        </is>
      </c>
      <c r="B25" s="6" t="inlineStr">
        <is>
          <t>As-reported assets/liabilities/equity, balance check, working-capital analytics (DSO/DIO/DPO/CCC)</t>
        </is>
      </c>
    </row>
    <row r="26">
      <c r="A26" s="6" t="inlineStr">
        <is>
          <t>CF — Cash Flow Statement</t>
        </is>
      </c>
      <c r="B26" s="6" t="inlineStr">
        <is>
          <t>As-reported operating/investing/financing detail, cash walk check, FCF analytics</t>
        </is>
      </c>
    </row>
    <row r="27">
      <c r="A27" s="6" t="inlineStr">
        <is>
          <t>SEG — Segments</t>
        </is>
      </c>
      <c r="B27" s="6" t="inlineStr">
        <is>
          <t>Segment revenue &amp; operating income across three successive segment structures (4-seg / 3-seg / 2-seg), tie-out checks</t>
        </is>
      </c>
    </row>
    <row r="28">
      <c r="A28" s="6" t="inlineStr">
        <is>
          <t>DM — Derived Metrics</t>
        </is>
      </c>
      <c r="B28" s="6" t="inlineStr">
        <is>
          <t>Profitability, returns, leverage, solvency, liquidity, coverage, cash conversion, earnings quality, growth, working capital</t>
        </is>
      </c>
    </row>
    <row r="29">
      <c r="A29" s="6" t="inlineStr">
        <is>
          <t>Sources</t>
        </is>
      </c>
      <c r="B29" s="6" t="inlineStr">
        <is>
          <t>Filing-level source index and key comparability notes</t>
        </is>
      </c>
    </row>
    <row r="31">
      <c r="A31" s="5" t="inlineStr">
        <is>
          <t>Key Comparability Caveats — read before using this model</t>
        </is>
      </c>
      <c r="B31" s="5" t="n"/>
    </row>
    <row r="32">
      <c r="A32" s="6" t="inlineStr">
        <is>
          <t>1. VMware scale jump (FY2023 -&gt; FY2024)</t>
        </is>
      </c>
      <c r="B32" s="6" t="inlineStr">
        <is>
          <t>VMware, Inc. acquisition closed Nov 22, 2023 (day 1 of FY2024), for $86,290M total consideration (~$54.2B in Broadcom stock, remainder cash). Goodwill $43.7B-&gt;$97.9B, intangibles $3.9B-&gt;$40.6B, total assets $72.9B-&gt;$165.6B, revenue $35.8B-&gt;$51.6B. FY2023 and prior are pre-VMware; treat FY2023-&gt;FY2024 as a structural break, not organic growth.</t>
        </is>
      </c>
    </row>
    <row r="33">
      <c r="A33" s="6" t="inlineStr">
        <is>
          <t>2. FY2025 revenue reclassification</t>
        </is>
      </c>
      <c r="B33" s="6" t="inlineStr">
        <is>
          <t>Per FY2025 10-K Note 3: 'we included upfront license revenue of $7,800 million within products revenue... we reclassified $4,601 million and $1,058 million of upfront license revenue from subscriptions and services revenue to products revenue for fiscal years 2024 and 2023, respectively.' This model uses each fiscal year's OWN as-filed Products/Subscriptions split (i.e., FY2024 and FY2023 columns are NOT reclassified/recast) — a pure historical series. Do not compare Products vs. Subscriptions growth rates across the FY2023/FY2024/FY2025 boundary without adjusting for this.</t>
        </is>
      </c>
    </row>
    <row r="34">
      <c r="A34" s="6" t="inlineStr">
        <is>
          <t>3. 10-for-1 forward stock split (July 2024)</t>
        </is>
      </c>
      <c r="B34" s="6" t="inlineStr">
        <is>
          <t>Effective July 15, 2024 (within FY2024). FY2016-FY2023 EPS/share-count columns are each year's own pre-split as-filed figures; FY2024 onward are post-split. WASO basic jumps from 415M (FY2023) to 4,624M (FY2024) — roughly 11.1x, reflecting both the 10:1 split and real new share issuance for the VMware deal. Do not compute raw EPS/share-count YoY growth across this boundary.</t>
        </is>
      </c>
    </row>
    <row r="35">
      <c r="A35" s="6" t="inlineStr">
        <is>
          <t>4. 2018 CIK change / redomiciliation</t>
        </is>
      </c>
      <c r="B35" s="6" t="inlineStr">
        <is>
          <t>Broadcom redomiciled from Singapore (Broadcom Limited, CIK 0001649338) to Delaware (Broadcom Inc., CIK 0001730168) on April 4, 2018, accounted for as a common-control transaction (historical financials carried over on the same basis, no restatement). Treated as continuous in this model. Noncontrolling interest (exchangeable LP units) existed FY2016-FY2018 and was eliminated at the redomiciliation.</t>
        </is>
      </c>
    </row>
    <row r="36">
      <c r="A36" s="6" t="inlineStr">
        <is>
          <t>5. Segment redefinition</t>
        </is>
      </c>
      <c r="B36" s="6" t="inlineStr">
        <is>
          <t>FY2016-FY2018: 4 segments (Wired Infrastructure, Wireless Communications, Enterprise Storage, Industrial &amp; Other). FY2019 only: 3 segments (Semiconductor Solutions, Infrastructure Software, IP Licensing) following the Nov 2018 CA Technologies acquisition. FY2020-present: 2 segments (Semiconductor Solutions, Infrastructure Software). The SEG sheet presents each structure as a separate block (not stitched together) per the source-hierarchy rule against mixing segment definitions.</t>
        </is>
      </c>
    </row>
    <row r="37">
      <c r="A37" s="6" t="inlineStr">
        <is>
          <t>6. FY2020-FY2022 segment data sourced from MD&amp;A, not a formal Note</t>
        </is>
      </c>
      <c r="B37" s="6" t="inlineStr">
        <is>
          <t>Broadcom's FY2020, FY2021 and FY2022 10-Ks do not include a numeric segment table in the Segment Information note (narrative only in some years); the segment revenue/operating income figures for those years are sourced from each year's MD&amp;A 'Results of Operations' table instead (still Tier-2 SEC-filing sourced, just a different section of the same document).</t>
        </is>
      </c>
    </row>
    <row r="38">
      <c r="A38" s="6" t="inlineStr">
        <is>
          <t>7. FY2024 discontinued operations</t>
        </is>
      </c>
      <c r="B38" s="6" t="inlineStr">
        <is>
          <t>Broadcom sold the VMware End-User Computing (EUC) business to KKR on July 1, 2024 for $3.5B cash. FY2024's own as-filed income statement includes a 'Loss from discontinued operations, net of income taxes' line of $(273)M; FY2023 and earlier show no such line since EUC was only acquired as part of VMware at the start of FY2024 (no retroactive restatement was required or made).</t>
        </is>
      </c>
    </row>
    <row r="39">
      <c r="A39" s="6" t="inlineStr">
        <is>
          <t>8. 3Q FY2026 (10-Q) presentation basis</t>
        </is>
      </c>
      <c r="B39" s="6" t="inlineStr">
        <is>
          <t>Income Statement and Segment quarterly columns show the single 13-week quarter ended 2026-08-02. Balance Sheet quarterly column is the point-in-time balance as of 2026-08-02. Cash Flow Statement quarterly column is the cumulative 9-month year-to-date figure as filed (Broadcom's 10-Q does not present single-quarter cash flows) — this is a different grain than the IS/BS quarterly column and is explicitly noted on the CF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4E79"/>
    <outlinePr summaryBelow="1" summaryRight="1"/>
    <pageSetUpPr/>
  </sheetPr>
  <dimension ref="A1:V64"/>
  <sheetViews>
    <sheetView showGridLines="0" tabSelected="1" zoomScale="85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X26" sqref="X26"/>
    </sheetView>
  </sheetViews>
  <sheetFormatPr baseColWidth="10" defaultColWidth="8.83203125" defaultRowHeight="14"/>
  <cols>
    <col width="46" customWidth="1" min="1" max="1"/>
    <col hidden="1" outlineLevel="1" width="34" customWidth="1" min="2" max="2"/>
    <col collapsed="1" width="12" customWidth="1" min="3" max="3"/>
    <col width="12" customWidth="1" min="4" max="12"/>
    <col width="9" customWidth="1" min="13" max="14"/>
    <col width="12" customWidth="1" min="15" max="22"/>
  </cols>
  <sheetData>
    <row r="1" ht="28" customHeight="1">
      <c r="A1" s="1" t="inlineStr">
        <is>
          <t>Broadcom Inc. — Income Statement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6" customHeight="1">
      <c r="A2" s="3" t="inlineStr">
        <is>
          <t>$ in millions except per-share data  |  USD  |  as of 2026-09-22</t>
        </is>
      </c>
    </row>
    <row r="3">
      <c r="C3" s="10" t="inlineStr">
        <is>
          <t>FY2016</t>
        </is>
      </c>
      <c r="D3" s="10" t="inlineStr">
        <is>
          <t>FY2017</t>
        </is>
      </c>
      <c r="E3" s="10" t="inlineStr">
        <is>
          <t>FY2018</t>
        </is>
      </c>
      <c r="F3" s="10" t="inlineStr">
        <is>
          <t>FY2019</t>
        </is>
      </c>
      <c r="G3" s="10" t="inlineStr">
        <is>
          <t>FY2020</t>
        </is>
      </c>
      <c r="H3" s="10" t="inlineStr">
        <is>
          <t>FY2021</t>
        </is>
      </c>
      <c r="I3" s="10" t="inlineStr">
        <is>
          <t>FY2022</t>
        </is>
      </c>
      <c r="J3" s="10" t="inlineStr">
        <is>
          <t>FY2023</t>
        </is>
      </c>
      <c r="K3" s="10" t="inlineStr">
        <is>
          <t>FY2024</t>
        </is>
      </c>
      <c r="L3" s="10" t="inlineStr">
        <is>
          <t>FY2025</t>
        </is>
      </c>
      <c r="M3" s="11" t="inlineStr">
        <is>
          <t>·</t>
        </is>
      </c>
      <c r="N3" s="11" t="inlineStr">
        <is>
          <t>·</t>
        </is>
      </c>
      <c r="O3" s="10" t="inlineStr">
        <is>
          <t>2Q FY2024</t>
        </is>
      </c>
      <c r="P3" s="10" t="inlineStr">
        <is>
          <t>3Q FY2024</t>
        </is>
      </c>
      <c r="Q3" s="10" t="inlineStr">
        <is>
          <t>1Q FY2025</t>
        </is>
      </c>
      <c r="R3" s="10" t="inlineStr">
        <is>
          <t>2Q FY2025</t>
        </is>
      </c>
      <c r="S3" s="10" t="inlineStr">
        <is>
          <t>3Q FY2025</t>
        </is>
      </c>
      <c r="T3" s="10" t="inlineStr">
        <is>
          <t>1Q FY2026</t>
        </is>
      </c>
      <c r="U3" s="10" t="inlineStr">
        <is>
          <t>2Q FY2026</t>
        </is>
      </c>
      <c r="V3" s="10" t="inlineStr">
        <is>
          <t>3Q FY2026</t>
        </is>
      </c>
    </row>
    <row r="4">
      <c r="C4" s="12" t="inlineStr">
        <is>
          <t>2016-10-30</t>
        </is>
      </c>
      <c r="D4" s="12" t="inlineStr">
        <is>
          <t>2017-10-29</t>
        </is>
      </c>
      <c r="E4" s="12" t="inlineStr">
        <is>
          <t>2018-11-04</t>
        </is>
      </c>
      <c r="F4" s="12" t="inlineStr">
        <is>
          <t>2019-11-03</t>
        </is>
      </c>
      <c r="G4" s="12" t="inlineStr">
        <is>
          <t>2020-11-01</t>
        </is>
      </c>
      <c r="H4" s="12" t="inlineStr">
        <is>
          <t>2021-10-31</t>
        </is>
      </c>
      <c r="I4" s="12" t="inlineStr">
        <is>
          <t>2022-10-30</t>
        </is>
      </c>
      <c r="J4" s="12" t="inlineStr">
        <is>
          <t>2023-10-29</t>
        </is>
      </c>
      <c r="K4" s="12" t="inlineStr">
        <is>
          <t>2024-11-03</t>
        </is>
      </c>
      <c r="L4" s="12" t="inlineStr">
        <is>
          <t>2025-11-02</t>
        </is>
      </c>
      <c r="M4" s="13" t="n"/>
      <c r="N4" s="13" t="n"/>
      <c r="O4" s="12" t="inlineStr">
        <is>
          <t>2024-05-05</t>
        </is>
      </c>
      <c r="P4" s="12" t="inlineStr">
        <is>
          <t>2024-08-04</t>
        </is>
      </c>
      <c r="Q4" s="12" t="inlineStr">
        <is>
          <t>2025-02-02</t>
        </is>
      </c>
      <c r="R4" s="12" t="inlineStr">
        <is>
          <t>2025-05-04</t>
        </is>
      </c>
      <c r="S4" s="12" t="inlineStr">
        <is>
          <t>2025-08-03</t>
        </is>
      </c>
      <c r="T4" s="12" t="inlineStr">
        <is>
          <t>2026-02-01</t>
        </is>
      </c>
      <c r="U4" s="12" t="inlineStr">
        <is>
          <t>2026-05-03</t>
        </is>
      </c>
      <c r="V4" s="12" t="inlineStr">
        <is>
          <t>2026-08-02</t>
        </is>
      </c>
    </row>
    <row r="5">
      <c r="M5" s="13" t="n"/>
      <c r="N5" s="13" t="n"/>
    </row>
    <row r="6">
      <c r="A6" s="14" t="inlineStr">
        <is>
          <t>CONTENTS</t>
        </is>
      </c>
      <c r="M6" s="13" t="n"/>
      <c r="N6" s="13" t="n"/>
    </row>
    <row r="7">
      <c r="A7" s="15">
        <f>HYPERLINK("#'Income Statement'!A13","1. REVENUE")</f>
        <v/>
      </c>
      <c r="M7" s="13" t="n"/>
      <c r="N7" s="13" t="n"/>
    </row>
    <row r="8">
      <c r="A8" s="15">
        <f>HYPERLINK("#'Income Statement'!A20","2. COST OF REVENUE")</f>
        <v/>
      </c>
      <c r="M8" s="13" t="n"/>
      <c r="N8" s="13" t="n"/>
    </row>
    <row r="9">
      <c r="A9" s="15">
        <f>HYPERLINK("#'Income Statement'!A30","3. OPERATING EXPENSES")</f>
        <v/>
      </c>
      <c r="M9" s="13" t="n"/>
      <c r="N9" s="13" t="n"/>
    </row>
    <row r="10">
      <c r="A10" s="15">
        <f>HYPERLINK("#'Income Statement'!A41","4. NON-OPERATING ITEMS AND TAXES")</f>
        <v/>
      </c>
      <c r="M10" s="13" t="n"/>
      <c r="N10" s="13" t="n"/>
    </row>
    <row r="11">
      <c r="A11" s="15">
        <f>HYPERLINK("#'Income Statement'!A57","5. EPS &amp; SHARE COUNT")</f>
        <v/>
      </c>
      <c r="M11" s="13" t="n"/>
      <c r="N11" s="13" t="n"/>
    </row>
    <row r="12" ht="8" customHeight="1">
      <c r="M12" s="13" t="n"/>
      <c r="N12" s="13" t="n"/>
    </row>
    <row r="13" ht="20" customHeight="1">
      <c r="A13" s="5" t="inlineStr">
        <is>
          <t>1. REVENUE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13" t="n"/>
      <c r="N13" s="13" t="n"/>
      <c r="O13" s="2" t="n"/>
      <c r="P13" s="2" t="n"/>
      <c r="Q13" s="2" t="n"/>
      <c r="R13" s="2" t="n"/>
      <c r="S13" s="2" t="n"/>
      <c r="T13" s="2" t="n"/>
      <c r="U13" s="2" t="n"/>
      <c r="V13" s="2" t="n"/>
    </row>
    <row r="14">
      <c r="A14" s="14" t="inlineStr">
        <is>
          <t>Net revenue</t>
        </is>
      </c>
      <c r="C14" s="36" t="n">
        <v>13240</v>
      </c>
      <c r="D14" s="36" t="n">
        <v>17636</v>
      </c>
      <c r="E14" s="36" t="n">
        <v>20848</v>
      </c>
      <c r="F14" s="36" t="n">
        <v>22597</v>
      </c>
      <c r="G14" s="36" t="n">
        <v>23888</v>
      </c>
      <c r="H14" s="36" t="n">
        <v>27450</v>
      </c>
      <c r="I14" s="36" t="n">
        <v>33203</v>
      </c>
      <c r="J14" s="36" t="n">
        <v>35819</v>
      </c>
      <c r="K14" s="36" t="n">
        <v>51574</v>
      </c>
      <c r="L14" s="36" t="n">
        <v>63887</v>
      </c>
      <c r="M14" s="13" t="n"/>
      <c r="N14" s="13" t="n"/>
      <c r="O14" s="36" t="n">
        <v>12487</v>
      </c>
      <c r="P14" s="36" t="n">
        <v>13072</v>
      </c>
      <c r="Q14" s="36" t="n">
        <v>14916</v>
      </c>
      <c r="R14" s="36" t="n">
        <v>15004</v>
      </c>
      <c r="S14" s="36" t="n">
        <v>15952</v>
      </c>
      <c r="T14" s="36" t="n">
        <v>19311</v>
      </c>
      <c r="U14" s="36" t="n">
        <v>22187</v>
      </c>
      <c r="V14" s="36" t="n">
        <v>29591</v>
      </c>
    </row>
    <row r="15">
      <c r="A15" s="17" t="inlineStr">
        <is>
          <t xml:space="preserve">  YoY Growth</t>
        </is>
      </c>
      <c r="D15" s="37">
        <f>IF(N(C14)=0,"",D14/C14-1)</f>
        <v/>
      </c>
      <c r="E15" s="37">
        <f>IF(N(D14)=0,"",E14/D14-1)</f>
        <v/>
      </c>
      <c r="F15" s="37">
        <f>IF(N(E14)=0,"",F14/E14-1)</f>
        <v/>
      </c>
      <c r="G15" s="37">
        <f>IF(N(F14)=0,"",G14/F14-1)</f>
        <v/>
      </c>
      <c r="H15" s="37">
        <f>IF(N(G14)=0,"",H14/G14-1)</f>
        <v/>
      </c>
      <c r="I15" s="37">
        <f>IF(N(H14)=0,"",I14/H14-1)</f>
        <v/>
      </c>
      <c r="J15" s="37">
        <f>IF(N(I14)=0,"",J14/I14-1)</f>
        <v/>
      </c>
      <c r="K15" s="37">
        <f>IF(N(J14)=0,"",K14/J14-1)</f>
        <v/>
      </c>
      <c r="L15" s="37">
        <f>IF(N(K14)=0,"",L14/K14-1)</f>
        <v/>
      </c>
      <c r="M15" s="13" t="n"/>
      <c r="N15" s="13" t="n"/>
      <c r="S15" s="37">
        <f>IF(N(O14)=0,"",S14/O14-1)</f>
        <v/>
      </c>
      <c r="T15" s="37">
        <f>IF(N(P14)=0,"",T14/P14-1)</f>
        <v/>
      </c>
      <c r="U15" s="37">
        <f>IF(N(Q14)=0,"",U14/Q14-1)</f>
        <v/>
      </c>
      <c r="V15" s="37">
        <f>IF(N(R14)=0,"",V14/R14-1)</f>
        <v/>
      </c>
    </row>
    <row r="16" ht="14" customHeight="1">
      <c r="A16" s="35" t="inlineStr">
        <is>
          <t>Products revenue</t>
        </is>
      </c>
      <c r="B16" s="20" t="inlineStr">
        <is>
          <t>Products/Subscriptions split first disclosed in FY2019 10-K; not presented separately for FY2016-FY2018 in their own filings. SEPARATELY: starting with the FY2026 Q1 10-Q, Broadcom reclassified 'upfront license revenue' from Subscriptions/services into Products (applied retrospectively to that filing's own FY2025 Q1 comparative column only). The 1Q/2Q/3Q FY2025 quarterly columns in this model are each shown on that quarter's OWN as-originally-filed (pre-reclassification) basis, consistent with the own-quarter/no-restatement rule used throughout this workbook — they are therefore NOT directly comparable, line-for-line, to the FY2025 annual column (which uses the FY2025 10-K's post-reclassification presentation) or to the 1Q/2Q FY2026 columns (also post-reclassification). Total revenue is unaffected in all cases — only the Products/Subscriptions split shifts.</t>
        </is>
      </c>
      <c r="F16" s="38" t="n">
        <v>18117</v>
      </c>
      <c r="G16" s="38" t="n">
        <v>17435</v>
      </c>
      <c r="H16" s="38" t="n">
        <v>20886</v>
      </c>
      <c r="I16" s="38" t="n">
        <v>26277</v>
      </c>
      <c r="J16" s="38" t="n">
        <v>27891</v>
      </c>
      <c r="K16" s="38" t="n">
        <v>30359</v>
      </c>
      <c r="L16" s="38" t="n">
        <v>44847</v>
      </c>
      <c r="M16" s="13" t="n"/>
      <c r="N16" s="13" t="n"/>
      <c r="O16" s="38" t="n">
        <v>7192</v>
      </c>
      <c r="P16" s="38" t="n">
        <v>7439</v>
      </c>
      <c r="Q16" s="38" t="n">
        <v>8171</v>
      </c>
      <c r="R16" s="38" t="n">
        <v>8506</v>
      </c>
      <c r="S16" s="38" t="n">
        <v>9257</v>
      </c>
      <c r="T16" s="38" t="n">
        <v>14130</v>
      </c>
      <c r="U16" s="38" t="n">
        <v>16892</v>
      </c>
      <c r="V16" s="38" t="n">
        <v>24279</v>
      </c>
    </row>
    <row r="17">
      <c r="A17" s="19" t="inlineStr">
        <is>
          <t xml:space="preserve">  Subscriptions and services revenue</t>
        </is>
      </c>
      <c r="F17" s="38" t="n">
        <v>4480</v>
      </c>
      <c r="G17" s="38" t="n">
        <v>6453</v>
      </c>
      <c r="H17" s="38" t="n">
        <v>6564</v>
      </c>
      <c r="I17" s="38" t="n">
        <v>6926</v>
      </c>
      <c r="J17" s="38" t="n">
        <v>7928</v>
      </c>
      <c r="K17" s="38" t="n">
        <v>21215</v>
      </c>
      <c r="L17" s="38" t="n">
        <v>19040</v>
      </c>
      <c r="M17" s="13" t="n"/>
      <c r="N17" s="13" t="n"/>
      <c r="O17" s="38" t="n">
        <v>5295</v>
      </c>
      <c r="P17" s="38" t="n">
        <v>5633</v>
      </c>
      <c r="Q17" s="38" t="n">
        <v>6745</v>
      </c>
      <c r="R17" s="38" t="n">
        <v>6498</v>
      </c>
      <c r="S17" s="38" t="n">
        <v>6695</v>
      </c>
      <c r="T17" s="38" t="n">
        <v>5181</v>
      </c>
      <c r="U17" s="38" t="n">
        <v>5295</v>
      </c>
      <c r="V17" s="38" t="n">
        <v>5312</v>
      </c>
    </row>
    <row r="18">
      <c r="A18" s="17" t="inlineStr">
        <is>
          <t xml:space="preserve">  Split vs Total Revenue (should be ~0)</t>
        </is>
      </c>
      <c r="F18" s="39">
        <f>F16+F17-F14</f>
        <v/>
      </c>
      <c r="G18" s="39">
        <f>G16+G17-G14</f>
        <v/>
      </c>
      <c r="H18" s="39">
        <f>H16+H17-H14</f>
        <v/>
      </c>
      <c r="I18" s="39">
        <f>I16+I17-I14</f>
        <v/>
      </c>
      <c r="J18" s="39">
        <f>J16+J17-J14</f>
        <v/>
      </c>
      <c r="K18" s="39">
        <f>K16+K17-K14</f>
        <v/>
      </c>
      <c r="L18" s="39">
        <f>L16+L17-L14</f>
        <v/>
      </c>
      <c r="M18" s="13" t="n"/>
      <c r="N18" s="13" t="n"/>
      <c r="O18" s="39">
        <f>O16+O17-O14</f>
        <v/>
      </c>
      <c r="P18" s="39">
        <f>P16+P17-P14</f>
        <v/>
      </c>
      <c r="Q18" s="39">
        <f>Q16+Q17-Q14</f>
        <v/>
      </c>
      <c r="R18" s="39">
        <f>R16+R17-R14</f>
        <v/>
      </c>
      <c r="S18" s="39">
        <f>S16+S17-S14</f>
        <v/>
      </c>
      <c r="T18" s="39">
        <f>T16+T17-T14</f>
        <v/>
      </c>
      <c r="U18" s="39">
        <f>U16+U17-U14</f>
        <v/>
      </c>
      <c r="V18" s="39">
        <f>V16+V17-V14</f>
        <v/>
      </c>
    </row>
    <row r="19" ht="8" customHeight="1">
      <c r="M19" s="13" t="n"/>
      <c r="N19" s="13" t="n"/>
    </row>
    <row r="20" ht="20" customHeight="1">
      <c r="A20" s="5" t="inlineStr">
        <is>
          <t>2. COST OF REVENUE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13" t="n"/>
      <c r="N20" s="13" t="n"/>
      <c r="O20" s="2" t="n"/>
      <c r="P20" s="2" t="n"/>
      <c r="Q20" s="2" t="n"/>
      <c r="R20" s="2" t="n"/>
      <c r="S20" s="2" t="n"/>
      <c r="T20" s="2" t="n"/>
      <c r="U20" s="2" t="n"/>
      <c r="V20" s="2" t="n"/>
    </row>
    <row r="21">
      <c r="A21" s="6" t="inlineStr">
        <is>
          <t>Cost of products sold</t>
        </is>
      </c>
      <c r="C21" s="38" t="n">
        <v>5295</v>
      </c>
      <c r="D21" s="38" t="n">
        <v>6593</v>
      </c>
      <c r="E21" s="38" t="n">
        <v>7021</v>
      </c>
      <c r="F21" s="38" t="n">
        <v>6208</v>
      </c>
      <c r="G21" s="38" t="n">
        <v>5892</v>
      </c>
      <c r="H21" s="38" t="n">
        <v>6555</v>
      </c>
      <c r="I21" s="38" t="n">
        <v>7629</v>
      </c>
      <c r="J21" s="38" t="n">
        <v>8636</v>
      </c>
      <c r="K21" s="38" t="n">
        <v>9797</v>
      </c>
      <c r="L21" s="38" t="n">
        <v>12115</v>
      </c>
      <c r="M21" s="13" t="n"/>
      <c r="N21" s="13" t="n"/>
      <c r="O21" s="38" t="n">
        <v>2429</v>
      </c>
      <c r="P21" s="38" t="n">
        <v>2434</v>
      </c>
      <c r="Q21" s="38" t="n">
        <v>2693</v>
      </c>
      <c r="R21" s="38" t="n">
        <v>2720</v>
      </c>
      <c r="S21" s="38" t="n">
        <v>3096</v>
      </c>
      <c r="T21" s="38" t="n">
        <v>4041</v>
      </c>
      <c r="U21" s="38" t="n">
        <v>4665</v>
      </c>
      <c r="V21" s="38" t="n">
        <v>6983</v>
      </c>
    </row>
    <row r="22">
      <c r="A22" s="6" t="inlineStr">
        <is>
          <t>Cost of subscriptions and services</t>
        </is>
      </c>
      <c r="F22" s="38" t="n">
        <v>515</v>
      </c>
      <c r="G22" s="38" t="n">
        <v>626</v>
      </c>
      <c r="H22" s="38" t="n">
        <v>607</v>
      </c>
      <c r="I22" s="38" t="n">
        <v>627</v>
      </c>
      <c r="J22" s="38" t="n">
        <v>636</v>
      </c>
      <c r="K22" s="38" t="n">
        <v>2991</v>
      </c>
      <c r="L22" s="38" t="n">
        <v>2371</v>
      </c>
      <c r="M22" s="13" t="n"/>
      <c r="N22" s="13" t="n"/>
      <c r="O22" s="38" t="n">
        <v>713</v>
      </c>
      <c r="P22" s="38" t="n">
        <v>699</v>
      </c>
      <c r="Q22" s="38" t="n">
        <v>580</v>
      </c>
      <c r="R22" s="38" t="n">
        <v>576</v>
      </c>
      <c r="S22" s="38" t="n">
        <v>608</v>
      </c>
      <c r="T22" s="38" t="n">
        <v>638</v>
      </c>
      <c r="U22" s="38" t="n">
        <v>636</v>
      </c>
      <c r="V22" s="38" t="n">
        <v>641</v>
      </c>
    </row>
    <row r="23">
      <c r="A23" s="6" t="inlineStr">
        <is>
          <t>Purchase accounting effect on inventory</t>
        </is>
      </c>
      <c r="C23" s="38" t="n">
        <v>1185</v>
      </c>
      <c r="D23" s="38" t="n">
        <v>4</v>
      </c>
      <c r="E23" s="38" t="n">
        <v>70</v>
      </c>
      <c r="M23" s="13" t="n"/>
      <c r="N23" s="13" t="n"/>
    </row>
    <row r="24">
      <c r="A24" s="6" t="inlineStr">
        <is>
          <t>Amortization of acquisition-related intangible assets</t>
        </is>
      </c>
      <c r="C24" s="38" t="n">
        <v>763</v>
      </c>
      <c r="D24" s="38" t="n">
        <v>2511</v>
      </c>
      <c r="E24" s="38" t="n">
        <v>3004</v>
      </c>
      <c r="F24" s="38" t="n">
        <v>3314</v>
      </c>
      <c r="G24" s="38" t="n">
        <v>3819</v>
      </c>
      <c r="H24" s="38" t="n">
        <v>3427</v>
      </c>
      <c r="I24" s="38" t="n">
        <v>2847</v>
      </c>
      <c r="J24" s="38" t="n">
        <v>1853</v>
      </c>
      <c r="K24" s="38" t="n">
        <v>6023</v>
      </c>
      <c r="L24" s="38" t="n">
        <v>6031</v>
      </c>
      <c r="M24" s="13" t="n"/>
      <c r="N24" s="13" t="n"/>
      <c r="O24" s="38" t="n">
        <v>1516</v>
      </c>
      <c r="P24" s="38" t="n">
        <v>1525</v>
      </c>
      <c r="Q24" s="38" t="n">
        <v>1484</v>
      </c>
      <c r="R24" s="38" t="n">
        <v>1483</v>
      </c>
      <c r="S24" s="38" t="n">
        <v>1519</v>
      </c>
      <c r="T24" s="38" t="n">
        <v>1462</v>
      </c>
      <c r="U24" s="38" t="n">
        <v>1461</v>
      </c>
      <c r="V24" s="38" t="n">
        <v>1499</v>
      </c>
    </row>
    <row r="25">
      <c r="A25" s="6" t="inlineStr">
        <is>
          <t>Restructuring charges</t>
        </is>
      </c>
      <c r="C25" s="38" t="n">
        <v>57</v>
      </c>
      <c r="D25" s="38" t="n">
        <v>19</v>
      </c>
      <c r="E25" s="38" t="n">
        <v>20</v>
      </c>
      <c r="F25" s="38" t="n">
        <v>77</v>
      </c>
      <c r="G25" s="38" t="n">
        <v>35</v>
      </c>
      <c r="H25" s="38" t="n">
        <v>17</v>
      </c>
      <c r="I25" s="38" t="n">
        <v>5</v>
      </c>
      <c r="J25" s="38" t="n">
        <v>4</v>
      </c>
      <c r="K25" s="38" t="n">
        <v>254</v>
      </c>
      <c r="L25" s="38" t="n">
        <v>76</v>
      </c>
      <c r="M25" s="13" t="n"/>
      <c r="N25" s="13" t="n"/>
      <c r="O25" s="38" t="n">
        <v>53</v>
      </c>
      <c r="P25" s="38" t="n">
        <v>58</v>
      </c>
      <c r="Q25" s="38" t="n">
        <v>14</v>
      </c>
      <c r="R25" s="38" t="n">
        <v>28</v>
      </c>
      <c r="S25" s="38" t="n">
        <v>26</v>
      </c>
      <c r="T25" s="38" t="n">
        <v>13</v>
      </c>
      <c r="U25" s="38" t="n">
        <v>10</v>
      </c>
      <c r="V25" s="38" t="n">
        <v>12</v>
      </c>
    </row>
    <row r="26">
      <c r="A26" s="14" t="inlineStr">
        <is>
          <t>Total cost of revenue</t>
        </is>
      </c>
      <c r="C26" s="40">
        <f>C21+C22+C23+C24+C25</f>
        <v/>
      </c>
      <c r="D26" s="40">
        <f>D21+D22+D23+D24+D25</f>
        <v/>
      </c>
      <c r="E26" s="40">
        <f>E21+E22+E23+E24+E25</f>
        <v/>
      </c>
      <c r="F26" s="40">
        <f>F21+F22+F23+F24+F25</f>
        <v/>
      </c>
      <c r="G26" s="40">
        <f>G21+G22+G23+G24+G25</f>
        <v/>
      </c>
      <c r="H26" s="40">
        <f>H21+H22+H23+H24+H25</f>
        <v/>
      </c>
      <c r="I26" s="40">
        <f>I21+I22+I23+I24+I25</f>
        <v/>
      </c>
      <c r="J26" s="40">
        <f>J21+J22+J23+J24+J25</f>
        <v/>
      </c>
      <c r="K26" s="40">
        <f>K21+K22+K23+K24+K25</f>
        <v/>
      </c>
      <c r="L26" s="40">
        <f>L21+L22+L23+L24+L25</f>
        <v/>
      </c>
      <c r="M26" s="24" t="n"/>
      <c r="N26" s="24" t="n"/>
      <c r="O26" s="40">
        <f>O21+O22+O23+O24+O25</f>
        <v/>
      </c>
      <c r="P26" s="40">
        <f>P21+P22+P23+P24+P25</f>
        <v/>
      </c>
      <c r="Q26" s="40">
        <f>Q21+Q22+Q23+Q24+Q25</f>
        <v/>
      </c>
      <c r="R26" s="40">
        <f>R21+R22+R23+R24+R25</f>
        <v/>
      </c>
      <c r="S26" s="40">
        <f>S21+S22+S23+S24+S25</f>
        <v/>
      </c>
      <c r="T26" s="40">
        <f>T21+T22+T23+T24+T25</f>
        <v/>
      </c>
      <c r="U26" s="40">
        <f>U21+U22+U23+U24+U25</f>
        <v/>
      </c>
      <c r="V26" s="40">
        <f>V21+V22+V23+V24+V25</f>
        <v/>
      </c>
    </row>
    <row r="27">
      <c r="A27" s="14" t="inlineStr">
        <is>
          <t>Gross margin</t>
        </is>
      </c>
      <c r="C27" s="41">
        <f>C14-C26</f>
        <v/>
      </c>
      <c r="D27" s="41">
        <f>D14-D26</f>
        <v/>
      </c>
      <c r="E27" s="41">
        <f>E14-E26</f>
        <v/>
      </c>
      <c r="F27" s="41">
        <f>F14-F26</f>
        <v/>
      </c>
      <c r="G27" s="41">
        <f>G14-G26</f>
        <v/>
      </c>
      <c r="H27" s="41">
        <f>H14-H26</f>
        <v/>
      </c>
      <c r="I27" s="41">
        <f>I14-I26</f>
        <v/>
      </c>
      <c r="J27" s="41">
        <f>J14-J26</f>
        <v/>
      </c>
      <c r="K27" s="41">
        <f>K14-K26</f>
        <v/>
      </c>
      <c r="L27" s="41">
        <f>L14-L26</f>
        <v/>
      </c>
      <c r="M27" s="13" t="n"/>
      <c r="N27" s="13" t="n"/>
      <c r="O27" s="41">
        <f>O14-O26</f>
        <v/>
      </c>
      <c r="P27" s="41">
        <f>P14-P26</f>
        <v/>
      </c>
      <c r="Q27" s="41">
        <f>Q14-Q26</f>
        <v/>
      </c>
      <c r="R27" s="41">
        <f>R14-R26</f>
        <v/>
      </c>
      <c r="S27" s="41">
        <f>S14-S26</f>
        <v/>
      </c>
      <c r="T27" s="41">
        <f>T14-T26</f>
        <v/>
      </c>
      <c r="U27" s="41">
        <f>U14-U26</f>
        <v/>
      </c>
      <c r="V27" s="41">
        <f>V14-V26</f>
        <v/>
      </c>
    </row>
    <row r="28">
      <c r="A28" s="17" t="inlineStr">
        <is>
          <t xml:space="preserve">  Gross Margin %</t>
        </is>
      </c>
      <c r="C28" s="37">
        <f>C27/C14</f>
        <v/>
      </c>
      <c r="D28" s="37">
        <f>D27/D14</f>
        <v/>
      </c>
      <c r="E28" s="37">
        <f>E27/E14</f>
        <v/>
      </c>
      <c r="F28" s="37">
        <f>F27/F14</f>
        <v/>
      </c>
      <c r="G28" s="37">
        <f>G27/G14</f>
        <v/>
      </c>
      <c r="H28" s="37">
        <f>H27/H14</f>
        <v/>
      </c>
      <c r="I28" s="37">
        <f>I27/I14</f>
        <v/>
      </c>
      <c r="J28" s="37">
        <f>J27/J14</f>
        <v/>
      </c>
      <c r="K28" s="37">
        <f>K27/K14</f>
        <v/>
      </c>
      <c r="L28" s="37">
        <f>L27/L14</f>
        <v/>
      </c>
      <c r="M28" s="13" t="n"/>
      <c r="N28" s="13" t="n"/>
      <c r="O28" s="37">
        <f>O27/O14</f>
        <v/>
      </c>
      <c r="P28" s="37">
        <f>P27/P14</f>
        <v/>
      </c>
      <c r="Q28" s="37">
        <f>Q27/Q14</f>
        <v/>
      </c>
      <c r="R28" s="37">
        <f>R27/R14</f>
        <v/>
      </c>
      <c r="S28" s="37">
        <f>S27/S14</f>
        <v/>
      </c>
      <c r="T28" s="37">
        <f>T27/T14</f>
        <v/>
      </c>
      <c r="U28" s="37">
        <f>U27/U14</f>
        <v/>
      </c>
      <c r="V28" s="37">
        <f>V27/V14</f>
        <v/>
      </c>
    </row>
    <row r="29" ht="8" customHeight="1">
      <c r="M29" s="13" t="n"/>
      <c r="N29" s="13" t="n"/>
    </row>
    <row r="30" ht="20" customHeight="1">
      <c r="A30" s="5" t="inlineStr">
        <is>
          <t>3. OPERATING EXPENSES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13" t="n"/>
      <c r="N30" s="13" t="n"/>
      <c r="O30" s="2" t="n"/>
      <c r="P30" s="2" t="n"/>
      <c r="Q30" s="2" t="n"/>
      <c r="R30" s="2" t="n"/>
      <c r="S30" s="2" t="n"/>
      <c r="T30" s="2" t="n"/>
      <c r="U30" s="2" t="n"/>
      <c r="V30" s="2" t="n"/>
    </row>
    <row r="31">
      <c r="A31" s="6" t="inlineStr">
        <is>
          <t>Research and development</t>
        </is>
      </c>
      <c r="C31" s="38" t="n">
        <v>2674</v>
      </c>
      <c r="D31" s="38" t="n">
        <v>3292</v>
      </c>
      <c r="E31" s="38" t="n">
        <v>3768</v>
      </c>
      <c r="F31" s="38" t="n">
        <v>4696</v>
      </c>
      <c r="G31" s="38" t="n">
        <v>4968</v>
      </c>
      <c r="H31" s="38" t="n">
        <v>4854</v>
      </c>
      <c r="I31" s="38" t="n">
        <v>4919</v>
      </c>
      <c r="J31" s="38" t="n">
        <v>5253</v>
      </c>
      <c r="K31" s="38" t="n">
        <v>9310</v>
      </c>
      <c r="L31" s="38" t="n">
        <v>10977</v>
      </c>
      <c r="M31" s="13" t="n"/>
      <c r="N31" s="13" t="n"/>
      <c r="O31" s="38" t="n">
        <v>2415</v>
      </c>
      <c r="P31" s="38" t="n">
        <v>2353</v>
      </c>
      <c r="Q31" s="38" t="n">
        <v>2253</v>
      </c>
      <c r="R31" s="38" t="n">
        <v>2693</v>
      </c>
      <c r="S31" s="38" t="n">
        <v>3050</v>
      </c>
      <c r="T31" s="38" t="n">
        <v>2965</v>
      </c>
      <c r="U31" s="38" t="n">
        <v>2995</v>
      </c>
      <c r="V31" s="38" t="n">
        <v>2895</v>
      </c>
    </row>
    <row r="32">
      <c r="A32" s="6" t="inlineStr">
        <is>
          <t>Selling, general and administrative</t>
        </is>
      </c>
      <c r="C32" s="38" t="n">
        <v>806</v>
      </c>
      <c r="D32" s="38" t="n">
        <v>787</v>
      </c>
      <c r="E32" s="38" t="n">
        <v>1056</v>
      </c>
      <c r="F32" s="38" t="n">
        <v>1709</v>
      </c>
      <c r="G32" s="38" t="n">
        <v>1935</v>
      </c>
      <c r="H32" s="38" t="n">
        <v>1347</v>
      </c>
      <c r="I32" s="38" t="n">
        <v>1382</v>
      </c>
      <c r="J32" s="38" t="n">
        <v>1592</v>
      </c>
      <c r="K32" s="38" t="n">
        <v>4959</v>
      </c>
      <c r="L32" s="38" t="n">
        <v>4211</v>
      </c>
      <c r="M32" s="13" t="n"/>
      <c r="N32" s="13" t="n"/>
      <c r="O32" s="38" t="n">
        <v>1277</v>
      </c>
      <c r="P32" s="38" t="n">
        <v>1100</v>
      </c>
      <c r="Q32" s="38" t="n">
        <v>949</v>
      </c>
      <c r="R32" s="38" t="n">
        <v>1083</v>
      </c>
      <c r="S32" s="38" t="n">
        <v>1072</v>
      </c>
      <c r="T32" s="38" t="n">
        <v>1019</v>
      </c>
      <c r="U32" s="38" t="n">
        <v>1055</v>
      </c>
      <c r="V32" s="38" t="n">
        <v>996</v>
      </c>
    </row>
    <row r="33">
      <c r="A33" s="6" t="inlineStr">
        <is>
          <t>Amortization of acquisition-related intangible assets</t>
        </is>
      </c>
      <c r="C33" s="38" t="n">
        <v>1873</v>
      </c>
      <c r="D33" s="38" t="n">
        <v>1764</v>
      </c>
      <c r="E33" s="38" t="n">
        <v>541</v>
      </c>
      <c r="F33" s="38" t="n">
        <v>1898</v>
      </c>
      <c r="G33" s="38" t="n">
        <v>2401</v>
      </c>
      <c r="H33" s="38" t="n">
        <v>1976</v>
      </c>
      <c r="I33" s="38" t="n">
        <v>1512</v>
      </c>
      <c r="J33" s="38" t="n">
        <v>1394</v>
      </c>
      <c r="K33" s="38" t="n">
        <v>3244</v>
      </c>
      <c r="L33" s="38" t="n">
        <v>2031</v>
      </c>
      <c r="M33" s="13" t="n"/>
      <c r="N33" s="13" t="n"/>
      <c r="O33" s="38" t="n">
        <v>827</v>
      </c>
      <c r="P33" s="38" t="n">
        <v>812</v>
      </c>
      <c r="Q33" s="38" t="n">
        <v>511</v>
      </c>
      <c r="R33" s="38" t="n">
        <v>506</v>
      </c>
      <c r="S33" s="38" t="n">
        <v>507</v>
      </c>
      <c r="T33" s="38" t="n">
        <v>507</v>
      </c>
      <c r="U33" s="38" t="n">
        <v>506</v>
      </c>
      <c r="V33" s="38" t="n">
        <v>507</v>
      </c>
    </row>
    <row r="34">
      <c r="A34" s="6" t="inlineStr">
        <is>
          <t>Restructuring, impairment and other charges</t>
        </is>
      </c>
      <c r="C34" s="38" t="n">
        <v>996</v>
      </c>
      <c r="D34" s="38" t="n">
        <v>161</v>
      </c>
      <c r="E34" s="38" t="n">
        <v>219</v>
      </c>
      <c r="F34" s="38" t="n">
        <v>736</v>
      </c>
      <c r="G34" s="38" t="n">
        <v>198</v>
      </c>
      <c r="H34" s="38" t="n">
        <v>148</v>
      </c>
      <c r="I34" s="38" t="n">
        <v>57</v>
      </c>
      <c r="J34" s="38" t="n">
        <v>244</v>
      </c>
      <c r="K34" s="38" t="n">
        <v>1533</v>
      </c>
      <c r="L34" s="38" t="n">
        <v>591</v>
      </c>
      <c r="M34" s="13" t="n"/>
      <c r="N34" s="13" t="n"/>
      <c r="O34" s="38" t="n">
        <v>292</v>
      </c>
      <c r="P34" s="38" t="n">
        <v>303</v>
      </c>
      <c r="Q34" s="38" t="n">
        <v>172</v>
      </c>
      <c r="R34" s="38" t="n">
        <v>86</v>
      </c>
      <c r="S34" s="38" t="n">
        <v>187</v>
      </c>
      <c r="T34" s="38" t="n">
        <v>103</v>
      </c>
      <c r="U34" s="38" t="n">
        <v>71</v>
      </c>
      <c r="V34" s="38" t="n">
        <v>103</v>
      </c>
    </row>
    <row r="35">
      <c r="A35" s="6" t="inlineStr">
        <is>
          <t>Litigation settlements</t>
        </is>
      </c>
      <c r="D35" s="38" t="n">
        <v>122</v>
      </c>
      <c r="E35" s="38" t="n">
        <v>14</v>
      </c>
      <c r="M35" s="13" t="n"/>
      <c r="N35" s="13" t="n"/>
    </row>
    <row r="36">
      <c r="A36" s="14" t="inlineStr">
        <is>
          <t>Total operating expenses</t>
        </is>
      </c>
      <c r="C36" s="40">
        <f>C31+C32+C33+C34+C35</f>
        <v/>
      </c>
      <c r="D36" s="40">
        <f>D31+D32+D33+D34+D35</f>
        <v/>
      </c>
      <c r="E36" s="40">
        <f>E31+E32+E33+E34+E35</f>
        <v/>
      </c>
      <c r="F36" s="40">
        <f>F31+F32+F33+F34+F35</f>
        <v/>
      </c>
      <c r="G36" s="40">
        <f>G31+G32+G33+G34+G35</f>
        <v/>
      </c>
      <c r="H36" s="40">
        <f>H31+H32+H33+H34+H35</f>
        <v/>
      </c>
      <c r="I36" s="40">
        <f>I31+I32+I33+I34+I35</f>
        <v/>
      </c>
      <c r="J36" s="40">
        <f>J31+J32+J33+J34+J35</f>
        <v/>
      </c>
      <c r="K36" s="40">
        <f>K31+K32+K33+K34+K35</f>
        <v/>
      </c>
      <c r="L36" s="40">
        <f>L31+L32+L33+L34+L35</f>
        <v/>
      </c>
      <c r="M36" s="24" t="n"/>
      <c r="N36" s="24" t="n"/>
      <c r="O36" s="40">
        <f>O31+O32+O33+O34+O35</f>
        <v/>
      </c>
      <c r="P36" s="40">
        <f>P31+P32+P33+P34+P35</f>
        <v/>
      </c>
      <c r="Q36" s="40">
        <f>Q31+Q32+Q33+Q34+Q35</f>
        <v/>
      </c>
      <c r="R36" s="40">
        <f>R31+R32+R33+R34+R35</f>
        <v/>
      </c>
      <c r="S36" s="40">
        <f>S31+S32+S33+S34+S35</f>
        <v/>
      </c>
      <c r="T36" s="40">
        <f>T31+T32+T33+T34+T35</f>
        <v/>
      </c>
      <c r="U36" s="40">
        <f>U31+U32+U33+U34+U35</f>
        <v/>
      </c>
      <c r="V36" s="40">
        <f>V31+V32+V33+V34+V35</f>
        <v/>
      </c>
    </row>
    <row r="37">
      <c r="A37" s="14" t="inlineStr">
        <is>
          <t>Operating income (loss)</t>
        </is>
      </c>
      <c r="C37" s="41">
        <f>C27-C36</f>
        <v/>
      </c>
      <c r="D37" s="41">
        <f>D27-D36</f>
        <v/>
      </c>
      <c r="E37" s="41">
        <f>E27-E36</f>
        <v/>
      </c>
      <c r="F37" s="41">
        <f>F27-F36</f>
        <v/>
      </c>
      <c r="G37" s="41">
        <f>G27-G36</f>
        <v/>
      </c>
      <c r="H37" s="41">
        <f>H27-H36</f>
        <v/>
      </c>
      <c r="I37" s="41">
        <f>I27-I36</f>
        <v/>
      </c>
      <c r="J37" s="41">
        <f>J27-J36</f>
        <v/>
      </c>
      <c r="K37" s="41">
        <f>K27-K36</f>
        <v/>
      </c>
      <c r="L37" s="41">
        <f>L27-L36</f>
        <v/>
      </c>
      <c r="M37" s="13" t="n"/>
      <c r="N37" s="13" t="n"/>
      <c r="O37" s="41">
        <f>O27-O36</f>
        <v/>
      </c>
      <c r="P37" s="41">
        <f>P27-P36</f>
        <v/>
      </c>
      <c r="Q37" s="41">
        <f>Q27-Q36</f>
        <v/>
      </c>
      <c r="R37" s="41">
        <f>R27-R36</f>
        <v/>
      </c>
      <c r="S37" s="41">
        <f>S27-S36</f>
        <v/>
      </c>
      <c r="T37" s="41">
        <f>T27-T36</f>
        <v/>
      </c>
      <c r="U37" s="41">
        <f>U27-U36</f>
        <v/>
      </c>
      <c r="V37" s="41">
        <f>V27-V36</f>
        <v/>
      </c>
    </row>
    <row r="38">
      <c r="A38" s="17" t="inlineStr">
        <is>
          <t xml:space="preserve">  Operating Margin %</t>
        </is>
      </c>
      <c r="C38" s="37">
        <f>C37/C14</f>
        <v/>
      </c>
      <c r="D38" s="37">
        <f>D37/D14</f>
        <v/>
      </c>
      <c r="E38" s="37">
        <f>E37/E14</f>
        <v/>
      </c>
      <c r="F38" s="37">
        <f>F37/F14</f>
        <v/>
      </c>
      <c r="G38" s="37">
        <f>G37/G14</f>
        <v/>
      </c>
      <c r="H38" s="37">
        <f>H37/H14</f>
        <v/>
      </c>
      <c r="I38" s="37">
        <f>I37/I14</f>
        <v/>
      </c>
      <c r="J38" s="37">
        <f>J37/J14</f>
        <v/>
      </c>
      <c r="K38" s="37">
        <f>K37/K14</f>
        <v/>
      </c>
      <c r="L38" s="37">
        <f>L37/L14</f>
        <v/>
      </c>
      <c r="M38" s="13" t="n"/>
      <c r="N38" s="13" t="n"/>
      <c r="O38" s="37">
        <f>O37/O14</f>
        <v/>
      </c>
      <c r="P38" s="37">
        <f>P37/P14</f>
        <v/>
      </c>
      <c r="Q38" s="37">
        <f>Q37/Q14</f>
        <v/>
      </c>
      <c r="R38" s="37">
        <f>R37/R14</f>
        <v/>
      </c>
      <c r="S38" s="37">
        <f>S37/S14</f>
        <v/>
      </c>
      <c r="T38" s="37">
        <f>T37/T14</f>
        <v/>
      </c>
      <c r="U38" s="37">
        <f>U37/U14</f>
        <v/>
      </c>
      <c r="V38" s="37">
        <f>V37/V14</f>
        <v/>
      </c>
    </row>
    <row r="39">
      <c r="A39" s="17" t="inlineStr">
        <is>
          <t xml:space="preserve">  YoY Growth</t>
        </is>
      </c>
      <c r="D39" s="37">
        <f>IF(N(C37)=0,"",D37/C37-1)</f>
        <v/>
      </c>
      <c r="E39" s="37">
        <f>IF(N(D37)=0,"",E37/D37-1)</f>
        <v/>
      </c>
      <c r="F39" s="37">
        <f>IF(N(E37)=0,"",F37/E37-1)</f>
        <v/>
      </c>
      <c r="G39" s="37">
        <f>IF(N(F37)=0,"",G37/F37-1)</f>
        <v/>
      </c>
      <c r="H39" s="37">
        <f>IF(N(G37)=0,"",H37/G37-1)</f>
        <v/>
      </c>
      <c r="I39" s="37">
        <f>IF(N(H37)=0,"",I37/H37-1)</f>
        <v/>
      </c>
      <c r="J39" s="37">
        <f>IF(N(I37)=0,"",J37/I37-1)</f>
        <v/>
      </c>
      <c r="K39" s="37">
        <f>IF(N(J37)=0,"",K37/J37-1)</f>
        <v/>
      </c>
      <c r="L39" s="37">
        <f>IF(N(K37)=0,"",L37/K37-1)</f>
        <v/>
      </c>
      <c r="M39" s="13" t="n"/>
      <c r="N39" s="13" t="n"/>
      <c r="S39" s="37">
        <f>IF(N(O37)=0,"",S37/O37-1)</f>
        <v/>
      </c>
      <c r="T39" s="37">
        <f>IF(N(P37)=0,"",T37/P37-1)</f>
        <v/>
      </c>
      <c r="U39" s="37">
        <f>IF(N(Q37)=0,"",U37/Q37-1)</f>
        <v/>
      </c>
      <c r="V39" s="37">
        <f>IF(N(R37)=0,"",V37/R37-1)</f>
        <v/>
      </c>
    </row>
    <row r="40" ht="8" customHeight="1">
      <c r="M40" s="13" t="n"/>
      <c r="N40" s="13" t="n"/>
    </row>
    <row r="41" ht="20" customHeight="1">
      <c r="A41" s="5" t="inlineStr">
        <is>
          <t>4. NON-OPERATING ITEMS AND TAXES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13" t="n"/>
      <c r="N41" s="13" t="n"/>
      <c r="O41" s="2" t="n"/>
      <c r="P41" s="2" t="n"/>
      <c r="Q41" s="2" t="n"/>
      <c r="R41" s="2" t="n"/>
      <c r="S41" s="2" t="n"/>
      <c r="T41" s="2" t="n"/>
      <c r="U41" s="2" t="n"/>
      <c r="V41" s="2" t="n"/>
    </row>
    <row r="42">
      <c r="A42" s="6" t="inlineStr">
        <is>
          <t>Interest expense</t>
        </is>
      </c>
      <c r="C42" s="38" t="n">
        <v>-585</v>
      </c>
      <c r="D42" s="38" t="n">
        <v>-454</v>
      </c>
      <c r="E42" s="38" t="n">
        <v>-628</v>
      </c>
      <c r="F42" s="38" t="n">
        <v>-1444</v>
      </c>
      <c r="G42" s="38" t="n">
        <v>-1777</v>
      </c>
      <c r="H42" s="38" t="n">
        <v>-1885</v>
      </c>
      <c r="I42" s="38" t="n">
        <v>-1737</v>
      </c>
      <c r="J42" s="38" t="n">
        <v>-1622</v>
      </c>
      <c r="K42" s="38" t="n">
        <v>-3953</v>
      </c>
      <c r="L42" s="38" t="n">
        <v>-3210</v>
      </c>
      <c r="M42" s="13" t="n"/>
      <c r="N42" s="13" t="n"/>
      <c r="O42" s="38" t="n">
        <v>-1047</v>
      </c>
      <c r="P42" s="38" t="n">
        <v>-1064</v>
      </c>
      <c r="Q42" s="38" t="n">
        <v>-873</v>
      </c>
      <c r="R42" s="38" t="n">
        <v>-769</v>
      </c>
      <c r="S42" s="38" t="n">
        <v>-807</v>
      </c>
      <c r="T42" s="38" t="n">
        <v>-801</v>
      </c>
      <c r="U42" s="38" t="n">
        <v>-776</v>
      </c>
      <c r="V42" s="38" t="n">
        <v>-778</v>
      </c>
    </row>
    <row r="43" ht="14" customHeight="1">
      <c r="A43" s="6" t="inlineStr">
        <is>
          <t>Loss on extinguishment of debt</t>
        </is>
      </c>
      <c r="B43" s="20" t="inlineStr">
        <is>
          <t>Not broken out separately on the IS face after FY2017; folded into Other income (expense), net in later years (see CF addback for later years' non-cash portion).</t>
        </is>
      </c>
      <c r="C43" s="38" t="n">
        <v>-123</v>
      </c>
      <c r="D43" s="38" t="n">
        <v>-166</v>
      </c>
      <c r="M43" s="13" t="n"/>
      <c r="N43" s="13" t="n"/>
    </row>
    <row r="44">
      <c r="A44" s="6" t="inlineStr">
        <is>
          <t>Impairment on investment</t>
        </is>
      </c>
      <c r="E44" s="38" t="n">
        <v>-106</v>
      </c>
      <c r="M44" s="13" t="n"/>
      <c r="N44" s="13" t="n"/>
    </row>
    <row r="45">
      <c r="A45" s="6" t="inlineStr">
        <is>
          <t>Other income (expense), net</t>
        </is>
      </c>
      <c r="C45" s="38" t="n">
        <v>10</v>
      </c>
      <c r="D45" s="38" t="n">
        <v>62</v>
      </c>
      <c r="E45" s="38" t="n">
        <v>144</v>
      </c>
      <c r="F45" s="38" t="n">
        <v>226</v>
      </c>
      <c r="G45" s="38" t="n">
        <v>206</v>
      </c>
      <c r="H45" s="38" t="n">
        <v>131</v>
      </c>
      <c r="I45" s="38" t="n">
        <v>-54</v>
      </c>
      <c r="J45" s="38" t="n">
        <v>512</v>
      </c>
      <c r="K45" s="38" t="n">
        <v>406</v>
      </c>
      <c r="L45" s="38" t="n">
        <v>455</v>
      </c>
      <c r="M45" s="13" t="n"/>
      <c r="N45" s="13" t="n"/>
      <c r="O45" s="38" t="n">
        <v>87</v>
      </c>
      <c r="P45" s="38" t="n">
        <v>82</v>
      </c>
      <c r="Q45" s="38" t="n">
        <v>103</v>
      </c>
      <c r="R45" s="38" t="n">
        <v>25</v>
      </c>
      <c r="S45" s="38" t="n">
        <v>205</v>
      </c>
      <c r="T45" s="38" t="n">
        <v>433</v>
      </c>
      <c r="U45" s="38" t="n">
        <v>118</v>
      </c>
      <c r="V45" s="38" t="n">
        <v>98</v>
      </c>
    </row>
    <row r="46">
      <c r="A46" s="14" t="inlineStr">
        <is>
          <t>Income from continuing operations before income taxes</t>
        </is>
      </c>
      <c r="C46" s="41">
        <f>C37+C42+C43+C44+C45</f>
        <v/>
      </c>
      <c r="D46" s="41">
        <f>D37+D42+D43+D44+D45</f>
        <v/>
      </c>
      <c r="E46" s="41">
        <f>E37+E42+E43+E44+E45</f>
        <v/>
      </c>
      <c r="F46" s="41">
        <f>F37+F42+F43+F44+F45</f>
        <v/>
      </c>
      <c r="G46" s="41">
        <f>G37+G42+G43+G44+G45</f>
        <v/>
      </c>
      <c r="H46" s="41">
        <f>H37+H42+H43+H44+H45</f>
        <v/>
      </c>
      <c r="I46" s="41">
        <f>I37+I42+I43+I44+I45</f>
        <v/>
      </c>
      <c r="J46" s="41">
        <f>J37+J42+J43+J44+J45</f>
        <v/>
      </c>
      <c r="K46" s="41">
        <f>K37+K42+K43+K44+K45</f>
        <v/>
      </c>
      <c r="L46" s="41">
        <f>L37+L42+L43+L44+L45</f>
        <v/>
      </c>
      <c r="M46" s="13" t="n"/>
      <c r="N46" s="13" t="n"/>
      <c r="O46" s="41">
        <f>O37+O42+O43+O44+O45</f>
        <v/>
      </c>
      <c r="P46" s="41">
        <f>P37+P42+P43+P44+P45</f>
        <v/>
      </c>
      <c r="Q46" s="41">
        <f>Q37+Q42+Q43+Q44+Q45</f>
        <v/>
      </c>
      <c r="R46" s="41">
        <f>R37+R42+R43+R44+R45</f>
        <v/>
      </c>
      <c r="S46" s="41">
        <f>S37+S42+S43+S44+S45</f>
        <v/>
      </c>
      <c r="T46" s="41">
        <f>T37+T42+T43+T44+T45</f>
        <v/>
      </c>
      <c r="U46" s="41">
        <f>U37+U42+U43+U44+U45</f>
        <v/>
      </c>
      <c r="V46" s="41">
        <f>V37+V42+V43+V44+V45</f>
        <v/>
      </c>
    </row>
    <row r="47">
      <c r="A47" s="6" t="inlineStr">
        <is>
          <t>Provision for (benefit from) income taxes</t>
        </is>
      </c>
      <c r="C47" s="38" t="n">
        <v>642</v>
      </c>
      <c r="D47" s="38" t="n">
        <v>35</v>
      </c>
      <c r="E47" s="38" t="n">
        <v>-8084</v>
      </c>
      <c r="F47" s="38" t="n">
        <v>-510</v>
      </c>
      <c r="G47" s="38" t="n">
        <v>-518</v>
      </c>
      <c r="H47" s="38" t="n">
        <v>29</v>
      </c>
      <c r="I47" s="38" t="n">
        <v>939</v>
      </c>
      <c r="J47" s="38" t="n">
        <v>1015</v>
      </c>
      <c r="K47" s="38" t="n">
        <v>3748</v>
      </c>
      <c r="L47" s="38" t="n">
        <v>-397</v>
      </c>
      <c r="M47" s="13" t="n"/>
      <c r="N47" s="13" t="n"/>
      <c r="O47" s="38" t="n">
        <v>-116</v>
      </c>
      <c r="P47" s="38" t="n">
        <v>4238</v>
      </c>
      <c r="Q47" s="38" t="n">
        <v>-13</v>
      </c>
      <c r="R47" s="38" t="n">
        <v>120</v>
      </c>
      <c r="S47" s="38" t="n">
        <v>1145</v>
      </c>
      <c r="T47" s="38" t="n">
        <v>846</v>
      </c>
      <c r="U47" s="38" t="n">
        <v>820</v>
      </c>
      <c r="V47" s="38" t="n">
        <v>2187</v>
      </c>
    </row>
    <row r="48">
      <c r="A48" s="14" t="inlineStr">
        <is>
          <t>Income from continuing operations</t>
        </is>
      </c>
      <c r="C48" s="41">
        <f>C46-C47</f>
        <v/>
      </c>
      <c r="D48" s="41">
        <f>D46-D47</f>
        <v/>
      </c>
      <c r="E48" s="41">
        <f>E46-E47</f>
        <v/>
      </c>
      <c r="F48" s="41">
        <f>F46-F47</f>
        <v/>
      </c>
      <c r="G48" s="41">
        <f>G46-G47</f>
        <v/>
      </c>
      <c r="H48" s="41">
        <f>H46-H47</f>
        <v/>
      </c>
      <c r="I48" s="41">
        <f>I46-I47</f>
        <v/>
      </c>
      <c r="J48" s="41">
        <f>J46-J47</f>
        <v/>
      </c>
      <c r="K48" s="41">
        <f>K46-K47</f>
        <v/>
      </c>
      <c r="L48" s="41">
        <f>L46-L47</f>
        <v/>
      </c>
      <c r="M48" s="13" t="n"/>
      <c r="N48" s="13" t="n"/>
      <c r="O48" s="41">
        <f>O46-O47</f>
        <v/>
      </c>
      <c r="P48" s="41">
        <f>P46-P47</f>
        <v/>
      </c>
      <c r="Q48" s="41">
        <f>Q46-Q47</f>
        <v/>
      </c>
      <c r="R48" s="41">
        <f>R46-R47</f>
        <v/>
      </c>
      <c r="S48" s="41">
        <f>S46-S47</f>
        <v/>
      </c>
      <c r="T48" s="41">
        <f>T46-T47</f>
        <v/>
      </c>
      <c r="U48" s="41">
        <f>U46-U47</f>
        <v/>
      </c>
      <c r="V48" s="41">
        <f>V46-V47</f>
        <v/>
      </c>
    </row>
    <row r="49" ht="14" customHeight="1">
      <c r="A49" s="6" t="inlineStr">
        <is>
          <t>Loss from discontinued operations, net of income taxes</t>
        </is>
      </c>
      <c r="B49" s="20" t="inlineStr">
        <is>
          <t>FY2024: $(273)M — EUC business (part of VMware) sold to KKR for $3.5B, July 1, 2024. Not restated into other years since EUC was only acquired as part of VMware at the start of FY2024.</t>
        </is>
      </c>
      <c r="C49" s="38" t="n">
        <v>-112</v>
      </c>
      <c r="D49" s="38" t="n">
        <v>-6</v>
      </c>
      <c r="E49" s="38" t="n">
        <v>-19</v>
      </c>
      <c r="F49" s="38" t="n">
        <v>-12</v>
      </c>
      <c r="G49" s="38" t="n">
        <v>-1</v>
      </c>
      <c r="K49" s="38" t="n">
        <v>-273</v>
      </c>
      <c r="M49" s="13" t="n"/>
      <c r="N49" s="13" t="n"/>
      <c r="P49" s="38" t="n">
        <v>-443</v>
      </c>
    </row>
    <row r="50">
      <c r="A50" s="14" t="inlineStr">
        <is>
          <t>Net income (loss)</t>
        </is>
      </c>
      <c r="C50" s="41">
        <f>C48+C49</f>
        <v/>
      </c>
      <c r="D50" s="41">
        <f>D48+D49</f>
        <v/>
      </c>
      <c r="E50" s="41">
        <f>E48+E49</f>
        <v/>
      </c>
      <c r="F50" s="41">
        <f>F48+F49</f>
        <v/>
      </c>
      <c r="G50" s="41">
        <f>G48+G49</f>
        <v/>
      </c>
      <c r="H50" s="41">
        <f>H48+H49</f>
        <v/>
      </c>
      <c r="I50" s="41">
        <f>I48+I49</f>
        <v/>
      </c>
      <c r="J50" s="41">
        <f>J48+J49</f>
        <v/>
      </c>
      <c r="K50" s="41">
        <f>K48+K49</f>
        <v/>
      </c>
      <c r="L50" s="41">
        <f>L48+L49</f>
        <v/>
      </c>
      <c r="M50" s="13" t="n"/>
      <c r="N50" s="13" t="n"/>
      <c r="O50" s="41">
        <f>O48+O49</f>
        <v/>
      </c>
      <c r="P50" s="41">
        <f>P48+P49</f>
        <v/>
      </c>
      <c r="Q50" s="41">
        <f>Q48+Q49</f>
        <v/>
      </c>
      <c r="R50" s="41">
        <f>R48+R49</f>
        <v/>
      </c>
      <c r="S50" s="41">
        <f>S48+S49</f>
        <v/>
      </c>
      <c r="T50" s="41">
        <f>T48+T49</f>
        <v/>
      </c>
      <c r="U50" s="41">
        <f>U48+U49</f>
        <v/>
      </c>
      <c r="V50" s="41">
        <f>V48+V49</f>
        <v/>
      </c>
    </row>
    <row r="51">
      <c r="A51" s="17" t="inlineStr">
        <is>
          <t xml:space="preserve">  Net Margin %</t>
        </is>
      </c>
      <c r="C51" s="37">
        <f>C50/C14</f>
        <v/>
      </c>
      <c r="D51" s="37">
        <f>D50/D14</f>
        <v/>
      </c>
      <c r="E51" s="37">
        <f>E50/E14</f>
        <v/>
      </c>
      <c r="F51" s="37">
        <f>F50/F14</f>
        <v/>
      </c>
      <c r="G51" s="37">
        <f>G50/G14</f>
        <v/>
      </c>
      <c r="H51" s="37">
        <f>H50/H14</f>
        <v/>
      </c>
      <c r="I51" s="37">
        <f>I50/I14</f>
        <v/>
      </c>
      <c r="J51" s="37">
        <f>J50/J14</f>
        <v/>
      </c>
      <c r="K51" s="37">
        <f>K50/K14</f>
        <v/>
      </c>
      <c r="L51" s="37">
        <f>L50/L14</f>
        <v/>
      </c>
      <c r="M51" s="13" t="n"/>
      <c r="N51" s="13" t="n"/>
      <c r="O51" s="37">
        <f>O50/O14</f>
        <v/>
      </c>
      <c r="P51" s="37">
        <f>P50/P14</f>
        <v/>
      </c>
      <c r="Q51" s="37">
        <f>Q50/Q14</f>
        <v/>
      </c>
      <c r="R51" s="37">
        <f>R50/R14</f>
        <v/>
      </c>
      <c r="S51" s="37">
        <f>S50/S14</f>
        <v/>
      </c>
      <c r="T51" s="37">
        <f>T50/T14</f>
        <v/>
      </c>
      <c r="U51" s="37">
        <f>U50/U14</f>
        <v/>
      </c>
      <c r="V51" s="37">
        <f>V50/V14</f>
        <v/>
      </c>
    </row>
    <row r="52">
      <c r="A52" s="17" t="inlineStr">
        <is>
          <t xml:space="preserve">  YoY Growth</t>
        </is>
      </c>
      <c r="D52" s="37">
        <f>IF(N(C50)=0,"",D50/C50-1)</f>
        <v/>
      </c>
      <c r="E52" s="37">
        <f>IF(N(D50)=0,"",E50/D50-1)</f>
        <v/>
      </c>
      <c r="F52" s="37">
        <f>IF(N(E50)=0,"",F50/E50-1)</f>
        <v/>
      </c>
      <c r="G52" s="37">
        <f>IF(N(F50)=0,"",G50/F50-1)</f>
        <v/>
      </c>
      <c r="H52" s="37">
        <f>IF(N(G50)=0,"",H50/G50-1)</f>
        <v/>
      </c>
      <c r="I52" s="37">
        <f>IF(N(H50)=0,"",I50/H50-1)</f>
        <v/>
      </c>
      <c r="J52" s="37">
        <f>IF(N(I50)=0,"",J50/I50-1)</f>
        <v/>
      </c>
      <c r="K52" s="37">
        <f>IF(N(J50)=0,"",K50/J50-1)</f>
        <v/>
      </c>
      <c r="L52" s="37">
        <f>IF(N(K50)=0,"",L50/K50-1)</f>
        <v/>
      </c>
      <c r="M52" s="13" t="n"/>
      <c r="N52" s="13" t="n"/>
      <c r="S52" s="37">
        <f>IF(N(O50)=0,"",S50/O50-1)</f>
        <v/>
      </c>
      <c r="T52" s="37">
        <f>IF(N(P50)=0,"",T50/P50-1)</f>
        <v/>
      </c>
      <c r="U52" s="37">
        <f>IF(N(Q50)=0,"",U50/Q50-1)</f>
        <v/>
      </c>
      <c r="V52" s="37">
        <f>IF(N(R50)=0,"",V50/R50-1)</f>
        <v/>
      </c>
    </row>
    <row r="53" ht="14" customHeight="1">
      <c r="A53" s="6" t="inlineStr">
        <is>
          <t>Less: Net (income) loss attributable to noncontrolling interest</t>
        </is>
      </c>
      <c r="B53" s="20" t="inlineStr">
        <is>
          <t>NCI relates to exchangeable LP units outstanding prior to the April 2018 redomiciliation; eliminated from FY2018 onward.</t>
        </is>
      </c>
      <c r="C53" s="38" t="n">
        <v>-122</v>
      </c>
      <c r="D53" s="38" t="n">
        <v>92</v>
      </c>
      <c r="E53" s="38" t="n">
        <v>351</v>
      </c>
      <c r="M53" s="13" t="n"/>
      <c r="N53" s="13" t="n"/>
    </row>
    <row r="54" ht="24" customHeight="1">
      <c r="A54" s="6" t="inlineStr">
        <is>
          <t>Less: Dividends on preferred stock</t>
        </is>
      </c>
      <c r="B54" s="20" t="inlineStr">
        <is>
          <t>8.00% Mandatory Convertible Preferred Stock, Series A, issued FY2019, fully converted during FY2022.</t>
        </is>
      </c>
      <c r="F54" s="38" t="n">
        <v>29</v>
      </c>
      <c r="G54" s="38" t="n">
        <v>297</v>
      </c>
      <c r="H54" s="38" t="n">
        <v>299</v>
      </c>
      <c r="I54" s="38" t="n">
        <v>272</v>
      </c>
      <c r="M54" s="13" t="n"/>
      <c r="N54" s="13" t="n"/>
    </row>
    <row r="55">
      <c r="A55" s="14" t="inlineStr">
        <is>
          <t>Net income (loss) attributable to common stock</t>
        </is>
      </c>
      <c r="C55" s="41">
        <f>C50-C53-C54</f>
        <v/>
      </c>
      <c r="D55" s="41">
        <f>D50-D53-D54</f>
        <v/>
      </c>
      <c r="E55" s="41">
        <f>E50-E53-E54</f>
        <v/>
      </c>
      <c r="F55" s="41">
        <f>F50-F53-F54</f>
        <v/>
      </c>
      <c r="G55" s="41">
        <f>G50-G53-G54</f>
        <v/>
      </c>
      <c r="H55" s="41">
        <f>H50-H53-H54</f>
        <v/>
      </c>
      <c r="I55" s="41">
        <f>I50-I53-I54</f>
        <v/>
      </c>
      <c r="J55" s="41">
        <f>J50-J53-J54</f>
        <v/>
      </c>
      <c r="K55" s="41">
        <f>K50-K53-K54</f>
        <v/>
      </c>
      <c r="L55" s="41">
        <f>L50-L53-L54</f>
        <v/>
      </c>
      <c r="M55" s="13" t="n"/>
      <c r="N55" s="13" t="n"/>
      <c r="O55" s="41">
        <f>O50-O53-O54</f>
        <v/>
      </c>
      <c r="P55" s="41">
        <f>P50-P53-P54</f>
        <v/>
      </c>
      <c r="Q55" s="41">
        <f>Q50-Q53-Q54</f>
        <v/>
      </c>
      <c r="R55" s="41">
        <f>R50-R53-R54</f>
        <v/>
      </c>
      <c r="S55" s="41">
        <f>S50-S53-S54</f>
        <v/>
      </c>
      <c r="T55" s="41">
        <f>T50-T53-T54</f>
        <v/>
      </c>
      <c r="U55" s="41">
        <f>U50-U53-U54</f>
        <v/>
      </c>
      <c r="V55" s="41">
        <f>V50-V53-V54</f>
        <v/>
      </c>
    </row>
    <row r="56" ht="8" customHeight="1">
      <c r="M56" s="13" t="n"/>
      <c r="N56" s="13" t="n"/>
    </row>
    <row r="57" ht="20" customHeight="1">
      <c r="A57" s="5" t="inlineStr">
        <is>
          <t>5. EPS &amp; SHARE COUNT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13" t="n"/>
      <c r="N57" s="13" t="n"/>
      <c r="O57" s="2" t="n"/>
      <c r="P57" s="2" t="n"/>
      <c r="Q57" s="2" t="n"/>
      <c r="R57" s="2" t="n"/>
      <c r="S57" s="2" t="n"/>
      <c r="T57" s="2" t="n"/>
      <c r="U57" s="2" t="n"/>
      <c r="V57" s="2" t="n"/>
    </row>
    <row r="58" ht="132" customHeight="1">
      <c r="A58" s="14" t="inlineStr">
        <is>
          <t>Basic EPS</t>
        </is>
      </c>
      <c r="B58" s="20" t="inlineStr">
        <is>
          <t>IS quarterly columns are single-quarter (3-month) figures, not YTD. 2Q FY2024: Broadcom's 10-Q for the quarter ended May 5, 2024 reports EPS/share counts on a PRE-split basis ($4.56 basic / $4.42 diluted; the 10-for-1 forward stock split completed July 12, 2024, after this quarter-end). For comparability with every other period in this model (all of which are post-split), this model uses the filing's own unaudited pro forma POST-split disclosure (Note 13: $0.46 basic / $0.44 diluted; WASO 4,650 / 4,800). 3Q FY2024 onward is already reported post-split on the face of the financial statements.</t>
        </is>
      </c>
      <c r="C58" s="42" t="n">
        <v>-4.75</v>
      </c>
      <c r="D58" s="42" t="n">
        <v>4.18</v>
      </c>
      <c r="E58" s="42" t="n">
        <v>29.33</v>
      </c>
      <c r="F58" s="42" t="n">
        <v>6.77</v>
      </c>
      <c r="G58" s="42" t="n">
        <v>6.62</v>
      </c>
      <c r="H58" s="42" t="n">
        <v>15.7</v>
      </c>
      <c r="I58" s="42" t="n">
        <v>27.44</v>
      </c>
      <c r="J58" s="42" t="n">
        <v>33.93</v>
      </c>
      <c r="K58" s="42" t="n">
        <v>1.27</v>
      </c>
      <c r="L58" s="42" t="n">
        <v>4.91</v>
      </c>
      <c r="M58" s="13" t="n"/>
      <c r="N58" s="13" t="n"/>
      <c r="O58" s="42" t="n">
        <v>0.46</v>
      </c>
      <c r="P58" s="42" t="n">
        <v>-0.4</v>
      </c>
      <c r="Q58" s="42" t="n">
        <v>1.17</v>
      </c>
      <c r="R58" s="42" t="n">
        <v>1.05</v>
      </c>
      <c r="S58" s="42" t="n">
        <v>0.88</v>
      </c>
      <c r="T58" s="42" t="n">
        <v>1.55</v>
      </c>
      <c r="U58" s="42" t="n">
        <v>1.96</v>
      </c>
      <c r="V58" s="42" t="n">
        <v>2.75</v>
      </c>
    </row>
    <row r="59">
      <c r="A59" s="14" t="inlineStr">
        <is>
          <t>Diluted EPS</t>
        </is>
      </c>
      <c r="C59" s="42" t="n">
        <v>-4.86</v>
      </c>
      <c r="D59" s="42" t="n">
        <v>4.02</v>
      </c>
      <c r="E59" s="42" t="n">
        <v>28.44</v>
      </c>
      <c r="F59" s="42" t="n">
        <v>6.43</v>
      </c>
      <c r="G59" s="42" t="n">
        <v>6.33</v>
      </c>
      <c r="H59" s="42" t="n">
        <v>15</v>
      </c>
      <c r="I59" s="42" t="n">
        <v>26.53</v>
      </c>
      <c r="J59" s="42" t="n">
        <v>32.98</v>
      </c>
      <c r="K59" s="42" t="n">
        <v>1.23</v>
      </c>
      <c r="L59" s="42" t="n">
        <v>4.77</v>
      </c>
      <c r="M59" s="13" t="n"/>
      <c r="N59" s="13" t="n"/>
      <c r="O59" s="42" t="n">
        <v>0.44</v>
      </c>
      <c r="P59" s="42" t="n">
        <v>-0.4</v>
      </c>
      <c r="Q59" s="42" t="n">
        <v>1.14</v>
      </c>
      <c r="R59" s="42" t="n">
        <v>1.03</v>
      </c>
      <c r="S59" s="42" t="n">
        <v>0.85</v>
      </c>
      <c r="T59" s="42" t="n">
        <v>1.5</v>
      </c>
      <c r="U59" s="42" t="n">
        <v>1.91</v>
      </c>
      <c r="V59" s="42" t="n">
        <v>2.68</v>
      </c>
    </row>
    <row r="60">
      <c r="A60" s="17" t="inlineStr">
        <is>
          <t xml:space="preserve">  YoY Growth (Diluted)</t>
        </is>
      </c>
      <c r="D60" s="37">
        <f>IF(N(C59)=0,"",D59/C59-1)</f>
        <v/>
      </c>
      <c r="E60" s="37">
        <f>IF(N(D59)=0,"",E59/D59-1)</f>
        <v/>
      </c>
      <c r="F60" s="37">
        <f>IF(N(E59)=0,"",F59/E59-1)</f>
        <v/>
      </c>
      <c r="G60" s="37">
        <f>IF(N(F59)=0,"",G59/F59-1)</f>
        <v/>
      </c>
      <c r="H60" s="37">
        <f>IF(N(G59)=0,"",H59/G59-1)</f>
        <v/>
      </c>
      <c r="I60" s="37">
        <f>IF(N(H59)=0,"",I59/H59-1)</f>
        <v/>
      </c>
      <c r="J60" s="37">
        <f>IF(N(I59)=0,"",J59/I59-1)</f>
        <v/>
      </c>
      <c r="K60" s="37">
        <f>IF(N(J59)=0,"",K59/J59-1)</f>
        <v/>
      </c>
      <c r="L60" s="37">
        <f>IF(N(K59)=0,"",L59/K59-1)</f>
        <v/>
      </c>
      <c r="M60" s="13" t="n"/>
      <c r="N60" s="13" t="n"/>
      <c r="S60" s="37">
        <f>IF(N(O59)=0,"",S59/O59-1)</f>
        <v/>
      </c>
      <c r="T60" s="37">
        <f>IF(N(P59)=0,"",T59/P59-1)</f>
        <v/>
      </c>
      <c r="U60" s="37">
        <f>IF(N(Q59)=0,"",U59/Q59-1)</f>
        <v/>
      </c>
      <c r="V60" s="37">
        <f>IF(N(R59)=0,"",V59/R59-1)</f>
        <v/>
      </c>
    </row>
    <row r="61">
      <c r="A61" s="6" t="inlineStr">
        <is>
          <t>Weighted avg shares — Basic</t>
        </is>
      </c>
      <c r="C61" s="38" t="n">
        <v>366</v>
      </c>
      <c r="D61" s="38" t="n">
        <v>405</v>
      </c>
      <c r="E61" s="38" t="n">
        <v>418</v>
      </c>
      <c r="F61" s="38" t="n">
        <v>398</v>
      </c>
      <c r="G61" s="38" t="n">
        <v>402</v>
      </c>
      <c r="H61" s="38" t="n">
        <v>410</v>
      </c>
      <c r="I61" s="38" t="n">
        <v>409</v>
      </c>
      <c r="J61" s="38" t="n">
        <v>415</v>
      </c>
      <c r="K61" s="38" t="n">
        <v>4624</v>
      </c>
      <c r="L61" s="38" t="n">
        <v>4712</v>
      </c>
      <c r="M61" s="13" t="n"/>
      <c r="N61" s="13" t="n"/>
      <c r="O61" s="38" t="n">
        <v>4650</v>
      </c>
      <c r="P61" s="38" t="n">
        <v>4663</v>
      </c>
      <c r="Q61" s="38" t="n">
        <v>4695</v>
      </c>
      <c r="R61" s="38" t="n">
        <v>4707</v>
      </c>
      <c r="S61" s="38" t="n">
        <v>4714</v>
      </c>
      <c r="T61" s="38" t="n">
        <v>4741</v>
      </c>
      <c r="U61" s="38" t="n">
        <v>4747</v>
      </c>
      <c r="V61" s="38" t="n">
        <v>4766</v>
      </c>
    </row>
    <row r="62">
      <c r="A62" s="6" t="inlineStr">
        <is>
          <t>Weighted avg shares — Diluted</t>
        </is>
      </c>
      <c r="C62" s="38" t="n">
        <v>383</v>
      </c>
      <c r="D62" s="38" t="n">
        <v>421</v>
      </c>
      <c r="E62" s="38" t="n">
        <v>431</v>
      </c>
      <c r="F62" s="38" t="n">
        <v>419</v>
      </c>
      <c r="G62" s="38" t="n">
        <v>421</v>
      </c>
      <c r="H62" s="38" t="n">
        <v>429</v>
      </c>
      <c r="I62" s="38" t="n">
        <v>423</v>
      </c>
      <c r="J62" s="38" t="n">
        <v>427</v>
      </c>
      <c r="K62" s="38" t="n">
        <v>4778</v>
      </c>
      <c r="L62" s="38" t="n">
        <v>4853</v>
      </c>
      <c r="M62" s="13" t="n"/>
      <c r="N62" s="13" t="n"/>
      <c r="O62" s="38" t="n">
        <v>4800</v>
      </c>
      <c r="P62" s="38" t="n">
        <v>4663</v>
      </c>
      <c r="Q62" s="38" t="n">
        <v>4836</v>
      </c>
      <c r="R62" s="38" t="n">
        <v>4826</v>
      </c>
      <c r="S62" s="38" t="n">
        <v>4860</v>
      </c>
      <c r="T62" s="38" t="n">
        <v>4888</v>
      </c>
      <c r="U62" s="38" t="n">
        <v>4876</v>
      </c>
      <c r="V62" s="38" t="n">
        <v>4887</v>
      </c>
    </row>
    <row r="63">
      <c r="M63" s="13" t="n"/>
      <c r="N63" s="13" t="n"/>
    </row>
    <row r="64">
      <c r="M64" s="13" t="n"/>
      <c r="N64" s="13" t="n"/>
    </row>
  </sheetData>
  <conditionalFormatting sqref="C18:V18">
    <cfRule type="cellIs" priority="1" operator="notBetween" dxfId="0">
      <formula>-0.5</formula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F4E79"/>
    <outlinePr summaryBelow="1" summaryRight="1"/>
    <pageSetUpPr/>
  </sheetPr>
  <dimension ref="A1:V56"/>
  <sheetViews>
    <sheetView showGridLines="0" zoomScale="85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4"/>
  <cols>
    <col width="46" customWidth="1" min="1" max="1"/>
    <col hidden="1" outlineLevel="1" width="34" customWidth="1" min="2" max="2"/>
    <col collapsed="1" width="12" customWidth="1" min="3" max="3"/>
    <col width="12" customWidth="1" min="4" max="12"/>
    <col width="9" customWidth="1" min="13" max="14"/>
    <col width="12" customWidth="1" min="15" max="22"/>
  </cols>
  <sheetData>
    <row r="1" ht="28" customHeight="1">
      <c r="A1" s="1" t="inlineStr">
        <is>
          <t>Broadcom Inc. — Balance 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6" customHeight="1">
      <c r="A2" s="3" t="inlineStr">
        <is>
          <t>$ in millions except per-share data  |  USD  |  as of 2026-09-22</t>
        </is>
      </c>
    </row>
    <row r="3">
      <c r="C3" s="10" t="inlineStr">
        <is>
          <t>FY2016</t>
        </is>
      </c>
      <c r="D3" s="10" t="inlineStr">
        <is>
          <t>FY2017</t>
        </is>
      </c>
      <c r="E3" s="10" t="inlineStr">
        <is>
          <t>FY2018</t>
        </is>
      </c>
      <c r="F3" s="10" t="inlineStr">
        <is>
          <t>FY2019</t>
        </is>
      </c>
      <c r="G3" s="10" t="inlineStr">
        <is>
          <t>FY2020</t>
        </is>
      </c>
      <c r="H3" s="10" t="inlineStr">
        <is>
          <t>FY2021</t>
        </is>
      </c>
      <c r="I3" s="10" t="inlineStr">
        <is>
          <t>FY2022</t>
        </is>
      </c>
      <c r="J3" s="10" t="inlineStr">
        <is>
          <t>FY2023</t>
        </is>
      </c>
      <c r="K3" s="10" t="inlineStr">
        <is>
          <t>FY2024</t>
        </is>
      </c>
      <c r="L3" s="10" t="inlineStr">
        <is>
          <t>FY2025</t>
        </is>
      </c>
      <c r="M3" s="11" t="inlineStr">
        <is>
          <t>·</t>
        </is>
      </c>
      <c r="N3" s="11" t="inlineStr">
        <is>
          <t>·</t>
        </is>
      </c>
      <c r="O3" s="10" t="inlineStr">
        <is>
          <t>2Q FY2024</t>
        </is>
      </c>
      <c r="P3" s="10" t="inlineStr">
        <is>
          <t>3Q FY2024</t>
        </is>
      </c>
      <c r="Q3" s="10" t="inlineStr">
        <is>
          <t>1Q FY2025</t>
        </is>
      </c>
      <c r="R3" s="10" t="inlineStr">
        <is>
          <t>2Q FY2025</t>
        </is>
      </c>
      <c r="S3" s="10" t="inlineStr">
        <is>
          <t>3Q FY2025</t>
        </is>
      </c>
      <c r="T3" s="10" t="inlineStr">
        <is>
          <t>1Q FY2026</t>
        </is>
      </c>
      <c r="U3" s="10" t="inlineStr">
        <is>
          <t>2Q FY2026</t>
        </is>
      </c>
      <c r="V3" s="10" t="inlineStr">
        <is>
          <t>3Q FY2026</t>
        </is>
      </c>
    </row>
    <row r="4">
      <c r="C4" s="12" t="inlineStr">
        <is>
          <t>2016-10-30</t>
        </is>
      </c>
      <c r="D4" s="12" t="inlineStr">
        <is>
          <t>2017-10-29</t>
        </is>
      </c>
      <c r="E4" s="12" t="inlineStr">
        <is>
          <t>2018-11-04</t>
        </is>
      </c>
      <c r="F4" s="12" t="inlineStr">
        <is>
          <t>2019-11-03</t>
        </is>
      </c>
      <c r="G4" s="12" t="inlineStr">
        <is>
          <t>2020-11-01</t>
        </is>
      </c>
      <c r="H4" s="12" t="inlineStr">
        <is>
          <t>2021-10-31</t>
        </is>
      </c>
      <c r="I4" s="12" t="inlineStr">
        <is>
          <t>2022-10-30</t>
        </is>
      </c>
      <c r="J4" s="12" t="inlineStr">
        <is>
          <t>2023-10-29</t>
        </is>
      </c>
      <c r="K4" s="12" t="inlineStr">
        <is>
          <t>2024-11-03</t>
        </is>
      </c>
      <c r="L4" s="12" t="inlineStr">
        <is>
          <t>2025-11-02</t>
        </is>
      </c>
      <c r="M4" s="13" t="n"/>
      <c r="N4" s="13" t="n"/>
      <c r="O4" s="12" t="inlineStr">
        <is>
          <t>2024-05-05</t>
        </is>
      </c>
      <c r="P4" s="12" t="inlineStr">
        <is>
          <t>2024-08-04</t>
        </is>
      </c>
      <c r="Q4" s="12" t="inlineStr">
        <is>
          <t>2025-02-02</t>
        </is>
      </c>
      <c r="R4" s="12" t="inlineStr">
        <is>
          <t>2025-05-04</t>
        </is>
      </c>
      <c r="S4" s="12" t="inlineStr">
        <is>
          <t>2025-08-03</t>
        </is>
      </c>
      <c r="T4" s="12" t="inlineStr">
        <is>
          <t>2026-02-01</t>
        </is>
      </c>
      <c r="U4" s="12" t="inlineStr">
        <is>
          <t>2026-05-03</t>
        </is>
      </c>
      <c r="V4" s="12" t="inlineStr">
        <is>
          <t>2026-08-02</t>
        </is>
      </c>
    </row>
    <row r="5">
      <c r="M5" s="13" t="n"/>
      <c r="N5" s="13" t="n"/>
    </row>
    <row r="6">
      <c r="A6" s="14" t="inlineStr">
        <is>
          <t>CONTENTS</t>
        </is>
      </c>
      <c r="M6" s="13" t="n"/>
      <c r="N6" s="13" t="n"/>
    </row>
    <row r="7">
      <c r="A7" s="15">
        <f>HYPERLINK("#'Balance Sheet'!A14","1. CURRENT ASSETS")</f>
        <v/>
      </c>
      <c r="M7" s="13" t="n"/>
      <c r="N7" s="13" t="n"/>
    </row>
    <row r="8">
      <c r="A8" s="15">
        <f>HYPERLINK("#'Balance Sheet'!A21","2. LONG-TERM ASSETS")</f>
        <v/>
      </c>
      <c r="M8" s="13" t="n"/>
      <c r="N8" s="13" t="n"/>
    </row>
    <row r="9">
      <c r="A9" s="15">
        <f>HYPERLINK("#'Balance Sheet'!A28","3. CURRENT LIABILITIES")</f>
        <v/>
      </c>
      <c r="M9" s="13" t="n"/>
      <c r="N9" s="13" t="n"/>
    </row>
    <row r="10">
      <c r="A10" s="15">
        <f>HYPERLINK("#'Balance Sheet'!A35","4. LONG-TERM LIABILITIES")</f>
        <v/>
      </c>
      <c r="M10" s="13" t="n"/>
      <c r="N10" s="13" t="n"/>
    </row>
    <row r="11">
      <c r="A11" s="15">
        <f>HYPERLINK("#'Balance Sheet'!A41","5. MEZZANINE AND EQUITY")</f>
        <v/>
      </c>
      <c r="M11" s="13" t="n"/>
      <c r="N11" s="13" t="n"/>
    </row>
    <row r="12">
      <c r="A12" s="15">
        <f>HYPERLINK("#'Balance Sheet'!A51","6. WORKING CAPITAL ANALYTICS")</f>
        <v/>
      </c>
      <c r="M12" s="13" t="n"/>
      <c r="N12" s="13" t="n"/>
    </row>
    <row r="13" ht="8" customHeight="1">
      <c r="M13" s="13" t="n"/>
      <c r="N13" s="13" t="n"/>
    </row>
    <row r="14" ht="20" customHeight="1">
      <c r="A14" s="5" t="inlineStr">
        <is>
          <t>1. CURRENT ASSETS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13" t="n"/>
      <c r="N14" s="13" t="n"/>
      <c r="O14" s="2" t="n"/>
      <c r="P14" s="2" t="n"/>
      <c r="Q14" s="2" t="n"/>
      <c r="R14" s="2" t="n"/>
      <c r="S14" s="2" t="n"/>
      <c r="T14" s="2" t="n"/>
      <c r="U14" s="2" t="n"/>
      <c r="V14" s="2" t="n"/>
    </row>
    <row r="15">
      <c r="A15" s="6" t="inlineStr">
        <is>
          <t>Cash and cash equivalents</t>
        </is>
      </c>
      <c r="C15" s="38" t="n">
        <v>3097</v>
      </c>
      <c r="D15" s="38" t="n">
        <v>11204</v>
      </c>
      <c r="E15" s="38" t="n">
        <v>4292</v>
      </c>
      <c r="F15" s="38" t="n">
        <v>5055</v>
      </c>
      <c r="G15" s="38" t="n">
        <v>7618</v>
      </c>
      <c r="H15" s="38" t="n">
        <v>12163</v>
      </c>
      <c r="I15" s="38" t="n">
        <v>12416</v>
      </c>
      <c r="J15" s="38" t="n">
        <v>14189</v>
      </c>
      <c r="K15" s="38" t="n">
        <v>9348</v>
      </c>
      <c r="L15" s="38" t="n">
        <v>16178</v>
      </c>
      <c r="M15" s="13" t="n"/>
      <c r="N15" s="13" t="n"/>
      <c r="O15" s="38" t="n">
        <v>9809</v>
      </c>
      <c r="P15" s="38" t="n">
        <v>9952</v>
      </c>
      <c r="Q15" s="38" t="n">
        <v>9307</v>
      </c>
      <c r="R15" s="38" t="n">
        <v>9472</v>
      </c>
      <c r="S15" s="38" t="n">
        <v>10718</v>
      </c>
      <c r="T15" s="38" t="n">
        <v>14174</v>
      </c>
      <c r="U15" s="38" t="n">
        <v>19628</v>
      </c>
      <c r="V15" s="38" t="n">
        <v>23975</v>
      </c>
    </row>
    <row r="16">
      <c r="A16" s="6" t="inlineStr">
        <is>
          <t>Trade accounts receivable, net</t>
        </is>
      </c>
      <c r="C16" s="38" t="n">
        <v>2181</v>
      </c>
      <c r="D16" s="38" t="n">
        <v>2448</v>
      </c>
      <c r="E16" s="38" t="n">
        <v>3325</v>
      </c>
      <c r="F16" s="38" t="n">
        <v>3259</v>
      </c>
      <c r="G16" s="38" t="n">
        <v>2297</v>
      </c>
      <c r="H16" s="38" t="n">
        <v>2071</v>
      </c>
      <c r="I16" s="38" t="n">
        <v>2958</v>
      </c>
      <c r="J16" s="38" t="n">
        <v>3154</v>
      </c>
      <c r="K16" s="38" t="n">
        <v>4416</v>
      </c>
      <c r="L16" s="38" t="n">
        <v>7145</v>
      </c>
      <c r="M16" s="13" t="n"/>
      <c r="N16" s="13" t="n"/>
      <c r="O16" s="38" t="n">
        <v>5500</v>
      </c>
      <c r="P16" s="38" t="n">
        <v>4665</v>
      </c>
      <c r="Q16" s="38" t="n">
        <v>4955</v>
      </c>
      <c r="R16" s="38" t="n">
        <v>5563</v>
      </c>
      <c r="S16" s="38" t="n">
        <v>6494</v>
      </c>
      <c r="T16" s="38" t="n">
        <v>8460</v>
      </c>
      <c r="U16" s="38" t="n">
        <v>10830</v>
      </c>
      <c r="V16" s="38" t="n">
        <v>13707</v>
      </c>
    </row>
    <row r="17">
      <c r="A17" s="6" t="inlineStr">
        <is>
          <t>Inventory</t>
        </is>
      </c>
      <c r="C17" s="38" t="n">
        <v>1400</v>
      </c>
      <c r="D17" s="38" t="n">
        <v>1447</v>
      </c>
      <c r="E17" s="38" t="n">
        <v>1124</v>
      </c>
      <c r="F17" s="38" t="n">
        <v>874</v>
      </c>
      <c r="G17" s="38" t="n">
        <v>1003</v>
      </c>
      <c r="H17" s="38" t="n">
        <v>1297</v>
      </c>
      <c r="I17" s="38" t="n">
        <v>1925</v>
      </c>
      <c r="J17" s="38" t="n">
        <v>1898</v>
      </c>
      <c r="K17" s="38" t="n">
        <v>1760</v>
      </c>
      <c r="L17" s="38" t="n">
        <v>2270</v>
      </c>
      <c r="M17" s="13" t="n"/>
      <c r="N17" s="13" t="n"/>
      <c r="O17" s="38" t="n">
        <v>1842</v>
      </c>
      <c r="P17" s="38" t="n">
        <v>1894</v>
      </c>
      <c r="Q17" s="38" t="n">
        <v>1908</v>
      </c>
      <c r="R17" s="38" t="n">
        <v>2017</v>
      </c>
      <c r="S17" s="38" t="n">
        <v>2180</v>
      </c>
      <c r="T17" s="38" t="n">
        <v>2962</v>
      </c>
      <c r="U17" s="38" t="n">
        <v>4328</v>
      </c>
      <c r="V17" s="38" t="n">
        <v>4523</v>
      </c>
    </row>
    <row r="18">
      <c r="A18" s="6" t="inlineStr">
        <is>
          <t>Other current assets</t>
        </is>
      </c>
      <c r="C18" s="38" t="n">
        <v>447</v>
      </c>
      <c r="D18" s="38" t="n">
        <v>724</v>
      </c>
      <c r="E18" s="38" t="n">
        <v>366</v>
      </c>
      <c r="F18" s="38" t="n">
        <v>729</v>
      </c>
      <c r="G18" s="38" t="n">
        <v>977</v>
      </c>
      <c r="H18" s="38" t="n">
        <v>1055</v>
      </c>
      <c r="I18" s="38" t="n">
        <v>1205</v>
      </c>
      <c r="J18" s="38" t="n">
        <v>1606</v>
      </c>
      <c r="K18" s="38" t="n">
        <v>4071</v>
      </c>
      <c r="L18" s="38" t="n">
        <v>5980</v>
      </c>
      <c r="M18" s="13" t="n"/>
      <c r="N18" s="13" t="n"/>
      <c r="O18" s="38" t="n">
        <v>8151</v>
      </c>
      <c r="P18" s="38" t="n">
        <v>3436</v>
      </c>
      <c r="Q18" s="38" t="n">
        <v>4820</v>
      </c>
      <c r="R18" s="38" t="n">
        <v>5129</v>
      </c>
      <c r="S18" s="38" t="n">
        <v>5606</v>
      </c>
      <c r="T18" s="38" t="n">
        <v>6466</v>
      </c>
      <c r="U18" s="38" t="n">
        <v>7427</v>
      </c>
      <c r="V18" s="38" t="n">
        <v>9968</v>
      </c>
    </row>
    <row r="19">
      <c r="A19" s="14" t="inlineStr">
        <is>
          <t>Total current assets</t>
        </is>
      </c>
      <c r="C19" s="40">
        <f>C15+C16+C17+C18</f>
        <v/>
      </c>
      <c r="D19" s="40">
        <f>D15+D16+D17+D18</f>
        <v/>
      </c>
      <c r="E19" s="40">
        <f>E15+E16+E17+E18</f>
        <v/>
      </c>
      <c r="F19" s="40">
        <f>F15+F16+F17+F18</f>
        <v/>
      </c>
      <c r="G19" s="40">
        <f>G15+G16+G17+G18</f>
        <v/>
      </c>
      <c r="H19" s="40">
        <f>H15+H16+H17+H18</f>
        <v/>
      </c>
      <c r="I19" s="40">
        <f>I15+I16+I17+I18</f>
        <v/>
      </c>
      <c r="J19" s="40">
        <f>J15+J16+J17+J18</f>
        <v/>
      </c>
      <c r="K19" s="40">
        <f>K15+K16+K17+K18</f>
        <v/>
      </c>
      <c r="L19" s="40">
        <f>L15+L16+L17+L18</f>
        <v/>
      </c>
      <c r="M19" s="24" t="n"/>
      <c r="N19" s="24" t="n"/>
      <c r="O19" s="40">
        <f>O15+O16+O17+O18</f>
        <v/>
      </c>
      <c r="P19" s="40">
        <f>P15+P16+P17+P18</f>
        <v/>
      </c>
      <c r="Q19" s="40">
        <f>Q15+Q16+Q17+Q18</f>
        <v/>
      </c>
      <c r="R19" s="40">
        <f>R15+R16+R17+R18</f>
        <v/>
      </c>
      <c r="S19" s="40">
        <f>S15+S16+S17+S18</f>
        <v/>
      </c>
      <c r="T19" s="40">
        <f>T15+T16+T17+T18</f>
        <v/>
      </c>
      <c r="U19" s="40">
        <f>U15+U16+U17+U18</f>
        <v/>
      </c>
      <c r="V19" s="40">
        <f>V15+V16+V17+V18</f>
        <v/>
      </c>
    </row>
    <row r="20" ht="8" customHeight="1">
      <c r="M20" s="13" t="n"/>
      <c r="N20" s="13" t="n"/>
    </row>
    <row r="21" ht="20" customHeight="1">
      <c r="A21" s="5" t="inlineStr">
        <is>
          <t>2. LONG-TERM ASSETS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13" t="n"/>
      <c r="N21" s="13" t="n"/>
      <c r="O21" s="2" t="n"/>
      <c r="P21" s="2" t="n"/>
      <c r="Q21" s="2" t="n"/>
      <c r="R21" s="2" t="n"/>
      <c r="S21" s="2" t="n"/>
      <c r="T21" s="2" t="n"/>
      <c r="U21" s="2" t="n"/>
      <c r="V21" s="2" t="n"/>
    </row>
    <row r="22">
      <c r="A22" s="6" t="inlineStr">
        <is>
          <t>Property, plant and equipment, net</t>
        </is>
      </c>
      <c r="C22" s="38" t="n">
        <v>2509</v>
      </c>
      <c r="D22" s="38" t="n">
        <v>2599</v>
      </c>
      <c r="E22" s="38" t="n">
        <v>2635</v>
      </c>
      <c r="F22" s="38" t="n">
        <v>2565</v>
      </c>
      <c r="G22" s="38" t="n">
        <v>2509</v>
      </c>
      <c r="H22" s="38" t="n">
        <v>2348</v>
      </c>
      <c r="I22" s="38" t="n">
        <v>2223</v>
      </c>
      <c r="J22" s="38" t="n">
        <v>2154</v>
      </c>
      <c r="K22" s="38" t="n">
        <v>2521</v>
      </c>
      <c r="L22" s="38" t="n">
        <v>2530</v>
      </c>
      <c r="M22" s="13" t="n"/>
      <c r="N22" s="13" t="n"/>
      <c r="O22" s="38" t="n">
        <v>2668</v>
      </c>
      <c r="P22" s="38" t="n">
        <v>2602</v>
      </c>
      <c r="Q22" s="38" t="n">
        <v>2465</v>
      </c>
      <c r="R22" s="38" t="n">
        <v>2462</v>
      </c>
      <c r="S22" s="38" t="n">
        <v>2451</v>
      </c>
      <c r="T22" s="38" t="n">
        <v>2599</v>
      </c>
      <c r="U22" s="38" t="n">
        <v>2788</v>
      </c>
      <c r="V22" s="38" t="n">
        <v>3144</v>
      </c>
    </row>
    <row r="23">
      <c r="A23" s="6" t="inlineStr">
        <is>
          <t>Goodwill</t>
        </is>
      </c>
      <c r="C23" s="38" t="n">
        <v>24732</v>
      </c>
      <c r="D23" s="38" t="n">
        <v>24706</v>
      </c>
      <c r="E23" s="38" t="n">
        <v>26913</v>
      </c>
      <c r="F23" s="38" t="n">
        <v>36714</v>
      </c>
      <c r="G23" s="38" t="n">
        <v>43447</v>
      </c>
      <c r="H23" s="38" t="n">
        <v>43450</v>
      </c>
      <c r="I23" s="38" t="n">
        <v>43614</v>
      </c>
      <c r="J23" s="38" t="n">
        <v>43653</v>
      </c>
      <c r="K23" s="38" t="n">
        <v>97873</v>
      </c>
      <c r="L23" s="38" t="n">
        <v>97801</v>
      </c>
      <c r="M23" s="13" t="n"/>
      <c r="N23" s="13" t="n"/>
      <c r="O23" s="38" t="n">
        <v>97873</v>
      </c>
      <c r="P23" s="38" t="n">
        <v>97873</v>
      </c>
      <c r="Q23" s="38" t="n">
        <v>97871</v>
      </c>
      <c r="R23" s="38" t="n">
        <v>97801</v>
      </c>
      <c r="S23" s="38" t="n">
        <v>97801</v>
      </c>
      <c r="T23" s="38" t="n">
        <v>97801</v>
      </c>
      <c r="U23" s="38" t="n">
        <v>97801</v>
      </c>
      <c r="V23" s="38" t="n">
        <v>97801</v>
      </c>
    </row>
    <row r="24">
      <c r="A24" s="6" t="inlineStr">
        <is>
          <t>Intangible assets, net</t>
        </is>
      </c>
      <c r="C24" s="38" t="n">
        <v>15068</v>
      </c>
      <c r="D24" s="38" t="n">
        <v>10832</v>
      </c>
      <c r="E24" s="38" t="n">
        <v>10762</v>
      </c>
      <c r="F24" s="38" t="n">
        <v>17554</v>
      </c>
      <c r="G24" s="38" t="n">
        <v>16782</v>
      </c>
      <c r="H24" s="38" t="n">
        <v>11374</v>
      </c>
      <c r="I24" s="38" t="n">
        <v>7111</v>
      </c>
      <c r="J24" s="38" t="n">
        <v>3867</v>
      </c>
      <c r="K24" s="38" t="n">
        <v>40583</v>
      </c>
      <c r="L24" s="38" t="n">
        <v>32273</v>
      </c>
      <c r="M24" s="13" t="n"/>
      <c r="N24" s="13" t="n"/>
      <c r="O24" s="38" t="n">
        <v>45407</v>
      </c>
      <c r="P24" s="38" t="n">
        <v>43034</v>
      </c>
      <c r="Q24" s="38" t="n">
        <v>38583</v>
      </c>
      <c r="R24" s="38" t="n">
        <v>36393</v>
      </c>
      <c r="S24" s="38" t="n">
        <v>34344</v>
      </c>
      <c r="T24" s="38" t="n">
        <v>30302</v>
      </c>
      <c r="U24" s="38" t="n">
        <v>28333</v>
      </c>
      <c r="V24" s="38" t="n">
        <v>26325</v>
      </c>
    </row>
    <row r="25">
      <c r="A25" s="6" t="inlineStr">
        <is>
          <t>Other long-term assets</t>
        </is>
      </c>
      <c r="C25" s="38" t="n">
        <v>532</v>
      </c>
      <c r="D25" s="38" t="n">
        <v>458</v>
      </c>
      <c r="E25" s="38" t="n">
        <v>707</v>
      </c>
      <c r="F25" s="38" t="n">
        <v>743</v>
      </c>
      <c r="G25" s="38" t="n">
        <v>1300</v>
      </c>
      <c r="H25" s="38" t="n">
        <v>1812</v>
      </c>
      <c r="I25" s="38" t="n">
        <v>1797</v>
      </c>
      <c r="J25" s="38" t="n">
        <v>2340</v>
      </c>
      <c r="K25" s="38" t="n">
        <v>5073</v>
      </c>
      <c r="L25" s="38" t="n">
        <v>6915</v>
      </c>
      <c r="M25" s="13" t="n"/>
      <c r="N25" s="13" t="n"/>
      <c r="O25" s="38" t="n">
        <v>3961</v>
      </c>
      <c r="P25" s="38" t="n">
        <v>4510</v>
      </c>
      <c r="Q25" s="38" t="n">
        <v>5449</v>
      </c>
      <c r="R25" s="38" t="n">
        <v>5793</v>
      </c>
      <c r="S25" s="38" t="n">
        <v>6027</v>
      </c>
      <c r="T25" s="38" t="n">
        <v>7139</v>
      </c>
      <c r="U25" s="38" t="n">
        <v>8023</v>
      </c>
      <c r="V25" s="38" t="n">
        <v>8705</v>
      </c>
    </row>
    <row r="26">
      <c r="A26" s="14" t="inlineStr">
        <is>
          <t>Total assets</t>
        </is>
      </c>
      <c r="C26" s="40">
        <f>C19+C22+C23+C24+C25</f>
        <v/>
      </c>
      <c r="D26" s="40">
        <f>D19+D22+D23+D24+D25</f>
        <v/>
      </c>
      <c r="E26" s="40">
        <f>E19+E22+E23+E24+E25</f>
        <v/>
      </c>
      <c r="F26" s="40">
        <f>F19+F22+F23+F24+F25</f>
        <v/>
      </c>
      <c r="G26" s="40">
        <f>G19+G22+G23+G24+G25</f>
        <v/>
      </c>
      <c r="H26" s="40">
        <f>H19+H22+H23+H24+H25</f>
        <v/>
      </c>
      <c r="I26" s="40">
        <f>I19+I22+I23+I24+I25</f>
        <v/>
      </c>
      <c r="J26" s="40">
        <f>J19+J22+J23+J24+J25</f>
        <v/>
      </c>
      <c r="K26" s="40">
        <f>K19+K22+K23+K24+K25</f>
        <v/>
      </c>
      <c r="L26" s="40">
        <f>L19+L22+L23+L24+L25</f>
        <v/>
      </c>
      <c r="M26" s="24" t="n"/>
      <c r="N26" s="24" t="n"/>
      <c r="O26" s="40">
        <f>O19+O22+O23+O24+O25</f>
        <v/>
      </c>
      <c r="P26" s="40">
        <f>P19+P22+P23+P24+P25</f>
        <v/>
      </c>
      <c r="Q26" s="40">
        <f>Q19+Q22+Q23+Q24+Q25</f>
        <v/>
      </c>
      <c r="R26" s="40">
        <f>R19+R22+R23+R24+R25</f>
        <v/>
      </c>
      <c r="S26" s="40">
        <f>S19+S22+S23+S24+S25</f>
        <v/>
      </c>
      <c r="T26" s="40">
        <f>T19+T22+T23+T24+T25</f>
        <v/>
      </c>
      <c r="U26" s="40">
        <f>U19+U22+U23+U24+U25</f>
        <v/>
      </c>
      <c r="V26" s="40">
        <f>V19+V22+V23+V24+V25</f>
        <v/>
      </c>
    </row>
    <row r="27" ht="8" customHeight="1">
      <c r="M27" s="13" t="n"/>
      <c r="N27" s="13" t="n"/>
    </row>
    <row r="28" ht="20" customHeight="1">
      <c r="A28" s="5" t="inlineStr">
        <is>
          <t>3. CURRENT LIABILITIES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13" t="n"/>
      <c r="N28" s="13" t="n"/>
      <c r="O28" s="2" t="n"/>
      <c r="P28" s="2" t="n"/>
      <c r="Q28" s="2" t="n"/>
      <c r="R28" s="2" t="n"/>
      <c r="S28" s="2" t="n"/>
      <c r="T28" s="2" t="n"/>
      <c r="U28" s="2" t="n"/>
      <c r="V28" s="2" t="n"/>
    </row>
    <row r="29">
      <c r="A29" s="6" t="inlineStr">
        <is>
          <t>Accounts payable</t>
        </is>
      </c>
      <c r="C29" s="38" t="n">
        <v>1261</v>
      </c>
      <c r="D29" s="38" t="n">
        <v>1105</v>
      </c>
      <c r="E29" s="38" t="n">
        <v>811</v>
      </c>
      <c r="F29" s="38" t="n">
        <v>855</v>
      </c>
      <c r="G29" s="38" t="n">
        <v>836</v>
      </c>
      <c r="H29" s="38" t="n">
        <v>1086</v>
      </c>
      <c r="I29" s="38" t="n">
        <v>998</v>
      </c>
      <c r="J29" s="38" t="n">
        <v>1210</v>
      </c>
      <c r="K29" s="38" t="n">
        <v>1662</v>
      </c>
      <c r="L29" s="38" t="n">
        <v>1560</v>
      </c>
      <c r="M29" s="13" t="n"/>
      <c r="N29" s="13" t="n"/>
      <c r="O29" s="38" t="n">
        <v>1441</v>
      </c>
      <c r="P29" s="38" t="n">
        <v>1757</v>
      </c>
      <c r="Q29" s="38" t="n">
        <v>1905</v>
      </c>
      <c r="R29" s="38" t="n">
        <v>1297</v>
      </c>
      <c r="S29" s="38" t="n">
        <v>1432</v>
      </c>
      <c r="T29" s="38" t="n">
        <v>2112</v>
      </c>
      <c r="U29" s="38" t="n">
        <v>2337</v>
      </c>
      <c r="V29" s="38" t="n">
        <v>4000</v>
      </c>
    </row>
    <row r="30">
      <c r="A30" s="6" t="inlineStr">
        <is>
          <t>Employee compensation and benefits</t>
        </is>
      </c>
      <c r="C30" s="38" t="n">
        <v>517</v>
      </c>
      <c r="D30" s="38" t="n">
        <v>626</v>
      </c>
      <c r="E30" s="38" t="n">
        <v>715</v>
      </c>
      <c r="F30" s="38" t="n">
        <v>641</v>
      </c>
      <c r="G30" s="38" t="n">
        <v>877</v>
      </c>
      <c r="H30" s="38" t="n">
        <v>1066</v>
      </c>
      <c r="I30" s="38" t="n">
        <v>1202</v>
      </c>
      <c r="J30" s="38" t="n">
        <v>935</v>
      </c>
      <c r="K30" s="38" t="n">
        <v>1971</v>
      </c>
      <c r="L30" s="38" t="n">
        <v>2129</v>
      </c>
      <c r="M30" s="13" t="n"/>
      <c r="N30" s="13" t="n"/>
      <c r="O30" s="38" t="n">
        <v>1385</v>
      </c>
      <c r="P30" s="38" t="n">
        <v>1725</v>
      </c>
      <c r="Q30" s="38" t="n">
        <v>922</v>
      </c>
      <c r="R30" s="38" t="n">
        <v>1266</v>
      </c>
      <c r="S30" s="38" t="n">
        <v>1719</v>
      </c>
      <c r="T30" s="38" t="n">
        <v>864</v>
      </c>
      <c r="U30" s="38" t="n">
        <v>1134</v>
      </c>
      <c r="V30" s="38" t="n">
        <v>1506</v>
      </c>
    </row>
    <row r="31">
      <c r="A31" s="6" t="inlineStr">
        <is>
          <t>Current portion of long-term debt / short-term debt</t>
        </is>
      </c>
      <c r="C31" s="38" t="n">
        <v>454</v>
      </c>
      <c r="D31" s="38" t="n">
        <v>117</v>
      </c>
      <c r="F31" s="38" t="n">
        <v>2787</v>
      </c>
      <c r="G31" s="38" t="n">
        <v>827</v>
      </c>
      <c r="H31" s="38" t="n">
        <v>290</v>
      </c>
      <c r="I31" s="38" t="n">
        <v>440</v>
      </c>
      <c r="J31" s="38" t="n">
        <v>1608</v>
      </c>
      <c r="K31" s="38" t="n">
        <v>1271</v>
      </c>
      <c r="L31" s="38" t="n">
        <v>3152</v>
      </c>
      <c r="M31" s="13" t="n"/>
      <c r="N31" s="13" t="n"/>
      <c r="O31" s="38" t="n">
        <v>2426</v>
      </c>
      <c r="P31" s="38" t="n">
        <v>3161</v>
      </c>
      <c r="Q31" s="38" t="n">
        <v>5653</v>
      </c>
      <c r="R31" s="38" t="n">
        <v>5531</v>
      </c>
      <c r="S31" s="38" t="n">
        <v>1399</v>
      </c>
      <c r="T31" s="38" t="n">
        <v>2252</v>
      </c>
      <c r="U31" s="38" t="n">
        <v>2252</v>
      </c>
      <c r="V31" s="38" t="n">
        <v>2252</v>
      </c>
    </row>
    <row r="32">
      <c r="A32" s="6" t="inlineStr">
        <is>
          <t>Other current liabilities</t>
        </is>
      </c>
      <c r="C32" s="38" t="n">
        <v>846</v>
      </c>
      <c r="D32" s="38" t="n">
        <v>681</v>
      </c>
      <c r="E32" s="38" t="n">
        <v>812</v>
      </c>
      <c r="F32" s="38" t="n">
        <v>2616</v>
      </c>
      <c r="G32" s="38" t="n">
        <v>3831</v>
      </c>
      <c r="H32" s="38" t="n">
        <v>3839</v>
      </c>
      <c r="I32" s="38" t="n">
        <v>4412</v>
      </c>
      <c r="J32" s="38" t="n">
        <v>3652</v>
      </c>
      <c r="K32" s="38" t="n">
        <v>11793</v>
      </c>
      <c r="L32" s="38" t="n">
        <v>11673</v>
      </c>
      <c r="M32" s="13" t="n"/>
      <c r="N32" s="13" t="n"/>
      <c r="O32" s="38" t="n">
        <v>14919</v>
      </c>
      <c r="P32" s="38" t="n">
        <v>12578</v>
      </c>
      <c r="Q32" s="38" t="n">
        <v>12430</v>
      </c>
      <c r="R32" s="38" t="n">
        <v>12503</v>
      </c>
      <c r="S32" s="38" t="n">
        <v>12154</v>
      </c>
      <c r="T32" s="38" t="n">
        <v>11631</v>
      </c>
      <c r="U32" s="38" t="n">
        <v>13139</v>
      </c>
      <c r="V32" s="38" t="n">
        <v>13080</v>
      </c>
    </row>
    <row r="33">
      <c r="A33" s="14" t="inlineStr">
        <is>
          <t>Total current liabilities</t>
        </is>
      </c>
      <c r="C33" s="40">
        <f>C29+C30+C31+C32</f>
        <v/>
      </c>
      <c r="D33" s="40">
        <f>D29+D30+D31+D32</f>
        <v/>
      </c>
      <c r="E33" s="40">
        <f>E29+E30+E31+E32</f>
        <v/>
      </c>
      <c r="F33" s="40">
        <f>F29+F30+F31+F32</f>
        <v/>
      </c>
      <c r="G33" s="40">
        <f>G29+G30+G31+G32</f>
        <v/>
      </c>
      <c r="H33" s="40">
        <f>H29+H30+H31+H32</f>
        <v/>
      </c>
      <c r="I33" s="40">
        <f>I29+I30+I31+I32</f>
        <v/>
      </c>
      <c r="J33" s="40">
        <f>J29+J30+J31+J32</f>
        <v/>
      </c>
      <c r="K33" s="40">
        <f>K29+K30+K31+K32</f>
        <v/>
      </c>
      <c r="L33" s="40">
        <f>L29+L30+L31+L32</f>
        <v/>
      </c>
      <c r="M33" s="24" t="n"/>
      <c r="N33" s="24" t="n"/>
      <c r="O33" s="40">
        <f>O29+O30+O31+O32</f>
        <v/>
      </c>
      <c r="P33" s="40">
        <f>P29+P30+P31+P32</f>
        <v/>
      </c>
      <c r="Q33" s="40">
        <f>Q29+Q30+Q31+Q32</f>
        <v/>
      </c>
      <c r="R33" s="40">
        <f>R29+R30+R31+R32</f>
        <v/>
      </c>
      <c r="S33" s="40">
        <f>S29+S30+S31+S32</f>
        <v/>
      </c>
      <c r="T33" s="40">
        <f>T29+T30+T31+T32</f>
        <v/>
      </c>
      <c r="U33" s="40">
        <f>U29+U30+U31+U32</f>
        <v/>
      </c>
      <c r="V33" s="40">
        <f>V29+V30+V31+V32</f>
        <v/>
      </c>
    </row>
    <row r="34" ht="8" customHeight="1">
      <c r="M34" s="13" t="n"/>
      <c r="N34" s="13" t="n"/>
    </row>
    <row r="35" ht="20" customHeight="1">
      <c r="A35" s="5" t="inlineStr">
        <is>
          <t>4. LONG-TERM LIABILITIES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13" t="n"/>
      <c r="N35" s="13" t="n"/>
      <c r="O35" s="2" t="n"/>
      <c r="P35" s="2" t="n"/>
      <c r="Q35" s="2" t="n"/>
      <c r="R35" s="2" t="n"/>
      <c r="S35" s="2" t="n"/>
      <c r="T35" s="2" t="n"/>
      <c r="U35" s="2" t="n"/>
      <c r="V35" s="2" t="n"/>
    </row>
    <row r="36">
      <c r="A36" s="6" t="inlineStr">
        <is>
          <t>Long-term debt</t>
        </is>
      </c>
      <c r="C36" s="38" t="n">
        <v>13188</v>
      </c>
      <c r="D36" s="38" t="n">
        <v>17431</v>
      </c>
      <c r="E36" s="38" t="n">
        <v>17493</v>
      </c>
      <c r="F36" s="38" t="n">
        <v>30011</v>
      </c>
      <c r="G36" s="38" t="n">
        <v>40235</v>
      </c>
      <c r="H36" s="38" t="n">
        <v>39440</v>
      </c>
      <c r="I36" s="38" t="n">
        <v>39075</v>
      </c>
      <c r="J36" s="38" t="n">
        <v>37621</v>
      </c>
      <c r="K36" s="38" t="n">
        <v>66295</v>
      </c>
      <c r="L36" s="38" t="n">
        <v>61984</v>
      </c>
      <c r="M36" s="13" t="n"/>
      <c r="N36" s="13" t="n"/>
      <c r="O36" s="38" t="n">
        <v>71590</v>
      </c>
      <c r="P36" s="38" t="n">
        <v>66798</v>
      </c>
      <c r="Q36" s="38" t="n">
        <v>60926</v>
      </c>
      <c r="R36" s="38" t="n">
        <v>61751</v>
      </c>
      <c r="S36" s="38" t="n">
        <v>62830</v>
      </c>
      <c r="T36" s="38" t="n">
        <v>63805</v>
      </c>
      <c r="U36" s="38" t="n">
        <v>62655</v>
      </c>
      <c r="V36" s="38" t="n">
        <v>57167</v>
      </c>
    </row>
    <row r="37" ht="24" customHeight="1">
      <c r="A37" s="6" t="inlineStr">
        <is>
          <t>Pension and postretirement obligations</t>
        </is>
      </c>
      <c r="B37" s="20" t="inlineStr">
        <is>
          <t>Separately disclosed only in FY2016-FY2017; folded into Other long-term liabilities thereafter.</t>
        </is>
      </c>
      <c r="C37" s="38" t="n">
        <v>531</v>
      </c>
      <c r="D37" s="38" t="n">
        <v>112</v>
      </c>
      <c r="M37" s="13" t="n"/>
      <c r="N37" s="13" t="n"/>
    </row>
    <row r="38">
      <c r="A38" s="6" t="inlineStr">
        <is>
          <t>Other long-term liabilities</t>
        </is>
      </c>
      <c r="C38" s="38" t="n">
        <v>11293</v>
      </c>
      <c r="D38" s="38" t="n">
        <v>11160</v>
      </c>
      <c r="E38" s="38" t="n">
        <v>3636</v>
      </c>
      <c r="F38" s="38" t="n">
        <v>5613</v>
      </c>
      <c r="G38" s="38" t="n">
        <v>5426</v>
      </c>
      <c r="H38" s="38" t="n">
        <v>4860</v>
      </c>
      <c r="I38" s="38" t="n">
        <v>4413</v>
      </c>
      <c r="J38" s="38" t="n">
        <v>3847</v>
      </c>
      <c r="K38" s="38" t="n">
        <v>14975</v>
      </c>
      <c r="L38" s="38" t="n">
        <v>9302</v>
      </c>
      <c r="M38" s="13" t="n"/>
      <c r="N38" s="13" t="n"/>
      <c r="O38" s="38" t="n">
        <v>13489</v>
      </c>
      <c r="P38" s="38" t="n">
        <v>16296</v>
      </c>
      <c r="Q38" s="38" t="n">
        <v>13733</v>
      </c>
      <c r="R38" s="38" t="n">
        <v>12696</v>
      </c>
      <c r="S38" s="38" t="n">
        <v>12810</v>
      </c>
      <c r="T38" s="38" t="n">
        <v>9367</v>
      </c>
      <c r="U38" s="38" t="n">
        <v>9950</v>
      </c>
      <c r="V38" s="38" t="n">
        <v>10453</v>
      </c>
    </row>
    <row r="39">
      <c r="A39" s="14" t="inlineStr">
        <is>
          <t>Total liabilities</t>
        </is>
      </c>
      <c r="C39" s="40">
        <f>C33+C36+C37+C38</f>
        <v/>
      </c>
      <c r="D39" s="40">
        <f>D33+D36+D37+D38</f>
        <v/>
      </c>
      <c r="E39" s="40">
        <f>E33+E36+E37+E38</f>
        <v/>
      </c>
      <c r="F39" s="40">
        <f>F33+F36+F37+F38</f>
        <v/>
      </c>
      <c r="G39" s="40">
        <f>G33+G36+G37+G38</f>
        <v/>
      </c>
      <c r="H39" s="40">
        <f>H33+H36+H37+H38</f>
        <v/>
      </c>
      <c r="I39" s="40">
        <f>I33+I36+I37+I38</f>
        <v/>
      </c>
      <c r="J39" s="40">
        <f>J33+J36+J37+J38</f>
        <v/>
      </c>
      <c r="K39" s="40">
        <f>K33+K36+K37+K38</f>
        <v/>
      </c>
      <c r="L39" s="40">
        <f>L33+L36+L37+L38</f>
        <v/>
      </c>
      <c r="M39" s="24" t="n"/>
      <c r="N39" s="24" t="n"/>
      <c r="O39" s="40">
        <f>O33+O36+O37+O38</f>
        <v/>
      </c>
      <c r="P39" s="40">
        <f>P33+P36+P37+P38</f>
        <v/>
      </c>
      <c r="Q39" s="40">
        <f>Q33+Q36+Q37+Q38</f>
        <v/>
      </c>
      <c r="R39" s="40">
        <f>R33+R36+R37+R38</f>
        <v/>
      </c>
      <c r="S39" s="40">
        <f>S33+S36+S37+S38</f>
        <v/>
      </c>
      <c r="T39" s="40">
        <f>T33+T36+T37+T38</f>
        <v/>
      </c>
      <c r="U39" s="40">
        <f>U33+U36+U37+U38</f>
        <v/>
      </c>
      <c r="V39" s="40">
        <f>V33+V36+V37+V38</f>
        <v/>
      </c>
    </row>
    <row r="40" ht="8" customHeight="1">
      <c r="M40" s="13" t="n"/>
      <c r="N40" s="13" t="n"/>
    </row>
    <row r="41" ht="20" customHeight="1">
      <c r="A41" s="5" t="inlineStr">
        <is>
          <t>5. MEZZANINE AND EQUITY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13" t="n"/>
      <c r="N41" s="13" t="n"/>
      <c r="O41" s="2" t="n"/>
      <c r="P41" s="2" t="n"/>
      <c r="Q41" s="2" t="n"/>
      <c r="R41" s="2" t="n"/>
      <c r="S41" s="2" t="n"/>
      <c r="T41" s="2" t="n"/>
      <c r="U41" s="2" t="n"/>
      <c r="V41" s="2" t="n"/>
    </row>
    <row r="42" ht="24" customHeight="1">
      <c r="A42" s="6" t="inlineStr">
        <is>
          <t>Preferred stock dividend obligation (mezzanine)</t>
        </is>
      </c>
      <c r="B42" s="20" t="inlineStr">
        <is>
          <t>8.00% Mandatory Convertible Preferred Stock, Series A — issued FY2019, fully converted FY2022.</t>
        </is>
      </c>
      <c r="F42" s="38" t="n">
        <v>29</v>
      </c>
      <c r="G42" s="38" t="n">
        <v>27</v>
      </c>
      <c r="H42" s="38" t="n">
        <v>27</v>
      </c>
      <c r="M42" s="13" t="n"/>
      <c r="N42" s="13" t="n"/>
    </row>
    <row r="43">
      <c r="A43" s="6" t="inlineStr">
        <is>
          <t>Common stock and additional paid-in capital</t>
        </is>
      </c>
      <c r="C43" s="38" t="n">
        <v>19241</v>
      </c>
      <c r="D43" s="38" t="n">
        <v>20505</v>
      </c>
      <c r="E43" s="38" t="n">
        <v>23285</v>
      </c>
      <c r="F43" s="38" t="n">
        <v>25081</v>
      </c>
      <c r="G43" s="38" t="n">
        <v>23982</v>
      </c>
      <c r="H43" s="38" t="n">
        <v>24330</v>
      </c>
      <c r="I43" s="38" t="n">
        <v>21159</v>
      </c>
      <c r="J43" s="38" t="n">
        <v>21099</v>
      </c>
      <c r="K43" s="38" t="n">
        <v>67471</v>
      </c>
      <c r="L43" s="38" t="n">
        <v>71313</v>
      </c>
      <c r="M43" s="13" t="n"/>
      <c r="N43" s="13" t="n"/>
      <c r="O43" s="38" t="n">
        <v>69754</v>
      </c>
      <c r="P43" s="38" t="n">
        <v>67318</v>
      </c>
      <c r="Q43" s="38" t="n">
        <v>66853</v>
      </c>
      <c r="R43" s="38" t="n">
        <v>66694</v>
      </c>
      <c r="S43" s="38" t="n">
        <v>69016</v>
      </c>
      <c r="T43" s="38" t="n">
        <v>73140</v>
      </c>
      <c r="U43" s="38" t="n">
        <v>75317</v>
      </c>
      <c r="V43" s="38" t="n">
        <v>77335</v>
      </c>
    </row>
    <row r="44">
      <c r="A44" s="6" t="inlineStr">
        <is>
          <t>Retained earnings (accumulated deficit)</t>
        </is>
      </c>
      <c r="C44" s="38" t="n">
        <v>-215</v>
      </c>
      <c r="D44" s="38" t="n">
        <v>-129</v>
      </c>
      <c r="E44" s="38" t="n">
        <v>3487</v>
      </c>
      <c r="F44" s="38" t="n">
        <v>0</v>
      </c>
      <c r="G44" s="38" t="n">
        <v>0</v>
      </c>
      <c r="H44" s="38" t="n">
        <v>748</v>
      </c>
      <c r="I44" s="38" t="n">
        <v>1604</v>
      </c>
      <c r="J44" s="38" t="n">
        <v>2682</v>
      </c>
      <c r="K44" s="38" t="n">
        <v>0</v>
      </c>
      <c r="L44" s="38" t="n">
        <v>9761</v>
      </c>
      <c r="M44" s="13" t="n"/>
      <c r="N44" s="13" t="n"/>
      <c r="O44" s="38" t="n">
        <v>0</v>
      </c>
      <c r="P44" s="38" t="n">
        <v>-1875</v>
      </c>
      <c r="Q44" s="38" t="n">
        <v>2729</v>
      </c>
      <c r="R44" s="38" t="n">
        <v>2686</v>
      </c>
      <c r="S44" s="38" t="n">
        <v>4040</v>
      </c>
      <c r="T44" s="38" t="n">
        <v>6520</v>
      </c>
      <c r="U44" s="38" t="n">
        <v>12166</v>
      </c>
      <c r="V44" s="38" t="n">
        <v>22151</v>
      </c>
    </row>
    <row r="45">
      <c r="A45" s="6" t="inlineStr">
        <is>
          <t>Accumulated other comprehensive income (loss)</t>
        </is>
      </c>
      <c r="C45" s="38" t="n">
        <v>-134</v>
      </c>
      <c r="D45" s="38" t="n">
        <v>-91</v>
      </c>
      <c r="E45" s="38" t="n">
        <v>-115</v>
      </c>
      <c r="F45" s="38" t="n">
        <v>-140</v>
      </c>
      <c r="G45" s="38" t="n">
        <v>-108</v>
      </c>
      <c r="H45" s="38" t="n">
        <v>-116</v>
      </c>
      <c r="I45" s="38" t="n">
        <v>-54</v>
      </c>
      <c r="J45" s="38" t="n">
        <v>207</v>
      </c>
      <c r="K45" s="38" t="n">
        <v>207</v>
      </c>
      <c r="L45" s="38" t="n">
        <v>218</v>
      </c>
      <c r="M45" s="13" t="n"/>
      <c r="N45" s="13" t="n"/>
      <c r="O45" s="38" t="n">
        <v>207</v>
      </c>
      <c r="P45" s="38" t="n">
        <v>208</v>
      </c>
      <c r="Q45" s="38" t="n">
        <v>207</v>
      </c>
      <c r="R45" s="38" t="n">
        <v>206</v>
      </c>
      <c r="S45" s="38" t="n">
        <v>221</v>
      </c>
      <c r="T45" s="38" t="n">
        <v>212</v>
      </c>
      <c r="U45" s="38" t="n">
        <v>208</v>
      </c>
      <c r="V45" s="38" t="n">
        <v>204</v>
      </c>
    </row>
    <row r="46">
      <c r="A46" s="14" t="inlineStr">
        <is>
          <t>Total Broadcom stockholders' equity</t>
        </is>
      </c>
      <c r="C46" s="40">
        <f>C43+C44+C45</f>
        <v/>
      </c>
      <c r="D46" s="40">
        <f>D43+D44+D45</f>
        <v/>
      </c>
      <c r="E46" s="40">
        <f>E43+E44+E45</f>
        <v/>
      </c>
      <c r="F46" s="40">
        <f>F43+F44+F45</f>
        <v/>
      </c>
      <c r="G46" s="40">
        <f>G43+G44+G45</f>
        <v/>
      </c>
      <c r="H46" s="40">
        <f>H43+H44+H45</f>
        <v/>
      </c>
      <c r="I46" s="40">
        <f>I43+I44+I45</f>
        <v/>
      </c>
      <c r="J46" s="40">
        <f>J43+J44+J45</f>
        <v/>
      </c>
      <c r="K46" s="40">
        <f>K43+K44+K45</f>
        <v/>
      </c>
      <c r="L46" s="40">
        <f>L43+L44+L45</f>
        <v/>
      </c>
      <c r="M46" s="24" t="n"/>
      <c r="N46" s="24" t="n"/>
      <c r="O46" s="40">
        <f>O43+O44+O45</f>
        <v/>
      </c>
      <c r="P46" s="40">
        <f>P43+P44+P45</f>
        <v/>
      </c>
      <c r="Q46" s="40">
        <f>Q43+Q44+Q45</f>
        <v/>
      </c>
      <c r="R46" s="40">
        <f>R43+R44+R45</f>
        <v/>
      </c>
      <c r="S46" s="40">
        <f>S43+S44+S45</f>
        <v/>
      </c>
      <c r="T46" s="40">
        <f>T43+T44+T45</f>
        <v/>
      </c>
      <c r="U46" s="40">
        <f>U43+U44+U45</f>
        <v/>
      </c>
      <c r="V46" s="40">
        <f>V43+V44+V45</f>
        <v/>
      </c>
    </row>
    <row r="47" ht="24" customHeight="1">
      <c r="A47" s="6" t="inlineStr">
        <is>
          <t>Noncontrolling interest</t>
        </is>
      </c>
      <c r="B47" s="20" t="inlineStr">
        <is>
          <t>Eliminated FY2018 via exchange of exchangeable LP units for common stock at the redomiciliation.</t>
        </is>
      </c>
      <c r="C47" s="38" t="n">
        <v>2984</v>
      </c>
      <c r="D47" s="38" t="n">
        <v>2901</v>
      </c>
      <c r="M47" s="13" t="n"/>
      <c r="N47" s="13" t="n"/>
    </row>
    <row r="48">
      <c r="A48" s="14" t="inlineStr">
        <is>
          <t>Total equity</t>
        </is>
      </c>
      <c r="C48" s="40">
        <f>C46+C47</f>
        <v/>
      </c>
      <c r="D48" s="40">
        <f>D46+D47</f>
        <v/>
      </c>
      <c r="E48" s="40">
        <f>E46+E47</f>
        <v/>
      </c>
      <c r="F48" s="40">
        <f>F46+F47</f>
        <v/>
      </c>
      <c r="G48" s="40">
        <f>G46+G47</f>
        <v/>
      </c>
      <c r="H48" s="40">
        <f>H46+H47</f>
        <v/>
      </c>
      <c r="I48" s="40">
        <f>I46+I47</f>
        <v/>
      </c>
      <c r="J48" s="40">
        <f>J46+J47</f>
        <v/>
      </c>
      <c r="K48" s="40">
        <f>K46+K47</f>
        <v/>
      </c>
      <c r="L48" s="40">
        <f>L46+L47</f>
        <v/>
      </c>
      <c r="M48" s="24" t="n"/>
      <c r="N48" s="24" t="n"/>
      <c r="O48" s="40">
        <f>O46+O47</f>
        <v/>
      </c>
      <c r="P48" s="40">
        <f>P46+P47</f>
        <v/>
      </c>
      <c r="Q48" s="40">
        <f>Q46+Q47</f>
        <v/>
      </c>
      <c r="R48" s="40">
        <f>R46+R47</f>
        <v/>
      </c>
      <c r="S48" s="40">
        <f>S46+S47</f>
        <v/>
      </c>
      <c r="T48" s="40">
        <f>T46+T47</f>
        <v/>
      </c>
      <c r="U48" s="40">
        <f>U46+U47</f>
        <v/>
      </c>
      <c r="V48" s="40">
        <f>V46+V47</f>
        <v/>
      </c>
    </row>
    <row r="49">
      <c r="A49" s="6" t="inlineStr">
        <is>
          <t>Balance Check: Assets - Liabilities - Mezzanine - Equity (should be ~0)</t>
        </is>
      </c>
      <c r="C49" s="43">
        <f>C26-C39-C42-C48</f>
        <v/>
      </c>
      <c r="D49" s="43">
        <f>D26-D39-D42-D48</f>
        <v/>
      </c>
      <c r="E49" s="43">
        <f>E26-E39-E42-E48</f>
        <v/>
      </c>
      <c r="F49" s="43">
        <f>F26-F39-F42-F48</f>
        <v/>
      </c>
      <c r="G49" s="43">
        <f>G26-G39-G42-G48</f>
        <v/>
      </c>
      <c r="H49" s="43">
        <f>H26-H39-H42-H48</f>
        <v/>
      </c>
      <c r="I49" s="43">
        <f>I26-I39-I42-I48</f>
        <v/>
      </c>
      <c r="J49" s="43">
        <f>J26-J39-J42-J48</f>
        <v/>
      </c>
      <c r="K49" s="43">
        <f>K26-K39-K42-K48</f>
        <v/>
      </c>
      <c r="L49" s="43">
        <f>L26-L39-L42-L48</f>
        <v/>
      </c>
      <c r="M49" s="13" t="n"/>
      <c r="N49" s="13" t="n"/>
      <c r="O49" s="43">
        <f>O26-O39-O42-O48</f>
        <v/>
      </c>
      <c r="P49" s="43">
        <f>P26-P39-P42-P48</f>
        <v/>
      </c>
      <c r="Q49" s="43">
        <f>Q26-Q39-Q42-Q48</f>
        <v/>
      </c>
      <c r="R49" s="43">
        <f>R26-R39-R42-R48</f>
        <v/>
      </c>
      <c r="S49" s="43">
        <f>S26-S39-S42-S48</f>
        <v/>
      </c>
      <c r="T49" s="43">
        <f>T26-T39-T42-T48</f>
        <v/>
      </c>
      <c r="U49" s="43">
        <f>U26-U39-U42-U48</f>
        <v/>
      </c>
      <c r="V49" s="43">
        <f>V26-V39-V42-V48</f>
        <v/>
      </c>
    </row>
    <row r="50" ht="8" customHeight="1">
      <c r="M50" s="13" t="n"/>
      <c r="N50" s="13" t="n"/>
    </row>
    <row r="51" ht="20" customHeight="1">
      <c r="A51" s="5" t="inlineStr">
        <is>
          <t>6. WORKING CAPITAL ANALYTICS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13" t="n"/>
      <c r="N51" s="13" t="n"/>
      <c r="O51" s="2" t="n"/>
      <c r="P51" s="2" t="n"/>
      <c r="Q51" s="2" t="n"/>
      <c r="R51" s="2" t="n"/>
      <c r="S51" s="2" t="n"/>
      <c r="T51" s="2" t="n"/>
      <c r="U51" s="2" t="n"/>
      <c r="V51" s="2" t="n"/>
    </row>
    <row r="52">
      <c r="A52" s="17" t="inlineStr">
        <is>
          <t>Days Sales Outstanding</t>
        </is>
      </c>
      <c r="C52" s="44">
        <f>C16/'Income Statement'!C14*365</f>
        <v/>
      </c>
      <c r="D52" s="44">
        <f>D16/'Income Statement'!D14*365</f>
        <v/>
      </c>
      <c r="E52" s="44">
        <f>E16/'Income Statement'!E14*365</f>
        <v/>
      </c>
      <c r="F52" s="44">
        <f>F16/'Income Statement'!F14*365</f>
        <v/>
      </c>
      <c r="G52" s="44">
        <f>G16/'Income Statement'!G14*365</f>
        <v/>
      </c>
      <c r="H52" s="44">
        <f>H16/'Income Statement'!H14*365</f>
        <v/>
      </c>
      <c r="I52" s="44">
        <f>I16/'Income Statement'!I14*365</f>
        <v/>
      </c>
      <c r="J52" s="44">
        <f>J16/'Income Statement'!J14*365</f>
        <v/>
      </c>
      <c r="K52" s="44">
        <f>K16/'Income Statement'!K14*365</f>
        <v/>
      </c>
      <c r="L52" s="44">
        <f>L16/'Income Statement'!L14*365</f>
        <v/>
      </c>
      <c r="M52" s="13" t="n"/>
      <c r="N52" s="13" t="n"/>
      <c r="O52" s="44">
        <f>O16/'Income Statement'!O14*91</f>
        <v/>
      </c>
      <c r="P52" s="44">
        <f>P16/'Income Statement'!P14*91</f>
        <v/>
      </c>
      <c r="Q52" s="44">
        <f>Q16/'Income Statement'!Q14*91</f>
        <v/>
      </c>
      <c r="R52" s="44">
        <f>R16/'Income Statement'!R14*91</f>
        <v/>
      </c>
      <c r="S52" s="44">
        <f>S16/'Income Statement'!S14*91</f>
        <v/>
      </c>
      <c r="T52" s="44">
        <f>T16/'Income Statement'!T14*91</f>
        <v/>
      </c>
      <c r="U52" s="44">
        <f>U16/'Income Statement'!U14*91</f>
        <v/>
      </c>
      <c r="V52" s="44">
        <f>V16/'Income Statement'!V14*91</f>
        <v/>
      </c>
    </row>
    <row r="53">
      <c r="A53" s="17" t="inlineStr">
        <is>
          <t>Days Inventory Outstanding</t>
        </is>
      </c>
      <c r="C53" s="44">
        <f>C17/'Income Statement'!C26*365</f>
        <v/>
      </c>
      <c r="D53" s="44">
        <f>D17/'Income Statement'!D26*365</f>
        <v/>
      </c>
      <c r="E53" s="44">
        <f>E17/'Income Statement'!E26*365</f>
        <v/>
      </c>
      <c r="F53" s="44">
        <f>F17/'Income Statement'!F26*365</f>
        <v/>
      </c>
      <c r="G53" s="44">
        <f>G17/'Income Statement'!G26*365</f>
        <v/>
      </c>
      <c r="H53" s="44">
        <f>H17/'Income Statement'!H26*365</f>
        <v/>
      </c>
      <c r="I53" s="44">
        <f>I17/'Income Statement'!I26*365</f>
        <v/>
      </c>
      <c r="J53" s="44">
        <f>J17/'Income Statement'!J26*365</f>
        <v/>
      </c>
      <c r="K53" s="44">
        <f>K17/'Income Statement'!K26*365</f>
        <v/>
      </c>
      <c r="L53" s="44">
        <f>L17/'Income Statement'!L26*365</f>
        <v/>
      </c>
      <c r="M53" s="13" t="n"/>
      <c r="N53" s="13" t="n"/>
      <c r="O53" s="44">
        <f>O17/'Income Statement'!O26*91</f>
        <v/>
      </c>
      <c r="P53" s="44">
        <f>P17/'Income Statement'!P26*91</f>
        <v/>
      </c>
      <c r="Q53" s="44">
        <f>Q17/'Income Statement'!Q26*91</f>
        <v/>
      </c>
      <c r="R53" s="44">
        <f>R17/'Income Statement'!R26*91</f>
        <v/>
      </c>
      <c r="S53" s="44">
        <f>S17/'Income Statement'!S26*91</f>
        <v/>
      </c>
      <c r="T53" s="44">
        <f>T17/'Income Statement'!T26*91</f>
        <v/>
      </c>
      <c r="U53" s="44">
        <f>U17/'Income Statement'!U26*91</f>
        <v/>
      </c>
      <c r="V53" s="44">
        <f>V17/'Income Statement'!V26*91</f>
        <v/>
      </c>
    </row>
    <row r="54">
      <c r="A54" s="17" t="inlineStr">
        <is>
          <t>Days Payable Outstanding</t>
        </is>
      </c>
      <c r="C54" s="44">
        <f>C29/'Income Statement'!C26*365</f>
        <v/>
      </c>
      <c r="D54" s="44">
        <f>D29/'Income Statement'!D26*365</f>
        <v/>
      </c>
      <c r="E54" s="44">
        <f>E29/'Income Statement'!E26*365</f>
        <v/>
      </c>
      <c r="F54" s="44">
        <f>F29/'Income Statement'!F26*365</f>
        <v/>
      </c>
      <c r="G54" s="44">
        <f>G29/'Income Statement'!G26*365</f>
        <v/>
      </c>
      <c r="H54" s="44">
        <f>H29/'Income Statement'!H26*365</f>
        <v/>
      </c>
      <c r="I54" s="44">
        <f>I29/'Income Statement'!I26*365</f>
        <v/>
      </c>
      <c r="J54" s="44">
        <f>J29/'Income Statement'!J26*365</f>
        <v/>
      </c>
      <c r="K54" s="44">
        <f>K29/'Income Statement'!K26*365</f>
        <v/>
      </c>
      <c r="L54" s="44">
        <f>L29/'Income Statement'!L26*365</f>
        <v/>
      </c>
      <c r="M54" s="13" t="n"/>
      <c r="N54" s="13" t="n"/>
      <c r="O54" s="44">
        <f>O29/'Income Statement'!O26*91</f>
        <v/>
      </c>
      <c r="P54" s="44">
        <f>P29/'Income Statement'!P26*91</f>
        <v/>
      </c>
      <c r="Q54" s="44">
        <f>Q29/'Income Statement'!Q26*91</f>
        <v/>
      </c>
      <c r="R54" s="44">
        <f>R29/'Income Statement'!R26*91</f>
        <v/>
      </c>
      <c r="S54" s="44">
        <f>S29/'Income Statement'!S26*91</f>
        <v/>
      </c>
      <c r="T54" s="44">
        <f>T29/'Income Statement'!T26*91</f>
        <v/>
      </c>
      <c r="U54" s="44">
        <f>U29/'Income Statement'!U26*91</f>
        <v/>
      </c>
      <c r="V54" s="44">
        <f>V29/'Income Statement'!V26*91</f>
        <v/>
      </c>
    </row>
    <row r="55">
      <c r="A55" s="17" t="inlineStr">
        <is>
          <t>Cash Conversion Cycle</t>
        </is>
      </c>
      <c r="C55" s="44">
        <f>C52+C53-C54</f>
        <v/>
      </c>
      <c r="D55" s="44">
        <f>D52+D53-D54</f>
        <v/>
      </c>
      <c r="E55" s="44">
        <f>E52+E53-E54</f>
        <v/>
      </c>
      <c r="F55" s="44">
        <f>F52+F53-F54</f>
        <v/>
      </c>
      <c r="G55" s="44">
        <f>G52+G53-G54</f>
        <v/>
      </c>
      <c r="H55" s="44">
        <f>H52+H53-H54</f>
        <v/>
      </c>
      <c r="I55" s="44">
        <f>I52+I53-I54</f>
        <v/>
      </c>
      <c r="J55" s="44">
        <f>J52+J53-J54</f>
        <v/>
      </c>
      <c r="K55" s="44">
        <f>K52+K53-K54</f>
        <v/>
      </c>
      <c r="L55" s="44">
        <f>L52+L53-L54</f>
        <v/>
      </c>
      <c r="M55" s="13" t="n"/>
      <c r="N55" s="13" t="n"/>
      <c r="O55" s="44">
        <f>O52+O53-O54</f>
        <v/>
      </c>
      <c r="P55" s="44">
        <f>P52+P53-P54</f>
        <v/>
      </c>
      <c r="Q55" s="44">
        <f>Q52+Q53-Q54</f>
        <v/>
      </c>
      <c r="R55" s="44">
        <f>R52+R53-R54</f>
        <v/>
      </c>
      <c r="S55" s="44">
        <f>S52+S53-S54</f>
        <v/>
      </c>
      <c r="T55" s="44">
        <f>T52+T53-T54</f>
        <v/>
      </c>
      <c r="U55" s="44">
        <f>U52+U53-U54</f>
        <v/>
      </c>
      <c r="V55" s="44">
        <f>V52+V53-V54</f>
        <v/>
      </c>
    </row>
    <row r="56">
      <c r="M56" s="13" t="n"/>
      <c r="N56" s="13" t="n"/>
    </row>
  </sheetData>
  <conditionalFormatting sqref="C49:V49">
    <cfRule type="cellIs" priority="1" operator="notBetween" dxfId="0">
      <formula>-0.5</formula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1F4E79"/>
    <outlinePr summaryBelow="1" summaryRight="1"/>
    <pageSetUpPr/>
  </sheetPr>
  <dimension ref="A1:V73"/>
  <sheetViews>
    <sheetView showGridLines="0" zoomScale="85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38" sqref="A38:XFD38"/>
    </sheetView>
  </sheetViews>
  <sheetFormatPr baseColWidth="10" defaultColWidth="8.83203125" defaultRowHeight="14"/>
  <cols>
    <col width="46" customWidth="1" min="1" max="1"/>
    <col hidden="1" outlineLevel="1" width="34" customWidth="1" min="2" max="2"/>
    <col collapsed="1" width="12" customWidth="1" min="3" max="3"/>
    <col width="12" customWidth="1" min="4" max="12"/>
    <col width="9" customWidth="1" min="13" max="14"/>
    <col width="12" customWidth="1" min="15" max="22"/>
  </cols>
  <sheetData>
    <row r="1" ht="28" customHeight="1">
      <c r="A1" s="1" t="inlineStr">
        <is>
          <t>Broadcom Inc. — Cash Flow Statement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6" customHeight="1">
      <c r="A2" s="3" t="inlineStr">
        <is>
          <t>$ in millions except per-share data  |  USD  |  as of 2026-09-22</t>
        </is>
      </c>
    </row>
    <row r="3">
      <c r="C3" s="10" t="inlineStr">
        <is>
          <t>FY2016</t>
        </is>
      </c>
      <c r="D3" s="10" t="inlineStr">
        <is>
          <t>FY2017</t>
        </is>
      </c>
      <c r="E3" s="10" t="inlineStr">
        <is>
          <t>FY2018</t>
        </is>
      </c>
      <c r="F3" s="10" t="inlineStr">
        <is>
          <t>FY2019</t>
        </is>
      </c>
      <c r="G3" s="10" t="inlineStr">
        <is>
          <t>FY2020</t>
        </is>
      </c>
      <c r="H3" s="10" t="inlineStr">
        <is>
          <t>FY2021</t>
        </is>
      </c>
      <c r="I3" s="10" t="inlineStr">
        <is>
          <t>FY2022</t>
        </is>
      </c>
      <c r="J3" s="10" t="inlineStr">
        <is>
          <t>FY2023</t>
        </is>
      </c>
      <c r="K3" s="10" t="inlineStr">
        <is>
          <t>FY2024</t>
        </is>
      </c>
      <c r="L3" s="10" t="inlineStr">
        <is>
          <t>FY2025</t>
        </is>
      </c>
      <c r="M3" s="11" t="inlineStr">
        <is>
          <t>·</t>
        </is>
      </c>
      <c r="N3" s="11" t="inlineStr">
        <is>
          <t>·</t>
        </is>
      </c>
      <c r="O3" s="10" t="inlineStr">
        <is>
          <t>2Q FY2024</t>
        </is>
      </c>
      <c r="P3" s="10" t="inlineStr">
        <is>
          <t>3Q FY2024</t>
        </is>
      </c>
      <c r="Q3" s="10" t="inlineStr">
        <is>
          <t>1Q FY2025</t>
        </is>
      </c>
      <c r="R3" s="10" t="inlineStr">
        <is>
          <t>2Q FY2025</t>
        </is>
      </c>
      <c r="S3" s="10" t="inlineStr">
        <is>
          <t>3Q FY2025</t>
        </is>
      </c>
      <c r="T3" s="10" t="inlineStr">
        <is>
          <t>1Q FY2026</t>
        </is>
      </c>
      <c r="U3" s="10" t="inlineStr">
        <is>
          <t>2Q FY2026</t>
        </is>
      </c>
      <c r="V3" s="10" t="inlineStr">
        <is>
          <t>3Q FY2026</t>
        </is>
      </c>
    </row>
    <row r="4">
      <c r="C4" s="12" t="inlineStr">
        <is>
          <t>2016-10-30</t>
        </is>
      </c>
      <c r="D4" s="12" t="inlineStr">
        <is>
          <t>2017-10-29</t>
        </is>
      </c>
      <c r="E4" s="12" t="inlineStr">
        <is>
          <t>2018-11-04</t>
        </is>
      </c>
      <c r="F4" s="12" t="inlineStr">
        <is>
          <t>2019-11-03</t>
        </is>
      </c>
      <c r="G4" s="12" t="inlineStr">
        <is>
          <t>2020-11-01</t>
        </is>
      </c>
      <c r="H4" s="12" t="inlineStr">
        <is>
          <t>2021-10-31</t>
        </is>
      </c>
      <c r="I4" s="12" t="inlineStr">
        <is>
          <t>2022-10-30</t>
        </is>
      </c>
      <c r="J4" s="12" t="inlineStr">
        <is>
          <t>2023-10-29</t>
        </is>
      </c>
      <c r="K4" s="12" t="inlineStr">
        <is>
          <t>2024-11-03</t>
        </is>
      </c>
      <c r="L4" s="12" t="inlineStr">
        <is>
          <t>2025-11-02</t>
        </is>
      </c>
      <c r="M4" s="13" t="n"/>
      <c r="N4" s="13" t="n"/>
      <c r="O4" s="12" t="inlineStr">
        <is>
          <t>2024-05-05</t>
        </is>
      </c>
      <c r="P4" s="12" t="inlineStr">
        <is>
          <t>2024-08-04</t>
        </is>
      </c>
      <c r="Q4" s="12" t="inlineStr">
        <is>
          <t>2025-02-02</t>
        </is>
      </c>
      <c r="R4" s="12" t="inlineStr">
        <is>
          <t>2025-05-04</t>
        </is>
      </c>
      <c r="S4" s="12" t="inlineStr">
        <is>
          <t>2025-08-03</t>
        </is>
      </c>
      <c r="T4" s="12" t="inlineStr">
        <is>
          <t>2026-02-01</t>
        </is>
      </c>
      <c r="U4" s="12" t="inlineStr">
        <is>
          <t>2026-05-03</t>
        </is>
      </c>
      <c r="V4" s="12" t="inlineStr">
        <is>
          <t>2026-08-02</t>
        </is>
      </c>
    </row>
    <row r="5">
      <c r="M5" s="13" t="n"/>
      <c r="N5" s="13" t="n"/>
    </row>
    <row r="6">
      <c r="A6" s="14" t="inlineStr">
        <is>
          <t>CONTENTS</t>
        </is>
      </c>
      <c r="M6" s="13" t="n"/>
      <c r="N6" s="13" t="n"/>
    </row>
    <row r="7">
      <c r="A7" s="15">
        <f>HYPERLINK("#'Cash Flow Statement'!A13","1. OPERATING ACTIVITIES")</f>
        <v/>
      </c>
      <c r="M7" s="13" t="n"/>
      <c r="N7" s="13" t="n"/>
    </row>
    <row r="8">
      <c r="A8" s="15">
        <f>HYPERLINK("#'Cash Flow Statement'!A35","2. INVESTING ACTIVITIES")</f>
        <v/>
      </c>
      <c r="M8" s="13" t="n"/>
      <c r="N8" s="13" t="n"/>
    </row>
    <row r="9">
      <c r="A9" s="15">
        <f>HYPERLINK("#'Cash Flow Statement'!A45","3. FINANCING ACTIVITIES")</f>
        <v/>
      </c>
      <c r="M9" s="13" t="n"/>
      <c r="N9" s="13" t="n"/>
    </row>
    <row r="10">
      <c r="A10" s="15">
        <f>HYPERLINK("#'Cash Flow Statement'!A61","4. NET CHANGE IN CASH")</f>
        <v/>
      </c>
      <c r="M10" s="13" t="n"/>
      <c r="N10" s="13" t="n"/>
    </row>
    <row r="11">
      <c r="A11" s="15">
        <f>HYPERLINK("#'Cash Flow Statement'!A67","5. FREE CASH FLOW ANALYTICS")</f>
        <v/>
      </c>
      <c r="M11" s="13" t="n"/>
      <c r="N11" s="13" t="n"/>
    </row>
    <row r="12" ht="8" customHeight="1">
      <c r="M12" s="13" t="n"/>
      <c r="N12" s="13" t="n"/>
    </row>
    <row r="13" ht="20" customHeight="1">
      <c r="A13" s="5" t="inlineStr">
        <is>
          <t>1. OPERATING ACTIVITIES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13" t="n"/>
      <c r="N13" s="13" t="n"/>
      <c r="O13" s="2" t="n"/>
      <c r="P13" s="2" t="n"/>
      <c r="Q13" s="2" t="n"/>
      <c r="R13" s="2" t="n"/>
      <c r="S13" s="2" t="n"/>
      <c r="T13" s="2" t="n"/>
      <c r="U13" s="2" t="n"/>
      <c r="V13" s="2" t="n"/>
    </row>
    <row r="14" ht="14" customHeight="1">
      <c r="A14" s="6" t="inlineStr">
        <is>
          <t>Net income (loss)</t>
        </is>
      </c>
      <c r="B14" s="20" t="inlineStr">
        <is>
          <t>All quarterly columns are cumulative fiscal-year-to-date figures exactly as filed in each quarter's own 10-Q (1Q columns = single quarter, since Q1 YTD = Q1 alone; 2Q columns = 6-month YTD; 3Q columns = 9-month YTD) — Broadcom's 10-Qs do not present a discrete single-quarter cash flow statement. All other CF quarterly-column figures below are likewise fiscal-YTD, consistent with this line. (IS and SEG quarterly columns, by contrast, are single-quarter, not YTD — see IS note.)</t>
        </is>
      </c>
      <c r="C14" s="38" t="n">
        <v>-1861</v>
      </c>
      <c r="D14" s="38" t="n">
        <v>1784</v>
      </c>
      <c r="E14" s="38" t="n">
        <v>12610</v>
      </c>
      <c r="F14" s="38" t="n">
        <v>2724</v>
      </c>
      <c r="G14" s="38" t="n">
        <v>2960</v>
      </c>
      <c r="H14" s="38" t="n">
        <v>6736</v>
      </c>
      <c r="I14" s="38" t="n">
        <v>11495</v>
      </c>
      <c r="J14" s="38" t="n">
        <v>14082</v>
      </c>
      <c r="K14" s="38" t="n">
        <v>5895</v>
      </c>
      <c r="L14" s="38" t="n">
        <v>23126</v>
      </c>
      <c r="M14" s="13" t="n"/>
      <c r="N14" s="13" t="n"/>
      <c r="O14" s="38" t="n">
        <v>3446</v>
      </c>
      <c r="P14" s="38" t="n">
        <v>1571</v>
      </c>
      <c r="Q14" s="38" t="n">
        <v>5503</v>
      </c>
      <c r="R14" s="38" t="n">
        <v>10468</v>
      </c>
      <c r="S14" s="38" t="n">
        <v>14608</v>
      </c>
      <c r="T14" s="38" t="n">
        <v>7349</v>
      </c>
      <c r="U14" s="38" t="n">
        <v>16659</v>
      </c>
      <c r="V14" s="38" t="n">
        <v>29747</v>
      </c>
    </row>
    <row r="15">
      <c r="A15" s="17" t="inlineStr">
        <is>
          <t xml:space="preserve">  Ties to IS Net Income (annual only, should be ~0)</t>
        </is>
      </c>
      <c r="C15" s="39">
        <f>C14-'Income Statement'!C50</f>
        <v/>
      </c>
      <c r="D15" s="39">
        <f>D14-'Income Statement'!D50</f>
        <v/>
      </c>
      <c r="E15" s="39">
        <f>E14-'Income Statement'!E50</f>
        <v/>
      </c>
      <c r="F15" s="39">
        <f>F14-'Income Statement'!F50</f>
        <v/>
      </c>
      <c r="G15" s="39">
        <f>G14-'Income Statement'!G50</f>
        <v/>
      </c>
      <c r="H15" s="39">
        <f>H14-'Income Statement'!H50</f>
        <v/>
      </c>
      <c r="I15" s="39">
        <f>I14-'Income Statement'!I50</f>
        <v/>
      </c>
      <c r="J15" s="39">
        <f>J14-'Income Statement'!J50</f>
        <v/>
      </c>
      <c r="K15" s="39">
        <f>K14-'Income Statement'!K50</f>
        <v/>
      </c>
      <c r="L15" s="39">
        <f>L14-'Income Statement'!L50</f>
        <v/>
      </c>
      <c r="M15" s="13" t="n"/>
      <c r="N15" s="13" t="n"/>
    </row>
    <row r="16" ht="24" customHeight="1">
      <c r="A16" s="6" t="inlineStr">
        <is>
          <t>Amortization of intangible assets (and ROU assets, later years)</t>
        </is>
      </c>
      <c r="B16" s="20" t="inlineStr">
        <is>
          <t>FY2016-FY2017: combined depreciation &amp; amortization total (not split on face of CF).</t>
        </is>
      </c>
      <c r="C16" s="38" t="n">
        <v>3042</v>
      </c>
      <c r="D16" s="38" t="n">
        <v>4737</v>
      </c>
      <c r="E16" s="38" t="n">
        <v>3566</v>
      </c>
      <c r="F16" s="38" t="n">
        <v>5239</v>
      </c>
      <c r="G16" s="38" t="n">
        <v>6335</v>
      </c>
      <c r="H16" s="38" t="n">
        <v>5502</v>
      </c>
      <c r="I16" s="38" t="n">
        <v>4455</v>
      </c>
      <c r="J16" s="38" t="n">
        <v>3333</v>
      </c>
      <c r="K16" s="38" t="n">
        <v>9417</v>
      </c>
      <c r="L16" s="38" t="n">
        <v>8201</v>
      </c>
      <c r="M16" s="13" t="n"/>
      <c r="N16" s="13" t="n"/>
      <c r="O16" s="38" t="n">
        <v>4587</v>
      </c>
      <c r="P16" s="38" t="n">
        <v>6962</v>
      </c>
      <c r="Q16" s="38" t="n">
        <v>2032</v>
      </c>
      <c r="R16" s="38" t="n">
        <v>4056</v>
      </c>
      <c r="S16" s="38" t="n">
        <v>6116</v>
      </c>
      <c r="T16" s="38" t="n">
        <v>2003</v>
      </c>
      <c r="U16" s="38" t="n">
        <v>4005</v>
      </c>
      <c r="V16" s="38" t="n">
        <v>6047</v>
      </c>
    </row>
    <row r="17">
      <c r="A17" s="6" t="inlineStr">
        <is>
          <t>Depreciation</t>
        </is>
      </c>
      <c r="E17" s="38" t="n">
        <v>515</v>
      </c>
      <c r="F17" s="38" t="n">
        <v>569</v>
      </c>
      <c r="G17" s="38" t="n">
        <v>570</v>
      </c>
      <c r="H17" s="38" t="n">
        <v>539</v>
      </c>
      <c r="I17" s="38" t="n">
        <v>529</v>
      </c>
      <c r="J17" s="38" t="n">
        <v>502</v>
      </c>
      <c r="K17" s="38" t="n">
        <v>593</v>
      </c>
      <c r="L17" s="38" t="n">
        <v>574</v>
      </c>
      <c r="M17" s="13" t="n"/>
      <c r="N17" s="13" t="n"/>
      <c r="O17" s="38" t="n">
        <v>288</v>
      </c>
      <c r="P17" s="38" t="n">
        <v>437</v>
      </c>
      <c r="Q17" s="38" t="n">
        <v>142</v>
      </c>
      <c r="R17" s="38" t="n">
        <v>284</v>
      </c>
      <c r="S17" s="38" t="n">
        <v>426</v>
      </c>
      <c r="T17" s="38" t="n">
        <v>150</v>
      </c>
      <c r="U17" s="38" t="n">
        <v>313</v>
      </c>
      <c r="V17" s="38" t="n">
        <v>484</v>
      </c>
    </row>
    <row r="18">
      <c r="A18" s="6" t="inlineStr">
        <is>
          <t>Stock-based compensation expense</t>
        </is>
      </c>
      <c r="C18" s="38" t="n">
        <v>679</v>
      </c>
      <c r="D18" s="38" t="n">
        <v>921</v>
      </c>
      <c r="E18" s="38" t="n">
        <v>1227</v>
      </c>
      <c r="F18" s="38" t="n">
        <v>2185</v>
      </c>
      <c r="G18" s="38" t="n">
        <v>1976</v>
      </c>
      <c r="H18" s="38" t="n">
        <v>1704</v>
      </c>
      <c r="I18" s="38" t="n">
        <v>1533</v>
      </c>
      <c r="J18" s="38" t="n">
        <v>2171</v>
      </c>
      <c r="K18" s="38" t="n">
        <v>5741</v>
      </c>
      <c r="L18" s="38" t="n">
        <v>7568</v>
      </c>
      <c r="M18" s="13" t="n"/>
      <c r="N18" s="13" t="n"/>
      <c r="O18" s="38" t="n">
        <v>3039</v>
      </c>
      <c r="P18" s="38" t="n">
        <v>4427</v>
      </c>
      <c r="Q18" s="38" t="n">
        <v>1280</v>
      </c>
      <c r="R18" s="38" t="n">
        <v>3051</v>
      </c>
      <c r="S18" s="38" t="n">
        <v>5373</v>
      </c>
      <c r="T18" s="38" t="n">
        <v>2176</v>
      </c>
      <c r="U18" s="38" t="n">
        <v>4268</v>
      </c>
      <c r="V18" s="38" t="n">
        <v>6287</v>
      </c>
    </row>
    <row r="19">
      <c r="A19" s="6" t="inlineStr">
        <is>
          <t>Excess tax benefits from stock-based compensation</t>
        </is>
      </c>
      <c r="C19" s="38" t="n">
        <v>-89</v>
      </c>
      <c r="M19" s="13" t="n"/>
      <c r="N19" s="13" t="n"/>
    </row>
    <row r="20">
      <c r="A20" s="6" t="inlineStr">
        <is>
          <t>Deferred income taxes and other non-cash taxes</t>
        </is>
      </c>
      <c r="C20" s="38" t="n">
        <v>365</v>
      </c>
      <c r="D20" s="38" t="n">
        <v>-173</v>
      </c>
      <c r="E20" s="38" t="n">
        <v>-8270</v>
      </c>
      <c r="F20" s="38" t="n">
        <v>-934</v>
      </c>
      <c r="G20" s="38" t="n">
        <v>-1142</v>
      </c>
      <c r="H20" s="38" t="n">
        <v>-809</v>
      </c>
      <c r="I20" s="38" t="n">
        <v>-34</v>
      </c>
      <c r="J20" s="38" t="n">
        <v>-501</v>
      </c>
      <c r="K20" s="38" t="n">
        <v>1965</v>
      </c>
      <c r="L20" s="38" t="n">
        <v>-4008</v>
      </c>
      <c r="M20" s="13" t="n"/>
      <c r="N20" s="13" t="n"/>
      <c r="O20" s="38" t="n">
        <v>-805</v>
      </c>
      <c r="P20" s="38" t="n">
        <v>2833</v>
      </c>
      <c r="Q20" s="38" t="n">
        <v>-696</v>
      </c>
      <c r="R20" s="38" t="n">
        <v>-1267</v>
      </c>
      <c r="S20" s="38" t="n">
        <v>-983</v>
      </c>
      <c r="T20" s="38" t="n">
        <v>-455</v>
      </c>
      <c r="U20" s="38" t="n">
        <v>-1058</v>
      </c>
      <c r="V20" s="38" t="n">
        <v>-1051</v>
      </c>
    </row>
    <row r="21">
      <c r="A21" s="6" t="inlineStr">
        <is>
          <t>Impairment on investment</t>
        </is>
      </c>
      <c r="E21" s="38" t="n">
        <v>106</v>
      </c>
      <c r="M21" s="13" t="n"/>
      <c r="N21" s="13" t="n"/>
    </row>
    <row r="22">
      <c r="A22" s="6" t="inlineStr">
        <is>
          <t>Non-cash portion of loss on debt extinguishment</t>
        </is>
      </c>
      <c r="C22" s="38" t="n">
        <v>100</v>
      </c>
      <c r="D22" s="38" t="n">
        <v>166</v>
      </c>
      <c r="G22" s="38" t="n">
        <v>169</v>
      </c>
      <c r="H22" s="38" t="n">
        <v>198</v>
      </c>
      <c r="I22" s="38" t="n">
        <v>100</v>
      </c>
      <c r="K22" s="38" t="n">
        <v>157</v>
      </c>
      <c r="L22" s="38" t="n">
        <v>138</v>
      </c>
      <c r="M22" s="13" t="n"/>
      <c r="N22" s="13" t="n"/>
      <c r="P22" s="38" t="n">
        <v>105</v>
      </c>
      <c r="Q22" s="38" t="n">
        <v>65</v>
      </c>
      <c r="R22" s="38" t="n">
        <v>65</v>
      </c>
      <c r="S22" s="38" t="n">
        <v>118</v>
      </c>
      <c r="T22" s="38" t="n">
        <v>55</v>
      </c>
      <c r="U22" s="38" t="n">
        <v>86</v>
      </c>
      <c r="V22" s="38" t="n">
        <v>161</v>
      </c>
    </row>
    <row r="23">
      <c r="A23" s="6" t="inlineStr">
        <is>
          <t>Non-cash restructuring, impairment and disposal charges</t>
        </is>
      </c>
      <c r="C23" s="38" t="n">
        <v>662</v>
      </c>
      <c r="D23" s="38" t="n">
        <v>71</v>
      </c>
      <c r="E23" s="38" t="n">
        <v>21</v>
      </c>
      <c r="F23" s="38" t="n">
        <v>133</v>
      </c>
      <c r="G23" s="38" t="n">
        <v>44</v>
      </c>
      <c r="H23" s="38" t="n">
        <v>38</v>
      </c>
      <c r="I23" s="38" t="n">
        <v>13</v>
      </c>
      <c r="M23" s="13" t="n"/>
      <c r="N23" s="13" t="n"/>
    </row>
    <row r="24">
      <c r="A24" s="6" t="inlineStr">
        <is>
          <t>Non-cash interest expense / debt issuance cost amortization</t>
        </is>
      </c>
      <c r="C24" s="38" t="n">
        <v>36</v>
      </c>
      <c r="D24" s="38" t="n">
        <v>24</v>
      </c>
      <c r="E24" s="38" t="n">
        <v>24</v>
      </c>
      <c r="F24" s="38" t="n">
        <v>90</v>
      </c>
      <c r="G24" s="38" t="n">
        <v>108</v>
      </c>
      <c r="H24" s="38" t="n">
        <v>96</v>
      </c>
      <c r="I24" s="38" t="n">
        <v>129</v>
      </c>
      <c r="J24" s="38" t="n">
        <v>132</v>
      </c>
      <c r="K24" s="38" t="n">
        <v>427</v>
      </c>
      <c r="L24" s="38" t="n">
        <v>344</v>
      </c>
      <c r="M24" s="13" t="n"/>
      <c r="N24" s="13" t="n"/>
      <c r="O24" s="38" t="n">
        <v>221</v>
      </c>
      <c r="P24" s="38" t="n">
        <v>336</v>
      </c>
      <c r="Q24" s="38" t="n">
        <v>97</v>
      </c>
      <c r="R24" s="38" t="n">
        <v>191</v>
      </c>
      <c r="S24" s="38" t="n">
        <v>273</v>
      </c>
      <c r="T24" s="38" t="n">
        <v>72</v>
      </c>
      <c r="U24" s="38" t="n">
        <v>139</v>
      </c>
      <c r="V24" s="38" t="n">
        <v>204</v>
      </c>
    </row>
    <row r="25">
      <c r="A25" s="6" t="inlineStr">
        <is>
          <t>Other</t>
        </is>
      </c>
      <c r="C25" s="38" t="n">
        <v>-6</v>
      </c>
      <c r="D25" s="38" t="n">
        <v>7</v>
      </c>
      <c r="E25" s="38" t="n">
        <v>37</v>
      </c>
      <c r="F25" s="38" t="n">
        <v>-125</v>
      </c>
      <c r="G25" s="38" t="n">
        <v>-52</v>
      </c>
      <c r="H25" s="38" t="n">
        <v>-113</v>
      </c>
      <c r="I25" s="38" t="n">
        <v>170</v>
      </c>
      <c r="J25" s="38" t="n">
        <v>9</v>
      </c>
      <c r="K25" s="38" t="n">
        <v>404</v>
      </c>
      <c r="L25" s="38" t="n">
        <v>94</v>
      </c>
      <c r="M25" s="13" t="n"/>
      <c r="N25" s="13" t="n"/>
      <c r="O25" s="38" t="n">
        <v>130</v>
      </c>
      <c r="P25" s="38" t="n">
        <v>266</v>
      </c>
      <c r="Q25" s="38" t="n">
        <v>41</v>
      </c>
      <c r="R25" s="38" t="n">
        <v>81</v>
      </c>
      <c r="S25" s="38" t="n">
        <v>58</v>
      </c>
      <c r="T25" s="38" t="n">
        <v>15</v>
      </c>
      <c r="U25" s="38" t="n">
        <v>18</v>
      </c>
      <c r="V25" s="38" t="n">
        <v>31</v>
      </c>
    </row>
    <row r="26">
      <c r="A26" s="6" t="inlineStr">
        <is>
          <t>(Increase) decrease in trade accounts receivable, net</t>
        </is>
      </c>
      <c r="C26" s="38" t="n">
        <v>-491</v>
      </c>
      <c r="D26" s="38" t="n">
        <v>-267</v>
      </c>
      <c r="E26" s="38" t="n">
        <v>-652</v>
      </c>
      <c r="F26" s="38" t="n">
        <v>486</v>
      </c>
      <c r="G26" s="38" t="n">
        <v>981</v>
      </c>
      <c r="H26" s="38" t="n">
        <v>210</v>
      </c>
      <c r="I26" s="38" t="n">
        <v>-870</v>
      </c>
      <c r="J26" s="38" t="n">
        <v>-187</v>
      </c>
      <c r="K26" s="38" t="n">
        <v>2327</v>
      </c>
      <c r="L26" s="38" t="n">
        <v>-2717</v>
      </c>
      <c r="M26" s="13" t="n"/>
      <c r="N26" s="13" t="n"/>
      <c r="O26" s="38" t="n">
        <v>1243</v>
      </c>
      <c r="P26" s="38" t="n">
        <v>2078</v>
      </c>
      <c r="Q26" s="38" t="n">
        <v>-539</v>
      </c>
      <c r="R26" s="38" t="n">
        <v>-1129</v>
      </c>
      <c r="S26" s="38" t="n">
        <v>-2066</v>
      </c>
      <c r="T26" s="38" t="n">
        <v>-1315</v>
      </c>
      <c r="U26" s="38" t="n">
        <v>-3685</v>
      </c>
      <c r="V26" s="38" t="n">
        <v>-6544</v>
      </c>
    </row>
    <row r="27">
      <c r="A27" s="6" t="inlineStr">
        <is>
          <t>(Increase) decrease in inventory</t>
        </is>
      </c>
      <c r="C27" s="38" t="n">
        <v>996</v>
      </c>
      <c r="D27" s="38" t="n">
        <v>-39</v>
      </c>
      <c r="E27" s="38" t="n">
        <v>417</v>
      </c>
      <c r="F27" s="38" t="n">
        <v>250</v>
      </c>
      <c r="G27" s="38" t="n">
        <v>-31</v>
      </c>
      <c r="H27" s="38" t="n">
        <v>-294</v>
      </c>
      <c r="I27" s="38" t="n">
        <v>-627</v>
      </c>
      <c r="J27" s="38" t="n">
        <v>27</v>
      </c>
      <c r="K27" s="38" t="n">
        <v>150</v>
      </c>
      <c r="L27" s="38" t="n">
        <v>-510</v>
      </c>
      <c r="M27" s="13" t="n"/>
      <c r="N27" s="13" t="n"/>
      <c r="O27" s="38" t="n">
        <v>68</v>
      </c>
      <c r="P27" s="38" t="n">
        <v>16</v>
      </c>
      <c r="Q27" s="38" t="n">
        <v>-148</v>
      </c>
      <c r="R27" s="38" t="n">
        <v>-257</v>
      </c>
      <c r="S27" s="38" t="n">
        <v>-420</v>
      </c>
      <c r="T27" s="38" t="n">
        <v>-692</v>
      </c>
      <c r="U27" s="38" t="n">
        <v>-2058</v>
      </c>
      <c r="V27" s="38" t="n">
        <v>-2253</v>
      </c>
    </row>
    <row r="28">
      <c r="A28" s="6" t="inlineStr">
        <is>
          <t>Increase (decrease) in accounts payable</t>
        </is>
      </c>
      <c r="C28" s="38" t="n">
        <v>33</v>
      </c>
      <c r="D28" s="38" t="n">
        <v>-97</v>
      </c>
      <c r="E28" s="38" t="n">
        <v>-325</v>
      </c>
      <c r="F28" s="38" t="n">
        <v>-42</v>
      </c>
      <c r="G28" s="38" t="n">
        <v>-3</v>
      </c>
      <c r="H28" s="38" t="n">
        <v>243</v>
      </c>
      <c r="I28" s="38" t="n">
        <v>-79</v>
      </c>
      <c r="J28" s="38" t="n">
        <v>209</v>
      </c>
      <c r="K28" s="38" t="n">
        <v>121</v>
      </c>
      <c r="L28" s="38" t="n">
        <v>-118</v>
      </c>
      <c r="M28" s="13" t="n"/>
      <c r="N28" s="13" t="n"/>
      <c r="O28" s="38" t="n">
        <v>-167</v>
      </c>
      <c r="P28" s="38" t="n">
        <v>206</v>
      </c>
      <c r="Q28" s="38" t="n">
        <v>241</v>
      </c>
      <c r="R28" s="38" t="n">
        <v>-372</v>
      </c>
      <c r="S28" s="38" t="n">
        <v>-236</v>
      </c>
      <c r="T28" s="38" t="n">
        <v>534</v>
      </c>
      <c r="U28" s="38" t="n">
        <v>683</v>
      </c>
      <c r="V28" s="38" t="n">
        <v>2313</v>
      </c>
    </row>
    <row r="29">
      <c r="A29" s="6" t="inlineStr">
        <is>
          <t>Increase (decrease) in employee compensation and benefits</t>
        </is>
      </c>
      <c r="C29" s="38" t="n">
        <v>163</v>
      </c>
      <c r="D29" s="38" t="n">
        <v>109</v>
      </c>
      <c r="E29" s="38" t="n">
        <v>6</v>
      </c>
      <c r="F29" s="38" t="n">
        <v>-294</v>
      </c>
      <c r="G29" s="38" t="n">
        <v>217</v>
      </c>
      <c r="H29" s="38" t="n">
        <v>186</v>
      </c>
      <c r="I29" s="38" t="n">
        <v>136</v>
      </c>
      <c r="J29" s="38" t="n">
        <v>-279</v>
      </c>
      <c r="K29" s="38" t="n">
        <v>78</v>
      </c>
      <c r="L29" s="38" t="n">
        <v>300</v>
      </c>
      <c r="M29" s="13" t="n"/>
      <c r="N29" s="13" t="n"/>
      <c r="O29" s="38" t="n">
        <v>-409</v>
      </c>
      <c r="P29" s="38" t="n">
        <v>-118</v>
      </c>
      <c r="Q29" s="38" t="n">
        <v>-908</v>
      </c>
      <c r="R29" s="38" t="n">
        <v>-621</v>
      </c>
      <c r="S29" s="38" t="n">
        <v>-110</v>
      </c>
      <c r="T29" s="38" t="n">
        <v>-1261</v>
      </c>
      <c r="U29" s="38" t="n">
        <v>-991</v>
      </c>
      <c r="V29" s="38" t="n">
        <v>-619</v>
      </c>
    </row>
    <row r="30">
      <c r="A30" s="6" t="inlineStr">
        <is>
          <t>Contributions to defined benefit pension plans</t>
        </is>
      </c>
      <c r="D30" s="38" t="n">
        <v>-361</v>
      </c>
      <c r="E30" s="38" t="n">
        <v>-130</v>
      </c>
      <c r="M30" s="13" t="n"/>
      <c r="N30" s="13" t="n"/>
    </row>
    <row r="31">
      <c r="A31" s="6" t="inlineStr">
        <is>
          <t>Change in other current assets and current liabilities</t>
        </is>
      </c>
      <c r="C31" s="38" t="n">
        <v>-98</v>
      </c>
      <c r="D31" s="38" t="n">
        <v>-490</v>
      </c>
      <c r="E31" s="38" t="n">
        <v>369</v>
      </c>
      <c r="F31" s="38" t="n">
        <v>-283</v>
      </c>
      <c r="G31" s="38" t="n">
        <v>331</v>
      </c>
      <c r="H31" s="38" t="n">
        <v>-177</v>
      </c>
      <c r="I31" s="38" t="n">
        <v>222</v>
      </c>
      <c r="J31" s="38" t="n">
        <v>-628</v>
      </c>
      <c r="K31" s="38" t="n">
        <v>-5323</v>
      </c>
      <c r="L31" s="38" t="n">
        <v>-1837</v>
      </c>
      <c r="M31" s="13" t="n"/>
      <c r="N31" s="13" t="n"/>
      <c r="O31" s="38" t="n">
        <v>-2568</v>
      </c>
      <c r="P31" s="38" t="n">
        <v>-3913</v>
      </c>
      <c r="Q31" s="38" t="n">
        <v>26</v>
      </c>
      <c r="R31" s="38" t="n">
        <v>-29</v>
      </c>
      <c r="S31" s="38" t="n">
        <v>-1028</v>
      </c>
      <c r="T31" s="38" t="n">
        <v>-692</v>
      </c>
      <c r="U31" s="38" t="n">
        <v>-218</v>
      </c>
      <c r="V31" s="38" t="n">
        <v>-2893</v>
      </c>
    </row>
    <row r="32">
      <c r="A32" s="6" t="inlineStr">
        <is>
          <t>Change in other long-term assets and long-term liabilities</t>
        </is>
      </c>
      <c r="C32" s="38" t="n">
        <v>-120</v>
      </c>
      <c r="D32" s="38" t="n">
        <v>159</v>
      </c>
      <c r="E32" s="38" t="n">
        <v>-641</v>
      </c>
      <c r="F32" s="38" t="n">
        <v>-301</v>
      </c>
      <c r="G32" s="38" t="n">
        <v>-402</v>
      </c>
      <c r="H32" s="38" t="n">
        <v>-295</v>
      </c>
      <c r="I32" s="38" t="n">
        <v>-436</v>
      </c>
      <c r="J32" s="38" t="n">
        <v>-785</v>
      </c>
      <c r="K32" s="38" t="n">
        <v>-1990</v>
      </c>
      <c r="L32" s="38" t="n">
        <v>-3618</v>
      </c>
      <c r="M32" s="13" t="n"/>
      <c r="N32" s="13" t="n"/>
      <c r="O32" s="38" t="n">
        <v>322</v>
      </c>
      <c r="P32" s="38" t="n">
        <v>-848</v>
      </c>
      <c r="Q32" s="38" t="n">
        <v>-1023</v>
      </c>
      <c r="R32" s="38" t="n">
        <v>-1853</v>
      </c>
      <c r="S32" s="38" t="n">
        <v>-2295</v>
      </c>
      <c r="T32" s="38" t="n">
        <v>321</v>
      </c>
      <c r="U32" s="38" t="n">
        <v>592</v>
      </c>
      <c r="V32" s="38" t="n">
        <v>1036</v>
      </c>
    </row>
    <row r="33">
      <c r="A33" s="14" t="inlineStr">
        <is>
          <t>Net cash provided by operating activities</t>
        </is>
      </c>
      <c r="C33" s="40">
        <f>C14+C16+C17+C18+C19+C20+C21+C22+C23+C24+C25+C26+C27+C28+C29+C30+C31+C32</f>
        <v/>
      </c>
      <c r="D33" s="40">
        <f>D14+D16+D17+D18+D19+D20+D21+D22+D23+D24+D25+D26+D27+D28+D29+D30+D31+D32</f>
        <v/>
      </c>
      <c r="E33" s="40">
        <f>E14+E16+E17+E18+E19+E20+E21+E22+E23+E24+E25+E26+E27+E28+E29+E30+E31+E32</f>
        <v/>
      </c>
      <c r="F33" s="40">
        <f>F14+F16+F17+F18+F19+F20+F21+F22+F23+F24+F25+F26+F27+F28+F29+F30+F31+F32</f>
        <v/>
      </c>
      <c r="G33" s="40">
        <f>G14+G16+G17+G18+G19+G20+G21+G22+G23+G24+G25+G26+G27+G28+G29+G30+G31+G32</f>
        <v/>
      </c>
      <c r="H33" s="40">
        <f>H14+H16+H17+H18+H19+H20+H21+H22+H23+H24+H25+H26+H27+H28+H29+H30+H31+H32</f>
        <v/>
      </c>
      <c r="I33" s="40">
        <f>I14+I16+I17+I18+I19+I20+I21+I22+I23+I24+I25+I26+I27+I28+I29+I30+I31+I32</f>
        <v/>
      </c>
      <c r="J33" s="40">
        <f>J14+J16+J17+J18+J19+J20+J21+J22+J23+J24+J25+J26+J27+J28+J29+J30+J31+J32</f>
        <v/>
      </c>
      <c r="K33" s="40">
        <f>K14+K16+K17+K18+K19+K20+K21+K22+K23+K24+K25+K26+K27+K28+K29+K30+K31+K32</f>
        <v/>
      </c>
      <c r="L33" s="40">
        <f>L14+L16+L17+L18+L19+L20+L21+L22+L23+L24+L25+L26+L27+L28+L29+L30+L31+L32</f>
        <v/>
      </c>
      <c r="M33" s="24" t="n"/>
      <c r="N33" s="24" t="n"/>
      <c r="O33" s="40">
        <f>O14+O16+O17+O18+O19+O20+O21+O22+O23+O24+O25+O26+O27+O28+O29+O30+O31+O32</f>
        <v/>
      </c>
      <c r="P33" s="40">
        <f>P14+P16+P17+P18+P19+P20+P21+P22+P23+P24+P25+P26+P27+P28+P29+P30+P31+P32</f>
        <v/>
      </c>
      <c r="Q33" s="40">
        <f>Q14+Q16+Q17+Q18+Q19+Q20+Q21+Q22+Q23+Q24+Q25+Q26+Q27+Q28+Q29+Q30+Q31+Q32</f>
        <v/>
      </c>
      <c r="R33" s="40">
        <f>R14+R16+R17+R18+R19+R20+R21+R22+R23+R24+R25+R26+R27+R28+R29+R30+R31+R32</f>
        <v/>
      </c>
      <c r="S33" s="40">
        <f>S14+S16+S17+S18+S19+S20+S21+S22+S23+S24+S25+S26+S27+S28+S29+S30+S31+S32</f>
        <v/>
      </c>
      <c r="T33" s="40">
        <f>T14+T16+T17+T18+T19+T20+T21+T22+T23+T24+T25+T26+T27+T28+T29+T30+T31+T32</f>
        <v/>
      </c>
      <c r="U33" s="40">
        <f>U14+U16+U17+U18+U19+U20+U21+U22+U23+U24+U25+U26+U27+U28+U29+U30+U31+U32</f>
        <v/>
      </c>
      <c r="V33" s="40">
        <f>V14+V16+V17+V18+V19+V20+V21+V22+V23+V24+V25+V26+V27+V28+V29+V30+V31+V32</f>
        <v/>
      </c>
    </row>
    <row r="34" ht="8" customHeight="1">
      <c r="M34" s="13" t="n"/>
      <c r="N34" s="13" t="n"/>
    </row>
    <row r="35" ht="20" customHeight="1">
      <c r="A35" s="5" t="inlineStr">
        <is>
          <t>2. INVESTING ACTIVITIES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13" t="n"/>
      <c r="N35" s="13" t="n"/>
      <c r="O35" s="2" t="n"/>
      <c r="P35" s="2" t="n"/>
      <c r="Q35" s="2" t="n"/>
      <c r="R35" s="2" t="n"/>
      <c r="S35" s="2" t="n"/>
      <c r="T35" s="2" t="n"/>
      <c r="U35" s="2" t="n"/>
      <c r="V35" s="2" t="n"/>
    </row>
    <row r="36">
      <c r="A36" s="6" t="inlineStr">
        <is>
          <t>Purchases of property, plant and equipment</t>
        </is>
      </c>
      <c r="C36" s="38" t="n">
        <v>-723</v>
      </c>
      <c r="D36" s="38" t="n">
        <v>-1069</v>
      </c>
      <c r="E36" s="38" t="n">
        <v>-635</v>
      </c>
      <c r="F36" s="38" t="n">
        <v>-432</v>
      </c>
      <c r="G36" s="38" t="n">
        <v>-463</v>
      </c>
      <c r="H36" s="38" t="n">
        <v>-443</v>
      </c>
      <c r="I36" s="38" t="n">
        <v>-424</v>
      </c>
      <c r="J36" s="38" t="n">
        <v>-452</v>
      </c>
      <c r="K36" s="38" t="n">
        <v>-548</v>
      </c>
      <c r="L36" s="38" t="n">
        <v>-623</v>
      </c>
      <c r="M36" s="13" t="n"/>
      <c r="N36" s="13" t="n"/>
      <c r="O36" s="38" t="n">
        <v>-254</v>
      </c>
      <c r="P36" s="38" t="n">
        <v>-426</v>
      </c>
      <c r="Q36" s="38" t="n">
        <v>-100</v>
      </c>
      <c r="R36" s="38" t="n">
        <v>-244</v>
      </c>
      <c r="S36" s="38" t="n">
        <v>-386</v>
      </c>
      <c r="T36" s="38" t="n">
        <v>-250</v>
      </c>
      <c r="U36" s="38" t="n">
        <v>-481</v>
      </c>
      <c r="V36" s="38" t="n">
        <v>-1013</v>
      </c>
    </row>
    <row r="37">
      <c r="A37" s="6" t="inlineStr">
        <is>
          <t>Proceeds from disposals of property, plant and equipment</t>
        </is>
      </c>
      <c r="C37" s="38" t="n">
        <v>5</v>
      </c>
      <c r="D37" s="38" t="n">
        <v>441</v>
      </c>
      <c r="E37" s="38" t="n">
        <v>239</v>
      </c>
      <c r="F37" s="38" t="n">
        <v>88</v>
      </c>
      <c r="G37" s="38" t="n">
        <v>12</v>
      </c>
      <c r="H37" s="38" t="n">
        <v>4</v>
      </c>
      <c r="M37" s="13" t="n"/>
      <c r="N37" s="13" t="n"/>
    </row>
    <row r="38" ht="14" customHeight="1">
      <c r="A38" s="6" t="inlineStr">
        <is>
          <t>Acquisitions of businesses, net of cash acquired</t>
        </is>
      </c>
      <c r="B38" s="20" t="inlineStr">
        <is>
          <t>FY2024: VMware acquisition (closed Nov 22, 2023). Cash outflow of $25,978M reflects only the cash-consideration portion, net of ~$6,642M cash acquired; total deal value was $86,290M, ~$54.2B of which was Broadcom stock (non-cash).</t>
        </is>
      </c>
      <c r="C38" s="38" t="n">
        <v>-10055</v>
      </c>
      <c r="D38" s="38" t="n">
        <v>-40</v>
      </c>
      <c r="E38" s="38" t="n">
        <v>-4800</v>
      </c>
      <c r="F38" s="38" t="n">
        <v>-16033</v>
      </c>
      <c r="G38" s="38" t="n">
        <v>-10872</v>
      </c>
      <c r="H38" s="38" t="n">
        <v>-8</v>
      </c>
      <c r="I38" s="38" t="n">
        <v>-246</v>
      </c>
      <c r="J38" s="38" t="n">
        <v>-53</v>
      </c>
      <c r="K38" s="38" t="n">
        <v>-25978</v>
      </c>
      <c r="M38" s="13" t="n"/>
      <c r="N38" s="13" t="n"/>
      <c r="O38" s="38" t="n">
        <v>-25976</v>
      </c>
      <c r="P38" s="38" t="n">
        <v>-25978</v>
      </c>
    </row>
    <row r="39" ht="24" customHeight="1">
      <c r="A39" s="6" t="inlineStr">
        <is>
          <t>Proceeds from sales of businesses</t>
        </is>
      </c>
      <c r="B39" s="20" t="inlineStr">
        <is>
          <t>FY2024: $3,485M — sale of the VMware End-User Computing (EUC) business to KKR.</t>
        </is>
      </c>
      <c r="C39" s="38" t="n">
        <v>898</v>
      </c>
      <c r="D39" s="38" t="n">
        <v>10</v>
      </c>
      <c r="E39" s="38" t="n">
        <v>773</v>
      </c>
      <c r="F39" s="38" t="n">
        <v>957</v>
      </c>
      <c r="G39" s="38" t="n">
        <v>218</v>
      </c>
      <c r="H39" s="38" t="n">
        <v>45</v>
      </c>
      <c r="K39" s="38" t="n">
        <v>3485</v>
      </c>
      <c r="L39" s="38" t="n">
        <v>300</v>
      </c>
      <c r="M39" s="13" t="n"/>
      <c r="N39" s="13" t="n"/>
      <c r="P39" s="38" t="n">
        <v>3485</v>
      </c>
      <c r="S39" s="38" t="n">
        <v>300</v>
      </c>
    </row>
    <row r="40">
      <c r="A40" s="6" t="inlineStr">
        <is>
          <t>Purchases of investments</t>
        </is>
      </c>
      <c r="C40" s="38" t="n">
        <v>-58</v>
      </c>
      <c r="D40" s="38" t="n">
        <v>-207</v>
      </c>
      <c r="E40" s="38" t="n">
        <v>-249</v>
      </c>
      <c r="F40" s="38" t="n">
        <v>-5</v>
      </c>
      <c r="I40" s="38" t="n">
        <v>-200</v>
      </c>
      <c r="J40" s="38" t="n">
        <v>-346</v>
      </c>
      <c r="K40" s="38" t="n">
        <v>-175</v>
      </c>
      <c r="L40" s="38" t="n">
        <v>-597</v>
      </c>
      <c r="M40" s="13" t="n"/>
      <c r="N40" s="13" t="n"/>
      <c r="O40" s="38" t="n">
        <v>-72</v>
      </c>
      <c r="P40" s="38" t="n">
        <v>-145</v>
      </c>
      <c r="Q40" s="38" t="n">
        <v>-105</v>
      </c>
      <c r="R40" s="38" t="n">
        <v>-162</v>
      </c>
      <c r="S40" s="38" t="n">
        <v>-261</v>
      </c>
      <c r="T40" s="38" t="n">
        <v>-114</v>
      </c>
      <c r="U40" s="38" t="n">
        <v>-137</v>
      </c>
      <c r="V40" s="38" t="n">
        <v>-756</v>
      </c>
    </row>
    <row r="41">
      <c r="A41" s="6" t="inlineStr">
        <is>
          <t>Proceeds from sales/maturities of investments</t>
        </is>
      </c>
      <c r="C41" s="38" t="n">
        <v>104</v>
      </c>
      <c r="D41" s="38" t="n">
        <v>200</v>
      </c>
      <c r="E41" s="38" t="n">
        <v>54</v>
      </c>
      <c r="F41" s="38" t="n">
        <v>5</v>
      </c>
      <c r="H41" s="38" t="n">
        <v>169</v>
      </c>
      <c r="I41" s="38" t="n">
        <v>200</v>
      </c>
      <c r="J41" s="38" t="n">
        <v>228</v>
      </c>
      <c r="K41" s="38" t="n">
        <v>156</v>
      </c>
      <c r="L41" s="38" t="n">
        <v>248</v>
      </c>
      <c r="M41" s="13" t="n"/>
      <c r="N41" s="13" t="n"/>
      <c r="O41" s="38" t="n">
        <v>131</v>
      </c>
      <c r="P41" s="38" t="n">
        <v>136</v>
      </c>
      <c r="Q41" s="38" t="n">
        <v>18</v>
      </c>
      <c r="R41" s="38" t="n">
        <v>96</v>
      </c>
      <c r="S41" s="38" t="n">
        <v>147</v>
      </c>
      <c r="T41" s="38" t="n">
        <v>244</v>
      </c>
      <c r="U41" s="38" t="n">
        <v>283</v>
      </c>
      <c r="V41" s="38" t="n">
        <v>320</v>
      </c>
    </row>
    <row r="42">
      <c r="A42" s="6" t="inlineStr">
        <is>
          <t>Other</t>
        </is>
      </c>
      <c r="C42" s="38" t="n">
        <v>-11</v>
      </c>
      <c r="D42" s="38" t="n">
        <v>-9</v>
      </c>
      <c r="E42" s="38" t="n">
        <v>-56</v>
      </c>
      <c r="F42" s="38" t="n">
        <v>-2</v>
      </c>
      <c r="G42" s="38" t="n">
        <v>-4</v>
      </c>
      <c r="H42" s="38" t="n">
        <v>-12</v>
      </c>
      <c r="I42" s="38" t="n">
        <v>3</v>
      </c>
      <c r="J42" s="38" t="n">
        <v>-66</v>
      </c>
      <c r="K42" s="38" t="n">
        <v>-10</v>
      </c>
      <c r="L42" s="38" t="n">
        <v>92</v>
      </c>
      <c r="M42" s="13" t="n"/>
      <c r="N42" s="13" t="n"/>
      <c r="O42" s="38" t="n">
        <v>-12</v>
      </c>
      <c r="P42" s="38" t="n">
        <v>-10</v>
      </c>
      <c r="Q42" s="38" t="n">
        <v>13</v>
      </c>
      <c r="R42" s="38" t="n">
        <v>3</v>
      </c>
      <c r="S42" s="38" t="n">
        <v>-13</v>
      </c>
      <c r="T42" s="38" t="n">
        <v>5</v>
      </c>
      <c r="U42" s="38" t="n">
        <v>12</v>
      </c>
      <c r="V42" s="38" t="n">
        <v>13</v>
      </c>
    </row>
    <row r="43">
      <c r="A43" s="14" t="inlineStr">
        <is>
          <t>Net cash used in investing activities</t>
        </is>
      </c>
      <c r="C43" s="40">
        <f>C36+C37+C38+C39+C40+C41+C42</f>
        <v/>
      </c>
      <c r="D43" s="40">
        <f>D36+D37+D38+D39+D40+D41+D42</f>
        <v/>
      </c>
      <c r="E43" s="40">
        <f>E36+E37+E38+E39+E40+E41+E42</f>
        <v/>
      </c>
      <c r="F43" s="40">
        <f>F36+F37+F38+F39+F40+F41+F42</f>
        <v/>
      </c>
      <c r="G43" s="40">
        <f>G36+G37+G38+G39+G40+G41+G42</f>
        <v/>
      </c>
      <c r="H43" s="40">
        <f>H36+H37+H38+H39+H40+H41+H42</f>
        <v/>
      </c>
      <c r="I43" s="40">
        <f>I36+I37+I38+I39+I40+I41+I42</f>
        <v/>
      </c>
      <c r="J43" s="40">
        <f>J36+J37+J38+J39+J40+J41+J42</f>
        <v/>
      </c>
      <c r="K43" s="40">
        <f>K36+K37+K38+K39+K40+K41+K42</f>
        <v/>
      </c>
      <c r="L43" s="40">
        <f>L36+L37+L38+L39+L40+L41+L42</f>
        <v/>
      </c>
      <c r="M43" s="24" t="n"/>
      <c r="N43" s="24" t="n"/>
      <c r="O43" s="40">
        <f>O36+O37+O38+O39+O40+O41+O42</f>
        <v/>
      </c>
      <c r="P43" s="40">
        <f>P36+P37+P38+P39+P40+P41+P42</f>
        <v/>
      </c>
      <c r="Q43" s="40">
        <f>Q36+Q37+Q38+Q39+Q40+Q41+Q42</f>
        <v/>
      </c>
      <c r="R43" s="40">
        <f>R36+R37+R38+R39+R40+R41+R42</f>
        <v/>
      </c>
      <c r="S43" s="40">
        <f>S36+S37+S38+S39+S40+S41+S42</f>
        <v/>
      </c>
      <c r="T43" s="40">
        <f>T36+T37+T38+T39+T40+T41+T42</f>
        <v/>
      </c>
      <c r="U43" s="40">
        <f>U36+U37+U38+U39+U40+U41+U42</f>
        <v/>
      </c>
      <c r="V43" s="40">
        <f>V36+V37+V38+V39+V40+V41+V42</f>
        <v/>
      </c>
    </row>
    <row r="44" ht="8" customHeight="1">
      <c r="M44" s="13" t="n"/>
      <c r="N44" s="13" t="n"/>
    </row>
    <row r="45" ht="20" customHeight="1">
      <c r="A45" s="5" t="inlineStr">
        <is>
          <t>3. FINANCING ACTIVITIES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13" t="n"/>
      <c r="N45" s="13" t="n"/>
      <c r="O45" s="2" t="n"/>
      <c r="P45" s="2" t="n"/>
      <c r="Q45" s="2" t="n"/>
      <c r="R45" s="2" t="n"/>
      <c r="S45" s="2" t="n"/>
      <c r="T45" s="2" t="n"/>
      <c r="U45" s="2" t="n"/>
      <c r="V45" s="2" t="n"/>
    </row>
    <row r="46">
      <c r="A46" s="6" t="inlineStr">
        <is>
          <t>Proceeds from long-term borrowings</t>
        </is>
      </c>
      <c r="C46" s="38" t="n">
        <v>19510</v>
      </c>
      <c r="D46" s="38" t="n">
        <v>17426</v>
      </c>
      <c r="F46" s="38" t="n">
        <v>28793</v>
      </c>
      <c r="G46" s="38" t="n">
        <v>27802</v>
      </c>
      <c r="H46" s="38" t="n">
        <v>9904</v>
      </c>
      <c r="I46" s="38" t="n">
        <v>1935</v>
      </c>
      <c r="K46" s="38" t="n">
        <v>39954</v>
      </c>
      <c r="L46" s="38" t="n">
        <v>15666</v>
      </c>
      <c r="M46" s="13" t="n"/>
      <c r="N46" s="13" t="n"/>
      <c r="O46" s="38" t="n">
        <v>30010</v>
      </c>
      <c r="P46" s="38" t="n">
        <v>34985</v>
      </c>
      <c r="Q46" s="38" t="n">
        <v>2986</v>
      </c>
      <c r="R46" s="38" t="n">
        <v>3735</v>
      </c>
      <c r="S46" s="38" t="n">
        <v>10695</v>
      </c>
      <c r="T46" s="38" t="n">
        <v>4474</v>
      </c>
      <c r="U46" s="38" t="n">
        <v>4474</v>
      </c>
      <c r="V46" s="38" t="n">
        <v>4474</v>
      </c>
    </row>
    <row r="47">
      <c r="A47" s="6" t="inlineStr">
        <is>
          <t>Repayment of debt</t>
        </is>
      </c>
      <c r="C47" s="38" t="n">
        <v>-9842</v>
      </c>
      <c r="D47" s="38" t="n">
        <v>-13668</v>
      </c>
      <c r="E47" s="38" t="n">
        <v>-973</v>
      </c>
      <c r="F47" s="38" t="n">
        <v>-16800</v>
      </c>
      <c r="G47" s="38" t="n">
        <v>-18814</v>
      </c>
      <c r="H47" s="38" t="n">
        <v>-11495</v>
      </c>
      <c r="I47" s="38" t="n">
        <v>-2361</v>
      </c>
      <c r="J47" s="38" t="n">
        <v>-403</v>
      </c>
      <c r="K47" s="38" t="n">
        <v>-19608</v>
      </c>
      <c r="L47" s="38" t="n">
        <v>-18478</v>
      </c>
      <c r="M47" s="13" t="n"/>
      <c r="N47" s="13" t="n"/>
      <c r="O47" s="38" t="n">
        <v>-2934</v>
      </c>
      <c r="P47" s="38" t="n">
        <v>-12136</v>
      </c>
      <c r="Q47" s="38" t="n">
        <v>-8090</v>
      </c>
      <c r="R47" s="38" t="n">
        <v>-8090</v>
      </c>
      <c r="S47" s="38" t="n">
        <v>-14840</v>
      </c>
      <c r="T47" s="38" t="n">
        <v>-3650</v>
      </c>
      <c r="U47" s="38" t="n">
        <v>-4900</v>
      </c>
      <c r="V47" s="38" t="n">
        <v>-10528</v>
      </c>
    </row>
    <row r="48">
      <c r="A48" s="6" t="inlineStr">
        <is>
          <t>Payments on assumed debt</t>
        </is>
      </c>
      <c r="C48" s="38" t="n">
        <v>-1475</v>
      </c>
      <c r="M48" s="13" t="n"/>
      <c r="N48" s="13" t="n"/>
    </row>
    <row r="49">
      <c r="A49" s="6" t="inlineStr">
        <is>
          <t>Debt issuance costs</t>
        </is>
      </c>
      <c r="C49" s="38" t="n">
        <v>-123</v>
      </c>
      <c r="D49" s="38" t="n">
        <v>-24</v>
      </c>
      <c r="M49" s="13" t="n"/>
      <c r="N49" s="13" t="n"/>
    </row>
    <row r="50" ht="72" customHeight="1">
      <c r="A50" s="6" t="inlineStr">
        <is>
          <t>Other borrowings, net</t>
        </is>
      </c>
      <c r="B50" s="20" t="inlineStr">
        <is>
          <t>FY2019/FY2020: other net borrowing activity not separately itemized in this model. FY2025 quarterly columns (1Q/2Q/3Q FY2025): this row holds 'Proceeds from commercial paper, net' as disclosed in each quarter's own 10-Q (fiscal-YTD cumulative, consistent with the rest of the CF quarterly columns).</t>
        </is>
      </c>
      <c r="F50" s="38" t="n">
        <v>1241</v>
      </c>
      <c r="G50" s="38" t="n">
        <v>-1285</v>
      </c>
      <c r="M50" s="13" t="n"/>
      <c r="N50" s="13" t="n"/>
      <c r="Q50" s="38" t="n">
        <v>3980</v>
      </c>
      <c r="R50" s="38" t="n">
        <v>3861</v>
      </c>
      <c r="S50" s="38" t="n">
        <v>488</v>
      </c>
    </row>
    <row r="51" ht="48" customHeight="1">
      <c r="A51" s="6" t="inlineStr">
        <is>
          <t>Excess tax benefits from stock-based compensation</t>
        </is>
      </c>
      <c r="B51" s="20" t="inlineStr">
        <is>
          <t>FY2016: offsetting reclassification of the $89M excess tax benefit deducted within operating activities (see CFO section) — required by the cash-basis presentation used that year.</t>
        </is>
      </c>
      <c r="C51" s="38" t="n">
        <v>89</v>
      </c>
      <c r="M51" s="13" t="n"/>
      <c r="N51" s="13" t="n"/>
    </row>
    <row r="52">
      <c r="A52" s="6" t="inlineStr">
        <is>
          <t>Dividends and distributions paid on common stock</t>
        </is>
      </c>
      <c r="C52" s="38" t="n">
        <v>-750</v>
      </c>
      <c r="D52" s="38" t="n">
        <v>-1745</v>
      </c>
      <c r="E52" s="38" t="n">
        <v>-2998</v>
      </c>
      <c r="F52" s="38" t="n">
        <v>-4235</v>
      </c>
      <c r="G52" s="38" t="n">
        <v>-5534</v>
      </c>
      <c r="H52" s="38" t="n">
        <v>-6212</v>
      </c>
      <c r="I52" s="38" t="n">
        <v>-7032</v>
      </c>
      <c r="J52" s="38" t="n">
        <v>-7645</v>
      </c>
      <c r="K52" s="38" t="n">
        <v>-9814</v>
      </c>
      <c r="L52" s="38" t="n">
        <v>-11142</v>
      </c>
      <c r="M52" s="13" t="n"/>
      <c r="N52" s="13" t="n"/>
      <c r="O52" s="38" t="n">
        <v>-4878</v>
      </c>
      <c r="P52" s="38" t="n">
        <v>-7330</v>
      </c>
      <c r="Q52" s="38" t="n">
        <v>-2774</v>
      </c>
      <c r="R52" s="38" t="n">
        <v>-5559</v>
      </c>
      <c r="S52" s="38" t="n">
        <v>-8345</v>
      </c>
      <c r="T52" s="38" t="n">
        <v>-3086</v>
      </c>
      <c r="U52" s="38" t="n">
        <v>-6178</v>
      </c>
      <c r="V52" s="38" t="n">
        <v>-9281</v>
      </c>
    </row>
    <row r="53">
      <c r="A53" s="6" t="inlineStr">
        <is>
          <t>Repurchases of common stock</t>
        </is>
      </c>
      <c r="E53" s="38" t="n">
        <v>-7258</v>
      </c>
      <c r="F53" s="38" t="n">
        <v>-5435</v>
      </c>
      <c r="I53" s="38" t="n">
        <v>-7000</v>
      </c>
      <c r="J53" s="38" t="n">
        <v>-5824</v>
      </c>
      <c r="K53" s="38" t="n">
        <v>-7176</v>
      </c>
      <c r="L53" s="38" t="n">
        <v>-2450</v>
      </c>
      <c r="M53" s="13" t="n"/>
      <c r="N53" s="13" t="n"/>
      <c r="O53" s="38" t="n">
        <v>-7176</v>
      </c>
      <c r="P53" s="38" t="n">
        <v>-7176</v>
      </c>
      <c r="R53" s="38" t="n">
        <v>-2450</v>
      </c>
      <c r="S53" s="38" t="n">
        <v>-2450</v>
      </c>
      <c r="T53" s="38" t="n">
        <v>-7850</v>
      </c>
      <c r="U53" s="38" t="n">
        <v>-8450</v>
      </c>
      <c r="V53" s="38" t="n">
        <v>-8450</v>
      </c>
    </row>
    <row r="54">
      <c r="A54" s="6" t="inlineStr">
        <is>
          <t>Shares repurchased for tax withholdings on vesting of equity awards</t>
        </is>
      </c>
      <c r="F54" s="38" t="n">
        <v>-972</v>
      </c>
      <c r="G54" s="38" t="n">
        <v>-765</v>
      </c>
      <c r="H54" s="38" t="n">
        <v>-1299</v>
      </c>
      <c r="I54" s="38" t="n">
        <v>-1455</v>
      </c>
      <c r="J54" s="38" t="n">
        <v>-1861</v>
      </c>
      <c r="K54" s="38" t="n">
        <v>-5216</v>
      </c>
      <c r="L54" s="38" t="n">
        <v>-3860</v>
      </c>
      <c r="M54" s="13" t="n"/>
      <c r="N54" s="13" t="n"/>
      <c r="O54" s="38" t="n">
        <v>-2662</v>
      </c>
      <c r="P54" s="38" t="n">
        <v>-4012</v>
      </c>
      <c r="Q54" s="38" t="n">
        <v>-2036</v>
      </c>
      <c r="R54" s="38" t="n">
        <v>-3802</v>
      </c>
      <c r="S54" s="38" t="n">
        <v>-3860</v>
      </c>
    </row>
    <row r="55">
      <c r="A55" s="6" t="inlineStr">
        <is>
          <t>Issuance of preferred stock, net</t>
        </is>
      </c>
      <c r="F55" s="38" t="n">
        <v>3679</v>
      </c>
      <c r="M55" s="13" t="n"/>
      <c r="N55" s="13" t="n"/>
    </row>
    <row r="56">
      <c r="A56" s="6" t="inlineStr">
        <is>
          <t>Issuance of common stock</t>
        </is>
      </c>
      <c r="C56" s="38" t="n">
        <v>295</v>
      </c>
      <c r="D56" s="38" t="n">
        <v>257</v>
      </c>
      <c r="E56" s="38" t="n">
        <v>156</v>
      </c>
      <c r="F56" s="38" t="n">
        <v>253</v>
      </c>
      <c r="G56" s="38" t="n">
        <v>276</v>
      </c>
      <c r="H56" s="38" t="n">
        <v>170</v>
      </c>
      <c r="I56" s="38" t="n">
        <v>114</v>
      </c>
      <c r="J56" s="38" t="n">
        <v>122</v>
      </c>
      <c r="K56" s="38" t="n">
        <v>190</v>
      </c>
      <c r="L56" s="38" t="n">
        <v>221</v>
      </c>
      <c r="M56" s="13" t="n"/>
      <c r="N56" s="13" t="n"/>
      <c r="O56" s="38" t="n">
        <v>64</v>
      </c>
      <c r="P56" s="38" t="n">
        <v>64</v>
      </c>
      <c r="R56" s="38" t="n">
        <v>118</v>
      </c>
      <c r="S56" s="38" t="n">
        <v>118</v>
      </c>
      <c r="U56" s="38" t="n">
        <v>113</v>
      </c>
      <c r="V56" s="38" t="n">
        <v>113</v>
      </c>
    </row>
    <row r="57">
      <c r="A57" s="6" t="inlineStr">
        <is>
          <t>Payments of capital lease obligations</t>
        </is>
      </c>
      <c r="D57" s="38" t="n">
        <v>-16</v>
      </c>
      <c r="E57" s="38" t="n">
        <v>-21</v>
      </c>
      <c r="M57" s="13" t="n"/>
      <c r="N57" s="13" t="n"/>
    </row>
    <row r="58">
      <c r="A58" s="6" t="inlineStr">
        <is>
          <t>Other</t>
        </is>
      </c>
      <c r="E58" s="38" t="n">
        <v>-24</v>
      </c>
      <c r="F58" s="38" t="n">
        <v>-36</v>
      </c>
      <c r="G58" s="38" t="n">
        <v>-69</v>
      </c>
      <c r="H58" s="38" t="n">
        <v>-42</v>
      </c>
      <c r="I58" s="38" t="n">
        <v>-17</v>
      </c>
      <c r="J58" s="38" t="n">
        <v>-12</v>
      </c>
      <c r="K58" s="38" t="n">
        <v>-63</v>
      </c>
      <c r="L58" s="38" t="n">
        <v>-84</v>
      </c>
      <c r="M58" s="13" t="n"/>
      <c r="N58" s="13" t="n"/>
      <c r="O58" s="38" t="n">
        <v>-16</v>
      </c>
      <c r="P58" s="38" t="n">
        <v>-52</v>
      </c>
      <c r="Q58" s="38" t="n">
        <v>-46</v>
      </c>
      <c r="R58" s="38" t="n">
        <v>-50</v>
      </c>
      <c r="S58" s="38" t="n">
        <v>-57</v>
      </c>
      <c r="T58" s="38" t="n">
        <v>-37</v>
      </c>
      <c r="U58" s="38" t="n">
        <v>-39</v>
      </c>
      <c r="V58" s="38" t="n">
        <v>-45</v>
      </c>
    </row>
    <row r="59">
      <c r="A59" s="14" t="inlineStr">
        <is>
          <t>Net cash provided by (used in) financing activities</t>
        </is>
      </c>
      <c r="C59" s="40">
        <f>C46+C47+C48+C49+C50+C51+C52+C53+C54+C55+C56+C57+C58</f>
        <v/>
      </c>
      <c r="D59" s="40">
        <f>D46+D47+D48+D49+D50+D51+D52+D53+D54+D55+D56+D57+D58</f>
        <v/>
      </c>
      <c r="E59" s="40">
        <f>E46+E47+E48+E49+E50+E51+E52+E53+E54+E55+E56+E57+E58</f>
        <v/>
      </c>
      <c r="F59" s="40">
        <f>F46+F47+F48+F49+F50+F51+F52+F53+F54+F55+F56+F57+F58</f>
        <v/>
      </c>
      <c r="G59" s="40">
        <f>G46+G47+G48+G49+G50+G51+G52+G53+G54+G55+G56+G57+G58</f>
        <v/>
      </c>
      <c r="H59" s="40">
        <f>H46+H47+H48+H49+H50+H51+H52+H53+H54+H55+H56+H57+H58</f>
        <v/>
      </c>
      <c r="I59" s="40">
        <f>I46+I47+I48+I49+I50+I51+I52+I53+I54+I55+I56+I57+I58</f>
        <v/>
      </c>
      <c r="J59" s="40">
        <f>J46+J47+J48+J49+J50+J51+J52+J53+J54+J55+J56+J57+J58</f>
        <v/>
      </c>
      <c r="K59" s="40">
        <f>K46+K47+K48+K49+K50+K51+K52+K53+K54+K55+K56+K57+K58</f>
        <v/>
      </c>
      <c r="L59" s="40">
        <f>L46+L47+L48+L49+L50+L51+L52+L53+L54+L55+L56+L57+L58</f>
        <v/>
      </c>
      <c r="M59" s="24" t="n"/>
      <c r="N59" s="24" t="n"/>
      <c r="O59" s="40">
        <f>O46+O47+O48+O49+O50+O51+O52+O53+O54+O55+O56+O57+O58</f>
        <v/>
      </c>
      <c r="P59" s="40">
        <f>P46+P47+P48+P49+P50+P51+P52+P53+P54+P55+P56+P57+P58</f>
        <v/>
      </c>
      <c r="Q59" s="40">
        <f>Q46+Q47+Q48+Q49+Q50+Q51+Q52+Q53+Q54+Q55+Q56+Q57+Q58</f>
        <v/>
      </c>
      <c r="R59" s="40">
        <f>R46+R47+R48+R49+R50+R51+R52+R53+R54+R55+R56+R57+R58</f>
        <v/>
      </c>
      <c r="S59" s="40">
        <f>S46+S47+S48+S49+S50+S51+S52+S53+S54+S55+S56+S57+S58</f>
        <v/>
      </c>
      <c r="T59" s="40">
        <f>T46+T47+T48+T49+T50+T51+T52+T53+T54+T55+T56+T57+T58</f>
        <v/>
      </c>
      <c r="U59" s="40">
        <f>U46+U47+U48+U49+U50+U51+U52+U53+U54+U55+U56+U57+U58</f>
        <v/>
      </c>
      <c r="V59" s="40">
        <f>V46+V47+V48+V49+V50+V51+V52+V53+V54+V55+V56+V57+V58</f>
        <v/>
      </c>
    </row>
    <row r="60" ht="8" customHeight="1">
      <c r="M60" s="13" t="n"/>
      <c r="N60" s="13" t="n"/>
    </row>
    <row r="61" ht="20" customHeight="1">
      <c r="A61" s="5" t="inlineStr">
        <is>
          <t>4. NET CHANGE IN CASH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13" t="n"/>
      <c r="N61" s="13" t="n"/>
      <c r="O61" s="2" t="n"/>
      <c r="P61" s="2" t="n"/>
      <c r="Q61" s="2" t="n"/>
      <c r="R61" s="2" t="n"/>
      <c r="S61" s="2" t="n"/>
      <c r="T61" s="2" t="n"/>
      <c r="U61" s="2" t="n"/>
      <c r="V61" s="2" t="n"/>
    </row>
    <row r="62" ht="24" customHeight="1">
      <c r="A62" s="14" t="inlineStr">
        <is>
          <t>Net change in cash and cash equivalents</t>
        </is>
      </c>
      <c r="B62" s="20" t="inlineStr">
        <is>
          <t>No separate FX-translation line is presented in any year of Broadcom's cash flow statement.</t>
        </is>
      </c>
      <c r="C62" s="41">
        <f>C33+C43+C59</f>
        <v/>
      </c>
      <c r="D62" s="41">
        <f>D33+D43+D59</f>
        <v/>
      </c>
      <c r="E62" s="41">
        <f>E33+E43+E59</f>
        <v/>
      </c>
      <c r="F62" s="41">
        <f>F33+F43+F59</f>
        <v/>
      </c>
      <c r="G62" s="41">
        <f>G33+G43+G59</f>
        <v/>
      </c>
      <c r="H62" s="41">
        <f>H33+H43+H59</f>
        <v/>
      </c>
      <c r="I62" s="41">
        <f>I33+I43+I59</f>
        <v/>
      </c>
      <c r="J62" s="41">
        <f>J33+J43+J59</f>
        <v/>
      </c>
      <c r="K62" s="41">
        <f>K33+K43+K59</f>
        <v/>
      </c>
      <c r="L62" s="41">
        <f>L33+L43+L59</f>
        <v/>
      </c>
      <c r="M62" s="13" t="n"/>
      <c r="N62" s="13" t="n"/>
      <c r="O62" s="41">
        <f>O33+O43+O59</f>
        <v/>
      </c>
      <c r="P62" s="41">
        <f>P33+P43+P59</f>
        <v/>
      </c>
      <c r="Q62" s="41">
        <f>Q33+Q43+Q59</f>
        <v/>
      </c>
      <c r="R62" s="41">
        <f>R33+R43+R59</f>
        <v/>
      </c>
      <c r="S62" s="41">
        <f>S33+S43+S59</f>
        <v/>
      </c>
      <c r="T62" s="41">
        <f>T33+T43+T59</f>
        <v/>
      </c>
      <c r="U62" s="41">
        <f>U33+U43+U59</f>
        <v/>
      </c>
      <c r="V62" s="41">
        <f>V33+V43+V59</f>
        <v/>
      </c>
    </row>
    <row r="63">
      <c r="A63" s="6" t="inlineStr">
        <is>
          <t>Cash and cash equivalents, beginning of period</t>
        </is>
      </c>
      <c r="C63" s="38" t="n">
        <v>1822</v>
      </c>
      <c r="D63" s="38" t="n">
        <v>3097</v>
      </c>
      <c r="E63" s="38" t="n">
        <v>11204</v>
      </c>
      <c r="F63" s="38" t="n">
        <v>4292</v>
      </c>
      <c r="G63" s="38" t="n">
        <v>5055</v>
      </c>
      <c r="H63" s="38" t="n">
        <v>7618</v>
      </c>
      <c r="I63" s="38" t="n">
        <v>12163</v>
      </c>
      <c r="J63" s="38" t="n">
        <v>12416</v>
      </c>
      <c r="K63" s="38" t="n">
        <v>14189</v>
      </c>
      <c r="L63" s="38" t="n">
        <v>9348</v>
      </c>
      <c r="M63" s="13" t="n"/>
      <c r="N63" s="13" t="n"/>
      <c r="O63" s="38" t="n">
        <v>14189</v>
      </c>
      <c r="P63" s="38" t="n">
        <v>14189</v>
      </c>
      <c r="Q63" s="38" t="n">
        <v>9348</v>
      </c>
      <c r="R63" s="38" t="n">
        <v>9348</v>
      </c>
      <c r="S63" s="38" t="n">
        <v>9348</v>
      </c>
      <c r="T63" s="38" t="n">
        <v>16178</v>
      </c>
      <c r="U63" s="38" t="n">
        <v>16178</v>
      </c>
      <c r="V63" s="38" t="n">
        <v>16178</v>
      </c>
    </row>
    <row r="64">
      <c r="A64" s="14" t="inlineStr">
        <is>
          <t>Cash and cash equivalents, end of period</t>
        </is>
      </c>
      <c r="C64" s="36" t="n">
        <v>3097</v>
      </c>
      <c r="D64" s="36" t="n">
        <v>11204</v>
      </c>
      <c r="E64" s="36" t="n">
        <v>4292</v>
      </c>
      <c r="F64" s="36" t="n">
        <v>5055</v>
      </c>
      <c r="G64" s="36" t="n">
        <v>7618</v>
      </c>
      <c r="H64" s="36" t="n">
        <v>12163</v>
      </c>
      <c r="I64" s="36" t="n">
        <v>12416</v>
      </c>
      <c r="J64" s="36" t="n">
        <v>14189</v>
      </c>
      <c r="K64" s="36" t="n">
        <v>9348</v>
      </c>
      <c r="L64" s="36" t="n">
        <v>16178</v>
      </c>
      <c r="M64" s="13" t="n"/>
      <c r="N64" s="13" t="n"/>
      <c r="O64" s="36" t="n">
        <v>9809</v>
      </c>
      <c r="P64" s="36" t="n">
        <v>9952</v>
      </c>
      <c r="Q64" s="36" t="n">
        <v>9307</v>
      </c>
      <c r="R64" s="36" t="n">
        <v>9472</v>
      </c>
      <c r="S64" s="36" t="n">
        <v>10718</v>
      </c>
      <c r="T64" s="36" t="n">
        <v>14174</v>
      </c>
      <c r="U64" s="36" t="n">
        <v>19628</v>
      </c>
      <c r="V64" s="36" t="n">
        <v>23975</v>
      </c>
    </row>
    <row r="65">
      <c r="A65" s="6" t="inlineStr">
        <is>
          <t>Cash Walk Check (should be ~0)</t>
        </is>
      </c>
      <c r="C65" s="43">
        <f>C63+C62-C64</f>
        <v/>
      </c>
      <c r="D65" s="43">
        <f>D63+D62-D64</f>
        <v/>
      </c>
      <c r="E65" s="43">
        <f>E63+E62-E64</f>
        <v/>
      </c>
      <c r="F65" s="43">
        <f>F63+F62-F64</f>
        <v/>
      </c>
      <c r="G65" s="43">
        <f>G63+G62-G64</f>
        <v/>
      </c>
      <c r="H65" s="43">
        <f>H63+H62-H64</f>
        <v/>
      </c>
      <c r="I65" s="43">
        <f>I63+I62-I64</f>
        <v/>
      </c>
      <c r="J65" s="43">
        <f>J63+J62-J64</f>
        <v/>
      </c>
      <c r="K65" s="43">
        <f>K63+K62-K64</f>
        <v/>
      </c>
      <c r="L65" s="43">
        <f>L63+L62-L64</f>
        <v/>
      </c>
      <c r="M65" s="13" t="n"/>
      <c r="N65" s="13" t="n"/>
      <c r="O65" s="43">
        <f>O63+O62-O64</f>
        <v/>
      </c>
      <c r="P65" s="43">
        <f>P63+P62-P64</f>
        <v/>
      </c>
      <c r="Q65" s="43">
        <f>Q63+Q62-Q64</f>
        <v/>
      </c>
      <c r="R65" s="43">
        <f>R63+R62-R64</f>
        <v/>
      </c>
      <c r="S65" s="43">
        <f>S63+S62-S64</f>
        <v/>
      </c>
      <c r="T65" s="43">
        <f>T63+T62-T64</f>
        <v/>
      </c>
      <c r="U65" s="43">
        <f>U63+U62-U64</f>
        <v/>
      </c>
      <c r="V65" s="43">
        <f>V63+V62-V64</f>
        <v/>
      </c>
    </row>
    <row r="66" ht="8" customHeight="1">
      <c r="M66" s="13" t="n"/>
      <c r="N66" s="13" t="n"/>
    </row>
    <row r="67" ht="20" customHeight="1">
      <c r="A67" s="5" t="inlineStr">
        <is>
          <t>5. FREE CASH FLOW ANALYTICS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13" t="n"/>
      <c r="N67" s="13" t="n"/>
      <c r="O67" s="2" t="n"/>
      <c r="P67" s="2" t="n"/>
      <c r="Q67" s="2" t="n"/>
      <c r="R67" s="2" t="n"/>
      <c r="S67" s="2" t="n"/>
      <c r="T67" s="2" t="n"/>
      <c r="U67" s="2" t="n"/>
      <c r="V67" s="2" t="n"/>
    </row>
    <row r="68">
      <c r="A68" s="14" t="inlineStr">
        <is>
          <t>Free Cash Flow</t>
        </is>
      </c>
      <c r="C68" s="41">
        <f>C33+C36</f>
        <v/>
      </c>
      <c r="D68" s="41">
        <f>D33+D36</f>
        <v/>
      </c>
      <c r="E68" s="41">
        <f>E33+E36</f>
        <v/>
      </c>
      <c r="F68" s="41">
        <f>F33+F36</f>
        <v/>
      </c>
      <c r="G68" s="41">
        <f>G33+G36</f>
        <v/>
      </c>
      <c r="H68" s="41">
        <f>H33+H36</f>
        <v/>
      </c>
      <c r="I68" s="41">
        <f>I33+I36</f>
        <v/>
      </c>
      <c r="J68" s="41">
        <f>J33+J36</f>
        <v/>
      </c>
      <c r="K68" s="41">
        <f>K33+K36</f>
        <v/>
      </c>
      <c r="L68" s="41">
        <f>L33+L36</f>
        <v/>
      </c>
      <c r="M68" s="13" t="n"/>
      <c r="N68" s="13" t="n"/>
      <c r="O68" s="41">
        <f>O33+O36</f>
        <v/>
      </c>
      <c r="P68" s="41">
        <f>P33+P36</f>
        <v/>
      </c>
      <c r="Q68" s="41">
        <f>Q33+Q36</f>
        <v/>
      </c>
      <c r="R68" s="41">
        <f>R33+R36</f>
        <v/>
      </c>
      <c r="S68" s="41">
        <f>S33+S36</f>
        <v/>
      </c>
      <c r="T68" s="41">
        <f>T33+T36</f>
        <v/>
      </c>
      <c r="U68" s="41">
        <f>U33+U36</f>
        <v/>
      </c>
      <c r="V68" s="41">
        <f>V33+V36</f>
        <v/>
      </c>
    </row>
    <row r="69">
      <c r="A69" s="17" t="inlineStr">
        <is>
          <t xml:space="preserve">  YoY Growth</t>
        </is>
      </c>
      <c r="D69" s="37">
        <f>IF(N(C68)=0,"",D68/C68-1)</f>
        <v/>
      </c>
      <c r="E69" s="37">
        <f>IF(N(D68)=0,"",E68/D68-1)</f>
        <v/>
      </c>
      <c r="F69" s="37">
        <f>IF(N(E68)=0,"",F68/E68-1)</f>
        <v/>
      </c>
      <c r="G69" s="37">
        <f>IF(N(F68)=0,"",G68/F68-1)</f>
        <v/>
      </c>
      <c r="H69" s="37">
        <f>IF(N(G68)=0,"",H68/G68-1)</f>
        <v/>
      </c>
      <c r="I69" s="37">
        <f>IF(N(H68)=0,"",I68/H68-1)</f>
        <v/>
      </c>
      <c r="J69" s="37">
        <f>IF(N(I68)=0,"",J68/I68-1)</f>
        <v/>
      </c>
      <c r="K69" s="37">
        <f>IF(N(J68)=0,"",K68/J68-1)</f>
        <v/>
      </c>
      <c r="L69" s="37">
        <f>IF(N(K68)=0,"",L68/K68-1)</f>
        <v/>
      </c>
      <c r="M69" s="13" t="n"/>
      <c r="N69" s="13" t="n"/>
      <c r="S69" s="37">
        <f>IF(N(O68)=0,"",S68/O68-1)</f>
        <v/>
      </c>
      <c r="T69" s="37">
        <f>IF(N(P68)=0,"",T68/P68-1)</f>
        <v/>
      </c>
      <c r="U69" s="37">
        <f>IF(N(Q68)=0,"",U68/Q68-1)</f>
        <v/>
      </c>
      <c r="V69" s="37">
        <f>IF(N(R68)=0,"",V68/R68-1)</f>
        <v/>
      </c>
    </row>
    <row r="70">
      <c r="A70" s="17" t="inlineStr">
        <is>
          <t xml:space="preserve">  Capex % of Revenue</t>
        </is>
      </c>
      <c r="C70" s="37">
        <f>0-C36/'Income Statement'!C14</f>
        <v/>
      </c>
      <c r="D70" s="37">
        <f>0-D36/'Income Statement'!D14</f>
        <v/>
      </c>
      <c r="E70" s="37">
        <f>0-E36/'Income Statement'!E14</f>
        <v/>
      </c>
      <c r="F70" s="37">
        <f>0-F36/'Income Statement'!F14</f>
        <v/>
      </c>
      <c r="G70" s="37">
        <f>0-G36/'Income Statement'!G14</f>
        <v/>
      </c>
      <c r="H70" s="37">
        <f>0-H36/'Income Statement'!H14</f>
        <v/>
      </c>
      <c r="I70" s="37">
        <f>0-I36/'Income Statement'!I14</f>
        <v/>
      </c>
      <c r="J70" s="37">
        <f>0-J36/'Income Statement'!J14</f>
        <v/>
      </c>
      <c r="K70" s="37">
        <f>0-K36/'Income Statement'!K14</f>
        <v/>
      </c>
      <c r="L70" s="37">
        <f>0-L36/'Income Statement'!L14</f>
        <v/>
      </c>
      <c r="M70" s="13" t="n"/>
      <c r="N70" s="13" t="n"/>
      <c r="O70" s="37">
        <f>0-O36/'Income Statement'!O14</f>
        <v/>
      </c>
      <c r="P70" s="37">
        <f>0-P36/'Income Statement'!P14</f>
        <v/>
      </c>
      <c r="Q70" s="37">
        <f>0-Q36/'Income Statement'!Q14</f>
        <v/>
      </c>
      <c r="R70" s="37">
        <f>0-R36/'Income Statement'!R14</f>
        <v/>
      </c>
      <c r="S70" s="37">
        <f>0-S36/'Income Statement'!S14</f>
        <v/>
      </c>
      <c r="T70" s="37">
        <f>0-T36/'Income Statement'!T14</f>
        <v/>
      </c>
      <c r="U70" s="37">
        <f>0-U36/'Income Statement'!U14</f>
        <v/>
      </c>
      <c r="V70" s="37">
        <f>0-V36/'Income Statement'!V14</f>
        <v/>
      </c>
    </row>
    <row r="71">
      <c r="A71" s="17" t="inlineStr">
        <is>
          <t xml:space="preserve">  FCF Margin</t>
        </is>
      </c>
      <c r="C71" s="37">
        <f>C68/'Income Statement'!C14</f>
        <v/>
      </c>
      <c r="D71" s="37">
        <f>D68/'Income Statement'!D14</f>
        <v/>
      </c>
      <c r="E71" s="37">
        <f>E68/'Income Statement'!E14</f>
        <v/>
      </c>
      <c r="F71" s="37">
        <f>F68/'Income Statement'!F14</f>
        <v/>
      </c>
      <c r="G71" s="37">
        <f>G68/'Income Statement'!G14</f>
        <v/>
      </c>
      <c r="H71" s="37">
        <f>H68/'Income Statement'!H14</f>
        <v/>
      </c>
      <c r="I71" s="37">
        <f>I68/'Income Statement'!I14</f>
        <v/>
      </c>
      <c r="J71" s="37">
        <f>J68/'Income Statement'!J14</f>
        <v/>
      </c>
      <c r="K71" s="37">
        <f>K68/'Income Statement'!K14</f>
        <v/>
      </c>
      <c r="L71" s="37">
        <f>L68/'Income Statement'!L14</f>
        <v/>
      </c>
      <c r="M71" s="13" t="n"/>
      <c r="N71" s="13" t="n"/>
      <c r="O71" s="37">
        <f>O68/'Income Statement'!O14</f>
        <v/>
      </c>
      <c r="P71" s="37">
        <f>P68/'Income Statement'!P14</f>
        <v/>
      </c>
      <c r="Q71" s="37">
        <f>Q68/'Income Statement'!Q14</f>
        <v/>
      </c>
      <c r="R71" s="37">
        <f>R68/'Income Statement'!R14</f>
        <v/>
      </c>
      <c r="S71" s="37">
        <f>S68/'Income Statement'!S14</f>
        <v/>
      </c>
      <c r="T71" s="37">
        <f>T68/'Income Statement'!T14</f>
        <v/>
      </c>
      <c r="U71" s="37">
        <f>U68/'Income Statement'!U14</f>
        <v/>
      </c>
      <c r="V71" s="37">
        <f>V68/'Income Statement'!V14</f>
        <v/>
      </c>
    </row>
    <row r="72">
      <c r="A72" s="17" t="inlineStr">
        <is>
          <t xml:space="preserve">  FCF Conversion (FCF / Net Income)</t>
        </is>
      </c>
      <c r="C72" s="37">
        <f>C68/'Income Statement'!C50</f>
        <v/>
      </c>
      <c r="D72" s="37">
        <f>D68/'Income Statement'!D50</f>
        <v/>
      </c>
      <c r="E72" s="37">
        <f>E68/'Income Statement'!E50</f>
        <v/>
      </c>
      <c r="F72" s="37">
        <f>F68/'Income Statement'!F50</f>
        <v/>
      </c>
      <c r="G72" s="37">
        <f>G68/'Income Statement'!G50</f>
        <v/>
      </c>
      <c r="H72" s="37">
        <f>H68/'Income Statement'!H50</f>
        <v/>
      </c>
      <c r="I72" s="37">
        <f>I68/'Income Statement'!I50</f>
        <v/>
      </c>
      <c r="J72" s="37">
        <f>J68/'Income Statement'!J50</f>
        <v/>
      </c>
      <c r="K72" s="37">
        <f>K68/'Income Statement'!K50</f>
        <v/>
      </c>
      <c r="L72" s="37">
        <f>L68/'Income Statement'!L50</f>
        <v/>
      </c>
      <c r="M72" s="13" t="n"/>
      <c r="N72" s="13" t="n"/>
      <c r="O72" s="37">
        <f>O68/'Income Statement'!O50</f>
        <v/>
      </c>
      <c r="P72" s="37">
        <f>P68/'Income Statement'!P50</f>
        <v/>
      </c>
      <c r="Q72" s="37">
        <f>Q68/'Income Statement'!Q50</f>
        <v/>
      </c>
      <c r="R72" s="37">
        <f>R68/'Income Statement'!R50</f>
        <v/>
      </c>
      <c r="S72" s="37">
        <f>S68/'Income Statement'!S50</f>
        <v/>
      </c>
      <c r="T72" s="37">
        <f>T68/'Income Statement'!T50</f>
        <v/>
      </c>
      <c r="U72" s="37">
        <f>U68/'Income Statement'!U50</f>
        <v/>
      </c>
      <c r="V72" s="37">
        <f>V68/'Income Statement'!V50</f>
        <v/>
      </c>
    </row>
    <row r="73">
      <c r="M73" s="13" t="n"/>
      <c r="N73" s="13" t="n"/>
    </row>
  </sheetData>
  <conditionalFormatting sqref="C15:V15">
    <cfRule type="cellIs" priority="1" operator="notBetween" dxfId="0">
      <formula>-0.5</formula>
      <formula>0.5</formula>
    </cfRule>
  </conditionalFormatting>
  <conditionalFormatting sqref="C65:V65">
    <cfRule type="cellIs" priority="2" operator="notBetween" dxfId="0">
      <formula>-0.5</formula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548235"/>
    <outlinePr summaryBelow="1" summaryRight="1"/>
    <pageSetUpPr/>
  </sheetPr>
  <dimension ref="A1:V52"/>
  <sheetViews>
    <sheetView showGridLines="0" zoomScale="85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4"/>
  <cols>
    <col width="46" customWidth="1" min="1" max="1"/>
    <col hidden="1" outlineLevel="1" width="34" customWidth="1" min="2" max="2"/>
    <col collapsed="1" width="12" customWidth="1" min="3" max="3"/>
    <col width="12" customWidth="1" min="4" max="12"/>
    <col width="9" customWidth="1" min="13" max="14"/>
    <col width="12" customWidth="1" min="15" max="22"/>
  </cols>
  <sheetData>
    <row r="1" ht="28" customHeight="1">
      <c r="A1" s="1" t="inlineStr">
        <is>
          <t>Broadcom Inc. — Segments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6" customHeight="1">
      <c r="A2" s="3" t="inlineStr">
        <is>
          <t>$ in millions except per-share data  |  USD  |  as of 2026-09-22</t>
        </is>
      </c>
    </row>
    <row r="3">
      <c r="C3" s="10" t="inlineStr">
        <is>
          <t>FY2016</t>
        </is>
      </c>
      <c r="D3" s="10" t="inlineStr">
        <is>
          <t>FY2017</t>
        </is>
      </c>
      <c r="E3" s="10" t="inlineStr">
        <is>
          <t>FY2018</t>
        </is>
      </c>
      <c r="F3" s="10" t="inlineStr">
        <is>
          <t>FY2019</t>
        </is>
      </c>
      <c r="G3" s="10" t="inlineStr">
        <is>
          <t>FY2020</t>
        </is>
      </c>
      <c r="H3" s="10" t="inlineStr">
        <is>
          <t>FY2021</t>
        </is>
      </c>
      <c r="I3" s="10" t="inlineStr">
        <is>
          <t>FY2022</t>
        </is>
      </c>
      <c r="J3" s="10" t="inlineStr">
        <is>
          <t>FY2023</t>
        </is>
      </c>
      <c r="K3" s="10" t="inlineStr">
        <is>
          <t>FY2024</t>
        </is>
      </c>
      <c r="L3" s="10" t="inlineStr">
        <is>
          <t>FY2025</t>
        </is>
      </c>
      <c r="M3" s="11" t="inlineStr">
        <is>
          <t>·</t>
        </is>
      </c>
      <c r="N3" s="11" t="inlineStr">
        <is>
          <t>·</t>
        </is>
      </c>
      <c r="O3" s="10" t="inlineStr">
        <is>
          <t>2Q FY2024</t>
        </is>
      </c>
      <c r="P3" s="10" t="inlineStr">
        <is>
          <t>3Q FY2024</t>
        </is>
      </c>
      <c r="Q3" s="10" t="inlineStr">
        <is>
          <t>1Q FY2025</t>
        </is>
      </c>
      <c r="R3" s="10" t="inlineStr">
        <is>
          <t>2Q FY2025</t>
        </is>
      </c>
      <c r="S3" s="10" t="inlineStr">
        <is>
          <t>3Q FY2025</t>
        </is>
      </c>
      <c r="T3" s="10" t="inlineStr">
        <is>
          <t>1Q FY2026</t>
        </is>
      </c>
      <c r="U3" s="10" t="inlineStr">
        <is>
          <t>2Q FY2026</t>
        </is>
      </c>
      <c r="V3" s="10" t="inlineStr">
        <is>
          <t>3Q FY2026</t>
        </is>
      </c>
    </row>
    <row r="4">
      <c r="C4" s="12" t="inlineStr">
        <is>
          <t>2016-10-30</t>
        </is>
      </c>
      <c r="D4" s="12" t="inlineStr">
        <is>
          <t>2017-10-29</t>
        </is>
      </c>
      <c r="E4" s="12" t="inlineStr">
        <is>
          <t>2018-11-04</t>
        </is>
      </c>
      <c r="F4" s="12" t="inlineStr">
        <is>
          <t>2019-11-03</t>
        </is>
      </c>
      <c r="G4" s="12" t="inlineStr">
        <is>
          <t>2020-11-01</t>
        </is>
      </c>
      <c r="H4" s="12" t="inlineStr">
        <is>
          <t>2021-10-31</t>
        </is>
      </c>
      <c r="I4" s="12" t="inlineStr">
        <is>
          <t>2022-10-30</t>
        </is>
      </c>
      <c r="J4" s="12" t="inlineStr">
        <is>
          <t>2023-10-29</t>
        </is>
      </c>
      <c r="K4" s="12" t="inlineStr">
        <is>
          <t>2024-11-03</t>
        </is>
      </c>
      <c r="L4" s="12" t="inlineStr">
        <is>
          <t>2025-11-02</t>
        </is>
      </c>
      <c r="M4" s="13" t="n"/>
      <c r="N4" s="13" t="n"/>
      <c r="O4" s="12" t="inlineStr">
        <is>
          <t>2024-05-05</t>
        </is>
      </c>
      <c r="P4" s="12" t="inlineStr">
        <is>
          <t>2024-08-04</t>
        </is>
      </c>
      <c r="Q4" s="12" t="inlineStr">
        <is>
          <t>2025-02-02</t>
        </is>
      </c>
      <c r="R4" s="12" t="inlineStr">
        <is>
          <t>2025-05-04</t>
        </is>
      </c>
      <c r="S4" s="12" t="inlineStr">
        <is>
          <t>2025-08-03</t>
        </is>
      </c>
      <c r="T4" s="12" t="inlineStr">
        <is>
          <t>2026-02-01</t>
        </is>
      </c>
      <c r="U4" s="12" t="inlineStr">
        <is>
          <t>2026-05-03</t>
        </is>
      </c>
      <c r="V4" s="12" t="inlineStr">
        <is>
          <t>2026-08-02</t>
        </is>
      </c>
    </row>
    <row r="5">
      <c r="M5" s="13" t="n"/>
      <c r="N5" s="13" t="n"/>
    </row>
    <row r="6">
      <c r="A6" s="14" t="inlineStr">
        <is>
          <t>CONTENTS</t>
        </is>
      </c>
      <c r="M6" s="13" t="n"/>
      <c r="N6" s="13" t="n"/>
    </row>
    <row r="7">
      <c r="A7" s="15">
        <f>HYPERLINK("#'Segments'!A11","1. LEGACY 4-SEGMENT STRUCTURE (FY2016-FY2018)")</f>
        <v/>
      </c>
      <c r="M7" s="13" t="n"/>
      <c r="N7" s="13" t="n"/>
    </row>
    <row r="8">
      <c r="A8" s="15">
        <f>HYPERLINK("#'Segments'!A27","2. 3-SEGMENT STRUCTURE (FY2019 ONLY — CA Technologies year)")</f>
        <v/>
      </c>
      <c r="M8" s="13" t="n"/>
      <c r="N8" s="13" t="n"/>
    </row>
    <row r="9">
      <c r="A9" s="15">
        <f>HYPERLINK("#'Segments'!A41","3. 2-SEGMENT STRUCTURE (FY2020-PRESENT)")</f>
        <v/>
      </c>
      <c r="M9" s="13" t="n"/>
      <c r="N9" s="13" t="n"/>
    </row>
    <row r="10" ht="8" customHeight="1">
      <c r="M10" s="13" t="n"/>
      <c r="N10" s="13" t="n"/>
    </row>
    <row r="11" ht="20" customHeight="1">
      <c r="A11" s="5" t="inlineStr">
        <is>
          <t>1. LEGACY 4-SEGMENT STRUCTURE (FY2016-FY2018)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13" t="n"/>
      <c r="N11" s="13" t="n"/>
      <c r="O11" s="2" t="n"/>
      <c r="P11" s="2" t="n"/>
      <c r="Q11" s="2" t="n"/>
      <c r="R11" s="2" t="n"/>
      <c r="S11" s="2" t="n"/>
      <c r="T11" s="2" t="n"/>
      <c r="U11" s="2" t="n"/>
      <c r="V11" s="2" t="n"/>
    </row>
    <row r="12">
      <c r="A12" s="6" t="inlineStr">
        <is>
          <t>Wired Infrastructure — Revenue</t>
        </is>
      </c>
      <c r="C12" s="38" t="n">
        <v>6582</v>
      </c>
      <c r="D12" s="38" t="n">
        <v>8549</v>
      </c>
      <c r="E12" s="38" t="n">
        <v>8674</v>
      </c>
      <c r="M12" s="13" t="n"/>
      <c r="N12" s="13" t="n"/>
    </row>
    <row r="13">
      <c r="A13" s="6" t="inlineStr">
        <is>
          <t>Wireless Communications — Revenue</t>
        </is>
      </c>
      <c r="C13" s="38" t="n">
        <v>3724</v>
      </c>
      <c r="D13" s="38" t="n">
        <v>5404</v>
      </c>
      <c r="E13" s="38" t="n">
        <v>6490</v>
      </c>
      <c r="M13" s="13" t="n"/>
      <c r="N13" s="13" t="n"/>
    </row>
    <row r="14">
      <c r="A14" s="6" t="inlineStr">
        <is>
          <t>Enterprise Storage — Revenue</t>
        </is>
      </c>
      <c r="C14" s="38" t="n">
        <v>2291</v>
      </c>
      <c r="D14" s="38" t="n">
        <v>2799</v>
      </c>
      <c r="E14" s="38" t="n">
        <v>4673</v>
      </c>
      <c r="M14" s="13" t="n"/>
      <c r="N14" s="13" t="n"/>
    </row>
    <row r="15">
      <c r="A15" s="6" t="inlineStr">
        <is>
          <t>Industrial &amp; Other — Revenue</t>
        </is>
      </c>
      <c r="C15" s="38" t="n">
        <v>643</v>
      </c>
      <c r="D15" s="38" t="n">
        <v>884</v>
      </c>
      <c r="E15" s="38" t="n">
        <v>1011</v>
      </c>
      <c r="M15" s="13" t="n"/>
      <c r="N15" s="13" t="n"/>
    </row>
    <row r="16">
      <c r="A16" s="14" t="inlineStr">
        <is>
          <t>Total segment revenue</t>
        </is>
      </c>
      <c r="C16" s="40">
        <f>C12+C13+C14+C15</f>
        <v/>
      </c>
      <c r="D16" s="40">
        <f>D12+D13+D14+D15</f>
        <v/>
      </c>
      <c r="E16" s="40">
        <f>E12+E13+E14+E15</f>
        <v/>
      </c>
      <c r="M16" s="24" t="n"/>
      <c r="N16" s="24" t="n"/>
    </row>
    <row r="17">
      <c r="A17" s="17" t="inlineStr">
        <is>
          <t xml:space="preserve">  vs IS Revenue (should be ~0)</t>
        </is>
      </c>
      <c r="C17" s="39">
        <f>C16-'Income Statement'!C14</f>
        <v/>
      </c>
      <c r="D17" s="39">
        <f>D16-'Income Statement'!D14</f>
        <v/>
      </c>
      <c r="E17" s="39">
        <f>E16-'Income Statement'!E14</f>
        <v/>
      </c>
      <c r="M17" s="13" t="n"/>
      <c r="N17" s="13" t="n"/>
    </row>
    <row r="18">
      <c r="M18" s="13" t="n"/>
      <c r="N18" s="13" t="n"/>
    </row>
    <row r="19">
      <c r="A19" s="6" t="inlineStr">
        <is>
          <t>Wired Infrastructure — Operating income</t>
        </is>
      </c>
      <c r="C19" s="38" t="n">
        <v>2664</v>
      </c>
      <c r="D19" s="38" t="n">
        <v>3853</v>
      </c>
      <c r="E19" s="38" t="n">
        <v>4093</v>
      </c>
      <c r="M19" s="13" t="n"/>
      <c r="N19" s="13" t="n"/>
    </row>
    <row r="20">
      <c r="A20" s="6" t="inlineStr">
        <is>
          <t>Wireless Communications — Operating income</t>
        </is>
      </c>
      <c r="C20" s="38" t="n">
        <v>1282</v>
      </c>
      <c r="D20" s="38" t="n">
        <v>2155</v>
      </c>
      <c r="E20" s="38" t="n">
        <v>2840</v>
      </c>
      <c r="M20" s="13" t="n"/>
      <c r="N20" s="13" t="n"/>
    </row>
    <row r="21">
      <c r="A21" s="6" t="inlineStr">
        <is>
          <t>Enterprise Storage — Operating income</t>
        </is>
      </c>
      <c r="C21" s="38" t="n">
        <v>995</v>
      </c>
      <c r="D21" s="38" t="n">
        <v>1527</v>
      </c>
      <c r="E21" s="38" t="n">
        <v>2906</v>
      </c>
      <c r="M21" s="13" t="n"/>
      <c r="N21" s="13" t="n"/>
    </row>
    <row r="22">
      <c r="A22" s="6" t="inlineStr">
        <is>
          <t>Industrial &amp; Other — Operating income</t>
        </is>
      </c>
      <c r="C22" s="38" t="n">
        <v>327</v>
      </c>
      <c r="D22" s="38" t="n">
        <v>447</v>
      </c>
      <c r="E22" s="38" t="n">
        <v>571</v>
      </c>
      <c r="M22" s="13" t="n"/>
      <c r="N22" s="13" t="n"/>
    </row>
    <row r="23">
      <c r="A23" s="14" t="inlineStr">
        <is>
          <t>Segment operating income before unallocated</t>
        </is>
      </c>
      <c r="C23" s="40">
        <f>C19+C20+C21+C22</f>
        <v/>
      </c>
      <c r="D23" s="40">
        <f>D19+D20+D21+D22</f>
        <v/>
      </c>
      <c r="E23" s="40">
        <f>E19+E20+E21+E22</f>
        <v/>
      </c>
      <c r="M23" s="24" t="n"/>
      <c r="N23" s="24" t="n"/>
    </row>
    <row r="24">
      <c r="A24" s="6" t="inlineStr">
        <is>
          <t>Unallocated corporate expenses (plug to consolidated OI)</t>
        </is>
      </c>
      <c r="C24" s="43">
        <f>'Income Statement'!C37-C23</f>
        <v/>
      </c>
      <c r="D24" s="43">
        <f>'Income Statement'!D37-D23</f>
        <v/>
      </c>
      <c r="E24" s="43">
        <f>'Income Statement'!E37-E23</f>
        <v/>
      </c>
      <c r="M24" s="13" t="n"/>
      <c r="N24" s="13" t="n"/>
    </row>
    <row r="25">
      <c r="A25" s="14" t="inlineStr">
        <is>
          <t>Total operating income (= IS operating income)</t>
        </is>
      </c>
      <c r="C25" s="45">
        <f>'Income Statement'!C37</f>
        <v/>
      </c>
      <c r="D25" s="45">
        <f>'Income Statement'!D37</f>
        <v/>
      </c>
      <c r="E25" s="45">
        <f>'Income Statement'!E37</f>
        <v/>
      </c>
      <c r="M25" s="13" t="n"/>
      <c r="N25" s="13" t="n"/>
    </row>
    <row r="26" ht="8" customHeight="1">
      <c r="M26" s="13" t="n"/>
      <c r="N26" s="13" t="n"/>
    </row>
    <row r="27" ht="20" customHeight="1">
      <c r="A27" s="5" t="inlineStr">
        <is>
          <t>2. 3-SEGMENT STRUCTURE (FY2019 ONLY — CA Technologies year)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13" t="n"/>
      <c r="N27" s="13" t="n"/>
      <c r="O27" s="2" t="n"/>
      <c r="P27" s="2" t="n"/>
      <c r="Q27" s="2" t="n"/>
      <c r="R27" s="2" t="n"/>
      <c r="S27" s="2" t="n"/>
      <c r="T27" s="2" t="n"/>
      <c r="U27" s="2" t="n"/>
      <c r="V27" s="2" t="n"/>
    </row>
    <row r="28">
      <c r="A28" s="6" t="inlineStr">
        <is>
          <t>Semiconductor solutions — Revenue</t>
        </is>
      </c>
      <c r="F28" s="38" t="n">
        <v>17368</v>
      </c>
      <c r="M28" s="13" t="n"/>
      <c r="N28" s="13" t="n"/>
    </row>
    <row r="29">
      <c r="A29" s="6" t="inlineStr">
        <is>
          <t>Infrastructure software — Revenue</t>
        </is>
      </c>
      <c r="F29" s="38" t="n">
        <v>5156</v>
      </c>
      <c r="M29" s="13" t="n"/>
      <c r="N29" s="13" t="n"/>
    </row>
    <row r="30">
      <c r="A30" s="6" t="inlineStr">
        <is>
          <t>IP licensing — Revenue</t>
        </is>
      </c>
      <c r="F30" s="38" t="n">
        <v>73</v>
      </c>
      <c r="M30" s="13" t="n"/>
      <c r="N30" s="13" t="n"/>
    </row>
    <row r="31">
      <c r="A31" s="14" t="inlineStr">
        <is>
          <t>Total segment revenue</t>
        </is>
      </c>
      <c r="F31" s="40">
        <f>F28+F29+F30</f>
        <v/>
      </c>
      <c r="M31" s="24" t="n"/>
      <c r="N31" s="24" t="n"/>
    </row>
    <row r="32">
      <c r="A32" s="17" t="inlineStr">
        <is>
          <t xml:space="preserve">  vs IS Revenue (should be ~0)</t>
        </is>
      </c>
      <c r="F32" s="39">
        <f>F31-'Income Statement'!F14</f>
        <v/>
      </c>
      <c r="M32" s="13" t="n"/>
      <c r="N32" s="13" t="n"/>
    </row>
    <row r="33">
      <c r="M33" s="13" t="n"/>
      <c r="N33" s="13" t="n"/>
    </row>
    <row r="34">
      <c r="A34" s="6" t="inlineStr">
        <is>
          <t>Semiconductor solutions — Operating income</t>
        </is>
      </c>
      <c r="F34" s="38" t="n">
        <v>8150</v>
      </c>
      <c r="M34" s="13" t="n"/>
      <c r="N34" s="13" t="n"/>
    </row>
    <row r="35">
      <c r="A35" s="6" t="inlineStr">
        <is>
          <t>Infrastructure software — Operating income</t>
        </is>
      </c>
      <c r="F35" s="38" t="n">
        <v>3781</v>
      </c>
      <c r="M35" s="13" t="n"/>
      <c r="N35" s="13" t="n"/>
    </row>
    <row r="36">
      <c r="A36" s="6" t="inlineStr">
        <is>
          <t>IP licensing — Operating income (loss)</t>
        </is>
      </c>
      <c r="F36" s="38" t="n">
        <v>-2</v>
      </c>
      <c r="M36" s="13" t="n"/>
      <c r="N36" s="13" t="n"/>
    </row>
    <row r="37">
      <c r="A37" s="14" t="inlineStr">
        <is>
          <t>Segment operating income before unallocated</t>
        </is>
      </c>
      <c r="F37" s="40">
        <f>F34+F35+F36</f>
        <v/>
      </c>
      <c r="M37" s="24" t="n"/>
      <c r="N37" s="24" t="n"/>
    </row>
    <row r="38">
      <c r="A38" s="6" t="inlineStr">
        <is>
          <t>Unallocated corporate expenses (plug to consolidated OI)</t>
        </is>
      </c>
      <c r="F38" s="43">
        <f>'Income Statement'!F37-F37</f>
        <v/>
      </c>
      <c r="M38" s="13" t="n"/>
      <c r="N38" s="13" t="n"/>
    </row>
    <row r="39">
      <c r="A39" s="14" t="inlineStr">
        <is>
          <t>Total operating income (= IS operating income)</t>
        </is>
      </c>
      <c r="F39" s="45">
        <f>'Income Statement'!F37</f>
        <v/>
      </c>
      <c r="M39" s="13" t="n"/>
      <c r="N39" s="13" t="n"/>
    </row>
    <row r="40" ht="8" customHeight="1">
      <c r="M40" s="13" t="n"/>
      <c r="N40" s="13" t="n"/>
    </row>
    <row r="41" ht="20" customHeight="1">
      <c r="A41" s="5" t="inlineStr">
        <is>
          <t>3. 2-SEGMENT STRUCTURE (FY2020-PRESENT)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13" t="n"/>
      <c r="N41" s="13" t="n"/>
      <c r="O41" s="2" t="n"/>
      <c r="P41" s="2" t="n"/>
      <c r="Q41" s="2" t="n"/>
      <c r="R41" s="2" t="n"/>
      <c r="S41" s="2" t="n"/>
      <c r="T41" s="2" t="n"/>
      <c r="U41" s="2" t="n"/>
      <c r="V41" s="2" t="n"/>
    </row>
    <row r="42">
      <c r="A42" s="6" t="inlineStr">
        <is>
          <t>Semiconductor Solutions — Revenue</t>
        </is>
      </c>
      <c r="G42" s="38" t="n">
        <v>17267</v>
      </c>
      <c r="H42" s="38" t="n">
        <v>20383</v>
      </c>
      <c r="I42" s="38" t="n">
        <v>25818</v>
      </c>
      <c r="J42" s="38" t="n">
        <v>28182</v>
      </c>
      <c r="K42" s="38" t="n">
        <v>30096</v>
      </c>
      <c r="L42" s="38" t="n">
        <v>36858</v>
      </c>
      <c r="M42" s="13" t="n"/>
      <c r="N42" s="13" t="n"/>
      <c r="O42" s="38" t="n">
        <v>7202</v>
      </c>
      <c r="P42" s="38" t="n">
        <v>7274</v>
      </c>
      <c r="Q42" s="38" t="n">
        <v>8212</v>
      </c>
      <c r="R42" s="38" t="n">
        <v>8408</v>
      </c>
      <c r="S42" s="38" t="n">
        <v>9166</v>
      </c>
      <c r="T42" s="38" t="n">
        <v>12515</v>
      </c>
      <c r="U42" s="38" t="n">
        <v>15009</v>
      </c>
      <c r="V42" s="38" t="n">
        <v>20839</v>
      </c>
    </row>
    <row r="43">
      <c r="A43" s="6" t="inlineStr">
        <is>
          <t>Infrastructure Software — Revenue</t>
        </is>
      </c>
      <c r="G43" s="38" t="n">
        <v>6621</v>
      </c>
      <c r="H43" s="38" t="n">
        <v>7067</v>
      </c>
      <c r="I43" s="38" t="n">
        <v>7385</v>
      </c>
      <c r="J43" s="38" t="n">
        <v>7637</v>
      </c>
      <c r="K43" s="38" t="n">
        <v>21478</v>
      </c>
      <c r="L43" s="38" t="n">
        <v>27029</v>
      </c>
      <c r="M43" s="13" t="n"/>
      <c r="N43" s="13" t="n"/>
      <c r="O43" s="38" t="n">
        <v>5285</v>
      </c>
      <c r="P43" s="38" t="n">
        <v>5798</v>
      </c>
      <c r="Q43" s="38" t="n">
        <v>6704</v>
      </c>
      <c r="R43" s="38" t="n">
        <v>6596</v>
      </c>
      <c r="S43" s="38" t="n">
        <v>6786</v>
      </c>
      <c r="T43" s="38" t="n">
        <v>6796</v>
      </c>
      <c r="U43" s="38" t="n">
        <v>7178</v>
      </c>
      <c r="V43" s="38" t="n">
        <v>8752</v>
      </c>
    </row>
    <row r="44">
      <c r="A44" s="14" t="inlineStr">
        <is>
          <t>Total segment revenue</t>
        </is>
      </c>
      <c r="G44" s="40">
        <f>G42+G43</f>
        <v/>
      </c>
      <c r="H44" s="40">
        <f>H42+H43</f>
        <v/>
      </c>
      <c r="I44" s="40">
        <f>I42+I43</f>
        <v/>
      </c>
      <c r="J44" s="40">
        <f>J42+J43</f>
        <v/>
      </c>
      <c r="K44" s="40">
        <f>K42+K43</f>
        <v/>
      </c>
      <c r="L44" s="40">
        <f>L42+L43</f>
        <v/>
      </c>
      <c r="M44" s="24" t="n"/>
      <c r="N44" s="24" t="n"/>
      <c r="O44" s="40">
        <f>O42+O43</f>
        <v/>
      </c>
      <c r="P44" s="40">
        <f>P42+P43</f>
        <v/>
      </c>
      <c r="Q44" s="40">
        <f>Q42+Q43</f>
        <v/>
      </c>
      <c r="R44" s="40">
        <f>R42+R43</f>
        <v/>
      </c>
      <c r="S44" s="40">
        <f>S42+S43</f>
        <v/>
      </c>
      <c r="T44" s="40">
        <f>T42+T43</f>
        <v/>
      </c>
      <c r="U44" s="40">
        <f>U42+U43</f>
        <v/>
      </c>
      <c r="V44" s="40">
        <f>V42+V43</f>
        <v/>
      </c>
    </row>
    <row r="45">
      <c r="A45" s="17" t="inlineStr">
        <is>
          <t xml:space="preserve">  vs IS Revenue (should be ~0; note IS quarterly col is single-quarter, matches segment quarterly col)</t>
        </is>
      </c>
      <c r="G45" s="39">
        <f>G44-'Income Statement'!G14</f>
        <v/>
      </c>
      <c r="H45" s="39">
        <f>H44-'Income Statement'!H14</f>
        <v/>
      </c>
      <c r="I45" s="39">
        <f>I44-'Income Statement'!I14</f>
        <v/>
      </c>
      <c r="J45" s="39">
        <f>J44-'Income Statement'!J14</f>
        <v/>
      </c>
      <c r="K45" s="39">
        <f>K44-'Income Statement'!K14</f>
        <v/>
      </c>
      <c r="L45" s="39">
        <f>L44-'Income Statement'!L14</f>
        <v/>
      </c>
      <c r="M45" s="13" t="n"/>
      <c r="N45" s="13" t="n"/>
      <c r="O45" s="39">
        <f>O44-'Income Statement'!O14</f>
        <v/>
      </c>
      <c r="P45" s="39">
        <f>P44-'Income Statement'!P14</f>
        <v/>
      </c>
      <c r="Q45" s="39">
        <f>Q44-'Income Statement'!Q14</f>
        <v/>
      </c>
      <c r="R45" s="39">
        <f>R44-'Income Statement'!R14</f>
        <v/>
      </c>
      <c r="S45" s="39">
        <f>S44-'Income Statement'!S14</f>
        <v/>
      </c>
      <c r="T45" s="39">
        <f>T44-'Income Statement'!T14</f>
        <v/>
      </c>
      <c r="U45" s="39">
        <f>U44-'Income Statement'!U14</f>
        <v/>
      </c>
      <c r="V45" s="39">
        <f>V44-'Income Statement'!V14</f>
        <v/>
      </c>
    </row>
    <row r="46">
      <c r="M46" s="13" t="n"/>
      <c r="N46" s="13" t="n"/>
    </row>
    <row r="47">
      <c r="A47" s="6" t="inlineStr">
        <is>
          <t>Semiconductor Solutions — Operating income</t>
        </is>
      </c>
      <c r="G47" s="38" t="n">
        <v>8576</v>
      </c>
      <c r="H47" s="38" t="n">
        <v>10976</v>
      </c>
      <c r="I47" s="38" t="n">
        <v>15075</v>
      </c>
      <c r="J47" s="38" t="n">
        <v>16486</v>
      </c>
      <c r="K47" s="38" t="n">
        <v>16759</v>
      </c>
      <c r="L47" s="38" t="n">
        <v>21232</v>
      </c>
      <c r="M47" s="13" t="n"/>
      <c r="N47" s="13" t="n"/>
      <c r="O47" s="38" t="n">
        <v>3978</v>
      </c>
      <c r="P47" s="38" t="n">
        <v>4042</v>
      </c>
      <c r="Q47" s="38" t="n">
        <v>4706</v>
      </c>
      <c r="R47" s="38" t="n">
        <v>4806</v>
      </c>
      <c r="S47" s="38" t="n">
        <v>5217</v>
      </c>
      <c r="T47" s="38" t="n">
        <v>7503</v>
      </c>
      <c r="U47" s="38" t="n">
        <v>9281</v>
      </c>
      <c r="V47" s="38" t="n">
        <v>12770</v>
      </c>
    </row>
    <row r="48">
      <c r="A48" s="6" t="inlineStr">
        <is>
          <t>Infrastructure Software — Operating income</t>
        </is>
      </c>
      <c r="G48" s="38" t="n">
        <v>4363</v>
      </c>
      <c r="H48" s="38" t="n">
        <v>4936</v>
      </c>
      <c r="I48" s="38" t="n">
        <v>5219</v>
      </c>
      <c r="J48" s="38" t="n">
        <v>5639</v>
      </c>
      <c r="K48" s="38" t="n">
        <v>13977</v>
      </c>
      <c r="L48" s="38" t="n">
        <v>20765</v>
      </c>
      <c r="M48" s="13" t="n"/>
      <c r="N48" s="13" t="n"/>
      <c r="O48" s="38" t="n">
        <v>3168</v>
      </c>
      <c r="P48" s="38" t="n">
        <v>3906</v>
      </c>
      <c r="Q48" s="38" t="n">
        <v>5122</v>
      </c>
      <c r="R48" s="38" t="n">
        <v>4987</v>
      </c>
      <c r="S48" s="38" t="n">
        <v>5238</v>
      </c>
      <c r="T48" s="38" t="n">
        <v>5323</v>
      </c>
      <c r="U48" s="38" t="n">
        <v>5647</v>
      </c>
      <c r="V48" s="38" t="n">
        <v>7325</v>
      </c>
    </row>
    <row r="49">
      <c r="A49" s="14" t="inlineStr">
        <is>
          <t>Segment operating income before unallocated</t>
        </is>
      </c>
      <c r="G49" s="40">
        <f>G47+G48</f>
        <v/>
      </c>
      <c r="H49" s="40">
        <f>H47+H48</f>
        <v/>
      </c>
      <c r="I49" s="40">
        <f>I47+I48</f>
        <v/>
      </c>
      <c r="J49" s="40">
        <f>J47+J48</f>
        <v/>
      </c>
      <c r="K49" s="40">
        <f>K47+K48</f>
        <v/>
      </c>
      <c r="L49" s="40">
        <f>L47+L48</f>
        <v/>
      </c>
      <c r="M49" s="24" t="n"/>
      <c r="N49" s="24" t="n"/>
      <c r="O49" s="40">
        <f>O47+O48</f>
        <v/>
      </c>
      <c r="P49" s="40">
        <f>P47+P48</f>
        <v/>
      </c>
      <c r="Q49" s="40">
        <f>Q47+Q48</f>
        <v/>
      </c>
      <c r="R49" s="40">
        <f>R47+R48</f>
        <v/>
      </c>
      <c r="S49" s="40">
        <f>S47+S48</f>
        <v/>
      </c>
      <c r="T49" s="40">
        <f>T47+T48</f>
        <v/>
      </c>
      <c r="U49" s="40">
        <f>U47+U48</f>
        <v/>
      </c>
      <c r="V49" s="40">
        <f>V47+V48</f>
        <v/>
      </c>
    </row>
    <row r="50" ht="48" customHeight="1">
      <c r="A50" s="6" t="inlineStr">
        <is>
          <t>Unallocated corporate expenses (plug to consolidated OI)</t>
        </is>
      </c>
      <c r="B50" s="20" t="inlineStr">
        <is>
          <t>Includes amortization of acquisition-related intangibles, stock-based compensation, restructuring/other charges, and acquisition-related costs — not allocated to segments per the CODM's reporting basis.</t>
        </is>
      </c>
      <c r="G50" s="43">
        <f>'Income Statement'!G37-G49</f>
        <v/>
      </c>
      <c r="H50" s="43">
        <f>'Income Statement'!H37-H49</f>
        <v/>
      </c>
      <c r="I50" s="43">
        <f>'Income Statement'!I37-I49</f>
        <v/>
      </c>
      <c r="J50" s="43">
        <f>'Income Statement'!J37-J49</f>
        <v/>
      </c>
      <c r="K50" s="43">
        <f>'Income Statement'!K37-K49</f>
        <v/>
      </c>
      <c r="L50" s="43">
        <f>'Income Statement'!L37-L49</f>
        <v/>
      </c>
      <c r="M50" s="13" t="n"/>
      <c r="N50" s="13" t="n"/>
      <c r="O50" s="43">
        <f>'Income Statement'!O37-O49</f>
        <v/>
      </c>
      <c r="P50" s="43">
        <f>'Income Statement'!P37-P49</f>
        <v/>
      </c>
      <c r="Q50" s="43">
        <f>'Income Statement'!Q37-Q49</f>
        <v/>
      </c>
      <c r="R50" s="43">
        <f>'Income Statement'!R37-R49</f>
        <v/>
      </c>
      <c r="S50" s="43">
        <f>'Income Statement'!S37-S49</f>
        <v/>
      </c>
      <c r="T50" s="43">
        <f>'Income Statement'!T37-T49</f>
        <v/>
      </c>
      <c r="U50" s="43">
        <f>'Income Statement'!U37-U49</f>
        <v/>
      </c>
      <c r="V50" s="43">
        <f>'Income Statement'!V37-V49</f>
        <v/>
      </c>
    </row>
    <row r="51">
      <c r="A51" s="14" t="inlineStr">
        <is>
          <t>Total operating income (= IS operating income)</t>
        </is>
      </c>
      <c r="G51" s="45">
        <f>'Income Statement'!G37</f>
        <v/>
      </c>
      <c r="H51" s="45">
        <f>'Income Statement'!H37</f>
        <v/>
      </c>
      <c r="I51" s="45">
        <f>'Income Statement'!I37</f>
        <v/>
      </c>
      <c r="J51" s="45">
        <f>'Income Statement'!J37</f>
        <v/>
      </c>
      <c r="K51" s="45">
        <f>'Income Statement'!K37</f>
        <v/>
      </c>
      <c r="L51" s="45">
        <f>'Income Statement'!L37</f>
        <v/>
      </c>
      <c r="M51" s="13" t="n"/>
      <c r="N51" s="13" t="n"/>
      <c r="O51" s="45">
        <f>'Income Statement'!O37</f>
        <v/>
      </c>
      <c r="P51" s="45">
        <f>'Income Statement'!P37</f>
        <v/>
      </c>
      <c r="Q51" s="45">
        <f>'Income Statement'!Q37</f>
        <v/>
      </c>
      <c r="R51" s="45">
        <f>'Income Statement'!R37</f>
        <v/>
      </c>
      <c r="S51" s="45">
        <f>'Income Statement'!S37</f>
        <v/>
      </c>
      <c r="T51" s="45">
        <f>'Income Statement'!T37</f>
        <v/>
      </c>
      <c r="U51" s="45">
        <f>'Income Statement'!U37</f>
        <v/>
      </c>
      <c r="V51" s="45">
        <f>'Income Statement'!V37</f>
        <v/>
      </c>
    </row>
    <row r="52">
      <c r="M52" s="13" t="n"/>
      <c r="N52" s="13" t="n"/>
    </row>
  </sheetData>
  <conditionalFormatting sqref="C17:V17">
    <cfRule type="cellIs" priority="1" operator="notBetween" dxfId="0">
      <formula>-0.5</formula>
      <formula>0.5</formula>
    </cfRule>
  </conditionalFormatting>
  <conditionalFormatting sqref="C32:V32">
    <cfRule type="cellIs" priority="2" operator="notBetween" dxfId="0">
      <formula>-0.5</formula>
      <formula>0.5</formula>
    </cfRule>
  </conditionalFormatting>
  <conditionalFormatting sqref="C45:V45">
    <cfRule type="cellIs" priority="3" operator="notBetween" dxfId="0">
      <formula>-0.5</formula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548235"/>
    <outlinePr summaryBelow="1" summaryRight="1"/>
    <pageSetUpPr/>
  </sheetPr>
  <dimension ref="A1:V42"/>
  <sheetViews>
    <sheetView showGridLines="0" zoomScale="85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1" sqref="A11:XFD11"/>
    </sheetView>
  </sheetViews>
  <sheetFormatPr baseColWidth="10" defaultColWidth="8.83203125" defaultRowHeight="14"/>
  <cols>
    <col width="46" customWidth="1" min="1" max="1"/>
    <col hidden="1" outlineLevel="1" width="34" customWidth="1" min="2" max="2"/>
    <col collapsed="1" width="12" customWidth="1" min="3" max="3"/>
    <col width="12" customWidth="1" min="4" max="12"/>
    <col width="9" customWidth="1" min="13" max="14"/>
    <col width="12" customWidth="1" min="15" max="22"/>
  </cols>
  <sheetData>
    <row r="1" ht="28" customHeight="1">
      <c r="A1" s="1" t="inlineStr">
        <is>
          <t>Broadcom Inc. — Geography &amp; Products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6" customHeight="1">
      <c r="A2" s="3" t="inlineStr">
        <is>
          <t>$ in millions except per-share data  |  USD  |  as of 2026-09-22</t>
        </is>
      </c>
    </row>
    <row r="3">
      <c r="C3" s="10" t="inlineStr">
        <is>
          <t>FY2016</t>
        </is>
      </c>
      <c r="D3" s="10" t="inlineStr">
        <is>
          <t>FY2017</t>
        </is>
      </c>
      <c r="E3" s="10" t="inlineStr">
        <is>
          <t>FY2018</t>
        </is>
      </c>
      <c r="F3" s="10" t="inlineStr">
        <is>
          <t>FY2019</t>
        </is>
      </c>
      <c r="G3" s="10" t="inlineStr">
        <is>
          <t>FY2020</t>
        </is>
      </c>
      <c r="H3" s="10" t="inlineStr">
        <is>
          <t>FY2021</t>
        </is>
      </c>
      <c r="I3" s="10" t="inlineStr">
        <is>
          <t>FY2022</t>
        </is>
      </c>
      <c r="J3" s="10" t="inlineStr">
        <is>
          <t>FY2023</t>
        </is>
      </c>
      <c r="K3" s="10" t="inlineStr">
        <is>
          <t>FY2024</t>
        </is>
      </c>
      <c r="L3" s="10" t="inlineStr">
        <is>
          <t>FY2025</t>
        </is>
      </c>
      <c r="M3" s="11" t="inlineStr">
        <is>
          <t>·</t>
        </is>
      </c>
      <c r="N3" s="11" t="inlineStr">
        <is>
          <t>·</t>
        </is>
      </c>
      <c r="O3" s="10" t="inlineStr">
        <is>
          <t>2Q FY2024</t>
        </is>
      </c>
      <c r="P3" s="10" t="inlineStr">
        <is>
          <t>3Q FY2024</t>
        </is>
      </c>
      <c r="Q3" s="10" t="inlineStr">
        <is>
          <t>1Q FY2025</t>
        </is>
      </c>
      <c r="R3" s="10" t="inlineStr">
        <is>
          <t>2Q FY2025</t>
        </is>
      </c>
      <c r="S3" s="10" t="inlineStr">
        <is>
          <t>3Q FY2025</t>
        </is>
      </c>
      <c r="T3" s="10" t="inlineStr">
        <is>
          <t>1Q FY2026</t>
        </is>
      </c>
      <c r="U3" s="10" t="inlineStr">
        <is>
          <t>2Q FY2026</t>
        </is>
      </c>
      <c r="V3" s="10" t="inlineStr">
        <is>
          <t>3Q FY2026</t>
        </is>
      </c>
    </row>
    <row r="4">
      <c r="C4" s="12" t="inlineStr">
        <is>
          <t>2016-10-30</t>
        </is>
      </c>
      <c r="D4" s="12" t="inlineStr">
        <is>
          <t>2017-10-29</t>
        </is>
      </c>
      <c r="E4" s="12" t="inlineStr">
        <is>
          <t>2018-11-04</t>
        </is>
      </c>
      <c r="F4" s="12" t="inlineStr">
        <is>
          <t>2019-11-03</t>
        </is>
      </c>
      <c r="G4" s="12" t="inlineStr">
        <is>
          <t>2020-11-01</t>
        </is>
      </c>
      <c r="H4" s="12" t="inlineStr">
        <is>
          <t>2021-10-31</t>
        </is>
      </c>
      <c r="I4" s="12" t="inlineStr">
        <is>
          <t>2022-10-30</t>
        </is>
      </c>
      <c r="J4" s="12" t="inlineStr">
        <is>
          <t>2023-10-29</t>
        </is>
      </c>
      <c r="K4" s="12" t="inlineStr">
        <is>
          <t>2024-11-03</t>
        </is>
      </c>
      <c r="L4" s="12" t="inlineStr">
        <is>
          <t>2025-11-02</t>
        </is>
      </c>
      <c r="M4" s="13" t="n"/>
      <c r="N4" s="13" t="n"/>
      <c r="O4" s="12" t="inlineStr">
        <is>
          <t>2024-05-05</t>
        </is>
      </c>
      <c r="P4" s="12" t="inlineStr">
        <is>
          <t>2024-08-04</t>
        </is>
      </c>
      <c r="Q4" s="12" t="inlineStr">
        <is>
          <t>2025-02-02</t>
        </is>
      </c>
      <c r="R4" s="12" t="inlineStr">
        <is>
          <t>2025-05-04</t>
        </is>
      </c>
      <c r="S4" s="12" t="inlineStr">
        <is>
          <t>2025-08-03</t>
        </is>
      </c>
      <c r="T4" s="12" t="inlineStr">
        <is>
          <t>2026-02-01</t>
        </is>
      </c>
      <c r="U4" s="12" t="inlineStr">
        <is>
          <t>2026-05-03</t>
        </is>
      </c>
      <c r="V4" s="12" t="inlineStr">
        <is>
          <t>2026-08-02</t>
        </is>
      </c>
    </row>
    <row r="5">
      <c r="M5" s="13" t="n"/>
      <c r="N5" s="13" t="n"/>
    </row>
    <row r="6">
      <c r="A6" s="14" t="inlineStr">
        <is>
          <t>CONTENTS</t>
        </is>
      </c>
      <c r="M6" s="13" t="n"/>
      <c r="N6" s="13" t="n"/>
    </row>
    <row r="7">
      <c r="A7" s="15">
        <f>HYPERLINK("#'Geography &amp; Products'!A10","1. REVENUE BY GEOGRAPHIC REGION (FY2019 10-K Note onward; own-period figures, not restated comparatives)")</f>
        <v/>
      </c>
      <c r="M7" s="13" t="n"/>
      <c r="N7" s="13" t="n"/>
    </row>
    <row r="8">
      <c r="A8" s="15">
        <f>HYPERLINK("#'Geography &amp; Products'!A33","2. LONG-LIVED ASSETS BY GEOGRAPHY (Annual only — disclosed in the 10-K only, not in 10-Qs)")</f>
        <v/>
      </c>
      <c r="M8" s="13" t="n"/>
      <c r="N8" s="13" t="n"/>
    </row>
    <row r="9" ht="8" customHeight="1">
      <c r="M9" s="13" t="n"/>
      <c r="N9" s="13" t="n"/>
    </row>
    <row r="10" ht="20" customHeight="1">
      <c r="A10" s="5" t="inlineStr">
        <is>
          <t>1. REVENUE BY GEOGRAPHIC REGION (FY2019 10-K Note onward; own-period figures, not restated comparatives)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13" t="n"/>
      <c r="N10" s="13" t="n"/>
      <c r="O10" s="2" t="n"/>
      <c r="P10" s="2" t="n"/>
      <c r="Q10" s="2" t="n"/>
      <c r="R10" s="2" t="n"/>
      <c r="S10" s="2" t="n"/>
      <c r="T10" s="2" t="n"/>
      <c r="U10" s="2" t="n"/>
      <c r="V10" s="2" t="n"/>
    </row>
    <row r="11" ht="14" customHeight="1">
      <c r="A11" s="6" t="inlineStr">
        <is>
          <t>Products — Americas</t>
        </is>
      </c>
      <c r="B11" s="20" t="inlineStr">
        <is>
          <t>Own-period figures as filed in each 10-K/10-Q's own geographic revenue Note (never a later filing's restated comparative column). Not disclosed for FY2016-FY2018. See IS:rev_products note re: the FY2026 Q1 upfront-license reclassification, which also affects how Products/Subscriptions are split by region starting with the 1Q/2Q FY2026 and FY2025-annual columns (post-reclass) vs the 1Q/2Q/3Q FY2025 quarterly columns (pre-reclass, as originally filed).</t>
        </is>
      </c>
      <c r="F11" s="38" t="n">
        <v>2023</v>
      </c>
      <c r="G11" s="38" t="n">
        <v>1775</v>
      </c>
      <c r="H11" s="38" t="n">
        <v>1809</v>
      </c>
      <c r="I11" s="38" t="n">
        <v>2371</v>
      </c>
      <c r="J11" s="38" t="n">
        <v>2601</v>
      </c>
      <c r="K11" s="38" t="n">
        <v>2244</v>
      </c>
      <c r="L11" s="38" t="n">
        <v>7908</v>
      </c>
      <c r="M11" s="13" t="n"/>
      <c r="N11" s="13" t="n"/>
      <c r="O11" s="38" t="n">
        <v>473</v>
      </c>
      <c r="P11" s="38" t="n">
        <v>582</v>
      </c>
      <c r="Q11" s="38" t="n">
        <v>490</v>
      </c>
      <c r="R11" s="38" t="n">
        <v>635</v>
      </c>
      <c r="S11" s="38" t="n">
        <v>662</v>
      </c>
      <c r="T11" s="38" t="n">
        <v>2164</v>
      </c>
      <c r="U11" s="38" t="n">
        <v>2187</v>
      </c>
      <c r="V11" s="38" t="n">
        <v>2642</v>
      </c>
    </row>
    <row r="12">
      <c r="A12" s="6" t="inlineStr">
        <is>
          <t>Products — Asia Pacific</t>
        </is>
      </c>
      <c r="F12" s="38" t="n">
        <v>14857</v>
      </c>
      <c r="G12" s="38" t="n">
        <v>14442</v>
      </c>
      <c r="H12" s="38" t="n">
        <v>17258</v>
      </c>
      <c r="I12" s="38" t="n">
        <v>21761</v>
      </c>
      <c r="J12" s="38" t="n">
        <v>23263</v>
      </c>
      <c r="K12" s="38" t="n">
        <v>26219</v>
      </c>
      <c r="L12" s="38" t="n">
        <v>33596</v>
      </c>
      <c r="M12" s="13" t="n"/>
      <c r="N12" s="13" t="n"/>
      <c r="O12" s="38" t="n">
        <v>6267</v>
      </c>
      <c r="P12" s="38" t="n">
        <v>6411</v>
      </c>
      <c r="Q12" s="38" t="n">
        <v>7269</v>
      </c>
      <c r="R12" s="38" t="n">
        <v>7454</v>
      </c>
      <c r="S12" s="38" t="n">
        <v>8181</v>
      </c>
      <c r="T12" s="38" t="n">
        <v>10950</v>
      </c>
      <c r="U12" s="38" t="n">
        <v>13956</v>
      </c>
      <c r="V12" s="38" t="n">
        <v>20199</v>
      </c>
    </row>
    <row r="13">
      <c r="A13" s="6" t="inlineStr">
        <is>
          <t>Products — Europe, Middle East &amp; Africa</t>
        </is>
      </c>
      <c r="F13" s="38" t="n">
        <v>1237</v>
      </c>
      <c r="G13" s="38" t="n">
        <v>1218</v>
      </c>
      <c r="H13" s="38" t="n">
        <v>1819</v>
      </c>
      <c r="I13" s="38" t="n">
        <v>2145</v>
      </c>
      <c r="J13" s="38" t="n">
        <v>2027</v>
      </c>
      <c r="K13" s="38" t="n">
        <v>1896</v>
      </c>
      <c r="L13" s="38" t="n">
        <v>3343</v>
      </c>
      <c r="M13" s="13" t="n"/>
      <c r="N13" s="13" t="n"/>
      <c r="O13" s="38" t="n">
        <v>452</v>
      </c>
      <c r="P13" s="38" t="n">
        <v>446</v>
      </c>
      <c r="Q13" s="38" t="n">
        <v>412</v>
      </c>
      <c r="R13" s="38" t="n">
        <v>417</v>
      </c>
      <c r="S13" s="38" t="n">
        <v>414</v>
      </c>
      <c r="T13" s="38" t="n">
        <v>1016</v>
      </c>
      <c r="U13" s="38" t="n">
        <v>749</v>
      </c>
      <c r="V13" s="38" t="n">
        <v>1438</v>
      </c>
    </row>
    <row r="14">
      <c r="A14" s="14" t="inlineStr">
        <is>
          <t>Total Products revenue</t>
        </is>
      </c>
      <c r="F14" s="40">
        <f>F11+F12+F13</f>
        <v/>
      </c>
      <c r="G14" s="40">
        <f>G11+G12+G13</f>
        <v/>
      </c>
      <c r="H14" s="40">
        <f>H11+H12+H13</f>
        <v/>
      </c>
      <c r="I14" s="40">
        <f>I11+I12+I13</f>
        <v/>
      </c>
      <c r="J14" s="40">
        <f>J11+J12+J13</f>
        <v/>
      </c>
      <c r="K14" s="40">
        <f>K11+K12+K13</f>
        <v/>
      </c>
      <c r="L14" s="40">
        <f>L11+L12+L13</f>
        <v/>
      </c>
      <c r="M14" s="24" t="n"/>
      <c r="N14" s="24" t="n"/>
      <c r="O14" s="40">
        <f>O11+O12+O13</f>
        <v/>
      </c>
      <c r="P14" s="40">
        <f>P11+P12+P13</f>
        <v/>
      </c>
      <c r="Q14" s="40">
        <f>Q11+Q12+Q13</f>
        <v/>
      </c>
      <c r="R14" s="40">
        <f>R11+R12+R13</f>
        <v/>
      </c>
      <c r="S14" s="40">
        <f>S11+S12+S13</f>
        <v/>
      </c>
      <c r="T14" s="40">
        <f>T11+T12+T13</f>
        <v/>
      </c>
      <c r="U14" s="40">
        <f>U11+U12+U13</f>
        <v/>
      </c>
      <c r="V14" s="40">
        <f>V11+V12+V13</f>
        <v/>
      </c>
    </row>
    <row r="15">
      <c r="A15" s="17" t="inlineStr">
        <is>
          <t xml:space="preserve">  vs IS Products Revenue (should be ~0)</t>
        </is>
      </c>
      <c r="F15" s="39">
        <f>F14-'Income Statement'!F16</f>
        <v/>
      </c>
      <c r="G15" s="39">
        <f>G14-'Income Statement'!G16</f>
        <v/>
      </c>
      <c r="H15" s="39">
        <f>H14-'Income Statement'!H16</f>
        <v/>
      </c>
      <c r="I15" s="39">
        <f>I14-'Income Statement'!I16</f>
        <v/>
      </c>
      <c r="J15" s="39">
        <f>J14-'Income Statement'!J16</f>
        <v/>
      </c>
      <c r="K15" s="39">
        <f>K14-'Income Statement'!K16</f>
        <v/>
      </c>
      <c r="L15" s="39">
        <f>L14-'Income Statement'!L16</f>
        <v/>
      </c>
      <c r="M15" s="13" t="n"/>
      <c r="N15" s="13" t="n"/>
      <c r="O15" s="39">
        <f>O14-'Income Statement'!O16</f>
        <v/>
      </c>
      <c r="P15" s="39">
        <f>P14-'Income Statement'!P16</f>
        <v/>
      </c>
      <c r="Q15" s="39">
        <f>Q14-'Income Statement'!Q16</f>
        <v/>
      </c>
      <c r="R15" s="39">
        <f>R14-'Income Statement'!R16</f>
        <v/>
      </c>
      <c r="S15" s="39">
        <f>S14-'Income Statement'!S16</f>
        <v/>
      </c>
      <c r="T15" s="39">
        <f>T14-'Income Statement'!T16</f>
        <v/>
      </c>
      <c r="U15" s="39">
        <f>U14-'Income Statement'!U16</f>
        <v/>
      </c>
      <c r="V15" s="39">
        <f>V14-'Income Statement'!V16</f>
        <v/>
      </c>
    </row>
    <row r="16">
      <c r="M16" s="13" t="n"/>
      <c r="N16" s="13" t="n"/>
    </row>
    <row r="17">
      <c r="A17" s="6" t="inlineStr">
        <is>
          <t>Subscriptions &amp; Services — Americas</t>
        </is>
      </c>
      <c r="F17" s="38" t="n">
        <v>3126</v>
      </c>
      <c r="G17" s="38" t="n">
        <v>4059</v>
      </c>
      <c r="H17" s="38" t="n">
        <v>4290</v>
      </c>
      <c r="I17" s="38" t="n">
        <v>4573</v>
      </c>
      <c r="J17" s="38" t="n">
        <v>5678</v>
      </c>
      <c r="K17" s="38" t="n">
        <v>12726</v>
      </c>
      <c r="L17" s="38" t="n">
        <v>11031</v>
      </c>
      <c r="M17" s="13" t="n"/>
      <c r="N17" s="13" t="n"/>
      <c r="O17" s="38" t="n">
        <v>3401</v>
      </c>
      <c r="P17" s="38" t="n">
        <v>3409</v>
      </c>
      <c r="Q17" s="38" t="n">
        <v>4142</v>
      </c>
      <c r="R17" s="38" t="n">
        <v>4071</v>
      </c>
      <c r="S17" s="38" t="n">
        <v>4062</v>
      </c>
      <c r="T17" s="38" t="n">
        <v>2917</v>
      </c>
      <c r="U17" s="38" t="n">
        <v>3015</v>
      </c>
      <c r="V17" s="38" t="n">
        <v>2871</v>
      </c>
    </row>
    <row r="18">
      <c r="A18" s="6" t="inlineStr">
        <is>
          <t>Subscriptions &amp; Services — Asia Pacific</t>
        </is>
      </c>
      <c r="F18" s="38" t="n">
        <v>374</v>
      </c>
      <c r="G18" s="38" t="n">
        <v>881</v>
      </c>
      <c r="H18" s="38" t="n">
        <v>720</v>
      </c>
      <c r="I18" s="38" t="n">
        <v>744</v>
      </c>
      <c r="J18" s="38" t="n">
        <v>657</v>
      </c>
      <c r="K18" s="38" t="n">
        <v>2203</v>
      </c>
      <c r="L18" s="38" t="n">
        <v>2300</v>
      </c>
      <c r="M18" s="13" t="n"/>
      <c r="N18" s="13" t="n"/>
      <c r="O18" s="38" t="n">
        <v>487</v>
      </c>
      <c r="P18" s="38" t="n">
        <v>630</v>
      </c>
      <c r="Q18" s="38" t="n">
        <v>763</v>
      </c>
      <c r="R18" s="38" t="n">
        <v>646</v>
      </c>
      <c r="S18" s="38" t="n">
        <v>779</v>
      </c>
      <c r="T18" s="38" t="n">
        <v>665</v>
      </c>
      <c r="U18" s="38" t="n">
        <v>579</v>
      </c>
      <c r="V18" s="38" t="n">
        <v>745</v>
      </c>
    </row>
    <row r="19">
      <c r="A19" s="6" t="inlineStr">
        <is>
          <t>Subscriptions &amp; Services — Europe, Middle East &amp; Africa</t>
        </is>
      </c>
      <c r="F19" s="38" t="n">
        <v>980</v>
      </c>
      <c r="G19" s="38" t="n">
        <v>1513</v>
      </c>
      <c r="H19" s="38" t="n">
        <v>1554</v>
      </c>
      <c r="I19" s="38" t="n">
        <v>1609</v>
      </c>
      <c r="J19" s="38" t="n">
        <v>1593</v>
      </c>
      <c r="K19" s="38" t="n">
        <v>6286</v>
      </c>
      <c r="L19" s="38" t="n">
        <v>5709</v>
      </c>
      <c r="M19" s="13" t="n"/>
      <c r="N19" s="13" t="n"/>
      <c r="O19" s="38" t="n">
        <v>1407</v>
      </c>
      <c r="P19" s="38" t="n">
        <v>1594</v>
      </c>
      <c r="Q19" s="38" t="n">
        <v>1840</v>
      </c>
      <c r="R19" s="38" t="n">
        <v>1781</v>
      </c>
      <c r="S19" s="38" t="n">
        <v>1854</v>
      </c>
      <c r="T19" s="38" t="n">
        <v>1599</v>
      </c>
      <c r="U19" s="38" t="n">
        <v>1701</v>
      </c>
      <c r="V19" s="38" t="n">
        <v>1696</v>
      </c>
    </row>
    <row r="20">
      <c r="A20" s="14" t="inlineStr">
        <is>
          <t>Total Subscriptions &amp; Services revenue</t>
        </is>
      </c>
      <c r="F20" s="40">
        <f>F17+F18+F19</f>
        <v/>
      </c>
      <c r="G20" s="40">
        <f>G17+G18+G19</f>
        <v/>
      </c>
      <c r="H20" s="40">
        <f>H17+H18+H19</f>
        <v/>
      </c>
      <c r="I20" s="40">
        <f>I17+I18+I19</f>
        <v/>
      </c>
      <c r="J20" s="40">
        <f>J17+J18+J19</f>
        <v/>
      </c>
      <c r="K20" s="40">
        <f>K17+K18+K19</f>
        <v/>
      </c>
      <c r="L20" s="40">
        <f>L17+L18+L19</f>
        <v/>
      </c>
      <c r="M20" s="24" t="n"/>
      <c r="N20" s="24" t="n"/>
      <c r="O20" s="40">
        <f>O17+O18+O19</f>
        <v/>
      </c>
      <c r="P20" s="40">
        <f>P17+P18+P19</f>
        <v/>
      </c>
      <c r="Q20" s="40">
        <f>Q17+Q18+Q19</f>
        <v/>
      </c>
      <c r="R20" s="40">
        <f>R17+R18+R19</f>
        <v/>
      </c>
      <c r="S20" s="40">
        <f>S17+S18+S19</f>
        <v/>
      </c>
      <c r="T20" s="40">
        <f>T17+T18+T19</f>
        <v/>
      </c>
      <c r="U20" s="40">
        <f>U17+U18+U19</f>
        <v/>
      </c>
      <c r="V20" s="40">
        <f>V17+V18+V19</f>
        <v/>
      </c>
    </row>
    <row r="21">
      <c r="A21" s="17" t="inlineStr">
        <is>
          <t xml:space="preserve">  vs IS Subscriptions Revenue (should be ~0)</t>
        </is>
      </c>
      <c r="F21" s="39">
        <f>F20-'Income Statement'!F17</f>
        <v/>
      </c>
      <c r="G21" s="39">
        <f>G20-'Income Statement'!G17</f>
        <v/>
      </c>
      <c r="H21" s="39">
        <f>H20-'Income Statement'!H17</f>
        <v/>
      </c>
      <c r="I21" s="39">
        <f>I20-'Income Statement'!I17</f>
        <v/>
      </c>
      <c r="J21" s="39">
        <f>J20-'Income Statement'!J17</f>
        <v/>
      </c>
      <c r="K21" s="39">
        <f>K20-'Income Statement'!K17</f>
        <v/>
      </c>
      <c r="L21" s="39">
        <f>L20-'Income Statement'!L17</f>
        <v/>
      </c>
      <c r="M21" s="13" t="n"/>
      <c r="N21" s="13" t="n"/>
      <c r="O21" s="39">
        <f>O20-'Income Statement'!O17</f>
        <v/>
      </c>
      <c r="P21" s="39">
        <f>P20-'Income Statement'!P17</f>
        <v/>
      </c>
      <c r="Q21" s="39">
        <f>Q20-'Income Statement'!Q17</f>
        <v/>
      </c>
      <c r="R21" s="39">
        <f>R20-'Income Statement'!R17</f>
        <v/>
      </c>
      <c r="S21" s="39">
        <f>S20-'Income Statement'!S17</f>
        <v/>
      </c>
      <c r="T21" s="39">
        <f>T20-'Income Statement'!T17</f>
        <v/>
      </c>
      <c r="U21" s="39">
        <f>U20-'Income Statement'!U17</f>
        <v/>
      </c>
      <c r="V21" s="39">
        <f>V20-'Income Statement'!V17</f>
        <v/>
      </c>
    </row>
    <row r="22">
      <c r="M22" s="13" t="n"/>
      <c r="N22" s="13" t="n"/>
    </row>
    <row r="23">
      <c r="A23" s="6" t="inlineStr">
        <is>
          <t>Total revenue — Americas</t>
        </is>
      </c>
      <c r="F23" s="43">
        <f>F11+F17</f>
        <v/>
      </c>
      <c r="G23" s="43">
        <f>G11+G17</f>
        <v/>
      </c>
      <c r="H23" s="43">
        <f>H11+H17</f>
        <v/>
      </c>
      <c r="I23" s="43">
        <f>I11+I17</f>
        <v/>
      </c>
      <c r="J23" s="43">
        <f>J11+J17</f>
        <v/>
      </c>
      <c r="K23" s="43">
        <f>K11+K17</f>
        <v/>
      </c>
      <c r="L23" s="43">
        <f>L11+L17</f>
        <v/>
      </c>
      <c r="M23" s="13" t="n"/>
      <c r="N23" s="13" t="n"/>
      <c r="O23" s="43">
        <f>O11+O17</f>
        <v/>
      </c>
      <c r="P23" s="43">
        <f>P11+P17</f>
        <v/>
      </c>
      <c r="Q23" s="43">
        <f>Q11+Q17</f>
        <v/>
      </c>
      <c r="R23" s="43">
        <f>R11+R17</f>
        <v/>
      </c>
      <c r="S23" s="43">
        <f>S11+S17</f>
        <v/>
      </c>
      <c r="T23" s="43">
        <f>T11+T17</f>
        <v/>
      </c>
      <c r="U23" s="43">
        <f>U11+U17</f>
        <v/>
      </c>
      <c r="V23" s="43">
        <f>V11+V17</f>
        <v/>
      </c>
    </row>
    <row r="24">
      <c r="A24" s="6" t="inlineStr">
        <is>
          <t>Total revenue — Asia Pacific</t>
        </is>
      </c>
      <c r="F24" s="43">
        <f>F12+F18</f>
        <v/>
      </c>
      <c r="G24" s="43">
        <f>G12+G18</f>
        <v/>
      </c>
      <c r="H24" s="43">
        <f>H12+H18</f>
        <v/>
      </c>
      <c r="I24" s="43">
        <f>I12+I18</f>
        <v/>
      </c>
      <c r="J24" s="43">
        <f>J12+J18</f>
        <v/>
      </c>
      <c r="K24" s="43">
        <f>K12+K18</f>
        <v/>
      </c>
      <c r="L24" s="43">
        <f>L12+L18</f>
        <v/>
      </c>
      <c r="M24" s="13" t="n"/>
      <c r="N24" s="13" t="n"/>
      <c r="O24" s="43">
        <f>O12+O18</f>
        <v/>
      </c>
      <c r="P24" s="43">
        <f>P12+P18</f>
        <v/>
      </c>
      <c r="Q24" s="43">
        <f>Q12+Q18</f>
        <v/>
      </c>
      <c r="R24" s="43">
        <f>R12+R18</f>
        <v/>
      </c>
      <c r="S24" s="43">
        <f>S12+S18</f>
        <v/>
      </c>
      <c r="T24" s="43">
        <f>T12+T18</f>
        <v/>
      </c>
      <c r="U24" s="43">
        <f>U12+U18</f>
        <v/>
      </c>
      <c r="V24" s="43">
        <f>V12+V18</f>
        <v/>
      </c>
    </row>
    <row r="25">
      <c r="A25" s="6" t="inlineStr">
        <is>
          <t>Total revenue — Europe, Middle East &amp; Africa</t>
        </is>
      </c>
      <c r="F25" s="43">
        <f>F13+F19</f>
        <v/>
      </c>
      <c r="G25" s="43">
        <f>G13+G19</f>
        <v/>
      </c>
      <c r="H25" s="43">
        <f>H13+H19</f>
        <v/>
      </c>
      <c r="I25" s="43">
        <f>I13+I19</f>
        <v/>
      </c>
      <c r="J25" s="43">
        <f>J13+J19</f>
        <v/>
      </c>
      <c r="K25" s="43">
        <f>K13+K19</f>
        <v/>
      </c>
      <c r="L25" s="43">
        <f>L13+L19</f>
        <v/>
      </c>
      <c r="M25" s="13" t="n"/>
      <c r="N25" s="13" t="n"/>
      <c r="O25" s="43">
        <f>O13+O19</f>
        <v/>
      </c>
      <c r="P25" s="43">
        <f>P13+P19</f>
        <v/>
      </c>
      <c r="Q25" s="43">
        <f>Q13+Q19</f>
        <v/>
      </c>
      <c r="R25" s="43">
        <f>R13+R19</f>
        <v/>
      </c>
      <c r="S25" s="43">
        <f>S13+S19</f>
        <v/>
      </c>
      <c r="T25" s="43">
        <f>T13+T19</f>
        <v/>
      </c>
      <c r="U25" s="43">
        <f>U13+U19</f>
        <v/>
      </c>
      <c r="V25" s="43">
        <f>V13+V19</f>
        <v/>
      </c>
    </row>
    <row r="26">
      <c r="A26" s="14" t="inlineStr">
        <is>
          <t>Total revenue — All regions</t>
        </is>
      </c>
      <c r="F26" s="40">
        <f>F23+F24+F25</f>
        <v/>
      </c>
      <c r="G26" s="40">
        <f>G23+G24+G25</f>
        <v/>
      </c>
      <c r="H26" s="40">
        <f>H23+H24+H25</f>
        <v/>
      </c>
      <c r="I26" s="40">
        <f>I23+I24+I25</f>
        <v/>
      </c>
      <c r="J26" s="40">
        <f>J23+J24+J25</f>
        <v/>
      </c>
      <c r="K26" s="40">
        <f>K23+K24+K25</f>
        <v/>
      </c>
      <c r="L26" s="40">
        <f>L23+L24+L25</f>
        <v/>
      </c>
      <c r="M26" s="24" t="n"/>
      <c r="N26" s="24" t="n"/>
      <c r="O26" s="40">
        <f>O23+O24+O25</f>
        <v/>
      </c>
      <c r="P26" s="40">
        <f>P23+P24+P25</f>
        <v/>
      </c>
      <c r="Q26" s="40">
        <f>Q23+Q24+Q25</f>
        <v/>
      </c>
      <c r="R26" s="40">
        <f>R23+R24+R25</f>
        <v/>
      </c>
      <c r="S26" s="40">
        <f>S23+S24+S25</f>
        <v/>
      </c>
      <c r="T26" s="40">
        <f>T23+T24+T25</f>
        <v/>
      </c>
      <c r="U26" s="40">
        <f>U23+U24+U25</f>
        <v/>
      </c>
      <c r="V26" s="40">
        <f>V23+V24+V25</f>
        <v/>
      </c>
    </row>
    <row r="27">
      <c r="A27" s="17" t="inlineStr">
        <is>
          <t xml:space="preserve">  vs IS Total Revenue (should be ~0)</t>
        </is>
      </c>
      <c r="F27" s="39">
        <f>F26-'Income Statement'!F14</f>
        <v/>
      </c>
      <c r="G27" s="39">
        <f>G26-'Income Statement'!G14</f>
        <v/>
      </c>
      <c r="H27" s="39">
        <f>H26-'Income Statement'!H14</f>
        <v/>
      </c>
      <c r="I27" s="39">
        <f>I26-'Income Statement'!I14</f>
        <v/>
      </c>
      <c r="J27" s="39">
        <f>J26-'Income Statement'!J14</f>
        <v/>
      </c>
      <c r="K27" s="39">
        <f>K26-'Income Statement'!K14</f>
        <v/>
      </c>
      <c r="L27" s="39">
        <f>L26-'Income Statement'!L14</f>
        <v/>
      </c>
      <c r="M27" s="13" t="n"/>
      <c r="N27" s="13" t="n"/>
      <c r="O27" s="39">
        <f>O26-'Income Statement'!O14</f>
        <v/>
      </c>
      <c r="P27" s="39">
        <f>P26-'Income Statement'!P14</f>
        <v/>
      </c>
      <c r="Q27" s="39">
        <f>Q26-'Income Statement'!Q14</f>
        <v/>
      </c>
      <c r="R27" s="39">
        <f>R26-'Income Statement'!R14</f>
        <v/>
      </c>
      <c r="S27" s="39">
        <f>S26-'Income Statement'!S14</f>
        <v/>
      </c>
      <c r="T27" s="39">
        <f>T26-'Income Statement'!T14</f>
        <v/>
      </c>
      <c r="U27" s="39">
        <f>U26-'Income Statement'!U14</f>
        <v/>
      </c>
      <c r="V27" s="39">
        <f>V26-'Income Statement'!V14</f>
        <v/>
      </c>
    </row>
    <row r="28">
      <c r="M28" s="13" t="n"/>
      <c r="N28" s="13" t="n"/>
    </row>
    <row r="29">
      <c r="A29" s="30" t="inlineStr">
        <is>
          <t xml:space="preserve">  Mix % — Americas</t>
        </is>
      </c>
      <c r="F29" s="37">
        <f>F23/F26</f>
        <v/>
      </c>
      <c r="G29" s="37">
        <f>G23/G26</f>
        <v/>
      </c>
      <c r="H29" s="37">
        <f>H23/H26</f>
        <v/>
      </c>
      <c r="I29" s="37">
        <f>I23/I26</f>
        <v/>
      </c>
      <c r="J29" s="37">
        <f>J23/J26</f>
        <v/>
      </c>
      <c r="K29" s="37">
        <f>K23/K26</f>
        <v/>
      </c>
      <c r="L29" s="37">
        <f>L23/L26</f>
        <v/>
      </c>
      <c r="M29" s="13" t="n"/>
      <c r="N29" s="13" t="n"/>
      <c r="O29" s="37">
        <f>O23/O26</f>
        <v/>
      </c>
      <c r="P29" s="37">
        <f>P23/P26</f>
        <v/>
      </c>
      <c r="Q29" s="37">
        <f>Q23/Q26</f>
        <v/>
      </c>
      <c r="R29" s="37">
        <f>R23/R26</f>
        <v/>
      </c>
      <c r="S29" s="37">
        <f>S23/S26</f>
        <v/>
      </c>
      <c r="T29" s="37">
        <f>T23/T26</f>
        <v/>
      </c>
      <c r="U29" s="37">
        <f>U23/U26</f>
        <v/>
      </c>
      <c r="V29" s="37">
        <f>V23/V26</f>
        <v/>
      </c>
    </row>
    <row r="30">
      <c r="A30" s="30" t="inlineStr">
        <is>
          <t xml:space="preserve">  Mix % — Asia Pacific</t>
        </is>
      </c>
      <c r="F30" s="37">
        <f>F24/F26</f>
        <v/>
      </c>
      <c r="G30" s="37">
        <f>G24/G26</f>
        <v/>
      </c>
      <c r="H30" s="37">
        <f>H24/H26</f>
        <v/>
      </c>
      <c r="I30" s="37">
        <f>I24/I26</f>
        <v/>
      </c>
      <c r="J30" s="37">
        <f>J24/J26</f>
        <v/>
      </c>
      <c r="K30" s="37">
        <f>K24/K26</f>
        <v/>
      </c>
      <c r="L30" s="37">
        <f>L24/L26</f>
        <v/>
      </c>
      <c r="M30" s="13" t="n"/>
      <c r="N30" s="13" t="n"/>
      <c r="O30" s="37">
        <f>O24/O26</f>
        <v/>
      </c>
      <c r="P30" s="37">
        <f>P24/P26</f>
        <v/>
      </c>
      <c r="Q30" s="37">
        <f>Q24/Q26</f>
        <v/>
      </c>
      <c r="R30" s="37">
        <f>R24/R26</f>
        <v/>
      </c>
      <c r="S30" s="37">
        <f>S24/S26</f>
        <v/>
      </c>
      <c r="T30" s="37">
        <f>T24/T26</f>
        <v/>
      </c>
      <c r="U30" s="37">
        <f>U24/U26</f>
        <v/>
      </c>
      <c r="V30" s="37">
        <f>V24/V26</f>
        <v/>
      </c>
    </row>
    <row r="31">
      <c r="A31" s="30" t="inlineStr">
        <is>
          <t xml:space="preserve">  Mix % — Europe, Middle East &amp; Africa</t>
        </is>
      </c>
      <c r="F31" s="37">
        <f>F25/F26</f>
        <v/>
      </c>
      <c r="G31" s="37">
        <f>G25/G26</f>
        <v/>
      </c>
      <c r="H31" s="37">
        <f>H25/H26</f>
        <v/>
      </c>
      <c r="I31" s="37">
        <f>I25/I26</f>
        <v/>
      </c>
      <c r="J31" s="37">
        <f>J25/J26</f>
        <v/>
      </c>
      <c r="K31" s="37">
        <f>K25/K26</f>
        <v/>
      </c>
      <c r="L31" s="37">
        <f>L25/L26</f>
        <v/>
      </c>
      <c r="M31" s="13" t="n"/>
      <c r="N31" s="13" t="n"/>
      <c r="O31" s="37">
        <f>O25/O26</f>
        <v/>
      </c>
      <c r="P31" s="37">
        <f>P25/P26</f>
        <v/>
      </c>
      <c r="Q31" s="37">
        <f>Q25/Q26</f>
        <v/>
      </c>
      <c r="R31" s="37">
        <f>R25/R26</f>
        <v/>
      </c>
      <c r="S31" s="37">
        <f>S25/S26</f>
        <v/>
      </c>
      <c r="T31" s="37">
        <f>T25/T26</f>
        <v/>
      </c>
      <c r="U31" s="37">
        <f>U25/U26</f>
        <v/>
      </c>
      <c r="V31" s="37">
        <f>V25/V26</f>
        <v/>
      </c>
    </row>
    <row r="32" ht="8" customHeight="1">
      <c r="M32" s="13" t="n"/>
      <c r="N32" s="13" t="n"/>
    </row>
    <row r="33" ht="20" customHeight="1">
      <c r="A33" s="5" t="inlineStr">
        <is>
          <t>2. LONG-LIVED ASSETS BY GEOGRAPHY (Annual only — disclosed in the 10-K only, not in 10-Qs)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13" t="n"/>
      <c r="N33" s="13" t="n"/>
      <c r="O33" s="2" t="n"/>
      <c r="P33" s="2" t="n"/>
      <c r="Q33" s="2" t="n"/>
      <c r="R33" s="2" t="n"/>
      <c r="S33" s="2" t="n"/>
      <c r="T33" s="2" t="n"/>
      <c r="U33" s="2" t="n"/>
      <c r="V33" s="2" t="n"/>
    </row>
    <row r="34" ht="72" customHeight="1">
      <c r="A34" s="6" t="inlineStr">
        <is>
          <t>United States</t>
        </is>
      </c>
      <c r="B34" s="20" t="inlineStr">
        <is>
          <t>This Note (long-lived assets by geographic location) is disclosed only in Broadcom's annual 10-K, not in its 10-Qs -- quarterly columns are intentionally blank by the nature of the disclosure, not a dropped extraction. Own fiscal-year-end figures each time (never a later filing's restated comparative column).</t>
        </is>
      </c>
      <c r="C34" s="38" t="n">
        <v>1917</v>
      </c>
      <c r="D34" s="38" t="n">
        <v>1822</v>
      </c>
      <c r="E34" s="38" t="n">
        <v>1859</v>
      </c>
      <c r="F34" s="38" t="n">
        <v>1763</v>
      </c>
      <c r="G34" s="38" t="n">
        <v>1659</v>
      </c>
      <c r="H34" s="38" t="n">
        <v>1540</v>
      </c>
      <c r="I34" s="38" t="n">
        <v>1441</v>
      </c>
      <c r="J34" s="38" t="n">
        <v>1371</v>
      </c>
      <c r="K34" s="38" t="n">
        <v>1685</v>
      </c>
      <c r="L34" s="38" t="n">
        <v>1697</v>
      </c>
      <c r="M34" s="13" t="n"/>
      <c r="N34" s="13" t="n"/>
    </row>
    <row r="35">
      <c r="A35" s="6" t="inlineStr">
        <is>
          <t>Malaysia</t>
        </is>
      </c>
      <c r="C35" s="38" t="n">
        <v>153</v>
      </c>
      <c r="M35" s="13" t="n"/>
      <c r="N35" s="13" t="n"/>
    </row>
    <row r="36">
      <c r="A36" s="6" t="inlineStr">
        <is>
          <t>Singapore</t>
        </is>
      </c>
      <c r="C36" s="38" t="n">
        <v>78</v>
      </c>
      <c r="D36" s="38" t="n">
        <v>79</v>
      </c>
      <c r="M36" s="13" t="n"/>
      <c r="N36" s="13" t="n"/>
    </row>
    <row r="37">
      <c r="A37" s="6" t="inlineStr">
        <is>
          <t>Taiwan</t>
        </is>
      </c>
      <c r="D37" s="38" t="n">
        <v>268</v>
      </c>
      <c r="E37" s="38" t="n">
        <v>264</v>
      </c>
      <c r="F37" s="38" t="n">
        <v>258</v>
      </c>
      <c r="G37" s="38" t="n">
        <v>285</v>
      </c>
      <c r="H37" s="38" t="n">
        <v>313</v>
      </c>
      <c r="I37" s="38" t="n">
        <v>318</v>
      </c>
      <c r="J37" s="38" t="n">
        <v>341</v>
      </c>
      <c r="K37" s="38" t="n">
        <v>365</v>
      </c>
      <c r="L37" s="38" t="n">
        <v>446</v>
      </c>
      <c r="M37" s="13" t="n"/>
      <c r="N37" s="13" t="n"/>
    </row>
    <row r="38">
      <c r="A38" s="6" t="inlineStr">
        <is>
          <t>Other</t>
        </is>
      </c>
      <c r="C38" s="38" t="n">
        <v>361</v>
      </c>
      <c r="D38" s="38" t="n">
        <v>430</v>
      </c>
      <c r="E38" s="38" t="n">
        <v>512</v>
      </c>
      <c r="F38" s="38" t="n">
        <v>544</v>
      </c>
      <c r="G38" s="38" t="n">
        <v>565</v>
      </c>
      <c r="H38" s="38" t="n">
        <v>495</v>
      </c>
      <c r="I38" s="38" t="n">
        <v>464</v>
      </c>
      <c r="J38" s="38" t="n">
        <v>442</v>
      </c>
      <c r="K38" s="38" t="n">
        <v>471</v>
      </c>
      <c r="L38" s="38" t="n">
        <v>387</v>
      </c>
      <c r="M38" s="13" t="n"/>
      <c r="N38" s="13" t="n"/>
    </row>
    <row r="39">
      <c r="A39" s="14" t="inlineStr">
        <is>
          <t>Total long-lived assets (computed)</t>
        </is>
      </c>
      <c r="C39" s="40">
        <f>C34+C35+C36+C37+C38</f>
        <v/>
      </c>
      <c r="D39" s="40">
        <f>D34+D35+D36+D37+D38</f>
        <v/>
      </c>
      <c r="E39" s="40">
        <f>E34+E35+E36+E37+E38</f>
        <v/>
      </c>
      <c r="F39" s="40">
        <f>F34+F35+F36+F37+F38</f>
        <v/>
      </c>
      <c r="G39" s="40">
        <f>G34+G35+G36+G37+G38</f>
        <v/>
      </c>
      <c r="H39" s="40">
        <f>H34+H35+H36+H37+H38</f>
        <v/>
      </c>
      <c r="I39" s="40">
        <f>I34+I35+I36+I37+I38</f>
        <v/>
      </c>
      <c r="J39" s="40">
        <f>J34+J35+J36+J37+J38</f>
        <v/>
      </c>
      <c r="K39" s="40">
        <f>K34+K35+K36+K37+K38</f>
        <v/>
      </c>
      <c r="L39" s="40">
        <f>L34+L35+L36+L37+L38</f>
        <v/>
      </c>
      <c r="M39" s="24" t="n"/>
      <c r="N39" s="24" t="n"/>
    </row>
    <row r="40">
      <c r="A40" s="6" t="inlineStr">
        <is>
          <t>Total long-lived assets (as reported)</t>
        </is>
      </c>
      <c r="C40" s="38" t="n">
        <v>2509</v>
      </c>
      <c r="D40" s="38" t="n">
        <v>2599</v>
      </c>
      <c r="E40" s="38" t="n">
        <v>2635</v>
      </c>
      <c r="F40" s="38" t="n">
        <v>2565</v>
      </c>
      <c r="G40" s="38" t="n">
        <v>2509</v>
      </c>
      <c r="H40" s="38" t="n">
        <v>2348</v>
      </c>
      <c r="I40" s="38" t="n">
        <v>2223</v>
      </c>
      <c r="J40" s="38" t="n">
        <v>2154</v>
      </c>
      <c r="K40" s="38" t="n">
        <v>2521</v>
      </c>
      <c r="L40" s="38" t="n">
        <v>2530</v>
      </c>
      <c r="M40" s="13" t="n"/>
      <c r="N40" s="13" t="n"/>
    </row>
    <row r="41">
      <c r="A41" s="17" t="inlineStr">
        <is>
          <t xml:space="preserve">  Computed vs Reported (should be ~0)</t>
        </is>
      </c>
      <c r="C41" s="39">
        <f>C39-C40</f>
        <v/>
      </c>
      <c r="D41" s="39">
        <f>D39-D40</f>
        <v/>
      </c>
      <c r="E41" s="39">
        <f>E39-E40</f>
        <v/>
      </c>
      <c r="F41" s="39">
        <f>F39-F40</f>
        <v/>
      </c>
      <c r="G41" s="39">
        <f>G39-G40</f>
        <v/>
      </c>
      <c r="H41" s="39">
        <f>H39-H40</f>
        <v/>
      </c>
      <c r="I41" s="39">
        <f>I39-I40</f>
        <v/>
      </c>
      <c r="J41" s="39">
        <f>J39-J40</f>
        <v/>
      </c>
      <c r="K41" s="39">
        <f>K39-K40</f>
        <v/>
      </c>
      <c r="L41" s="39">
        <f>L39-L40</f>
        <v/>
      </c>
      <c r="M41" s="13" t="n"/>
      <c r="N41" s="13" t="n"/>
    </row>
    <row r="42">
      <c r="M42" s="13" t="n"/>
      <c r="N42" s="13" t="n"/>
    </row>
  </sheetData>
  <conditionalFormatting sqref="C15:V15">
    <cfRule type="cellIs" priority="1" operator="notBetween" dxfId="0">
      <formula>-0.5</formula>
      <formula>0.5</formula>
    </cfRule>
  </conditionalFormatting>
  <conditionalFormatting sqref="C21:V21">
    <cfRule type="cellIs" priority="2" operator="notBetween" dxfId="0">
      <formula>-0.5</formula>
      <formula>0.5</formula>
    </cfRule>
  </conditionalFormatting>
  <conditionalFormatting sqref="C27:V27">
    <cfRule type="cellIs" priority="3" operator="notBetween" dxfId="0">
      <formula>-0.5</formula>
      <formula>0.5</formula>
    </cfRule>
  </conditionalFormatting>
  <conditionalFormatting sqref="C41:V41">
    <cfRule type="cellIs" priority="4" operator="notBetween" dxfId="0">
      <formula>-0.5</formula>
      <formula>0.5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7030A0"/>
    <outlinePr summaryBelow="1" summaryRight="1"/>
    <pageSetUpPr/>
  </sheetPr>
  <dimension ref="A1:V65"/>
  <sheetViews>
    <sheetView showGridLines="0" zoomScale="85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4"/>
  <cols>
    <col width="46" customWidth="1" min="1" max="1"/>
    <col hidden="1" outlineLevel="1" width="34" customWidth="1" min="2" max="2"/>
    <col collapsed="1" width="12" customWidth="1" min="3" max="3"/>
    <col width="12" customWidth="1" min="4" max="12"/>
    <col width="9" customWidth="1" min="13" max="14"/>
    <col width="12" customWidth="1" min="15" max="22"/>
  </cols>
  <sheetData>
    <row r="1" ht="28" customHeight="1">
      <c r="A1" s="1" t="inlineStr">
        <is>
          <t>Broadcom Inc. — Derived Metrics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6" customHeight="1">
      <c r="A2" s="3" t="inlineStr">
        <is>
          <t>$ in millions except per-share data  |  USD  |  as of 2026-09-22</t>
        </is>
      </c>
    </row>
    <row r="3">
      <c r="C3" s="10" t="inlineStr">
        <is>
          <t>FY2016</t>
        </is>
      </c>
      <c r="D3" s="10" t="inlineStr">
        <is>
          <t>FY2017</t>
        </is>
      </c>
      <c r="E3" s="10" t="inlineStr">
        <is>
          <t>FY2018</t>
        </is>
      </c>
      <c r="F3" s="10" t="inlineStr">
        <is>
          <t>FY2019</t>
        </is>
      </c>
      <c r="G3" s="10" t="inlineStr">
        <is>
          <t>FY2020</t>
        </is>
      </c>
      <c r="H3" s="10" t="inlineStr">
        <is>
          <t>FY2021</t>
        </is>
      </c>
      <c r="I3" s="10" t="inlineStr">
        <is>
          <t>FY2022</t>
        </is>
      </c>
      <c r="J3" s="10" t="inlineStr">
        <is>
          <t>FY2023</t>
        </is>
      </c>
      <c r="K3" s="10" t="inlineStr">
        <is>
          <t>FY2024</t>
        </is>
      </c>
      <c r="L3" s="10" t="inlineStr">
        <is>
          <t>FY2025</t>
        </is>
      </c>
      <c r="M3" s="11" t="inlineStr">
        <is>
          <t>·</t>
        </is>
      </c>
      <c r="N3" s="11" t="inlineStr">
        <is>
          <t>·</t>
        </is>
      </c>
      <c r="O3" s="10" t="inlineStr">
        <is>
          <t>2Q FY2024</t>
        </is>
      </c>
      <c r="P3" s="10" t="inlineStr">
        <is>
          <t>3Q FY2024</t>
        </is>
      </c>
      <c r="Q3" s="10" t="inlineStr">
        <is>
          <t>1Q FY2025</t>
        </is>
      </c>
      <c r="R3" s="10" t="inlineStr">
        <is>
          <t>2Q FY2025</t>
        </is>
      </c>
      <c r="S3" s="10" t="inlineStr">
        <is>
          <t>3Q FY2025</t>
        </is>
      </c>
      <c r="T3" s="10" t="inlineStr">
        <is>
          <t>1Q FY2026</t>
        </is>
      </c>
      <c r="U3" s="10" t="inlineStr">
        <is>
          <t>2Q FY2026</t>
        </is>
      </c>
      <c r="V3" s="10" t="inlineStr">
        <is>
          <t>3Q FY2026</t>
        </is>
      </c>
    </row>
    <row r="4">
      <c r="C4" s="12" t="inlineStr">
        <is>
          <t>2016-10-30</t>
        </is>
      </c>
      <c r="D4" s="12" t="inlineStr">
        <is>
          <t>2017-10-29</t>
        </is>
      </c>
      <c r="E4" s="12" t="inlineStr">
        <is>
          <t>2018-11-04</t>
        </is>
      </c>
      <c r="F4" s="12" t="inlineStr">
        <is>
          <t>2019-11-03</t>
        </is>
      </c>
      <c r="G4" s="12" t="inlineStr">
        <is>
          <t>2020-11-01</t>
        </is>
      </c>
      <c r="H4" s="12" t="inlineStr">
        <is>
          <t>2021-10-31</t>
        </is>
      </c>
      <c r="I4" s="12" t="inlineStr">
        <is>
          <t>2022-10-30</t>
        </is>
      </c>
      <c r="J4" s="12" t="inlineStr">
        <is>
          <t>2023-10-29</t>
        </is>
      </c>
      <c r="K4" s="12" t="inlineStr">
        <is>
          <t>2024-11-03</t>
        </is>
      </c>
      <c r="L4" s="12" t="inlineStr">
        <is>
          <t>2025-11-02</t>
        </is>
      </c>
      <c r="M4" s="13" t="n"/>
      <c r="N4" s="13" t="n"/>
      <c r="O4" s="12" t="inlineStr">
        <is>
          <t>2024-05-05</t>
        </is>
      </c>
      <c r="P4" s="12" t="inlineStr">
        <is>
          <t>2024-08-04</t>
        </is>
      </c>
      <c r="Q4" s="12" t="inlineStr">
        <is>
          <t>2025-02-02</t>
        </is>
      </c>
      <c r="R4" s="12" t="inlineStr">
        <is>
          <t>2025-05-04</t>
        </is>
      </c>
      <c r="S4" s="12" t="inlineStr">
        <is>
          <t>2025-08-03</t>
        </is>
      </c>
      <c r="T4" s="12" t="inlineStr">
        <is>
          <t>2026-02-01</t>
        </is>
      </c>
      <c r="U4" s="12" t="inlineStr">
        <is>
          <t>2026-05-03</t>
        </is>
      </c>
      <c r="V4" s="12" t="inlineStr">
        <is>
          <t>2026-08-02</t>
        </is>
      </c>
    </row>
    <row r="5">
      <c r="M5" s="13" t="n"/>
      <c r="N5" s="13" t="n"/>
    </row>
    <row r="6">
      <c r="A6" s="14" t="inlineStr">
        <is>
          <t>CONTENTS</t>
        </is>
      </c>
      <c r="M6" s="13" t="n"/>
      <c r="N6" s="13" t="n"/>
    </row>
    <row r="7">
      <c r="A7" s="15">
        <f>HYPERLINK("#'Derived Metrics'!A18","1. PROFITABILITY")</f>
        <v/>
      </c>
      <c r="M7" s="13" t="n"/>
      <c r="N7" s="13" t="n"/>
    </row>
    <row r="8">
      <c r="A8" s="15">
        <f>HYPERLINK("#'Derived Metrics'!A25","2. RETURNS")</f>
        <v/>
      </c>
      <c r="M8" s="13" t="n"/>
      <c r="N8" s="13" t="n"/>
    </row>
    <row r="9">
      <c r="A9" s="15">
        <f>HYPERLINK("#'Derived Metrics'!A30","3. LEVERAGE")</f>
        <v/>
      </c>
      <c r="M9" s="13" t="n"/>
      <c r="N9" s="13" t="n"/>
    </row>
    <row r="10">
      <c r="A10" s="15">
        <f>HYPERLINK("#'Derived Metrics'!A35","4. SOLVENCY")</f>
        <v/>
      </c>
      <c r="M10" s="13" t="n"/>
      <c r="N10" s="13" t="n"/>
    </row>
    <row r="11">
      <c r="A11" s="15">
        <f>HYPERLINK("#'Derived Metrics'!A39","5. LIQUIDITY")</f>
        <v/>
      </c>
      <c r="M11" s="13" t="n"/>
      <c r="N11" s="13" t="n"/>
    </row>
    <row r="12">
      <c r="A12" s="15">
        <f>HYPERLINK("#'Derived Metrics'!A43","6. COVERAGE")</f>
        <v/>
      </c>
      <c r="M12" s="13" t="n"/>
      <c r="N12" s="13" t="n"/>
    </row>
    <row r="13">
      <c r="A13" s="15">
        <f>HYPERLINK("#'Derived Metrics'!A46","7. CASH CONVERSION")</f>
        <v/>
      </c>
      <c r="M13" s="13" t="n"/>
      <c r="N13" s="13" t="n"/>
    </row>
    <row r="14">
      <c r="A14" s="15">
        <f>HYPERLINK("#'Derived Metrics'!A51","8. EARNINGS QUALITY")</f>
        <v/>
      </c>
      <c r="M14" s="13" t="n"/>
      <c r="N14" s="13" t="n"/>
    </row>
    <row r="15">
      <c r="A15" s="15">
        <f>HYPERLINK("#'Derived Metrics'!A54","9. GROWTH")</f>
        <v/>
      </c>
      <c r="M15" s="13" t="n"/>
      <c r="N15" s="13" t="n"/>
    </row>
    <row r="16">
      <c r="A16" s="15">
        <f>HYPERLINK("#'Derived Metrics'!A60","10. WORKING CAPITAL")</f>
        <v/>
      </c>
      <c r="M16" s="13" t="n"/>
      <c r="N16" s="13" t="n"/>
    </row>
    <row r="17" ht="8" customHeight="1">
      <c r="M17" s="13" t="n"/>
      <c r="N17" s="13" t="n"/>
    </row>
    <row r="18" ht="20" customHeight="1">
      <c r="A18" s="5" t="inlineStr">
        <is>
          <t>1. PROFITABILITY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13" t="n"/>
      <c r="N18" s="13" t="n"/>
      <c r="O18" s="2" t="n"/>
      <c r="P18" s="2" t="n"/>
      <c r="Q18" s="2" t="n"/>
      <c r="R18" s="2" t="n"/>
      <c r="S18" s="2" t="n"/>
      <c r="T18" s="2" t="n"/>
      <c r="U18" s="2" t="n"/>
      <c r="V18" s="2" t="n"/>
    </row>
    <row r="19">
      <c r="A19" s="6" t="inlineStr">
        <is>
          <t>Gross Margin %</t>
        </is>
      </c>
      <c r="C19" s="46">
        <f>'Income Statement'!C28</f>
        <v/>
      </c>
      <c r="D19" s="46">
        <f>'Income Statement'!D28</f>
        <v/>
      </c>
      <c r="E19" s="46">
        <f>'Income Statement'!E28</f>
        <v/>
      </c>
      <c r="F19" s="46">
        <f>'Income Statement'!F28</f>
        <v/>
      </c>
      <c r="G19" s="46">
        <f>'Income Statement'!G28</f>
        <v/>
      </c>
      <c r="H19" s="46">
        <f>'Income Statement'!H28</f>
        <v/>
      </c>
      <c r="I19" s="46">
        <f>'Income Statement'!I28</f>
        <v/>
      </c>
      <c r="J19" s="46">
        <f>'Income Statement'!J28</f>
        <v/>
      </c>
      <c r="K19" s="46">
        <f>'Income Statement'!K28</f>
        <v/>
      </c>
      <c r="L19" s="46">
        <f>'Income Statement'!L28</f>
        <v/>
      </c>
      <c r="M19" s="13" t="n"/>
      <c r="N19" s="13" t="n"/>
      <c r="O19" s="46">
        <f>'Income Statement'!O28</f>
        <v/>
      </c>
      <c r="P19" s="46">
        <f>'Income Statement'!P28</f>
        <v/>
      </c>
      <c r="Q19" s="46">
        <f>'Income Statement'!Q28</f>
        <v/>
      </c>
      <c r="R19" s="46">
        <f>'Income Statement'!R28</f>
        <v/>
      </c>
      <c r="S19" s="46">
        <f>'Income Statement'!S28</f>
        <v/>
      </c>
      <c r="T19" s="46">
        <f>'Income Statement'!T28</f>
        <v/>
      </c>
      <c r="U19" s="46">
        <f>'Income Statement'!U28</f>
        <v/>
      </c>
      <c r="V19" s="46">
        <f>'Income Statement'!V28</f>
        <v/>
      </c>
    </row>
    <row r="20">
      <c r="A20" s="6" t="inlineStr">
        <is>
          <t>Operating Margin %</t>
        </is>
      </c>
      <c r="C20" s="46">
        <f>'Income Statement'!C38</f>
        <v/>
      </c>
      <c r="D20" s="46">
        <f>'Income Statement'!D38</f>
        <v/>
      </c>
      <c r="E20" s="46">
        <f>'Income Statement'!E38</f>
        <v/>
      </c>
      <c r="F20" s="46">
        <f>'Income Statement'!F38</f>
        <v/>
      </c>
      <c r="G20" s="46">
        <f>'Income Statement'!G38</f>
        <v/>
      </c>
      <c r="H20" s="46">
        <f>'Income Statement'!H38</f>
        <v/>
      </c>
      <c r="I20" s="46">
        <f>'Income Statement'!I38</f>
        <v/>
      </c>
      <c r="J20" s="46">
        <f>'Income Statement'!J38</f>
        <v/>
      </c>
      <c r="K20" s="46">
        <f>'Income Statement'!K38</f>
        <v/>
      </c>
      <c r="L20" s="46">
        <f>'Income Statement'!L38</f>
        <v/>
      </c>
      <c r="M20" s="13" t="n"/>
      <c r="N20" s="13" t="n"/>
      <c r="O20" s="46">
        <f>'Income Statement'!O38</f>
        <v/>
      </c>
      <c r="P20" s="46">
        <f>'Income Statement'!P38</f>
        <v/>
      </c>
      <c r="Q20" s="46">
        <f>'Income Statement'!Q38</f>
        <v/>
      </c>
      <c r="R20" s="46">
        <f>'Income Statement'!R38</f>
        <v/>
      </c>
      <c r="S20" s="46">
        <f>'Income Statement'!S38</f>
        <v/>
      </c>
      <c r="T20" s="46">
        <f>'Income Statement'!T38</f>
        <v/>
      </c>
      <c r="U20" s="46">
        <f>'Income Statement'!U38</f>
        <v/>
      </c>
      <c r="V20" s="46">
        <f>'Income Statement'!V38</f>
        <v/>
      </c>
    </row>
    <row r="21">
      <c r="A21" s="6" t="inlineStr">
        <is>
          <t>Net Margin %</t>
        </is>
      </c>
      <c r="C21" s="46">
        <f>'Income Statement'!C51</f>
        <v/>
      </c>
      <c r="D21" s="46">
        <f>'Income Statement'!D51</f>
        <v/>
      </c>
      <c r="E21" s="46">
        <f>'Income Statement'!E51</f>
        <v/>
      </c>
      <c r="F21" s="46">
        <f>'Income Statement'!F51</f>
        <v/>
      </c>
      <c r="G21" s="46">
        <f>'Income Statement'!G51</f>
        <v/>
      </c>
      <c r="H21" s="46">
        <f>'Income Statement'!H51</f>
        <v/>
      </c>
      <c r="I21" s="46">
        <f>'Income Statement'!I51</f>
        <v/>
      </c>
      <c r="J21" s="46">
        <f>'Income Statement'!J51</f>
        <v/>
      </c>
      <c r="K21" s="46">
        <f>'Income Statement'!K51</f>
        <v/>
      </c>
      <c r="L21" s="46">
        <f>'Income Statement'!L51</f>
        <v/>
      </c>
      <c r="M21" s="13" t="n"/>
      <c r="N21" s="13" t="n"/>
      <c r="O21" s="46">
        <f>'Income Statement'!O51</f>
        <v/>
      </c>
      <c r="P21" s="46">
        <f>'Income Statement'!P51</f>
        <v/>
      </c>
      <c r="Q21" s="46">
        <f>'Income Statement'!Q51</f>
        <v/>
      </c>
      <c r="R21" s="46">
        <f>'Income Statement'!R51</f>
        <v/>
      </c>
      <c r="S21" s="46">
        <f>'Income Statement'!S51</f>
        <v/>
      </c>
      <c r="T21" s="46">
        <f>'Income Statement'!T51</f>
        <v/>
      </c>
      <c r="U21" s="46">
        <f>'Income Statement'!U51</f>
        <v/>
      </c>
      <c r="V21" s="46">
        <f>'Income Statement'!V51</f>
        <v/>
      </c>
    </row>
    <row r="22">
      <c r="A22" s="14" t="inlineStr">
        <is>
          <t>EBITDA</t>
        </is>
      </c>
      <c r="C22" s="41">
        <f>'Income Statement'!C37+'Cash Flow Statement'!C16+'Cash Flow Statement'!C17</f>
        <v/>
      </c>
      <c r="D22" s="41">
        <f>'Income Statement'!D37+'Cash Flow Statement'!D16+'Cash Flow Statement'!D17</f>
        <v/>
      </c>
      <c r="E22" s="41">
        <f>'Income Statement'!E37+'Cash Flow Statement'!E16+'Cash Flow Statement'!E17</f>
        <v/>
      </c>
      <c r="F22" s="41">
        <f>'Income Statement'!F37+'Cash Flow Statement'!F16+'Cash Flow Statement'!F17</f>
        <v/>
      </c>
      <c r="G22" s="41">
        <f>'Income Statement'!G37+'Cash Flow Statement'!G16+'Cash Flow Statement'!G17</f>
        <v/>
      </c>
      <c r="H22" s="41">
        <f>'Income Statement'!H37+'Cash Flow Statement'!H16+'Cash Flow Statement'!H17</f>
        <v/>
      </c>
      <c r="I22" s="41">
        <f>'Income Statement'!I37+'Cash Flow Statement'!I16+'Cash Flow Statement'!I17</f>
        <v/>
      </c>
      <c r="J22" s="41">
        <f>'Income Statement'!J37+'Cash Flow Statement'!J16+'Cash Flow Statement'!J17</f>
        <v/>
      </c>
      <c r="K22" s="41">
        <f>'Income Statement'!K37+'Cash Flow Statement'!K16+'Cash Flow Statement'!K17</f>
        <v/>
      </c>
      <c r="L22" s="41">
        <f>'Income Statement'!L37+'Cash Flow Statement'!L16+'Cash Flow Statement'!L17</f>
        <v/>
      </c>
      <c r="M22" s="13" t="n"/>
      <c r="N22" s="13" t="n"/>
      <c r="O22" s="41">
        <f>'Income Statement'!O37+'Cash Flow Statement'!O16+'Cash Flow Statement'!O17</f>
        <v/>
      </c>
      <c r="P22" s="41">
        <f>'Income Statement'!P37+'Cash Flow Statement'!P16+'Cash Flow Statement'!P17</f>
        <v/>
      </c>
      <c r="Q22" s="41">
        <f>'Income Statement'!Q37+'Cash Flow Statement'!Q16+'Cash Flow Statement'!Q17</f>
        <v/>
      </c>
      <c r="R22" s="41">
        <f>'Income Statement'!R37+'Cash Flow Statement'!R16+'Cash Flow Statement'!R17</f>
        <v/>
      </c>
      <c r="S22" s="41">
        <f>'Income Statement'!S37+'Cash Flow Statement'!S16+'Cash Flow Statement'!S17</f>
        <v/>
      </c>
      <c r="T22" s="41">
        <f>'Income Statement'!T37+'Cash Flow Statement'!T16+'Cash Flow Statement'!T17</f>
        <v/>
      </c>
      <c r="U22" s="41">
        <f>'Income Statement'!U37+'Cash Flow Statement'!U16+'Cash Flow Statement'!U17</f>
        <v/>
      </c>
      <c r="V22" s="41">
        <f>'Income Statement'!V37+'Cash Flow Statement'!V16+'Cash Flow Statement'!V17</f>
        <v/>
      </c>
    </row>
    <row r="23">
      <c r="A23" s="17" t="inlineStr">
        <is>
          <t xml:space="preserve">  EBITDA Margin %</t>
        </is>
      </c>
      <c r="C23" s="37">
        <f>C22/'Income Statement'!C14</f>
        <v/>
      </c>
      <c r="D23" s="37">
        <f>D22/'Income Statement'!D14</f>
        <v/>
      </c>
      <c r="E23" s="37">
        <f>E22/'Income Statement'!E14</f>
        <v/>
      </c>
      <c r="F23" s="37">
        <f>F22/'Income Statement'!F14</f>
        <v/>
      </c>
      <c r="G23" s="37">
        <f>G22/'Income Statement'!G14</f>
        <v/>
      </c>
      <c r="H23" s="37">
        <f>H22/'Income Statement'!H14</f>
        <v/>
      </c>
      <c r="I23" s="37">
        <f>I22/'Income Statement'!I14</f>
        <v/>
      </c>
      <c r="J23" s="37">
        <f>J22/'Income Statement'!J14</f>
        <v/>
      </c>
      <c r="K23" s="37">
        <f>K22/'Income Statement'!K14</f>
        <v/>
      </c>
      <c r="L23" s="37">
        <f>L22/'Income Statement'!L14</f>
        <v/>
      </c>
      <c r="M23" s="13" t="n"/>
      <c r="N23" s="13" t="n"/>
      <c r="O23" s="37">
        <f>O22/'Income Statement'!O14</f>
        <v/>
      </c>
      <c r="P23" s="37">
        <f>P22/'Income Statement'!P14</f>
        <v/>
      </c>
      <c r="Q23" s="37">
        <f>Q22/'Income Statement'!Q14</f>
        <v/>
      </c>
      <c r="R23" s="37">
        <f>R22/'Income Statement'!R14</f>
        <v/>
      </c>
      <c r="S23" s="37">
        <f>S22/'Income Statement'!S14</f>
        <v/>
      </c>
      <c r="T23" s="37">
        <f>T22/'Income Statement'!T14</f>
        <v/>
      </c>
      <c r="U23" s="37">
        <f>U22/'Income Statement'!U14</f>
        <v/>
      </c>
      <c r="V23" s="37">
        <f>V22/'Income Statement'!V14</f>
        <v/>
      </c>
    </row>
    <row r="24" ht="8" customHeight="1">
      <c r="M24" s="13" t="n"/>
      <c r="N24" s="13" t="n"/>
    </row>
    <row r="25" ht="20" customHeight="1">
      <c r="A25" s="5" t="inlineStr">
        <is>
          <t>2. RETURNS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13" t="n"/>
      <c r="N25" s="13" t="n"/>
      <c r="O25" s="2" t="n"/>
      <c r="P25" s="2" t="n"/>
      <c r="Q25" s="2" t="n"/>
      <c r="R25" s="2" t="n"/>
      <c r="S25" s="2" t="n"/>
      <c r="T25" s="2" t="n"/>
      <c r="U25" s="2" t="n"/>
      <c r="V25" s="2" t="n"/>
    </row>
    <row r="26">
      <c r="A26" s="6" t="inlineStr">
        <is>
          <t>Return on Equity (avg)</t>
        </is>
      </c>
      <c r="D26" s="47">
        <f>'Income Statement'!D50/(('Balance Sheet'!D48+'Balance Sheet'!C48)/2)</f>
        <v/>
      </c>
      <c r="E26" s="47">
        <f>'Income Statement'!E50/(('Balance Sheet'!E48+'Balance Sheet'!D48)/2)</f>
        <v/>
      </c>
      <c r="F26" s="47">
        <f>'Income Statement'!F50/(('Balance Sheet'!F48+'Balance Sheet'!E48)/2)</f>
        <v/>
      </c>
      <c r="G26" s="47">
        <f>'Income Statement'!G50/(('Balance Sheet'!G48+'Balance Sheet'!F48)/2)</f>
        <v/>
      </c>
      <c r="H26" s="47">
        <f>'Income Statement'!H50/(('Balance Sheet'!H48+'Balance Sheet'!G48)/2)</f>
        <v/>
      </c>
      <c r="I26" s="47">
        <f>'Income Statement'!I50/(('Balance Sheet'!I48+'Balance Sheet'!H48)/2)</f>
        <v/>
      </c>
      <c r="J26" s="47">
        <f>'Income Statement'!J50/(('Balance Sheet'!J48+'Balance Sheet'!I48)/2)</f>
        <v/>
      </c>
      <c r="K26" s="47">
        <f>'Income Statement'!K50/(('Balance Sheet'!K48+'Balance Sheet'!J48)/2)</f>
        <v/>
      </c>
      <c r="L26" s="47">
        <f>'Income Statement'!L50/(('Balance Sheet'!L48+'Balance Sheet'!K48)/2)</f>
        <v/>
      </c>
      <c r="M26" s="13" t="n"/>
      <c r="N26" s="13" t="n"/>
    </row>
    <row r="27">
      <c r="A27" s="6" t="inlineStr">
        <is>
          <t>Return on Assets (avg)</t>
        </is>
      </c>
      <c r="D27" s="47">
        <f>'Income Statement'!D50/(('Balance Sheet'!D26+'Balance Sheet'!C26)/2)</f>
        <v/>
      </c>
      <c r="E27" s="47">
        <f>'Income Statement'!E50/(('Balance Sheet'!E26+'Balance Sheet'!D26)/2)</f>
        <v/>
      </c>
      <c r="F27" s="47">
        <f>'Income Statement'!F50/(('Balance Sheet'!F26+'Balance Sheet'!E26)/2)</f>
        <v/>
      </c>
      <c r="G27" s="47">
        <f>'Income Statement'!G50/(('Balance Sheet'!G26+'Balance Sheet'!F26)/2)</f>
        <v/>
      </c>
      <c r="H27" s="47">
        <f>'Income Statement'!H50/(('Balance Sheet'!H26+'Balance Sheet'!G26)/2)</f>
        <v/>
      </c>
      <c r="I27" s="47">
        <f>'Income Statement'!I50/(('Balance Sheet'!I26+'Balance Sheet'!H26)/2)</f>
        <v/>
      </c>
      <c r="J27" s="47">
        <f>'Income Statement'!J50/(('Balance Sheet'!J26+'Balance Sheet'!I26)/2)</f>
        <v/>
      </c>
      <c r="K27" s="47">
        <f>'Income Statement'!K50/(('Balance Sheet'!K26+'Balance Sheet'!J26)/2)</f>
        <v/>
      </c>
      <c r="L27" s="47">
        <f>'Income Statement'!L50/(('Balance Sheet'!L26+'Balance Sheet'!K26)/2)</f>
        <v/>
      </c>
      <c r="M27" s="13" t="n"/>
      <c r="N27" s="13" t="n"/>
    </row>
    <row r="28" ht="24" customHeight="1">
      <c r="A28" s="6" t="inlineStr">
        <is>
          <t>Return on Invested Capital (approx.)</t>
        </is>
      </c>
      <c r="B28" s="20" t="inlineStr">
        <is>
          <t>Assumes a normalized 15% cash tax rate on operating income; invested capital = total debt + total equity - cash.</t>
        </is>
      </c>
      <c r="C28" s="47">
        <f>('Income Statement'!C37*(1-0.15))/('Balance Sheet'!C36+'Balance Sheet'!C31+'Balance Sheet'!C48-'Balance Sheet'!C15)</f>
        <v/>
      </c>
      <c r="D28" s="47">
        <f>('Income Statement'!D37*(1-0.15))/('Balance Sheet'!D36+'Balance Sheet'!D31+'Balance Sheet'!D48-'Balance Sheet'!D15)</f>
        <v/>
      </c>
      <c r="E28" s="47">
        <f>('Income Statement'!E37*(1-0.15))/('Balance Sheet'!E36+'Balance Sheet'!E31+'Balance Sheet'!E48-'Balance Sheet'!E15)</f>
        <v/>
      </c>
      <c r="F28" s="47">
        <f>('Income Statement'!F37*(1-0.15))/('Balance Sheet'!F36+'Balance Sheet'!F31+'Balance Sheet'!F48-'Balance Sheet'!F15)</f>
        <v/>
      </c>
      <c r="G28" s="47">
        <f>('Income Statement'!G37*(1-0.15))/('Balance Sheet'!G36+'Balance Sheet'!G31+'Balance Sheet'!G48-'Balance Sheet'!G15)</f>
        <v/>
      </c>
      <c r="H28" s="47">
        <f>('Income Statement'!H37*(1-0.15))/('Balance Sheet'!H36+'Balance Sheet'!H31+'Balance Sheet'!H48-'Balance Sheet'!H15)</f>
        <v/>
      </c>
      <c r="I28" s="47">
        <f>('Income Statement'!I37*(1-0.15))/('Balance Sheet'!I36+'Balance Sheet'!I31+'Balance Sheet'!I48-'Balance Sheet'!I15)</f>
        <v/>
      </c>
      <c r="J28" s="47">
        <f>('Income Statement'!J37*(1-0.15))/('Balance Sheet'!J36+'Balance Sheet'!J31+'Balance Sheet'!J48-'Balance Sheet'!J15)</f>
        <v/>
      </c>
      <c r="K28" s="47">
        <f>('Income Statement'!K37*(1-0.15))/('Balance Sheet'!K36+'Balance Sheet'!K31+'Balance Sheet'!K48-'Balance Sheet'!K15)</f>
        <v/>
      </c>
      <c r="L28" s="47">
        <f>('Income Statement'!L37*(1-0.15))/('Balance Sheet'!L36+'Balance Sheet'!L31+'Balance Sheet'!L48-'Balance Sheet'!L15)</f>
        <v/>
      </c>
      <c r="M28" s="13" t="n"/>
      <c r="N28" s="13" t="n"/>
      <c r="O28" s="47">
        <f>('Income Statement'!O37*(1-0.15))/('Balance Sheet'!O36+'Balance Sheet'!O31+'Balance Sheet'!O48-'Balance Sheet'!O15)</f>
        <v/>
      </c>
      <c r="P28" s="47">
        <f>('Income Statement'!P37*(1-0.15))/('Balance Sheet'!P36+'Balance Sheet'!P31+'Balance Sheet'!P48-'Balance Sheet'!P15)</f>
        <v/>
      </c>
      <c r="Q28" s="47">
        <f>('Income Statement'!Q37*(1-0.15))/('Balance Sheet'!Q36+'Balance Sheet'!Q31+'Balance Sheet'!Q48-'Balance Sheet'!Q15)</f>
        <v/>
      </c>
      <c r="R28" s="47">
        <f>('Income Statement'!R37*(1-0.15))/('Balance Sheet'!R36+'Balance Sheet'!R31+'Balance Sheet'!R48-'Balance Sheet'!R15)</f>
        <v/>
      </c>
      <c r="S28" s="47">
        <f>('Income Statement'!S37*(1-0.15))/('Balance Sheet'!S36+'Balance Sheet'!S31+'Balance Sheet'!S48-'Balance Sheet'!S15)</f>
        <v/>
      </c>
      <c r="T28" s="47">
        <f>('Income Statement'!T37*(1-0.15))/('Balance Sheet'!T36+'Balance Sheet'!T31+'Balance Sheet'!T48-'Balance Sheet'!T15)</f>
        <v/>
      </c>
      <c r="U28" s="47">
        <f>('Income Statement'!U37*(1-0.15))/('Balance Sheet'!U36+'Balance Sheet'!U31+'Balance Sheet'!U48-'Balance Sheet'!U15)</f>
        <v/>
      </c>
      <c r="V28" s="47">
        <f>('Income Statement'!V37*(1-0.15))/('Balance Sheet'!V36+'Balance Sheet'!V31+'Balance Sheet'!V48-'Balance Sheet'!V15)</f>
        <v/>
      </c>
    </row>
    <row r="29" ht="8" customHeight="1">
      <c r="M29" s="13" t="n"/>
      <c r="N29" s="13" t="n"/>
    </row>
    <row r="30" ht="20" customHeight="1">
      <c r="A30" s="5" t="inlineStr">
        <is>
          <t>3. LEVERAGE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13" t="n"/>
      <c r="N30" s="13" t="n"/>
      <c r="O30" s="2" t="n"/>
      <c r="P30" s="2" t="n"/>
      <c r="Q30" s="2" t="n"/>
      <c r="R30" s="2" t="n"/>
      <c r="S30" s="2" t="n"/>
      <c r="T30" s="2" t="n"/>
      <c r="U30" s="2" t="n"/>
      <c r="V30" s="2" t="n"/>
    </row>
    <row r="31">
      <c r="A31" s="6" t="inlineStr">
        <is>
          <t>Total Debt / Equity</t>
        </is>
      </c>
      <c r="C31" s="48">
        <f>('Balance Sheet'!C36+'Balance Sheet'!C31)/'Balance Sheet'!C48</f>
        <v/>
      </c>
      <c r="D31" s="48">
        <f>('Balance Sheet'!D36+'Balance Sheet'!D31)/'Balance Sheet'!D48</f>
        <v/>
      </c>
      <c r="E31" s="48">
        <f>('Balance Sheet'!E36+'Balance Sheet'!E31)/'Balance Sheet'!E48</f>
        <v/>
      </c>
      <c r="F31" s="48">
        <f>('Balance Sheet'!F36+'Balance Sheet'!F31)/'Balance Sheet'!F48</f>
        <v/>
      </c>
      <c r="G31" s="48">
        <f>('Balance Sheet'!G36+'Balance Sheet'!G31)/'Balance Sheet'!G48</f>
        <v/>
      </c>
      <c r="H31" s="48">
        <f>('Balance Sheet'!H36+'Balance Sheet'!H31)/'Balance Sheet'!H48</f>
        <v/>
      </c>
      <c r="I31" s="48">
        <f>('Balance Sheet'!I36+'Balance Sheet'!I31)/'Balance Sheet'!I48</f>
        <v/>
      </c>
      <c r="J31" s="48">
        <f>('Balance Sheet'!J36+'Balance Sheet'!J31)/'Balance Sheet'!J48</f>
        <v/>
      </c>
      <c r="K31" s="48">
        <f>('Balance Sheet'!K36+'Balance Sheet'!K31)/'Balance Sheet'!K48</f>
        <v/>
      </c>
      <c r="L31" s="48">
        <f>('Balance Sheet'!L36+'Balance Sheet'!L31)/'Balance Sheet'!L48</f>
        <v/>
      </c>
      <c r="M31" s="13" t="n"/>
      <c r="N31" s="13" t="n"/>
      <c r="O31" s="48">
        <f>('Balance Sheet'!O36+'Balance Sheet'!O31)/'Balance Sheet'!O48</f>
        <v/>
      </c>
      <c r="P31" s="48">
        <f>('Balance Sheet'!P36+'Balance Sheet'!P31)/'Balance Sheet'!P48</f>
        <v/>
      </c>
      <c r="Q31" s="48">
        <f>('Balance Sheet'!Q36+'Balance Sheet'!Q31)/'Balance Sheet'!Q48</f>
        <v/>
      </c>
      <c r="R31" s="48">
        <f>('Balance Sheet'!R36+'Balance Sheet'!R31)/'Balance Sheet'!R48</f>
        <v/>
      </c>
      <c r="S31" s="48">
        <f>('Balance Sheet'!S36+'Balance Sheet'!S31)/'Balance Sheet'!S48</f>
        <v/>
      </c>
      <c r="T31" s="48">
        <f>('Balance Sheet'!T36+'Balance Sheet'!T31)/'Balance Sheet'!T48</f>
        <v/>
      </c>
      <c r="U31" s="48">
        <f>('Balance Sheet'!U36+'Balance Sheet'!U31)/'Balance Sheet'!U48</f>
        <v/>
      </c>
      <c r="V31" s="48">
        <f>('Balance Sheet'!V36+'Balance Sheet'!V31)/'Balance Sheet'!V48</f>
        <v/>
      </c>
    </row>
    <row r="32">
      <c r="A32" s="6" t="inlineStr">
        <is>
          <t>Total Debt / EBITDA</t>
        </is>
      </c>
      <c r="C32" s="48">
        <f>('Balance Sheet'!C36+'Balance Sheet'!C31)/C22</f>
        <v/>
      </c>
      <c r="D32" s="48">
        <f>('Balance Sheet'!D36+'Balance Sheet'!D31)/D22</f>
        <v/>
      </c>
      <c r="E32" s="48">
        <f>('Balance Sheet'!E36+'Balance Sheet'!E31)/E22</f>
        <v/>
      </c>
      <c r="F32" s="48">
        <f>('Balance Sheet'!F36+'Balance Sheet'!F31)/F22</f>
        <v/>
      </c>
      <c r="G32" s="48">
        <f>('Balance Sheet'!G36+'Balance Sheet'!G31)/G22</f>
        <v/>
      </c>
      <c r="H32" s="48">
        <f>('Balance Sheet'!H36+'Balance Sheet'!H31)/H22</f>
        <v/>
      </c>
      <c r="I32" s="48">
        <f>('Balance Sheet'!I36+'Balance Sheet'!I31)/I22</f>
        <v/>
      </c>
      <c r="J32" s="48">
        <f>('Balance Sheet'!J36+'Balance Sheet'!J31)/J22</f>
        <v/>
      </c>
      <c r="K32" s="48">
        <f>('Balance Sheet'!K36+'Balance Sheet'!K31)/K22</f>
        <v/>
      </c>
      <c r="L32" s="48">
        <f>('Balance Sheet'!L36+'Balance Sheet'!L31)/L22</f>
        <v/>
      </c>
      <c r="M32" s="13" t="n"/>
      <c r="N32" s="13" t="n"/>
      <c r="O32" s="48">
        <f>('Balance Sheet'!O36+'Balance Sheet'!O31)/O22</f>
        <v/>
      </c>
      <c r="P32" s="48">
        <f>('Balance Sheet'!P36+'Balance Sheet'!P31)/P22</f>
        <v/>
      </c>
      <c r="Q32" s="48">
        <f>('Balance Sheet'!Q36+'Balance Sheet'!Q31)/Q22</f>
        <v/>
      </c>
      <c r="R32" s="48">
        <f>('Balance Sheet'!R36+'Balance Sheet'!R31)/R22</f>
        <v/>
      </c>
      <c r="S32" s="48">
        <f>('Balance Sheet'!S36+'Balance Sheet'!S31)/S22</f>
        <v/>
      </c>
      <c r="T32" s="48">
        <f>('Balance Sheet'!T36+'Balance Sheet'!T31)/T22</f>
        <v/>
      </c>
      <c r="U32" s="48">
        <f>('Balance Sheet'!U36+'Balance Sheet'!U31)/U22</f>
        <v/>
      </c>
      <c r="V32" s="48">
        <f>('Balance Sheet'!V36+'Balance Sheet'!V31)/V22</f>
        <v/>
      </c>
    </row>
    <row r="33">
      <c r="A33" s="6" t="inlineStr">
        <is>
          <t>Net Debt / EBITDA</t>
        </is>
      </c>
      <c r="C33" s="48">
        <f>('Balance Sheet'!C36+'Balance Sheet'!C31-'Balance Sheet'!C15)/C22</f>
        <v/>
      </c>
      <c r="D33" s="48">
        <f>('Balance Sheet'!D36+'Balance Sheet'!D31-'Balance Sheet'!D15)/D22</f>
        <v/>
      </c>
      <c r="E33" s="48">
        <f>('Balance Sheet'!E36+'Balance Sheet'!E31-'Balance Sheet'!E15)/E22</f>
        <v/>
      </c>
      <c r="F33" s="48">
        <f>('Balance Sheet'!F36+'Balance Sheet'!F31-'Balance Sheet'!F15)/F22</f>
        <v/>
      </c>
      <c r="G33" s="48">
        <f>('Balance Sheet'!G36+'Balance Sheet'!G31-'Balance Sheet'!G15)/G22</f>
        <v/>
      </c>
      <c r="H33" s="48">
        <f>('Balance Sheet'!H36+'Balance Sheet'!H31-'Balance Sheet'!H15)/H22</f>
        <v/>
      </c>
      <c r="I33" s="48">
        <f>('Balance Sheet'!I36+'Balance Sheet'!I31-'Balance Sheet'!I15)/I22</f>
        <v/>
      </c>
      <c r="J33" s="48">
        <f>('Balance Sheet'!J36+'Balance Sheet'!J31-'Balance Sheet'!J15)/J22</f>
        <v/>
      </c>
      <c r="K33" s="48">
        <f>('Balance Sheet'!K36+'Balance Sheet'!K31-'Balance Sheet'!K15)/K22</f>
        <v/>
      </c>
      <c r="L33" s="48">
        <f>('Balance Sheet'!L36+'Balance Sheet'!L31-'Balance Sheet'!L15)/L22</f>
        <v/>
      </c>
      <c r="M33" s="13" t="n"/>
      <c r="N33" s="13" t="n"/>
      <c r="O33" s="48">
        <f>('Balance Sheet'!O36+'Balance Sheet'!O31-'Balance Sheet'!O15)/O22</f>
        <v/>
      </c>
      <c r="P33" s="48">
        <f>('Balance Sheet'!P36+'Balance Sheet'!P31-'Balance Sheet'!P15)/P22</f>
        <v/>
      </c>
      <c r="Q33" s="48">
        <f>('Balance Sheet'!Q36+'Balance Sheet'!Q31-'Balance Sheet'!Q15)/Q22</f>
        <v/>
      </c>
      <c r="R33" s="48">
        <f>('Balance Sheet'!R36+'Balance Sheet'!R31-'Balance Sheet'!R15)/R22</f>
        <v/>
      </c>
      <c r="S33" s="48">
        <f>('Balance Sheet'!S36+'Balance Sheet'!S31-'Balance Sheet'!S15)/S22</f>
        <v/>
      </c>
      <c r="T33" s="48">
        <f>('Balance Sheet'!T36+'Balance Sheet'!T31-'Balance Sheet'!T15)/T22</f>
        <v/>
      </c>
      <c r="U33" s="48">
        <f>('Balance Sheet'!U36+'Balance Sheet'!U31-'Balance Sheet'!U15)/U22</f>
        <v/>
      </c>
      <c r="V33" s="48">
        <f>('Balance Sheet'!V36+'Balance Sheet'!V31-'Balance Sheet'!V15)/V22</f>
        <v/>
      </c>
    </row>
    <row r="34" ht="8" customHeight="1">
      <c r="M34" s="13" t="n"/>
      <c r="N34" s="13" t="n"/>
    </row>
    <row r="35" ht="20" customHeight="1">
      <c r="A35" s="5" t="inlineStr">
        <is>
          <t>4. SOLVENCY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13" t="n"/>
      <c r="N35" s="13" t="n"/>
      <c r="O35" s="2" t="n"/>
      <c r="P35" s="2" t="n"/>
      <c r="Q35" s="2" t="n"/>
      <c r="R35" s="2" t="n"/>
      <c r="S35" s="2" t="n"/>
      <c r="T35" s="2" t="n"/>
      <c r="U35" s="2" t="n"/>
      <c r="V35" s="2" t="n"/>
    </row>
    <row r="36">
      <c r="A36" s="6" t="inlineStr">
        <is>
          <t>Total Liabilities / Total Assets</t>
        </is>
      </c>
      <c r="C36" s="47">
        <f>'Balance Sheet'!C39/'Balance Sheet'!C26</f>
        <v/>
      </c>
      <c r="D36" s="47">
        <f>'Balance Sheet'!D39/'Balance Sheet'!D26</f>
        <v/>
      </c>
      <c r="E36" s="47">
        <f>'Balance Sheet'!E39/'Balance Sheet'!E26</f>
        <v/>
      </c>
      <c r="F36" s="47">
        <f>'Balance Sheet'!F39/'Balance Sheet'!F26</f>
        <v/>
      </c>
      <c r="G36" s="47">
        <f>'Balance Sheet'!G39/'Balance Sheet'!G26</f>
        <v/>
      </c>
      <c r="H36" s="47">
        <f>'Balance Sheet'!H39/'Balance Sheet'!H26</f>
        <v/>
      </c>
      <c r="I36" s="47">
        <f>'Balance Sheet'!I39/'Balance Sheet'!I26</f>
        <v/>
      </c>
      <c r="J36" s="47">
        <f>'Balance Sheet'!J39/'Balance Sheet'!J26</f>
        <v/>
      </c>
      <c r="K36" s="47">
        <f>'Balance Sheet'!K39/'Balance Sheet'!K26</f>
        <v/>
      </c>
      <c r="L36" s="47">
        <f>'Balance Sheet'!L39/'Balance Sheet'!L26</f>
        <v/>
      </c>
      <c r="M36" s="13" t="n"/>
      <c r="N36" s="13" t="n"/>
      <c r="O36" s="47">
        <f>'Balance Sheet'!O39/'Balance Sheet'!O26</f>
        <v/>
      </c>
      <c r="P36" s="47">
        <f>'Balance Sheet'!P39/'Balance Sheet'!P26</f>
        <v/>
      </c>
      <c r="Q36" s="47">
        <f>'Balance Sheet'!Q39/'Balance Sheet'!Q26</f>
        <v/>
      </c>
      <c r="R36" s="47">
        <f>'Balance Sheet'!R39/'Balance Sheet'!R26</f>
        <v/>
      </c>
      <c r="S36" s="47">
        <f>'Balance Sheet'!S39/'Balance Sheet'!S26</f>
        <v/>
      </c>
      <c r="T36" s="47">
        <f>'Balance Sheet'!T39/'Balance Sheet'!T26</f>
        <v/>
      </c>
      <c r="U36" s="47">
        <f>'Balance Sheet'!U39/'Balance Sheet'!U26</f>
        <v/>
      </c>
      <c r="V36" s="47">
        <f>'Balance Sheet'!V39/'Balance Sheet'!V26</f>
        <v/>
      </c>
    </row>
    <row r="37">
      <c r="A37" s="6" t="inlineStr">
        <is>
          <t>Total Equity / Total Assets</t>
        </is>
      </c>
      <c r="C37" s="47">
        <f>'Balance Sheet'!C48/'Balance Sheet'!C26</f>
        <v/>
      </c>
      <c r="D37" s="47">
        <f>'Balance Sheet'!D48/'Balance Sheet'!D26</f>
        <v/>
      </c>
      <c r="E37" s="47">
        <f>'Balance Sheet'!E48/'Balance Sheet'!E26</f>
        <v/>
      </c>
      <c r="F37" s="47">
        <f>'Balance Sheet'!F48/'Balance Sheet'!F26</f>
        <v/>
      </c>
      <c r="G37" s="47">
        <f>'Balance Sheet'!G48/'Balance Sheet'!G26</f>
        <v/>
      </c>
      <c r="H37" s="47">
        <f>'Balance Sheet'!H48/'Balance Sheet'!H26</f>
        <v/>
      </c>
      <c r="I37" s="47">
        <f>'Balance Sheet'!I48/'Balance Sheet'!I26</f>
        <v/>
      </c>
      <c r="J37" s="47">
        <f>'Balance Sheet'!J48/'Balance Sheet'!J26</f>
        <v/>
      </c>
      <c r="K37" s="47">
        <f>'Balance Sheet'!K48/'Balance Sheet'!K26</f>
        <v/>
      </c>
      <c r="L37" s="47">
        <f>'Balance Sheet'!L48/'Balance Sheet'!L26</f>
        <v/>
      </c>
      <c r="M37" s="13" t="n"/>
      <c r="N37" s="13" t="n"/>
      <c r="O37" s="47">
        <f>'Balance Sheet'!O48/'Balance Sheet'!O26</f>
        <v/>
      </c>
      <c r="P37" s="47">
        <f>'Balance Sheet'!P48/'Balance Sheet'!P26</f>
        <v/>
      </c>
      <c r="Q37" s="47">
        <f>'Balance Sheet'!Q48/'Balance Sheet'!Q26</f>
        <v/>
      </c>
      <c r="R37" s="47">
        <f>'Balance Sheet'!R48/'Balance Sheet'!R26</f>
        <v/>
      </c>
      <c r="S37" s="47">
        <f>'Balance Sheet'!S48/'Balance Sheet'!S26</f>
        <v/>
      </c>
      <c r="T37" s="47">
        <f>'Balance Sheet'!T48/'Balance Sheet'!T26</f>
        <v/>
      </c>
      <c r="U37" s="47">
        <f>'Balance Sheet'!U48/'Balance Sheet'!U26</f>
        <v/>
      </c>
      <c r="V37" s="47">
        <f>'Balance Sheet'!V48/'Balance Sheet'!V26</f>
        <v/>
      </c>
    </row>
    <row r="38" ht="8" customHeight="1">
      <c r="M38" s="13" t="n"/>
      <c r="N38" s="13" t="n"/>
    </row>
    <row r="39" ht="20" customHeight="1">
      <c r="A39" s="5" t="inlineStr">
        <is>
          <t>5. LIQUIDITY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13" t="n"/>
      <c r="N39" s="13" t="n"/>
      <c r="O39" s="2" t="n"/>
      <c r="P39" s="2" t="n"/>
      <c r="Q39" s="2" t="n"/>
      <c r="R39" s="2" t="n"/>
      <c r="S39" s="2" t="n"/>
      <c r="T39" s="2" t="n"/>
      <c r="U39" s="2" t="n"/>
      <c r="V39" s="2" t="n"/>
    </row>
    <row r="40">
      <c r="A40" s="6" t="inlineStr">
        <is>
          <t>Current Ratio</t>
        </is>
      </c>
      <c r="C40" s="48">
        <f>'Balance Sheet'!C19/'Balance Sheet'!C33</f>
        <v/>
      </c>
      <c r="D40" s="48">
        <f>'Balance Sheet'!D19/'Balance Sheet'!D33</f>
        <v/>
      </c>
      <c r="E40" s="48">
        <f>'Balance Sheet'!E19/'Balance Sheet'!E33</f>
        <v/>
      </c>
      <c r="F40" s="48">
        <f>'Balance Sheet'!F19/'Balance Sheet'!F33</f>
        <v/>
      </c>
      <c r="G40" s="48">
        <f>'Balance Sheet'!G19/'Balance Sheet'!G33</f>
        <v/>
      </c>
      <c r="H40" s="48">
        <f>'Balance Sheet'!H19/'Balance Sheet'!H33</f>
        <v/>
      </c>
      <c r="I40" s="48">
        <f>'Balance Sheet'!I19/'Balance Sheet'!I33</f>
        <v/>
      </c>
      <c r="J40" s="48">
        <f>'Balance Sheet'!J19/'Balance Sheet'!J33</f>
        <v/>
      </c>
      <c r="K40" s="48">
        <f>'Balance Sheet'!K19/'Balance Sheet'!K33</f>
        <v/>
      </c>
      <c r="L40" s="48">
        <f>'Balance Sheet'!L19/'Balance Sheet'!L33</f>
        <v/>
      </c>
      <c r="M40" s="13" t="n"/>
      <c r="N40" s="13" t="n"/>
      <c r="O40" s="48">
        <f>'Balance Sheet'!O19/'Balance Sheet'!O33</f>
        <v/>
      </c>
      <c r="P40" s="48">
        <f>'Balance Sheet'!P19/'Balance Sheet'!P33</f>
        <v/>
      </c>
      <c r="Q40" s="48">
        <f>'Balance Sheet'!Q19/'Balance Sheet'!Q33</f>
        <v/>
      </c>
      <c r="R40" s="48">
        <f>'Balance Sheet'!R19/'Balance Sheet'!R33</f>
        <v/>
      </c>
      <c r="S40" s="48">
        <f>'Balance Sheet'!S19/'Balance Sheet'!S33</f>
        <v/>
      </c>
      <c r="T40" s="48">
        <f>'Balance Sheet'!T19/'Balance Sheet'!T33</f>
        <v/>
      </c>
      <c r="U40" s="48">
        <f>'Balance Sheet'!U19/'Balance Sheet'!U33</f>
        <v/>
      </c>
      <c r="V40" s="48">
        <f>'Balance Sheet'!V19/'Balance Sheet'!V33</f>
        <v/>
      </c>
    </row>
    <row r="41">
      <c r="A41" s="6" t="inlineStr">
        <is>
          <t>Quick Ratio</t>
        </is>
      </c>
      <c r="C41" s="48">
        <f>('Balance Sheet'!C19-'Balance Sheet'!C17)/'Balance Sheet'!C33</f>
        <v/>
      </c>
      <c r="D41" s="48">
        <f>('Balance Sheet'!D19-'Balance Sheet'!D17)/'Balance Sheet'!D33</f>
        <v/>
      </c>
      <c r="E41" s="48">
        <f>('Balance Sheet'!E19-'Balance Sheet'!E17)/'Balance Sheet'!E33</f>
        <v/>
      </c>
      <c r="F41" s="48">
        <f>('Balance Sheet'!F19-'Balance Sheet'!F17)/'Balance Sheet'!F33</f>
        <v/>
      </c>
      <c r="G41" s="48">
        <f>('Balance Sheet'!G19-'Balance Sheet'!G17)/'Balance Sheet'!G33</f>
        <v/>
      </c>
      <c r="H41" s="48">
        <f>('Balance Sheet'!H19-'Balance Sheet'!H17)/'Balance Sheet'!H33</f>
        <v/>
      </c>
      <c r="I41" s="48">
        <f>('Balance Sheet'!I19-'Balance Sheet'!I17)/'Balance Sheet'!I33</f>
        <v/>
      </c>
      <c r="J41" s="48">
        <f>('Balance Sheet'!J19-'Balance Sheet'!J17)/'Balance Sheet'!J33</f>
        <v/>
      </c>
      <c r="K41" s="48">
        <f>('Balance Sheet'!K19-'Balance Sheet'!K17)/'Balance Sheet'!K33</f>
        <v/>
      </c>
      <c r="L41" s="48">
        <f>('Balance Sheet'!L19-'Balance Sheet'!L17)/'Balance Sheet'!L33</f>
        <v/>
      </c>
      <c r="M41" s="13" t="n"/>
      <c r="N41" s="13" t="n"/>
      <c r="O41" s="48">
        <f>('Balance Sheet'!O19-'Balance Sheet'!O17)/'Balance Sheet'!O33</f>
        <v/>
      </c>
      <c r="P41" s="48">
        <f>('Balance Sheet'!P19-'Balance Sheet'!P17)/'Balance Sheet'!P33</f>
        <v/>
      </c>
      <c r="Q41" s="48">
        <f>('Balance Sheet'!Q19-'Balance Sheet'!Q17)/'Balance Sheet'!Q33</f>
        <v/>
      </c>
      <c r="R41" s="48">
        <f>('Balance Sheet'!R19-'Balance Sheet'!R17)/'Balance Sheet'!R33</f>
        <v/>
      </c>
      <c r="S41" s="48">
        <f>('Balance Sheet'!S19-'Balance Sheet'!S17)/'Balance Sheet'!S33</f>
        <v/>
      </c>
      <c r="T41" s="48">
        <f>('Balance Sheet'!T19-'Balance Sheet'!T17)/'Balance Sheet'!T33</f>
        <v/>
      </c>
      <c r="U41" s="48">
        <f>('Balance Sheet'!U19-'Balance Sheet'!U17)/'Balance Sheet'!U33</f>
        <v/>
      </c>
      <c r="V41" s="48">
        <f>('Balance Sheet'!V19-'Balance Sheet'!V17)/'Balance Sheet'!V33</f>
        <v/>
      </c>
    </row>
    <row r="42" ht="8" customHeight="1">
      <c r="M42" s="13" t="n"/>
      <c r="N42" s="13" t="n"/>
    </row>
    <row r="43" ht="20" customHeight="1">
      <c r="A43" s="5" t="inlineStr">
        <is>
          <t>6. COVERAGE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13" t="n"/>
      <c r="N43" s="13" t="n"/>
      <c r="O43" s="2" t="n"/>
      <c r="P43" s="2" t="n"/>
      <c r="Q43" s="2" t="n"/>
      <c r="R43" s="2" t="n"/>
      <c r="S43" s="2" t="n"/>
      <c r="T43" s="2" t="n"/>
      <c r="U43" s="2" t="n"/>
      <c r="V43" s="2" t="n"/>
    </row>
    <row r="44">
      <c r="A44" s="6" t="inlineStr">
        <is>
          <t>Interest Coverage (Operating Income / Interest Expense)</t>
        </is>
      </c>
      <c r="C44" s="48">
        <f>'Income Statement'!C37/(0-'Income Statement'!C42)</f>
        <v/>
      </c>
      <c r="D44" s="48">
        <f>'Income Statement'!D37/(0-'Income Statement'!D42)</f>
        <v/>
      </c>
      <c r="E44" s="48">
        <f>'Income Statement'!E37/(0-'Income Statement'!E42)</f>
        <v/>
      </c>
      <c r="F44" s="48">
        <f>'Income Statement'!F37/(0-'Income Statement'!F42)</f>
        <v/>
      </c>
      <c r="G44" s="48">
        <f>'Income Statement'!G37/(0-'Income Statement'!G42)</f>
        <v/>
      </c>
      <c r="H44" s="48">
        <f>'Income Statement'!H37/(0-'Income Statement'!H42)</f>
        <v/>
      </c>
      <c r="I44" s="48">
        <f>'Income Statement'!I37/(0-'Income Statement'!I42)</f>
        <v/>
      </c>
      <c r="J44" s="48">
        <f>'Income Statement'!J37/(0-'Income Statement'!J42)</f>
        <v/>
      </c>
      <c r="K44" s="48">
        <f>'Income Statement'!K37/(0-'Income Statement'!K42)</f>
        <v/>
      </c>
      <c r="L44" s="48">
        <f>'Income Statement'!L37/(0-'Income Statement'!L42)</f>
        <v/>
      </c>
      <c r="M44" s="13" t="n"/>
      <c r="N44" s="13" t="n"/>
      <c r="O44" s="48">
        <f>'Income Statement'!O37/(0-'Income Statement'!O42)</f>
        <v/>
      </c>
      <c r="P44" s="48">
        <f>'Income Statement'!P37/(0-'Income Statement'!P42)</f>
        <v/>
      </c>
      <c r="Q44" s="48">
        <f>'Income Statement'!Q37/(0-'Income Statement'!Q42)</f>
        <v/>
      </c>
      <c r="R44" s="48">
        <f>'Income Statement'!R37/(0-'Income Statement'!R42)</f>
        <v/>
      </c>
      <c r="S44" s="48">
        <f>'Income Statement'!S37/(0-'Income Statement'!S42)</f>
        <v/>
      </c>
      <c r="T44" s="48">
        <f>'Income Statement'!T37/(0-'Income Statement'!T42)</f>
        <v/>
      </c>
      <c r="U44" s="48">
        <f>'Income Statement'!U37/(0-'Income Statement'!U42)</f>
        <v/>
      </c>
      <c r="V44" s="48">
        <f>'Income Statement'!V37/(0-'Income Statement'!V42)</f>
        <v/>
      </c>
    </row>
    <row r="45" ht="8" customHeight="1">
      <c r="M45" s="13" t="n"/>
      <c r="N45" s="13" t="n"/>
    </row>
    <row r="46" ht="20" customHeight="1">
      <c r="A46" s="5" t="inlineStr">
        <is>
          <t>7. CASH CONVERSION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13" t="n"/>
      <c r="N46" s="13" t="n"/>
      <c r="O46" s="2" t="n"/>
      <c r="P46" s="2" t="n"/>
      <c r="Q46" s="2" t="n"/>
      <c r="R46" s="2" t="n"/>
      <c r="S46" s="2" t="n"/>
      <c r="T46" s="2" t="n"/>
      <c r="U46" s="2" t="n"/>
      <c r="V46" s="2" t="n"/>
    </row>
    <row r="47">
      <c r="A47" s="6" t="inlineStr">
        <is>
          <t>FCF Margin %</t>
        </is>
      </c>
      <c r="C47" s="46">
        <f>'Cash Flow Statement'!C71</f>
        <v/>
      </c>
      <c r="D47" s="46">
        <f>'Cash Flow Statement'!D71</f>
        <v/>
      </c>
      <c r="E47" s="46">
        <f>'Cash Flow Statement'!E71</f>
        <v/>
      </c>
      <c r="F47" s="46">
        <f>'Cash Flow Statement'!F71</f>
        <v/>
      </c>
      <c r="G47" s="46">
        <f>'Cash Flow Statement'!G71</f>
        <v/>
      </c>
      <c r="H47" s="46">
        <f>'Cash Flow Statement'!H71</f>
        <v/>
      </c>
      <c r="I47" s="46">
        <f>'Cash Flow Statement'!I71</f>
        <v/>
      </c>
      <c r="J47" s="46">
        <f>'Cash Flow Statement'!J71</f>
        <v/>
      </c>
      <c r="K47" s="46">
        <f>'Cash Flow Statement'!K71</f>
        <v/>
      </c>
      <c r="L47" s="46">
        <f>'Cash Flow Statement'!L71</f>
        <v/>
      </c>
      <c r="M47" s="13" t="n"/>
      <c r="N47" s="13" t="n"/>
      <c r="O47" s="46">
        <f>'Cash Flow Statement'!O71</f>
        <v/>
      </c>
      <c r="P47" s="46">
        <f>'Cash Flow Statement'!P71</f>
        <v/>
      </c>
      <c r="Q47" s="46">
        <f>'Cash Flow Statement'!Q71</f>
        <v/>
      </c>
      <c r="R47" s="46">
        <f>'Cash Flow Statement'!R71</f>
        <v/>
      </c>
      <c r="S47" s="46">
        <f>'Cash Flow Statement'!S71</f>
        <v/>
      </c>
      <c r="T47" s="46">
        <f>'Cash Flow Statement'!T71</f>
        <v/>
      </c>
      <c r="U47" s="46">
        <f>'Cash Flow Statement'!U71</f>
        <v/>
      </c>
      <c r="V47" s="46">
        <f>'Cash Flow Statement'!V71</f>
        <v/>
      </c>
    </row>
    <row r="48">
      <c r="A48" s="6" t="inlineStr">
        <is>
          <t>FCF Conversion (FCF / Net Income)</t>
        </is>
      </c>
      <c r="C48" s="46">
        <f>'Cash Flow Statement'!C72</f>
        <v/>
      </c>
      <c r="D48" s="46">
        <f>'Cash Flow Statement'!D72</f>
        <v/>
      </c>
      <c r="E48" s="46">
        <f>'Cash Flow Statement'!E72</f>
        <v/>
      </c>
      <c r="F48" s="46">
        <f>'Cash Flow Statement'!F72</f>
        <v/>
      </c>
      <c r="G48" s="46">
        <f>'Cash Flow Statement'!G72</f>
        <v/>
      </c>
      <c r="H48" s="46">
        <f>'Cash Flow Statement'!H72</f>
        <v/>
      </c>
      <c r="I48" s="46">
        <f>'Cash Flow Statement'!I72</f>
        <v/>
      </c>
      <c r="J48" s="46">
        <f>'Cash Flow Statement'!J72</f>
        <v/>
      </c>
      <c r="K48" s="46">
        <f>'Cash Flow Statement'!K72</f>
        <v/>
      </c>
      <c r="L48" s="46">
        <f>'Cash Flow Statement'!L72</f>
        <v/>
      </c>
      <c r="M48" s="13" t="n"/>
      <c r="N48" s="13" t="n"/>
      <c r="O48" s="46">
        <f>'Cash Flow Statement'!O72</f>
        <v/>
      </c>
      <c r="P48" s="46">
        <f>'Cash Flow Statement'!P72</f>
        <v/>
      </c>
      <c r="Q48" s="46">
        <f>'Cash Flow Statement'!Q72</f>
        <v/>
      </c>
      <c r="R48" s="46">
        <f>'Cash Flow Statement'!R72</f>
        <v/>
      </c>
      <c r="S48" s="46">
        <f>'Cash Flow Statement'!S72</f>
        <v/>
      </c>
      <c r="T48" s="46">
        <f>'Cash Flow Statement'!T72</f>
        <v/>
      </c>
      <c r="U48" s="46">
        <f>'Cash Flow Statement'!U72</f>
        <v/>
      </c>
      <c r="V48" s="46">
        <f>'Cash Flow Statement'!V72</f>
        <v/>
      </c>
    </row>
    <row r="49">
      <c r="A49" s="6" t="inlineStr">
        <is>
          <t>CFO / Net Income</t>
        </is>
      </c>
      <c r="C49" s="47">
        <f>'Cash Flow Statement'!C33/'Income Statement'!C50</f>
        <v/>
      </c>
      <c r="D49" s="47">
        <f>'Cash Flow Statement'!D33/'Income Statement'!D50</f>
        <v/>
      </c>
      <c r="E49" s="47">
        <f>'Cash Flow Statement'!E33/'Income Statement'!E50</f>
        <v/>
      </c>
      <c r="F49" s="47">
        <f>'Cash Flow Statement'!F33/'Income Statement'!F50</f>
        <v/>
      </c>
      <c r="G49" s="47">
        <f>'Cash Flow Statement'!G33/'Income Statement'!G50</f>
        <v/>
      </c>
      <c r="H49" s="47">
        <f>'Cash Flow Statement'!H33/'Income Statement'!H50</f>
        <v/>
      </c>
      <c r="I49" s="47">
        <f>'Cash Flow Statement'!I33/'Income Statement'!I50</f>
        <v/>
      </c>
      <c r="J49" s="47">
        <f>'Cash Flow Statement'!J33/'Income Statement'!J50</f>
        <v/>
      </c>
      <c r="K49" s="47">
        <f>'Cash Flow Statement'!K33/'Income Statement'!K50</f>
        <v/>
      </c>
      <c r="L49" s="47">
        <f>'Cash Flow Statement'!L33/'Income Statement'!L50</f>
        <v/>
      </c>
      <c r="M49" s="13" t="n"/>
      <c r="N49" s="13" t="n"/>
      <c r="O49" s="47">
        <f>'Cash Flow Statement'!O33/'Income Statement'!O50</f>
        <v/>
      </c>
      <c r="P49" s="47">
        <f>'Cash Flow Statement'!P33/'Income Statement'!P50</f>
        <v/>
      </c>
      <c r="Q49" s="47">
        <f>'Cash Flow Statement'!Q33/'Income Statement'!Q50</f>
        <v/>
      </c>
      <c r="R49" s="47">
        <f>'Cash Flow Statement'!R33/'Income Statement'!R50</f>
        <v/>
      </c>
      <c r="S49" s="47">
        <f>'Cash Flow Statement'!S33/'Income Statement'!S50</f>
        <v/>
      </c>
      <c r="T49" s="47">
        <f>'Cash Flow Statement'!T33/'Income Statement'!T50</f>
        <v/>
      </c>
      <c r="U49" s="47">
        <f>'Cash Flow Statement'!U33/'Income Statement'!U50</f>
        <v/>
      </c>
      <c r="V49" s="47">
        <f>'Cash Flow Statement'!V33/'Income Statement'!V50</f>
        <v/>
      </c>
    </row>
    <row r="50" ht="8" customHeight="1">
      <c r="M50" s="13" t="n"/>
      <c r="N50" s="13" t="n"/>
    </row>
    <row r="51" ht="20" customHeight="1">
      <c r="A51" s="5" t="inlineStr">
        <is>
          <t>8. EARNINGS QUALITY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13" t="n"/>
      <c r="N51" s="13" t="n"/>
      <c r="O51" s="2" t="n"/>
      <c r="P51" s="2" t="n"/>
      <c r="Q51" s="2" t="n"/>
      <c r="R51" s="2" t="n"/>
      <c r="S51" s="2" t="n"/>
      <c r="T51" s="2" t="n"/>
      <c r="U51" s="2" t="n"/>
      <c r="V51" s="2" t="n"/>
    </row>
    <row r="52">
      <c r="A52" s="6" t="inlineStr">
        <is>
          <t>Accruals Ratio ((NI - CFO) / Avg Total Assets)</t>
        </is>
      </c>
      <c r="D52" s="47">
        <f>('Income Statement'!D50-'Cash Flow Statement'!D33)/(('Balance Sheet'!D26+'Balance Sheet'!C26)/2)</f>
        <v/>
      </c>
      <c r="E52" s="47">
        <f>('Income Statement'!E50-'Cash Flow Statement'!E33)/(('Balance Sheet'!E26+'Balance Sheet'!D26)/2)</f>
        <v/>
      </c>
      <c r="F52" s="47">
        <f>('Income Statement'!F50-'Cash Flow Statement'!F33)/(('Balance Sheet'!F26+'Balance Sheet'!E26)/2)</f>
        <v/>
      </c>
      <c r="G52" s="47">
        <f>('Income Statement'!G50-'Cash Flow Statement'!G33)/(('Balance Sheet'!G26+'Balance Sheet'!F26)/2)</f>
        <v/>
      </c>
      <c r="H52" s="47">
        <f>('Income Statement'!H50-'Cash Flow Statement'!H33)/(('Balance Sheet'!H26+'Balance Sheet'!G26)/2)</f>
        <v/>
      </c>
      <c r="I52" s="47">
        <f>('Income Statement'!I50-'Cash Flow Statement'!I33)/(('Balance Sheet'!I26+'Balance Sheet'!H26)/2)</f>
        <v/>
      </c>
      <c r="J52" s="47">
        <f>('Income Statement'!J50-'Cash Flow Statement'!J33)/(('Balance Sheet'!J26+'Balance Sheet'!I26)/2)</f>
        <v/>
      </c>
      <c r="K52" s="47">
        <f>('Income Statement'!K50-'Cash Flow Statement'!K33)/(('Balance Sheet'!K26+'Balance Sheet'!J26)/2)</f>
        <v/>
      </c>
      <c r="L52" s="47">
        <f>('Income Statement'!L50-'Cash Flow Statement'!L33)/(('Balance Sheet'!L26+'Balance Sheet'!K26)/2)</f>
        <v/>
      </c>
      <c r="M52" s="13" t="n"/>
      <c r="N52" s="13" t="n"/>
    </row>
    <row r="53" ht="8" customHeight="1">
      <c r="M53" s="13" t="n"/>
      <c r="N53" s="13" t="n"/>
    </row>
    <row r="54" ht="20" customHeight="1">
      <c r="A54" s="5" t="inlineStr">
        <is>
          <t>9. GROWTH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13" t="n"/>
      <c r="N54" s="13" t="n"/>
      <c r="O54" s="2" t="n"/>
      <c r="P54" s="2" t="n"/>
      <c r="Q54" s="2" t="n"/>
      <c r="R54" s="2" t="n"/>
      <c r="S54" s="2" t="n"/>
      <c r="T54" s="2" t="n"/>
      <c r="U54" s="2" t="n"/>
      <c r="V54" s="2" t="n"/>
    </row>
    <row r="55">
      <c r="A55" s="6" t="inlineStr">
        <is>
          <t>Revenue YoY Growth</t>
        </is>
      </c>
      <c r="C55" s="46">
        <f>'Income Statement'!C15</f>
        <v/>
      </c>
      <c r="D55" s="46">
        <f>'Income Statement'!D15</f>
        <v/>
      </c>
      <c r="E55" s="46">
        <f>'Income Statement'!E15</f>
        <v/>
      </c>
      <c r="F55" s="46">
        <f>'Income Statement'!F15</f>
        <v/>
      </c>
      <c r="G55" s="46">
        <f>'Income Statement'!G15</f>
        <v/>
      </c>
      <c r="H55" s="46">
        <f>'Income Statement'!H15</f>
        <v/>
      </c>
      <c r="I55" s="46">
        <f>'Income Statement'!I15</f>
        <v/>
      </c>
      <c r="J55" s="46">
        <f>'Income Statement'!J15</f>
        <v/>
      </c>
      <c r="K55" s="46">
        <f>'Income Statement'!K15</f>
        <v/>
      </c>
      <c r="L55" s="46">
        <f>'Income Statement'!L15</f>
        <v/>
      </c>
      <c r="M55" s="13" t="n"/>
      <c r="N55" s="13" t="n"/>
      <c r="O55" s="46">
        <f>'Income Statement'!O15</f>
        <v/>
      </c>
      <c r="P55" s="46">
        <f>'Income Statement'!P15</f>
        <v/>
      </c>
      <c r="Q55" s="46">
        <f>'Income Statement'!Q15</f>
        <v/>
      </c>
      <c r="R55" s="46">
        <f>'Income Statement'!R15</f>
        <v/>
      </c>
      <c r="S55" s="46">
        <f>'Income Statement'!S15</f>
        <v/>
      </c>
      <c r="T55" s="46">
        <f>'Income Statement'!T15</f>
        <v/>
      </c>
      <c r="U55" s="46">
        <f>'Income Statement'!U15</f>
        <v/>
      </c>
      <c r="V55" s="46">
        <f>'Income Statement'!V15</f>
        <v/>
      </c>
    </row>
    <row r="56">
      <c r="A56" s="6" t="inlineStr">
        <is>
          <t>Operating Income YoY Growth</t>
        </is>
      </c>
      <c r="C56" s="46">
        <f>'Income Statement'!C39</f>
        <v/>
      </c>
      <c r="D56" s="46">
        <f>'Income Statement'!D39</f>
        <v/>
      </c>
      <c r="E56" s="46">
        <f>'Income Statement'!E39</f>
        <v/>
      </c>
      <c r="F56" s="46">
        <f>'Income Statement'!F39</f>
        <v/>
      </c>
      <c r="G56" s="46">
        <f>'Income Statement'!G39</f>
        <v/>
      </c>
      <c r="H56" s="46">
        <f>'Income Statement'!H39</f>
        <v/>
      </c>
      <c r="I56" s="46">
        <f>'Income Statement'!I39</f>
        <v/>
      </c>
      <c r="J56" s="46">
        <f>'Income Statement'!J39</f>
        <v/>
      </c>
      <c r="K56" s="46">
        <f>'Income Statement'!K39</f>
        <v/>
      </c>
      <c r="L56" s="46">
        <f>'Income Statement'!L39</f>
        <v/>
      </c>
      <c r="M56" s="13" t="n"/>
      <c r="N56" s="13" t="n"/>
      <c r="O56" s="46">
        <f>'Income Statement'!O39</f>
        <v/>
      </c>
      <c r="P56" s="46">
        <f>'Income Statement'!P39</f>
        <v/>
      </c>
      <c r="Q56" s="46">
        <f>'Income Statement'!Q39</f>
        <v/>
      </c>
      <c r="R56" s="46">
        <f>'Income Statement'!R39</f>
        <v/>
      </c>
      <c r="S56" s="46">
        <f>'Income Statement'!S39</f>
        <v/>
      </c>
      <c r="T56" s="46">
        <f>'Income Statement'!T39</f>
        <v/>
      </c>
      <c r="U56" s="46">
        <f>'Income Statement'!U39</f>
        <v/>
      </c>
      <c r="V56" s="46">
        <f>'Income Statement'!V39</f>
        <v/>
      </c>
    </row>
    <row r="57">
      <c r="A57" s="6" t="inlineStr">
        <is>
          <t>Net Income YoY Growth</t>
        </is>
      </c>
      <c r="C57" s="46">
        <f>'Income Statement'!C52</f>
        <v/>
      </c>
      <c r="D57" s="46">
        <f>'Income Statement'!D52</f>
        <v/>
      </c>
      <c r="E57" s="46">
        <f>'Income Statement'!E52</f>
        <v/>
      </c>
      <c r="F57" s="46">
        <f>'Income Statement'!F52</f>
        <v/>
      </c>
      <c r="G57" s="46">
        <f>'Income Statement'!G52</f>
        <v/>
      </c>
      <c r="H57" s="46">
        <f>'Income Statement'!H52</f>
        <v/>
      </c>
      <c r="I57" s="46">
        <f>'Income Statement'!I52</f>
        <v/>
      </c>
      <c r="J57" s="46">
        <f>'Income Statement'!J52</f>
        <v/>
      </c>
      <c r="K57" s="46">
        <f>'Income Statement'!K52</f>
        <v/>
      </c>
      <c r="L57" s="46">
        <f>'Income Statement'!L52</f>
        <v/>
      </c>
      <c r="M57" s="13" t="n"/>
      <c r="N57" s="13" t="n"/>
      <c r="O57" s="46">
        <f>'Income Statement'!O52</f>
        <v/>
      </c>
      <c r="P57" s="46">
        <f>'Income Statement'!P52</f>
        <v/>
      </c>
      <c r="Q57" s="46">
        <f>'Income Statement'!Q52</f>
        <v/>
      </c>
      <c r="R57" s="46">
        <f>'Income Statement'!R52</f>
        <v/>
      </c>
      <c r="S57" s="46">
        <f>'Income Statement'!S52</f>
        <v/>
      </c>
      <c r="T57" s="46">
        <f>'Income Statement'!T52</f>
        <v/>
      </c>
      <c r="U57" s="46">
        <f>'Income Statement'!U52</f>
        <v/>
      </c>
      <c r="V57" s="46">
        <f>'Income Statement'!V52</f>
        <v/>
      </c>
    </row>
    <row r="58">
      <c r="A58" s="6" t="inlineStr">
        <is>
          <t>EBITDA YoY Growth</t>
        </is>
      </c>
      <c r="D58" s="47">
        <f>IF(N(C22)=0,"",D22/C22-1)</f>
        <v/>
      </c>
      <c r="E58" s="47">
        <f>IF(N(D22)=0,"",E22/D22-1)</f>
        <v/>
      </c>
      <c r="F58" s="47">
        <f>IF(N(E22)=0,"",F22/E22-1)</f>
        <v/>
      </c>
      <c r="G58" s="47">
        <f>IF(N(F22)=0,"",G22/F22-1)</f>
        <v/>
      </c>
      <c r="H58" s="47">
        <f>IF(N(G22)=0,"",H22/G22-1)</f>
        <v/>
      </c>
      <c r="I58" s="47">
        <f>IF(N(H22)=0,"",I22/H22-1)</f>
        <v/>
      </c>
      <c r="J58" s="47">
        <f>IF(N(I22)=0,"",J22/I22-1)</f>
        <v/>
      </c>
      <c r="K58" s="47">
        <f>IF(N(J22)=0,"",K22/J22-1)</f>
        <v/>
      </c>
      <c r="L58" s="47">
        <f>IF(N(K22)=0,"",L22/K22-1)</f>
        <v/>
      </c>
      <c r="M58" s="13" t="n"/>
      <c r="N58" s="13" t="n"/>
      <c r="S58" s="47">
        <f>IF(N(O22)=0,"",S22/O22-1)</f>
        <v/>
      </c>
      <c r="T58" s="47">
        <f>IF(N(P22)=0,"",T22/P22-1)</f>
        <v/>
      </c>
      <c r="U58" s="47">
        <f>IF(N(Q22)=0,"",U22/Q22-1)</f>
        <v/>
      </c>
      <c r="V58" s="47">
        <f>IF(N(R22)=0,"",V22/R22-1)</f>
        <v/>
      </c>
    </row>
    <row r="59" ht="8" customHeight="1">
      <c r="M59" s="13" t="n"/>
      <c r="N59" s="13" t="n"/>
    </row>
    <row r="60" ht="20" customHeight="1">
      <c r="A60" s="5" t="inlineStr">
        <is>
          <t>10. WORKING CAPITAL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13" t="n"/>
      <c r="N60" s="13" t="n"/>
      <c r="O60" s="2" t="n"/>
      <c r="P60" s="2" t="n"/>
      <c r="Q60" s="2" t="n"/>
      <c r="R60" s="2" t="n"/>
      <c r="S60" s="2" t="n"/>
      <c r="T60" s="2" t="n"/>
      <c r="U60" s="2" t="n"/>
      <c r="V60" s="2" t="n"/>
    </row>
    <row r="61">
      <c r="A61" s="6" t="inlineStr">
        <is>
          <t>Days Sales Outstanding</t>
        </is>
      </c>
      <c r="C61" s="49">
        <f>'Balance Sheet'!C52</f>
        <v/>
      </c>
      <c r="D61" s="49">
        <f>'Balance Sheet'!D52</f>
        <v/>
      </c>
      <c r="E61" s="49">
        <f>'Balance Sheet'!E52</f>
        <v/>
      </c>
      <c r="F61" s="49">
        <f>'Balance Sheet'!F52</f>
        <v/>
      </c>
      <c r="G61" s="49">
        <f>'Balance Sheet'!G52</f>
        <v/>
      </c>
      <c r="H61" s="49">
        <f>'Balance Sheet'!H52</f>
        <v/>
      </c>
      <c r="I61" s="49">
        <f>'Balance Sheet'!I52</f>
        <v/>
      </c>
      <c r="J61" s="49">
        <f>'Balance Sheet'!J52</f>
        <v/>
      </c>
      <c r="K61" s="49">
        <f>'Balance Sheet'!K52</f>
        <v/>
      </c>
      <c r="L61" s="49">
        <f>'Balance Sheet'!L52</f>
        <v/>
      </c>
      <c r="M61" s="13" t="n"/>
      <c r="N61" s="13" t="n"/>
      <c r="O61" s="49">
        <f>'Balance Sheet'!O52</f>
        <v/>
      </c>
      <c r="P61" s="49">
        <f>'Balance Sheet'!P52</f>
        <v/>
      </c>
      <c r="Q61" s="49">
        <f>'Balance Sheet'!Q52</f>
        <v/>
      </c>
      <c r="R61" s="49">
        <f>'Balance Sheet'!R52</f>
        <v/>
      </c>
      <c r="S61" s="49">
        <f>'Balance Sheet'!S52</f>
        <v/>
      </c>
      <c r="T61" s="49">
        <f>'Balance Sheet'!T52</f>
        <v/>
      </c>
      <c r="U61" s="49">
        <f>'Balance Sheet'!U52</f>
        <v/>
      </c>
      <c r="V61" s="49">
        <f>'Balance Sheet'!V52</f>
        <v/>
      </c>
    </row>
    <row r="62">
      <c r="A62" s="6" t="inlineStr">
        <is>
          <t>Days Inventory Outstanding</t>
        </is>
      </c>
      <c r="C62" s="49">
        <f>'Balance Sheet'!C53</f>
        <v/>
      </c>
      <c r="D62" s="49">
        <f>'Balance Sheet'!D53</f>
        <v/>
      </c>
      <c r="E62" s="49">
        <f>'Balance Sheet'!E53</f>
        <v/>
      </c>
      <c r="F62" s="49">
        <f>'Balance Sheet'!F53</f>
        <v/>
      </c>
      <c r="G62" s="49">
        <f>'Balance Sheet'!G53</f>
        <v/>
      </c>
      <c r="H62" s="49">
        <f>'Balance Sheet'!H53</f>
        <v/>
      </c>
      <c r="I62" s="49">
        <f>'Balance Sheet'!I53</f>
        <v/>
      </c>
      <c r="J62" s="49">
        <f>'Balance Sheet'!J53</f>
        <v/>
      </c>
      <c r="K62" s="49">
        <f>'Balance Sheet'!K53</f>
        <v/>
      </c>
      <c r="L62" s="49">
        <f>'Balance Sheet'!L53</f>
        <v/>
      </c>
      <c r="M62" s="13" t="n"/>
      <c r="N62" s="13" t="n"/>
      <c r="O62" s="49">
        <f>'Balance Sheet'!O53</f>
        <v/>
      </c>
      <c r="P62" s="49">
        <f>'Balance Sheet'!P53</f>
        <v/>
      </c>
      <c r="Q62" s="49">
        <f>'Balance Sheet'!Q53</f>
        <v/>
      </c>
      <c r="R62" s="49">
        <f>'Balance Sheet'!R53</f>
        <v/>
      </c>
      <c r="S62" s="49">
        <f>'Balance Sheet'!S53</f>
        <v/>
      </c>
      <c r="T62" s="49">
        <f>'Balance Sheet'!T53</f>
        <v/>
      </c>
      <c r="U62" s="49">
        <f>'Balance Sheet'!U53</f>
        <v/>
      </c>
      <c r="V62" s="49">
        <f>'Balance Sheet'!V53</f>
        <v/>
      </c>
    </row>
    <row r="63">
      <c r="A63" s="6" t="inlineStr">
        <is>
          <t>Days Payable Outstanding</t>
        </is>
      </c>
      <c r="C63" s="49">
        <f>'Balance Sheet'!C54</f>
        <v/>
      </c>
      <c r="D63" s="49">
        <f>'Balance Sheet'!D54</f>
        <v/>
      </c>
      <c r="E63" s="49">
        <f>'Balance Sheet'!E54</f>
        <v/>
      </c>
      <c r="F63" s="49">
        <f>'Balance Sheet'!F54</f>
        <v/>
      </c>
      <c r="G63" s="49">
        <f>'Balance Sheet'!G54</f>
        <v/>
      </c>
      <c r="H63" s="49">
        <f>'Balance Sheet'!H54</f>
        <v/>
      </c>
      <c r="I63" s="49">
        <f>'Balance Sheet'!I54</f>
        <v/>
      </c>
      <c r="J63" s="49">
        <f>'Balance Sheet'!J54</f>
        <v/>
      </c>
      <c r="K63" s="49">
        <f>'Balance Sheet'!K54</f>
        <v/>
      </c>
      <c r="L63" s="49">
        <f>'Balance Sheet'!L54</f>
        <v/>
      </c>
      <c r="M63" s="13" t="n"/>
      <c r="N63" s="13" t="n"/>
      <c r="O63" s="49">
        <f>'Balance Sheet'!O54</f>
        <v/>
      </c>
      <c r="P63" s="49">
        <f>'Balance Sheet'!P54</f>
        <v/>
      </c>
      <c r="Q63" s="49">
        <f>'Balance Sheet'!Q54</f>
        <v/>
      </c>
      <c r="R63" s="49">
        <f>'Balance Sheet'!R54</f>
        <v/>
      </c>
      <c r="S63" s="49">
        <f>'Balance Sheet'!S54</f>
        <v/>
      </c>
      <c r="T63" s="49">
        <f>'Balance Sheet'!T54</f>
        <v/>
      </c>
      <c r="U63" s="49">
        <f>'Balance Sheet'!U54</f>
        <v/>
      </c>
      <c r="V63" s="49">
        <f>'Balance Sheet'!V54</f>
        <v/>
      </c>
    </row>
    <row r="64">
      <c r="A64" s="6" t="inlineStr">
        <is>
          <t>Cash Conversion Cycle</t>
        </is>
      </c>
      <c r="C64" s="49">
        <f>'Balance Sheet'!C55</f>
        <v/>
      </c>
      <c r="D64" s="49">
        <f>'Balance Sheet'!D55</f>
        <v/>
      </c>
      <c r="E64" s="49">
        <f>'Balance Sheet'!E55</f>
        <v/>
      </c>
      <c r="F64" s="49">
        <f>'Balance Sheet'!F55</f>
        <v/>
      </c>
      <c r="G64" s="49">
        <f>'Balance Sheet'!G55</f>
        <v/>
      </c>
      <c r="H64" s="49">
        <f>'Balance Sheet'!H55</f>
        <v/>
      </c>
      <c r="I64" s="49">
        <f>'Balance Sheet'!I55</f>
        <v/>
      </c>
      <c r="J64" s="49">
        <f>'Balance Sheet'!J55</f>
        <v/>
      </c>
      <c r="K64" s="49">
        <f>'Balance Sheet'!K55</f>
        <v/>
      </c>
      <c r="L64" s="49">
        <f>'Balance Sheet'!L55</f>
        <v/>
      </c>
      <c r="M64" s="13" t="n"/>
      <c r="N64" s="13" t="n"/>
      <c r="O64" s="49">
        <f>'Balance Sheet'!O55</f>
        <v/>
      </c>
      <c r="P64" s="49">
        <f>'Balance Sheet'!P55</f>
        <v/>
      </c>
      <c r="Q64" s="49">
        <f>'Balance Sheet'!Q55</f>
        <v/>
      </c>
      <c r="R64" s="49">
        <f>'Balance Sheet'!R55</f>
        <v/>
      </c>
      <c r="S64" s="49">
        <f>'Balance Sheet'!S55</f>
        <v/>
      </c>
      <c r="T64" s="49">
        <f>'Balance Sheet'!T55</f>
        <v/>
      </c>
      <c r="U64" s="49">
        <f>'Balance Sheet'!U55</f>
        <v/>
      </c>
      <c r="V64" s="49">
        <f>'Balance Sheet'!V55</f>
        <v/>
      </c>
    </row>
    <row r="65">
      <c r="M65" s="13" t="n"/>
      <c r="N65" s="1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F4E79"/>
    <outlinePr summaryBelow="1" summaryRight="1"/>
    <pageSetUpPr/>
  </sheetPr>
  <dimension ref="A1:H22"/>
  <sheetViews>
    <sheetView showGridLines="0" zoomScale="85" workbookViewId="0">
      <pane ySplit="3" topLeftCell="A4" activePane="bottomLeft" state="frozen"/>
      <selection pane="bottomLeft" activeCell="A1" sqref="A1"/>
    </sheetView>
  </sheetViews>
  <sheetFormatPr baseColWidth="10" defaultColWidth="8.83203125" defaultRowHeight="14"/>
  <cols>
    <col width="18" customWidth="1" min="1" max="1"/>
    <col width="95" customWidth="1" min="2" max="2"/>
    <col width="30" customWidth="1" min="3" max="3"/>
  </cols>
  <sheetData>
    <row r="1" ht="28" customHeight="1">
      <c r="A1" s="1" t="inlineStr">
        <is>
          <t>Broadcom Inc. — Sources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$ in millions except per-share data  |  USD  |  as of 2026-09-22</t>
        </is>
      </c>
    </row>
    <row r="4">
      <c r="A4" s="4" t="inlineStr">
        <is>
          <t>Sources</t>
        </is>
      </c>
    </row>
    <row r="6">
      <c r="A6" s="5" t="inlineStr">
        <is>
          <t>Filing</t>
        </is>
      </c>
      <c r="B6" s="5" t="inlineStr">
        <is>
          <t>Repository path</t>
        </is>
      </c>
      <c r="C6" s="5" t="inlineStr">
        <is>
          <t>Period</t>
        </is>
      </c>
    </row>
    <row r="7">
      <c r="A7" s="6" t="inlineStr">
        <is>
          <t>FY2016 10-K</t>
        </is>
      </c>
      <c r="B7" s="6" t="inlineStr">
        <is>
          <t>sources/companies/US/AVGO-broadcom/artifacts/ten_k/AVGO-broadcom/FY2016/psp_666734a663ef49d3864df1c8a3620cbf/prepared/document.md</t>
        </is>
      </c>
      <c r="C7" s="6" t="inlineStr">
        <is>
          <t>FYE 2016-10-30</t>
        </is>
      </c>
    </row>
    <row r="8">
      <c r="A8" s="6" t="inlineStr">
        <is>
          <t>FY2017 10-K</t>
        </is>
      </c>
      <c r="B8" s="6" t="inlineStr">
        <is>
          <t>sources/companies/US/AVGO-broadcom/artifacts/ten_k/AVGO-broadcom/FY2017/psp_6e35f35ab0da48268dfd27dc6687451c/prepared/document.md</t>
        </is>
      </c>
      <c r="C8" s="6" t="inlineStr">
        <is>
          <t>FYE 2017-10-29</t>
        </is>
      </c>
    </row>
    <row r="9">
      <c r="A9" s="6" t="inlineStr">
        <is>
          <t>FY2018 10-K</t>
        </is>
      </c>
      <c r="B9" s="6" t="inlineStr">
        <is>
          <t>sources/companies/US/AVGO-broadcom/artifacts/ten_k/AVGO-broadcom/FY2018/psp_0946b31c90c341fcb89c814a56e680a6/prepared/document.md</t>
        </is>
      </c>
      <c r="C9" s="6" t="inlineStr">
        <is>
          <t>FYE 2018-11-04</t>
        </is>
      </c>
    </row>
    <row r="10">
      <c r="A10" s="6" t="inlineStr">
        <is>
          <t>FY2019 10-K</t>
        </is>
      </c>
      <c r="B10" s="6" t="inlineStr">
        <is>
          <t>sources/companies/US/AVGO-broadcom/artifacts/ten_k/AVGO-broadcom/FY2019/psp_6349fca9546c40c1a68e5c6a793e32a5/prepared/document.md</t>
        </is>
      </c>
      <c r="C10" s="6" t="inlineStr">
        <is>
          <t>FYE 2019-11-03</t>
        </is>
      </c>
    </row>
    <row r="11">
      <c r="A11" s="6" t="inlineStr">
        <is>
          <t>FY2020 10-K</t>
        </is>
      </c>
      <c r="B11" s="6" t="inlineStr">
        <is>
          <t>sources/companies/US/AVGO-broadcom/artifacts/ten_k/AVGO-broadcom/FY2020/psp_c7f4d090d8164b04a169c631fb75c79a/prepared/document.md</t>
        </is>
      </c>
      <c r="C11" s="6" t="inlineStr">
        <is>
          <t>FYE 2020-11-01</t>
        </is>
      </c>
    </row>
    <row r="12">
      <c r="A12" s="6" t="inlineStr">
        <is>
          <t>FY2021 10-K</t>
        </is>
      </c>
      <c r="B12" s="6" t="inlineStr">
        <is>
          <t>sources/companies/US/AVGO-broadcom/artifacts/ten_k/AVGO-broadcom/FY2021/psp_10972accbf6d40a0a03d224474584f54/prepared/document.md</t>
        </is>
      </c>
      <c r="C12" s="6" t="inlineStr">
        <is>
          <t>FYE 2021-10-31</t>
        </is>
      </c>
    </row>
    <row r="13">
      <c r="A13" s="6" t="inlineStr">
        <is>
          <t>FY2022 10-K</t>
        </is>
      </c>
      <c r="B13" s="6" t="inlineStr">
        <is>
          <t>sources/companies/US/AVGO-broadcom/artifacts/ten_k/AVGO-broadcom/FY2022/psp_0690231d201142e0952366ddb7520e5e/prepared/document.md</t>
        </is>
      </c>
      <c r="C13" s="6" t="inlineStr">
        <is>
          <t>FYE 2022-10-30</t>
        </is>
      </c>
    </row>
    <row r="14">
      <c r="A14" s="6" t="inlineStr">
        <is>
          <t>FY2023 10-K</t>
        </is>
      </c>
      <c r="B14" s="6" t="inlineStr">
        <is>
          <t>sources/companies/US/AVGO-broadcom/artifacts/ten_k/AVGO-broadcom/FY2023/psp_4d19f918a1a24df8aab06c837a36fcc3/prepared/document.md</t>
        </is>
      </c>
      <c r="C14" s="6" t="inlineStr">
        <is>
          <t>FYE 2023-10-29</t>
        </is>
      </c>
    </row>
    <row r="15">
      <c r="A15" s="6" t="inlineStr">
        <is>
          <t>FY2024 10-K</t>
        </is>
      </c>
      <c r="B15" s="6" t="inlineStr">
        <is>
          <t>sources/companies/US/AVGO-broadcom/artifacts/ten_k/AVGO-broadcom/FY2024/psp_de98d67093094a79895aa84d04f3f0ee/prepared/document.md</t>
        </is>
      </c>
      <c r="C15" s="6" t="inlineStr">
        <is>
          <t>FYE 2024-11-03</t>
        </is>
      </c>
    </row>
    <row r="16">
      <c r="A16" s="6" t="inlineStr">
        <is>
          <t>FY2025 10-K</t>
        </is>
      </c>
      <c r="B16" s="6" t="inlineStr">
        <is>
          <t>sources/companies/US/AVGO-broadcom/artifacts/ten_k/AVGO-broadcom/FY2025/psp_13e4c5dfa72a4c7ead9d52bf95ea70fd/prepared/document.md</t>
        </is>
      </c>
      <c r="C16" s="6" t="inlineStr">
        <is>
          <t>FYE 2025-11-02</t>
        </is>
      </c>
    </row>
    <row r="17">
      <c r="A17" s="6" t="inlineStr">
        <is>
          <t>3Q FY2026 10-Q</t>
        </is>
      </c>
      <c r="B17" s="6" t="inlineStr">
        <is>
          <t>sources/companies/US/AVGO-broadcom/artifacts/ten_k/AVGO-broadcom/FY20263/psp_c9981a970e024215b090a916e6857b69/prepared/document.md</t>
        </is>
      </c>
      <c r="C17" s="6" t="inlineStr">
        <is>
          <t>Quarter ended 2026-08-02</t>
        </is>
      </c>
    </row>
    <row r="19">
      <c r="A19" s="5" t="inlineStr">
        <is>
          <t>Methodology notes</t>
        </is>
      </c>
      <c r="B19" s="5" t="n"/>
    </row>
    <row r="20">
      <c r="A20" s="6" t="inlineStr">
        <is>
          <t>Source tier</t>
        </is>
      </c>
      <c r="B20" s="6" t="inlineStr">
        <is>
          <t>All figures on IS/BS/CF/SEG are Tier-2 (hand-extracted directly from each fiscal year's own SEC 10-K or 10-Q, sourced from the prepared/document.md filing text above). No Tier-1 financial_input.json existed for this company; tables.json (Tier-2 bundle collector output, 994 tables) was reviewed but not used directly for IS/BS/CF because its period-normalization regex did not match full-date column headers (e.g. 'November 2, 2025'), so it produced no usable Income Statement / Balance Sheet / Cash Flow / Segment sheets — see model.draft-bundle.json.bak in this directory for the discarded draft.</t>
        </is>
      </c>
    </row>
    <row r="21">
      <c r="A21" s="6" t="inlineStr">
        <is>
          <t>Own-year rule</t>
        </is>
      </c>
      <c r="B21" s="6" t="inlineStr">
        <is>
          <t>Every annual column uses that fiscal year's OWN as-filed figures from its own 10-K, not a later filing's restated/recast comparative column. This preserves a pure historical series but means some comparability breaks are real disclosure changes, not modeling errors — see Cover sheet for the full list (VMware, revenue reclassification, stock split, segment redefinition, discontinued operations).</t>
        </is>
      </c>
    </row>
    <row r="22">
      <c r="A22" s="6" t="inlineStr">
        <is>
          <t>Supplementary topic sheets</t>
        </is>
      </c>
      <c r="B22" s="6" t="inlineStr">
        <is>
          <t>The original draft model.json (Phase 3 auto-assembly) grouped tables into 7 heuristic topic sheets (Other Notes, Tax &amp; Shares, Products &amp; Geography, Debt &amp; Liquidity, Capital Returns, Assets &amp; Intangibles, Operating KPIs) from unverified bundle data. These were dropped in this rebuild rather than carried forward unverified; the core financial statements (IS/BS/CF/SEG) together with Derived Metrics (DM) are the verified, source-traced deliverable.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BF8F00"/>
    <outlinePr summaryBelow="1" summaryRight="1"/>
    <pageSetUpPr/>
  </sheetPr>
  <dimension ref="A1:L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50" t="inlineStr">
        <is>
          <t>Broadcom Inc. — Asset Structure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6" customHeight="1">
      <c r="A2" s="3" t="inlineStr">
        <is>
          <t>$ in millions except per-share data  |  USD  |  FY2016-FY2025 annual  |  as of 2026-09-22</t>
        </is>
      </c>
    </row>
    <row r="3">
      <c r="C3" s="51" t="inlineStr">
        <is>
          <t>FY2016</t>
        </is>
      </c>
      <c r="D3" s="51" t="inlineStr">
        <is>
          <t>FY2017</t>
        </is>
      </c>
      <c r="E3" s="51" t="inlineStr">
        <is>
          <t>FY2018</t>
        </is>
      </c>
      <c r="F3" s="51" t="inlineStr">
        <is>
          <t>FY2019</t>
        </is>
      </c>
      <c r="G3" s="51" t="inlineStr">
        <is>
          <t>FY2020</t>
        </is>
      </c>
      <c r="H3" s="51" t="inlineStr">
        <is>
          <t>FY2021</t>
        </is>
      </c>
      <c r="I3" s="51" t="inlineStr">
        <is>
          <t>FY2022</t>
        </is>
      </c>
      <c r="J3" s="51" t="inlineStr">
        <is>
          <t>FY2023</t>
        </is>
      </c>
      <c r="K3" s="51" t="inlineStr">
        <is>
          <t>FY2024</t>
        </is>
      </c>
      <c r="L3" s="51" t="inlineStr">
        <is>
          <t>FY2025</t>
        </is>
      </c>
    </row>
    <row r="4">
      <c r="C4" s="52" t="inlineStr">
        <is>
          <t>2016-10-30</t>
        </is>
      </c>
      <c r="D4" s="52" t="inlineStr">
        <is>
          <t>2017-10-29</t>
        </is>
      </c>
      <c r="E4" s="52" t="inlineStr">
        <is>
          <t>2018-11-04</t>
        </is>
      </c>
      <c r="F4" s="52" t="inlineStr">
        <is>
          <t>2019-11-03</t>
        </is>
      </c>
      <c r="G4" s="52" t="inlineStr">
        <is>
          <t>2020-11-01</t>
        </is>
      </c>
      <c r="H4" s="52" t="inlineStr">
        <is>
          <t>2021-10-31</t>
        </is>
      </c>
      <c r="I4" s="52" t="inlineStr">
        <is>
          <t>2022-10-30</t>
        </is>
      </c>
      <c r="J4" s="52" t="inlineStr">
        <is>
          <t>2023-10-29</t>
        </is>
      </c>
      <c r="K4" s="52" t="inlineStr">
        <is>
          <t>2024-11-03</t>
        </is>
      </c>
      <c r="L4" s="52" t="inlineStr">
        <is>
          <t>2025-11-02</t>
        </is>
      </c>
    </row>
    <row r="6" ht="20" customHeight="1">
      <c r="A6" s="5" t="inlineStr">
        <is>
          <t>1. ASSET STRUCTURE — $ MILLIONS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</row>
    <row r="7">
      <c r="A7" s="53" t="inlineStr">
        <is>
          <t>Source: Balance Sheet (linked). Each bucket reconciles exactly to reported Total assets — see check row below.</t>
        </is>
      </c>
    </row>
    <row r="8">
      <c r="A8" s="6" t="inlineStr">
        <is>
          <t>Cash and cash equivalents</t>
        </is>
      </c>
      <c r="C8" s="54">
        <f>'Balance Sheet'!C15</f>
        <v/>
      </c>
      <c r="D8" s="54">
        <f>'Balance Sheet'!D15</f>
        <v/>
      </c>
      <c r="E8" s="54">
        <f>'Balance Sheet'!E15</f>
        <v/>
      </c>
      <c r="F8" s="54">
        <f>'Balance Sheet'!F15</f>
        <v/>
      </c>
      <c r="G8" s="54">
        <f>'Balance Sheet'!G15</f>
        <v/>
      </c>
      <c r="H8" s="54">
        <f>'Balance Sheet'!H15</f>
        <v/>
      </c>
      <c r="I8" s="54">
        <f>'Balance Sheet'!I15</f>
        <v/>
      </c>
      <c r="J8" s="54">
        <f>'Balance Sheet'!J15</f>
        <v/>
      </c>
      <c r="K8" s="54">
        <f>'Balance Sheet'!K15</f>
        <v/>
      </c>
      <c r="L8" s="54">
        <f>'Balance Sheet'!L15</f>
        <v/>
      </c>
    </row>
    <row r="9">
      <c r="A9" s="6" t="inlineStr">
        <is>
          <t>Trade receivables, net</t>
        </is>
      </c>
      <c r="C9" s="54">
        <f>'Balance Sheet'!C16</f>
        <v/>
      </c>
      <c r="D9" s="54">
        <f>'Balance Sheet'!D16</f>
        <v/>
      </c>
      <c r="E9" s="54">
        <f>'Balance Sheet'!E16</f>
        <v/>
      </c>
      <c r="F9" s="54">
        <f>'Balance Sheet'!F16</f>
        <v/>
      </c>
      <c r="G9" s="54">
        <f>'Balance Sheet'!G16</f>
        <v/>
      </c>
      <c r="H9" s="54">
        <f>'Balance Sheet'!H16</f>
        <v/>
      </c>
      <c r="I9" s="54">
        <f>'Balance Sheet'!I16</f>
        <v/>
      </c>
      <c r="J9" s="54">
        <f>'Balance Sheet'!J16</f>
        <v/>
      </c>
      <c r="K9" s="54">
        <f>'Balance Sheet'!K16</f>
        <v/>
      </c>
      <c r="L9" s="54">
        <f>'Balance Sheet'!L16</f>
        <v/>
      </c>
    </row>
    <row r="10">
      <c r="A10" s="6" t="inlineStr">
        <is>
          <t>Inventory</t>
        </is>
      </c>
      <c r="C10" s="54">
        <f>'Balance Sheet'!C17</f>
        <v/>
      </c>
      <c r="D10" s="54">
        <f>'Balance Sheet'!D17</f>
        <v/>
      </c>
      <c r="E10" s="54">
        <f>'Balance Sheet'!E17</f>
        <v/>
      </c>
      <c r="F10" s="54">
        <f>'Balance Sheet'!F17</f>
        <v/>
      </c>
      <c r="G10" s="54">
        <f>'Balance Sheet'!G17</f>
        <v/>
      </c>
      <c r="H10" s="54">
        <f>'Balance Sheet'!H17</f>
        <v/>
      </c>
      <c r="I10" s="54">
        <f>'Balance Sheet'!I17</f>
        <v/>
      </c>
      <c r="J10" s="54">
        <f>'Balance Sheet'!J17</f>
        <v/>
      </c>
      <c r="K10" s="54">
        <f>'Balance Sheet'!K17</f>
        <v/>
      </c>
      <c r="L10" s="54">
        <f>'Balance Sheet'!L17</f>
        <v/>
      </c>
    </row>
    <row r="11">
      <c r="A11" s="6" t="inlineStr">
        <is>
          <t>Other current assets</t>
        </is>
      </c>
      <c r="C11" s="54">
        <f>'Balance Sheet'!C18</f>
        <v/>
      </c>
      <c r="D11" s="54">
        <f>'Balance Sheet'!D18</f>
        <v/>
      </c>
      <c r="E11" s="54">
        <f>'Balance Sheet'!E18</f>
        <v/>
      </c>
      <c r="F11" s="54">
        <f>'Balance Sheet'!F18</f>
        <v/>
      </c>
      <c r="G11" s="54">
        <f>'Balance Sheet'!G18</f>
        <v/>
      </c>
      <c r="H11" s="54">
        <f>'Balance Sheet'!H18</f>
        <v/>
      </c>
      <c r="I11" s="54">
        <f>'Balance Sheet'!I18</f>
        <v/>
      </c>
      <c r="J11" s="54">
        <f>'Balance Sheet'!J18</f>
        <v/>
      </c>
      <c r="K11" s="54">
        <f>'Balance Sheet'!K18</f>
        <v/>
      </c>
      <c r="L11" s="54">
        <f>'Balance Sheet'!L18</f>
        <v/>
      </c>
    </row>
    <row r="12">
      <c r="A12" s="14" t="inlineStr">
        <is>
          <t>Total current assets</t>
        </is>
      </c>
      <c r="C12" s="55">
        <f>SUM(C8:C11)</f>
        <v/>
      </c>
      <c r="D12" s="55">
        <f>SUM(D8:D11)</f>
        <v/>
      </c>
      <c r="E12" s="55">
        <f>SUM(E8:E11)</f>
        <v/>
      </c>
      <c r="F12" s="55">
        <f>SUM(F8:F11)</f>
        <v/>
      </c>
      <c r="G12" s="55">
        <f>SUM(G8:G11)</f>
        <v/>
      </c>
      <c r="H12" s="55">
        <f>SUM(H8:H11)</f>
        <v/>
      </c>
      <c r="I12" s="55">
        <f>SUM(I8:I11)</f>
        <v/>
      </c>
      <c r="J12" s="55">
        <f>SUM(J8:J11)</f>
        <v/>
      </c>
      <c r="K12" s="55">
        <f>SUM(K8:K11)</f>
        <v/>
      </c>
      <c r="L12" s="55">
        <f>SUM(L8:L11)</f>
        <v/>
      </c>
    </row>
    <row r="14">
      <c r="A14" s="6" t="inlineStr">
        <is>
          <t>Property, plant &amp; equipment, net</t>
        </is>
      </c>
      <c r="C14" s="54">
        <f>'Balance Sheet'!C22</f>
        <v/>
      </c>
      <c r="D14" s="54">
        <f>'Balance Sheet'!D22</f>
        <v/>
      </c>
      <c r="E14" s="54">
        <f>'Balance Sheet'!E22</f>
        <v/>
      </c>
      <c r="F14" s="54">
        <f>'Balance Sheet'!F22</f>
        <v/>
      </c>
      <c r="G14" s="54">
        <f>'Balance Sheet'!G22</f>
        <v/>
      </c>
      <c r="H14" s="54">
        <f>'Balance Sheet'!H22</f>
        <v/>
      </c>
      <c r="I14" s="54">
        <f>'Balance Sheet'!I22</f>
        <v/>
      </c>
      <c r="J14" s="54">
        <f>'Balance Sheet'!J22</f>
        <v/>
      </c>
      <c r="K14" s="54">
        <f>'Balance Sheet'!K22</f>
        <v/>
      </c>
      <c r="L14" s="54">
        <f>'Balance Sheet'!L22</f>
        <v/>
      </c>
    </row>
    <row r="15">
      <c r="A15" s="6" t="inlineStr">
        <is>
          <t>Goodwill</t>
        </is>
      </c>
      <c r="C15" s="54">
        <f>'Balance Sheet'!C23</f>
        <v/>
      </c>
      <c r="D15" s="54">
        <f>'Balance Sheet'!D23</f>
        <v/>
      </c>
      <c r="E15" s="54">
        <f>'Balance Sheet'!E23</f>
        <v/>
      </c>
      <c r="F15" s="54">
        <f>'Balance Sheet'!F23</f>
        <v/>
      </c>
      <c r="G15" s="54">
        <f>'Balance Sheet'!G23</f>
        <v/>
      </c>
      <c r="H15" s="54">
        <f>'Balance Sheet'!H23</f>
        <v/>
      </c>
      <c r="I15" s="54">
        <f>'Balance Sheet'!I23</f>
        <v/>
      </c>
      <c r="J15" s="54">
        <f>'Balance Sheet'!J23</f>
        <v/>
      </c>
      <c r="K15" s="54">
        <f>'Balance Sheet'!K23</f>
        <v/>
      </c>
      <c r="L15" s="54">
        <f>'Balance Sheet'!L23</f>
        <v/>
      </c>
    </row>
    <row r="16">
      <c r="A16" s="6" t="inlineStr">
        <is>
          <t>Intangible assets, net</t>
        </is>
      </c>
      <c r="C16" s="54">
        <f>'Balance Sheet'!C24</f>
        <v/>
      </c>
      <c r="D16" s="54">
        <f>'Balance Sheet'!D24</f>
        <v/>
      </c>
      <c r="E16" s="54">
        <f>'Balance Sheet'!E24</f>
        <v/>
      </c>
      <c r="F16" s="54">
        <f>'Balance Sheet'!F24</f>
        <v/>
      </c>
      <c r="G16" s="54">
        <f>'Balance Sheet'!G24</f>
        <v/>
      </c>
      <c r="H16" s="54">
        <f>'Balance Sheet'!H24</f>
        <v/>
      </c>
      <c r="I16" s="54">
        <f>'Balance Sheet'!I24</f>
        <v/>
      </c>
      <c r="J16" s="54">
        <f>'Balance Sheet'!J24</f>
        <v/>
      </c>
      <c r="K16" s="54">
        <f>'Balance Sheet'!K24</f>
        <v/>
      </c>
      <c r="L16" s="54">
        <f>'Balance Sheet'!L24</f>
        <v/>
      </c>
    </row>
    <row r="17">
      <c r="A17" s="6" t="inlineStr">
        <is>
          <t>Other long-term assets</t>
        </is>
      </c>
      <c r="C17" s="54">
        <f>'Balance Sheet'!C25</f>
        <v/>
      </c>
      <c r="D17" s="54">
        <f>'Balance Sheet'!D25</f>
        <v/>
      </c>
      <c r="E17" s="54">
        <f>'Balance Sheet'!E25</f>
        <v/>
      </c>
      <c r="F17" s="54">
        <f>'Balance Sheet'!F25</f>
        <v/>
      </c>
      <c r="G17" s="54">
        <f>'Balance Sheet'!G25</f>
        <v/>
      </c>
      <c r="H17" s="54">
        <f>'Balance Sheet'!H25</f>
        <v/>
      </c>
      <c r="I17" s="54">
        <f>'Balance Sheet'!I25</f>
        <v/>
      </c>
      <c r="J17" s="54">
        <f>'Balance Sheet'!J25</f>
        <v/>
      </c>
      <c r="K17" s="54">
        <f>'Balance Sheet'!K25</f>
        <v/>
      </c>
      <c r="L17" s="54">
        <f>'Balance Sheet'!L25</f>
        <v/>
      </c>
    </row>
    <row r="18">
      <c r="A18" s="14" t="inlineStr">
        <is>
          <t>Total long-term assets</t>
        </is>
      </c>
      <c r="C18" s="55">
        <f>SUM(C14:C17)</f>
        <v/>
      </c>
      <c r="D18" s="55">
        <f>SUM(D14:D17)</f>
        <v/>
      </c>
      <c r="E18" s="55">
        <f>SUM(E14:E17)</f>
        <v/>
      </c>
      <c r="F18" s="55">
        <f>SUM(F14:F17)</f>
        <v/>
      </c>
      <c r="G18" s="55">
        <f>SUM(G14:G17)</f>
        <v/>
      </c>
      <c r="H18" s="55">
        <f>SUM(H14:H17)</f>
        <v/>
      </c>
      <c r="I18" s="55">
        <f>SUM(I14:I17)</f>
        <v/>
      </c>
      <c r="J18" s="55">
        <f>SUM(J14:J17)</f>
        <v/>
      </c>
      <c r="K18" s="55">
        <f>SUM(K14:K17)</f>
        <v/>
      </c>
      <c r="L18" s="55">
        <f>SUM(L14:L17)</f>
        <v/>
      </c>
    </row>
    <row r="20">
      <c r="A20" s="14" t="inlineStr">
        <is>
          <t>Total assets (sum of buckets)</t>
        </is>
      </c>
      <c r="C20" s="55">
        <f>C12+C18</f>
        <v/>
      </c>
      <c r="D20" s="55">
        <f>D12+D18</f>
        <v/>
      </c>
      <c r="E20" s="55">
        <f>E12+E18</f>
        <v/>
      </c>
      <c r="F20" s="55">
        <f>F12+F18</f>
        <v/>
      </c>
      <c r="G20" s="55">
        <f>G12+G18</f>
        <v/>
      </c>
      <c r="H20" s="55">
        <f>H12+H18</f>
        <v/>
      </c>
      <c r="I20" s="55">
        <f>I12+I18</f>
        <v/>
      </c>
      <c r="J20" s="55">
        <f>J12+J18</f>
        <v/>
      </c>
      <c r="K20" s="55">
        <f>K12+K18</f>
        <v/>
      </c>
      <c r="L20" s="55">
        <f>L12+L18</f>
        <v/>
      </c>
    </row>
    <row r="21">
      <c r="A21" s="6" t="inlineStr">
        <is>
          <t>Total assets (as reported, linked)</t>
        </is>
      </c>
      <c r="C21" s="54">
        <f>'Balance Sheet'!C26</f>
        <v/>
      </c>
      <c r="D21" s="54">
        <f>'Balance Sheet'!D26</f>
        <v/>
      </c>
      <c r="E21" s="54">
        <f>'Balance Sheet'!E26</f>
        <v/>
      </c>
      <c r="F21" s="54">
        <f>'Balance Sheet'!F26</f>
        <v/>
      </c>
      <c r="G21" s="54">
        <f>'Balance Sheet'!G26</f>
        <v/>
      </c>
      <c r="H21" s="54">
        <f>'Balance Sheet'!H26</f>
        <v/>
      </c>
      <c r="I21" s="54">
        <f>'Balance Sheet'!I26</f>
        <v/>
      </c>
      <c r="J21" s="54">
        <f>'Balance Sheet'!J26</f>
        <v/>
      </c>
      <c r="K21" s="54">
        <f>'Balance Sheet'!K26</f>
        <v/>
      </c>
      <c r="L21" s="54">
        <f>'Balance Sheet'!L26</f>
        <v/>
      </c>
    </row>
    <row r="22">
      <c r="A22" s="17" t="inlineStr">
        <is>
          <t>Reconciliation check (should be ~0)</t>
        </is>
      </c>
      <c r="C22" s="44">
        <f>C20-C21</f>
        <v/>
      </c>
      <c r="D22" s="44">
        <f>D20-D21</f>
        <v/>
      </c>
      <c r="E22" s="44">
        <f>E20-E21</f>
        <v/>
      </c>
      <c r="F22" s="44">
        <f>F20-F21</f>
        <v/>
      </c>
      <c r="G22" s="44">
        <f>G20-G21</f>
        <v/>
      </c>
      <c r="H22" s="44">
        <f>H20-H21</f>
        <v/>
      </c>
      <c r="I22" s="44">
        <f>I20-I21</f>
        <v/>
      </c>
      <c r="J22" s="44">
        <f>J20-J21</f>
        <v/>
      </c>
      <c r="K22" s="44">
        <f>K20-K21</f>
        <v/>
      </c>
      <c r="L22" s="44">
        <f>L20-L21</f>
        <v/>
      </c>
    </row>
    <row r="24" ht="20" customHeight="1">
      <c r="A24" s="5" t="inlineStr">
        <is>
          <t>2. ASSET STRUCTURE — % OF TOTAL ASSETS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53" t="inlineStr">
        <is>
          <t>Each bucket $ (Section 1, this sheet) divided by Total assets as reported (row above).</t>
        </is>
      </c>
    </row>
    <row r="26">
      <c r="A26" s="6" t="inlineStr">
        <is>
          <t>Cash and cash equivalents</t>
        </is>
      </c>
      <c r="C26" s="47">
        <f>C8/C21</f>
        <v/>
      </c>
      <c r="D26" s="47">
        <f>D8/D21</f>
        <v/>
      </c>
      <c r="E26" s="47">
        <f>E8/E21</f>
        <v/>
      </c>
      <c r="F26" s="47">
        <f>F8/F21</f>
        <v/>
      </c>
      <c r="G26" s="47">
        <f>G8/G21</f>
        <v/>
      </c>
      <c r="H26" s="47">
        <f>H8/H21</f>
        <v/>
      </c>
      <c r="I26" s="47">
        <f>I8/I21</f>
        <v/>
      </c>
      <c r="J26" s="47">
        <f>J8/J21</f>
        <v/>
      </c>
      <c r="K26" s="47">
        <f>K8/K21</f>
        <v/>
      </c>
      <c r="L26" s="47">
        <f>L8/L21</f>
        <v/>
      </c>
    </row>
    <row r="27">
      <c r="A27" s="6" t="inlineStr">
        <is>
          <t>Trade receivables, net</t>
        </is>
      </c>
      <c r="C27" s="47">
        <f>C9/C21</f>
        <v/>
      </c>
      <c r="D27" s="47">
        <f>D9/D21</f>
        <v/>
      </c>
      <c r="E27" s="47">
        <f>E9/E21</f>
        <v/>
      </c>
      <c r="F27" s="47">
        <f>F9/F21</f>
        <v/>
      </c>
      <c r="G27" s="47">
        <f>G9/G21</f>
        <v/>
      </c>
      <c r="H27" s="47">
        <f>H9/H21</f>
        <v/>
      </c>
      <c r="I27" s="47">
        <f>I9/I21</f>
        <v/>
      </c>
      <c r="J27" s="47">
        <f>J9/J21</f>
        <v/>
      </c>
      <c r="K27" s="47">
        <f>K9/K21</f>
        <v/>
      </c>
      <c r="L27" s="47">
        <f>L9/L21</f>
        <v/>
      </c>
    </row>
    <row r="28">
      <c r="A28" s="6" t="inlineStr">
        <is>
          <t>Inventory</t>
        </is>
      </c>
      <c r="C28" s="47">
        <f>C10/C21</f>
        <v/>
      </c>
      <c r="D28" s="47">
        <f>D10/D21</f>
        <v/>
      </c>
      <c r="E28" s="47">
        <f>E10/E21</f>
        <v/>
      </c>
      <c r="F28" s="47">
        <f>F10/F21</f>
        <v/>
      </c>
      <c r="G28" s="47">
        <f>G10/G21</f>
        <v/>
      </c>
      <c r="H28" s="47">
        <f>H10/H21</f>
        <v/>
      </c>
      <c r="I28" s="47">
        <f>I10/I21</f>
        <v/>
      </c>
      <c r="J28" s="47">
        <f>J10/J21</f>
        <v/>
      </c>
      <c r="K28" s="47">
        <f>K10/K21</f>
        <v/>
      </c>
      <c r="L28" s="47">
        <f>L10/L21</f>
        <v/>
      </c>
    </row>
    <row r="29">
      <c r="A29" s="6" t="inlineStr">
        <is>
          <t>Other current assets</t>
        </is>
      </c>
      <c r="C29" s="47">
        <f>C11/C21</f>
        <v/>
      </c>
      <c r="D29" s="47">
        <f>D11/D21</f>
        <v/>
      </c>
      <c r="E29" s="47">
        <f>E11/E21</f>
        <v/>
      </c>
      <c r="F29" s="47">
        <f>F11/F21</f>
        <v/>
      </c>
      <c r="G29" s="47">
        <f>G11/G21</f>
        <v/>
      </c>
      <c r="H29" s="47">
        <f>H11/H21</f>
        <v/>
      </c>
      <c r="I29" s="47">
        <f>I11/I21</f>
        <v/>
      </c>
      <c r="J29" s="47">
        <f>J11/J21</f>
        <v/>
      </c>
      <c r="K29" s="47">
        <f>K11/K21</f>
        <v/>
      </c>
      <c r="L29" s="47">
        <f>L11/L21</f>
        <v/>
      </c>
    </row>
    <row r="30">
      <c r="A30" s="6" t="inlineStr">
        <is>
          <t>Property, plant &amp; equipment, net</t>
        </is>
      </c>
      <c r="C30" s="47">
        <f>C14/C21</f>
        <v/>
      </c>
      <c r="D30" s="47">
        <f>D14/D21</f>
        <v/>
      </c>
      <c r="E30" s="47">
        <f>E14/E21</f>
        <v/>
      </c>
      <c r="F30" s="47">
        <f>F14/F21</f>
        <v/>
      </c>
      <c r="G30" s="47">
        <f>G14/G21</f>
        <v/>
      </c>
      <c r="H30" s="47">
        <f>H14/H21</f>
        <v/>
      </c>
      <c r="I30" s="47">
        <f>I14/I21</f>
        <v/>
      </c>
      <c r="J30" s="47">
        <f>J14/J21</f>
        <v/>
      </c>
      <c r="K30" s="47">
        <f>K14/K21</f>
        <v/>
      </c>
      <c r="L30" s="47">
        <f>L14/L21</f>
        <v/>
      </c>
    </row>
    <row r="31">
      <c r="A31" s="6" t="inlineStr">
        <is>
          <t>Goodwill</t>
        </is>
      </c>
      <c r="C31" s="47">
        <f>C15/C21</f>
        <v/>
      </c>
      <c r="D31" s="47">
        <f>D15/D21</f>
        <v/>
      </c>
      <c r="E31" s="47">
        <f>E15/E21</f>
        <v/>
      </c>
      <c r="F31" s="47">
        <f>F15/F21</f>
        <v/>
      </c>
      <c r="G31" s="47">
        <f>G15/G21</f>
        <v/>
      </c>
      <c r="H31" s="47">
        <f>H15/H21</f>
        <v/>
      </c>
      <c r="I31" s="47">
        <f>I15/I21</f>
        <v/>
      </c>
      <c r="J31" s="47">
        <f>J15/J21</f>
        <v/>
      </c>
      <c r="K31" s="47">
        <f>K15/K21</f>
        <v/>
      </c>
      <c r="L31" s="47">
        <f>L15/L21</f>
        <v/>
      </c>
    </row>
    <row r="32">
      <c r="A32" s="6" t="inlineStr">
        <is>
          <t>Intangible assets, net</t>
        </is>
      </c>
      <c r="C32" s="47">
        <f>C16/C21</f>
        <v/>
      </c>
      <c r="D32" s="47">
        <f>D16/D21</f>
        <v/>
      </c>
      <c r="E32" s="47">
        <f>E16/E21</f>
        <v/>
      </c>
      <c r="F32" s="47">
        <f>F16/F21</f>
        <v/>
      </c>
      <c r="G32" s="47">
        <f>G16/G21</f>
        <v/>
      </c>
      <c r="H32" s="47">
        <f>H16/H21</f>
        <v/>
      </c>
      <c r="I32" s="47">
        <f>I16/I21</f>
        <v/>
      </c>
      <c r="J32" s="47">
        <f>J16/J21</f>
        <v/>
      </c>
      <c r="K32" s="47">
        <f>K16/K21</f>
        <v/>
      </c>
      <c r="L32" s="47">
        <f>L16/L21</f>
        <v/>
      </c>
    </row>
    <row r="33">
      <c r="A33" s="6" t="inlineStr">
        <is>
          <t>Other long-term assets</t>
        </is>
      </c>
      <c r="C33" s="47">
        <f>C17/C21</f>
        <v/>
      </c>
      <c r="D33" s="47">
        <f>D17/D21</f>
        <v/>
      </c>
      <c r="E33" s="47">
        <f>E17/E21</f>
        <v/>
      </c>
      <c r="F33" s="47">
        <f>F17/F21</f>
        <v/>
      </c>
      <c r="G33" s="47">
        <f>G17/G21</f>
        <v/>
      </c>
      <c r="H33" s="47">
        <f>H17/H21</f>
        <v/>
      </c>
      <c r="I33" s="47">
        <f>I17/I21</f>
        <v/>
      </c>
      <c r="J33" s="47">
        <f>J17/J21</f>
        <v/>
      </c>
      <c r="K33" s="47">
        <f>K17/K21</f>
        <v/>
      </c>
      <c r="L33" s="47">
        <f>L17/L21</f>
        <v/>
      </c>
    </row>
    <row r="34">
      <c r="A34" s="14" t="inlineStr">
        <is>
          <t>Total</t>
        </is>
      </c>
      <c r="C34" s="56">
        <f>SUM(C26:C33)</f>
        <v/>
      </c>
      <c r="D34" s="56">
        <f>SUM(D26:D33)</f>
        <v/>
      </c>
      <c r="E34" s="56">
        <f>SUM(E26:E33)</f>
        <v/>
      </c>
      <c r="F34" s="56">
        <f>SUM(F26:F33)</f>
        <v/>
      </c>
      <c r="G34" s="56">
        <f>SUM(G26:G33)</f>
        <v/>
      </c>
      <c r="H34" s="56">
        <f>SUM(H26:H33)</f>
        <v/>
      </c>
      <c r="I34" s="56">
        <f>SUM(I26:I33)</f>
        <v/>
      </c>
      <c r="J34" s="56">
        <f>SUM(J26:J33)</f>
        <v/>
      </c>
      <c r="K34" s="56">
        <f>SUM(K26:K33)</f>
        <v/>
      </c>
      <c r="L34" s="56">
        <f>SUM(L26:L33)</f>
        <v/>
      </c>
    </row>
    <row r="36">
      <c r="A36" s="53" t="inlineStr">
        <is>
          <t>Notes: buckets follow Balance Sheet as-disclosed line items; no separate short-term investments line is disclosed by Broadcom in this model, so cash-like assets = cash &amp; equivalents only.</t>
        </is>
      </c>
    </row>
    <row r="37">
      <c r="A37" s="53" t="inlineStr">
        <is>
          <t>FY2024+ reflects the VMware acquisition (closed 2023-11-22) — Goodwill/Intangibles step up structurally; mix % is not organic growth. See Cover sheet comparability caveats.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BF8F00"/>
    <outlinePr summaryBelow="1" summaryRight="1"/>
    <pageSetUpPr/>
  </sheetPr>
  <dimension ref="A1:L1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50" t="inlineStr">
        <is>
          <t>Broadcom Inc. — Net Cash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6" customHeight="1">
      <c r="A2" s="3" t="inlineStr">
        <is>
          <t>$ in millions except per-share data  |  USD  |  FY2016-FY2025 annual  |  as of 2026-09-22</t>
        </is>
      </c>
    </row>
    <row r="3">
      <c r="C3" s="51" t="inlineStr">
        <is>
          <t>FY2016</t>
        </is>
      </c>
      <c r="D3" s="51" t="inlineStr">
        <is>
          <t>FY2017</t>
        </is>
      </c>
      <c r="E3" s="51" t="inlineStr">
        <is>
          <t>FY2018</t>
        </is>
      </c>
      <c r="F3" s="51" t="inlineStr">
        <is>
          <t>FY2019</t>
        </is>
      </c>
      <c r="G3" s="51" t="inlineStr">
        <is>
          <t>FY2020</t>
        </is>
      </c>
      <c r="H3" s="51" t="inlineStr">
        <is>
          <t>FY2021</t>
        </is>
      </c>
      <c r="I3" s="51" t="inlineStr">
        <is>
          <t>FY2022</t>
        </is>
      </c>
      <c r="J3" s="51" t="inlineStr">
        <is>
          <t>FY2023</t>
        </is>
      </c>
      <c r="K3" s="51" t="inlineStr">
        <is>
          <t>FY2024</t>
        </is>
      </c>
      <c r="L3" s="51" t="inlineStr">
        <is>
          <t>FY2025</t>
        </is>
      </c>
    </row>
    <row r="4">
      <c r="C4" s="52" t="inlineStr">
        <is>
          <t>2016-10-30</t>
        </is>
      </c>
      <c r="D4" s="52" t="inlineStr">
        <is>
          <t>2017-10-29</t>
        </is>
      </c>
      <c r="E4" s="52" t="inlineStr">
        <is>
          <t>2018-11-04</t>
        </is>
      </c>
      <c r="F4" s="52" t="inlineStr">
        <is>
          <t>2019-11-03</t>
        </is>
      </c>
      <c r="G4" s="52" t="inlineStr">
        <is>
          <t>2020-11-01</t>
        </is>
      </c>
      <c r="H4" s="52" t="inlineStr">
        <is>
          <t>2021-10-31</t>
        </is>
      </c>
      <c r="I4" s="52" t="inlineStr">
        <is>
          <t>2022-10-30</t>
        </is>
      </c>
      <c r="J4" s="52" t="inlineStr">
        <is>
          <t>2023-10-29</t>
        </is>
      </c>
      <c r="K4" s="52" t="inlineStr">
        <is>
          <t>2024-11-03</t>
        </is>
      </c>
      <c r="L4" s="52" t="inlineStr">
        <is>
          <t>2025-11-02</t>
        </is>
      </c>
    </row>
    <row r="6" ht="20" customHeight="1">
      <c r="A6" s="5" t="inlineStr">
        <is>
          <t>NET CASH / (NET DEBT)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</row>
    <row r="7">
      <c r="A7" s="53" t="inlineStr">
        <is>
          <t>Source: Balance Sheet (linked). Broadcom does not disclose a separate short-term investments line, so cash-like assets = cash &amp; equivalents.</t>
        </is>
      </c>
    </row>
    <row r="8">
      <c r="A8" s="6" t="inlineStr">
        <is>
          <t>Cash and cash equivalents</t>
        </is>
      </c>
      <c r="C8" s="54">
        <f>'Balance Sheet'!C15</f>
        <v/>
      </c>
      <c r="D8" s="54">
        <f>'Balance Sheet'!D15</f>
        <v/>
      </c>
      <c r="E8" s="54">
        <f>'Balance Sheet'!E15</f>
        <v/>
      </c>
      <c r="F8" s="54">
        <f>'Balance Sheet'!F15</f>
        <v/>
      </c>
      <c r="G8" s="54">
        <f>'Balance Sheet'!G15</f>
        <v/>
      </c>
      <c r="H8" s="54">
        <f>'Balance Sheet'!H15</f>
        <v/>
      </c>
      <c r="I8" s="54">
        <f>'Balance Sheet'!I15</f>
        <v/>
      </c>
      <c r="J8" s="54">
        <f>'Balance Sheet'!J15</f>
        <v/>
      </c>
      <c r="K8" s="54">
        <f>'Balance Sheet'!K15</f>
        <v/>
      </c>
      <c r="L8" s="54">
        <f>'Balance Sheet'!L15</f>
        <v/>
      </c>
    </row>
    <row r="9">
      <c r="A9" s="6" t="inlineStr">
        <is>
          <t>Current portion of long-term debt / short-term debt</t>
        </is>
      </c>
      <c r="C9" s="54">
        <f>'Balance Sheet'!C31</f>
        <v/>
      </c>
      <c r="D9" s="54">
        <f>'Balance Sheet'!D31</f>
        <v/>
      </c>
      <c r="E9" s="54">
        <f>'Balance Sheet'!E31</f>
        <v/>
      </c>
      <c r="F9" s="54">
        <f>'Balance Sheet'!F31</f>
        <v/>
      </c>
      <c r="G9" s="54">
        <f>'Balance Sheet'!G31</f>
        <v/>
      </c>
      <c r="H9" s="54">
        <f>'Balance Sheet'!H31</f>
        <v/>
      </c>
      <c r="I9" s="54">
        <f>'Balance Sheet'!I31</f>
        <v/>
      </c>
      <c r="J9" s="54">
        <f>'Balance Sheet'!J31</f>
        <v/>
      </c>
      <c r="K9" s="54">
        <f>'Balance Sheet'!K31</f>
        <v/>
      </c>
      <c r="L9" s="54">
        <f>'Balance Sheet'!L31</f>
        <v/>
      </c>
    </row>
    <row r="10">
      <c r="A10" s="6" t="inlineStr">
        <is>
          <t>Long-term debt</t>
        </is>
      </c>
      <c r="C10" s="54">
        <f>'Balance Sheet'!C36</f>
        <v/>
      </c>
      <c r="D10" s="54">
        <f>'Balance Sheet'!D36</f>
        <v/>
      </c>
      <c r="E10" s="54">
        <f>'Balance Sheet'!E36</f>
        <v/>
      </c>
      <c r="F10" s="54">
        <f>'Balance Sheet'!F36</f>
        <v/>
      </c>
      <c r="G10" s="54">
        <f>'Balance Sheet'!G36</f>
        <v/>
      </c>
      <c r="H10" s="54">
        <f>'Balance Sheet'!H36</f>
        <v/>
      </c>
      <c r="I10" s="54">
        <f>'Balance Sheet'!I36</f>
        <v/>
      </c>
      <c r="J10" s="54">
        <f>'Balance Sheet'!J36</f>
        <v/>
      </c>
      <c r="K10" s="54">
        <f>'Balance Sheet'!K36</f>
        <v/>
      </c>
      <c r="L10" s="54">
        <f>'Balance Sheet'!L36</f>
        <v/>
      </c>
    </row>
    <row r="11">
      <c r="A11" s="14" t="inlineStr">
        <is>
          <t>Total debt</t>
        </is>
      </c>
      <c r="C11" s="55">
        <f>C9+C10</f>
        <v/>
      </c>
      <c r="D11" s="55">
        <f>D9+D10</f>
        <v/>
      </c>
      <c r="E11" s="55">
        <f>E9+E10</f>
        <v/>
      </c>
      <c r="F11" s="55">
        <f>F9+F10</f>
        <v/>
      </c>
      <c r="G11" s="55">
        <f>G9+G10</f>
        <v/>
      </c>
      <c r="H11" s="55">
        <f>H9+H10</f>
        <v/>
      </c>
      <c r="I11" s="55">
        <f>I9+I10</f>
        <v/>
      </c>
      <c r="J11" s="55">
        <f>J9+J10</f>
        <v/>
      </c>
      <c r="K11" s="55">
        <f>K9+K10</f>
        <v/>
      </c>
      <c r="L11" s="55">
        <f>L9+L10</f>
        <v/>
      </c>
    </row>
    <row r="13">
      <c r="A13" s="14" t="inlineStr">
        <is>
          <t>Net cash / (net debt)</t>
        </is>
      </c>
      <c r="C13" s="55">
        <f>C8-C11</f>
        <v/>
      </c>
      <c r="D13" s="55">
        <f>D8-D11</f>
        <v/>
      </c>
      <c r="E13" s="55">
        <f>E8-E11</f>
        <v/>
      </c>
      <c r="F13" s="55">
        <f>F8-F11</f>
        <v/>
      </c>
      <c r="G13" s="55">
        <f>G8-G11</f>
        <v/>
      </c>
      <c r="H13" s="55">
        <f>H8-H11</f>
        <v/>
      </c>
      <c r="I13" s="55">
        <f>I8-I11</f>
        <v/>
      </c>
      <c r="J13" s="55">
        <f>J8-J11</f>
        <v/>
      </c>
      <c r="K13" s="55">
        <f>K8-K11</f>
        <v/>
      </c>
      <c r="L13" s="55">
        <f>L8-L11</f>
        <v/>
      </c>
    </row>
    <row r="15">
      <c r="A15" s="53" t="inlineStr">
        <is>
          <t>Positive = net cash position; negative = net debt position. Broadcom has been net-debt since the FY2016 IPO-era Avago/Broadcom combination and remained net-debt through FY2025 due to the VMware-financed debt raised in FY2024.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BF8F00"/>
    <outlinePr summaryBelow="1" summaryRight="1"/>
    <pageSetUpPr/>
  </sheetPr>
  <dimension ref="A1:L2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50" t="inlineStr">
        <is>
          <t>Broadcom Inc. — Working Capital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6" customHeight="1">
      <c r="A2" s="3" t="inlineStr">
        <is>
          <t>$ in millions except per-share data  |  USD  |  FY2016-FY2025 annual  |  as of 2026-09-22</t>
        </is>
      </c>
    </row>
    <row r="3">
      <c r="C3" s="51" t="inlineStr">
        <is>
          <t>FY2016</t>
        </is>
      </c>
      <c r="D3" s="51" t="inlineStr">
        <is>
          <t>FY2017</t>
        </is>
      </c>
      <c r="E3" s="51" t="inlineStr">
        <is>
          <t>FY2018</t>
        </is>
      </c>
      <c r="F3" s="51" t="inlineStr">
        <is>
          <t>FY2019</t>
        </is>
      </c>
      <c r="G3" s="51" t="inlineStr">
        <is>
          <t>FY2020</t>
        </is>
      </c>
      <c r="H3" s="51" t="inlineStr">
        <is>
          <t>FY2021</t>
        </is>
      </c>
      <c r="I3" s="51" t="inlineStr">
        <is>
          <t>FY2022</t>
        </is>
      </c>
      <c r="J3" s="51" t="inlineStr">
        <is>
          <t>FY2023</t>
        </is>
      </c>
      <c r="K3" s="51" t="inlineStr">
        <is>
          <t>FY2024</t>
        </is>
      </c>
      <c r="L3" s="51" t="inlineStr">
        <is>
          <t>FY2025</t>
        </is>
      </c>
    </row>
    <row r="4">
      <c r="C4" s="52" t="inlineStr">
        <is>
          <t>2016-10-30</t>
        </is>
      </c>
      <c r="D4" s="52" t="inlineStr">
        <is>
          <t>2017-10-29</t>
        </is>
      </c>
      <c r="E4" s="52" t="inlineStr">
        <is>
          <t>2018-11-04</t>
        </is>
      </c>
      <c r="F4" s="52" t="inlineStr">
        <is>
          <t>2019-11-03</t>
        </is>
      </c>
      <c r="G4" s="52" t="inlineStr">
        <is>
          <t>2020-11-01</t>
        </is>
      </c>
      <c r="H4" s="52" t="inlineStr">
        <is>
          <t>2021-10-31</t>
        </is>
      </c>
      <c r="I4" s="52" t="inlineStr">
        <is>
          <t>2022-10-30</t>
        </is>
      </c>
      <c r="J4" s="52" t="inlineStr">
        <is>
          <t>2023-10-29</t>
        </is>
      </c>
      <c r="K4" s="52" t="inlineStr">
        <is>
          <t>2024-11-03</t>
        </is>
      </c>
      <c r="L4" s="52" t="inlineStr">
        <is>
          <t>2025-11-02</t>
        </is>
      </c>
    </row>
    <row r="6" ht="20" customHeight="1">
      <c r="A6" s="5" t="inlineStr">
        <is>
          <t>OPERATING WORKING CAPITAL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</row>
    <row r="7">
      <c r="A7" s="53" t="inlineStr">
        <is>
          <t>Source: Balance Sheet (linked) and Income Statement (revenue, linked). Trade receivables and inventory are material for Broadcom (semiconductor + software mix) — this table is meaningful, not omitted.</t>
        </is>
      </c>
    </row>
    <row r="8">
      <c r="A8" s="6" t="inlineStr">
        <is>
          <t>Trade receivables, net</t>
        </is>
      </c>
      <c r="C8" s="54">
        <f>'Balance Sheet'!C16</f>
        <v/>
      </c>
      <c r="D8" s="54">
        <f>'Balance Sheet'!D16</f>
        <v/>
      </c>
      <c r="E8" s="54">
        <f>'Balance Sheet'!E16</f>
        <v/>
      </c>
      <c r="F8" s="54">
        <f>'Balance Sheet'!F16</f>
        <v/>
      </c>
      <c r="G8" s="54">
        <f>'Balance Sheet'!G16</f>
        <v/>
      </c>
      <c r="H8" s="54">
        <f>'Balance Sheet'!H16</f>
        <v/>
      </c>
      <c r="I8" s="54">
        <f>'Balance Sheet'!I16</f>
        <v/>
      </c>
      <c r="J8" s="54">
        <f>'Balance Sheet'!J16</f>
        <v/>
      </c>
      <c r="K8" s="54">
        <f>'Balance Sheet'!K16</f>
        <v/>
      </c>
      <c r="L8" s="54">
        <f>'Balance Sheet'!L16</f>
        <v/>
      </c>
    </row>
    <row r="9">
      <c r="A9" s="6" t="inlineStr">
        <is>
          <t>Inventory</t>
        </is>
      </c>
      <c r="C9" s="54">
        <f>'Balance Sheet'!C17</f>
        <v/>
      </c>
      <c r="D9" s="54">
        <f>'Balance Sheet'!D17</f>
        <v/>
      </c>
      <c r="E9" s="54">
        <f>'Balance Sheet'!E17</f>
        <v/>
      </c>
      <c r="F9" s="54">
        <f>'Balance Sheet'!F17</f>
        <v/>
      </c>
      <c r="G9" s="54">
        <f>'Balance Sheet'!G17</f>
        <v/>
      </c>
      <c r="H9" s="54">
        <f>'Balance Sheet'!H17</f>
        <v/>
      </c>
      <c r="I9" s="54">
        <f>'Balance Sheet'!I17</f>
        <v/>
      </c>
      <c r="J9" s="54">
        <f>'Balance Sheet'!J17</f>
        <v/>
      </c>
      <c r="K9" s="54">
        <f>'Balance Sheet'!K17</f>
        <v/>
      </c>
      <c r="L9" s="54">
        <f>'Balance Sheet'!L17</f>
        <v/>
      </c>
    </row>
    <row r="10">
      <c r="A10" s="6" t="inlineStr">
        <is>
          <t>Other current assets</t>
        </is>
      </c>
      <c r="C10" s="54">
        <f>'Balance Sheet'!C18</f>
        <v/>
      </c>
      <c r="D10" s="54">
        <f>'Balance Sheet'!D18</f>
        <v/>
      </c>
      <c r="E10" s="54">
        <f>'Balance Sheet'!E18</f>
        <v/>
      </c>
      <c r="F10" s="54">
        <f>'Balance Sheet'!F18</f>
        <v/>
      </c>
      <c r="G10" s="54">
        <f>'Balance Sheet'!G18</f>
        <v/>
      </c>
      <c r="H10" s="54">
        <f>'Balance Sheet'!H18</f>
        <v/>
      </c>
      <c r="I10" s="54">
        <f>'Balance Sheet'!I18</f>
        <v/>
      </c>
      <c r="J10" s="54">
        <f>'Balance Sheet'!J18</f>
        <v/>
      </c>
      <c r="K10" s="54">
        <f>'Balance Sheet'!K18</f>
        <v/>
      </c>
      <c r="L10" s="54">
        <f>'Balance Sheet'!L18</f>
        <v/>
      </c>
    </row>
    <row r="11">
      <c r="A11" s="14" t="inlineStr">
        <is>
          <t>Operating current assets (= total CA − cash)</t>
        </is>
      </c>
      <c r="C11" s="55">
        <f>SUM(C8:C10)</f>
        <v/>
      </c>
      <c r="D11" s="55">
        <f>SUM(D8:D10)</f>
        <v/>
      </c>
      <c r="E11" s="55">
        <f>SUM(E8:E10)</f>
        <v/>
      </c>
      <c r="F11" s="55">
        <f>SUM(F8:F10)</f>
        <v/>
      </c>
      <c r="G11" s="55">
        <f>SUM(G8:G10)</f>
        <v/>
      </c>
      <c r="H11" s="55">
        <f>SUM(H8:H10)</f>
        <v/>
      </c>
      <c r="I11" s="55">
        <f>SUM(I8:I10)</f>
        <v/>
      </c>
      <c r="J11" s="55">
        <f>SUM(J8:J10)</f>
        <v/>
      </c>
      <c r="K11" s="55">
        <f>SUM(K8:K10)</f>
        <v/>
      </c>
      <c r="L11" s="55">
        <f>SUM(L8:L10)</f>
        <v/>
      </c>
    </row>
    <row r="13">
      <c r="A13" s="6" t="inlineStr">
        <is>
          <t>Accounts payable</t>
        </is>
      </c>
      <c r="C13" s="54">
        <f>'Balance Sheet'!C29</f>
        <v/>
      </c>
      <c r="D13" s="54">
        <f>'Balance Sheet'!D29</f>
        <v/>
      </c>
      <c r="E13" s="54">
        <f>'Balance Sheet'!E29</f>
        <v/>
      </c>
      <c r="F13" s="54">
        <f>'Balance Sheet'!F29</f>
        <v/>
      </c>
      <c r="G13" s="54">
        <f>'Balance Sheet'!G29</f>
        <v/>
      </c>
      <c r="H13" s="54">
        <f>'Balance Sheet'!H29</f>
        <v/>
      </c>
      <c r="I13" s="54">
        <f>'Balance Sheet'!I29</f>
        <v/>
      </c>
      <c r="J13" s="54">
        <f>'Balance Sheet'!J29</f>
        <v/>
      </c>
      <c r="K13" s="54">
        <f>'Balance Sheet'!K29</f>
        <v/>
      </c>
      <c r="L13" s="54">
        <f>'Balance Sheet'!L29</f>
        <v/>
      </c>
    </row>
    <row r="14">
      <c r="A14" s="6" t="inlineStr">
        <is>
          <t>Employee compensation and benefits</t>
        </is>
      </c>
      <c r="C14" s="54">
        <f>'Balance Sheet'!C30</f>
        <v/>
      </c>
      <c r="D14" s="54">
        <f>'Balance Sheet'!D30</f>
        <v/>
      </c>
      <c r="E14" s="54">
        <f>'Balance Sheet'!E30</f>
        <v/>
      </c>
      <c r="F14" s="54">
        <f>'Balance Sheet'!F30</f>
        <v/>
      </c>
      <c r="G14" s="54">
        <f>'Balance Sheet'!G30</f>
        <v/>
      </c>
      <c r="H14" s="54">
        <f>'Balance Sheet'!H30</f>
        <v/>
      </c>
      <c r="I14" s="54">
        <f>'Balance Sheet'!I30</f>
        <v/>
      </c>
      <c r="J14" s="54">
        <f>'Balance Sheet'!J30</f>
        <v/>
      </c>
      <c r="K14" s="54">
        <f>'Balance Sheet'!K30</f>
        <v/>
      </c>
      <c r="L14" s="54">
        <f>'Balance Sheet'!L30</f>
        <v/>
      </c>
    </row>
    <row r="15">
      <c r="A15" s="6" t="inlineStr">
        <is>
          <t>Other current liabilities</t>
        </is>
      </c>
      <c r="C15" s="54">
        <f>'Balance Sheet'!C32</f>
        <v/>
      </c>
      <c r="D15" s="54">
        <f>'Balance Sheet'!D32</f>
        <v/>
      </c>
      <c r="E15" s="54">
        <f>'Balance Sheet'!E32</f>
        <v/>
      </c>
      <c r="F15" s="54">
        <f>'Balance Sheet'!F32</f>
        <v/>
      </c>
      <c r="G15" s="54">
        <f>'Balance Sheet'!G32</f>
        <v/>
      </c>
      <c r="H15" s="54">
        <f>'Balance Sheet'!H32</f>
        <v/>
      </c>
      <c r="I15" s="54">
        <f>'Balance Sheet'!I32</f>
        <v/>
      </c>
      <c r="J15" s="54">
        <f>'Balance Sheet'!J32</f>
        <v/>
      </c>
      <c r="K15" s="54">
        <f>'Balance Sheet'!K32</f>
        <v/>
      </c>
      <c r="L15" s="54">
        <f>'Balance Sheet'!L32</f>
        <v/>
      </c>
    </row>
    <row r="16">
      <c r="A16" s="14" t="inlineStr">
        <is>
          <t>Operating current liabilities (= total CL − short-term debt)</t>
        </is>
      </c>
      <c r="C16" s="55">
        <f>SUM(C13:C15)</f>
        <v/>
      </c>
      <c r="D16" s="55">
        <f>SUM(D13:D15)</f>
        <v/>
      </c>
      <c r="E16" s="55">
        <f>SUM(E13:E15)</f>
        <v/>
      </c>
      <c r="F16" s="55">
        <f>SUM(F13:F15)</f>
        <v/>
      </c>
      <c r="G16" s="55">
        <f>SUM(G13:G15)</f>
        <v/>
      </c>
      <c r="H16" s="55">
        <f>SUM(H13:H15)</f>
        <v/>
      </c>
      <c r="I16" s="55">
        <f>SUM(I13:I15)</f>
        <v/>
      </c>
      <c r="J16" s="55">
        <f>SUM(J13:J15)</f>
        <v/>
      </c>
      <c r="K16" s="55">
        <f>SUM(K13:K15)</f>
        <v/>
      </c>
      <c r="L16" s="55">
        <f>SUM(L13:L15)</f>
        <v/>
      </c>
    </row>
    <row r="18">
      <c r="A18" s="14" t="inlineStr">
        <is>
          <t>Net working capital (OCA − OCL)</t>
        </is>
      </c>
      <c r="C18" s="55">
        <f>C11-C16</f>
        <v/>
      </c>
      <c r="D18" s="55">
        <f>D11-D16</f>
        <v/>
      </c>
      <c r="E18" s="55">
        <f>E11-E16</f>
        <v/>
      </c>
      <c r="F18" s="55">
        <f>F11-F16</f>
        <v/>
      </c>
      <c r="G18" s="55">
        <f>G11-G16</f>
        <v/>
      </c>
      <c r="H18" s="55">
        <f>H11-H16</f>
        <v/>
      </c>
      <c r="I18" s="55">
        <f>I11-I16</f>
        <v/>
      </c>
      <c r="J18" s="55">
        <f>J11-J16</f>
        <v/>
      </c>
      <c r="K18" s="55">
        <f>K11-K16</f>
        <v/>
      </c>
      <c r="L18" s="55">
        <f>L11-L16</f>
        <v/>
      </c>
    </row>
    <row r="19">
      <c r="A19" s="6" t="inlineStr">
        <is>
          <t>Total revenue (linked, for reference)</t>
        </is>
      </c>
      <c r="C19" s="54">
        <f>'Income Statement'!C14</f>
        <v/>
      </c>
      <c r="D19" s="54">
        <f>'Income Statement'!D14</f>
        <v/>
      </c>
      <c r="E19" s="54">
        <f>'Income Statement'!E14</f>
        <v/>
      </c>
      <c r="F19" s="54">
        <f>'Income Statement'!F14</f>
        <v/>
      </c>
      <c r="G19" s="54">
        <f>'Income Statement'!G14</f>
        <v/>
      </c>
      <c r="H19" s="54">
        <f>'Income Statement'!H14</f>
        <v/>
      </c>
      <c r="I19" s="54">
        <f>'Income Statement'!I14</f>
        <v/>
      </c>
      <c r="J19" s="54">
        <f>'Income Statement'!J14</f>
        <v/>
      </c>
      <c r="K19" s="54">
        <f>'Income Statement'!K14</f>
        <v/>
      </c>
      <c r="L19" s="54">
        <f>'Income Statement'!L14</f>
        <v/>
      </c>
    </row>
    <row r="20">
      <c r="A20" s="14" t="inlineStr">
        <is>
          <t>NWC as % of revenue</t>
        </is>
      </c>
      <c r="C20" s="57">
        <f>C18/C19</f>
        <v/>
      </c>
      <c r="D20" s="57">
        <f>D18/D19</f>
        <v/>
      </c>
      <c r="E20" s="57">
        <f>E18/E19</f>
        <v/>
      </c>
      <c r="F20" s="57">
        <f>F18/F19</f>
        <v/>
      </c>
      <c r="G20" s="57">
        <f>G18/G19</f>
        <v/>
      </c>
      <c r="H20" s="57">
        <f>H18/H19</f>
        <v/>
      </c>
      <c r="I20" s="57">
        <f>I18/I19</f>
        <v/>
      </c>
      <c r="J20" s="57">
        <f>J18/J19</f>
        <v/>
      </c>
      <c r="K20" s="57">
        <f>K18/K19</f>
        <v/>
      </c>
      <c r="L20" s="57">
        <f>L18/L19</f>
        <v/>
      </c>
    </row>
    <row r="22">
      <c r="A22" s="53" t="inlineStr">
        <is>
          <t>OCA excludes cash &amp; equivalents (no separate ST-investments line disclosed). OCL excludes current portion of long-term/short-term debt. FY2024+ step-up reflects VMware consolidation, not organic working-capital growth.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FFBF8F00"/>
    <outlinePr summaryBelow="1" summaryRight="1"/>
    <pageSetUpPr/>
  </sheetPr>
  <dimension ref="A1:L5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50" t="inlineStr">
        <is>
          <t>Broadcom Inc. — Cash-Flow Attribution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6" customHeight="1">
      <c r="A2" s="3" t="inlineStr">
        <is>
          <t>$ in millions except per-share data  |  USD  |  FY2016-FY2025 annual  |  as of 2026-09-22  |  quarterly CF (not shown here) is fiscal-YTD; this sheet is annual, discrete-year figures only</t>
        </is>
      </c>
    </row>
    <row r="3">
      <c r="C3" s="51" t="inlineStr">
        <is>
          <t>FY2016</t>
        </is>
      </c>
      <c r="D3" s="51" t="inlineStr">
        <is>
          <t>FY2017</t>
        </is>
      </c>
      <c r="E3" s="51" t="inlineStr">
        <is>
          <t>FY2018</t>
        </is>
      </c>
      <c r="F3" s="51" t="inlineStr">
        <is>
          <t>FY2019</t>
        </is>
      </c>
      <c r="G3" s="51" t="inlineStr">
        <is>
          <t>FY2020</t>
        </is>
      </c>
      <c r="H3" s="51" t="inlineStr">
        <is>
          <t>FY2021</t>
        </is>
      </c>
      <c r="I3" s="51" t="inlineStr">
        <is>
          <t>FY2022</t>
        </is>
      </c>
      <c r="J3" s="51" t="inlineStr">
        <is>
          <t>FY2023</t>
        </is>
      </c>
      <c r="K3" s="51" t="inlineStr">
        <is>
          <t>FY2024</t>
        </is>
      </c>
      <c r="L3" s="51" t="inlineStr">
        <is>
          <t>FY2025</t>
        </is>
      </c>
    </row>
    <row r="4">
      <c r="C4" s="52" t="inlineStr">
        <is>
          <t>2016-10-30</t>
        </is>
      </c>
      <c r="D4" s="52" t="inlineStr">
        <is>
          <t>2017-10-29</t>
        </is>
      </c>
      <c r="E4" s="52" t="inlineStr">
        <is>
          <t>2018-11-04</t>
        </is>
      </c>
      <c r="F4" s="52" t="inlineStr">
        <is>
          <t>2019-11-03</t>
        </is>
      </c>
      <c r="G4" s="52" t="inlineStr">
        <is>
          <t>2020-11-01</t>
        </is>
      </c>
      <c r="H4" s="52" t="inlineStr">
        <is>
          <t>2021-10-31</t>
        </is>
      </c>
      <c r="I4" s="52" t="inlineStr">
        <is>
          <t>2022-10-30</t>
        </is>
      </c>
      <c r="J4" s="52" t="inlineStr">
        <is>
          <t>2023-10-29</t>
        </is>
      </c>
      <c r="K4" s="52" t="inlineStr">
        <is>
          <t>2024-11-03</t>
        </is>
      </c>
      <c r="L4" s="52" t="inlineStr">
        <is>
          <t>2025-11-02</t>
        </is>
      </c>
    </row>
    <row r="6" ht="20" customHeight="1">
      <c r="A6" s="5" t="inlineStr">
        <is>
          <t>CASH-FLOW ATTRIBUTION BRIDGE — NET INCOME TO NET CHANGE IN CASH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</row>
    <row r="7">
      <c r="A7" s="53" t="inlineStr">
        <is>
          <t>Source: Cash Flow Statement (linked). Bridge nets exactly to reported net change in cash — see hard-reconciliation check row at bottom.</t>
        </is>
      </c>
    </row>
    <row r="8">
      <c r="A8" s="14" t="inlineStr">
        <is>
          <t>Net income (loss)</t>
        </is>
      </c>
      <c r="C8" s="45">
        <f>'Cash Flow Statement'!C14</f>
        <v/>
      </c>
      <c r="D8" s="45">
        <f>'Cash Flow Statement'!D14</f>
        <v/>
      </c>
      <c r="E8" s="45">
        <f>'Cash Flow Statement'!E14</f>
        <v/>
      </c>
      <c r="F8" s="45">
        <f>'Cash Flow Statement'!F14</f>
        <v/>
      </c>
      <c r="G8" s="45">
        <f>'Cash Flow Statement'!G14</f>
        <v/>
      </c>
      <c r="H8" s="45">
        <f>'Cash Flow Statement'!H14</f>
        <v/>
      </c>
      <c r="I8" s="45">
        <f>'Cash Flow Statement'!I14</f>
        <v/>
      </c>
      <c r="J8" s="45">
        <f>'Cash Flow Statement'!J14</f>
        <v/>
      </c>
      <c r="K8" s="45">
        <f>'Cash Flow Statement'!K14</f>
        <v/>
      </c>
      <c r="L8" s="45">
        <f>'Cash Flow Statement'!L14</f>
        <v/>
      </c>
    </row>
    <row r="9">
      <c r="A9" s="6" t="inlineStr">
        <is>
          <t>Depreciation &amp; amortization</t>
        </is>
      </c>
      <c r="C9" s="43">
        <f>'Cash Flow Statement'!C16+'Cash Flow Statement'!C17</f>
        <v/>
      </c>
      <c r="D9" s="43">
        <f>'Cash Flow Statement'!D16+'Cash Flow Statement'!D17</f>
        <v/>
      </c>
      <c r="E9" s="43">
        <f>'Cash Flow Statement'!E16+'Cash Flow Statement'!E17</f>
        <v/>
      </c>
      <c r="F9" s="43">
        <f>'Cash Flow Statement'!F16+'Cash Flow Statement'!F17</f>
        <v/>
      </c>
      <c r="G9" s="43">
        <f>'Cash Flow Statement'!G16+'Cash Flow Statement'!G17</f>
        <v/>
      </c>
      <c r="H9" s="43">
        <f>'Cash Flow Statement'!H16+'Cash Flow Statement'!H17</f>
        <v/>
      </c>
      <c r="I9" s="43">
        <f>'Cash Flow Statement'!I16+'Cash Flow Statement'!I17</f>
        <v/>
      </c>
      <c r="J9" s="43">
        <f>'Cash Flow Statement'!J16+'Cash Flow Statement'!J17</f>
        <v/>
      </c>
      <c r="K9" s="43">
        <f>'Cash Flow Statement'!K16+'Cash Flow Statement'!K17</f>
        <v/>
      </c>
      <c r="L9" s="43">
        <f>'Cash Flow Statement'!L16+'Cash Flow Statement'!L17</f>
        <v/>
      </c>
    </row>
    <row r="10">
      <c r="A10" s="6" t="inlineStr">
        <is>
          <t>Stock-based compensation expense</t>
        </is>
      </c>
      <c r="C10" s="54">
        <f>'Cash Flow Statement'!C18</f>
        <v/>
      </c>
      <c r="D10" s="54">
        <f>'Cash Flow Statement'!D18</f>
        <v/>
      </c>
      <c r="E10" s="54">
        <f>'Cash Flow Statement'!E18</f>
        <v/>
      </c>
      <c r="F10" s="54">
        <f>'Cash Flow Statement'!F18</f>
        <v/>
      </c>
      <c r="G10" s="54">
        <f>'Cash Flow Statement'!G18</f>
        <v/>
      </c>
      <c r="H10" s="54">
        <f>'Cash Flow Statement'!H18</f>
        <v/>
      </c>
      <c r="I10" s="54">
        <f>'Cash Flow Statement'!I18</f>
        <v/>
      </c>
      <c r="J10" s="54">
        <f>'Cash Flow Statement'!J18</f>
        <v/>
      </c>
      <c r="K10" s="54">
        <f>'Cash Flow Statement'!K18</f>
        <v/>
      </c>
      <c r="L10" s="54">
        <f>'Cash Flow Statement'!L18</f>
        <v/>
      </c>
    </row>
    <row r="11">
      <c r="A11" s="6" t="inlineStr">
        <is>
          <t>Deferred income taxes and other non-cash taxes</t>
        </is>
      </c>
      <c r="C11" s="54">
        <f>'Cash Flow Statement'!C20</f>
        <v/>
      </c>
      <c r="D11" s="54">
        <f>'Cash Flow Statement'!D20</f>
        <v/>
      </c>
      <c r="E11" s="54">
        <f>'Cash Flow Statement'!E20</f>
        <v/>
      </c>
      <c r="F11" s="54">
        <f>'Cash Flow Statement'!F20</f>
        <v/>
      </c>
      <c r="G11" s="54">
        <f>'Cash Flow Statement'!G20</f>
        <v/>
      </c>
      <c r="H11" s="54">
        <f>'Cash Flow Statement'!H20</f>
        <v/>
      </c>
      <c r="I11" s="54">
        <f>'Cash Flow Statement'!I20</f>
        <v/>
      </c>
      <c r="J11" s="54">
        <f>'Cash Flow Statement'!J20</f>
        <v/>
      </c>
      <c r="K11" s="54">
        <f>'Cash Flow Statement'!K20</f>
        <v/>
      </c>
      <c r="L11" s="54">
        <f>'Cash Flow Statement'!L20</f>
        <v/>
      </c>
    </row>
    <row r="12">
      <c r="A12" s="6" t="inlineStr">
        <is>
          <t>Other non-cash operating items</t>
        </is>
      </c>
      <c r="C12" s="43">
        <f>'Cash Flow Statement'!C19+'Cash Flow Statement'!C21+'Cash Flow Statement'!C22+'Cash Flow Statement'!C23+'Cash Flow Statement'!C24+'Cash Flow Statement'!C25</f>
        <v/>
      </c>
      <c r="D12" s="43">
        <f>'Cash Flow Statement'!D19+'Cash Flow Statement'!D21+'Cash Flow Statement'!D22+'Cash Flow Statement'!D23+'Cash Flow Statement'!D24+'Cash Flow Statement'!D25</f>
        <v/>
      </c>
      <c r="E12" s="43">
        <f>'Cash Flow Statement'!E19+'Cash Flow Statement'!E21+'Cash Flow Statement'!E22+'Cash Flow Statement'!E23+'Cash Flow Statement'!E24+'Cash Flow Statement'!E25</f>
        <v/>
      </c>
      <c r="F12" s="43">
        <f>'Cash Flow Statement'!F19+'Cash Flow Statement'!F21+'Cash Flow Statement'!F22+'Cash Flow Statement'!F23+'Cash Flow Statement'!F24+'Cash Flow Statement'!F25</f>
        <v/>
      </c>
      <c r="G12" s="43">
        <f>'Cash Flow Statement'!G19+'Cash Flow Statement'!G21+'Cash Flow Statement'!G22+'Cash Flow Statement'!G23+'Cash Flow Statement'!G24+'Cash Flow Statement'!G25</f>
        <v/>
      </c>
      <c r="H12" s="43">
        <f>'Cash Flow Statement'!H19+'Cash Flow Statement'!H21+'Cash Flow Statement'!H22+'Cash Flow Statement'!H23+'Cash Flow Statement'!H24+'Cash Flow Statement'!H25</f>
        <v/>
      </c>
      <c r="I12" s="43">
        <f>'Cash Flow Statement'!I19+'Cash Flow Statement'!I21+'Cash Flow Statement'!I22+'Cash Flow Statement'!I23+'Cash Flow Statement'!I24+'Cash Flow Statement'!I25</f>
        <v/>
      </c>
      <c r="J12" s="43">
        <f>'Cash Flow Statement'!J19+'Cash Flow Statement'!J21+'Cash Flow Statement'!J22+'Cash Flow Statement'!J23+'Cash Flow Statement'!J24+'Cash Flow Statement'!J25</f>
        <v/>
      </c>
      <c r="K12" s="43">
        <f>'Cash Flow Statement'!K19+'Cash Flow Statement'!K21+'Cash Flow Statement'!K22+'Cash Flow Statement'!K23+'Cash Flow Statement'!K24+'Cash Flow Statement'!K25</f>
        <v/>
      </c>
      <c r="L12" s="43">
        <f>'Cash Flow Statement'!L19+'Cash Flow Statement'!L21+'Cash Flow Statement'!L22+'Cash Flow Statement'!L23+'Cash Flow Statement'!L24+'Cash Flow Statement'!L25</f>
        <v/>
      </c>
    </row>
    <row r="13">
      <c r="A13" s="6" t="inlineStr">
        <is>
          <t>Working capital change (net)</t>
        </is>
      </c>
      <c r="C13" s="43">
        <f>'Cash Flow Statement'!C26+'Cash Flow Statement'!C27+'Cash Flow Statement'!C28+'Cash Flow Statement'!C29+'Cash Flow Statement'!C30+'Cash Flow Statement'!C31+'Cash Flow Statement'!C32</f>
        <v/>
      </c>
      <c r="D13" s="43">
        <f>'Cash Flow Statement'!D26+'Cash Flow Statement'!D27+'Cash Flow Statement'!D28+'Cash Flow Statement'!D29+'Cash Flow Statement'!D30+'Cash Flow Statement'!D31+'Cash Flow Statement'!D32</f>
        <v/>
      </c>
      <c r="E13" s="43">
        <f>'Cash Flow Statement'!E26+'Cash Flow Statement'!E27+'Cash Flow Statement'!E28+'Cash Flow Statement'!E29+'Cash Flow Statement'!E30+'Cash Flow Statement'!E31+'Cash Flow Statement'!E32</f>
        <v/>
      </c>
      <c r="F13" s="43">
        <f>'Cash Flow Statement'!F26+'Cash Flow Statement'!F27+'Cash Flow Statement'!F28+'Cash Flow Statement'!F29+'Cash Flow Statement'!F30+'Cash Flow Statement'!F31+'Cash Flow Statement'!F32</f>
        <v/>
      </c>
      <c r="G13" s="43">
        <f>'Cash Flow Statement'!G26+'Cash Flow Statement'!G27+'Cash Flow Statement'!G28+'Cash Flow Statement'!G29+'Cash Flow Statement'!G30+'Cash Flow Statement'!G31+'Cash Flow Statement'!G32</f>
        <v/>
      </c>
      <c r="H13" s="43">
        <f>'Cash Flow Statement'!H26+'Cash Flow Statement'!H27+'Cash Flow Statement'!H28+'Cash Flow Statement'!H29+'Cash Flow Statement'!H30+'Cash Flow Statement'!H31+'Cash Flow Statement'!H32</f>
        <v/>
      </c>
      <c r="I13" s="43">
        <f>'Cash Flow Statement'!I26+'Cash Flow Statement'!I27+'Cash Flow Statement'!I28+'Cash Flow Statement'!I29+'Cash Flow Statement'!I30+'Cash Flow Statement'!I31+'Cash Flow Statement'!I32</f>
        <v/>
      </c>
      <c r="J13" s="43">
        <f>'Cash Flow Statement'!J26+'Cash Flow Statement'!J27+'Cash Flow Statement'!J28+'Cash Flow Statement'!J29+'Cash Flow Statement'!J30+'Cash Flow Statement'!J31+'Cash Flow Statement'!J32</f>
        <v/>
      </c>
      <c r="K13" s="43">
        <f>'Cash Flow Statement'!K26+'Cash Flow Statement'!K27+'Cash Flow Statement'!K28+'Cash Flow Statement'!K29+'Cash Flow Statement'!K30+'Cash Flow Statement'!K31+'Cash Flow Statement'!K32</f>
        <v/>
      </c>
      <c r="L13" s="43">
        <f>'Cash Flow Statement'!L26+'Cash Flow Statement'!L27+'Cash Flow Statement'!L28+'Cash Flow Statement'!L29+'Cash Flow Statement'!L30+'Cash Flow Statement'!L31+'Cash Flow Statement'!L32</f>
        <v/>
      </c>
    </row>
    <row r="14">
      <c r="A14" s="14" t="inlineStr">
        <is>
          <t>Cash flow from operations (calc, = sum above)</t>
        </is>
      </c>
      <c r="C14" s="55">
        <f>SUM(C8:C13)</f>
        <v/>
      </c>
      <c r="D14" s="55">
        <f>SUM(D8:D13)</f>
        <v/>
      </c>
      <c r="E14" s="55">
        <f>SUM(E8:E13)</f>
        <v/>
      </c>
      <c r="F14" s="55">
        <f>SUM(F8:F13)</f>
        <v/>
      </c>
      <c r="G14" s="55">
        <f>SUM(G8:G13)</f>
        <v/>
      </c>
      <c r="H14" s="55">
        <f>SUM(H8:H13)</f>
        <v/>
      </c>
      <c r="I14" s="55">
        <f>SUM(I8:I13)</f>
        <v/>
      </c>
      <c r="J14" s="55">
        <f>SUM(J8:J13)</f>
        <v/>
      </c>
      <c r="K14" s="55">
        <f>SUM(K8:K13)</f>
        <v/>
      </c>
      <c r="L14" s="55">
        <f>SUM(L8:L13)</f>
        <v/>
      </c>
    </row>
    <row r="15">
      <c r="A15" s="6" t="inlineStr">
        <is>
          <t>Cash flow from operations (as reported, linked)</t>
        </is>
      </c>
      <c r="C15" s="54">
        <f>'Cash Flow Statement'!C33</f>
        <v/>
      </c>
      <c r="D15" s="54">
        <f>'Cash Flow Statement'!D33</f>
        <v/>
      </c>
      <c r="E15" s="54">
        <f>'Cash Flow Statement'!E33</f>
        <v/>
      </c>
      <c r="F15" s="54">
        <f>'Cash Flow Statement'!F33</f>
        <v/>
      </c>
      <c r="G15" s="54">
        <f>'Cash Flow Statement'!G33</f>
        <v/>
      </c>
      <c r="H15" s="54">
        <f>'Cash Flow Statement'!H33</f>
        <v/>
      </c>
      <c r="I15" s="54">
        <f>'Cash Flow Statement'!I33</f>
        <v/>
      </c>
      <c r="J15" s="54">
        <f>'Cash Flow Statement'!J33</f>
        <v/>
      </c>
      <c r="K15" s="54">
        <f>'Cash Flow Statement'!K33</f>
        <v/>
      </c>
      <c r="L15" s="54">
        <f>'Cash Flow Statement'!L33</f>
        <v/>
      </c>
    </row>
    <row r="17">
      <c r="A17" s="6" t="inlineStr">
        <is>
          <t>Capital expenditures (PP&amp;E)</t>
        </is>
      </c>
      <c r="C17" s="54">
        <f>'Cash Flow Statement'!C36</f>
        <v/>
      </c>
      <c r="D17" s="54">
        <f>'Cash Flow Statement'!D36</f>
        <v/>
      </c>
      <c r="E17" s="54">
        <f>'Cash Flow Statement'!E36</f>
        <v/>
      </c>
      <c r="F17" s="54">
        <f>'Cash Flow Statement'!F36</f>
        <v/>
      </c>
      <c r="G17" s="54">
        <f>'Cash Flow Statement'!G36</f>
        <v/>
      </c>
      <c r="H17" s="54">
        <f>'Cash Flow Statement'!H36</f>
        <v/>
      </c>
      <c r="I17" s="54">
        <f>'Cash Flow Statement'!I36</f>
        <v/>
      </c>
      <c r="J17" s="54">
        <f>'Cash Flow Statement'!J36</f>
        <v/>
      </c>
      <c r="K17" s="54">
        <f>'Cash Flow Statement'!K36</f>
        <v/>
      </c>
      <c r="L17" s="54">
        <f>'Cash Flow Statement'!L36</f>
        <v/>
      </c>
    </row>
    <row r="18">
      <c r="A18" s="14" t="inlineStr">
        <is>
          <t>Free cash flow (CFO as reported + capex)</t>
        </is>
      </c>
      <c r="C18" s="55">
        <f>C15+C17</f>
        <v/>
      </c>
      <c r="D18" s="55">
        <f>D15+D17</f>
        <v/>
      </c>
      <c r="E18" s="55">
        <f>E15+E17</f>
        <v/>
      </c>
      <c r="F18" s="55">
        <f>F15+F17</f>
        <v/>
      </c>
      <c r="G18" s="55">
        <f>G15+G17</f>
        <v/>
      </c>
      <c r="H18" s="55">
        <f>H15+H17</f>
        <v/>
      </c>
      <c r="I18" s="55">
        <f>I15+I17</f>
        <v/>
      </c>
      <c r="J18" s="55">
        <f>J15+J17</f>
        <v/>
      </c>
      <c r="K18" s="55">
        <f>K15+K17</f>
        <v/>
      </c>
      <c r="L18" s="55">
        <f>L15+L17</f>
        <v/>
      </c>
    </row>
    <row r="20">
      <c r="A20" s="6" t="inlineStr">
        <is>
          <t>Dividends paid</t>
        </is>
      </c>
      <c r="C20" s="54">
        <f>'Cash Flow Statement'!C52</f>
        <v/>
      </c>
      <c r="D20" s="54">
        <f>'Cash Flow Statement'!D52</f>
        <v/>
      </c>
      <c r="E20" s="54">
        <f>'Cash Flow Statement'!E52</f>
        <v/>
      </c>
      <c r="F20" s="54">
        <f>'Cash Flow Statement'!F52</f>
        <v/>
      </c>
      <c r="G20" s="54">
        <f>'Cash Flow Statement'!G52</f>
        <v/>
      </c>
      <c r="H20" s="54">
        <f>'Cash Flow Statement'!H52</f>
        <v/>
      </c>
      <c r="I20" s="54">
        <f>'Cash Flow Statement'!I52</f>
        <v/>
      </c>
      <c r="J20" s="54">
        <f>'Cash Flow Statement'!J52</f>
        <v/>
      </c>
      <c r="K20" s="54">
        <f>'Cash Flow Statement'!K52</f>
        <v/>
      </c>
      <c r="L20" s="54">
        <f>'Cash Flow Statement'!L52</f>
        <v/>
      </c>
    </row>
    <row r="21">
      <c r="A21" s="6" t="inlineStr">
        <is>
          <t>Repurchases of common stock (open-market buybacks)</t>
        </is>
      </c>
      <c r="C21" s="54">
        <f>'Cash Flow Statement'!C53</f>
        <v/>
      </c>
      <c r="D21" s="54">
        <f>'Cash Flow Statement'!D53</f>
        <v/>
      </c>
      <c r="E21" s="54">
        <f>'Cash Flow Statement'!E53</f>
        <v/>
      </c>
      <c r="F21" s="54">
        <f>'Cash Flow Statement'!F53</f>
        <v/>
      </c>
      <c r="G21" s="54">
        <f>'Cash Flow Statement'!G53</f>
        <v/>
      </c>
      <c r="H21" s="54">
        <f>'Cash Flow Statement'!H53</f>
        <v/>
      </c>
      <c r="I21" s="54">
        <f>'Cash Flow Statement'!I53</f>
        <v/>
      </c>
      <c r="J21" s="54">
        <f>'Cash Flow Statement'!J53</f>
        <v/>
      </c>
      <c r="K21" s="54">
        <f>'Cash Flow Statement'!K53</f>
        <v/>
      </c>
      <c r="L21" s="54">
        <f>'Cash Flow Statement'!L53</f>
        <v/>
      </c>
    </row>
    <row r="22">
      <c r="A22" s="6" t="inlineStr">
        <is>
          <t>Shares repurchased for tax withholding on vesting</t>
        </is>
      </c>
      <c r="C22" s="54">
        <f>'Cash Flow Statement'!C54</f>
        <v/>
      </c>
      <c r="D22" s="54">
        <f>'Cash Flow Statement'!D54</f>
        <v/>
      </c>
      <c r="E22" s="54">
        <f>'Cash Flow Statement'!E54</f>
        <v/>
      </c>
      <c r="F22" s="54">
        <f>'Cash Flow Statement'!F54</f>
        <v/>
      </c>
      <c r="G22" s="54">
        <f>'Cash Flow Statement'!G54</f>
        <v/>
      </c>
      <c r="H22" s="54">
        <f>'Cash Flow Statement'!H54</f>
        <v/>
      </c>
      <c r="I22" s="54">
        <f>'Cash Flow Statement'!I54</f>
        <v/>
      </c>
      <c r="J22" s="54">
        <f>'Cash Flow Statement'!J54</f>
        <v/>
      </c>
      <c r="K22" s="54">
        <f>'Cash Flow Statement'!K54</f>
        <v/>
      </c>
      <c r="L22" s="54">
        <f>'Cash Flow Statement'!L54</f>
        <v/>
      </c>
    </row>
    <row r="23">
      <c r="A23" s="6" t="inlineStr">
        <is>
          <t>Net debt issuance / (repayment)</t>
        </is>
      </c>
      <c r="C23" s="43">
        <f>'Cash Flow Statement'!C46+'Cash Flow Statement'!C47+'Cash Flow Statement'!C48+'Cash Flow Statement'!C49+'Cash Flow Statement'!C50+'Cash Flow Statement'!C57</f>
        <v/>
      </c>
      <c r="D23" s="43">
        <f>'Cash Flow Statement'!D46+'Cash Flow Statement'!D47+'Cash Flow Statement'!D48+'Cash Flow Statement'!D49+'Cash Flow Statement'!D50+'Cash Flow Statement'!D57</f>
        <v/>
      </c>
      <c r="E23" s="43">
        <f>'Cash Flow Statement'!E46+'Cash Flow Statement'!E47+'Cash Flow Statement'!E48+'Cash Flow Statement'!E49+'Cash Flow Statement'!E50+'Cash Flow Statement'!E57</f>
        <v/>
      </c>
      <c r="F23" s="43">
        <f>'Cash Flow Statement'!F46+'Cash Flow Statement'!F47+'Cash Flow Statement'!F48+'Cash Flow Statement'!F49+'Cash Flow Statement'!F50+'Cash Flow Statement'!F57</f>
        <v/>
      </c>
      <c r="G23" s="43">
        <f>'Cash Flow Statement'!G46+'Cash Flow Statement'!G47+'Cash Flow Statement'!G48+'Cash Flow Statement'!G49+'Cash Flow Statement'!G50+'Cash Flow Statement'!G57</f>
        <v/>
      </c>
      <c r="H23" s="43">
        <f>'Cash Flow Statement'!H46+'Cash Flow Statement'!H47+'Cash Flow Statement'!H48+'Cash Flow Statement'!H49+'Cash Flow Statement'!H50+'Cash Flow Statement'!H57</f>
        <v/>
      </c>
      <c r="I23" s="43">
        <f>'Cash Flow Statement'!I46+'Cash Flow Statement'!I47+'Cash Flow Statement'!I48+'Cash Flow Statement'!I49+'Cash Flow Statement'!I50+'Cash Flow Statement'!I57</f>
        <v/>
      </c>
      <c r="J23" s="43">
        <f>'Cash Flow Statement'!J46+'Cash Flow Statement'!J47+'Cash Flow Statement'!J48+'Cash Flow Statement'!J49+'Cash Flow Statement'!J50+'Cash Flow Statement'!J57</f>
        <v/>
      </c>
      <c r="K23" s="43">
        <f>'Cash Flow Statement'!K46+'Cash Flow Statement'!K47+'Cash Flow Statement'!K48+'Cash Flow Statement'!K49+'Cash Flow Statement'!K50+'Cash Flow Statement'!K57</f>
        <v/>
      </c>
      <c r="L23" s="43">
        <f>'Cash Flow Statement'!L46+'Cash Flow Statement'!L47+'Cash Flow Statement'!L48+'Cash Flow Statement'!L49+'Cash Flow Statement'!L50+'Cash Flow Statement'!L57</f>
        <v/>
      </c>
    </row>
    <row r="24">
      <c r="A24" s="6" t="inlineStr">
        <is>
          <t>Acquisitions of businesses, net of cash acquired</t>
        </is>
      </c>
      <c r="C24" s="54">
        <f>'Cash Flow Statement'!C38</f>
        <v/>
      </c>
      <c r="D24" s="54">
        <f>'Cash Flow Statement'!D38</f>
        <v/>
      </c>
      <c r="E24" s="54">
        <f>'Cash Flow Statement'!E38</f>
        <v/>
      </c>
      <c r="F24" s="54">
        <f>'Cash Flow Statement'!F38</f>
        <v/>
      </c>
      <c r="G24" s="54">
        <f>'Cash Flow Statement'!G38</f>
        <v/>
      </c>
      <c r="H24" s="54">
        <f>'Cash Flow Statement'!H38</f>
        <v/>
      </c>
      <c r="I24" s="54">
        <f>'Cash Flow Statement'!I38</f>
        <v/>
      </c>
      <c r="J24" s="54">
        <f>'Cash Flow Statement'!J38</f>
        <v/>
      </c>
      <c r="K24" s="54">
        <f>'Cash Flow Statement'!K38</f>
        <v/>
      </c>
      <c r="L24" s="54">
        <f>'Cash Flow Statement'!L38</f>
        <v/>
      </c>
    </row>
    <row r="25">
      <c r="A25" s="6" t="inlineStr">
        <is>
          <t>Proceeds from sales of businesses</t>
        </is>
      </c>
      <c r="C25" s="54">
        <f>'Cash Flow Statement'!C39</f>
        <v/>
      </c>
      <c r="D25" s="54">
        <f>'Cash Flow Statement'!D39</f>
        <v/>
      </c>
      <c r="E25" s="54">
        <f>'Cash Flow Statement'!E39</f>
        <v/>
      </c>
      <c r="F25" s="54">
        <f>'Cash Flow Statement'!F39</f>
        <v/>
      </c>
      <c r="G25" s="54">
        <f>'Cash Flow Statement'!G39</f>
        <v/>
      </c>
      <c r="H25" s="54">
        <f>'Cash Flow Statement'!H39</f>
        <v/>
      </c>
      <c r="I25" s="54">
        <f>'Cash Flow Statement'!I39</f>
        <v/>
      </c>
      <c r="J25" s="54">
        <f>'Cash Flow Statement'!J39</f>
        <v/>
      </c>
      <c r="K25" s="54">
        <f>'Cash Flow Statement'!K39</f>
        <v/>
      </c>
      <c r="L25" s="54">
        <f>'Cash Flow Statement'!L39</f>
        <v/>
      </c>
    </row>
    <row r="26">
      <c r="A26" s="6" t="inlineStr">
        <is>
          <t>Other investing items (net)</t>
        </is>
      </c>
      <c r="C26" s="43">
        <f>'Cash Flow Statement'!C37+'Cash Flow Statement'!C40+'Cash Flow Statement'!C41+'Cash Flow Statement'!C42</f>
        <v/>
      </c>
      <c r="D26" s="43">
        <f>'Cash Flow Statement'!D37+'Cash Flow Statement'!D40+'Cash Flow Statement'!D41+'Cash Flow Statement'!D42</f>
        <v/>
      </c>
      <c r="E26" s="43">
        <f>'Cash Flow Statement'!E37+'Cash Flow Statement'!E40+'Cash Flow Statement'!E41+'Cash Flow Statement'!E42</f>
        <v/>
      </c>
      <c r="F26" s="43">
        <f>'Cash Flow Statement'!F37+'Cash Flow Statement'!F40+'Cash Flow Statement'!F41+'Cash Flow Statement'!F42</f>
        <v/>
      </c>
      <c r="G26" s="43">
        <f>'Cash Flow Statement'!G37+'Cash Flow Statement'!G40+'Cash Flow Statement'!G41+'Cash Flow Statement'!G42</f>
        <v/>
      </c>
      <c r="H26" s="43">
        <f>'Cash Flow Statement'!H37+'Cash Flow Statement'!H40+'Cash Flow Statement'!H41+'Cash Flow Statement'!H42</f>
        <v/>
      </c>
      <c r="I26" s="43">
        <f>'Cash Flow Statement'!I37+'Cash Flow Statement'!I40+'Cash Flow Statement'!I41+'Cash Flow Statement'!I42</f>
        <v/>
      </c>
      <c r="J26" s="43">
        <f>'Cash Flow Statement'!J37+'Cash Flow Statement'!J40+'Cash Flow Statement'!J41+'Cash Flow Statement'!J42</f>
        <v/>
      </c>
      <c r="K26" s="43">
        <f>'Cash Flow Statement'!K37+'Cash Flow Statement'!K40+'Cash Flow Statement'!K41+'Cash Flow Statement'!K42</f>
        <v/>
      </c>
      <c r="L26" s="43">
        <f>'Cash Flow Statement'!L37+'Cash Flow Statement'!L40+'Cash Flow Statement'!L41+'Cash Flow Statement'!L42</f>
        <v/>
      </c>
    </row>
    <row r="27">
      <c r="A27" s="6" t="inlineStr">
        <is>
          <t>Other financing items (net)</t>
        </is>
      </c>
      <c r="C27" s="43">
        <f>'Cash Flow Statement'!C51+'Cash Flow Statement'!C55+'Cash Flow Statement'!C56+'Cash Flow Statement'!C58</f>
        <v/>
      </c>
      <c r="D27" s="43">
        <f>'Cash Flow Statement'!D51+'Cash Flow Statement'!D55+'Cash Flow Statement'!D56+'Cash Flow Statement'!D58</f>
        <v/>
      </c>
      <c r="E27" s="43">
        <f>'Cash Flow Statement'!E51+'Cash Flow Statement'!E55+'Cash Flow Statement'!E56+'Cash Flow Statement'!E58</f>
        <v/>
      </c>
      <c r="F27" s="43">
        <f>'Cash Flow Statement'!F51+'Cash Flow Statement'!F55+'Cash Flow Statement'!F56+'Cash Flow Statement'!F58</f>
        <v/>
      </c>
      <c r="G27" s="43">
        <f>'Cash Flow Statement'!G51+'Cash Flow Statement'!G55+'Cash Flow Statement'!G56+'Cash Flow Statement'!G58</f>
        <v/>
      </c>
      <c r="H27" s="43">
        <f>'Cash Flow Statement'!H51+'Cash Flow Statement'!H55+'Cash Flow Statement'!H56+'Cash Flow Statement'!H58</f>
        <v/>
      </c>
      <c r="I27" s="43">
        <f>'Cash Flow Statement'!I51+'Cash Flow Statement'!I55+'Cash Flow Statement'!I56+'Cash Flow Statement'!I58</f>
        <v/>
      </c>
      <c r="J27" s="43">
        <f>'Cash Flow Statement'!J51+'Cash Flow Statement'!J55+'Cash Flow Statement'!J56+'Cash Flow Statement'!J58</f>
        <v/>
      </c>
      <c r="K27" s="43">
        <f>'Cash Flow Statement'!K51+'Cash Flow Statement'!K55+'Cash Flow Statement'!K56+'Cash Flow Statement'!K58</f>
        <v/>
      </c>
      <c r="L27" s="43">
        <f>'Cash Flow Statement'!L51+'Cash Flow Statement'!L55+'Cash Flow Statement'!L56+'Cash Flow Statement'!L58</f>
        <v/>
      </c>
    </row>
    <row r="28">
      <c r="A28" s="14" t="inlineStr">
        <is>
          <t>Net change in cash (calc, = full bridge)</t>
        </is>
      </c>
      <c r="C28" s="55">
        <f>C8+C9+C10+C11+C12+C13+C17+C20+C21+C22+C23+C24+C25+C26+C27</f>
        <v/>
      </c>
      <c r="D28" s="55">
        <f>D8+D9+D10+D11+D12+D13+D17+D20+D21+D22+D23+D24+D25+D26+D27</f>
        <v/>
      </c>
      <c r="E28" s="55">
        <f>E8+E9+E10+E11+E12+E13+E17+E20+E21+E22+E23+E24+E25+E26+E27</f>
        <v/>
      </c>
      <c r="F28" s="55">
        <f>F8+F9+F10+F11+F12+F13+F17+F20+F21+F22+F23+F24+F25+F26+F27</f>
        <v/>
      </c>
      <c r="G28" s="55">
        <f>G8+G9+G10+G11+G12+G13+G17+G20+G21+G22+G23+G24+G25+G26+G27</f>
        <v/>
      </c>
      <c r="H28" s="55">
        <f>H8+H9+H10+H11+H12+H13+H17+H20+H21+H22+H23+H24+H25+H26+H27</f>
        <v/>
      </c>
      <c r="I28" s="55">
        <f>I8+I9+I10+I11+I12+I13+I17+I20+I21+I22+I23+I24+I25+I26+I27</f>
        <v/>
      </c>
      <c r="J28" s="55">
        <f>J8+J9+J10+J11+J12+J13+J17+J20+J21+J22+J23+J24+J25+J26+J27</f>
        <v/>
      </c>
      <c r="K28" s="55">
        <f>K8+K9+K10+K11+K12+K13+K17+K20+K21+K22+K23+K24+K25+K26+K27</f>
        <v/>
      </c>
      <c r="L28" s="55">
        <f>L8+L9+L10+L11+L12+L13+L17+L20+L21+L22+L23+L24+L25+L26+L27</f>
        <v/>
      </c>
    </row>
    <row r="29">
      <c r="A29" s="6" t="inlineStr">
        <is>
          <t>Net change in cash (as reported, linked)</t>
        </is>
      </c>
      <c r="C29" s="54">
        <f>'Cash Flow Statement'!C62</f>
        <v/>
      </c>
      <c r="D29" s="54">
        <f>'Cash Flow Statement'!D62</f>
        <v/>
      </c>
      <c r="E29" s="54">
        <f>'Cash Flow Statement'!E62</f>
        <v/>
      </c>
      <c r="F29" s="54">
        <f>'Cash Flow Statement'!F62</f>
        <v/>
      </c>
      <c r="G29" s="54">
        <f>'Cash Flow Statement'!G62</f>
        <v/>
      </c>
      <c r="H29" s="54">
        <f>'Cash Flow Statement'!H62</f>
        <v/>
      </c>
      <c r="I29" s="54">
        <f>'Cash Flow Statement'!I62</f>
        <v/>
      </c>
      <c r="J29" s="54">
        <f>'Cash Flow Statement'!J62</f>
        <v/>
      </c>
      <c r="K29" s="54">
        <f>'Cash Flow Statement'!K62</f>
        <v/>
      </c>
      <c r="L29" s="54">
        <f>'Cash Flow Statement'!L62</f>
        <v/>
      </c>
    </row>
    <row r="30">
      <c r="A30" s="17" t="inlineStr">
        <is>
          <t>Reconciliation check (should be ~0)</t>
        </is>
      </c>
      <c r="C30" s="44">
        <f>C28-C29</f>
        <v/>
      </c>
      <c r="D30" s="44">
        <f>D28-D29</f>
        <v/>
      </c>
      <c r="E30" s="44">
        <f>E28-E29</f>
        <v/>
      </c>
      <c r="F30" s="44">
        <f>F28-F29</f>
        <v/>
      </c>
      <c r="G30" s="44">
        <f>G28-G29</f>
        <v/>
      </c>
      <c r="H30" s="44">
        <f>H28-H29</f>
        <v/>
      </c>
      <c r="I30" s="44">
        <f>I28-I29</f>
        <v/>
      </c>
      <c r="J30" s="44">
        <f>J28-J29</f>
        <v/>
      </c>
      <c r="K30" s="44">
        <f>K28-K29</f>
        <v/>
      </c>
      <c r="L30" s="44">
        <f>L28-L29</f>
        <v/>
      </c>
    </row>
    <row r="32">
      <c r="A32" s="53" t="inlineStr">
        <is>
          <t>Bridge line items follow Broadcom's as-filed CF statement; capex sign is negative (outflow). "Other non-cash operating items" = impairment on investments, non-cash debt-extinguishment loss, non-cash restructuring, non-cash interest, excess tax benefit from SBC, and residual "Other".</t>
        </is>
      </c>
    </row>
    <row r="33">
      <c r="A33" s="53" t="inlineStr">
        <is>
          <t>FY2024 net debt issuance reflects the VMware-acquisition financing; FY2024+ dividend/buyback $ amounts are on a post-10-for-1-split share count (July 2024) vs FY2016-FY2023 pre-split.</t>
        </is>
      </c>
    </row>
    <row r="34">
      <c r="A34" s="17" t="inlineStr">
        <is>
          <t>FY2025 WATERFALL CHART DATA (base + delta helper, for chart only)</t>
        </is>
      </c>
    </row>
    <row r="35">
      <c r="A35" s="17" t="inlineStr">
        <is>
          <t>Component</t>
        </is>
      </c>
      <c r="B35" s="17" t="inlineStr">
        <is>
          <t>Base (invisible)</t>
        </is>
      </c>
      <c r="C35" s="17" t="inlineStr">
        <is>
          <t>Delta (visible)</t>
        </is>
      </c>
    </row>
    <row r="36">
      <c r="A36" s="17" t="inlineStr">
        <is>
          <t>Net income</t>
        </is>
      </c>
      <c r="B36" s="58" t="n">
        <v>0</v>
      </c>
      <c r="C36" s="58" t="n">
        <v>23126</v>
      </c>
    </row>
    <row r="37">
      <c r="A37" s="17" t="inlineStr">
        <is>
          <t>D&amp;A</t>
        </is>
      </c>
      <c r="B37" s="58" t="n">
        <v>23126</v>
      </c>
      <c r="C37" s="58" t="n">
        <v>8775</v>
      </c>
    </row>
    <row r="38">
      <c r="A38" s="17" t="inlineStr">
        <is>
          <t>SBC</t>
        </is>
      </c>
      <c r="B38" s="58" t="n">
        <v>31901</v>
      </c>
      <c r="C38" s="58" t="n">
        <v>7568</v>
      </c>
    </row>
    <row r="39">
      <c r="A39" s="17" t="inlineStr">
        <is>
          <t>Deferred tax</t>
        </is>
      </c>
      <c r="B39" s="58" t="n">
        <v>35461</v>
      </c>
      <c r="C39" s="58" t="n">
        <v>-4008</v>
      </c>
    </row>
    <row r="40">
      <c r="A40" s="17" t="inlineStr">
        <is>
          <t>Other non-cash</t>
        </is>
      </c>
      <c r="B40" s="58" t="n">
        <v>35461</v>
      </c>
      <c r="C40" s="58" t="n">
        <v>576</v>
      </c>
    </row>
    <row r="41">
      <c r="A41" s="17" t="inlineStr">
        <is>
          <t>Working capital chg</t>
        </is>
      </c>
      <c r="B41" s="58" t="n">
        <v>27537</v>
      </c>
      <c r="C41" s="58" t="n">
        <v>-8500</v>
      </c>
    </row>
    <row r="42">
      <c r="A42" s="17" t="inlineStr">
        <is>
          <t>Capex</t>
        </is>
      </c>
      <c r="B42" s="58" t="n">
        <v>26914</v>
      </c>
      <c r="C42" s="58" t="n">
        <v>-623</v>
      </c>
    </row>
    <row r="43">
      <c r="A43" s="17" t="inlineStr">
        <is>
          <t>Dividends</t>
        </is>
      </c>
      <c r="B43" s="58" t="n">
        <v>15772</v>
      </c>
      <c r="C43" s="58" t="n">
        <v>-11142</v>
      </c>
    </row>
    <row r="44">
      <c r="A44" s="17" t="inlineStr">
        <is>
          <t>Buybacks</t>
        </is>
      </c>
      <c r="B44" s="58" t="n">
        <v>13322</v>
      </c>
      <c r="C44" s="58" t="n">
        <v>-2450</v>
      </c>
    </row>
    <row r="45">
      <c r="A45" s="17" t="inlineStr">
        <is>
          <t>Tax w/h buyback</t>
        </is>
      </c>
      <c r="B45" s="58" t="n">
        <v>9462</v>
      </c>
      <c r="C45" s="58" t="n">
        <v>-3860</v>
      </c>
    </row>
    <row r="46">
      <c r="A46" s="17" t="inlineStr">
        <is>
          <t>Net debt issuance/(repay)</t>
        </is>
      </c>
      <c r="B46" s="58" t="n">
        <v>6650</v>
      </c>
      <c r="C46" s="58" t="n">
        <v>-2812</v>
      </c>
    </row>
    <row r="47">
      <c r="A47" s="17" t="inlineStr">
        <is>
          <t>Acquisitions</t>
        </is>
      </c>
      <c r="B47" s="58" t="n">
        <v>6650</v>
      </c>
      <c r="C47" s="58" t="n">
        <v>0</v>
      </c>
    </row>
    <row r="48">
      <c r="A48" s="17" t="inlineStr">
        <is>
          <t>Divestitures</t>
        </is>
      </c>
      <c r="B48" s="58" t="n">
        <v>6650</v>
      </c>
      <c r="C48" s="58" t="n">
        <v>300</v>
      </c>
    </row>
    <row r="49">
      <c r="A49" s="17" t="inlineStr">
        <is>
          <t>Other investing</t>
        </is>
      </c>
      <c r="B49" s="58" t="n">
        <v>6693</v>
      </c>
      <c r="C49" s="58" t="n">
        <v>-257</v>
      </c>
    </row>
    <row r="50">
      <c r="A50" s="17" t="inlineStr">
        <is>
          <t>Other financing</t>
        </is>
      </c>
      <c r="B50" s="58" t="n">
        <v>6693</v>
      </c>
      <c r="C50" s="58" t="n">
        <v>137</v>
      </c>
    </row>
    <row r="51">
      <c r="A51" s="17" t="inlineStr">
        <is>
          <t>Net change in cash (total)</t>
        </is>
      </c>
      <c r="B51" s="58" t="n">
        <v>0</v>
      </c>
      <c r="C51" s="58" t="n">
        <v>6830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FFBF8F00"/>
    <outlinePr summaryBelow="1" summaryRight="1"/>
    <pageSetUpPr/>
  </sheetPr>
  <dimension ref="A1:L4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50" t="inlineStr">
        <is>
          <t>Broadcom Inc. — Yearly Factor Table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6" customHeight="1">
      <c r="A2" s="3" t="inlineStr">
        <is>
          <t>$ in millions except per-share data  |  USD  |  FY2016-FY2025 annual  |  as of 2026-09-22</t>
        </is>
      </c>
    </row>
    <row r="3">
      <c r="C3" s="51" t="inlineStr">
        <is>
          <t>FY2016</t>
        </is>
      </c>
      <c r="D3" s="51" t="inlineStr">
        <is>
          <t>FY2017</t>
        </is>
      </c>
      <c r="E3" s="51" t="inlineStr">
        <is>
          <t>FY2018</t>
        </is>
      </c>
      <c r="F3" s="51" t="inlineStr">
        <is>
          <t>FY2019</t>
        </is>
      </c>
      <c r="G3" s="51" t="inlineStr">
        <is>
          <t>FY2020</t>
        </is>
      </c>
      <c r="H3" s="51" t="inlineStr">
        <is>
          <t>FY2021</t>
        </is>
      </c>
      <c r="I3" s="51" t="inlineStr">
        <is>
          <t>FY2022</t>
        </is>
      </c>
      <c r="J3" s="51" t="inlineStr">
        <is>
          <t>FY2023</t>
        </is>
      </c>
      <c r="K3" s="51" t="inlineStr">
        <is>
          <t>FY2024</t>
        </is>
      </c>
      <c r="L3" s="51" t="inlineStr">
        <is>
          <t>FY2025</t>
        </is>
      </c>
    </row>
    <row r="4">
      <c r="C4" s="52" t="inlineStr">
        <is>
          <t>2016-10-30</t>
        </is>
      </c>
      <c r="D4" s="52" t="inlineStr">
        <is>
          <t>2017-10-29</t>
        </is>
      </c>
      <c r="E4" s="52" t="inlineStr">
        <is>
          <t>2018-11-04</t>
        </is>
      </c>
      <c r="F4" s="52" t="inlineStr">
        <is>
          <t>2019-11-03</t>
        </is>
      </c>
      <c r="G4" s="52" t="inlineStr">
        <is>
          <t>2020-11-01</t>
        </is>
      </c>
      <c r="H4" s="52" t="inlineStr">
        <is>
          <t>2021-10-31</t>
        </is>
      </c>
      <c r="I4" s="52" t="inlineStr">
        <is>
          <t>2022-10-30</t>
        </is>
      </c>
      <c r="J4" s="52" t="inlineStr">
        <is>
          <t>2023-10-29</t>
        </is>
      </c>
      <c r="K4" s="52" t="inlineStr">
        <is>
          <t>2024-11-03</t>
        </is>
      </c>
      <c r="L4" s="52" t="inlineStr">
        <is>
          <t>2025-11-02</t>
        </is>
      </c>
    </row>
    <row r="6" ht="20" customHeight="1">
      <c r="A6" s="5" t="inlineStr">
        <is>
          <t>YEARLY FACTOR TABLE — ONE COLUMN PER FISCAL YEAR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</row>
    <row r="7">
      <c r="A7" s="53" t="inlineStr">
        <is>
          <t>Blue = hardcoded normalized-tax-rate assumption. Green = linked from IS/BS/CF. Black = calculated in this sheet. NOPAT/ROIC use a flat 15% normalized cash tax rate (reuses base workbook Derived Metrics!dm_roic convention) — NOT Broadcom's volatile/negative GAAP effective tax rate.</t>
        </is>
      </c>
    </row>
    <row r="8">
      <c r="A8" s="14" t="inlineStr">
        <is>
          <t>Revenue</t>
        </is>
      </c>
      <c r="C8" s="45">
        <f>'Income Statement'!C14</f>
        <v/>
      </c>
      <c r="D8" s="45">
        <f>'Income Statement'!D14</f>
        <v/>
      </c>
      <c r="E8" s="45">
        <f>'Income Statement'!E14</f>
        <v/>
      </c>
      <c r="F8" s="45">
        <f>'Income Statement'!F14</f>
        <v/>
      </c>
      <c r="G8" s="45">
        <f>'Income Statement'!G14</f>
        <v/>
      </c>
      <c r="H8" s="45">
        <f>'Income Statement'!H14</f>
        <v/>
      </c>
      <c r="I8" s="45">
        <f>'Income Statement'!I14</f>
        <v/>
      </c>
      <c r="J8" s="45">
        <f>'Income Statement'!J14</f>
        <v/>
      </c>
      <c r="K8" s="45">
        <f>'Income Statement'!K14</f>
        <v/>
      </c>
      <c r="L8" s="45">
        <f>'Income Statement'!L14</f>
        <v/>
      </c>
    </row>
    <row r="9">
      <c r="A9" s="6" t="inlineStr">
        <is>
          <t>Revenue growth (YoY)</t>
        </is>
      </c>
      <c r="C9" s="59" t="inlineStr">
        <is>
          <t>n/d</t>
        </is>
      </c>
      <c r="D9" s="47">
        <f>(D8/C8)-1</f>
        <v/>
      </c>
      <c r="E9" s="47">
        <f>(E8/D8)-1</f>
        <v/>
      </c>
      <c r="F9" s="47">
        <f>(F8/E8)-1</f>
        <v/>
      </c>
      <c r="G9" s="47">
        <f>(G8/F8)-1</f>
        <v/>
      </c>
      <c r="H9" s="47">
        <f>(H8/G8)-1</f>
        <v/>
      </c>
      <c r="I9" s="47">
        <f>(I8/H8)-1</f>
        <v/>
      </c>
      <c r="J9" s="47">
        <f>(J8/I8)-1</f>
        <v/>
      </c>
      <c r="K9" s="47">
        <f>(K8/J8)-1</f>
        <v/>
      </c>
      <c r="L9" s="47">
        <f>(L8/K8)-1</f>
        <v/>
      </c>
    </row>
    <row r="10">
      <c r="A10" s="6" t="inlineStr">
        <is>
          <t>Gross margin %</t>
        </is>
      </c>
      <c r="C10" s="47">
        <f>'Income Statement'!C27/C8</f>
        <v/>
      </c>
      <c r="D10" s="47">
        <f>'Income Statement'!D27/D8</f>
        <v/>
      </c>
      <c r="E10" s="47">
        <f>'Income Statement'!E27/E8</f>
        <v/>
      </c>
      <c r="F10" s="47">
        <f>'Income Statement'!F27/F8</f>
        <v/>
      </c>
      <c r="G10" s="47">
        <f>'Income Statement'!G27/G8</f>
        <v/>
      </c>
      <c r="H10" s="47">
        <f>'Income Statement'!H27/H8</f>
        <v/>
      </c>
      <c r="I10" s="47">
        <f>'Income Statement'!I27/I8</f>
        <v/>
      </c>
      <c r="J10" s="47">
        <f>'Income Statement'!J27/J8</f>
        <v/>
      </c>
      <c r="K10" s="47">
        <f>'Income Statement'!K27/K8</f>
        <v/>
      </c>
      <c r="L10" s="47">
        <f>'Income Statement'!L27/L8</f>
        <v/>
      </c>
    </row>
    <row r="11">
      <c r="A11" s="6" t="inlineStr">
        <is>
          <t>Operating margin %</t>
        </is>
      </c>
      <c r="C11" s="47">
        <f>'Income Statement'!C37/C8</f>
        <v/>
      </c>
      <c r="D11" s="47">
        <f>'Income Statement'!D37/D8</f>
        <v/>
      </c>
      <c r="E11" s="47">
        <f>'Income Statement'!E37/E8</f>
        <v/>
      </c>
      <c r="F11" s="47">
        <f>'Income Statement'!F37/F8</f>
        <v/>
      </c>
      <c r="G11" s="47">
        <f>'Income Statement'!G37/G8</f>
        <v/>
      </c>
      <c r="H11" s="47">
        <f>'Income Statement'!H37/H8</f>
        <v/>
      </c>
      <c r="I11" s="47">
        <f>'Income Statement'!I37/I8</f>
        <v/>
      </c>
      <c r="J11" s="47">
        <f>'Income Statement'!J37/J8</f>
        <v/>
      </c>
      <c r="K11" s="47">
        <f>'Income Statement'!K37/K8</f>
        <v/>
      </c>
      <c r="L11" s="47">
        <f>'Income Statement'!L37/L8</f>
        <v/>
      </c>
    </row>
    <row r="12">
      <c r="A12" s="6" t="inlineStr">
        <is>
          <t>EBITDA (Operating income + D&amp;A)</t>
        </is>
      </c>
      <c r="C12" s="43">
        <f>'Income Statement'!C37+'Cash Flow Statement'!C16+'Cash Flow Statement'!C17</f>
        <v/>
      </c>
      <c r="D12" s="43">
        <f>'Income Statement'!D37+'Cash Flow Statement'!D16+'Cash Flow Statement'!D17</f>
        <v/>
      </c>
      <c r="E12" s="43">
        <f>'Income Statement'!E37+'Cash Flow Statement'!E16+'Cash Flow Statement'!E17</f>
        <v/>
      </c>
      <c r="F12" s="43">
        <f>'Income Statement'!F37+'Cash Flow Statement'!F16+'Cash Flow Statement'!F17</f>
        <v/>
      </c>
      <c r="G12" s="43">
        <f>'Income Statement'!G37+'Cash Flow Statement'!G16+'Cash Flow Statement'!G17</f>
        <v/>
      </c>
      <c r="H12" s="43">
        <f>'Income Statement'!H37+'Cash Flow Statement'!H16+'Cash Flow Statement'!H17</f>
        <v/>
      </c>
      <c r="I12" s="43">
        <f>'Income Statement'!I37+'Cash Flow Statement'!I16+'Cash Flow Statement'!I17</f>
        <v/>
      </c>
      <c r="J12" s="43">
        <f>'Income Statement'!J37+'Cash Flow Statement'!J16+'Cash Flow Statement'!J17</f>
        <v/>
      </c>
      <c r="K12" s="43">
        <f>'Income Statement'!K37+'Cash Flow Statement'!K16+'Cash Flow Statement'!K17</f>
        <v/>
      </c>
      <c r="L12" s="43">
        <f>'Income Statement'!L37+'Cash Flow Statement'!L16+'Cash Flow Statement'!L17</f>
        <v/>
      </c>
    </row>
    <row r="13">
      <c r="A13" s="6" t="inlineStr">
        <is>
          <t>EBITDA margin %</t>
        </is>
      </c>
      <c r="C13" s="47">
        <f>C12/C8</f>
        <v/>
      </c>
      <c r="D13" s="47">
        <f>D12/D8</f>
        <v/>
      </c>
      <c r="E13" s="47">
        <f>E12/E8</f>
        <v/>
      </c>
      <c r="F13" s="47">
        <f>F12/F8</f>
        <v/>
      </c>
      <c r="G13" s="47">
        <f>G12/G8</f>
        <v/>
      </c>
      <c r="H13" s="47">
        <f>H12/H8</f>
        <v/>
      </c>
      <c r="I13" s="47">
        <f>I12/I8</f>
        <v/>
      </c>
      <c r="J13" s="47">
        <f>J12/J8</f>
        <v/>
      </c>
      <c r="K13" s="47">
        <f>K12/K8</f>
        <v/>
      </c>
      <c r="L13" s="47">
        <f>L12/L8</f>
        <v/>
      </c>
    </row>
    <row r="14">
      <c r="A14" s="6" t="inlineStr">
        <is>
          <t>Effective tax rate (GAAP, as-reported)</t>
        </is>
      </c>
      <c r="C14" s="47">
        <f>'Income Statement'!C47/'Income Statement'!C46</f>
        <v/>
      </c>
      <c r="D14" s="47">
        <f>'Income Statement'!D47/'Income Statement'!D46</f>
        <v/>
      </c>
      <c r="E14" s="47">
        <f>'Income Statement'!E47/'Income Statement'!E46</f>
        <v/>
      </c>
      <c r="F14" s="47">
        <f>'Income Statement'!F47/'Income Statement'!F46</f>
        <v/>
      </c>
      <c r="G14" s="47">
        <f>'Income Statement'!G47/'Income Statement'!G46</f>
        <v/>
      </c>
      <c r="H14" s="47">
        <f>'Income Statement'!H47/'Income Statement'!H46</f>
        <v/>
      </c>
      <c r="I14" s="47">
        <f>'Income Statement'!I47/'Income Statement'!I46</f>
        <v/>
      </c>
      <c r="J14" s="47">
        <f>'Income Statement'!J47/'Income Statement'!J46</f>
        <v/>
      </c>
      <c r="K14" s="47">
        <f>'Income Statement'!K47/'Income Statement'!K46</f>
        <v/>
      </c>
      <c r="L14" s="47">
        <f>'Income Statement'!L47/'Income Statement'!L46</f>
        <v/>
      </c>
    </row>
    <row r="15">
      <c r="A15" s="53" t="inlineStr">
        <is>
          <t xml:space="preserve">  Note: Broadcom's GAAP ETR is highly volatile (one-off items incl. FY2018 TCJA remeasurement) — not used for NOPAT below.</t>
        </is>
      </c>
    </row>
    <row r="16">
      <c r="A16" s="6" t="inlineStr">
        <is>
          <t>Net margin %</t>
        </is>
      </c>
      <c r="C16" s="47">
        <f>'Income Statement'!C50/C8</f>
        <v/>
      </c>
      <c r="D16" s="47">
        <f>'Income Statement'!D50/D8</f>
        <v/>
      </c>
      <c r="E16" s="47">
        <f>'Income Statement'!E50/E8</f>
        <v/>
      </c>
      <c r="F16" s="47">
        <f>'Income Statement'!F50/F8</f>
        <v/>
      </c>
      <c r="G16" s="47">
        <f>'Income Statement'!G50/G8</f>
        <v/>
      </c>
      <c r="H16" s="47">
        <f>'Income Statement'!H50/H8</f>
        <v/>
      </c>
      <c r="I16" s="47">
        <f>'Income Statement'!I50/I8</f>
        <v/>
      </c>
      <c r="J16" s="47">
        <f>'Income Statement'!J50/J8</f>
        <v/>
      </c>
      <c r="K16" s="47">
        <f>'Income Statement'!K50/K8</f>
        <v/>
      </c>
      <c r="L16" s="47">
        <f>'Income Statement'!L50/L8</f>
        <v/>
      </c>
    </row>
    <row r="17">
      <c r="A17" s="6" t="inlineStr">
        <is>
          <t>Normalized cash tax rate (assumption)</t>
        </is>
      </c>
      <c r="C17" s="60" t="n">
        <v>0.15</v>
      </c>
      <c r="D17" s="60" t="n">
        <v>0.15</v>
      </c>
      <c r="E17" s="60" t="n">
        <v>0.15</v>
      </c>
      <c r="F17" s="60" t="n">
        <v>0.15</v>
      </c>
      <c r="G17" s="60" t="n">
        <v>0.15</v>
      </c>
      <c r="H17" s="60" t="n">
        <v>0.15</v>
      </c>
      <c r="I17" s="60" t="n">
        <v>0.15</v>
      </c>
      <c r="J17" s="60" t="n">
        <v>0.15</v>
      </c>
      <c r="K17" s="60" t="n">
        <v>0.15</v>
      </c>
      <c r="L17" s="60" t="n">
        <v>0.15</v>
      </c>
    </row>
    <row r="18">
      <c r="A18" s="14" t="inlineStr">
        <is>
          <t>NOPAT = Operating income x (1 − normalized tax rate)</t>
        </is>
      </c>
      <c r="C18" s="41">
        <f>'Income Statement'!C37*(1-C17)</f>
        <v/>
      </c>
      <c r="D18" s="41">
        <f>'Income Statement'!D37*(1-D17)</f>
        <v/>
      </c>
      <c r="E18" s="41">
        <f>'Income Statement'!E37*(1-E17)</f>
        <v/>
      </c>
      <c r="F18" s="41">
        <f>'Income Statement'!F37*(1-F17)</f>
        <v/>
      </c>
      <c r="G18" s="41">
        <f>'Income Statement'!G37*(1-G17)</f>
        <v/>
      </c>
      <c r="H18" s="41">
        <f>'Income Statement'!H37*(1-H17)</f>
        <v/>
      </c>
      <c r="I18" s="41">
        <f>'Income Statement'!I37*(1-I17)</f>
        <v/>
      </c>
      <c r="J18" s="41">
        <f>'Income Statement'!J37*(1-J17)</f>
        <v/>
      </c>
      <c r="K18" s="41">
        <f>'Income Statement'!K37*(1-K17)</f>
        <v/>
      </c>
      <c r="L18" s="41">
        <f>'Income Statement'!L37*(1-L17)</f>
        <v/>
      </c>
    </row>
    <row r="19">
      <c r="A19" s="6" t="inlineStr">
        <is>
          <t>Invested capital (period-end: debt + equity − cash)</t>
        </is>
      </c>
      <c r="C19" s="43">
        <f>'Balance Sheet'!C31+'Balance Sheet'!C36+'Balance Sheet'!C48-'Balance Sheet'!C15</f>
        <v/>
      </c>
      <c r="D19" s="43">
        <f>'Balance Sheet'!D31+'Balance Sheet'!D36+'Balance Sheet'!D48-'Balance Sheet'!D15</f>
        <v/>
      </c>
      <c r="E19" s="43">
        <f>'Balance Sheet'!E31+'Balance Sheet'!E36+'Balance Sheet'!E48-'Balance Sheet'!E15</f>
        <v/>
      </c>
      <c r="F19" s="43">
        <f>'Balance Sheet'!F31+'Balance Sheet'!F36+'Balance Sheet'!F48-'Balance Sheet'!F15</f>
        <v/>
      </c>
      <c r="G19" s="43">
        <f>'Balance Sheet'!G31+'Balance Sheet'!G36+'Balance Sheet'!G48-'Balance Sheet'!G15</f>
        <v/>
      </c>
      <c r="H19" s="43">
        <f>'Balance Sheet'!H31+'Balance Sheet'!H36+'Balance Sheet'!H48-'Balance Sheet'!H15</f>
        <v/>
      </c>
      <c r="I19" s="43">
        <f>'Balance Sheet'!I31+'Balance Sheet'!I36+'Balance Sheet'!I48-'Balance Sheet'!I15</f>
        <v/>
      </c>
      <c r="J19" s="43">
        <f>'Balance Sheet'!J31+'Balance Sheet'!J36+'Balance Sheet'!J48-'Balance Sheet'!J15</f>
        <v/>
      </c>
      <c r="K19" s="43">
        <f>'Balance Sheet'!K31+'Balance Sheet'!K36+'Balance Sheet'!K48-'Balance Sheet'!K15</f>
        <v/>
      </c>
      <c r="L19" s="43">
        <f>'Balance Sheet'!L31+'Balance Sheet'!L36+'Balance Sheet'!L48-'Balance Sheet'!L15</f>
        <v/>
      </c>
    </row>
    <row r="20">
      <c r="A20" s="6" t="inlineStr">
        <is>
          <t>Invested capital, full-capital (debt + equity, no cash netting)</t>
        </is>
      </c>
      <c r="C20" s="43">
        <f>'Balance Sheet'!C31+'Balance Sheet'!C36+'Balance Sheet'!C48</f>
        <v/>
      </c>
      <c r="D20" s="43">
        <f>'Balance Sheet'!D31+'Balance Sheet'!D36+'Balance Sheet'!D48</f>
        <v/>
      </c>
      <c r="E20" s="43">
        <f>'Balance Sheet'!E31+'Balance Sheet'!E36+'Balance Sheet'!E48</f>
        <v/>
      </c>
      <c r="F20" s="43">
        <f>'Balance Sheet'!F31+'Balance Sheet'!F36+'Balance Sheet'!F48</f>
        <v/>
      </c>
      <c r="G20" s="43">
        <f>'Balance Sheet'!G31+'Balance Sheet'!G36+'Balance Sheet'!G48</f>
        <v/>
      </c>
      <c r="H20" s="43">
        <f>'Balance Sheet'!H31+'Balance Sheet'!H36+'Balance Sheet'!H48</f>
        <v/>
      </c>
      <c r="I20" s="43">
        <f>'Balance Sheet'!I31+'Balance Sheet'!I36+'Balance Sheet'!I48</f>
        <v/>
      </c>
      <c r="J20" s="43">
        <f>'Balance Sheet'!J31+'Balance Sheet'!J36+'Balance Sheet'!J48</f>
        <v/>
      </c>
      <c r="K20" s="43">
        <f>'Balance Sheet'!K31+'Balance Sheet'!K36+'Balance Sheet'!K48</f>
        <v/>
      </c>
      <c r="L20" s="43">
        <f>'Balance Sheet'!L31+'Balance Sheet'!L36+'Balance Sheet'!L48</f>
        <v/>
      </c>
    </row>
    <row r="21">
      <c r="A21" s="14" t="inlineStr">
        <is>
          <t>Operating ROIC = NOPAT / avg. invested capital</t>
        </is>
      </c>
      <c r="C21" s="59" t="inlineStr">
        <is>
          <t>n/d</t>
        </is>
      </c>
      <c r="D21" s="57">
        <f>D18/((D19+C19)/2)</f>
        <v/>
      </c>
      <c r="E21" s="57">
        <f>E18/((E19+D19)/2)</f>
        <v/>
      </c>
      <c r="F21" s="57">
        <f>F18/((F19+E19)/2)</f>
        <v/>
      </c>
      <c r="G21" s="57">
        <f>G18/((G19+F19)/2)</f>
        <v/>
      </c>
      <c r="H21" s="57">
        <f>H18/((H19+G19)/2)</f>
        <v/>
      </c>
      <c r="I21" s="57">
        <f>I18/((I19+H19)/2)</f>
        <v/>
      </c>
      <c r="J21" s="57">
        <f>J18/((J19+I19)/2)</f>
        <v/>
      </c>
      <c r="K21" s="57">
        <f>K18/((K19+J19)/2)</f>
        <v/>
      </c>
      <c r="L21" s="57">
        <f>L18/((L19+K19)/2)</f>
        <v/>
      </c>
    </row>
    <row r="22">
      <c r="A22" s="6" t="inlineStr">
        <is>
          <t>Full-capital ROIC = NOPAT / avg. full-capital invested capital</t>
        </is>
      </c>
      <c r="C22" s="59" t="inlineStr">
        <is>
          <t>n/d</t>
        </is>
      </c>
      <c r="D22" s="47">
        <f>D18/((D20+C20)/2)</f>
        <v/>
      </c>
      <c r="E22" s="47">
        <f>E18/((E20+D20)/2)</f>
        <v/>
      </c>
      <c r="F22" s="47">
        <f>F18/((F20+E20)/2)</f>
        <v/>
      </c>
      <c r="G22" s="47">
        <f>G18/((G20+F20)/2)</f>
        <v/>
      </c>
      <c r="H22" s="47">
        <f>H18/((H20+G20)/2)</f>
        <v/>
      </c>
      <c r="I22" s="47">
        <f>I18/((I20+H20)/2)</f>
        <v/>
      </c>
      <c r="J22" s="47">
        <f>J18/((J20+I20)/2)</f>
        <v/>
      </c>
      <c r="K22" s="47">
        <f>K18/((K20+J20)/2)</f>
        <v/>
      </c>
      <c r="L22" s="47">
        <f>L18/((L20+K20)/2)</f>
        <v/>
      </c>
    </row>
    <row r="23">
      <c r="A23" s="6" t="inlineStr">
        <is>
          <t>Asset turnover = revenue / avg. total assets</t>
        </is>
      </c>
      <c r="C23" s="59" t="inlineStr">
        <is>
          <t>n/d</t>
        </is>
      </c>
      <c r="D23" s="61">
        <f>D8/(('Balance Sheet'!D26+'Balance Sheet'!C26)/2)</f>
        <v/>
      </c>
      <c r="E23" s="61">
        <f>E8/(('Balance Sheet'!E26+'Balance Sheet'!D26)/2)</f>
        <v/>
      </c>
      <c r="F23" s="61">
        <f>F8/(('Balance Sheet'!F26+'Balance Sheet'!E26)/2)</f>
        <v/>
      </c>
      <c r="G23" s="61">
        <f>G8/(('Balance Sheet'!G26+'Balance Sheet'!F26)/2)</f>
        <v/>
      </c>
      <c r="H23" s="61">
        <f>H8/(('Balance Sheet'!H26+'Balance Sheet'!G26)/2)</f>
        <v/>
      </c>
      <c r="I23" s="61">
        <f>I8/(('Balance Sheet'!I26+'Balance Sheet'!H26)/2)</f>
        <v/>
      </c>
      <c r="J23" s="61">
        <f>J8/(('Balance Sheet'!J26+'Balance Sheet'!I26)/2)</f>
        <v/>
      </c>
      <c r="K23" s="61">
        <f>K8/(('Balance Sheet'!K26+'Balance Sheet'!J26)/2)</f>
        <v/>
      </c>
      <c r="L23" s="61">
        <f>L8/(('Balance Sheet'!L26+'Balance Sheet'!K26)/2)</f>
        <v/>
      </c>
    </row>
    <row r="24">
      <c r="A24" s="6" t="inlineStr">
        <is>
          <t>Net cash / (net debt)</t>
        </is>
      </c>
      <c r="C24" s="43">
        <f>'Balance Sheet'!C15-'Balance Sheet'!C31-'Balance Sheet'!C36</f>
        <v/>
      </c>
      <c r="D24" s="43">
        <f>'Balance Sheet'!D15-'Balance Sheet'!D31-'Balance Sheet'!D36</f>
        <v/>
      </c>
      <c r="E24" s="43">
        <f>'Balance Sheet'!E15-'Balance Sheet'!E31-'Balance Sheet'!E36</f>
        <v/>
      </c>
      <c r="F24" s="43">
        <f>'Balance Sheet'!F15-'Balance Sheet'!F31-'Balance Sheet'!F36</f>
        <v/>
      </c>
      <c r="G24" s="43">
        <f>'Balance Sheet'!G15-'Balance Sheet'!G31-'Balance Sheet'!G36</f>
        <v/>
      </c>
      <c r="H24" s="43">
        <f>'Balance Sheet'!H15-'Balance Sheet'!H31-'Balance Sheet'!H36</f>
        <v/>
      </c>
      <c r="I24" s="43">
        <f>'Balance Sheet'!I15-'Balance Sheet'!I31-'Balance Sheet'!I36</f>
        <v/>
      </c>
      <c r="J24" s="43">
        <f>'Balance Sheet'!J15-'Balance Sheet'!J31-'Balance Sheet'!J36</f>
        <v/>
      </c>
      <c r="K24" s="43">
        <f>'Balance Sheet'!K15-'Balance Sheet'!K31-'Balance Sheet'!K36</f>
        <v/>
      </c>
      <c r="L24" s="43">
        <f>'Balance Sheet'!L15-'Balance Sheet'!L31-'Balance Sheet'!L36</f>
        <v/>
      </c>
    </row>
    <row r="25">
      <c r="A25" s="6" t="inlineStr">
        <is>
          <t>Cash flow from operations (linked)</t>
        </is>
      </c>
      <c r="C25" s="54">
        <f>'Cash Flow Statement'!C33</f>
        <v/>
      </c>
      <c r="D25" s="54">
        <f>'Cash Flow Statement'!D33</f>
        <v/>
      </c>
      <c r="E25" s="54">
        <f>'Cash Flow Statement'!E33</f>
        <v/>
      </c>
      <c r="F25" s="54">
        <f>'Cash Flow Statement'!F33</f>
        <v/>
      </c>
      <c r="G25" s="54">
        <f>'Cash Flow Statement'!G33</f>
        <v/>
      </c>
      <c r="H25" s="54">
        <f>'Cash Flow Statement'!H33</f>
        <v/>
      </c>
      <c r="I25" s="54">
        <f>'Cash Flow Statement'!I33</f>
        <v/>
      </c>
      <c r="J25" s="54">
        <f>'Cash Flow Statement'!J33</f>
        <v/>
      </c>
      <c r="K25" s="54">
        <f>'Cash Flow Statement'!K33</f>
        <v/>
      </c>
      <c r="L25" s="54">
        <f>'Cash Flow Statement'!L33</f>
        <v/>
      </c>
    </row>
    <row r="26">
      <c r="A26" s="6" t="inlineStr">
        <is>
          <t>Capital expenditures (linked)</t>
        </is>
      </c>
      <c r="C26" s="54">
        <f>'Cash Flow Statement'!C36</f>
        <v/>
      </c>
      <c r="D26" s="54">
        <f>'Cash Flow Statement'!D36</f>
        <v/>
      </c>
      <c r="E26" s="54">
        <f>'Cash Flow Statement'!E36</f>
        <v/>
      </c>
      <c r="F26" s="54">
        <f>'Cash Flow Statement'!F36</f>
        <v/>
      </c>
      <c r="G26" s="54">
        <f>'Cash Flow Statement'!G36</f>
        <v/>
      </c>
      <c r="H26" s="54">
        <f>'Cash Flow Statement'!H36</f>
        <v/>
      </c>
      <c r="I26" s="54">
        <f>'Cash Flow Statement'!I36</f>
        <v/>
      </c>
      <c r="J26" s="54">
        <f>'Cash Flow Statement'!J36</f>
        <v/>
      </c>
      <c r="K26" s="54">
        <f>'Cash Flow Statement'!K36</f>
        <v/>
      </c>
      <c r="L26" s="54">
        <f>'Cash Flow Statement'!L36</f>
        <v/>
      </c>
    </row>
    <row r="27">
      <c r="A27" s="14" t="inlineStr">
        <is>
          <t>Free cash flow = CFO + capex</t>
        </is>
      </c>
      <c r="C27" s="41">
        <f>C25+C26</f>
        <v/>
      </c>
      <c r="D27" s="41">
        <f>D25+D26</f>
        <v/>
      </c>
      <c r="E27" s="41">
        <f>E25+E26</f>
        <v/>
      </c>
      <c r="F27" s="41">
        <f>F25+F26</f>
        <v/>
      </c>
      <c r="G27" s="41">
        <f>G25+G26</f>
        <v/>
      </c>
      <c r="H27" s="41">
        <f>H25+H26</f>
        <v/>
      </c>
      <c r="I27" s="41">
        <f>I25+I26</f>
        <v/>
      </c>
      <c r="J27" s="41">
        <f>J25+J26</f>
        <v/>
      </c>
      <c r="K27" s="41">
        <f>K25+K26</f>
        <v/>
      </c>
      <c r="L27" s="41">
        <f>L25+L26</f>
        <v/>
      </c>
    </row>
    <row r="28">
      <c r="A28" s="6" t="inlineStr">
        <is>
          <t>FCF margin %</t>
        </is>
      </c>
      <c r="C28" s="47">
        <f>C27/C8</f>
        <v/>
      </c>
      <c r="D28" s="47">
        <f>D27/D8</f>
        <v/>
      </c>
      <c r="E28" s="47">
        <f>E27/E8</f>
        <v/>
      </c>
      <c r="F28" s="47">
        <f>F27/F8</f>
        <v/>
      </c>
      <c r="G28" s="47">
        <f>G27/G8</f>
        <v/>
      </c>
      <c r="H28" s="47">
        <f>H27/H8</f>
        <v/>
      </c>
      <c r="I28" s="47">
        <f>I27/I8</f>
        <v/>
      </c>
      <c r="J28" s="47">
        <f>J27/J8</f>
        <v/>
      </c>
      <c r="K28" s="47">
        <f>K27/K8</f>
        <v/>
      </c>
      <c r="L28" s="47">
        <f>L27/L8</f>
        <v/>
      </c>
    </row>
    <row r="29">
      <c r="A29" s="6" t="inlineStr">
        <is>
          <t>Net income (linked, for conversion ratios)</t>
        </is>
      </c>
      <c r="C29" s="54">
        <f>'Income Statement'!C50</f>
        <v/>
      </c>
      <c r="D29" s="54">
        <f>'Income Statement'!D50</f>
        <v/>
      </c>
      <c r="E29" s="54">
        <f>'Income Statement'!E50</f>
        <v/>
      </c>
      <c r="F29" s="54">
        <f>'Income Statement'!F50</f>
        <v/>
      </c>
      <c r="G29" s="54">
        <f>'Income Statement'!G50</f>
        <v/>
      </c>
      <c r="H29" s="54">
        <f>'Income Statement'!H50</f>
        <v/>
      </c>
      <c r="I29" s="54">
        <f>'Income Statement'!I50</f>
        <v/>
      </c>
      <c r="J29" s="54">
        <f>'Income Statement'!J50</f>
        <v/>
      </c>
      <c r="K29" s="54">
        <f>'Income Statement'!K50</f>
        <v/>
      </c>
      <c r="L29" s="54">
        <f>'Income Statement'!L50</f>
        <v/>
      </c>
    </row>
    <row r="30">
      <c r="A30" s="6" t="inlineStr">
        <is>
          <t>OCF conversion = CFO / net income</t>
        </is>
      </c>
      <c r="C30" s="59" t="inlineStr">
        <is>
          <t>n/m</t>
        </is>
      </c>
      <c r="D30" s="61">
        <f>D25/D29</f>
        <v/>
      </c>
      <c r="E30" s="61">
        <f>E25/E29</f>
        <v/>
      </c>
      <c r="F30" s="61">
        <f>F25/F29</f>
        <v/>
      </c>
      <c r="G30" s="61">
        <f>G25/G29</f>
        <v/>
      </c>
      <c r="H30" s="61">
        <f>H25/H29</f>
        <v/>
      </c>
      <c r="I30" s="61">
        <f>I25/I29</f>
        <v/>
      </c>
      <c r="J30" s="61">
        <f>J25/J29</f>
        <v/>
      </c>
      <c r="K30" s="61">
        <f>K25/K29</f>
        <v/>
      </c>
      <c r="L30" s="61">
        <f>L25/L29</f>
        <v/>
      </c>
    </row>
    <row r="31">
      <c r="A31" s="6" t="inlineStr">
        <is>
          <t>FCF conversion = FCF / net income</t>
        </is>
      </c>
      <c r="C31" s="59" t="inlineStr">
        <is>
          <t>n/m</t>
        </is>
      </c>
      <c r="D31" s="61">
        <f>D27/D29</f>
        <v/>
      </c>
      <c r="E31" s="61">
        <f>E27/E29</f>
        <v/>
      </c>
      <c r="F31" s="61">
        <f>F27/F29</f>
        <v/>
      </c>
      <c r="G31" s="61">
        <f>G27/G29</f>
        <v/>
      </c>
      <c r="H31" s="61">
        <f>H27/H29</f>
        <v/>
      </c>
      <c r="I31" s="61">
        <f>I27/I29</f>
        <v/>
      </c>
      <c r="J31" s="61">
        <f>J27/J29</f>
        <v/>
      </c>
      <c r="K31" s="61">
        <f>K27/K29</f>
        <v/>
      </c>
      <c r="L31" s="61">
        <f>L27/L29</f>
        <v/>
      </c>
    </row>
    <row r="32">
      <c r="A32" s="6" t="inlineStr">
        <is>
          <t>Diluted weighted-average shares outstanding (linked)</t>
        </is>
      </c>
      <c r="C32" s="54">
        <f>'Income Statement'!C62</f>
        <v/>
      </c>
      <c r="D32" s="54">
        <f>'Income Statement'!D62</f>
        <v/>
      </c>
      <c r="E32" s="54">
        <f>'Income Statement'!E62</f>
        <v/>
      </c>
      <c r="F32" s="54">
        <f>'Income Statement'!F62</f>
        <v/>
      </c>
      <c r="G32" s="54">
        <f>'Income Statement'!G62</f>
        <v/>
      </c>
      <c r="H32" s="54">
        <f>'Income Statement'!H62</f>
        <v/>
      </c>
      <c r="I32" s="54">
        <f>'Income Statement'!I62</f>
        <v/>
      </c>
      <c r="J32" s="54">
        <f>'Income Statement'!J62</f>
        <v/>
      </c>
      <c r="K32" s="54">
        <f>'Income Statement'!K62</f>
        <v/>
      </c>
      <c r="L32" s="54">
        <f>'Income Statement'!L62</f>
        <v/>
      </c>
    </row>
    <row r="33">
      <c r="A33" s="6" t="inlineStr">
        <is>
          <t>Dividends paid, gross $ (linked, sign-flipped to positive)</t>
        </is>
      </c>
      <c r="C33" s="43">
        <f>-'Cash Flow Statement'!C52</f>
        <v/>
      </c>
      <c r="D33" s="43">
        <f>-'Cash Flow Statement'!D52</f>
        <v/>
      </c>
      <c r="E33" s="43">
        <f>-'Cash Flow Statement'!E52</f>
        <v/>
      </c>
      <c r="F33" s="43">
        <f>-'Cash Flow Statement'!F52</f>
        <v/>
      </c>
      <c r="G33" s="43">
        <f>-'Cash Flow Statement'!G52</f>
        <v/>
      </c>
      <c r="H33" s="43">
        <f>-'Cash Flow Statement'!H52</f>
        <v/>
      </c>
      <c r="I33" s="43">
        <f>-'Cash Flow Statement'!I52</f>
        <v/>
      </c>
      <c r="J33" s="43">
        <f>-'Cash Flow Statement'!J52</f>
        <v/>
      </c>
      <c r="K33" s="43">
        <f>-'Cash Flow Statement'!K52</f>
        <v/>
      </c>
      <c r="L33" s="43">
        <f>-'Cash Flow Statement'!L52</f>
        <v/>
      </c>
    </row>
    <row r="34">
      <c r="A34" s="6" t="inlineStr">
        <is>
          <t>Dividend per share (implied = dividends paid / diluted shares) — analyst-calculated</t>
        </is>
      </c>
      <c r="C34" s="62">
        <f>C33/C32</f>
        <v/>
      </c>
      <c r="D34" s="62">
        <f>D33/D32</f>
        <v/>
      </c>
      <c r="E34" s="62">
        <f>E33/E32</f>
        <v/>
      </c>
      <c r="F34" s="62">
        <f>F33/F32</f>
        <v/>
      </c>
      <c r="G34" s="62">
        <f>G33/G32</f>
        <v/>
      </c>
      <c r="H34" s="62">
        <f>H33/H32</f>
        <v/>
      </c>
      <c r="I34" s="62">
        <f>I33/I32</f>
        <v/>
      </c>
      <c r="J34" s="62">
        <f>J33/J32</f>
        <v/>
      </c>
      <c r="K34" s="62">
        <f>K33/K32</f>
        <v/>
      </c>
      <c r="L34" s="62">
        <f>L33/L32</f>
        <v/>
      </c>
    </row>
    <row r="35">
      <c r="A35" s="6" t="inlineStr">
        <is>
          <t>Buybacks, gross $ (open-market repurchases, linked, sign-flipped)</t>
        </is>
      </c>
      <c r="C35" s="43">
        <f>-'Cash Flow Statement'!C53</f>
        <v/>
      </c>
      <c r="D35" s="43">
        <f>-'Cash Flow Statement'!D53</f>
        <v/>
      </c>
      <c r="E35" s="43">
        <f>-'Cash Flow Statement'!E53</f>
        <v/>
      </c>
      <c r="F35" s="43">
        <f>-'Cash Flow Statement'!F53</f>
        <v/>
      </c>
      <c r="G35" s="43">
        <f>-'Cash Flow Statement'!G53</f>
        <v/>
      </c>
      <c r="H35" s="43">
        <f>-'Cash Flow Statement'!H53</f>
        <v/>
      </c>
      <c r="I35" s="43">
        <f>-'Cash Flow Statement'!I53</f>
        <v/>
      </c>
      <c r="J35" s="43">
        <f>-'Cash Flow Statement'!J53</f>
        <v/>
      </c>
      <c r="K35" s="43">
        <f>-'Cash Flow Statement'!K53</f>
        <v/>
      </c>
      <c r="L35" s="43">
        <f>-'Cash Flow Statement'!L53</f>
        <v/>
      </c>
    </row>
    <row r="36">
      <c r="A36" s="6" t="inlineStr">
        <is>
          <t>Payout ratio = (dividends + buybacks) / net income</t>
        </is>
      </c>
      <c r="C36" s="59" t="inlineStr">
        <is>
          <t>n/m</t>
        </is>
      </c>
      <c r="D36" s="47">
        <f>(D33+D35)/D29</f>
        <v/>
      </c>
      <c r="E36" s="47">
        <f>(E33+E35)/E29</f>
        <v/>
      </c>
      <c r="F36" s="47">
        <f>(F33+F35)/F29</f>
        <v/>
      </c>
      <c r="G36" s="47">
        <f>(G33+G35)/G29</f>
        <v/>
      </c>
      <c r="H36" s="47">
        <f>(H33+H35)/H29</f>
        <v/>
      </c>
      <c r="I36" s="47">
        <f>(I33+I35)/I29</f>
        <v/>
      </c>
      <c r="J36" s="47">
        <f>(J33+J35)/J29</f>
        <v/>
      </c>
      <c r="K36" s="47">
        <f>(K33+K35)/K29</f>
        <v/>
      </c>
      <c r="L36" s="47">
        <f>(L33+L35)/L29</f>
        <v/>
      </c>
    </row>
    <row r="37">
      <c r="A37" s="14" t="inlineStr">
        <is>
          <t>Cash earnings = CFO − working-capital change</t>
        </is>
      </c>
      <c r="C37" s="41">
        <f>C25-('Cash Flow Statement'!C26+'Cash Flow Statement'!C27+'Cash Flow Statement'!C28+'Cash Flow Statement'!C29+'Cash Flow Statement'!C30+'Cash Flow Statement'!C31+'Cash Flow Statement'!C32)</f>
        <v/>
      </c>
      <c r="D37" s="41">
        <f>D25-('Cash Flow Statement'!D26+'Cash Flow Statement'!D27+'Cash Flow Statement'!D28+'Cash Flow Statement'!D29+'Cash Flow Statement'!D30+'Cash Flow Statement'!D31+'Cash Flow Statement'!D32)</f>
        <v/>
      </c>
      <c r="E37" s="41">
        <f>E25-('Cash Flow Statement'!E26+'Cash Flow Statement'!E27+'Cash Flow Statement'!E28+'Cash Flow Statement'!E29+'Cash Flow Statement'!E30+'Cash Flow Statement'!E31+'Cash Flow Statement'!E32)</f>
        <v/>
      </c>
      <c r="F37" s="41">
        <f>F25-('Cash Flow Statement'!F26+'Cash Flow Statement'!F27+'Cash Flow Statement'!F28+'Cash Flow Statement'!F29+'Cash Flow Statement'!F30+'Cash Flow Statement'!F31+'Cash Flow Statement'!F32)</f>
        <v/>
      </c>
      <c r="G37" s="41">
        <f>G25-('Cash Flow Statement'!G26+'Cash Flow Statement'!G27+'Cash Flow Statement'!G28+'Cash Flow Statement'!G29+'Cash Flow Statement'!G30+'Cash Flow Statement'!G31+'Cash Flow Statement'!G32)</f>
        <v/>
      </c>
      <c r="H37" s="41">
        <f>H25-('Cash Flow Statement'!H26+'Cash Flow Statement'!H27+'Cash Flow Statement'!H28+'Cash Flow Statement'!H29+'Cash Flow Statement'!H30+'Cash Flow Statement'!H31+'Cash Flow Statement'!H32)</f>
        <v/>
      </c>
      <c r="I37" s="41">
        <f>I25-('Cash Flow Statement'!I26+'Cash Flow Statement'!I27+'Cash Flow Statement'!I28+'Cash Flow Statement'!I29+'Cash Flow Statement'!I30+'Cash Flow Statement'!I31+'Cash Flow Statement'!I32)</f>
        <v/>
      </c>
      <c r="J37" s="41">
        <f>J25-('Cash Flow Statement'!J26+'Cash Flow Statement'!J27+'Cash Flow Statement'!J28+'Cash Flow Statement'!J29+'Cash Flow Statement'!J30+'Cash Flow Statement'!J31+'Cash Flow Statement'!J32)</f>
        <v/>
      </c>
      <c r="K37" s="41">
        <f>K25-('Cash Flow Statement'!K26+'Cash Flow Statement'!K27+'Cash Flow Statement'!K28+'Cash Flow Statement'!K29+'Cash Flow Statement'!K30+'Cash Flow Statement'!K31+'Cash Flow Statement'!K32)</f>
        <v/>
      </c>
      <c r="L37" s="41">
        <f>L25-('Cash Flow Statement'!L26+'Cash Flow Statement'!L27+'Cash Flow Statement'!L28+'Cash Flow Statement'!L29+'Cash Flow Statement'!L30+'Cash Flow Statement'!L31+'Cash Flow Statement'!L32)</f>
        <v/>
      </c>
    </row>
    <row r="38">
      <c r="A38" s="6" t="inlineStr">
        <is>
          <t>Cash earnings per share (diluted) — analyst-calculated</t>
        </is>
      </c>
      <c r="C38" s="62">
        <f>C37/C32</f>
        <v/>
      </c>
      <c r="D38" s="62">
        <f>D37/D32</f>
        <v/>
      </c>
      <c r="E38" s="62">
        <f>E37/E32</f>
        <v/>
      </c>
      <c r="F38" s="62">
        <f>F37/F32</f>
        <v/>
      </c>
      <c r="G38" s="62">
        <f>G37/G32</f>
        <v/>
      </c>
      <c r="H38" s="62">
        <f>H37/H32</f>
        <v/>
      </c>
      <c r="I38" s="62">
        <f>I37/I32</f>
        <v/>
      </c>
      <c r="J38" s="62">
        <f>J37/J32</f>
        <v/>
      </c>
      <c r="K38" s="62">
        <f>K37/K32</f>
        <v/>
      </c>
      <c r="L38" s="62">
        <f>L37/L32</f>
        <v/>
      </c>
    </row>
    <row r="40">
      <c r="A40" s="53" t="inlineStr">
        <is>
          <t>Payout ratio and OCF/FCF conversion marked "n/m" (not meaningful) when net income &lt;= 0 (FY2016), per metric-catalog guidance.</t>
        </is>
      </c>
    </row>
    <row r="41">
      <c r="A41" s="53" t="inlineStr">
        <is>
          <t>DPS, cash EPS and diluted share count are NOT comparable pre- vs post- the 10-for-1 forward stock split (effective July 2024): FY2016-FY2023 figures are pre-split (~10x fewer, larger-denomination shares).</t>
        </is>
      </c>
    </row>
    <row r="42">
      <c r="A42" s="53" t="inlineStr">
        <is>
          <t>No Broadcom-defined (issuer) APM figures (e.g. adjusted EBITDA, non-GAAP EPS) are blended into this table — all figures above are either as-reported statutory line items (linked, green) or analyst-calculated (black).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BF8F00"/>
    <outlinePr summaryBelow="1" summaryRight="1"/>
    <pageSetUpPr/>
  </sheetPr>
  <dimension ref="A1:E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0" customWidth="1" min="2" max="2"/>
    <col width="16" customWidth="1" min="3" max="3"/>
    <col width="16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50" t="inlineStr">
        <is>
          <t>Broadcom Inc. — Interval Factor Table</t>
        </is>
      </c>
      <c r="B1" s="2" t="n"/>
      <c r="C1" s="2" t="n"/>
      <c r="D1" s="2" t="n"/>
      <c r="E1" s="2" t="n"/>
    </row>
    <row r="2">
      <c r="A2" s="3" t="inlineStr">
        <is>
          <t>$ in millions  |  USD  |  cumulative/trailing windows, explicit per column  |  as of 2026-09-22</t>
        </is>
      </c>
    </row>
    <row r="3" ht="36" customHeight="1">
      <c r="C3" s="63" t="inlineStr">
        <is>
          <t>Trailing 3-year
(FY2023-FY2025, n=3)</t>
        </is>
      </c>
      <c r="D3" s="63" t="inlineStr">
        <is>
          <t>Trailing 5-year
(FY2021-FY2025, n=5)</t>
        </is>
      </c>
      <c r="E3" s="63" t="inlineStr">
        <is>
          <t>Full window (FY2016-FY2025)
(FY2016-FY2025, n=10)</t>
        </is>
      </c>
    </row>
    <row r="6" ht="20" customHeight="1">
      <c r="A6" s="5" t="inlineStr">
        <is>
          <t>CUMULATIVE CONVERSION &amp; DISTRIBUTION METRICS</t>
        </is>
      </c>
      <c r="B6" s="2" t="n"/>
      <c r="C6" s="2" t="n"/>
      <c r="D6" s="2" t="n"/>
      <c r="E6" s="2" t="n"/>
    </row>
    <row r="7">
      <c r="A7" s="53" t="inlineStr">
        <is>
          <t>Each window sums CFO, capex, net income, dividends and buybacks over the labeled fiscal years (as-reported annual figures, linked), then computes the ratio on cumulative $ — not an average of yearly ratios.</t>
        </is>
      </c>
    </row>
    <row r="8">
      <c r="A8" s="6" t="inlineStr">
        <is>
          <t>Cumulative CFO ($)</t>
        </is>
      </c>
      <c r="C8" s="43" t="n">
        <v>65584</v>
      </c>
      <c r="D8" s="43" t="n">
        <v>96084</v>
      </c>
      <c r="E8" s="43" t="n">
        <v>136684</v>
      </c>
    </row>
    <row r="9">
      <c r="A9" s="6" t="inlineStr">
        <is>
          <t>Cumulative capex ($)</t>
        </is>
      </c>
      <c r="C9" s="43" t="n">
        <v>-1623</v>
      </c>
      <c r="D9" s="43" t="n">
        <v>-2490</v>
      </c>
      <c r="E9" s="43" t="n">
        <v>-5812</v>
      </c>
    </row>
    <row r="10">
      <c r="A10" s="14" t="inlineStr">
        <is>
          <t>Cumulative FCF ($)</t>
        </is>
      </c>
      <c r="C10" s="43" t="n">
        <v>63961</v>
      </c>
      <c r="D10" s="43" t="n">
        <v>93594</v>
      </c>
      <c r="E10" s="43" t="n">
        <v>130872</v>
      </c>
    </row>
    <row r="11">
      <c r="A11" s="6" t="inlineStr">
        <is>
          <t>Cumulative net income ($)</t>
        </is>
      </c>
      <c r="C11" s="43" t="n">
        <v>43103</v>
      </c>
      <c r="D11" s="43" t="n">
        <v>61334</v>
      </c>
      <c r="E11" s="43" t="n">
        <v>79551</v>
      </c>
    </row>
    <row r="12">
      <c r="A12" s="6" t="inlineStr">
        <is>
          <t>Cumulative OCF conversion (CFO / NI)</t>
        </is>
      </c>
      <c r="C12" s="61" t="n">
        <v>1.521564624272092</v>
      </c>
      <c r="D12" s="61" t="n">
        <v>1.566569928587733</v>
      </c>
      <c r="E12" s="61" t="n">
        <v>1.718193360234315</v>
      </c>
    </row>
    <row r="13">
      <c r="A13" s="6" t="inlineStr">
        <is>
          <t>Cumulative FCF conversion (FCF / NI)</t>
        </is>
      </c>
      <c r="C13" s="61" t="n">
        <v>1.48391063267058</v>
      </c>
      <c r="D13" s="61" t="n">
        <v>1.525972543776698</v>
      </c>
      <c r="E13" s="61" t="n">
        <v>1.645133310706339</v>
      </c>
    </row>
    <row r="14">
      <c r="A14" s="6" t="inlineStr">
        <is>
          <t>Cumulative dividends paid ($)</t>
        </is>
      </c>
      <c r="C14" s="43" t="n">
        <v>28601</v>
      </c>
      <c r="D14" s="43" t="n">
        <v>41845</v>
      </c>
      <c r="E14" s="43" t="n">
        <v>57107</v>
      </c>
    </row>
    <row r="15">
      <c r="A15" s="6" t="inlineStr">
        <is>
          <t>Cumulative buybacks ($)</t>
        </is>
      </c>
      <c r="C15" s="43" t="n">
        <v>15450</v>
      </c>
      <c r="D15" s="43" t="n">
        <v>22450</v>
      </c>
      <c r="E15" s="43" t="n">
        <v>35143</v>
      </c>
    </row>
    <row r="16">
      <c r="A16" s="6" t="inlineStr">
        <is>
          <t>Cumulative dividends + buybacks ($)</t>
        </is>
      </c>
      <c r="C16" s="43" t="n">
        <v>44051</v>
      </c>
      <c r="D16" s="43" t="n">
        <v>64295</v>
      </c>
      <c r="E16" s="43" t="n">
        <v>92250</v>
      </c>
    </row>
    <row r="17">
      <c r="A17" s="14" t="inlineStr">
        <is>
          <t>Cumulative payout ratio ((div+bb) / cumulative NI)</t>
        </is>
      </c>
      <c r="C17" s="47" t="n">
        <v>1.021993828735819</v>
      </c>
      <c r="D17" s="47" t="n">
        <v>1.048276649166857</v>
      </c>
      <c r="E17" s="47" t="n">
        <v>1.159633442697138</v>
      </c>
    </row>
    <row r="18">
      <c r="A18" s="6" t="inlineStr">
        <is>
          <t>Cumulative (dividends + buybacks) / cumulative FCF</t>
        </is>
      </c>
      <c r="C18" s="47" t="n">
        <v>0.6887165616547584</v>
      </c>
      <c r="D18" s="47" t="n">
        <v>0.686956428830908</v>
      </c>
      <c r="E18" s="47" t="n">
        <v>0.7048872180451128</v>
      </c>
    </row>
    <row r="20">
      <c r="A20" s="53" t="inlineStr">
        <is>
          <t>Windows chosen: trailing 3-year and trailing 5-year (most decision-relevant recent history) plus the full FY2016-FY2025 window supported by the base workbook. All three windows include FY2024 (VMware acquisition close, 10-for-1 split) — treat cumulative per-year comparisons across the split date with care (dividend/buyback $ totals are unaffected by the split; only per-share figures are).</t>
        </is>
      </c>
    </row>
    <row r="21">
      <c r="A21" s="53" t="inlineStr">
        <is>
          <t>No issuer-defined APM used; all inputs are as-reported statutory CFO/capex/net income/dividends/buybacks, linked from Cash Flow Statement and Income Statement.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BF8F00"/>
    <outlinePr summaryBelow="1" summaryRight="1"/>
    <pageSetUpPr/>
  </sheetPr>
  <dimension ref="A1:E1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0" customWidth="1" min="2" max="2"/>
    <col width="20" customWidth="1" min="3" max="3"/>
    <col width="20" customWidth="1" min="4" max="4"/>
    <col width="4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50" t="inlineStr">
        <is>
          <t>Broadcom Inc. — Growth Factor Table</t>
        </is>
      </c>
      <c r="B1" s="2" t="n"/>
      <c r="C1" s="2" t="n"/>
      <c r="D1" s="2" t="n"/>
      <c r="E1" s="2" t="n"/>
    </row>
    <row r="2">
      <c r="A2" s="3" t="inlineStr">
        <is>
          <t>$ in millions  |  USD  |  CAGR = (ending/beginning)^(1/n)-1, positive endpoints only  |  as of 2026-09-22</t>
        </is>
      </c>
    </row>
    <row r="3" ht="30" customHeight="1">
      <c r="C3" s="63" t="inlineStr">
        <is>
          <t>Full/available window CAGR</t>
        </is>
      </c>
      <c r="D3" s="63" t="inlineStr">
        <is>
          <t>Shorter window CAGR
(FY2020-FY2025, n=5)</t>
        </is>
      </c>
      <c r="E3" s="63" t="inlineStr">
        <is>
          <t>Window &amp; notes</t>
        </is>
      </c>
    </row>
    <row r="6" ht="20" customHeight="1">
      <c r="A6" s="5" t="inlineStr">
        <is>
          <t>GROWTH FACTOR TABLE — CAGR</t>
        </is>
      </c>
      <c r="B6" s="2" t="n"/>
      <c r="C6" s="2" t="n"/>
      <c r="D6" s="2" t="n"/>
      <c r="E6" s="2" t="n"/>
    </row>
    <row r="7">
      <c r="A7" s="53" t="inlineStr">
        <is>
          <t>CAGR requires positive endpoints; FY2016 Operating income (-409) and Net income (-1,861) are negative, so those two rows substitute FY2017 as the full-window start (8-yr CAGR) — see notes column.</t>
        </is>
      </c>
    </row>
    <row r="8">
      <c r="A8" s="14" t="inlineStr">
        <is>
          <t>Revenue</t>
        </is>
      </c>
      <c r="C8" s="57" t="n">
        <v>0.191097101416065</v>
      </c>
      <c r="D8" s="47" t="n">
        <v>0.2174371243564193</v>
      </c>
      <c r="E8" s="20" t="inlineStr">
        <is>
          <t>FY2016→FY2025 (n=9)</t>
        </is>
      </c>
    </row>
    <row r="9">
      <c r="A9" s="14" t="inlineStr">
        <is>
          <t>Cost of goods/services (total COGS)</t>
        </is>
      </c>
      <c r="C9" s="57" t="n">
        <v>0.1221323539596093</v>
      </c>
      <c r="D9" s="47" t="n">
        <v>0.1470211402789725</v>
      </c>
      <c r="E9" s="20" t="inlineStr">
        <is>
          <t>FY2016→FY2025 (n=9)</t>
        </is>
      </c>
    </row>
    <row r="10">
      <c r="A10" s="14" t="inlineStr">
        <is>
          <t>Operating profit</t>
        </is>
      </c>
      <c r="C10" s="57" t="n">
        <v>0.3447543080426076</v>
      </c>
      <c r="D10" s="47" t="n">
        <v>0.4472316298815018</v>
      </c>
      <c r="E10" s="20" t="inlineStr">
        <is>
          <t>FY2017→FY2025 (n=8) — substituted for FY2016 start (negative base)</t>
        </is>
      </c>
    </row>
    <row r="11">
      <c r="A11" s="14" t="inlineStr">
        <is>
          <t>Net income</t>
        </is>
      </c>
      <c r="C11" s="57" t="n">
        <v>0.3774892202763698</v>
      </c>
      <c r="D11" s="47" t="n">
        <v>0.5085571307783758</v>
      </c>
      <c r="E11" s="20" t="inlineStr">
        <is>
          <t>FY2017→FY2025 (n=8) — substituted for FY2016 start (negative base)</t>
        </is>
      </c>
    </row>
    <row r="12">
      <c r="A12" s="14" t="inlineStr">
        <is>
          <t>Normalized EBIT (disclosed one-off addbacks only)</t>
        </is>
      </c>
      <c r="C12" s="57" t="n">
        <v>0.3438903762397669</v>
      </c>
      <c r="D12" s="47" t="n">
        <v>0.4384050791979592</v>
      </c>
      <c r="E12" s="20" t="inlineStr">
        <is>
          <t>FY2016→FY2025 (n=9)</t>
        </is>
      </c>
    </row>
    <row r="13">
      <c r="A13" s="14" t="inlineStr">
        <is>
          <t>Cash earnings (CFO − working-capital change)</t>
        </is>
      </c>
      <c r="C13" s="57" t="n">
        <v>0.3216937603128265</v>
      </c>
      <c r="D13" s="47" t="n">
        <v>0.2685986286653539</v>
      </c>
      <c r="E13" s="20" t="inlineStr">
        <is>
          <t>FY2016→FY2025 (n=9)</t>
        </is>
      </c>
    </row>
    <row r="15">
      <c r="A15" s="53" t="inlineStr">
        <is>
          <t>Shorter window FY2020-FY2025 (n=5) chosen: long enough to smooth annual noise, short enough to be decision-relevant, and all six series are positive at FY2020 (no zero-crossing).</t>
        </is>
      </c>
    </row>
    <row r="16">
      <c r="A16" s="53" t="inlineStr">
        <is>
          <t>Both windows span the VMware acquisition close (2023-11-22, within FY2024) and the FY2024 4-segment→... structural change is not applicable here, but the FY2024 scale jump is structural (M&amp;A), not organic — do not read either CAGR as a pure organic growth rate.</t>
        </is>
      </c>
    </row>
    <row r="17">
      <c r="A17" s="53" t="inlineStr">
        <is>
          <t>COGS and Products/Subscriptions cost splits: FY2025 10-K reclassified the split (not applied retroactively); "Total COGS" here is the as-filed consolidated total each year, unaffected by the sub-line reclass, so the COGS CAGR is comparability-safe.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2026-09-22T08:41:23Z</dcterms:created>
  <dcterms:modified xmlns:dcterms="http://purl.org/dc/terms/" xmlns:xsi="http://www.w3.org/2001/XMLSchema-instance" xsi:type="dcterms:W3CDTF">2026-09-22T09:28:52Z</dcterms:modified>
  <cp:lastModifiedBy>e69900</cp:lastModifiedBy>
</cp:coreProperties>
</file>