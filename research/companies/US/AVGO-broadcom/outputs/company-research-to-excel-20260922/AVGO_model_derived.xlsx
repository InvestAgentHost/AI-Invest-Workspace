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tccc/Desktop/AI Invest/Workspace/research/companies/US/AVGO-broadcom/outputs/company-research-to-excel-20260922/"/>
    </mc:Choice>
  </mc:AlternateContent>
  <xr:revisionPtr revIDLastSave="0" documentId="13_ncr:1_{662433D1-F04B-1E4C-B8F9-D2C94A221708}" xr6:coauthVersionLast="47" xr6:coauthVersionMax="47" xr10:uidLastSave="{00000000-0000-0000-0000-000000000000}"/>
  <bookViews>
    <workbookView xWindow="60" yWindow="620" windowWidth="29320" windowHeight="19460" firstSheet="6" activeTab="13" xr2:uid="{00000000-000D-0000-FFFF-FFFF00000000}"/>
  </bookViews>
  <sheets>
    <sheet name="Cover" sheetId="1" r:id="rId1"/>
    <sheet name="Income Statement" sheetId="2" r:id="rId2"/>
    <sheet name="Balance Sheet" sheetId="3" r:id="rId3"/>
    <sheet name="Cash Flow Statement" sheetId="4" r:id="rId4"/>
    <sheet name="Segments" sheetId="5" r:id="rId5"/>
    <sheet name="Geography &amp; Products" sheetId="6" r:id="rId6"/>
    <sheet name="Derived Metrics" sheetId="7" r:id="rId7"/>
    <sheet name="Sources" sheetId="8" r:id="rId8"/>
    <sheet name="Asset Structure" sheetId="9" r:id="rId9"/>
    <sheet name="Net Cash" sheetId="10" r:id="rId10"/>
    <sheet name="Working Capital" sheetId="11" r:id="rId11"/>
    <sheet name="Cash-Flow Attribution" sheetId="12" r:id="rId12"/>
    <sheet name="Yearly Factor Table" sheetId="13" r:id="rId13"/>
    <sheet name="Interval Factor Table" sheetId="14" r:id="rId14"/>
    <sheet name="Growth Factor Table" sheetId="15" r:id="rId15"/>
  </sheets>
  <definedNames>
    <definedName name="_xlchart.v1.0" hidden="1">'Cash-Flow Attribution'!$A$36:$A$51</definedName>
    <definedName name="_xlchart.v1.1" hidden="1">'Cash-Flow Attribution'!$C$36:$C$51</definedName>
    <definedName name="_xlchart.v1.2" hidden="1">'Cash-Flow Attribution'!$A$36:$A$51</definedName>
    <definedName name="_xlchart.v1.3" hidden="1">'Cash-Flow Attribution'!$C$36:$C$51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4" l="1"/>
  <c r="E17" i="14"/>
  <c r="C17" i="14"/>
  <c r="L35" i="13"/>
  <c r="K35" i="13"/>
  <c r="J35" i="13"/>
  <c r="I35" i="13"/>
  <c r="H35" i="13"/>
  <c r="G35" i="13"/>
  <c r="F35" i="13"/>
  <c r="E35" i="13"/>
  <c r="D35" i="13"/>
  <c r="C35" i="13"/>
  <c r="C34" i="13"/>
  <c r="L33" i="13"/>
  <c r="K33" i="13"/>
  <c r="J33" i="13"/>
  <c r="I33" i="13"/>
  <c r="I34" i="13" s="1"/>
  <c r="H33" i="13"/>
  <c r="H34" i="13" s="1"/>
  <c r="G33" i="13"/>
  <c r="F33" i="13"/>
  <c r="F34" i="13" s="1"/>
  <c r="E33" i="13"/>
  <c r="E34" i="13" s="1"/>
  <c r="D33" i="13"/>
  <c r="C33" i="13"/>
  <c r="L32" i="13"/>
  <c r="K32" i="13"/>
  <c r="J32" i="13"/>
  <c r="I32" i="13"/>
  <c r="H32" i="13"/>
  <c r="G32" i="13"/>
  <c r="G34" i="13" s="1"/>
  <c r="F32" i="13"/>
  <c r="E32" i="13"/>
  <c r="D32" i="13"/>
  <c r="C32" i="13"/>
  <c r="L26" i="13"/>
  <c r="K26" i="13"/>
  <c r="J26" i="13"/>
  <c r="I26" i="13"/>
  <c r="H26" i="13"/>
  <c r="G26" i="13"/>
  <c r="F26" i="13"/>
  <c r="E26" i="13"/>
  <c r="D26" i="13"/>
  <c r="C26" i="13"/>
  <c r="L24" i="13"/>
  <c r="K24" i="13"/>
  <c r="J24" i="13"/>
  <c r="I24" i="13"/>
  <c r="H24" i="13"/>
  <c r="G24" i="13"/>
  <c r="F24" i="13"/>
  <c r="E24" i="13"/>
  <c r="D24" i="13"/>
  <c r="C24" i="13"/>
  <c r="K9" i="13"/>
  <c r="J9" i="13"/>
  <c r="I9" i="13"/>
  <c r="L8" i="13"/>
  <c r="K8" i="13"/>
  <c r="J8" i="13"/>
  <c r="I8" i="13"/>
  <c r="H8" i="13"/>
  <c r="H9" i="13" s="1"/>
  <c r="G8" i="13"/>
  <c r="G9" i="13" s="1"/>
  <c r="F8" i="13"/>
  <c r="F9" i="13" s="1"/>
  <c r="E8" i="13"/>
  <c r="D8" i="13"/>
  <c r="C8" i="13"/>
  <c r="L27" i="12"/>
  <c r="K27" i="12"/>
  <c r="J27" i="12"/>
  <c r="I27" i="12"/>
  <c r="H27" i="12"/>
  <c r="G27" i="12"/>
  <c r="F27" i="12"/>
  <c r="E27" i="12"/>
  <c r="D27" i="12"/>
  <c r="C27" i="12"/>
  <c r="L26" i="12"/>
  <c r="K26" i="12"/>
  <c r="J26" i="12"/>
  <c r="I26" i="12"/>
  <c r="H26" i="12"/>
  <c r="G26" i="12"/>
  <c r="F26" i="12"/>
  <c r="E26" i="12"/>
  <c r="D26" i="12"/>
  <c r="C26" i="12"/>
  <c r="L25" i="12"/>
  <c r="K25" i="12"/>
  <c r="J25" i="12"/>
  <c r="I25" i="12"/>
  <c r="H25" i="12"/>
  <c r="G25" i="12"/>
  <c r="F25" i="12"/>
  <c r="E25" i="12"/>
  <c r="D25" i="12"/>
  <c r="C25" i="12"/>
  <c r="L24" i="12"/>
  <c r="K24" i="12"/>
  <c r="J24" i="12"/>
  <c r="I24" i="12"/>
  <c r="H24" i="12"/>
  <c r="G24" i="12"/>
  <c r="F24" i="12"/>
  <c r="E24" i="12"/>
  <c r="D24" i="12"/>
  <c r="C24" i="12"/>
  <c r="L23" i="12"/>
  <c r="K23" i="12"/>
  <c r="J23" i="12"/>
  <c r="I23" i="12"/>
  <c r="H23" i="12"/>
  <c r="G23" i="12"/>
  <c r="F23" i="12"/>
  <c r="E23" i="12"/>
  <c r="D23" i="12"/>
  <c r="C23" i="12"/>
  <c r="L22" i="12"/>
  <c r="K22" i="12"/>
  <c r="J22" i="12"/>
  <c r="I22" i="12"/>
  <c r="H22" i="12"/>
  <c r="G22" i="12"/>
  <c r="F22" i="12"/>
  <c r="E22" i="12"/>
  <c r="D22" i="12"/>
  <c r="C22" i="12"/>
  <c r="L21" i="12"/>
  <c r="K21" i="12"/>
  <c r="J21" i="12"/>
  <c r="I21" i="12"/>
  <c r="H21" i="12"/>
  <c r="G21" i="12"/>
  <c r="F21" i="12"/>
  <c r="E21" i="12"/>
  <c r="D21" i="12"/>
  <c r="C21" i="12"/>
  <c r="L20" i="12"/>
  <c r="K20" i="12"/>
  <c r="J20" i="12"/>
  <c r="I20" i="12"/>
  <c r="H20" i="12"/>
  <c r="G20" i="12"/>
  <c r="F20" i="12"/>
  <c r="E20" i="12"/>
  <c r="D20" i="12"/>
  <c r="C20" i="12"/>
  <c r="L17" i="12"/>
  <c r="K17" i="12"/>
  <c r="J17" i="12"/>
  <c r="I17" i="12"/>
  <c r="H17" i="12"/>
  <c r="G17" i="12"/>
  <c r="F17" i="12"/>
  <c r="E17" i="12"/>
  <c r="D17" i="12"/>
  <c r="C17" i="12"/>
  <c r="K14" i="12"/>
  <c r="L13" i="12"/>
  <c r="K13" i="12"/>
  <c r="J13" i="12"/>
  <c r="I13" i="12"/>
  <c r="H13" i="12"/>
  <c r="G13" i="12"/>
  <c r="F13" i="12"/>
  <c r="E13" i="12"/>
  <c r="D13" i="12"/>
  <c r="C13" i="12"/>
  <c r="L12" i="12"/>
  <c r="K12" i="12"/>
  <c r="J12" i="12"/>
  <c r="I12" i="12"/>
  <c r="H12" i="12"/>
  <c r="G12" i="12"/>
  <c r="G28" i="12" s="1"/>
  <c r="F12" i="12"/>
  <c r="E12" i="12"/>
  <c r="D12" i="12"/>
  <c r="C12" i="12"/>
  <c r="C28" i="12" s="1"/>
  <c r="L11" i="12"/>
  <c r="K11" i="12"/>
  <c r="J11" i="12"/>
  <c r="I11" i="12"/>
  <c r="H11" i="12"/>
  <c r="G11" i="12"/>
  <c r="F11" i="12"/>
  <c r="E11" i="12"/>
  <c r="D11" i="12"/>
  <c r="C11" i="12"/>
  <c r="L10" i="12"/>
  <c r="K10" i="12"/>
  <c r="J10" i="12"/>
  <c r="I10" i="12"/>
  <c r="H10" i="12"/>
  <c r="G10" i="12"/>
  <c r="F10" i="12"/>
  <c r="E10" i="12"/>
  <c r="D10" i="12"/>
  <c r="C10" i="12"/>
  <c r="L9" i="12"/>
  <c r="K9" i="12"/>
  <c r="J9" i="12"/>
  <c r="J14" i="12" s="1"/>
  <c r="I9" i="12"/>
  <c r="H9" i="12"/>
  <c r="H14" i="12" s="1"/>
  <c r="G9" i="12"/>
  <c r="F9" i="12"/>
  <c r="E9" i="12"/>
  <c r="D9" i="12"/>
  <c r="C9" i="12"/>
  <c r="C14" i="12" s="1"/>
  <c r="L8" i="12"/>
  <c r="L14" i="12" s="1"/>
  <c r="K8" i="12"/>
  <c r="K28" i="12" s="1"/>
  <c r="J8" i="12"/>
  <c r="J28" i="12" s="1"/>
  <c r="I8" i="12"/>
  <c r="I14" i="12" s="1"/>
  <c r="H8" i="12"/>
  <c r="G8" i="12"/>
  <c r="G14" i="12" s="1"/>
  <c r="F8" i="12"/>
  <c r="F28" i="12" s="1"/>
  <c r="E8" i="12"/>
  <c r="E28" i="12" s="1"/>
  <c r="D8" i="12"/>
  <c r="D28" i="12" s="1"/>
  <c r="C8" i="12"/>
  <c r="L19" i="11"/>
  <c r="K19" i="11"/>
  <c r="J19" i="11"/>
  <c r="I19" i="11"/>
  <c r="H19" i="11"/>
  <c r="G19" i="11"/>
  <c r="F19" i="11"/>
  <c r="E19" i="11"/>
  <c r="D19" i="11"/>
  <c r="C19" i="11"/>
  <c r="J16" i="11"/>
  <c r="G16" i="11"/>
  <c r="F16" i="11"/>
  <c r="D16" i="11"/>
  <c r="C16" i="11"/>
  <c r="L15" i="11"/>
  <c r="K15" i="11"/>
  <c r="J15" i="11"/>
  <c r="I15" i="11"/>
  <c r="H15" i="11"/>
  <c r="G15" i="11"/>
  <c r="F15" i="11"/>
  <c r="E15" i="11"/>
  <c r="D15" i="11"/>
  <c r="C15" i="11"/>
  <c r="L14" i="11"/>
  <c r="K14" i="11"/>
  <c r="J14" i="11"/>
  <c r="I14" i="11"/>
  <c r="I16" i="11" s="1"/>
  <c r="H14" i="11"/>
  <c r="G14" i="11"/>
  <c r="F14" i="11"/>
  <c r="E14" i="11"/>
  <c r="D14" i="11"/>
  <c r="C14" i="11"/>
  <c r="L13" i="11"/>
  <c r="L16" i="11" s="1"/>
  <c r="K13" i="11"/>
  <c r="K16" i="11" s="1"/>
  <c r="J13" i="11"/>
  <c r="I13" i="11"/>
  <c r="H13" i="11"/>
  <c r="H16" i="11" s="1"/>
  <c r="G13" i="11"/>
  <c r="F13" i="11"/>
  <c r="E13" i="11"/>
  <c r="E16" i="11" s="1"/>
  <c r="D13" i="11"/>
  <c r="C13" i="11"/>
  <c r="K11" i="11"/>
  <c r="H11" i="11"/>
  <c r="H18" i="11" s="1"/>
  <c r="H20" i="11" s="1"/>
  <c r="E11" i="11"/>
  <c r="D11" i="11"/>
  <c r="D18" i="11" s="1"/>
  <c r="D20" i="11" s="1"/>
  <c r="L10" i="11"/>
  <c r="K10" i="11"/>
  <c r="J10" i="11"/>
  <c r="I10" i="11"/>
  <c r="H10" i="11"/>
  <c r="G10" i="11"/>
  <c r="F10" i="11"/>
  <c r="E10" i="11"/>
  <c r="D10" i="11"/>
  <c r="C10" i="11"/>
  <c r="L9" i="11"/>
  <c r="K9" i="11"/>
  <c r="J9" i="11"/>
  <c r="I9" i="11"/>
  <c r="H9" i="11"/>
  <c r="G9" i="11"/>
  <c r="G11" i="11" s="1"/>
  <c r="G18" i="11" s="1"/>
  <c r="G20" i="11" s="1"/>
  <c r="F9" i="11"/>
  <c r="E9" i="11"/>
  <c r="D9" i="11"/>
  <c r="C9" i="11"/>
  <c r="L8" i="11"/>
  <c r="L11" i="11" s="1"/>
  <c r="K8" i="11"/>
  <c r="J8" i="11"/>
  <c r="J11" i="11" s="1"/>
  <c r="J18" i="11" s="1"/>
  <c r="J20" i="11" s="1"/>
  <c r="I8" i="11"/>
  <c r="I11" i="11" s="1"/>
  <c r="H8" i="11"/>
  <c r="G8" i="11"/>
  <c r="F8" i="11"/>
  <c r="F11" i="11" s="1"/>
  <c r="F18" i="11" s="1"/>
  <c r="F20" i="11" s="1"/>
  <c r="E8" i="11"/>
  <c r="D8" i="11"/>
  <c r="C8" i="11"/>
  <c r="C11" i="11" s="1"/>
  <c r="C18" i="11" s="1"/>
  <c r="C20" i="11" s="1"/>
  <c r="I13" i="10"/>
  <c r="I11" i="10"/>
  <c r="E11" i="10"/>
  <c r="E13" i="10" s="1"/>
  <c r="C11" i="10"/>
  <c r="L10" i="10"/>
  <c r="L11" i="10" s="1"/>
  <c r="L13" i="10" s="1"/>
  <c r="K10" i="10"/>
  <c r="J10" i="10"/>
  <c r="I10" i="10"/>
  <c r="H10" i="10"/>
  <c r="G10" i="10"/>
  <c r="F10" i="10"/>
  <c r="E10" i="10"/>
  <c r="D10" i="10"/>
  <c r="C10" i="10"/>
  <c r="L9" i="10"/>
  <c r="K9" i="10"/>
  <c r="K11" i="10" s="1"/>
  <c r="J9" i="10"/>
  <c r="J11" i="10" s="1"/>
  <c r="I9" i="10"/>
  <c r="H9" i="10"/>
  <c r="H11" i="10" s="1"/>
  <c r="H13" i="10" s="1"/>
  <c r="G9" i="10"/>
  <c r="G11" i="10" s="1"/>
  <c r="F9" i="10"/>
  <c r="F11" i="10" s="1"/>
  <c r="F13" i="10" s="1"/>
  <c r="E9" i="10"/>
  <c r="D9" i="10"/>
  <c r="D11" i="10" s="1"/>
  <c r="C9" i="10"/>
  <c r="L8" i="10"/>
  <c r="K8" i="10"/>
  <c r="K13" i="10" s="1"/>
  <c r="J8" i="10"/>
  <c r="J13" i="10" s="1"/>
  <c r="I8" i="10"/>
  <c r="H8" i="10"/>
  <c r="G8" i="10"/>
  <c r="F8" i="10"/>
  <c r="E8" i="10"/>
  <c r="D8" i="10"/>
  <c r="D13" i="10" s="1"/>
  <c r="C8" i="10"/>
  <c r="C13" i="10" s="1"/>
  <c r="K18" i="9"/>
  <c r="H18" i="9"/>
  <c r="L17" i="9"/>
  <c r="K17" i="9"/>
  <c r="J17" i="9"/>
  <c r="I17" i="9"/>
  <c r="H17" i="9"/>
  <c r="G17" i="9"/>
  <c r="F17" i="9"/>
  <c r="E17" i="9"/>
  <c r="D17" i="9"/>
  <c r="D18" i="9" s="1"/>
  <c r="C17" i="9"/>
  <c r="L16" i="9"/>
  <c r="K16" i="9"/>
  <c r="J16" i="9"/>
  <c r="I16" i="9"/>
  <c r="H16" i="9"/>
  <c r="G16" i="9"/>
  <c r="F16" i="9"/>
  <c r="E16" i="9"/>
  <c r="D16" i="9"/>
  <c r="C16" i="9"/>
  <c r="L15" i="9"/>
  <c r="K15" i="9"/>
  <c r="J15" i="9"/>
  <c r="J18" i="9" s="1"/>
  <c r="I15" i="9"/>
  <c r="H15" i="9"/>
  <c r="G15" i="9"/>
  <c r="F15" i="9"/>
  <c r="E15" i="9"/>
  <c r="E18" i="9" s="1"/>
  <c r="D15" i="9"/>
  <c r="C15" i="9"/>
  <c r="L14" i="9"/>
  <c r="L18" i="9" s="1"/>
  <c r="K14" i="9"/>
  <c r="J14" i="9"/>
  <c r="I14" i="9"/>
  <c r="I18" i="9" s="1"/>
  <c r="H14" i="9"/>
  <c r="G14" i="9"/>
  <c r="F14" i="9"/>
  <c r="F18" i="9" s="1"/>
  <c r="E14" i="9"/>
  <c r="D14" i="9"/>
  <c r="C14" i="9"/>
  <c r="I12" i="9"/>
  <c r="I20" i="9" s="1"/>
  <c r="E12" i="9"/>
  <c r="E20" i="9" s="1"/>
  <c r="L11" i="9"/>
  <c r="K11" i="9"/>
  <c r="J11" i="9"/>
  <c r="I11" i="9"/>
  <c r="H11" i="9"/>
  <c r="G11" i="9"/>
  <c r="F11" i="9"/>
  <c r="E11" i="9"/>
  <c r="D11" i="9"/>
  <c r="C11" i="9"/>
  <c r="L10" i="9"/>
  <c r="K10" i="9"/>
  <c r="J10" i="9"/>
  <c r="I10" i="9"/>
  <c r="H10" i="9"/>
  <c r="H12" i="9" s="1"/>
  <c r="H20" i="9" s="1"/>
  <c r="G10" i="9"/>
  <c r="F10" i="9"/>
  <c r="E10" i="9"/>
  <c r="D10" i="9"/>
  <c r="C10" i="9"/>
  <c r="L9" i="9"/>
  <c r="K9" i="9"/>
  <c r="J9" i="9"/>
  <c r="I9" i="9"/>
  <c r="H9" i="9"/>
  <c r="G9" i="9"/>
  <c r="F9" i="9"/>
  <c r="E9" i="9"/>
  <c r="D9" i="9"/>
  <c r="C9" i="9"/>
  <c r="L8" i="9"/>
  <c r="K8" i="9"/>
  <c r="J8" i="9"/>
  <c r="J12" i="9" s="1"/>
  <c r="J20" i="9" s="1"/>
  <c r="I8" i="9"/>
  <c r="H8" i="9"/>
  <c r="G8" i="9"/>
  <c r="G12" i="9" s="1"/>
  <c r="F8" i="9"/>
  <c r="F12" i="9" s="1"/>
  <c r="F20" i="9" s="1"/>
  <c r="E8" i="9"/>
  <c r="D8" i="9"/>
  <c r="C8" i="9"/>
  <c r="R57" i="7"/>
  <c r="Q57" i="7"/>
  <c r="P57" i="7"/>
  <c r="O57" i="7"/>
  <c r="C57" i="7"/>
  <c r="R56" i="7"/>
  <c r="Q56" i="7"/>
  <c r="P56" i="7"/>
  <c r="O56" i="7"/>
  <c r="C56" i="7"/>
  <c r="R55" i="7"/>
  <c r="Q55" i="7"/>
  <c r="P55" i="7"/>
  <c r="O55" i="7"/>
  <c r="C55" i="7"/>
  <c r="Q40" i="7"/>
  <c r="S31" i="7"/>
  <c r="O31" i="7"/>
  <c r="C31" i="7"/>
  <c r="A16" i="7"/>
  <c r="A15" i="7"/>
  <c r="A14" i="7"/>
  <c r="A13" i="7"/>
  <c r="A12" i="7"/>
  <c r="A11" i="7"/>
  <c r="A10" i="7"/>
  <c r="A9" i="7"/>
  <c r="A8" i="7"/>
  <c r="A7" i="7"/>
  <c r="V57" i="5"/>
  <c r="U57" i="5"/>
  <c r="T57" i="5"/>
  <c r="S57" i="5"/>
  <c r="R57" i="5"/>
  <c r="Q57" i="5"/>
  <c r="P57" i="5"/>
  <c r="O57" i="5"/>
  <c r="L57" i="5"/>
  <c r="K57" i="5"/>
  <c r="J57" i="5"/>
  <c r="I57" i="5"/>
  <c r="H57" i="5"/>
  <c r="G57" i="5"/>
  <c r="V56" i="5"/>
  <c r="U56" i="5"/>
  <c r="T56" i="5"/>
  <c r="S56" i="5"/>
  <c r="R56" i="5"/>
  <c r="Q56" i="5"/>
  <c r="P56" i="5"/>
  <c r="O56" i="5"/>
  <c r="L56" i="5"/>
  <c r="K56" i="5"/>
  <c r="J56" i="5"/>
  <c r="I56" i="5"/>
  <c r="H56" i="5"/>
  <c r="G56" i="5"/>
  <c r="V55" i="5"/>
  <c r="U55" i="5"/>
  <c r="T55" i="5"/>
  <c r="S55" i="5"/>
  <c r="R55" i="5"/>
  <c r="Q55" i="5"/>
  <c r="P55" i="5"/>
  <c r="O55" i="5"/>
  <c r="L55" i="5"/>
  <c r="K55" i="5"/>
  <c r="J55" i="5"/>
  <c r="I55" i="5"/>
  <c r="H55" i="5"/>
  <c r="G55" i="5"/>
  <c r="V54" i="5"/>
  <c r="U54" i="5"/>
  <c r="T54" i="5"/>
  <c r="S54" i="5"/>
  <c r="R54" i="5"/>
  <c r="L54" i="5"/>
  <c r="K54" i="5"/>
  <c r="J54" i="5"/>
  <c r="I54" i="5"/>
  <c r="H54" i="5"/>
  <c r="V52" i="5"/>
  <c r="U52" i="5"/>
  <c r="T52" i="5"/>
  <c r="S52" i="5"/>
  <c r="R52" i="5"/>
  <c r="L52" i="5"/>
  <c r="K52" i="5"/>
  <c r="J52" i="5"/>
  <c r="I52" i="5"/>
  <c r="H52" i="5"/>
  <c r="U48" i="5"/>
  <c r="R48" i="5"/>
  <c r="S47" i="5"/>
  <c r="R47" i="5"/>
  <c r="P47" i="5"/>
  <c r="O47" i="5"/>
  <c r="K47" i="5"/>
  <c r="H47" i="5"/>
  <c r="V46" i="5"/>
  <c r="V48" i="5" s="1"/>
  <c r="U46" i="5"/>
  <c r="U47" i="5" s="1"/>
  <c r="T46" i="5"/>
  <c r="S46" i="5"/>
  <c r="R46" i="5"/>
  <c r="Q46" i="5"/>
  <c r="Q47" i="5" s="1"/>
  <c r="P46" i="5"/>
  <c r="S48" i="5" s="1"/>
  <c r="O46" i="5"/>
  <c r="L46" i="5"/>
  <c r="K46" i="5"/>
  <c r="K48" i="5" s="1"/>
  <c r="J46" i="5"/>
  <c r="J47" i="5" s="1"/>
  <c r="I46" i="5"/>
  <c r="I47" i="5" s="1"/>
  <c r="H46" i="5"/>
  <c r="H48" i="5" s="1"/>
  <c r="G46" i="5"/>
  <c r="G47" i="5" s="1"/>
  <c r="V45" i="5"/>
  <c r="U45" i="5"/>
  <c r="T45" i="5"/>
  <c r="S45" i="5"/>
  <c r="R45" i="5"/>
  <c r="L45" i="5"/>
  <c r="K45" i="5"/>
  <c r="J45" i="5"/>
  <c r="I45" i="5"/>
  <c r="H45" i="5"/>
  <c r="V43" i="5"/>
  <c r="U43" i="5"/>
  <c r="T43" i="5"/>
  <c r="S43" i="5"/>
  <c r="R43" i="5"/>
  <c r="L43" i="5"/>
  <c r="K43" i="5"/>
  <c r="J43" i="5"/>
  <c r="I43" i="5"/>
  <c r="H43" i="5"/>
  <c r="F37" i="5"/>
  <c r="F32" i="5"/>
  <c r="F31" i="5"/>
  <c r="E23" i="5"/>
  <c r="D23" i="5"/>
  <c r="C23" i="5"/>
  <c r="D17" i="5"/>
  <c r="C17" i="5"/>
  <c r="E16" i="5"/>
  <c r="E17" i="5" s="1"/>
  <c r="D16" i="5"/>
  <c r="C16" i="5"/>
  <c r="A9" i="5"/>
  <c r="A8" i="5"/>
  <c r="A7" i="5"/>
  <c r="T71" i="4"/>
  <c r="T47" i="7" s="1"/>
  <c r="K71" i="4"/>
  <c r="K47" i="7" s="1"/>
  <c r="V70" i="4"/>
  <c r="U70" i="4"/>
  <c r="T70" i="4"/>
  <c r="S70" i="4"/>
  <c r="R70" i="4"/>
  <c r="Q70" i="4"/>
  <c r="P70" i="4"/>
  <c r="O70" i="4"/>
  <c r="L70" i="4"/>
  <c r="K70" i="4"/>
  <c r="J70" i="4"/>
  <c r="I70" i="4"/>
  <c r="H70" i="4"/>
  <c r="G70" i="4"/>
  <c r="F70" i="4"/>
  <c r="E70" i="4"/>
  <c r="D70" i="4"/>
  <c r="C70" i="4"/>
  <c r="V68" i="4"/>
  <c r="V71" i="4" s="1"/>
  <c r="V47" i="7" s="1"/>
  <c r="P68" i="4"/>
  <c r="O68" i="4"/>
  <c r="K68" i="4"/>
  <c r="D68" i="4"/>
  <c r="G65" i="4"/>
  <c r="V62" i="4"/>
  <c r="V65" i="4" s="1"/>
  <c r="S62" i="4"/>
  <c r="S65" i="4" s="1"/>
  <c r="J62" i="4"/>
  <c r="G62" i="4"/>
  <c r="G29" i="12" s="1"/>
  <c r="V59" i="4"/>
  <c r="U59" i="4"/>
  <c r="T59" i="4"/>
  <c r="S59" i="4"/>
  <c r="R59" i="4"/>
  <c r="Q59" i="4"/>
  <c r="P59" i="4"/>
  <c r="P62" i="4" s="1"/>
  <c r="P65" i="4" s="1"/>
  <c r="O59" i="4"/>
  <c r="L59" i="4"/>
  <c r="K59" i="4"/>
  <c r="K62" i="4" s="1"/>
  <c r="J59" i="4"/>
  <c r="I59" i="4"/>
  <c r="H59" i="4"/>
  <c r="G59" i="4"/>
  <c r="F59" i="4"/>
  <c r="E59" i="4"/>
  <c r="D59" i="4"/>
  <c r="C59" i="4"/>
  <c r="V43" i="4"/>
  <c r="U43" i="4"/>
  <c r="T43" i="4"/>
  <c r="S43" i="4"/>
  <c r="R43" i="4"/>
  <c r="Q43" i="4"/>
  <c r="P43" i="4"/>
  <c r="O43" i="4"/>
  <c r="O62" i="4" s="1"/>
  <c r="O65" i="4" s="1"/>
  <c r="L43" i="4"/>
  <c r="K43" i="4"/>
  <c r="J43" i="4"/>
  <c r="I43" i="4"/>
  <c r="H43" i="4"/>
  <c r="G43" i="4"/>
  <c r="F43" i="4"/>
  <c r="E43" i="4"/>
  <c r="D43" i="4"/>
  <c r="D62" i="4" s="1"/>
  <c r="C43" i="4"/>
  <c r="V33" i="4"/>
  <c r="U33" i="4"/>
  <c r="U68" i="4" s="1"/>
  <c r="T33" i="4"/>
  <c r="T68" i="4" s="1"/>
  <c r="S33" i="4"/>
  <c r="R33" i="4"/>
  <c r="Q33" i="4"/>
  <c r="P33" i="4"/>
  <c r="O33" i="4"/>
  <c r="L33" i="4"/>
  <c r="L62" i="4" s="1"/>
  <c r="K33" i="4"/>
  <c r="J33" i="4"/>
  <c r="I33" i="4"/>
  <c r="H33" i="4"/>
  <c r="G33" i="4"/>
  <c r="G68" i="4" s="1"/>
  <c r="G71" i="4" s="1"/>
  <c r="G47" i="7" s="1"/>
  <c r="F33" i="4"/>
  <c r="E33" i="4"/>
  <c r="D33" i="4"/>
  <c r="C33" i="4"/>
  <c r="A11" i="4"/>
  <c r="A10" i="4"/>
  <c r="A9" i="4"/>
  <c r="A8" i="4"/>
  <c r="A7" i="4"/>
  <c r="C55" i="3"/>
  <c r="C64" i="7" s="1"/>
  <c r="R54" i="3"/>
  <c r="R63" i="7" s="1"/>
  <c r="Q54" i="3"/>
  <c r="Q63" i="7" s="1"/>
  <c r="J54" i="3"/>
  <c r="J63" i="7" s="1"/>
  <c r="G54" i="3"/>
  <c r="G63" i="7" s="1"/>
  <c r="C54" i="3"/>
  <c r="C63" i="7" s="1"/>
  <c r="S53" i="3"/>
  <c r="S62" i="7" s="1"/>
  <c r="Q53" i="3"/>
  <c r="Q62" i="7" s="1"/>
  <c r="P53" i="3"/>
  <c r="P62" i="7" s="1"/>
  <c r="J53" i="3"/>
  <c r="J62" i="7" s="1"/>
  <c r="C53" i="3"/>
  <c r="C62" i="7" s="1"/>
  <c r="V52" i="3"/>
  <c r="V61" i="7" s="1"/>
  <c r="U52" i="3"/>
  <c r="T52" i="3"/>
  <c r="S52" i="3"/>
  <c r="S61" i="7" s="1"/>
  <c r="R52" i="3"/>
  <c r="R61" i="7" s="1"/>
  <c r="Q52" i="3"/>
  <c r="Q61" i="7" s="1"/>
  <c r="P52" i="3"/>
  <c r="O52" i="3"/>
  <c r="O61" i="7" s="1"/>
  <c r="L52" i="3"/>
  <c r="L61" i="7" s="1"/>
  <c r="K52" i="3"/>
  <c r="K61" i="7" s="1"/>
  <c r="J52" i="3"/>
  <c r="I52" i="3"/>
  <c r="I61" i="7" s="1"/>
  <c r="H52" i="3"/>
  <c r="H61" i="7" s="1"/>
  <c r="G52" i="3"/>
  <c r="F52" i="3"/>
  <c r="F61" i="7" s="1"/>
  <c r="E52" i="3"/>
  <c r="D52" i="3"/>
  <c r="D61" i="7" s="1"/>
  <c r="C52" i="3"/>
  <c r="C61" i="7" s="1"/>
  <c r="S49" i="3"/>
  <c r="T48" i="3"/>
  <c r="S48" i="3"/>
  <c r="S37" i="7" s="1"/>
  <c r="R48" i="3"/>
  <c r="R37" i="7" s="1"/>
  <c r="P48" i="3"/>
  <c r="P31" i="7" s="1"/>
  <c r="I48" i="3"/>
  <c r="H48" i="3"/>
  <c r="G48" i="3"/>
  <c r="G31" i="7" s="1"/>
  <c r="F48" i="3"/>
  <c r="C48" i="3"/>
  <c r="V46" i="3"/>
  <c r="V48" i="3" s="1"/>
  <c r="U46" i="3"/>
  <c r="U48" i="3" s="1"/>
  <c r="U31" i="7" s="1"/>
  <c r="T46" i="3"/>
  <c r="S46" i="3"/>
  <c r="R46" i="3"/>
  <c r="Q46" i="3"/>
  <c r="Q48" i="3" s="1"/>
  <c r="P46" i="3"/>
  <c r="O46" i="3"/>
  <c r="O48" i="3" s="1"/>
  <c r="L46" i="3"/>
  <c r="L48" i="3" s="1"/>
  <c r="K46" i="3"/>
  <c r="K48" i="3" s="1"/>
  <c r="J46" i="3"/>
  <c r="J48" i="3" s="1"/>
  <c r="I46" i="3"/>
  <c r="H46" i="3"/>
  <c r="G46" i="3"/>
  <c r="F46" i="3"/>
  <c r="E46" i="3"/>
  <c r="E48" i="3" s="1"/>
  <c r="E31" i="7" s="1"/>
  <c r="D46" i="3"/>
  <c r="D48" i="3" s="1"/>
  <c r="C46" i="3"/>
  <c r="S39" i="3"/>
  <c r="R39" i="3"/>
  <c r="Q39" i="3"/>
  <c r="L39" i="3"/>
  <c r="K39" i="3"/>
  <c r="J39" i="3"/>
  <c r="H39" i="3"/>
  <c r="F39" i="3"/>
  <c r="E39" i="3"/>
  <c r="E36" i="7" s="1"/>
  <c r="C39" i="3"/>
  <c r="V33" i="3"/>
  <c r="V39" i="3" s="1"/>
  <c r="U33" i="3"/>
  <c r="U39" i="3" s="1"/>
  <c r="T33" i="3"/>
  <c r="T39" i="3" s="1"/>
  <c r="S33" i="3"/>
  <c r="R33" i="3"/>
  <c r="Q33" i="3"/>
  <c r="P33" i="3"/>
  <c r="P39" i="3" s="1"/>
  <c r="O33" i="3"/>
  <c r="O39" i="3" s="1"/>
  <c r="L33" i="3"/>
  <c r="K33" i="3"/>
  <c r="J33" i="3"/>
  <c r="I33" i="3"/>
  <c r="I39" i="3" s="1"/>
  <c r="I36" i="7" s="1"/>
  <c r="H33" i="3"/>
  <c r="G33" i="3"/>
  <c r="G39" i="3" s="1"/>
  <c r="F33" i="3"/>
  <c r="E33" i="3"/>
  <c r="E41" i="7" s="1"/>
  <c r="D33" i="3"/>
  <c r="D39" i="3" s="1"/>
  <c r="C33" i="3"/>
  <c r="U26" i="3"/>
  <c r="S26" i="3"/>
  <c r="R26" i="3"/>
  <c r="R49" i="3" s="1"/>
  <c r="K26" i="3"/>
  <c r="K21" i="9" s="1"/>
  <c r="J26" i="3"/>
  <c r="J21" i="9" s="1"/>
  <c r="I26" i="3"/>
  <c r="E26" i="3"/>
  <c r="E21" i="9" s="1"/>
  <c r="V19" i="3"/>
  <c r="V40" i="7" s="1"/>
  <c r="U19" i="3"/>
  <c r="T19" i="3"/>
  <c r="T26" i="3" s="1"/>
  <c r="T49" i="3" s="1"/>
  <c r="S19" i="3"/>
  <c r="S41" i="7" s="1"/>
  <c r="R19" i="3"/>
  <c r="Q19" i="3"/>
  <c r="P19" i="3"/>
  <c r="O19" i="3"/>
  <c r="O40" i="7" s="1"/>
  <c r="L19" i="3"/>
  <c r="L40" i="7" s="1"/>
  <c r="K19" i="3"/>
  <c r="K41" i="7" s="1"/>
  <c r="J19" i="3"/>
  <c r="J40" i="7" s="1"/>
  <c r="I19" i="3"/>
  <c r="H19" i="3"/>
  <c r="G19" i="3"/>
  <c r="F19" i="3"/>
  <c r="E19" i="3"/>
  <c r="D19" i="3"/>
  <c r="C19" i="3"/>
  <c r="A12" i="3"/>
  <c r="A11" i="3"/>
  <c r="A10" i="3"/>
  <c r="A9" i="3"/>
  <c r="A8" i="3"/>
  <c r="A7" i="3"/>
  <c r="V60" i="2"/>
  <c r="U60" i="2"/>
  <c r="T60" i="2"/>
  <c r="S60" i="2"/>
  <c r="L60" i="2"/>
  <c r="K60" i="2"/>
  <c r="J60" i="2"/>
  <c r="I60" i="2"/>
  <c r="H60" i="2"/>
  <c r="G60" i="2"/>
  <c r="F60" i="2"/>
  <c r="E60" i="2"/>
  <c r="D60" i="2"/>
  <c r="O37" i="2"/>
  <c r="C37" i="2"/>
  <c r="C25" i="5" s="1"/>
  <c r="V36" i="2"/>
  <c r="U36" i="2"/>
  <c r="T36" i="2"/>
  <c r="S36" i="2"/>
  <c r="R36" i="2"/>
  <c r="R37" i="2" s="1"/>
  <c r="Q36" i="2"/>
  <c r="Q37" i="2" s="1"/>
  <c r="P36" i="2"/>
  <c r="O36" i="2"/>
  <c r="L36" i="2"/>
  <c r="K36" i="2"/>
  <c r="J36" i="2"/>
  <c r="I36" i="2"/>
  <c r="H36" i="2"/>
  <c r="G36" i="2"/>
  <c r="F36" i="2"/>
  <c r="E36" i="2"/>
  <c r="D36" i="2"/>
  <c r="C36" i="2"/>
  <c r="G28" i="2"/>
  <c r="G19" i="7" s="1"/>
  <c r="C28" i="2"/>
  <c r="C19" i="7" s="1"/>
  <c r="R27" i="2"/>
  <c r="R28" i="2" s="1"/>
  <c r="R19" i="7" s="1"/>
  <c r="Q27" i="2"/>
  <c r="Q28" i="2" s="1"/>
  <c r="Q19" i="7" s="1"/>
  <c r="P27" i="2"/>
  <c r="O27" i="2"/>
  <c r="O28" i="2" s="1"/>
  <c r="O19" i="7" s="1"/>
  <c r="J27" i="2"/>
  <c r="J10" i="13" s="1"/>
  <c r="G27" i="2"/>
  <c r="G10" i="13" s="1"/>
  <c r="V26" i="2"/>
  <c r="V54" i="3" s="1"/>
  <c r="V63" i="7" s="1"/>
  <c r="U26" i="2"/>
  <c r="U54" i="3" s="1"/>
  <c r="U63" i="7" s="1"/>
  <c r="T26" i="2"/>
  <c r="T27" i="2" s="1"/>
  <c r="S26" i="2"/>
  <c r="R26" i="2"/>
  <c r="R53" i="3" s="1"/>
  <c r="Q26" i="2"/>
  <c r="P26" i="2"/>
  <c r="P54" i="3" s="1"/>
  <c r="P63" i="7" s="1"/>
  <c r="O26" i="2"/>
  <c r="L26" i="2"/>
  <c r="K26" i="2"/>
  <c r="K53" i="3" s="1"/>
  <c r="J26" i="2"/>
  <c r="I26" i="2"/>
  <c r="I54" i="3" s="1"/>
  <c r="I63" i="7" s="1"/>
  <c r="H26" i="2"/>
  <c r="H53" i="3" s="1"/>
  <c r="G26" i="2"/>
  <c r="G53" i="3" s="1"/>
  <c r="G62" i="7" s="1"/>
  <c r="F26" i="2"/>
  <c r="F27" i="2" s="1"/>
  <c r="F10" i="13" s="1"/>
  <c r="E26" i="2"/>
  <c r="E53" i="3" s="1"/>
  <c r="E62" i="7" s="1"/>
  <c r="D26" i="2"/>
  <c r="D54" i="3" s="1"/>
  <c r="D63" i="7" s="1"/>
  <c r="C26" i="2"/>
  <c r="C27" i="2" s="1"/>
  <c r="C10" i="13" s="1"/>
  <c r="V18" i="2"/>
  <c r="U18" i="2"/>
  <c r="T18" i="2"/>
  <c r="S18" i="2"/>
  <c r="R18" i="2"/>
  <c r="Q18" i="2"/>
  <c r="P18" i="2"/>
  <c r="O18" i="2"/>
  <c r="L18" i="2"/>
  <c r="K18" i="2"/>
  <c r="J18" i="2"/>
  <c r="I18" i="2"/>
  <c r="H18" i="2"/>
  <c r="G18" i="2"/>
  <c r="F18" i="2"/>
  <c r="V15" i="2"/>
  <c r="V55" i="7" s="1"/>
  <c r="U15" i="2"/>
  <c r="U55" i="7" s="1"/>
  <c r="T15" i="2"/>
  <c r="T55" i="7" s="1"/>
  <c r="S15" i="2"/>
  <c r="S55" i="7" s="1"/>
  <c r="L15" i="2"/>
  <c r="L55" i="7" s="1"/>
  <c r="K15" i="2"/>
  <c r="K55" i="7" s="1"/>
  <c r="J15" i="2"/>
  <c r="J55" i="7" s="1"/>
  <c r="I15" i="2"/>
  <c r="I55" i="7" s="1"/>
  <c r="H15" i="2"/>
  <c r="H55" i="7" s="1"/>
  <c r="G15" i="2"/>
  <c r="G55" i="7" s="1"/>
  <c r="F15" i="2"/>
  <c r="F55" i="7" s="1"/>
  <c r="E15" i="2"/>
  <c r="E55" i="7" s="1"/>
  <c r="D15" i="2"/>
  <c r="D55" i="7" s="1"/>
  <c r="A11" i="2"/>
  <c r="A10" i="2"/>
  <c r="A9" i="2"/>
  <c r="A8" i="2"/>
  <c r="A7" i="2"/>
  <c r="F41" i="6"/>
  <c r="E41" i="6"/>
  <c r="L39" i="6"/>
  <c r="L41" i="6" s="1"/>
  <c r="K39" i="6"/>
  <c r="K41" i="6" s="1"/>
  <c r="J39" i="6"/>
  <c r="J41" i="6" s="1"/>
  <c r="I39" i="6"/>
  <c r="I41" i="6" s="1"/>
  <c r="H39" i="6"/>
  <c r="H41" i="6" s="1"/>
  <c r="G39" i="6"/>
  <c r="G41" i="6" s="1"/>
  <c r="F39" i="6"/>
  <c r="E39" i="6"/>
  <c r="D39" i="6"/>
  <c r="D41" i="6" s="1"/>
  <c r="C39" i="6"/>
  <c r="C41" i="6" s="1"/>
  <c r="J26" i="6"/>
  <c r="J27" i="6" s="1"/>
  <c r="V25" i="6"/>
  <c r="U25" i="6"/>
  <c r="T25" i="6"/>
  <c r="S25" i="6"/>
  <c r="R25" i="6"/>
  <c r="Q25" i="6"/>
  <c r="P25" i="6"/>
  <c r="O25" i="6"/>
  <c r="L25" i="6"/>
  <c r="K25" i="6"/>
  <c r="J25" i="6"/>
  <c r="I25" i="6"/>
  <c r="H25" i="6"/>
  <c r="G25" i="6"/>
  <c r="F25" i="6"/>
  <c r="V24" i="6"/>
  <c r="U24" i="6"/>
  <c r="T24" i="6"/>
  <c r="S24" i="6"/>
  <c r="R24" i="6"/>
  <c r="Q24" i="6"/>
  <c r="P24" i="6"/>
  <c r="O24" i="6"/>
  <c r="L24" i="6"/>
  <c r="K24" i="6"/>
  <c r="J24" i="6"/>
  <c r="I24" i="6"/>
  <c r="H24" i="6"/>
  <c r="G24" i="6"/>
  <c r="F24" i="6"/>
  <c r="V23" i="6"/>
  <c r="V26" i="6" s="1"/>
  <c r="U23" i="6"/>
  <c r="T23" i="6"/>
  <c r="T26" i="6" s="1"/>
  <c r="S23" i="6"/>
  <c r="S26" i="6" s="1"/>
  <c r="R23" i="6"/>
  <c r="R26" i="6" s="1"/>
  <c r="Q23" i="6"/>
  <c r="P23" i="6"/>
  <c r="O23" i="6"/>
  <c r="L23" i="6"/>
  <c r="K23" i="6"/>
  <c r="J23" i="6"/>
  <c r="I23" i="6"/>
  <c r="I26" i="6" s="1"/>
  <c r="H23" i="6"/>
  <c r="H26" i="6" s="1"/>
  <c r="H27" i="6" s="1"/>
  <c r="G23" i="6"/>
  <c r="F23" i="6"/>
  <c r="F26" i="6" s="1"/>
  <c r="V21" i="6"/>
  <c r="U21" i="6"/>
  <c r="T21" i="6"/>
  <c r="S21" i="6"/>
  <c r="Q21" i="6"/>
  <c r="I21" i="6"/>
  <c r="V20" i="6"/>
  <c r="U20" i="6"/>
  <c r="T20" i="6"/>
  <c r="S20" i="6"/>
  <c r="R20" i="6"/>
  <c r="R21" i="6" s="1"/>
  <c r="Q20" i="6"/>
  <c r="P20" i="6"/>
  <c r="P21" i="6" s="1"/>
  <c r="O20" i="6"/>
  <c r="O21" i="6" s="1"/>
  <c r="L20" i="6"/>
  <c r="L21" i="6" s="1"/>
  <c r="K20" i="6"/>
  <c r="K21" i="6" s="1"/>
  <c r="J20" i="6"/>
  <c r="J21" i="6" s="1"/>
  <c r="I20" i="6"/>
  <c r="H20" i="6"/>
  <c r="H21" i="6" s="1"/>
  <c r="G20" i="6"/>
  <c r="G21" i="6" s="1"/>
  <c r="F20" i="6"/>
  <c r="F21" i="6" s="1"/>
  <c r="R15" i="6"/>
  <c r="Q15" i="6"/>
  <c r="P15" i="6"/>
  <c r="K15" i="6"/>
  <c r="I15" i="6"/>
  <c r="H15" i="6"/>
  <c r="V14" i="6"/>
  <c r="V15" i="6" s="1"/>
  <c r="U14" i="6"/>
  <c r="U15" i="6" s="1"/>
  <c r="T14" i="6"/>
  <c r="T15" i="6" s="1"/>
  <c r="S14" i="6"/>
  <c r="S15" i="6" s="1"/>
  <c r="R14" i="6"/>
  <c r="Q14" i="6"/>
  <c r="P14" i="6"/>
  <c r="O14" i="6"/>
  <c r="O15" i="6" s="1"/>
  <c r="L14" i="6"/>
  <c r="L15" i="6" s="1"/>
  <c r="K14" i="6"/>
  <c r="J14" i="6"/>
  <c r="J15" i="6" s="1"/>
  <c r="I14" i="6"/>
  <c r="H14" i="6"/>
  <c r="G14" i="6"/>
  <c r="G15" i="6" s="1"/>
  <c r="F14" i="6"/>
  <c r="F15" i="6" s="1"/>
  <c r="A8" i="6"/>
  <c r="A7" i="6"/>
  <c r="Q26" i="6" l="1"/>
  <c r="H31" i="6"/>
  <c r="L26" i="6"/>
  <c r="L27" i="6" s="1"/>
  <c r="J31" i="6"/>
  <c r="H29" i="6"/>
  <c r="H30" i="6"/>
  <c r="O26" i="6"/>
  <c r="O27" i="6" s="1"/>
  <c r="L30" i="6"/>
  <c r="P26" i="6"/>
  <c r="P27" i="6" s="1"/>
  <c r="L31" i="6"/>
  <c r="R28" i="7"/>
  <c r="R22" i="7"/>
  <c r="R59" i="5"/>
  <c r="R46" i="2"/>
  <c r="R48" i="2" s="1"/>
  <c r="R50" i="2" s="1"/>
  <c r="R44" i="7"/>
  <c r="R58" i="5"/>
  <c r="R38" i="2"/>
  <c r="R20" i="7" s="1"/>
  <c r="T31" i="6"/>
  <c r="T27" i="6"/>
  <c r="T29" i="6"/>
  <c r="K29" i="12"/>
  <c r="K65" i="4"/>
  <c r="Q31" i="7"/>
  <c r="R27" i="6"/>
  <c r="R29" i="6"/>
  <c r="R30" i="6"/>
  <c r="R31" i="6"/>
  <c r="Q27" i="6"/>
  <c r="Q29" i="6"/>
  <c r="Q30" i="6"/>
  <c r="Q31" i="6"/>
  <c r="K19" i="13"/>
  <c r="K31" i="7"/>
  <c r="K20" i="13"/>
  <c r="K37" i="7"/>
  <c r="U71" i="4"/>
  <c r="U47" i="7" s="1"/>
  <c r="T37" i="2"/>
  <c r="T28" i="2"/>
  <c r="T19" i="7" s="1"/>
  <c r="S29" i="6"/>
  <c r="S30" i="6"/>
  <c r="S27" i="6"/>
  <c r="L19" i="13"/>
  <c r="L31" i="7"/>
  <c r="L20" i="13"/>
  <c r="F27" i="6"/>
  <c r="F30" i="6"/>
  <c r="F31" i="6"/>
  <c r="V27" i="6"/>
  <c r="V31" i="6"/>
  <c r="V29" i="6"/>
  <c r="V30" i="6"/>
  <c r="I27" i="6"/>
  <c r="I31" i="6"/>
  <c r="D20" i="13"/>
  <c r="D19" i="13"/>
  <c r="D31" i="7"/>
  <c r="D37" i="7"/>
  <c r="L65" i="4"/>
  <c r="L29" i="12"/>
  <c r="U36" i="7"/>
  <c r="U49" i="3"/>
  <c r="V37" i="7"/>
  <c r="V31" i="7"/>
  <c r="D29" i="12"/>
  <c r="D65" i="4"/>
  <c r="H62" i="7"/>
  <c r="K62" i="7"/>
  <c r="O31" i="6"/>
  <c r="Q44" i="7"/>
  <c r="Q28" i="7"/>
  <c r="Q46" i="2"/>
  <c r="Q48" i="2" s="1"/>
  <c r="Q50" i="2" s="1"/>
  <c r="Q49" i="7" s="1"/>
  <c r="Q38" i="2"/>
  <c r="Q20" i="7" s="1"/>
  <c r="Q59" i="5"/>
  <c r="Q61" i="5" s="1"/>
  <c r="Q58" i="5"/>
  <c r="Q22" i="7"/>
  <c r="F25" i="13"/>
  <c r="F15" i="12"/>
  <c r="F18" i="12" s="1"/>
  <c r="F62" i="4"/>
  <c r="J22" i="9"/>
  <c r="J30" i="9"/>
  <c r="T54" i="3"/>
  <c r="T63" i="7" s="1"/>
  <c r="S40" i="7"/>
  <c r="D27" i="2"/>
  <c r="C46" i="2"/>
  <c r="Q41" i="7"/>
  <c r="Q26" i="3"/>
  <c r="Q49" i="3" s="1"/>
  <c r="O26" i="3"/>
  <c r="O49" i="3" s="1"/>
  <c r="T53" i="3"/>
  <c r="T62" i="7" s="1"/>
  <c r="H25" i="13"/>
  <c r="H68" i="4"/>
  <c r="H69" i="4" s="1"/>
  <c r="H15" i="12"/>
  <c r="H18" i="12" s="1"/>
  <c r="T62" i="4"/>
  <c r="T65" i="4" s="1"/>
  <c r="I21" i="9"/>
  <c r="I49" i="3"/>
  <c r="E15" i="12"/>
  <c r="E18" i="12" s="1"/>
  <c r="E25" i="13"/>
  <c r="J29" i="12"/>
  <c r="J65" i="4"/>
  <c r="P40" i="7"/>
  <c r="P41" i="7"/>
  <c r="J41" i="7"/>
  <c r="K26" i="6"/>
  <c r="K31" i="6" s="1"/>
  <c r="U27" i="2"/>
  <c r="O22" i="7"/>
  <c r="O58" i="5"/>
  <c r="O59" i="5"/>
  <c r="O61" i="5" s="1"/>
  <c r="O44" i="7"/>
  <c r="O38" i="2"/>
  <c r="O20" i="7" s="1"/>
  <c r="J28" i="9"/>
  <c r="J29" i="9"/>
  <c r="J33" i="9"/>
  <c r="J26" i="9"/>
  <c r="V27" i="2"/>
  <c r="V53" i="3"/>
  <c r="T31" i="7"/>
  <c r="T37" i="7"/>
  <c r="U53" i="3"/>
  <c r="U62" i="7" s="1"/>
  <c r="F28" i="2"/>
  <c r="F19" i="7" s="1"/>
  <c r="C40" i="7"/>
  <c r="C41" i="7"/>
  <c r="J36" i="7"/>
  <c r="D55" i="3"/>
  <c r="D64" i="7" s="1"/>
  <c r="J25" i="13"/>
  <c r="J15" i="12"/>
  <c r="J18" i="12" s="1"/>
  <c r="J68" i="4"/>
  <c r="U62" i="4"/>
  <c r="U65" i="4" s="1"/>
  <c r="E68" i="4"/>
  <c r="R31" i="7"/>
  <c r="O41" i="7"/>
  <c r="H27" i="2"/>
  <c r="O36" i="7"/>
  <c r="K36" i="7"/>
  <c r="F19" i="13"/>
  <c r="F20" i="13"/>
  <c r="F31" i="7"/>
  <c r="E49" i="3"/>
  <c r="E54" i="3"/>
  <c r="E63" i="7" s="1"/>
  <c r="F68" i="4"/>
  <c r="L47" i="5"/>
  <c r="L48" i="5"/>
  <c r="V41" i="7"/>
  <c r="K29" i="9"/>
  <c r="K30" i="9"/>
  <c r="K31" i="9"/>
  <c r="I25" i="13"/>
  <c r="I15" i="12"/>
  <c r="I18" i="12" s="1"/>
  <c r="I62" i="4"/>
  <c r="E69" i="4"/>
  <c r="I27" i="2"/>
  <c r="C11" i="13"/>
  <c r="C12" i="13"/>
  <c r="C13" i="13" s="1"/>
  <c r="C18" i="13"/>
  <c r="C24" i="5"/>
  <c r="C28" i="7"/>
  <c r="C22" i="7"/>
  <c r="C38" i="2"/>
  <c r="C20" i="7" s="1"/>
  <c r="J19" i="13"/>
  <c r="J37" i="7"/>
  <c r="J20" i="13"/>
  <c r="J31" i="7"/>
  <c r="G19" i="13"/>
  <c r="G20" i="13"/>
  <c r="G61" i="7"/>
  <c r="G55" i="3"/>
  <c r="G64" i="7" s="1"/>
  <c r="F54" i="3"/>
  <c r="F63" i="7" s="1"/>
  <c r="L25" i="13"/>
  <c r="L15" i="12"/>
  <c r="L18" i="12" s="1"/>
  <c r="L68" i="4"/>
  <c r="I68" i="4"/>
  <c r="V47" i="5"/>
  <c r="C44" i="7"/>
  <c r="T41" i="7"/>
  <c r="T40" i="7"/>
  <c r="T30" i="6"/>
  <c r="S31" i="6"/>
  <c r="U26" i="6"/>
  <c r="U29" i="6" s="1"/>
  <c r="L53" i="3"/>
  <c r="L62" i="7" s="1"/>
  <c r="L27" i="2"/>
  <c r="I48" i="5"/>
  <c r="G37" i="7"/>
  <c r="E19" i="13"/>
  <c r="E20" i="13"/>
  <c r="E37" i="7"/>
  <c r="D41" i="7"/>
  <c r="D40" i="7"/>
  <c r="F29" i="6"/>
  <c r="O53" i="3"/>
  <c r="O54" i="3"/>
  <c r="O63" i="7" s="1"/>
  <c r="K27" i="2"/>
  <c r="F37" i="2"/>
  <c r="G26" i="3"/>
  <c r="G40" i="7"/>
  <c r="G41" i="7"/>
  <c r="C26" i="3"/>
  <c r="C37" i="7" s="1"/>
  <c r="V26" i="3"/>
  <c r="V49" i="3" s="1"/>
  <c r="I19" i="13"/>
  <c r="I37" i="7"/>
  <c r="I20" i="13"/>
  <c r="I31" i="7"/>
  <c r="J49" i="3"/>
  <c r="F53" i="3"/>
  <c r="F62" i="7" s="1"/>
  <c r="H54" i="3"/>
  <c r="H63" i="7" s="1"/>
  <c r="O71" i="4"/>
  <c r="O47" i="7" s="1"/>
  <c r="F40" i="7"/>
  <c r="F41" i="7"/>
  <c r="D53" i="3"/>
  <c r="D62" i="7" s="1"/>
  <c r="G26" i="6"/>
  <c r="G29" i="6"/>
  <c r="J30" i="6"/>
  <c r="G37" i="2"/>
  <c r="H40" i="7"/>
  <c r="H41" i="7"/>
  <c r="D26" i="3"/>
  <c r="D23" i="13" s="1"/>
  <c r="R36" i="7"/>
  <c r="K49" i="3"/>
  <c r="J61" i="7"/>
  <c r="J55" i="3"/>
  <c r="J64" i="7" s="1"/>
  <c r="L55" i="3"/>
  <c r="L64" i="7" s="1"/>
  <c r="P71" i="4"/>
  <c r="P47" i="7" s="1"/>
  <c r="T69" i="4"/>
  <c r="L41" i="7"/>
  <c r="L26" i="3"/>
  <c r="L36" i="7" s="1"/>
  <c r="G36" i="7"/>
  <c r="P61" i="7"/>
  <c r="P55" i="3"/>
  <c r="P64" i="7" s="1"/>
  <c r="H19" i="13"/>
  <c r="H31" i="7"/>
  <c r="H20" i="13"/>
  <c r="H37" i="7"/>
  <c r="I29" i="6"/>
  <c r="P37" i="2"/>
  <c r="P28" i="2"/>
  <c r="P19" i="7" s="1"/>
  <c r="O46" i="2"/>
  <c r="O48" i="2" s="1"/>
  <c r="O50" i="2" s="1"/>
  <c r="I41" i="7"/>
  <c r="T36" i="7"/>
  <c r="S36" i="7"/>
  <c r="I53" i="3"/>
  <c r="K54" i="3"/>
  <c r="K63" i="7" s="1"/>
  <c r="R49" i="7"/>
  <c r="R62" i="4"/>
  <c r="R65" i="4" s="1"/>
  <c r="E62" i="4"/>
  <c r="R68" i="4"/>
  <c r="O28" i="7"/>
  <c r="T61" i="7"/>
  <c r="J28" i="2"/>
  <c r="J19" i="7" s="1"/>
  <c r="P37" i="7"/>
  <c r="S68" i="4"/>
  <c r="D71" i="4"/>
  <c r="D47" i="7" s="1"/>
  <c r="T48" i="5"/>
  <c r="T47" i="5"/>
  <c r="U37" i="7"/>
  <c r="E27" i="2"/>
  <c r="P26" i="3"/>
  <c r="P49" i="3" s="1"/>
  <c r="J29" i="6"/>
  <c r="I30" i="6"/>
  <c r="R62" i="7"/>
  <c r="R55" i="3"/>
  <c r="R64" i="7" s="1"/>
  <c r="J37" i="2"/>
  <c r="F26" i="3"/>
  <c r="F36" i="7" s="1"/>
  <c r="L54" i="3"/>
  <c r="L63" i="7" s="1"/>
  <c r="Q55" i="3"/>
  <c r="Q64" i="7" s="1"/>
  <c r="C15" i="12"/>
  <c r="C18" i="12" s="1"/>
  <c r="C25" i="13"/>
  <c r="C68" i="4"/>
  <c r="C62" i="4"/>
  <c r="L29" i="6"/>
  <c r="S27" i="2"/>
  <c r="S54" i="3"/>
  <c r="S63" i="7" s="1"/>
  <c r="H26" i="3"/>
  <c r="H62" i="4"/>
  <c r="I26" i="9"/>
  <c r="K23" i="13"/>
  <c r="L23" i="13"/>
  <c r="K26" i="9"/>
  <c r="E28" i="9"/>
  <c r="I29" i="9"/>
  <c r="J30" i="12"/>
  <c r="E30" i="9"/>
  <c r="E31" i="9"/>
  <c r="E32" i="9"/>
  <c r="E33" i="9"/>
  <c r="E26" i="9"/>
  <c r="C20" i="13"/>
  <c r="C19" i="13"/>
  <c r="K25" i="13"/>
  <c r="K15" i="12"/>
  <c r="K18" i="12" s="1"/>
  <c r="E18" i="11"/>
  <c r="E20" i="11" s="1"/>
  <c r="K30" i="12"/>
  <c r="K33" i="9"/>
  <c r="Q62" i="4"/>
  <c r="Q65" i="4" s="1"/>
  <c r="I40" i="7"/>
  <c r="K18" i="11"/>
  <c r="K20" i="11" s="1"/>
  <c r="E27" i="9"/>
  <c r="I28" i="9"/>
  <c r="E22" i="9"/>
  <c r="I18" i="11"/>
  <c r="I20" i="11" s="1"/>
  <c r="K40" i="7"/>
  <c r="I22" i="9"/>
  <c r="J32" i="9"/>
  <c r="K28" i="9"/>
  <c r="K32" i="9"/>
  <c r="E23" i="13"/>
  <c r="L18" i="11"/>
  <c r="L20" i="11" s="1"/>
  <c r="R41" i="7"/>
  <c r="R40" i="7"/>
  <c r="D15" i="12"/>
  <c r="D18" i="12" s="1"/>
  <c r="D25" i="13"/>
  <c r="Q68" i="4"/>
  <c r="D30" i="12"/>
  <c r="J27" i="9"/>
  <c r="G30" i="12"/>
  <c r="G20" i="9"/>
  <c r="K27" i="9"/>
  <c r="E29" i="9"/>
  <c r="G13" i="10"/>
  <c r="I23" i="13"/>
  <c r="E40" i="7"/>
  <c r="U41" i="7"/>
  <c r="U40" i="7"/>
  <c r="E61" i="7"/>
  <c r="E55" i="3"/>
  <c r="E64" i="7" s="1"/>
  <c r="U61" i="7"/>
  <c r="U55" i="3"/>
  <c r="U64" i="7" s="1"/>
  <c r="G25" i="13"/>
  <c r="G15" i="12"/>
  <c r="G18" i="12" s="1"/>
  <c r="J23" i="13"/>
  <c r="J31" i="9"/>
  <c r="H28" i="12"/>
  <c r="J34" i="13"/>
  <c r="K12" i="9"/>
  <c r="K20" i="9" s="1"/>
  <c r="K22" i="9" s="1"/>
  <c r="C18" i="9"/>
  <c r="I28" i="12"/>
  <c r="L9" i="13"/>
  <c r="G23" i="13"/>
  <c r="K34" i="13"/>
  <c r="L12" i="9"/>
  <c r="L20" i="9" s="1"/>
  <c r="D14" i="12"/>
  <c r="H23" i="13"/>
  <c r="L34" i="13"/>
  <c r="I30" i="9"/>
  <c r="E14" i="12"/>
  <c r="F14" i="12"/>
  <c r="L28" i="12"/>
  <c r="L30" i="12" s="1"/>
  <c r="G18" i="9"/>
  <c r="J48" i="5"/>
  <c r="C12" i="9"/>
  <c r="D9" i="13"/>
  <c r="D12" i="9"/>
  <c r="D20" i="9" s="1"/>
  <c r="E9" i="13"/>
  <c r="D34" i="13"/>
  <c r="O30" i="6" l="1"/>
  <c r="P30" i="6"/>
  <c r="K30" i="6"/>
  <c r="P29" i="6"/>
  <c r="P31" i="6"/>
  <c r="O29" i="6"/>
  <c r="J18" i="13"/>
  <c r="J11" i="13"/>
  <c r="J22" i="7"/>
  <c r="J12" i="13"/>
  <c r="J13" i="13" s="1"/>
  <c r="J28" i="7"/>
  <c r="J38" i="2"/>
  <c r="J20" i="7" s="1"/>
  <c r="J44" i="7"/>
  <c r="J59" i="5"/>
  <c r="J46" i="2"/>
  <c r="J58" i="5"/>
  <c r="O51" i="2"/>
  <c r="O21" i="7" s="1"/>
  <c r="O55" i="2"/>
  <c r="S55" i="3"/>
  <c r="S64" i="7" s="1"/>
  <c r="T55" i="3"/>
  <c r="T64" i="7" s="1"/>
  <c r="G27" i="6"/>
  <c r="G30" i="6"/>
  <c r="G31" i="6"/>
  <c r="F37" i="7"/>
  <c r="F23" i="13"/>
  <c r="K34" i="9"/>
  <c r="H21" i="9"/>
  <c r="H49" i="3"/>
  <c r="P44" i="7"/>
  <c r="P22" i="7"/>
  <c r="P28" i="7"/>
  <c r="P58" i="5"/>
  <c r="P59" i="5"/>
  <c r="P61" i="5" s="1"/>
  <c r="P46" i="2"/>
  <c r="P48" i="2" s="1"/>
  <c r="P50" i="2" s="1"/>
  <c r="P38" i="2"/>
  <c r="P20" i="7" s="1"/>
  <c r="T39" i="2"/>
  <c r="T56" i="7" s="1"/>
  <c r="I27" i="13"/>
  <c r="I37" i="13"/>
  <c r="I38" i="13" s="1"/>
  <c r="K55" i="3"/>
  <c r="K64" i="7" s="1"/>
  <c r="I31" i="9"/>
  <c r="I32" i="9"/>
  <c r="I33" i="9"/>
  <c r="I27" i="9"/>
  <c r="I34" i="9" s="1"/>
  <c r="G27" i="13"/>
  <c r="G37" i="13"/>
  <c r="G38" i="13" s="1"/>
  <c r="S28" i="2"/>
  <c r="S19" i="7" s="1"/>
  <c r="S37" i="2"/>
  <c r="V69" i="4"/>
  <c r="R71" i="4"/>
  <c r="R47" i="7" s="1"/>
  <c r="R72" i="4"/>
  <c r="R48" i="7" s="1"/>
  <c r="C33" i="7"/>
  <c r="C32" i="7"/>
  <c r="C23" i="7"/>
  <c r="C21" i="9"/>
  <c r="C49" i="3"/>
  <c r="J69" i="4"/>
  <c r="I71" i="4"/>
  <c r="I47" i="7" s="1"/>
  <c r="E29" i="12"/>
  <c r="E30" i="12" s="1"/>
  <c r="E65" i="4"/>
  <c r="L69" i="4"/>
  <c r="L71" i="4"/>
  <c r="L47" i="7" s="1"/>
  <c r="H10" i="13"/>
  <c r="H37" i="2"/>
  <c r="H28" i="2"/>
  <c r="H19" i="7" s="1"/>
  <c r="G21" i="9"/>
  <c r="G49" i="3"/>
  <c r="U37" i="2"/>
  <c r="U28" i="2"/>
  <c r="U19" i="7" s="1"/>
  <c r="L37" i="7"/>
  <c r="O33" i="7"/>
  <c r="O23" i="7"/>
  <c r="O32" i="7"/>
  <c r="Q51" i="2"/>
  <c r="Q21" i="7" s="1"/>
  <c r="Q55" i="2"/>
  <c r="H55" i="3"/>
  <c r="H64" i="7" s="1"/>
  <c r="C20" i="9"/>
  <c r="L22" i="9"/>
  <c r="D27" i="13"/>
  <c r="D37" i="13"/>
  <c r="D38" i="13" s="1"/>
  <c r="C29" i="12"/>
  <c r="C30" i="12" s="1"/>
  <c r="C65" i="4"/>
  <c r="E10" i="13"/>
  <c r="E37" i="2"/>
  <c r="E28" i="2"/>
  <c r="E19" i="7" s="1"/>
  <c r="E34" i="9"/>
  <c r="D69" i="4"/>
  <c r="C72" i="4"/>
  <c r="C48" i="7" s="1"/>
  <c r="C71" i="4"/>
  <c r="C47" i="7" s="1"/>
  <c r="O37" i="7"/>
  <c r="O72" i="4"/>
  <c r="O48" i="7" s="1"/>
  <c r="F12" i="13"/>
  <c r="F13" i="13" s="1"/>
  <c r="F18" i="13"/>
  <c r="F11" i="13"/>
  <c r="F38" i="5"/>
  <c r="G39" i="2"/>
  <c r="G56" i="7" s="1"/>
  <c r="F38" i="2"/>
  <c r="F20" i="7" s="1"/>
  <c r="F44" i="7"/>
  <c r="F28" i="7"/>
  <c r="F39" i="5"/>
  <c r="F46" i="2"/>
  <c r="F22" i="7"/>
  <c r="L27" i="13"/>
  <c r="L37" i="13"/>
  <c r="L38" i="13" s="1"/>
  <c r="K27" i="6"/>
  <c r="K29" i="6"/>
  <c r="Q71" i="4"/>
  <c r="Q47" i="7" s="1"/>
  <c r="U69" i="4"/>
  <c r="Q72" i="4"/>
  <c r="Q48" i="7" s="1"/>
  <c r="C27" i="13"/>
  <c r="C28" i="13" s="1"/>
  <c r="C37" i="13"/>
  <c r="C38" i="13" s="1"/>
  <c r="K10" i="13"/>
  <c r="K37" i="2"/>
  <c r="K39" i="2" s="1"/>
  <c r="K56" i="7" s="1"/>
  <c r="K28" i="2"/>
  <c r="K19" i="7" s="1"/>
  <c r="L10" i="13"/>
  <c r="L28" i="2"/>
  <c r="L19" i="7" s="1"/>
  <c r="L37" i="2"/>
  <c r="I69" i="4"/>
  <c r="H71" i="4"/>
  <c r="H47" i="7" s="1"/>
  <c r="H36" i="7"/>
  <c r="D22" i="9"/>
  <c r="K27" i="13"/>
  <c r="K37" i="13"/>
  <c r="K38" i="13" s="1"/>
  <c r="I62" i="7"/>
  <c r="I55" i="3"/>
  <c r="I64" i="7" s="1"/>
  <c r="G69" i="4"/>
  <c r="F71" i="4"/>
  <c r="F47" i="7" s="1"/>
  <c r="E71" i="4"/>
  <c r="E47" i="7" s="1"/>
  <c r="F69" i="4"/>
  <c r="V62" i="7"/>
  <c r="V55" i="3"/>
  <c r="V64" i="7" s="1"/>
  <c r="H37" i="13"/>
  <c r="H38" i="13" s="1"/>
  <c r="H27" i="13"/>
  <c r="Q36" i="7"/>
  <c r="D21" i="9"/>
  <c r="D49" i="3"/>
  <c r="O49" i="7"/>
  <c r="O62" i="7"/>
  <c r="O55" i="3"/>
  <c r="O64" i="7" s="1"/>
  <c r="U31" i="6"/>
  <c r="U27" i="6"/>
  <c r="U30" i="6"/>
  <c r="F55" i="3"/>
  <c r="F64" i="7" s="1"/>
  <c r="V28" i="2"/>
  <c r="V19" i="7" s="1"/>
  <c r="V37" i="2"/>
  <c r="P36" i="7"/>
  <c r="I30" i="12"/>
  <c r="S71" i="4"/>
  <c r="S47" i="7" s="1"/>
  <c r="S69" i="4"/>
  <c r="L21" i="9"/>
  <c r="L49" i="3"/>
  <c r="I10" i="13"/>
  <c r="I37" i="2"/>
  <c r="I28" i="2"/>
  <c r="I19" i="7" s="1"/>
  <c r="J71" i="4"/>
  <c r="J47" i="7" s="1"/>
  <c r="K69" i="4"/>
  <c r="J34" i="9"/>
  <c r="F29" i="12"/>
  <c r="F30" i="12" s="1"/>
  <c r="F65" i="4"/>
  <c r="D36" i="7"/>
  <c r="G12" i="13"/>
  <c r="G13" i="13" s="1"/>
  <c r="G18" i="13"/>
  <c r="G59" i="5"/>
  <c r="G61" i="5" s="1"/>
  <c r="G58" i="5"/>
  <c r="G11" i="13"/>
  <c r="G28" i="7"/>
  <c r="G22" i="7"/>
  <c r="G46" i="2"/>
  <c r="G44" i="7"/>
  <c r="H39" i="2"/>
  <c r="H56" i="7" s="1"/>
  <c r="G38" i="2"/>
  <c r="G20" i="7" s="1"/>
  <c r="R51" i="2"/>
  <c r="R21" i="7" s="1"/>
  <c r="R55" i="2"/>
  <c r="H29" i="12"/>
  <c r="H30" i="12" s="1"/>
  <c r="H65" i="4"/>
  <c r="F21" i="9"/>
  <c r="F49" i="3"/>
  <c r="E27" i="13"/>
  <c r="E37" i="13"/>
  <c r="E38" i="13" s="1"/>
  <c r="F27" i="13"/>
  <c r="F37" i="13"/>
  <c r="F38" i="13" s="1"/>
  <c r="V36" i="7"/>
  <c r="T38" i="2"/>
  <c r="T20" i="7" s="1"/>
  <c r="T28" i="7"/>
  <c r="T44" i="7"/>
  <c r="T58" i="5"/>
  <c r="T22" i="7"/>
  <c r="T46" i="2"/>
  <c r="T48" i="2" s="1"/>
  <c r="T50" i="2" s="1"/>
  <c r="T59" i="5"/>
  <c r="R61" i="5"/>
  <c r="R60" i="5"/>
  <c r="I29" i="12"/>
  <c r="I65" i="4"/>
  <c r="J27" i="13"/>
  <c r="J37" i="13"/>
  <c r="J38" i="13" s="1"/>
  <c r="C14" i="13"/>
  <c r="C48" i="2"/>
  <c r="C50" i="2" s="1"/>
  <c r="Q23" i="7"/>
  <c r="Q33" i="7"/>
  <c r="Q32" i="7"/>
  <c r="R32" i="7"/>
  <c r="R33" i="7"/>
  <c r="R23" i="7"/>
  <c r="C36" i="7"/>
  <c r="D10" i="13"/>
  <c r="D37" i="2"/>
  <c r="D28" i="2"/>
  <c r="D19" i="7" s="1"/>
  <c r="Q37" i="7"/>
  <c r="G28" i="13" l="1"/>
  <c r="H58" i="7"/>
  <c r="G32" i="7"/>
  <c r="G33" i="7"/>
  <c r="G23" i="7"/>
  <c r="F21" i="13"/>
  <c r="F22" i="13"/>
  <c r="D28" i="13"/>
  <c r="U59" i="5"/>
  <c r="U44" i="7"/>
  <c r="U28" i="7"/>
  <c r="U22" i="7"/>
  <c r="U46" i="2"/>
  <c r="U48" i="2" s="1"/>
  <c r="U50" i="2" s="1"/>
  <c r="U58" i="5"/>
  <c r="U38" i="2"/>
  <c r="U20" i="7" s="1"/>
  <c r="U39" i="2"/>
  <c r="U56" i="7" s="1"/>
  <c r="E28" i="13"/>
  <c r="I18" i="13"/>
  <c r="I11" i="13"/>
  <c r="I12" i="13"/>
  <c r="I13" i="13" s="1"/>
  <c r="I28" i="7"/>
  <c r="I22" i="7"/>
  <c r="I58" i="5"/>
  <c r="I44" i="7"/>
  <c r="I59" i="5"/>
  <c r="J39" i="2"/>
  <c r="J56" i="7" s="1"/>
  <c r="I38" i="2"/>
  <c r="I20" i="7" s="1"/>
  <c r="I46" i="2"/>
  <c r="C33" i="9"/>
  <c r="C27" i="9"/>
  <c r="C29" i="9"/>
  <c r="C28" i="9"/>
  <c r="C26" i="9"/>
  <c r="C31" i="9"/>
  <c r="C32" i="9"/>
  <c r="C30" i="9"/>
  <c r="T58" i="7"/>
  <c r="P33" i="7"/>
  <c r="P32" i="7"/>
  <c r="P23" i="7"/>
  <c r="G28" i="9"/>
  <c r="G30" i="9"/>
  <c r="G26" i="9"/>
  <c r="G32" i="9"/>
  <c r="G29" i="9"/>
  <c r="G33" i="9"/>
  <c r="G27" i="9"/>
  <c r="G31" i="9"/>
  <c r="T61" i="5"/>
  <c r="T60" i="5"/>
  <c r="L44" i="7"/>
  <c r="L11" i="13"/>
  <c r="L28" i="7"/>
  <c r="L12" i="13"/>
  <c r="L13" i="13" s="1"/>
  <c r="L18" i="13"/>
  <c r="L46" i="2"/>
  <c r="L59" i="5"/>
  <c r="L38" i="2"/>
  <c r="L20" i="7" s="1"/>
  <c r="L58" i="5"/>
  <c r="L22" i="7"/>
  <c r="L28" i="13"/>
  <c r="C22" i="9"/>
  <c r="J14" i="13"/>
  <c r="J48" i="2"/>
  <c r="J50" i="2" s="1"/>
  <c r="T49" i="7"/>
  <c r="T55" i="2"/>
  <c r="T51" i="2"/>
  <c r="T21" i="7" s="1"/>
  <c r="T72" i="4"/>
  <c r="T48" i="7" s="1"/>
  <c r="F27" i="9"/>
  <c r="F28" i="9"/>
  <c r="F32" i="9"/>
  <c r="F33" i="9"/>
  <c r="F31" i="9"/>
  <c r="F29" i="9"/>
  <c r="F26" i="9"/>
  <c r="F30" i="9"/>
  <c r="F22" i="9"/>
  <c r="L32" i="9"/>
  <c r="L26" i="9"/>
  <c r="L30" i="9"/>
  <c r="L31" i="9"/>
  <c r="L28" i="9"/>
  <c r="L27" i="9"/>
  <c r="L29" i="9"/>
  <c r="L33" i="9"/>
  <c r="H12" i="13"/>
  <c r="H13" i="13" s="1"/>
  <c r="H18" i="13"/>
  <c r="H59" i="5"/>
  <c r="H58" i="5"/>
  <c r="H44" i="7"/>
  <c r="H11" i="13"/>
  <c r="I39" i="2"/>
  <c r="I56" i="7" s="1"/>
  <c r="H38" i="2"/>
  <c r="H20" i="7" s="1"/>
  <c r="H28" i="7"/>
  <c r="H46" i="2"/>
  <c r="H22" i="7"/>
  <c r="H31" i="9"/>
  <c r="H29" i="9"/>
  <c r="H30" i="9"/>
  <c r="H27" i="9"/>
  <c r="H26" i="9"/>
  <c r="H32" i="9"/>
  <c r="H22" i="9"/>
  <c r="H33" i="9"/>
  <c r="H28" i="9"/>
  <c r="J61" i="5"/>
  <c r="J60" i="5"/>
  <c r="G58" i="7"/>
  <c r="F23" i="7"/>
  <c r="F32" i="7"/>
  <c r="F33" i="7"/>
  <c r="F14" i="13"/>
  <c r="F48" i="2"/>
  <c r="F50" i="2" s="1"/>
  <c r="K44" i="7"/>
  <c r="K11" i="13"/>
  <c r="K12" i="13"/>
  <c r="K13" i="13" s="1"/>
  <c r="K18" i="13"/>
  <c r="K22" i="7"/>
  <c r="L39" i="2"/>
  <c r="L56" i="7" s="1"/>
  <c r="K58" i="5"/>
  <c r="K59" i="5"/>
  <c r="K38" i="2"/>
  <c r="K20" i="7" s="1"/>
  <c r="K28" i="7"/>
  <c r="K46" i="2"/>
  <c r="I28" i="13"/>
  <c r="T33" i="7"/>
  <c r="T32" i="7"/>
  <c r="T23" i="7"/>
  <c r="G21" i="13"/>
  <c r="G22" i="13"/>
  <c r="D30" i="9"/>
  <c r="D28" i="9"/>
  <c r="D26" i="9"/>
  <c r="D31" i="9"/>
  <c r="D33" i="9"/>
  <c r="D27" i="9"/>
  <c r="D32" i="9"/>
  <c r="D29" i="9"/>
  <c r="G22" i="9"/>
  <c r="E12" i="13"/>
  <c r="E13" i="13" s="1"/>
  <c r="E18" i="13"/>
  <c r="E25" i="5"/>
  <c r="E11" i="13"/>
  <c r="E24" i="5"/>
  <c r="E28" i="7"/>
  <c r="E22" i="7"/>
  <c r="E44" i="7"/>
  <c r="F39" i="2"/>
  <c r="F56" i="7" s="1"/>
  <c r="E38" i="2"/>
  <c r="E20" i="7" s="1"/>
  <c r="E46" i="2"/>
  <c r="S58" i="5"/>
  <c r="S44" i="7"/>
  <c r="S38" i="2"/>
  <c r="S20" i="7" s="1"/>
  <c r="S28" i="7"/>
  <c r="S22" i="7"/>
  <c r="S46" i="2"/>
  <c r="S48" i="2" s="1"/>
  <c r="S50" i="2" s="1"/>
  <c r="S39" i="2"/>
  <c r="S56" i="7" s="1"/>
  <c r="S59" i="5"/>
  <c r="F28" i="13"/>
  <c r="G14" i="13"/>
  <c r="G48" i="2"/>
  <c r="G50" i="2" s="1"/>
  <c r="C16" i="13"/>
  <c r="C29" i="13"/>
  <c r="C51" i="2"/>
  <c r="C21" i="7" s="1"/>
  <c r="C15" i="4"/>
  <c r="C55" i="2"/>
  <c r="C49" i="7"/>
  <c r="H28" i="13"/>
  <c r="K28" i="13"/>
  <c r="J23" i="7"/>
  <c r="K58" i="7"/>
  <c r="J33" i="7"/>
  <c r="J32" i="7"/>
  <c r="D11" i="13"/>
  <c r="D12" i="13"/>
  <c r="D13" i="13" s="1"/>
  <c r="D18" i="13"/>
  <c r="D44" i="7"/>
  <c r="D38" i="2"/>
  <c r="D20" i="7" s="1"/>
  <c r="D28" i="7"/>
  <c r="D46" i="2"/>
  <c r="E39" i="2"/>
  <c r="E56" i="7" s="1"/>
  <c r="D25" i="5"/>
  <c r="D22" i="7"/>
  <c r="D24" i="5"/>
  <c r="D39" i="2"/>
  <c r="D56" i="7" s="1"/>
  <c r="J28" i="13"/>
  <c r="P55" i="2"/>
  <c r="T52" i="2"/>
  <c r="T57" i="7" s="1"/>
  <c r="P51" i="2"/>
  <c r="P21" i="7" s="1"/>
  <c r="P72" i="4"/>
  <c r="P48" i="7" s="1"/>
  <c r="P49" i="7"/>
  <c r="V44" i="7"/>
  <c r="V28" i="7"/>
  <c r="V22" i="7"/>
  <c r="V58" i="5"/>
  <c r="V38" i="2"/>
  <c r="V20" i="7" s="1"/>
  <c r="V46" i="2"/>
  <c r="V48" i="2" s="1"/>
  <c r="V50" i="2" s="1"/>
  <c r="V59" i="5"/>
  <c r="V39" i="2"/>
  <c r="V56" i="7" s="1"/>
  <c r="J22" i="13"/>
  <c r="J21" i="13"/>
  <c r="E14" i="13" l="1"/>
  <c r="E48" i="2"/>
  <c r="E50" i="2" s="1"/>
  <c r="I60" i="5"/>
  <c r="I61" i="5"/>
  <c r="U32" i="7"/>
  <c r="U23" i="7"/>
  <c r="U33" i="7"/>
  <c r="U58" i="7"/>
  <c r="D21" i="13"/>
  <c r="D22" i="13"/>
  <c r="I23" i="7"/>
  <c r="J58" i="7"/>
  <c r="I33" i="7"/>
  <c r="I32" i="7"/>
  <c r="U60" i="5"/>
  <c r="U61" i="5"/>
  <c r="E58" i="7"/>
  <c r="D33" i="7"/>
  <c r="D32" i="7"/>
  <c r="D23" i="7"/>
  <c r="D58" i="7"/>
  <c r="L58" i="7"/>
  <c r="K32" i="7"/>
  <c r="K23" i="7"/>
  <c r="K33" i="7"/>
  <c r="L34" i="9"/>
  <c r="V61" i="5"/>
  <c r="V60" i="5"/>
  <c r="S60" i="5"/>
  <c r="S61" i="5"/>
  <c r="F34" i="9"/>
  <c r="H60" i="5"/>
  <c r="H61" i="5"/>
  <c r="C34" i="9"/>
  <c r="K61" i="5"/>
  <c r="K60" i="5"/>
  <c r="D34" i="9"/>
  <c r="J29" i="13"/>
  <c r="J15" i="4"/>
  <c r="J52" i="7"/>
  <c r="J16" i="13"/>
  <c r="J27" i="7"/>
  <c r="J51" i="2"/>
  <c r="J21" i="7" s="1"/>
  <c r="J55" i="2"/>
  <c r="J26" i="7"/>
  <c r="J49" i="7"/>
  <c r="J72" i="4"/>
  <c r="J48" i="7" s="1"/>
  <c r="V55" i="2"/>
  <c r="V51" i="2"/>
  <c r="V21" i="7" s="1"/>
  <c r="V49" i="7"/>
  <c r="V72" i="4"/>
  <c r="V48" i="7" s="1"/>
  <c r="V52" i="2"/>
  <c r="V57" i="7" s="1"/>
  <c r="F58" i="7"/>
  <c r="E33" i="7"/>
  <c r="E23" i="7"/>
  <c r="E32" i="7"/>
  <c r="K22" i="13"/>
  <c r="K21" i="13"/>
  <c r="V33" i="7"/>
  <c r="V23" i="7"/>
  <c r="V32" i="7"/>
  <c r="V58" i="7"/>
  <c r="D14" i="13"/>
  <c r="D48" i="2"/>
  <c r="D50" i="2" s="1"/>
  <c r="S51" i="2"/>
  <c r="S21" i="7" s="1"/>
  <c r="S55" i="2"/>
  <c r="S49" i="7"/>
  <c r="S72" i="4"/>
  <c r="S48" i="7" s="1"/>
  <c r="S52" i="2"/>
  <c r="S57" i="7" s="1"/>
  <c r="H34" i="9"/>
  <c r="H21" i="13"/>
  <c r="H22" i="13"/>
  <c r="L23" i="7"/>
  <c r="L32" i="7"/>
  <c r="L33" i="7"/>
  <c r="I21" i="13"/>
  <c r="I22" i="13"/>
  <c r="G26" i="7"/>
  <c r="G29" i="13"/>
  <c r="G52" i="7"/>
  <c r="G16" i="13"/>
  <c r="G15" i="4"/>
  <c r="G51" i="2"/>
  <c r="G21" i="7" s="1"/>
  <c r="G49" i="7"/>
  <c r="G27" i="7"/>
  <c r="G55" i="2"/>
  <c r="G72" i="4"/>
  <c r="G48" i="7" s="1"/>
  <c r="S33" i="7"/>
  <c r="S32" i="7"/>
  <c r="S23" i="7"/>
  <c r="S58" i="7"/>
  <c r="E21" i="13"/>
  <c r="E22" i="13"/>
  <c r="F16" i="13"/>
  <c r="F26" i="7"/>
  <c r="F29" i="13"/>
  <c r="F27" i="7"/>
  <c r="F52" i="7"/>
  <c r="F55" i="2"/>
  <c r="F15" i="4"/>
  <c r="G52" i="2"/>
  <c r="G57" i="7" s="1"/>
  <c r="F51" i="2"/>
  <c r="F21" i="7" s="1"/>
  <c r="F49" i="7"/>
  <c r="F72" i="4"/>
  <c r="F48" i="7" s="1"/>
  <c r="L61" i="5"/>
  <c r="L60" i="5"/>
  <c r="G34" i="9"/>
  <c r="L14" i="13"/>
  <c r="L48" i="2"/>
  <c r="L50" i="2" s="1"/>
  <c r="I14" i="13"/>
  <c r="I48" i="2"/>
  <c r="I50" i="2" s="1"/>
  <c r="K14" i="13"/>
  <c r="K48" i="2"/>
  <c r="K50" i="2" s="1"/>
  <c r="K52" i="2" s="1"/>
  <c r="K57" i="7" s="1"/>
  <c r="I58" i="7"/>
  <c r="H32" i="7"/>
  <c r="H33" i="7"/>
  <c r="H23" i="7"/>
  <c r="L22" i="13"/>
  <c r="L21" i="13"/>
  <c r="H14" i="13"/>
  <c r="H48" i="2"/>
  <c r="H50" i="2" s="1"/>
  <c r="U55" i="2"/>
  <c r="U51" i="2"/>
  <c r="U21" i="7" s="1"/>
  <c r="U72" i="4"/>
  <c r="U48" i="7" s="1"/>
  <c r="U49" i="7"/>
  <c r="U52" i="2"/>
  <c r="U57" i="7" s="1"/>
  <c r="H29" i="13" l="1"/>
  <c r="H27" i="7"/>
  <c r="H16" i="13"/>
  <c r="H15" i="4"/>
  <c r="H55" i="2"/>
  <c r="H52" i="7"/>
  <c r="I52" i="2"/>
  <c r="I57" i="7" s="1"/>
  <c r="H51" i="2"/>
  <c r="H21" i="7" s="1"/>
  <c r="H26" i="7"/>
  <c r="H49" i="7"/>
  <c r="H72" i="4"/>
  <c r="H48" i="7" s="1"/>
  <c r="F36" i="13"/>
  <c r="F30" i="13"/>
  <c r="F31" i="13"/>
  <c r="H52" i="2"/>
  <c r="H57" i="7" s="1"/>
  <c r="L29" i="13"/>
  <c r="L27" i="7"/>
  <c r="L16" i="13"/>
  <c r="L26" i="7"/>
  <c r="L52" i="7"/>
  <c r="L15" i="4"/>
  <c r="L51" i="2"/>
  <c r="L21" i="7" s="1"/>
  <c r="L55" i="2"/>
  <c r="L49" i="7"/>
  <c r="L72" i="4"/>
  <c r="L48" i="7" s="1"/>
  <c r="J36" i="13"/>
  <c r="J30" i="13"/>
  <c r="J31" i="13"/>
  <c r="D16" i="13"/>
  <c r="D29" i="13"/>
  <c r="D26" i="7"/>
  <c r="D52" i="7"/>
  <c r="D51" i="2"/>
  <c r="D21" i="7" s="1"/>
  <c r="D15" i="4"/>
  <c r="E52" i="2"/>
  <c r="E57" i="7" s="1"/>
  <c r="D55" i="2"/>
  <c r="D27" i="7"/>
  <c r="D72" i="4"/>
  <c r="D48" i="7" s="1"/>
  <c r="D49" i="7"/>
  <c r="D52" i="2"/>
  <c r="D57" i="7" s="1"/>
  <c r="G36" i="13"/>
  <c r="G30" i="13"/>
  <c r="G31" i="13"/>
  <c r="K29" i="13"/>
  <c r="K52" i="7"/>
  <c r="K27" i="7"/>
  <c r="K16" i="13"/>
  <c r="K55" i="2"/>
  <c r="K26" i="7"/>
  <c r="K15" i="4"/>
  <c r="L52" i="2"/>
  <c r="L57" i="7" s="1"/>
  <c r="K51" i="2"/>
  <c r="K21" i="7" s="1"/>
  <c r="K49" i="7"/>
  <c r="K72" i="4"/>
  <c r="K48" i="7" s="1"/>
  <c r="E16" i="13"/>
  <c r="E29" i="13"/>
  <c r="E26" i="7"/>
  <c r="F52" i="2"/>
  <c r="F57" i="7" s="1"/>
  <c r="E52" i="7"/>
  <c r="E55" i="2"/>
  <c r="E15" i="4"/>
  <c r="E27" i="7"/>
  <c r="E51" i="2"/>
  <c r="E21" i="7" s="1"/>
  <c r="E49" i="7"/>
  <c r="E72" i="4"/>
  <c r="E48" i="7" s="1"/>
  <c r="I29" i="13"/>
  <c r="I16" i="13"/>
  <c r="I52" i="7"/>
  <c r="I26" i="7"/>
  <c r="I51" i="2"/>
  <c r="I21" i="7" s="1"/>
  <c r="I15" i="4"/>
  <c r="J52" i="2"/>
  <c r="J57" i="7" s="1"/>
  <c r="I27" i="7"/>
  <c r="I55" i="2"/>
  <c r="I49" i="7"/>
  <c r="I72" i="4"/>
  <c r="I48" i="7" s="1"/>
  <c r="E36" i="13" l="1"/>
  <c r="E30" i="13"/>
  <c r="E31" i="13"/>
  <c r="I36" i="13"/>
  <c r="I30" i="13"/>
  <c r="I31" i="13"/>
  <c r="K36" i="13"/>
  <c r="K30" i="13"/>
  <c r="K31" i="13"/>
  <c r="D36" i="13"/>
  <c r="D30" i="13"/>
  <c r="D31" i="13"/>
  <c r="L36" i="13"/>
  <c r="L30" i="13"/>
  <c r="L31" i="13"/>
  <c r="H36" i="13"/>
  <c r="H30" i="13"/>
  <c r="H31" i="13"/>
</calcChain>
</file>

<file path=xl/sharedStrings.xml><?xml version="1.0" encoding="utf-8"?>
<sst xmlns="http://schemas.openxmlformats.org/spreadsheetml/2006/main" count="914" uniqueCount="536">
  <si>
    <t>Broadcom Inc. — Geography &amp; Products</t>
  </si>
  <si>
    <t>$ in millions except per-share data  |  USD  |  as of 2026-09-22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</si>
  <si>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</si>
  <si>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</si>
  <si>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</si>
  <si>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</si>
  <si>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</si>
  <si>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</si>
  <si>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</si>
  <si>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</si>
  <si>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</si>
  <si>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</si>
  <si>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·</t>
  </si>
  <si>
    <t>2Q FY2024</t>
  </si>
  <si>
    <t>3Q FY2024</t>
  </si>
  <si>
    <t>1Q FY2025</t>
  </si>
  <si>
    <t>2Q FY2025</t>
  </si>
  <si>
    <t>3Q FY2025</t>
  </si>
  <si>
    <t>1Q FY2026</t>
  </si>
  <si>
    <t>2Q FY2026</t>
  </si>
  <si>
    <t>3Q FY2026</t>
  </si>
  <si>
    <t>2016-10-30</t>
  </si>
  <si>
    <t>2017-10-29</t>
  </si>
  <si>
    <t>2018-11-04</t>
  </si>
  <si>
    <t>2019-11-03</t>
  </si>
  <si>
    <t>2020-11-01</t>
  </si>
  <si>
    <t>2021-10-31</t>
  </si>
  <si>
    <t>2022-10-30</t>
  </si>
  <si>
    <t>2023-10-29</t>
  </si>
  <si>
    <t>2024-11-03</t>
  </si>
  <si>
    <t>2025-11-02</t>
  </si>
  <si>
    <t>2024-05-05</t>
  </si>
  <si>
    <t>2024-08-04</t>
  </si>
  <si>
    <t>2025-02-02</t>
  </si>
  <si>
    <t>2025-05-04</t>
  </si>
  <si>
    <t>2025-08-03</t>
  </si>
  <si>
    <t>2026-02-01</t>
  </si>
  <si>
    <t>2026-05-03</t>
  </si>
  <si>
    <t>2026-08-02</t>
  </si>
  <si>
    <t>CONTENTS</t>
  </si>
  <si>
    <t>1. REVENUE BY GEOGRAPHIC REGION (FY2019 10-K Note onward; own-period figures, not restated comparatives)</t>
  </si>
  <si>
    <t>Products — Americas</t>
  </si>
  <si>
    <t>Own-period figures as filed in each 10-K/10-Q's own geographic revenue Note (never a later filing's restated comparative column). Not disclosed for FY2016-FY2018. See IS:rev_products note re: the FY2026 Q1 upfront-license reclassification, which also affects how Products/Subscriptions are split by region starting with the 1Q/2Q FY2026 and FY2025-annual columns (post-reclass) vs the 1Q/2Q/3Q FY2025 quarterly columns (pre-reclass, as originally filed).</t>
  </si>
  <si>
    <t>Products — Asia Pacific</t>
  </si>
  <si>
    <t>Products — Europe, Middle East &amp; Africa</t>
  </si>
  <si>
    <t>Total Products revenue</t>
  </si>
  <si>
    <t xml:space="preserve">  vs IS Products Revenue (should be ~0)</t>
  </si>
  <si>
    <t>Subscriptions &amp; Services — Americas</t>
  </si>
  <si>
    <t>Subscriptions &amp; Services — Asia Pacific</t>
  </si>
  <si>
    <t>Subscriptions &amp; Services — Europe, Middle East &amp; Africa</t>
  </si>
  <si>
    <t>Total Subscriptions &amp; Services revenue</t>
  </si>
  <si>
    <t xml:space="preserve">  vs IS Subscriptions Revenue (should be ~0)</t>
  </si>
  <si>
    <t>Total revenue — Americas</t>
  </si>
  <si>
    <t>Total revenue — Asia Pacific</t>
  </si>
  <si>
    <t>Total revenue — Europe, Middle East &amp; Africa</t>
  </si>
  <si>
    <t>Total revenue — All regions</t>
  </si>
  <si>
    <t xml:space="preserve">  vs IS Total Revenue (should be ~0)</t>
  </si>
  <si>
    <t xml:space="preserve">  Mix % — Americas</t>
  </si>
  <si>
    <t xml:space="preserve">  Mix % — Asia Pacific</t>
  </si>
  <si>
    <t xml:space="preserve">  Mix % — Europe, Middle East &amp; Africa</t>
  </si>
  <si>
    <t>2. LONG-LIVED ASSETS BY GEOGRAPHY (Annual only — disclosed in the 10-K only, not in 10-Qs)</t>
  </si>
  <si>
    <t>United States</t>
  </si>
  <si>
    <t>This Note (long-lived assets by geographic location) is disclosed only in Broadcom's annual 10-K, not in its 10-Qs -- quarterly columns are intentionally blank by the nature of the disclosure, not a dropped extraction. Own fiscal-year-end figures each time (never a later filing's restated comparative column).</t>
  </si>
  <si>
    <t>Malaysia</t>
  </si>
  <si>
    <t>Singapore</t>
  </si>
  <si>
    <t>Taiwan</t>
  </si>
  <si>
    <t>Other</t>
  </si>
  <si>
    <t>Total long-lived assets (computed)</t>
  </si>
  <si>
    <t>Total long-lived assets (as reported)</t>
  </si>
  <si>
    <t xml:space="preserve">  Computed vs Reported (should be ~0)</t>
  </si>
  <si>
    <t>Broadcom Inc. — Cover</t>
  </si>
  <si>
    <t>Broadcom Inc. (NASDAQ: AVGO) — Financial Model</t>
  </si>
  <si>
    <t>Company Overview</t>
  </si>
  <si>
    <t>Legal name</t>
  </si>
  <si>
    <t>Broadcom Inc. (Delaware; formerly Broadcom Limited, a Singapore public company, through the April 2018 redomiciliation)</t>
  </si>
  <si>
    <t>Ticker</t>
  </si>
  <si>
    <t>AVGO (NASDAQ)</t>
  </si>
  <si>
    <t>Reporting currency / units</t>
  </si>
  <si>
    <t>USD, $ in millions except per-share data</t>
  </si>
  <si>
    <t>Reporting framework</t>
  </si>
  <si>
    <t>US GAAP</t>
  </si>
  <si>
    <t>Fiscal year end</t>
  </si>
  <si>
    <t>Last Sunday of October or first Sunday of November (52/53-week fiscal year)</t>
  </si>
  <si>
    <t>Fiscal years covered</t>
  </si>
  <si>
    <t>FY2016 (ended 2016-10-30) through FY2025 (ended 2025-11-02), plus 3Q FY2026 (13 weeks ended 2026-08-02)</t>
  </si>
  <si>
    <t>As-of date</t>
  </si>
  <si>
    <t>2025-11-02 (FY2025 fiscal year end); interim data through 2026-08-02</t>
  </si>
  <si>
    <t>Model date</t>
  </si>
  <si>
    <t>2026-09-22</t>
  </si>
  <si>
    <t>Consolidation scope</t>
  </si>
  <si>
    <t>Consolidated (includes VMware, Inc. from November 22, 2023)</t>
  </si>
  <si>
    <t>Color Legend</t>
  </si>
  <si>
    <t>Hardcoded reported value</t>
  </si>
  <si>
    <t>Blue font — taken directly from a source filing</t>
  </si>
  <si>
    <t>Formula / calculation</t>
  </si>
  <si>
    <t>Black font — computed from other cells in this workbook</t>
  </si>
  <si>
    <t>Cross-sheet link</t>
  </si>
  <si>
    <t>Green font — pulled from another sheet</t>
  </si>
  <si>
    <t>Memo / commentary</t>
  </si>
  <si>
    <t>Grey italic — margin, growth, or annotation row</t>
  </si>
  <si>
    <t>Sheet Directory</t>
  </si>
  <si>
    <t>IS — Income Statement</t>
  </si>
  <si>
    <t>As-reported revenue through net income, EPS, margins, YoY growth</t>
  </si>
  <si>
    <t>BS — Balance Sheet</t>
  </si>
  <si>
    <t>As-reported assets/liabilities/equity, balance check, working-capital analytics (DSO/DIO/DPO/CCC)</t>
  </si>
  <si>
    <t>CF — Cash Flow Statement</t>
  </si>
  <si>
    <t>As-reported operating/investing/financing detail, cash walk check, FCF analytics</t>
  </si>
  <si>
    <t>SEG — Segments</t>
  </si>
  <si>
    <t>Segment revenue &amp; operating income across three successive segment structures (4-seg / 3-seg / 2-seg), tie-out checks</t>
  </si>
  <si>
    <t>DM — Derived Metrics</t>
  </si>
  <si>
    <t>Profitability, returns, leverage, solvency, liquidity, coverage, cash conversion, earnings quality, growth, working capital</t>
  </si>
  <si>
    <t>Sources</t>
  </si>
  <si>
    <t>Filing-level source index and key comparability notes</t>
  </si>
  <si>
    <t>Key Comparability Caveats — read before using this model</t>
  </si>
  <si>
    <t>1. VMware scale jump (FY2023 -&gt; FY2024)</t>
  </si>
  <si>
    <t>VMware, Inc. acquisition closed Nov 22, 2023 (day 1 of FY2024), for $86,290M total consideration (~$54.2B in Broadcom stock, remainder cash). Goodwill $43.7B-&gt;$97.9B, intangibles $3.9B-&gt;$40.6B, total assets $72.9B-&gt;$165.6B, revenue $35.8B-&gt;$51.6B. FY2023 and prior are pre-VMware; treat FY2023-&gt;FY2024 as a structural break, not organic growth.</t>
  </si>
  <si>
    <t>2. FY2025 revenue reclassification</t>
  </si>
  <si>
    <t>Per FY2025 10-K Note 3: 'we included upfront license revenue of $7,800 million within products revenue... we reclassified $4,601 million and $1,058 million of upfront license revenue from subscriptions and services revenue to products revenue for fiscal years 2024 and 2023, respectively.' This model uses each fiscal year's OWN as-filed Products/Subscriptions split (i.e., FY2024 and FY2023 columns are NOT reclassified/recast) — a pure historical series. Do not compare Products vs. Subscriptions growth rates across the FY2023/FY2024/FY2025 boundary without adjusting for this.</t>
  </si>
  <si>
    <t>3. 10-for-1 forward stock split (July 2024)</t>
  </si>
  <si>
    <t>Effective July 15, 2024 (within FY2024). FY2016-FY2023 EPS/share-count columns are each year's own pre-split as-filed figures; FY2024 onward are post-split. WASO basic jumps from 415M (FY2023) to 4,624M (FY2024) — roughly 11.1x, reflecting both the 10:1 split and real new share issuance for the VMware deal. Do not compute raw EPS/share-count YoY growth across this boundary.</t>
  </si>
  <si>
    <t>4. 2018 CIK change / redomiciliation</t>
  </si>
  <si>
    <t>Broadcom redomiciled from Singapore (Broadcom Limited, CIK 0001649338) to Delaware (Broadcom Inc., CIK 0001730168) on April 4, 2018, accounted for as a common-control transaction (historical financials carried over on the same basis, no restatement). Treated as continuous in this model. Noncontrolling interest (exchangeable LP units) existed FY2016-FY2018 and was eliminated at the redomiciliation.</t>
  </si>
  <si>
    <t>5. Segment redefinition</t>
  </si>
  <si>
    <t>FY2016-FY2018: 4 segments (Wired Infrastructure, Wireless Communications, Enterprise Storage, Industrial &amp; Other). FY2019 only: 3 segments (Semiconductor Solutions, Infrastructure Software, IP Licensing) following the Nov 2018 CA Technologies acquisition. FY2020-present: 2 segments (Semiconductor Solutions, Infrastructure Software). The SEG sheet presents each structure as a separate block (not stitched together) per the source-hierarchy rule against mixing segment definitions.</t>
  </si>
  <si>
    <t>6. FY2020-FY2022 segment data sourced from MD&amp;A, not a formal Note</t>
  </si>
  <si>
    <t>Broadcom's FY2020, FY2021 and FY2022 10-Ks do not include a numeric segment table in the Segment Information note (narrative only in some years); the segment revenue/operating income figures for those years are sourced from each year's MD&amp;A 'Results of Operations' table instead (still Tier-2 SEC-filing sourced, just a different section of the same document).</t>
  </si>
  <si>
    <t>7. FY2024 discontinued operations</t>
  </si>
  <si>
    <t>Broadcom sold the VMware End-User Computing (EUC) business to KKR on July 1, 2024 for $3.5B cash. FY2024's own as-filed income statement includes a 'Loss from discontinued operations, net of income taxes' line of $(273)M; FY2023 and earlier show no such line since EUC was only acquired as part of VMware at the start of FY2024 (no retroactive restatement was required or made).</t>
  </si>
  <si>
    <t>8. 3Q FY2026 (10-Q) presentation basis</t>
  </si>
  <si>
    <t>Income Statement and Segment quarterly columns show the single 13-week quarter ended 2026-08-02. Balance Sheet quarterly column is the point-in-time balance as of 2026-08-02. Cash Flow Statement quarterly column is the cumulative 9-month year-to-date figure as filed (Broadcom's 10-Q does not present single-quarter cash flows) — this is a different grain than the IS/BS quarterly column and is explicitly noted on the CF sheet.</t>
  </si>
  <si>
    <t>Broadcom Inc. — Income Statement</t>
  </si>
  <si>
    <t>1. REVENUE</t>
  </si>
  <si>
    <t>Net revenue</t>
  </si>
  <si>
    <t xml:space="preserve">  YoY Growth</t>
  </si>
  <si>
    <t>Products revenue</t>
  </si>
  <si>
    <t>Products/Subscriptions split first disclosed in FY2019 10-K; not presented separately for FY2016-FY2018 in their own filings. SEPARATELY: starting with the FY2026 Q1 10-Q, Broadcom reclassified 'upfront license revenue' from Subscriptions/services into Products (applied retrospectively to that filing's own FY2025 Q1 comparative column only). The 1Q/2Q/3Q FY2025 quarterly columns in this model are each shown on that quarter's OWN as-originally-filed (pre-reclassification) basis, consistent with the own-quarter/no-restatement rule used throughout this workbook — they are therefore NOT directly comparable, line-for-line, to the FY2025 annual column (which uses the FY2025 10-K's post-reclassification presentation) or to the 1Q/2Q FY2026 columns (also post-reclassification). Total revenue is unaffected in all cases — only the Products/Subscriptions split shifts.</t>
  </si>
  <si>
    <t xml:space="preserve">  Subscriptions and services revenue</t>
  </si>
  <si>
    <t xml:space="preserve">  Split vs Total Revenue (should be ~0)</t>
  </si>
  <si>
    <t>2. COST OF REVENUE</t>
  </si>
  <si>
    <t>Cost of products sold</t>
  </si>
  <si>
    <t>Cost of subscriptions and services</t>
  </si>
  <si>
    <t>Purchase accounting effect on inventory</t>
  </si>
  <si>
    <t>Amortization of acquisition-related intangible assets</t>
  </si>
  <si>
    <t>Restructuring charges</t>
  </si>
  <si>
    <t>Total cost of revenue</t>
  </si>
  <si>
    <t>Gross margin</t>
  </si>
  <si>
    <t xml:space="preserve">  Gross Margin %</t>
  </si>
  <si>
    <t>3. OPERATING EXPENSES</t>
  </si>
  <si>
    <t>Research and development</t>
  </si>
  <si>
    <t>Selling, general and administrative</t>
  </si>
  <si>
    <t>Restructuring, impairment and other charges</t>
  </si>
  <si>
    <t>Litigation settlements</t>
  </si>
  <si>
    <t>Total operating expenses</t>
  </si>
  <si>
    <t>Operating income (loss)</t>
  </si>
  <si>
    <t xml:space="preserve">  Operating Margin %</t>
  </si>
  <si>
    <t>4. NON-OPERATING ITEMS AND TAXES</t>
  </si>
  <si>
    <t>Interest expense</t>
  </si>
  <si>
    <t>Loss on extinguishment of debt</t>
  </si>
  <si>
    <t>Not broken out separately on the IS face after FY2017; folded into Other income (expense), net in later years (see CF addback for later years' non-cash portion).</t>
  </si>
  <si>
    <t>Impairment on investment</t>
  </si>
  <si>
    <t>Other income (expense), net</t>
  </si>
  <si>
    <t>Income from continuing operations before income taxes</t>
  </si>
  <si>
    <t>Provision for (benefit from) income taxes</t>
  </si>
  <si>
    <t>Income from continuing operations</t>
  </si>
  <si>
    <t>Loss from discontinued operations, net of income taxes</t>
  </si>
  <si>
    <t>FY2024: $(273)M — EUC business (part of VMware) sold to KKR for $3.5B, July 1, 2024. Not restated into other years since EUC was only acquired as part of VMware at the start of FY2024.</t>
  </si>
  <si>
    <t>Net income (loss)</t>
  </si>
  <si>
    <t xml:space="preserve">  Net Margin %</t>
  </si>
  <si>
    <t>Less: Net (income) loss attributable to noncontrolling interest</t>
  </si>
  <si>
    <t>NCI relates to exchangeable LP units outstanding prior to the April 2018 redomiciliation; eliminated from FY2018 onward.</t>
  </si>
  <si>
    <t>Less: Dividends on preferred stock</t>
  </si>
  <si>
    <t>8.00% Mandatory Convertible Preferred Stock, Series A, issued FY2019, fully converted during FY2022.</t>
  </si>
  <si>
    <t>Net income (loss) attributable to common stock</t>
  </si>
  <si>
    <t>5. EPS &amp; SHARE COUNT</t>
  </si>
  <si>
    <t>Basic EPS</t>
  </si>
  <si>
    <t>IS quarterly columns are single-quarter (3-month) figures, not YTD. 2Q FY2024: Broadcom's 10-Q for the quarter ended May 5, 2024 reports EPS/share counts on a PRE-split basis ($4.56 basic / $4.42 diluted; the 10-for-1 forward stock split completed July 12, 2024, after this quarter-end). For comparability with every other period in this model (all of which are post-split), this model uses the filing's own unaudited pro forma POST-split disclosure (Note 13: $0.46 basic / $0.44 diluted; WASO 4,650 / 4,800). 3Q FY2024 onward is already reported post-split on the face of the financial statements.</t>
  </si>
  <si>
    <t>Diluted EPS</t>
  </si>
  <si>
    <t xml:space="preserve">  YoY Growth (Diluted)</t>
  </si>
  <si>
    <t>Weighted avg shares — Basic</t>
  </si>
  <si>
    <t>Weighted avg shares — Diluted</t>
  </si>
  <si>
    <t>Broadcom Inc. — Balance Sheet</t>
  </si>
  <si>
    <t>1. CURRENT ASSETS</t>
  </si>
  <si>
    <t>Cash and cash equivalents</t>
  </si>
  <si>
    <t>Trade accounts receivable, net</t>
  </si>
  <si>
    <t>Inventory</t>
  </si>
  <si>
    <t>Other current assets</t>
  </si>
  <si>
    <t>Total current assets</t>
  </si>
  <si>
    <t>2. LONG-TERM ASSETS</t>
  </si>
  <si>
    <t>Property, plant and equipment, net</t>
  </si>
  <si>
    <t>Goodwill</t>
  </si>
  <si>
    <t>Intangible assets, net</t>
  </si>
  <si>
    <t>Other long-term assets</t>
  </si>
  <si>
    <t>Total assets</t>
  </si>
  <si>
    <t>3. CURRENT LIABILITIES</t>
  </si>
  <si>
    <t>Accounts payable</t>
  </si>
  <si>
    <t>Employee compensation and benefits</t>
  </si>
  <si>
    <t>Current portion of long-term debt / short-term debt</t>
  </si>
  <si>
    <t>Other current liabilities</t>
  </si>
  <si>
    <t>Total current liabilities</t>
  </si>
  <si>
    <t>4. LONG-TERM LIABILITIES</t>
  </si>
  <si>
    <t>Long-term debt</t>
  </si>
  <si>
    <t>Pension and postretirement obligations</t>
  </si>
  <si>
    <t>Separately disclosed only in FY2016-FY2017; folded into Other long-term liabilities thereafter.</t>
  </si>
  <si>
    <t>Other long-term liabilities</t>
  </si>
  <si>
    <t>Total liabilities</t>
  </si>
  <si>
    <t>5. MEZZANINE AND EQUITY</t>
  </si>
  <si>
    <t>Preferred stock dividend obligation (mezzanine)</t>
  </si>
  <si>
    <t>8.00% Mandatory Convertible Preferred Stock, Series A — issued FY2019, fully converted FY2022.</t>
  </si>
  <si>
    <t>Common stock and additional paid-in capital</t>
  </si>
  <si>
    <t>Retained earnings (accumulated deficit)</t>
  </si>
  <si>
    <t>Accumulated other comprehensive income (loss)</t>
  </si>
  <si>
    <t>Total Broadcom stockholders' equity</t>
  </si>
  <si>
    <t>Noncontrolling interest</t>
  </si>
  <si>
    <t>Eliminated FY2018 via exchange of exchangeable LP units for common stock at the redomiciliation.</t>
  </si>
  <si>
    <t>Total equity</t>
  </si>
  <si>
    <t>Balance Check: Assets - Liabilities - Mezzanine - Equity (should be ~0)</t>
  </si>
  <si>
    <t>6. WORKING CAPITAL ANALYTICS</t>
  </si>
  <si>
    <t>Days Sales Outstanding</t>
  </si>
  <si>
    <t>Days Inventory Outstanding</t>
  </si>
  <si>
    <t>Days Payable Outstanding</t>
  </si>
  <si>
    <t>Cash Conversion Cycle</t>
  </si>
  <si>
    <t>Broadcom Inc. — Cash Flow Statement</t>
  </si>
  <si>
    <t>1. OPERATING ACTIVITIES</t>
  </si>
  <si>
    <t>All quarterly columns are cumulative fiscal-year-to-date figures exactly as filed in each quarter's own 10-Q (1Q columns = single quarter, since Q1 YTD = Q1 alone; 2Q columns = 6-month YTD; 3Q columns = 9-month YTD) — Broadcom's 10-Qs do not present a discrete single-quarter cash flow statement. All other CF quarterly-column figures below are likewise fiscal-YTD, consistent with this line. (IS and SEG quarterly columns, by contrast, are single-quarter, not YTD — see IS note.)</t>
  </si>
  <si>
    <t xml:space="preserve">  Ties to IS Net Income (annual only, should be ~0)</t>
  </si>
  <si>
    <t>Amortization of intangible assets (and ROU assets, later years)</t>
  </si>
  <si>
    <t>FY2016-FY2017: combined depreciation &amp; amortization total (not split on face of CF).</t>
  </si>
  <si>
    <t>Depreciation</t>
  </si>
  <si>
    <t>Stock-based compensation expense</t>
  </si>
  <si>
    <t>Excess tax benefits from stock-based compensation</t>
  </si>
  <si>
    <t>Deferred income taxes and other non-cash taxes</t>
  </si>
  <si>
    <t>Non-cash portion of loss on debt extinguishment</t>
  </si>
  <si>
    <t>Non-cash restructuring, impairment and disposal charges</t>
  </si>
  <si>
    <t>Non-cash interest expense / debt issuance cost amortization</t>
  </si>
  <si>
    <t>(Increase) decrease in trade accounts receivable, net</t>
  </si>
  <si>
    <t>(Increase) decrease in inventory</t>
  </si>
  <si>
    <t>Increase (decrease) in accounts payable</t>
  </si>
  <si>
    <t>Increase (decrease) in employee compensation and benefits</t>
  </si>
  <si>
    <t>Contributions to defined benefit pension plans</t>
  </si>
  <si>
    <t>Change in other current assets and current liabilities</t>
  </si>
  <si>
    <t>Change in other long-term assets and long-term liabilities</t>
  </si>
  <si>
    <t>Net cash provided by operating activities</t>
  </si>
  <si>
    <t>2. INVESTING ACTIVITIES</t>
  </si>
  <si>
    <t>Purchases of property, plant and equipment</t>
  </si>
  <si>
    <t>Proceeds from disposals of property, plant and equipment</t>
  </si>
  <si>
    <t>Acquisitions of businesses, net of cash acquired</t>
  </si>
  <si>
    <t>FY2024: VMware acquisition (closed Nov 22, 2023). Cash outflow of $25,978M reflects only the cash-consideration portion, net of ~$6,642M cash acquired; total deal value was $86,290M, ~$54.2B of which was Broadcom stock (non-cash).</t>
  </si>
  <si>
    <t>Proceeds from sales of businesses</t>
  </si>
  <si>
    <t>FY2024: $3,485M — sale of the VMware End-User Computing (EUC) business to KKR.</t>
  </si>
  <si>
    <t>Purchases of investments</t>
  </si>
  <si>
    <t>Proceeds from sales/maturities of investments</t>
  </si>
  <si>
    <t>Net cash used in investing activities</t>
  </si>
  <si>
    <t>3. FINANCING ACTIVITIES</t>
  </si>
  <si>
    <t>Proceeds from long-term borrowings</t>
  </si>
  <si>
    <t>Repayment of debt</t>
  </si>
  <si>
    <t>Payments on assumed debt</t>
  </si>
  <si>
    <t>Debt issuance costs</t>
  </si>
  <si>
    <t>Other borrowings, net</t>
  </si>
  <si>
    <t>FY2019/FY2020: other net borrowing activity not separately itemized in this model. FY2025 quarterly columns (1Q/2Q/3Q FY2025): this row holds 'Proceeds from commercial paper, net' as disclosed in each quarter's own 10-Q (fiscal-YTD cumulative, consistent with the rest of the CF quarterly columns).</t>
  </si>
  <si>
    <t>FY2016: offsetting reclassification of the $89M excess tax benefit deducted within operating activities (see CFO section) — required by the cash-basis presentation used that year.</t>
  </si>
  <si>
    <t>Dividends and distributions paid on common stock</t>
  </si>
  <si>
    <t>Repurchases of common stock</t>
  </si>
  <si>
    <t>Shares repurchased for tax withholdings on vesting of equity awards</t>
  </si>
  <si>
    <t>Issuance of preferred stock, net</t>
  </si>
  <si>
    <t>Issuance of common stock</t>
  </si>
  <si>
    <t>Payments of capital lease obligations</t>
  </si>
  <si>
    <t>Net cash provided by (used in) financing activities</t>
  </si>
  <si>
    <t>4. NET CHANGE IN CASH</t>
  </si>
  <si>
    <t>Net change in cash and cash equivalents</t>
  </si>
  <si>
    <t>No separate FX-translation line is presented in any year of Broadcom's cash flow statement.</t>
  </si>
  <si>
    <t>Cash and cash equivalents, beginning of period</t>
  </si>
  <si>
    <t>Cash and cash equivalents, end of period</t>
  </si>
  <si>
    <t>Cash Walk Check (should be ~0)</t>
  </si>
  <si>
    <t>5. FREE CASH FLOW ANALYTICS</t>
  </si>
  <si>
    <t>Free Cash Flow</t>
  </si>
  <si>
    <t xml:space="preserve">  Capex % of Revenue</t>
  </si>
  <si>
    <t xml:space="preserve">  FCF Margin</t>
  </si>
  <si>
    <t xml:space="preserve">  FCF Conversion (FCF / Net Income)</t>
  </si>
  <si>
    <t>Broadcom Inc. — Segments</t>
  </si>
  <si>
    <t>1. LEGACY 4-SEGMENT STRUCTURE (FY2016-FY2018)</t>
  </si>
  <si>
    <t>Wired Infrastructure — Revenue</t>
  </si>
  <si>
    <t>Wireless Communications — Revenue</t>
  </si>
  <si>
    <t>Enterprise Storage — Revenue</t>
  </si>
  <si>
    <t>Industrial &amp; Other — Revenue</t>
  </si>
  <si>
    <t>Total segment revenue</t>
  </si>
  <si>
    <t xml:space="preserve">  vs IS Revenue (should be ~0)</t>
  </si>
  <si>
    <t>Wired Infrastructure — Operating income</t>
  </si>
  <si>
    <t>Wireless Communications — Operating income</t>
  </si>
  <si>
    <t>Enterprise Storage — Operating income</t>
  </si>
  <si>
    <t>Industrial &amp; Other — Operating income</t>
  </si>
  <si>
    <t>Segment operating income before unallocated</t>
  </si>
  <si>
    <t>Unallocated corporate expenses (plug to consolidated OI)</t>
  </si>
  <si>
    <t>Total operating income (= IS operating income)</t>
  </si>
  <si>
    <t>2. 3-SEGMENT STRUCTURE (FY2019 ONLY — CA Technologies year)</t>
  </si>
  <si>
    <t>Semiconductor solutions — Revenue</t>
  </si>
  <si>
    <t>Infrastructure software — Revenue</t>
  </si>
  <si>
    <t>IP licensing — Revenue</t>
  </si>
  <si>
    <t>Semiconductor solutions — Operating income</t>
  </si>
  <si>
    <t>Infrastructure software — Operating income</t>
  </si>
  <si>
    <t>IP licensing — Operating income (loss)</t>
  </si>
  <si>
    <t>3. 2-SEGMENT STRUCTURE (FY2020-PRESENT)</t>
  </si>
  <si>
    <t>Semiconductor Solutions — Revenue</t>
  </si>
  <si>
    <t>yoy</t>
  </si>
  <si>
    <t>Infrastructure Software — Revenue</t>
  </si>
  <si>
    <t>Semiconductor Solutions — Operating income</t>
  </si>
  <si>
    <t>Infrastructure Software — Operating income</t>
  </si>
  <si>
    <t xml:space="preserve">Semiconductor Solutions —— Margin </t>
  </si>
  <si>
    <t>Infrastructure Software —  Margin</t>
  </si>
  <si>
    <t>Includes amortization of acquisition-related intangibles, stock-based compensation, restructuring/other charges, and acquisition-related costs — not allocated to segments per the CODM's reporting basis.</t>
  </si>
  <si>
    <t>OPM（GAAP）</t>
  </si>
  <si>
    <t>Broadcom Inc. — Derived Metrics</t>
  </si>
  <si>
    <t>1. PROFITABILITY</t>
  </si>
  <si>
    <t>Gross Margin %</t>
  </si>
  <si>
    <t>Operating Margin %</t>
  </si>
  <si>
    <t>Net Margin %</t>
  </si>
  <si>
    <t>EBITDA</t>
  </si>
  <si>
    <t xml:space="preserve">  EBITDA Margin %</t>
  </si>
  <si>
    <t>2. RETURNS</t>
  </si>
  <si>
    <t>Return on Equity (avg)</t>
  </si>
  <si>
    <t>Return on Assets (avg)</t>
  </si>
  <si>
    <t>Return on Invested Capital (approx.)</t>
  </si>
  <si>
    <t>NOPAT = operating income - as-reported income tax provision (Income Statement row 47); invested capital = total debt + total equity - cash. No assumed or normalized tax rate is applied.</t>
  </si>
  <si>
    <t>3. LEVERAGE</t>
  </si>
  <si>
    <t>Total Debt / Equity</t>
  </si>
  <si>
    <t>Total Debt / EBITDA</t>
  </si>
  <si>
    <t>Net Debt / EBITDA</t>
  </si>
  <si>
    <t>4. SOLVENCY</t>
  </si>
  <si>
    <t>Total Liabilities / Total Assets</t>
  </si>
  <si>
    <t>Total Equity / Total Assets</t>
  </si>
  <si>
    <t>5. LIQUIDITY</t>
  </si>
  <si>
    <t>Current Ratio</t>
  </si>
  <si>
    <t>Quick Ratio</t>
  </si>
  <si>
    <t>6. COVERAGE</t>
  </si>
  <si>
    <t>Interest Coverage (Operating Income / Interest Expense)</t>
  </si>
  <si>
    <t>7. CASH CONVERSION</t>
  </si>
  <si>
    <t>FCF Margin %</t>
  </si>
  <si>
    <t>FCF Conversion (FCF / Net Income)</t>
  </si>
  <si>
    <t>CFO / Net Income</t>
  </si>
  <si>
    <t>8. EARNINGS QUALITY</t>
  </si>
  <si>
    <t>Accruals Ratio ((NI - CFO) / Avg Total Assets)</t>
  </si>
  <si>
    <t>9. GROWTH</t>
  </si>
  <si>
    <t>Revenue YoY Growth</t>
  </si>
  <si>
    <t>Operating Income YoY Growth</t>
  </si>
  <si>
    <t>Net Income YoY Growth</t>
  </si>
  <si>
    <t>EBITDA YoY Growth</t>
  </si>
  <si>
    <t>10. WORKING CAPITAL</t>
  </si>
  <si>
    <t>Broadcom Inc. — Sources</t>
  </si>
  <si>
    <t>Filing</t>
  </si>
  <si>
    <t>Repository path</t>
  </si>
  <si>
    <t>Period</t>
  </si>
  <si>
    <t>FY2016 10-K</t>
  </si>
  <si>
    <t>sources/companies/US/AVGO-broadcom/artifacts/ten_k/AVGO-broadcom/FY2016/psp_666734a663ef49d3864df1c8a3620cbf/prepared/document.md</t>
  </si>
  <si>
    <t>FYE 2016-10-30</t>
  </si>
  <si>
    <t>FY2017 10-K</t>
  </si>
  <si>
    <t>sources/companies/US/AVGO-broadcom/artifacts/ten_k/AVGO-broadcom/FY2017/psp_6e35f35ab0da48268dfd27dc6687451c/prepared/document.md</t>
  </si>
  <si>
    <t>FYE 2017-10-29</t>
  </si>
  <si>
    <t>FY2018 10-K</t>
  </si>
  <si>
    <t>sources/companies/US/AVGO-broadcom/artifacts/ten_k/AVGO-broadcom/FY2018/psp_0946b31c90c341fcb89c814a56e680a6/prepared/document.md</t>
  </si>
  <si>
    <t>FYE 2018-11-04</t>
  </si>
  <si>
    <t>FY2019 10-K</t>
  </si>
  <si>
    <t>sources/companies/US/AVGO-broadcom/artifacts/ten_k/AVGO-broadcom/FY2019/psp_6349fca9546c40c1a68e5c6a793e32a5/prepared/document.md</t>
  </si>
  <si>
    <t>FYE 2019-11-03</t>
  </si>
  <si>
    <t>FY2020 10-K</t>
  </si>
  <si>
    <t>sources/companies/US/AVGO-broadcom/artifacts/ten_k/AVGO-broadcom/FY2020/psp_c7f4d090d8164b04a169c631fb75c79a/prepared/document.md</t>
  </si>
  <si>
    <t>FYE 2020-11-01</t>
  </si>
  <si>
    <t>FY2021 10-K</t>
  </si>
  <si>
    <t>sources/companies/US/AVGO-broadcom/artifacts/ten_k/AVGO-broadcom/FY2021/psp_10972accbf6d40a0a03d224474584f54/prepared/document.md</t>
  </si>
  <si>
    <t>FYE 2021-10-31</t>
  </si>
  <si>
    <t>FY2022 10-K</t>
  </si>
  <si>
    <t>sources/companies/US/AVGO-broadcom/artifacts/ten_k/AVGO-broadcom/FY2022/psp_0690231d201142e0952366ddb7520e5e/prepared/document.md</t>
  </si>
  <si>
    <t>FYE 2022-10-30</t>
  </si>
  <si>
    <t>FY2023 10-K</t>
  </si>
  <si>
    <t>sources/companies/US/AVGO-broadcom/artifacts/ten_k/AVGO-broadcom/FY2023/psp_4d19f918a1a24df8aab06c837a36fcc3/prepared/document.md</t>
  </si>
  <si>
    <t>FYE 2023-10-29</t>
  </si>
  <si>
    <t>FY2024 10-K</t>
  </si>
  <si>
    <t>sources/companies/US/AVGO-broadcom/artifacts/ten_k/AVGO-broadcom/FY2024/psp_de98d67093094a79895aa84d04f3f0ee/prepared/document.md</t>
  </si>
  <si>
    <t>FYE 2024-11-03</t>
  </si>
  <si>
    <t>FY2025 10-K</t>
  </si>
  <si>
    <t>sources/companies/US/AVGO-broadcom/artifacts/ten_k/AVGO-broadcom/FY2025/psp_13e4c5dfa72a4c7ead9d52bf95ea70fd/prepared/document.md</t>
  </si>
  <si>
    <t>FYE 2025-11-02</t>
  </si>
  <si>
    <t>3Q FY2026 10-Q</t>
  </si>
  <si>
    <t>sources/companies/US/AVGO-broadcom/artifacts/ten_k/AVGO-broadcom/FY20263/psp_c9981a970e024215b090a916e6857b69/prepared/document.md</t>
  </si>
  <si>
    <t>Quarter ended 2026-08-02</t>
  </si>
  <si>
    <t>Methodology notes</t>
  </si>
  <si>
    <t>Source tier</t>
  </si>
  <si>
    <t>All figures on IS/BS/CF/SEG are Tier-2 (hand-extracted directly from each fiscal year's own SEC 10-K or 10-Q, sourced from the prepared/document.md filing text above). No Tier-1 financial_input.json existed for this company; tables.json (Tier-2 bundle collector output, 994 tables) was reviewed but not used directly for IS/BS/CF because its period-normalization regex did not match full-date column headers (e.g. 'November 2, 2025'), so it produced no usable Income Statement / Balance Sheet / Cash Flow / Segment sheets — see model.draft-bundle.json.bak in this directory for the discarded draft.</t>
  </si>
  <si>
    <t>Own-year rule</t>
  </si>
  <si>
    <t>Every annual column uses that fiscal year's OWN as-filed figures from its own 10-K, not a later filing's restated/recast comparative column. This preserves a pure historical series but means some comparability breaks are real disclosure changes, not modeling errors — see Cover sheet for the full list (VMware, revenue reclassification, stock split, segment redefinition, discontinued operations).</t>
  </si>
  <si>
    <t>Supplementary topic sheets</t>
  </si>
  <si>
    <t>The original draft model.json (Phase 3 auto-assembly) grouped tables into 7 heuristic topic sheets (Other Notes, Tax &amp; Shares, Products &amp; Geography, Debt &amp; Liquidity, Capital Returns, Assets &amp; Intangibles, Operating KPIs) from unverified bundle data. These were dropped in this rebuild rather than carried forward unverified; the core financial statements (IS/BS/CF/SEG) together with Derived Metrics (DM) are the verified, source-traced deliverable.</t>
  </si>
  <si>
    <t>Broadcom Inc. — Asset Structure</t>
  </si>
  <si>
    <t>$ in millions except per-share data  |  USD  |  FY2016-FY2025 annual  |  as of 2026-09-22</t>
  </si>
  <si>
    <t>1. ASSET STRUCTURE — $ MILLIONS</t>
  </si>
  <si>
    <t>Source: Balance Sheet (linked). Each bucket reconciles exactly to reported Total assets — see check row below.</t>
  </si>
  <si>
    <t>Trade receivables, net</t>
  </si>
  <si>
    <t>Property, plant &amp; equipment, net</t>
  </si>
  <si>
    <t>Total long-term assets</t>
  </si>
  <si>
    <t>Total assets (sum of buckets)</t>
  </si>
  <si>
    <t>Total assets (as reported, linked)</t>
  </si>
  <si>
    <t>Reconciliation check (should be ~0)</t>
  </si>
  <si>
    <t>2. ASSET STRUCTURE — % OF TOTAL ASSETS</t>
  </si>
  <si>
    <t>Each bucket $ (Section 1, this sheet) divided by Total assets as reported (row above).</t>
  </si>
  <si>
    <t>Total</t>
  </si>
  <si>
    <t>Notes: buckets follow Balance Sheet as-disclosed line items; no separate short-term investments line is disclosed by Broadcom in this model, so cash-like assets = cash &amp; equivalents only.</t>
  </si>
  <si>
    <t>FY2024+ reflects the VMware acquisition (closed 2023-11-22) — Goodwill/Intangibles step up structurally; mix % is not organic growth. See Cover sheet comparability caveats.</t>
  </si>
  <si>
    <t>Broadcom Inc. — Net Cash</t>
  </si>
  <si>
    <t>NET CASH / (NET DEBT)</t>
  </si>
  <si>
    <t>Source: Balance Sheet (linked). Broadcom does not disclose a separate short-term investments line, so cash-like assets = cash &amp; equivalents.</t>
  </si>
  <si>
    <t>Total debt</t>
  </si>
  <si>
    <t>Net cash / (net debt)</t>
  </si>
  <si>
    <t>Positive = net cash position; negative = net debt position. Broadcom has been net-debt since the FY2016 IPO-era Avago/Broadcom combination and remained net-debt through FY2025 due to the VMware-financed debt raised in FY2024.</t>
  </si>
  <si>
    <t>Broadcom Inc. — Working Capital</t>
  </si>
  <si>
    <t>OPERATING WORKING CAPITAL</t>
  </si>
  <si>
    <t>Source: Balance Sheet (linked) and Income Statement (revenue, linked). Trade receivables and inventory are material for Broadcom (semiconductor + software mix) — this table is meaningful, not omitted.</t>
  </si>
  <si>
    <t>Total revenue (linked, for reference)</t>
  </si>
  <si>
    <t>NWC as % of revenue</t>
  </si>
  <si>
    <t>OCA excludes cash &amp; equivalents (no separate ST-investments line disclosed). OCL excludes current portion of long-term/short-term debt. FY2024+ step-up reflects VMware consolidation, not organic working-capital growth.</t>
  </si>
  <si>
    <t>Broadcom Inc. — Cash-Flow Attribution</t>
  </si>
  <si>
    <t>$ in millions except per-share data  |  USD  |  FY2016-FY2025 annual  |  as of 2026-09-22  |  quarterly CF (not shown here) is fiscal-YTD; this sheet is annual, discrete-year figures only</t>
  </si>
  <si>
    <t>CASH-FLOW ATTRIBUTION BRIDGE — NET INCOME TO NET CHANGE IN CASH</t>
  </si>
  <si>
    <t>Source: Cash Flow Statement (linked). Bridge nets exactly to reported net change in cash — see hard-reconciliation check row at bottom.</t>
  </si>
  <si>
    <t>Depreciation &amp; amortization</t>
  </si>
  <si>
    <t>Other non-cash operating items</t>
  </si>
  <si>
    <t>Working capital change (net)</t>
  </si>
  <si>
    <t>Cash flow from operations (calc, = sum above)</t>
  </si>
  <si>
    <t>Cash flow from operations (as reported, linked)</t>
  </si>
  <si>
    <t>Capital expenditures (PP&amp;E)</t>
  </si>
  <si>
    <t>Free cash flow (CFO as reported + capex)</t>
  </si>
  <si>
    <t>Dividends paid</t>
  </si>
  <si>
    <t>Repurchases of common stock (open-market buybacks)</t>
  </si>
  <si>
    <t>Shares repurchased for tax withholding on vesting</t>
  </si>
  <si>
    <t>Net debt issuance / (repayment)</t>
  </si>
  <si>
    <t>Other investing items (net)</t>
  </si>
  <si>
    <t>Other financing items (net)</t>
  </si>
  <si>
    <t>Net change in cash (calc, = full bridge)</t>
  </si>
  <si>
    <t>Net change in cash (as reported, linked)</t>
  </si>
  <si>
    <t>Bridge line items follow Broadcom's as-filed CF statement; capex sign is negative (outflow). "Other non-cash operating items" = impairment on investments, non-cash debt-extinguishment loss, non-cash restructuring, non-cash interest, excess tax benefit from SBC, and residual "Other".</t>
  </si>
  <si>
    <t>FY2024 net debt issuance reflects the VMware-acquisition financing; FY2024+ dividend/buyback $ amounts are on a post-10-for-1-split share count (July 2024) vs FY2016-FY2023 pre-split.</t>
  </si>
  <si>
    <t>FY2025 WATERFALL CHART DATA (base + delta helper, for chart only)</t>
  </si>
  <si>
    <t>Component</t>
  </si>
  <si>
    <t>Base (invisible)</t>
  </si>
  <si>
    <t>Delta (visible)</t>
  </si>
  <si>
    <t>Net income</t>
  </si>
  <si>
    <t>D&amp;A</t>
  </si>
  <si>
    <t>SBC</t>
  </si>
  <si>
    <t>Deferred tax</t>
  </si>
  <si>
    <t>Other non-cash</t>
  </si>
  <si>
    <t>Working capital chg</t>
  </si>
  <si>
    <t>Capex</t>
  </si>
  <si>
    <t>Dividends</t>
  </si>
  <si>
    <t>Buybacks</t>
  </si>
  <si>
    <t>Tax w/h buyback</t>
  </si>
  <si>
    <t>Net debt issuance/(repay)</t>
  </si>
  <si>
    <t>Acquisitions</t>
  </si>
  <si>
    <t>Divestitures</t>
  </si>
  <si>
    <t>Other investing</t>
  </si>
  <si>
    <t>Other financing</t>
  </si>
  <si>
    <t>Net change in cash (total)</t>
  </si>
  <si>
    <t>Broadcom Inc. — Yearly Factor Table</t>
  </si>
  <si>
    <t>YEARLY FACTOR TABLE — ONE COLUMN PER FISCAL YEAR</t>
  </si>
  <si>
    <t>Green = linked from IS/BS/CF. Black = calculated in this sheet. NOPAT = operating income less the period's as-reported income tax provision ('Income Statement' row 47) — no assumed or normalized tax rate is applied.</t>
  </si>
  <si>
    <t>Revenue</t>
  </si>
  <si>
    <t>Revenue growth (YoY)</t>
  </si>
  <si>
    <t>n/d</t>
  </si>
  <si>
    <t>Gross margin %</t>
  </si>
  <si>
    <t>Operating margin %</t>
  </si>
  <si>
    <t>EBITDA (Operating income + D&amp;A)</t>
  </si>
  <si>
    <t>EBITDA margin %</t>
  </si>
  <si>
    <t>Effective tax rate (GAAP, as-reported)</t>
  </si>
  <si>
    <t xml:space="preserve">  Note: shown as a memo only. NOPAT below uses the period's as-reported income tax provision (dollar amount), not this rate — Broadcom's GAAP ETR is highly volatile (one-off items incl. FY2018 TCJA remeasurement) and is not a suitable basis for a tax-rate assumption.</t>
  </si>
  <si>
    <t>Net margin %</t>
  </si>
  <si>
    <t>(Normalized cash tax rate assumption removed — NOPAT now uses the period's actual reported income tax expense; see row 18)</t>
  </si>
  <si>
    <t>NOPAT = Operating income − provision for (benefit from) income taxes (as reported)</t>
  </si>
  <si>
    <t>Invested capital (period-end: debt + equity − cash)</t>
  </si>
  <si>
    <t>Invested capital, full-capital (debt + equity, no cash netting)</t>
  </si>
  <si>
    <t>Operating ROIC = NOPAT / avg. invested capital</t>
  </si>
  <si>
    <t>Full-capital ROIC = NOPAT / avg. full-capital invested capital</t>
  </si>
  <si>
    <t>Asset turnover = revenue / avg. total assets</t>
  </si>
  <si>
    <t>Cash flow from operations (linked)</t>
  </si>
  <si>
    <t>Capital expenditures (linked)</t>
  </si>
  <si>
    <t>Free cash flow = CFO + capex</t>
  </si>
  <si>
    <t>FCF margin %</t>
  </si>
  <si>
    <t>Net income (linked, for conversion ratios)</t>
  </si>
  <si>
    <t>OCF conversion = CFO / net income</t>
  </si>
  <si>
    <t>n/m</t>
  </si>
  <si>
    <t>FCF conversion = FCF / net income</t>
  </si>
  <si>
    <t>Diluted weighted-average shares outstanding (linked)</t>
  </si>
  <si>
    <t>Dividends paid, gross $ (linked, sign-flipped to positive)</t>
  </si>
  <si>
    <t>Dividend per share (implied = dividends paid / diluted shares) — analyst-calculated</t>
  </si>
  <si>
    <t>Buybacks, gross $ (open-market repurchases, linked, sign-flipped)</t>
  </si>
  <si>
    <t>Payout ratio = (dividends + buybacks) / net income</t>
  </si>
  <si>
    <t>Cash earnings = CFO − working-capital change</t>
  </si>
  <si>
    <t>Cash earnings per share (diluted) — analyst-calculated</t>
  </si>
  <si>
    <t>Payout ratio and OCF/FCF conversion marked "n/m" (not meaningful) when net income &lt;= 0 (FY2016), per metric-catalog guidance.</t>
  </si>
  <si>
    <t>DPS, cash EPS and diluted share count are NOT comparable pre- vs post- the 10-for-1 forward stock split (effective July 2024): FY2016-FY2023 figures are pre-split (~10x fewer, larger-denomination shares).</t>
  </si>
  <si>
    <t>No Broadcom-defined (issuer) APM figures (e.g. adjusted EBITDA, non-GAAP EPS) are blended into this table — all figures above are either as-reported statutory line items (linked, green) or analyst-calculated (black).</t>
  </si>
  <si>
    <t>Broadcom Inc. — Interval Factor Table</t>
  </si>
  <si>
    <t>$ in millions  |  USD  |  cumulative/trailing windows, explicit per column  |  as of 2026-09-22</t>
  </si>
  <si>
    <t>Trailing 3-year
(FY2023-FY2025, n=3)</t>
  </si>
  <si>
    <t>Trailing 5-year
(FY2021-FY2025, n=5)</t>
  </si>
  <si>
    <t>Full window (FY2016-FY2025)
(FY2016-FY2025, n=10)</t>
  </si>
  <si>
    <t>CUMULATIVE CONVERSION &amp; DISTRIBUTION METRICS</t>
  </si>
  <si>
    <t>Each window sums CFO, capex, net income, dividends and buybacks over the labeled fiscal years (as-reported annual figures, linked), then computes the ratio on cumulative $ — not an average of yearly ratios.</t>
  </si>
  <si>
    <t>Cumulative CFO ($)</t>
  </si>
  <si>
    <t>Cumulative capex ($)</t>
  </si>
  <si>
    <t>Cumulative FCF ($)</t>
  </si>
  <si>
    <t>Cumulative net income ($)</t>
  </si>
  <si>
    <t>Cumulative OCF conversion (CFO / NI)</t>
  </si>
  <si>
    <t>Cumulative FCF conversion (FCF / NI)</t>
  </si>
  <si>
    <t>Cumulative dividends paid ($)</t>
  </si>
  <si>
    <t>Cumulative buybacks ($)</t>
  </si>
  <si>
    <t>Cumulative dividends + buybacks ($)</t>
  </si>
  <si>
    <t>Cumulative payout ratio ((div+bb) / cumulative NI)</t>
  </si>
  <si>
    <t>Cumulative (dividends + buybacks) / cumulative FCF</t>
  </si>
  <si>
    <t>Windows chosen: trailing 3-year and trailing 5-year (most decision-relevant recent history) plus the full FY2016-FY2025 window supported by the base workbook. All three windows include FY2024 (VMware acquisition close, 10-for-1 split) — treat cumulative per-year comparisons across the split date with care (dividend/buyback $ totals are unaffected by the split; only per-share figures are).</t>
  </si>
  <si>
    <t>No issuer-defined APM used; all inputs are as-reported statutory CFO/capex/net income/dividends/buybacks, linked from Cash Flow Statement and Income Statement.</t>
  </si>
  <si>
    <t>Broadcom Inc. — Growth Factor Table</t>
  </si>
  <si>
    <t>$ in millions  |  USD  |  CAGR = (ending/beginning)^(1/n)-1, positive endpoints only  |  as of 2026-09-22</t>
  </si>
  <si>
    <t>Full/available window CAGR</t>
  </si>
  <si>
    <t>Shorter window CAGR
(FY2020-FY2025, n=5)</t>
  </si>
  <si>
    <t>Window &amp; notes</t>
  </si>
  <si>
    <t>GROWTH FACTOR TABLE — CAGR</t>
  </si>
  <si>
    <t>CAGR requires positive endpoints; FY2016 Operating income (-409) and Net income (-1,861) are negative, so those two rows substitute FY2017 as the full-window start (8-yr CAGR) — see notes column.</t>
  </si>
  <si>
    <t>FY2016→FY2025 (n=9)</t>
  </si>
  <si>
    <t>Cost of goods/services (total COGS)</t>
  </si>
  <si>
    <t>Operating profit</t>
  </si>
  <si>
    <t>FY2017→FY2025 (n=8) — substituted for FY2016 start (negative base)</t>
  </si>
  <si>
    <t>Normalized EBIT (disclosed one-off addbacks only)</t>
  </si>
  <si>
    <t>Cash earnings (CFO − working-capital change)</t>
  </si>
  <si>
    <t>Shorter window FY2020-FY2025 (n=5) chosen: long enough to smooth annual noise, short enough to be decision-relevant, and all six series are positive at FY2020 (no zero-crossing).</t>
  </si>
  <si>
    <t>Both windows span the VMware acquisition close (2023-11-22, within FY2024) and the FY2024 4-segment→... structural change is not applicable here, but the FY2024 scale jump is structural (M&amp;A), not organic — do not read either CAGR as a pure organic growth rate.</t>
  </si>
  <si>
    <t>COGS and Products/Subscriptions cost splits: FY2025 10-K reclassified the split (not applied retroactively); "Total COGS" here is the as-filed consolidated total each year, unaffected by the sub-line reclass, so the COGS CAGR is comparability-safe.</t>
  </si>
  <si>
    <t>Operating current assets</t>
    <phoneticPr fontId="14" type="noConversion"/>
  </si>
  <si>
    <t>Operating current liabilities</t>
    <phoneticPr fontId="14" type="noConversion"/>
  </si>
  <si>
    <t>Net working capital</t>
    <phoneticPr fontId="14" type="noConversion"/>
  </si>
  <si>
    <t>Cumulative payout ratio (div / cumulative NI)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</si>
</sst>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;\(#,##0\);&quot;-&quot;"/>
    <numFmt numFmtId="177" formatCode="0.0%;\(0.0%\);&quot;-&quot;"/>
    <numFmt numFmtId="178" formatCode="#,##0.00;\(#,##0.00\);&quot;-&quot;"/>
    <numFmt numFmtId="179" formatCode="#,##0.0;\(#,##0.0\);&quot;-&quot;"/>
    <numFmt numFmtId="180" formatCode="0.0&quot;x&quot;;\(0.0&quot;x&quot;\);&quot;-&quot;"/>
    <numFmt numFmtId="181" formatCode="#,##0.0&quot;x&quot;;\(#,##0.0&quot;x&quot;\);&quot;-&quot;"/>
    <numFmt numFmtId="182" formatCode="0.0%"/>
  </numFmts>
  <fonts count="22">
    <font>
      <sz val="11"/>
      <color theme="1"/>
      <name val="宋体"/>
      <family val="2"/>
      <scheme val="minor"/>
    </font>
    <font>
      <b/>
      <sz val="14"/>
      <color rgb="FFFFFFFF"/>
      <name val="Arial"/>
      <family val="2"/>
    </font>
    <font>
      <i/>
      <sz val="9"/>
      <color rgb="FF80808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i/>
      <sz val="8"/>
      <color rgb="FF808080"/>
      <name val="Arial"/>
      <family val="2"/>
    </font>
    <font>
      <i/>
      <sz val="9"/>
      <color rgb="FF999999"/>
      <name val="Arial"/>
      <family val="2"/>
    </font>
    <font>
      <u/>
      <sz val="9"/>
      <color rgb="FF0563C1"/>
      <name val="Arial"/>
      <family val="2"/>
    </font>
    <font>
      <b/>
      <sz val="10"/>
      <color rgb="FF0000CC"/>
      <name val="Arial"/>
      <family val="2"/>
    </font>
    <font>
      <sz val="10"/>
      <color rgb="FF0000CC"/>
      <name val="Arial"/>
      <family val="2"/>
    </font>
    <font>
      <b/>
      <sz val="10"/>
      <color rgb="FF008000"/>
      <name val="Arial"/>
      <family val="2"/>
    </font>
    <font>
      <sz val="10"/>
      <color rgb="FF008000"/>
      <name val="Arial"/>
      <family val="2"/>
    </font>
    <font>
      <sz val="9"/>
      <name val="宋体"/>
      <family val="3"/>
      <charset val="134"/>
      <scheme val="minor"/>
    </font>
    <font>
      <sz val="10"/>
      <color rgb="FF333333"/>
      <name val="Arial"/>
      <family val="2"/>
    </font>
    <font>
      <sz val="8"/>
      <color rgb="FF808080"/>
      <name val="Arial"/>
      <family val="2"/>
    </font>
    <font>
      <sz val="11"/>
      <color theme="1"/>
      <name val="宋体"/>
      <family val="2"/>
      <scheme val="minor"/>
    </font>
    <font>
      <sz val="10"/>
      <color theme="0" tint="-0.499984740745262"/>
      <name val="Arial"/>
      <family val="2"/>
    </font>
    <font>
      <b/>
      <sz val="10"/>
      <color rgb="FF333333"/>
      <name val="Arial"/>
      <family val="2"/>
    </font>
    <font>
      <i/>
      <sz val="9"/>
      <color theme="0" tint="-0.499984740745262"/>
      <name val="Arial"/>
      <family val="2"/>
    </font>
    <font>
      <sz val="11"/>
      <color theme="0" tint="-0.499984740745262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7" fillId="0" borderId="0">
      <alignment vertical="center"/>
    </xf>
  </cellStyleXfs>
  <cellXfs count="64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6" fillId="3" borderId="1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6" borderId="0" xfId="0" applyFill="1"/>
    <xf numFmtId="0" fontId="6" fillId="0" borderId="0" xfId="0" applyFont="1"/>
    <xf numFmtId="0" fontId="9" fillId="0" borderId="0" xfId="0" applyFont="1" applyAlignment="1">
      <alignment indent="1"/>
    </xf>
    <xf numFmtId="176" fontId="10" fillId="0" borderId="0" xfId="0" applyNumberFormat="1" applyFont="1" applyAlignment="1">
      <alignment horizontal="right"/>
    </xf>
    <xf numFmtId="0" fontId="8" fillId="0" borderId="0" xfId="0" applyFont="1"/>
    <xf numFmtId="177" fontId="8" fillId="0" borderId="0" xfId="0" applyNumberFormat="1" applyFont="1" applyAlignment="1">
      <alignment horizontal="right"/>
    </xf>
    <xf numFmtId="0" fontId="5" fillId="0" borderId="0" xfId="0" applyFont="1" applyAlignment="1">
      <alignment indent="1"/>
    </xf>
    <xf numFmtId="0" fontId="7" fillId="0" borderId="0" xfId="0" applyFont="1" applyAlignment="1">
      <alignment vertical="top" wrapText="1"/>
    </xf>
    <xf numFmtId="176" fontId="11" fillId="0" borderId="0" xfId="0" applyNumberFormat="1" applyFont="1" applyAlignment="1">
      <alignment horizontal="right"/>
    </xf>
    <xf numFmtId="176" fontId="8" fillId="0" borderId="0" xfId="0" applyNumberFormat="1" applyFont="1" applyAlignment="1">
      <alignment horizontal="right"/>
    </xf>
    <xf numFmtId="176" fontId="6" fillId="0" borderId="2" xfId="0" applyNumberFormat="1" applyFont="1" applyBorder="1" applyAlignment="1">
      <alignment horizontal="right"/>
    </xf>
    <xf numFmtId="0" fontId="0" fillId="6" borderId="2" xfId="0" applyFill="1" applyBorder="1"/>
    <xf numFmtId="176" fontId="6" fillId="0" borderId="0" xfId="0" applyNumberFormat="1" applyFont="1" applyAlignment="1">
      <alignment horizontal="right"/>
    </xf>
    <xf numFmtId="178" fontId="10" fillId="0" borderId="0" xfId="0" applyNumberFormat="1" applyFont="1" applyAlignment="1">
      <alignment horizontal="right"/>
    </xf>
    <xf numFmtId="176" fontId="5" fillId="0" borderId="0" xfId="0" applyNumberFormat="1" applyFont="1" applyAlignment="1">
      <alignment horizontal="right"/>
    </xf>
    <xf numFmtId="179" fontId="8" fillId="0" borderId="0" xfId="0" applyNumberFormat="1" applyFont="1" applyAlignment="1">
      <alignment horizontal="right"/>
    </xf>
    <xf numFmtId="176" fontId="12" fillId="0" borderId="0" xfId="0" applyNumberFormat="1" applyFont="1" applyAlignment="1">
      <alignment horizontal="right"/>
    </xf>
    <xf numFmtId="177" fontId="13" fillId="0" borderId="0" xfId="0" applyNumberFormat="1" applyFont="1" applyAlignment="1">
      <alignment horizontal="right"/>
    </xf>
    <xf numFmtId="177" fontId="5" fillId="0" borderId="0" xfId="0" applyNumberFormat="1" applyFont="1" applyAlignment="1">
      <alignment horizontal="right"/>
    </xf>
    <xf numFmtId="180" fontId="5" fillId="0" borderId="0" xfId="0" applyNumberFormat="1" applyFont="1" applyAlignment="1">
      <alignment horizontal="right"/>
    </xf>
    <xf numFmtId="179" fontId="13" fillId="0" borderId="0" xfId="0" applyNumberFormat="1" applyFont="1" applyAlignment="1">
      <alignment horizontal="right"/>
    </xf>
    <xf numFmtId="0" fontId="15" fillId="0" borderId="0" xfId="0" applyFont="1" applyAlignment="1">
      <alignment indent="1"/>
    </xf>
    <xf numFmtId="0" fontId="1" fillId="2" borderId="0" xfId="0" applyFont="1" applyFill="1"/>
    <xf numFmtId="0" fontId="6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7" fillId="0" borderId="0" xfId="0" applyFont="1"/>
    <xf numFmtId="176" fontId="13" fillId="0" borderId="0" xfId="0" applyNumberFormat="1" applyFont="1" applyAlignment="1">
      <alignment horizontal="right"/>
    </xf>
    <xf numFmtId="176" fontId="6" fillId="0" borderId="3" xfId="0" applyNumberFormat="1" applyFont="1" applyBorder="1" applyAlignment="1">
      <alignment horizontal="right"/>
    </xf>
    <xf numFmtId="177" fontId="6" fillId="0" borderId="3" xfId="0" applyNumberFormat="1" applyFont="1" applyBorder="1" applyAlignment="1">
      <alignment horizontal="right"/>
    </xf>
    <xf numFmtId="177" fontId="6" fillId="0" borderId="0" xfId="0" applyNumberFormat="1" applyFont="1" applyAlignment="1">
      <alignment horizontal="right"/>
    </xf>
    <xf numFmtId="179" fontId="0" fillId="0" borderId="0" xfId="0" applyNumberFormat="1"/>
    <xf numFmtId="0" fontId="8" fillId="0" borderId="0" xfId="0" applyFont="1" applyAlignment="1">
      <alignment horizontal="right"/>
    </xf>
    <xf numFmtId="177" fontId="11" fillId="0" borderId="0" xfId="0" applyNumberFormat="1" applyFont="1" applyAlignment="1">
      <alignment horizontal="right"/>
    </xf>
    <xf numFmtId="181" fontId="5" fillId="0" borderId="0" xfId="0" applyNumberFormat="1" applyFont="1" applyAlignment="1">
      <alignment horizontal="right"/>
    </xf>
    <xf numFmtId="178" fontId="5" fillId="0" borderId="0" xfId="0" applyNumberFormat="1" applyFont="1" applyAlignment="1">
      <alignment horizontal="right"/>
    </xf>
    <xf numFmtId="0" fontId="6" fillId="3" borderId="0" xfId="0" applyFont="1" applyFill="1" applyAlignment="1">
      <alignment horizontal="center" vertical="center" wrapText="1"/>
    </xf>
    <xf numFmtId="182" fontId="18" fillId="0" borderId="0" xfId="1" applyNumberFormat="1" applyFont="1" applyAlignment="1">
      <alignment horizontal="right"/>
    </xf>
    <xf numFmtId="182" fontId="18" fillId="0" borderId="0" xfId="0" applyNumberFormat="1" applyFont="1" applyAlignment="1">
      <alignment horizontal="right"/>
    </xf>
    <xf numFmtId="176" fontId="8" fillId="0" borderId="0" xfId="1" applyNumberFormat="1" applyFont="1" applyAlignment="1">
      <alignment horizontal="right"/>
    </xf>
    <xf numFmtId="182" fontId="18" fillId="0" borderId="0" xfId="0" applyNumberFormat="1" applyFont="1"/>
    <xf numFmtId="176" fontId="11" fillId="0" borderId="4" xfId="0" applyNumberFormat="1" applyFont="1" applyBorder="1" applyAlignment="1">
      <alignment horizontal="right"/>
    </xf>
    <xf numFmtId="182" fontId="18" fillId="0" borderId="4" xfId="1" applyNumberFormat="1" applyFont="1" applyBorder="1" applyAlignment="1">
      <alignment horizontal="right"/>
    </xf>
    <xf numFmtId="0" fontId="15" fillId="0" borderId="0" xfId="0" applyFont="1"/>
    <xf numFmtId="182" fontId="17" fillId="0" borderId="0" xfId="1" applyNumberFormat="1">
      <alignment vertical="center"/>
    </xf>
    <xf numFmtId="0" fontId="0" fillId="6" borderId="4" xfId="0" applyFill="1" applyBorder="1"/>
    <xf numFmtId="182" fontId="18" fillId="0" borderId="4" xfId="0" applyNumberFormat="1" applyFont="1" applyBorder="1" applyAlignment="1">
      <alignment horizontal="right"/>
    </xf>
    <xf numFmtId="0" fontId="19" fillId="0" borderId="0" xfId="0" applyFont="1"/>
    <xf numFmtId="0" fontId="20" fillId="0" borderId="0" xfId="0" applyFont="1" applyAlignment="1">
      <alignment indent="1"/>
    </xf>
    <xf numFmtId="0" fontId="21" fillId="0" borderId="0" xfId="0" applyFont="1"/>
    <xf numFmtId="177" fontId="20" fillId="0" borderId="0" xfId="0" applyNumberFormat="1" applyFont="1" applyAlignment="1">
      <alignment horizontal="right"/>
    </xf>
    <xf numFmtId="0" fontId="21" fillId="6" borderId="0" xfId="0" applyFont="1" applyFill="1"/>
  </cellXfs>
  <cellStyles count="2">
    <cellStyle name="百分比" xfId="1" builtinId="5"/>
    <cellStyle name="常规" xfId="0" builtinId="0"/>
  </cellStyles>
  <dxfs count="11"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资产堆积图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'Asset Structure'!$A$8</c:f>
              <c:strCache>
                <c:ptCount val="1"/>
                <c:pt idx="0">
                  <c:v>Cash and cash equivalents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'Asset Structure'!$C$3:$L$3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'Asset Structure'!$C$8:$L$8</c:f>
              <c:numCache>
                <c:formatCode>#,##0;\(#,##0\);"-"</c:formatCode>
                <c:ptCount val="10"/>
                <c:pt idx="0">
                  <c:v>3097</c:v>
                </c:pt>
                <c:pt idx="1">
                  <c:v>11204</c:v>
                </c:pt>
                <c:pt idx="2">
                  <c:v>4292</c:v>
                </c:pt>
                <c:pt idx="3">
                  <c:v>5055</c:v>
                </c:pt>
                <c:pt idx="4">
                  <c:v>7618</c:v>
                </c:pt>
                <c:pt idx="5">
                  <c:v>12163</c:v>
                </c:pt>
                <c:pt idx="6">
                  <c:v>12416</c:v>
                </c:pt>
                <c:pt idx="7">
                  <c:v>14189</c:v>
                </c:pt>
                <c:pt idx="8">
                  <c:v>9348</c:v>
                </c:pt>
                <c:pt idx="9">
                  <c:v>16178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5-7A45-AA8F-943FE2CADF61}"/>
            </c:ext>
          </c:extLst>
        </c:ser>
        <c:ser>
          <c:idx val="1"/>
          <c:order val="1"/>
          <c:tx>
            <c:strRef>
              <c:f>'Asset Structure'!$A$9</c:f>
              <c:strCache>
                <c:ptCount val="1"/>
                <c:pt idx="0">
                  <c:v>Trade receivables, net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'Asset Structure'!$C$3:$L$3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'Asset Structure'!$C$9:$L$9</c:f>
              <c:numCache>
                <c:formatCode>#,##0;\(#,##0\);"-"</c:formatCode>
                <c:ptCount val="10"/>
                <c:pt idx="0">
                  <c:v>2181</c:v>
                </c:pt>
                <c:pt idx="1">
                  <c:v>2448</c:v>
                </c:pt>
                <c:pt idx="2">
                  <c:v>3325</c:v>
                </c:pt>
                <c:pt idx="3">
                  <c:v>3259</c:v>
                </c:pt>
                <c:pt idx="4">
                  <c:v>2297</c:v>
                </c:pt>
                <c:pt idx="5">
                  <c:v>2071</c:v>
                </c:pt>
                <c:pt idx="6">
                  <c:v>2958</c:v>
                </c:pt>
                <c:pt idx="7">
                  <c:v>3154</c:v>
                </c:pt>
                <c:pt idx="8">
                  <c:v>4416</c:v>
                </c:pt>
                <c:pt idx="9">
                  <c:v>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5-7A45-AA8F-943FE2CADF61}"/>
            </c:ext>
          </c:extLst>
        </c:ser>
        <c:ser>
          <c:idx val="2"/>
          <c:order val="2"/>
          <c:tx>
            <c:strRef>
              <c:f>'Asset Structure'!$A$10</c:f>
              <c:strCache>
                <c:ptCount val="1"/>
                <c:pt idx="0">
                  <c:v>Inventory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'Asset Structure'!$C$3:$L$3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'Asset Structure'!$C$10:$L$10</c:f>
              <c:numCache>
                <c:formatCode>#,##0;\(#,##0\);"-"</c:formatCode>
                <c:ptCount val="10"/>
                <c:pt idx="0">
                  <c:v>1400</c:v>
                </c:pt>
                <c:pt idx="1">
                  <c:v>1447</c:v>
                </c:pt>
                <c:pt idx="2">
                  <c:v>1124</c:v>
                </c:pt>
                <c:pt idx="3">
                  <c:v>874</c:v>
                </c:pt>
                <c:pt idx="4">
                  <c:v>1003</c:v>
                </c:pt>
                <c:pt idx="5">
                  <c:v>1297</c:v>
                </c:pt>
                <c:pt idx="6">
                  <c:v>1925</c:v>
                </c:pt>
                <c:pt idx="7">
                  <c:v>1898</c:v>
                </c:pt>
                <c:pt idx="8">
                  <c:v>1760</c:v>
                </c:pt>
                <c:pt idx="9">
                  <c:v>2270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5-7A45-AA8F-943FE2CADF61}"/>
            </c:ext>
          </c:extLst>
        </c:ser>
        <c:ser>
          <c:idx val="3"/>
          <c:order val="3"/>
          <c:tx>
            <c:strRef>
              <c:f>'Asset Structure'!$A$11</c:f>
              <c:strCache>
                <c:ptCount val="1"/>
                <c:pt idx="0">
                  <c:v>Other current assets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'Asset Structure'!$C$3:$L$3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'Asset Structure'!$C$11:$L$11</c:f>
              <c:numCache>
                <c:formatCode>#,##0;\(#,##0\);"-"</c:formatCode>
                <c:ptCount val="10"/>
                <c:pt idx="0">
                  <c:v>447</c:v>
                </c:pt>
                <c:pt idx="1">
                  <c:v>724</c:v>
                </c:pt>
                <c:pt idx="2">
                  <c:v>366</c:v>
                </c:pt>
                <c:pt idx="3">
                  <c:v>729</c:v>
                </c:pt>
                <c:pt idx="4">
                  <c:v>977</c:v>
                </c:pt>
                <c:pt idx="5">
                  <c:v>1055</c:v>
                </c:pt>
                <c:pt idx="6">
                  <c:v>1205</c:v>
                </c:pt>
                <c:pt idx="7">
                  <c:v>1606</c:v>
                </c:pt>
                <c:pt idx="8">
                  <c:v>4071</c:v>
                </c:pt>
                <c:pt idx="9">
                  <c:v>5980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55-7A45-AA8F-943FE2CADF61}"/>
            </c:ext>
          </c:extLst>
        </c:ser>
        <c:ser>
          <c:idx val="4"/>
          <c:order val="4"/>
          <c:tx>
            <c:strRef>
              <c:f>'Asset Structure'!$A$14</c:f>
              <c:strCache>
                <c:ptCount val="1"/>
                <c:pt idx="0">
                  <c:v>Property, plant &amp; equipment, net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'Asset Structure'!$C$3:$L$3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'Asset Structure'!$C$14:$L$14</c:f>
              <c:numCache>
                <c:formatCode>#,##0;\(#,##0\);"-"</c:formatCode>
                <c:ptCount val="10"/>
                <c:pt idx="0">
                  <c:v>2509</c:v>
                </c:pt>
                <c:pt idx="1">
                  <c:v>2599</c:v>
                </c:pt>
                <c:pt idx="2">
                  <c:v>2635</c:v>
                </c:pt>
                <c:pt idx="3">
                  <c:v>2565</c:v>
                </c:pt>
                <c:pt idx="4">
                  <c:v>2509</c:v>
                </c:pt>
                <c:pt idx="5">
                  <c:v>2348</c:v>
                </c:pt>
                <c:pt idx="6">
                  <c:v>2223</c:v>
                </c:pt>
                <c:pt idx="7">
                  <c:v>2154</c:v>
                </c:pt>
                <c:pt idx="8">
                  <c:v>2521</c:v>
                </c:pt>
                <c:pt idx="9">
                  <c:v>2530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55-7A45-AA8F-943FE2CADF61}"/>
            </c:ext>
          </c:extLst>
        </c:ser>
        <c:ser>
          <c:idx val="5"/>
          <c:order val="5"/>
          <c:tx>
            <c:strRef>
              <c:f>'Asset Structure'!$A$15</c:f>
              <c:strCache>
                <c:ptCount val="1"/>
                <c:pt idx="0">
                  <c:v>Goodwill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'Asset Structure'!$C$3:$L$3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'Asset Structure'!$C$15:$L$15</c:f>
              <c:numCache>
                <c:formatCode>#,##0;\(#,##0\);"-"</c:formatCode>
                <c:ptCount val="10"/>
                <c:pt idx="0">
                  <c:v>24732</c:v>
                </c:pt>
                <c:pt idx="1">
                  <c:v>24706</c:v>
                </c:pt>
                <c:pt idx="2">
                  <c:v>26913</c:v>
                </c:pt>
                <c:pt idx="3">
                  <c:v>36714</c:v>
                </c:pt>
                <c:pt idx="4">
                  <c:v>43447</c:v>
                </c:pt>
                <c:pt idx="5">
                  <c:v>43450</c:v>
                </c:pt>
                <c:pt idx="6">
                  <c:v>43614</c:v>
                </c:pt>
                <c:pt idx="7">
                  <c:v>43653</c:v>
                </c:pt>
                <c:pt idx="8">
                  <c:v>97873</c:v>
                </c:pt>
                <c:pt idx="9">
                  <c:v>97801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55-7A45-AA8F-943FE2CADF61}"/>
            </c:ext>
          </c:extLst>
        </c:ser>
        <c:ser>
          <c:idx val="6"/>
          <c:order val="6"/>
          <c:tx>
            <c:strRef>
              <c:f>'Asset Structure'!$A$16</c:f>
              <c:strCache>
                <c:ptCount val="1"/>
                <c:pt idx="0">
                  <c:v>Intangible assets, net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'Asset Structure'!$C$3:$L$3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'Asset Structure'!$C$16:$L$16</c:f>
              <c:numCache>
                <c:formatCode>#,##0;\(#,##0\);"-"</c:formatCode>
                <c:ptCount val="10"/>
                <c:pt idx="0">
                  <c:v>15068</c:v>
                </c:pt>
                <c:pt idx="1">
                  <c:v>10832</c:v>
                </c:pt>
                <c:pt idx="2">
                  <c:v>10762</c:v>
                </c:pt>
                <c:pt idx="3">
                  <c:v>17554</c:v>
                </c:pt>
                <c:pt idx="4">
                  <c:v>16782</c:v>
                </c:pt>
                <c:pt idx="5">
                  <c:v>11374</c:v>
                </c:pt>
                <c:pt idx="6">
                  <c:v>7111</c:v>
                </c:pt>
                <c:pt idx="7">
                  <c:v>3867</c:v>
                </c:pt>
                <c:pt idx="8">
                  <c:v>40583</c:v>
                </c:pt>
                <c:pt idx="9">
                  <c:v>32273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55-7A45-AA8F-943FE2CADF61}"/>
            </c:ext>
          </c:extLst>
        </c:ser>
        <c:ser>
          <c:idx val="7"/>
          <c:order val="7"/>
          <c:tx>
            <c:strRef>
              <c:f>'Asset Structure'!$A$17</c:f>
              <c:strCache>
                <c:ptCount val="1"/>
                <c:pt idx="0">
                  <c:v>Other long-term assets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'Asset Structure'!$C$3:$L$3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'Asset Structure'!$C$17:$L$17</c:f>
              <c:numCache>
                <c:formatCode>#,##0;\(#,##0\);"-"</c:formatCode>
                <c:ptCount val="10"/>
                <c:pt idx="0">
                  <c:v>532</c:v>
                </c:pt>
                <c:pt idx="1">
                  <c:v>458</c:v>
                </c:pt>
                <c:pt idx="2">
                  <c:v>707</c:v>
                </c:pt>
                <c:pt idx="3">
                  <c:v>743</c:v>
                </c:pt>
                <c:pt idx="4">
                  <c:v>1300</c:v>
                </c:pt>
                <c:pt idx="5">
                  <c:v>1812</c:v>
                </c:pt>
                <c:pt idx="6">
                  <c:v>1797</c:v>
                </c:pt>
                <c:pt idx="7">
                  <c:v>2340</c:v>
                </c:pt>
                <c:pt idx="8">
                  <c:v>5073</c:v>
                </c:pt>
                <c:pt idx="9">
                  <c:v>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55-7A45-AA8F-943FE2CAD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195775"/>
        <c:axId val="1899187711"/>
      </c:areaChart>
      <c:catAx>
        <c:axId val="189919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9187711"/>
        <c:crosses val="autoZero"/>
        <c:auto val="1"/>
        <c:lblAlgn val="ctr"/>
        <c:lblOffset val="100"/>
        <c:noMultiLvlLbl val="0"/>
      </c:catAx>
      <c:valAx>
        <c:axId val="189918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9195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净现金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'Net Cash'!$A$8</c:f>
              <c:strCache>
                <c:ptCount val="1"/>
                <c:pt idx="0">
                  <c:v>Cash and cash equivalents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'Net Cash'!$C$3:$L$3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'Net Cash'!$C$8:$L$8</c:f>
              <c:numCache>
                <c:formatCode>#,##0;\(#,##0\);"-"</c:formatCode>
                <c:ptCount val="10"/>
                <c:pt idx="0">
                  <c:v>3097</c:v>
                </c:pt>
                <c:pt idx="1">
                  <c:v>11204</c:v>
                </c:pt>
                <c:pt idx="2">
                  <c:v>4292</c:v>
                </c:pt>
                <c:pt idx="3">
                  <c:v>5055</c:v>
                </c:pt>
                <c:pt idx="4">
                  <c:v>7618</c:v>
                </c:pt>
                <c:pt idx="5">
                  <c:v>12163</c:v>
                </c:pt>
                <c:pt idx="6">
                  <c:v>12416</c:v>
                </c:pt>
                <c:pt idx="7">
                  <c:v>14189</c:v>
                </c:pt>
                <c:pt idx="8">
                  <c:v>9348</c:v>
                </c:pt>
                <c:pt idx="9">
                  <c:v>16178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B-9441-9451-32A263308405}"/>
            </c:ext>
          </c:extLst>
        </c:ser>
        <c:ser>
          <c:idx val="1"/>
          <c:order val="1"/>
          <c:tx>
            <c:strRef>
              <c:f>'Net Cash'!$A$11</c:f>
              <c:strCache>
                <c:ptCount val="1"/>
                <c:pt idx="0">
                  <c:v>Total debt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'Net Cash'!$C$3:$L$3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'Net Cash'!$C$11:$L$11</c:f>
              <c:numCache>
                <c:formatCode>#,##0;\(#,##0\);"-"</c:formatCode>
                <c:ptCount val="10"/>
                <c:pt idx="0">
                  <c:v>13642</c:v>
                </c:pt>
                <c:pt idx="1">
                  <c:v>17548</c:v>
                </c:pt>
                <c:pt idx="2">
                  <c:v>17493</c:v>
                </c:pt>
                <c:pt idx="3">
                  <c:v>32798</c:v>
                </c:pt>
                <c:pt idx="4">
                  <c:v>41062</c:v>
                </c:pt>
                <c:pt idx="5">
                  <c:v>39730</c:v>
                </c:pt>
                <c:pt idx="6">
                  <c:v>39515</c:v>
                </c:pt>
                <c:pt idx="7">
                  <c:v>39229</c:v>
                </c:pt>
                <c:pt idx="8">
                  <c:v>67566</c:v>
                </c:pt>
                <c:pt idx="9">
                  <c:v>65136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B-9441-9451-32A263308405}"/>
            </c:ext>
          </c:extLst>
        </c:ser>
        <c:ser>
          <c:idx val="2"/>
          <c:order val="2"/>
          <c:tx>
            <c:strRef>
              <c:f>'Net Cash'!$A$13</c:f>
              <c:strCache>
                <c:ptCount val="1"/>
                <c:pt idx="0">
                  <c:v>Net cash / (net debt)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'Net Cash'!$C$3:$L$3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'Net Cash'!$C$13:$L$13</c:f>
              <c:numCache>
                <c:formatCode>#,##0;\(#,##0\);"-"</c:formatCode>
                <c:ptCount val="10"/>
                <c:pt idx="0">
                  <c:v>-10545</c:v>
                </c:pt>
                <c:pt idx="1">
                  <c:v>-6344</c:v>
                </c:pt>
                <c:pt idx="2">
                  <c:v>-13201</c:v>
                </c:pt>
                <c:pt idx="3">
                  <c:v>-27743</c:v>
                </c:pt>
                <c:pt idx="4">
                  <c:v>-33444</c:v>
                </c:pt>
                <c:pt idx="5">
                  <c:v>-27567</c:v>
                </c:pt>
                <c:pt idx="6">
                  <c:v>-27099</c:v>
                </c:pt>
                <c:pt idx="7">
                  <c:v>-25040</c:v>
                </c:pt>
                <c:pt idx="8">
                  <c:v>-58218</c:v>
                </c:pt>
                <c:pt idx="9">
                  <c:v>-48958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1B-9441-9451-32A263308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649087"/>
        <c:axId val="2023650879"/>
      </c:lineChart>
      <c:catAx>
        <c:axId val="202364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650879"/>
        <c:crosses val="autoZero"/>
        <c:auto val="1"/>
        <c:lblAlgn val="ctr"/>
        <c:lblOffset val="100"/>
        <c:noMultiLvlLbl val="0"/>
      </c:catAx>
      <c:valAx>
        <c:axId val="202365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64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营运资本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'Working Capital'!$A$11</c:f>
              <c:strCache>
                <c:ptCount val="1"/>
                <c:pt idx="0">
                  <c:v>Operating current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'Working Capital'!$C$11:$L$11</c:f>
              <c:numCache>
                <c:formatCode>#,##0;\(#,##0\);"-"</c:formatCode>
                <c:ptCount val="10"/>
                <c:pt idx="0">
                  <c:v>4028</c:v>
                </c:pt>
                <c:pt idx="1">
                  <c:v>4619</c:v>
                </c:pt>
                <c:pt idx="2">
                  <c:v>4815</c:v>
                </c:pt>
                <c:pt idx="3">
                  <c:v>4862</c:v>
                </c:pt>
                <c:pt idx="4">
                  <c:v>4277</c:v>
                </c:pt>
                <c:pt idx="5">
                  <c:v>4423</c:v>
                </c:pt>
                <c:pt idx="6">
                  <c:v>6088</c:v>
                </c:pt>
                <c:pt idx="7">
                  <c:v>6658</c:v>
                </c:pt>
                <c:pt idx="8">
                  <c:v>10247</c:v>
                </c:pt>
                <c:pt idx="9">
                  <c:v>15395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0-4247-B2FB-1A0A1E5FB214}"/>
            </c:ext>
          </c:extLst>
        </c:ser>
        <c:ser>
          <c:idx val="1"/>
          <c:order val="1"/>
          <c:tx>
            <c:strRef>
              <c:f>'Working Capital'!$A$16</c:f>
              <c:strCache>
                <c:ptCount val="1"/>
                <c:pt idx="0">
                  <c:v>Operating current liabilities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'Working Capital'!$C$16:$L$16</c:f>
              <c:numCache>
                <c:formatCode>#,##0;\(#,##0\);"-"</c:formatCode>
                <c:ptCount val="10"/>
                <c:pt idx="0">
                  <c:v>2624</c:v>
                </c:pt>
                <c:pt idx="1">
                  <c:v>2412</c:v>
                </c:pt>
                <c:pt idx="2">
                  <c:v>2338</c:v>
                </c:pt>
                <c:pt idx="3">
                  <c:v>4112</c:v>
                </c:pt>
                <c:pt idx="4">
                  <c:v>5544</c:v>
                </c:pt>
                <c:pt idx="5">
                  <c:v>5991</c:v>
                </c:pt>
                <c:pt idx="6">
                  <c:v>6612</c:v>
                </c:pt>
                <c:pt idx="7">
                  <c:v>5797</c:v>
                </c:pt>
                <c:pt idx="8">
                  <c:v>15426</c:v>
                </c:pt>
                <c:pt idx="9">
                  <c:v>15362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0-4247-B2FB-1A0A1E5FB214}"/>
            </c:ext>
          </c:extLst>
        </c:ser>
        <c:ser>
          <c:idx val="2"/>
          <c:order val="2"/>
          <c:tx>
            <c:strRef>
              <c:f>'Working Capital'!$A$18</c:f>
              <c:strCache>
                <c:ptCount val="1"/>
                <c:pt idx="0">
                  <c:v>Net working capital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Capital'!$C$3:$L$3</c:f>
              <c:strCache>
                <c:ptCount val="10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  <c:pt idx="8">
                  <c:v>FY2024</c:v>
                </c:pt>
                <c:pt idx="9">
                  <c:v>FY2025</c:v>
                </c:pt>
              </c:strCache>
            </c:strRef>
          </c:cat>
          <c:val>
            <c:numRef>
              <c:f>'Working Capital'!$C$18:$L$18</c:f>
              <c:numCache>
                <c:formatCode>#,##0;\(#,##0\);"-"</c:formatCode>
                <c:ptCount val="10"/>
                <c:pt idx="0">
                  <c:v>1404</c:v>
                </c:pt>
                <c:pt idx="1">
                  <c:v>2207</c:v>
                </c:pt>
                <c:pt idx="2">
                  <c:v>2477</c:v>
                </c:pt>
                <c:pt idx="3">
                  <c:v>750</c:v>
                </c:pt>
                <c:pt idx="4">
                  <c:v>-1267</c:v>
                </c:pt>
                <c:pt idx="5">
                  <c:v>-1568</c:v>
                </c:pt>
                <c:pt idx="6">
                  <c:v>-524</c:v>
                </c:pt>
                <c:pt idx="7">
                  <c:v>861</c:v>
                </c:pt>
                <c:pt idx="8">
                  <c:v>-5179</c:v>
                </c:pt>
                <c:pt idx="9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0-4247-B2FB-1A0A1E5FB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168639"/>
        <c:axId val="1846174911"/>
      </c:lineChart>
      <c:catAx>
        <c:axId val="184616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6174911"/>
        <c:crosses val="autoZero"/>
        <c:auto val="1"/>
        <c:lblAlgn val="ctr"/>
        <c:lblOffset val="100"/>
        <c:noMultiLvlLbl val="0"/>
      </c:catAx>
      <c:valAx>
        <c:axId val="184617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616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现金流向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现金流向</a:t>
          </a:r>
        </a:p>
      </cx:txPr>
    </cx:title>
    <cx:plotArea>
      <cx:plotAreaRegion>
        <cx:series layoutId="waterfall" uniqueId="{00000000-D8D0-C34F-AB35-62AF95F75F5C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zh-CN" alt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txPr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412750</xdr:colOff>
      <xdr:row>37</xdr:row>
      <xdr:rowOff>95250</xdr:rowOff>
    </xdr:from>
    <xdr:to>
      <xdr:col>11</xdr:col>
      <xdr:colOff>76200</xdr:colOff>
      <xdr:row>59</xdr:row>
      <xdr:rowOff>139700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41ECA90-9918-A36B-2369-42E947A17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18</xdr:row>
      <xdr:rowOff>44450</xdr:rowOff>
    </xdr:from>
    <xdr:to>
      <xdr:col>10</xdr:col>
      <xdr:colOff>812800</xdr:colOff>
      <xdr:row>40</xdr:row>
      <xdr:rowOff>101600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C39B38D-E36E-FA02-1893-7B219AC56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298450</xdr:colOff>
      <xdr:row>22</xdr:row>
      <xdr:rowOff>171450</xdr:rowOff>
    </xdr:from>
    <xdr:to>
      <xdr:col>11</xdr:col>
      <xdr:colOff>127000</xdr:colOff>
      <xdr:row>46</xdr:row>
      <xdr:rowOff>139700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DA5B45F-6B69-E792-95F2-2919949AC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33</xdr:row>
      <xdr:rowOff>82550</xdr:rowOff>
    </xdr:from>
    <xdr:to>
      <xdr:col>14</xdr:col>
      <xdr:colOff>355600</xdr:colOff>
      <xdr:row>63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9F64DB11-2822-DF90-B5AC-BB8989AD1B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9750" y="6229350"/>
              <a:ext cx="9747250" cy="5314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D7A5CD-D5CF-B247-8A2E-A2EB8944BB1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36eb36e3-439e-46f6-998c-782bfa941a06&quot;"/>
  </we:properties>
  <we:bindings/>
  <we:snapshot xmlns:r="http://schemas.openxmlformats.org/officeDocument/2006/relationships"/>
</we:webextension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39"/>
  <sheetViews>
    <sheetView showGridLines="0" zoomScale="85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30" customWidth="1"/>
    <col min="2" max="2" width="80" customWidth="1"/>
  </cols>
  <sheetData>
    <row r="1" spans="1:8" ht="28" customHeight="1">
      <c r="A1" s="1" t="s">
        <v>70</v>
      </c>
      <c r="B1" s="2"/>
      <c r="C1" s="2"/>
      <c r="D1" s="2"/>
      <c r="E1" s="2"/>
      <c r="F1" s="2"/>
      <c r="G1" s="2"/>
      <c r="H1" s="2"/>
    </row>
    <row r="2" spans="1:8" ht="16" customHeight="1">
      <c r="A2" s="3" t="s">
        <v>1</v>
      </c>
    </row>
    <row r="4" spans="1:8">
      <c r="A4" s="4" t="s">
        <v>71</v>
      </c>
    </row>
    <row r="6" spans="1:8">
      <c r="A6" s="5" t="s">
        <v>72</v>
      </c>
      <c r="B6" s="5"/>
    </row>
    <row r="7" spans="1:8">
      <c r="A7" s="6" t="s">
        <v>73</v>
      </c>
      <c r="B7" s="6" t="s">
        <v>74</v>
      </c>
    </row>
    <row r="8" spans="1:8">
      <c r="A8" s="6" t="s">
        <v>75</v>
      </c>
      <c r="B8" s="6" t="s">
        <v>76</v>
      </c>
    </row>
    <row r="9" spans="1:8">
      <c r="A9" s="6" t="s">
        <v>77</v>
      </c>
      <c r="B9" s="6" t="s">
        <v>78</v>
      </c>
    </row>
    <row r="10" spans="1:8">
      <c r="A10" s="6" t="s">
        <v>79</v>
      </c>
      <c r="B10" s="6" t="s">
        <v>80</v>
      </c>
    </row>
    <row r="11" spans="1:8">
      <c r="A11" s="6" t="s">
        <v>81</v>
      </c>
      <c r="B11" s="6" t="s">
        <v>82</v>
      </c>
    </row>
    <row r="12" spans="1:8">
      <c r="A12" s="6" t="s">
        <v>83</v>
      </c>
      <c r="B12" s="6" t="s">
        <v>84</v>
      </c>
    </row>
    <row r="13" spans="1:8">
      <c r="A13" s="6" t="s">
        <v>85</v>
      </c>
      <c r="B13" s="6" t="s">
        <v>86</v>
      </c>
    </row>
    <row r="14" spans="1:8">
      <c r="A14" s="6" t="s">
        <v>87</v>
      </c>
      <c r="B14" s="6" t="s">
        <v>88</v>
      </c>
    </row>
    <row r="15" spans="1:8">
      <c r="A15" s="6" t="s">
        <v>89</v>
      </c>
      <c r="B15" s="6" t="s">
        <v>90</v>
      </c>
    </row>
    <row r="17" spans="1:2">
      <c r="A17" s="5" t="s">
        <v>91</v>
      </c>
      <c r="B17" s="5"/>
    </row>
    <row r="18" spans="1:2">
      <c r="A18" s="7" t="s">
        <v>92</v>
      </c>
      <c r="B18" s="6" t="s">
        <v>93</v>
      </c>
    </row>
    <row r="19" spans="1:2">
      <c r="A19" s="8" t="s">
        <v>94</v>
      </c>
      <c r="B19" s="6" t="s">
        <v>95</v>
      </c>
    </row>
    <row r="20" spans="1:2">
      <c r="A20" s="9" t="s">
        <v>96</v>
      </c>
      <c r="B20" s="6" t="s">
        <v>97</v>
      </c>
    </row>
    <row r="21" spans="1:2">
      <c r="A21" s="8" t="s">
        <v>98</v>
      </c>
      <c r="B21" s="6" t="s">
        <v>99</v>
      </c>
    </row>
    <row r="23" spans="1:2">
      <c r="A23" s="5" t="s">
        <v>100</v>
      </c>
      <c r="B23" s="5"/>
    </row>
    <row r="24" spans="1:2">
      <c r="A24" s="6" t="s">
        <v>101</v>
      </c>
      <c r="B24" s="6" t="s">
        <v>102</v>
      </c>
    </row>
    <row r="25" spans="1:2">
      <c r="A25" s="6" t="s">
        <v>103</v>
      </c>
      <c r="B25" s="6" t="s">
        <v>104</v>
      </c>
    </row>
    <row r="26" spans="1:2">
      <c r="A26" s="6" t="s">
        <v>105</v>
      </c>
      <c r="B26" s="6" t="s">
        <v>106</v>
      </c>
    </row>
    <row r="27" spans="1:2">
      <c r="A27" s="6" t="s">
        <v>107</v>
      </c>
      <c r="B27" s="6" t="s">
        <v>108</v>
      </c>
    </row>
    <row r="28" spans="1:2">
      <c r="A28" s="6" t="s">
        <v>109</v>
      </c>
      <c r="B28" s="6" t="s">
        <v>110</v>
      </c>
    </row>
    <row r="29" spans="1:2">
      <c r="A29" s="6" t="s">
        <v>111</v>
      </c>
      <c r="B29" s="6" t="s">
        <v>112</v>
      </c>
    </row>
    <row r="31" spans="1:2">
      <c r="A31" s="5" t="s">
        <v>113</v>
      </c>
      <c r="B31" s="5"/>
    </row>
    <row r="32" spans="1:2">
      <c r="A32" s="6" t="s">
        <v>114</v>
      </c>
      <c r="B32" s="6" t="s">
        <v>115</v>
      </c>
    </row>
    <row r="33" spans="1:2">
      <c r="A33" s="6" t="s">
        <v>116</v>
      </c>
      <c r="B33" s="6" t="s">
        <v>117</v>
      </c>
    </row>
    <row r="34" spans="1:2">
      <c r="A34" s="6" t="s">
        <v>118</v>
      </c>
      <c r="B34" s="6" t="s">
        <v>119</v>
      </c>
    </row>
    <row r="35" spans="1:2">
      <c r="A35" s="6" t="s">
        <v>120</v>
      </c>
      <c r="B35" s="6" t="s">
        <v>121</v>
      </c>
    </row>
    <row r="36" spans="1:2">
      <c r="A36" s="6" t="s">
        <v>122</v>
      </c>
      <c r="B36" s="6" t="s">
        <v>123</v>
      </c>
    </row>
    <row r="37" spans="1:2">
      <c r="A37" s="6" t="s">
        <v>124</v>
      </c>
      <c r="B37" s="6" t="s">
        <v>125</v>
      </c>
    </row>
    <row r="38" spans="1:2">
      <c r="A38" s="6" t="s">
        <v>126</v>
      </c>
      <c r="B38" s="6" t="s">
        <v>127</v>
      </c>
    </row>
    <row r="39" spans="1:2">
      <c r="A39" s="6" t="s">
        <v>128</v>
      </c>
      <c r="B39" s="6" t="s">
        <v>129</v>
      </c>
    </row>
  </sheetData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V64"/>
  <sheetViews>
    <sheetView showGridLines="0" zoomScale="85" workbookViewId="0">
      <pane xSplit="2" ySplit="5" topLeftCell="J6" activePane="bottomRight" state="frozen"/>
      <selection pane="topRight"/>
      <selection pane="bottomLeft"/>
      <selection pane="bottomRight" activeCell="V46" sqref="V46"/>
    </sheetView>
  </sheetViews>
  <sheetFormatPr baseColWidth="10" defaultColWidth="8.83203125" defaultRowHeight="14" outlineLevelCol="1"/>
  <cols>
    <col min="1" max="1" width="46" customWidth="1"/>
    <col min="2" max="2" width="34" hidden="1" customWidth="1" outlineLevel="1"/>
    <col min="3" max="3" width="12" customWidth="1" collapsed="1"/>
    <col min="4" max="12" width="12" customWidth="1"/>
    <col min="13" max="14" width="9" customWidth="1"/>
    <col min="15" max="22" width="12" customWidth="1"/>
  </cols>
  <sheetData>
    <row r="1" spans="1:22" ht="28" customHeight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6" customHeight="1">
      <c r="A2" s="3" t="s">
        <v>1</v>
      </c>
    </row>
    <row r="3" spans="1:22"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1" t="s">
        <v>12</v>
      </c>
      <c r="N3" s="11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0" t="s">
        <v>20</v>
      </c>
    </row>
    <row r="4" spans="1:22">
      <c r="C4" s="12" t="s">
        <v>21</v>
      </c>
      <c r="D4" s="12" t="s">
        <v>22</v>
      </c>
      <c r="E4" s="12" t="s">
        <v>23</v>
      </c>
      <c r="F4" s="12" t="s">
        <v>24</v>
      </c>
      <c r="G4" s="12" t="s">
        <v>25</v>
      </c>
      <c r="H4" s="12" t="s">
        <v>26</v>
      </c>
      <c r="I4" s="12" t="s">
        <v>27</v>
      </c>
      <c r="J4" s="12" t="s">
        <v>28</v>
      </c>
      <c r="K4" s="12" t="s">
        <v>29</v>
      </c>
      <c r="L4" s="12" t="s">
        <v>30</v>
      </c>
      <c r="M4" s="13"/>
      <c r="N4" s="13"/>
      <c r="O4" s="12" t="s">
        <v>31</v>
      </c>
      <c r="P4" s="12" t="s">
        <v>32</v>
      </c>
      <c r="Q4" s="12" t="s">
        <v>33</v>
      </c>
      <c r="R4" s="12" t="s">
        <v>34</v>
      </c>
      <c r="S4" s="12" t="s">
        <v>35</v>
      </c>
      <c r="T4" s="12" t="s">
        <v>36</v>
      </c>
      <c r="U4" s="12" t="s">
        <v>37</v>
      </c>
      <c r="V4" s="12" t="s">
        <v>38</v>
      </c>
    </row>
    <row r="5" spans="1:22">
      <c r="M5" s="13"/>
      <c r="N5" s="13"/>
    </row>
    <row r="6" spans="1:22">
      <c r="A6" s="14" t="s">
        <v>39</v>
      </c>
      <c r="M6" s="13"/>
      <c r="N6" s="13"/>
    </row>
    <row r="7" spans="1:22">
      <c r="A7" s="15" t="str">
        <f>HYPERLINK("#'Income Statement'!A13","1. REVENUE")</f>
        <v>1. REVENUE</v>
      </c>
      <c r="M7" s="13"/>
      <c r="N7" s="13"/>
    </row>
    <row r="8" spans="1:22">
      <c r="A8" s="15" t="str">
        <f>HYPERLINK("#'Income Statement'!A20","2. COST OF REVENUE")</f>
        <v>2. COST OF REVENUE</v>
      </c>
      <c r="M8" s="13"/>
      <c r="N8" s="13"/>
    </row>
    <row r="9" spans="1:22">
      <c r="A9" s="15" t="str">
        <f>HYPERLINK("#'Income Statement'!A30","3. OPERATING EXPENSES")</f>
        <v>3. OPERATING EXPENSES</v>
      </c>
      <c r="M9" s="13"/>
      <c r="N9" s="13"/>
    </row>
    <row r="10" spans="1:22">
      <c r="A10" s="15" t="str">
        <f>HYPERLINK("#'Income Statement'!A41","4. NON-OPERATING ITEMS AND TAXES")</f>
        <v>4. NON-OPERATING ITEMS AND TAXES</v>
      </c>
      <c r="M10" s="13"/>
      <c r="N10" s="13"/>
    </row>
    <row r="11" spans="1:22">
      <c r="A11" s="15" t="str">
        <f>HYPERLINK("#'Income Statement'!A57","5. EPS &amp; SHARE COUNT")</f>
        <v>5. EPS &amp; SHARE COUNT</v>
      </c>
      <c r="M11" s="13"/>
      <c r="N11" s="13"/>
    </row>
    <row r="12" spans="1:22" ht="8" customHeight="1">
      <c r="M12" s="13"/>
      <c r="N12" s="13"/>
    </row>
    <row r="13" spans="1:22" ht="20" customHeight="1">
      <c r="A13" s="5" t="s">
        <v>131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3"/>
      <c r="N13" s="13"/>
      <c r="O13" s="2"/>
      <c r="P13" s="2"/>
      <c r="Q13" s="2"/>
      <c r="R13" s="2"/>
      <c r="S13" s="2"/>
      <c r="T13" s="2"/>
      <c r="U13" s="2"/>
      <c r="V13" s="2"/>
    </row>
    <row r="14" spans="1:22">
      <c r="A14" s="14" t="s">
        <v>132</v>
      </c>
      <c r="C14" s="16">
        <v>13240</v>
      </c>
      <c r="D14" s="16">
        <v>17636</v>
      </c>
      <c r="E14" s="16">
        <v>20848</v>
      </c>
      <c r="F14" s="16">
        <v>22597</v>
      </c>
      <c r="G14" s="16">
        <v>23888</v>
      </c>
      <c r="H14" s="16">
        <v>27450</v>
      </c>
      <c r="I14" s="16">
        <v>33203</v>
      </c>
      <c r="J14" s="16">
        <v>35819</v>
      </c>
      <c r="K14" s="16">
        <v>51574</v>
      </c>
      <c r="L14" s="16">
        <v>63887</v>
      </c>
      <c r="M14" s="13"/>
      <c r="N14" s="13"/>
      <c r="O14" s="16">
        <v>12487</v>
      </c>
      <c r="P14" s="16">
        <v>13072</v>
      </c>
      <c r="Q14" s="16">
        <v>14916</v>
      </c>
      <c r="R14" s="16">
        <v>15004</v>
      </c>
      <c r="S14" s="16">
        <v>15952</v>
      </c>
      <c r="T14" s="16">
        <v>19311</v>
      </c>
      <c r="U14" s="16">
        <v>22187</v>
      </c>
      <c r="V14" s="16">
        <v>29591</v>
      </c>
    </row>
    <row r="15" spans="1:22">
      <c r="A15" s="17" t="s">
        <v>133</v>
      </c>
      <c r="D15" s="18">
        <f t="shared" ref="D15:L15" si="0">IF(N(C14)=0,"",D14/C14-1)</f>
        <v>0.33202416918429001</v>
      </c>
      <c r="E15" s="18">
        <f t="shared" si="0"/>
        <v>0.182127466545702</v>
      </c>
      <c r="F15" s="18">
        <f t="shared" si="0"/>
        <v>8.3892939370683095E-2</v>
      </c>
      <c r="G15" s="18">
        <f t="shared" si="0"/>
        <v>5.7131477629773775E-2</v>
      </c>
      <c r="H15" s="18">
        <f t="shared" si="0"/>
        <v>0.14911252511721362</v>
      </c>
      <c r="I15" s="18">
        <f t="shared" si="0"/>
        <v>0.20958105646630232</v>
      </c>
      <c r="J15" s="18">
        <f t="shared" si="0"/>
        <v>7.8788061319760239E-2</v>
      </c>
      <c r="K15" s="18">
        <f t="shared" si="0"/>
        <v>0.43985035874815037</v>
      </c>
      <c r="L15" s="18">
        <f t="shared" si="0"/>
        <v>0.23874432853763516</v>
      </c>
      <c r="M15" s="13"/>
      <c r="N15" s="13"/>
      <c r="S15" s="18">
        <f>IF(N(O14)=0,"",S14/O14-1)</f>
        <v>0.27748858813165689</v>
      </c>
      <c r="T15" s="18">
        <f>IF(N(P14)=0,"",T14/P14-1)</f>
        <v>0.47727968176254598</v>
      </c>
      <c r="U15" s="18">
        <f>IF(N(Q14)=0,"",U14/Q14-1)</f>
        <v>0.48746312684365778</v>
      </c>
      <c r="V15" s="18">
        <f>IF(N(R14)=0,"",V14/R14-1)</f>
        <v>0.97220741135697142</v>
      </c>
    </row>
    <row r="16" spans="1:22" ht="14" customHeight="1">
      <c r="A16" s="34" t="s">
        <v>134</v>
      </c>
      <c r="B16" s="20" t="s">
        <v>135</v>
      </c>
      <c r="F16" s="21">
        <v>18117</v>
      </c>
      <c r="G16" s="21">
        <v>17435</v>
      </c>
      <c r="H16" s="21">
        <v>20886</v>
      </c>
      <c r="I16" s="21">
        <v>26277</v>
      </c>
      <c r="J16" s="21">
        <v>27891</v>
      </c>
      <c r="K16" s="21">
        <v>30359</v>
      </c>
      <c r="L16" s="21">
        <v>44847</v>
      </c>
      <c r="M16" s="13"/>
      <c r="N16" s="13"/>
      <c r="O16" s="21">
        <v>7192</v>
      </c>
      <c r="P16" s="21">
        <v>7439</v>
      </c>
      <c r="Q16" s="21">
        <v>8171</v>
      </c>
      <c r="R16" s="21">
        <v>8506</v>
      </c>
      <c r="S16" s="21">
        <v>9257</v>
      </c>
      <c r="T16" s="21">
        <v>14130</v>
      </c>
      <c r="U16" s="21">
        <v>16892</v>
      </c>
      <c r="V16" s="21">
        <v>24279</v>
      </c>
    </row>
    <row r="17" spans="1:22">
      <c r="A17" s="19" t="s">
        <v>136</v>
      </c>
      <c r="F17" s="21">
        <v>4480</v>
      </c>
      <c r="G17" s="21">
        <v>6453</v>
      </c>
      <c r="H17" s="21">
        <v>6564</v>
      </c>
      <c r="I17" s="21">
        <v>6926</v>
      </c>
      <c r="J17" s="21">
        <v>7928</v>
      </c>
      <c r="K17" s="21">
        <v>21215</v>
      </c>
      <c r="L17" s="21">
        <v>19040</v>
      </c>
      <c r="M17" s="13"/>
      <c r="N17" s="13"/>
      <c r="O17" s="21">
        <v>5295</v>
      </c>
      <c r="P17" s="21">
        <v>5633</v>
      </c>
      <c r="Q17" s="21">
        <v>6745</v>
      </c>
      <c r="R17" s="21">
        <v>6498</v>
      </c>
      <c r="S17" s="21">
        <v>6695</v>
      </c>
      <c r="T17" s="21">
        <v>5181</v>
      </c>
      <c r="U17" s="21">
        <v>5295</v>
      </c>
      <c r="V17" s="21">
        <v>5312</v>
      </c>
    </row>
    <row r="18" spans="1:22">
      <c r="A18" s="17" t="s">
        <v>137</v>
      </c>
      <c r="F18" s="22">
        <f t="shared" ref="F18:L18" si="1">F16+F17-F14</f>
        <v>0</v>
      </c>
      <c r="G18" s="22">
        <f t="shared" si="1"/>
        <v>0</v>
      </c>
      <c r="H18" s="22">
        <f t="shared" si="1"/>
        <v>0</v>
      </c>
      <c r="I18" s="22">
        <f t="shared" si="1"/>
        <v>0</v>
      </c>
      <c r="J18" s="22">
        <f t="shared" si="1"/>
        <v>0</v>
      </c>
      <c r="K18" s="22">
        <f t="shared" si="1"/>
        <v>0</v>
      </c>
      <c r="L18" s="22">
        <f t="shared" si="1"/>
        <v>0</v>
      </c>
      <c r="M18" s="13"/>
      <c r="N18" s="13"/>
      <c r="O18" s="22">
        <f t="shared" ref="O18:V18" si="2">O16+O17-O14</f>
        <v>0</v>
      </c>
      <c r="P18" s="22">
        <f t="shared" si="2"/>
        <v>0</v>
      </c>
      <c r="Q18" s="22">
        <f t="shared" si="2"/>
        <v>0</v>
      </c>
      <c r="R18" s="22">
        <f t="shared" si="2"/>
        <v>0</v>
      </c>
      <c r="S18" s="22">
        <f t="shared" si="2"/>
        <v>0</v>
      </c>
      <c r="T18" s="22">
        <f t="shared" si="2"/>
        <v>0</v>
      </c>
      <c r="U18" s="22">
        <f t="shared" si="2"/>
        <v>0</v>
      </c>
      <c r="V18" s="22">
        <f t="shared" si="2"/>
        <v>0</v>
      </c>
    </row>
    <row r="19" spans="1:22" ht="8" customHeight="1">
      <c r="M19" s="13"/>
      <c r="N19" s="13"/>
    </row>
    <row r="20" spans="1:22" ht="20" customHeight="1">
      <c r="A20" s="5" t="s">
        <v>138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3"/>
      <c r="N20" s="13"/>
      <c r="O20" s="2"/>
      <c r="P20" s="2"/>
      <c r="Q20" s="2"/>
      <c r="R20" s="2"/>
      <c r="S20" s="2"/>
      <c r="T20" s="2"/>
      <c r="U20" s="2"/>
      <c r="V20" s="2"/>
    </row>
    <row r="21" spans="1:22">
      <c r="A21" s="6" t="s">
        <v>139</v>
      </c>
      <c r="C21" s="21">
        <v>5295</v>
      </c>
      <c r="D21" s="21">
        <v>6593</v>
      </c>
      <c r="E21" s="21">
        <v>7021</v>
      </c>
      <c r="F21" s="21">
        <v>6208</v>
      </c>
      <c r="G21" s="21">
        <v>5892</v>
      </c>
      <c r="H21" s="21">
        <v>6555</v>
      </c>
      <c r="I21" s="21">
        <v>7629</v>
      </c>
      <c r="J21" s="21">
        <v>8636</v>
      </c>
      <c r="K21" s="21">
        <v>9797</v>
      </c>
      <c r="L21" s="21">
        <v>12115</v>
      </c>
      <c r="M21" s="13"/>
      <c r="N21" s="13"/>
      <c r="O21" s="21">
        <v>2429</v>
      </c>
      <c r="P21" s="21">
        <v>2434</v>
      </c>
      <c r="Q21" s="21">
        <v>2693</v>
      </c>
      <c r="R21" s="21">
        <v>2720</v>
      </c>
      <c r="S21" s="21">
        <v>3096</v>
      </c>
      <c r="T21" s="21">
        <v>4041</v>
      </c>
      <c r="U21" s="21">
        <v>4665</v>
      </c>
      <c r="V21" s="21">
        <v>6983</v>
      </c>
    </row>
    <row r="22" spans="1:22">
      <c r="A22" s="6" t="s">
        <v>140</v>
      </c>
      <c r="F22" s="21">
        <v>515</v>
      </c>
      <c r="G22" s="21">
        <v>626</v>
      </c>
      <c r="H22" s="21">
        <v>607</v>
      </c>
      <c r="I22" s="21">
        <v>627</v>
      </c>
      <c r="J22" s="21">
        <v>636</v>
      </c>
      <c r="K22" s="21">
        <v>2991</v>
      </c>
      <c r="L22" s="21">
        <v>2371</v>
      </c>
      <c r="M22" s="13"/>
      <c r="N22" s="13"/>
      <c r="O22" s="21">
        <v>713</v>
      </c>
      <c r="P22" s="21">
        <v>699</v>
      </c>
      <c r="Q22" s="21">
        <v>580</v>
      </c>
      <c r="R22" s="21">
        <v>576</v>
      </c>
      <c r="S22" s="21">
        <v>608</v>
      </c>
      <c r="T22" s="21">
        <v>638</v>
      </c>
      <c r="U22" s="21">
        <v>636</v>
      </c>
      <c r="V22" s="21">
        <v>641</v>
      </c>
    </row>
    <row r="23" spans="1:22">
      <c r="A23" s="6" t="s">
        <v>141</v>
      </c>
      <c r="C23" s="21">
        <v>1185</v>
      </c>
      <c r="D23" s="21">
        <v>4</v>
      </c>
      <c r="E23" s="21">
        <v>70</v>
      </c>
      <c r="M23" s="13"/>
      <c r="N23" s="13"/>
    </row>
    <row r="24" spans="1:22">
      <c r="A24" s="6" t="s">
        <v>142</v>
      </c>
      <c r="C24" s="21">
        <v>763</v>
      </c>
      <c r="D24" s="21">
        <v>2511</v>
      </c>
      <c r="E24" s="21">
        <v>3004</v>
      </c>
      <c r="F24" s="21">
        <v>3314</v>
      </c>
      <c r="G24" s="21">
        <v>3819</v>
      </c>
      <c r="H24" s="21">
        <v>3427</v>
      </c>
      <c r="I24" s="21">
        <v>2847</v>
      </c>
      <c r="J24" s="21">
        <v>1853</v>
      </c>
      <c r="K24" s="21">
        <v>6023</v>
      </c>
      <c r="L24" s="21">
        <v>6031</v>
      </c>
      <c r="M24" s="13"/>
      <c r="N24" s="13"/>
      <c r="O24" s="21">
        <v>1516</v>
      </c>
      <c r="P24" s="21">
        <v>1525</v>
      </c>
      <c r="Q24" s="21">
        <v>1484</v>
      </c>
      <c r="R24" s="21">
        <v>1483</v>
      </c>
      <c r="S24" s="21">
        <v>1519</v>
      </c>
      <c r="T24" s="21">
        <v>1462</v>
      </c>
      <c r="U24" s="21">
        <v>1461</v>
      </c>
      <c r="V24" s="21">
        <v>1499</v>
      </c>
    </row>
    <row r="25" spans="1:22">
      <c r="A25" s="6" t="s">
        <v>143</v>
      </c>
      <c r="C25" s="21">
        <v>57</v>
      </c>
      <c r="D25" s="21">
        <v>19</v>
      </c>
      <c r="E25" s="21">
        <v>20</v>
      </c>
      <c r="F25" s="21">
        <v>77</v>
      </c>
      <c r="G25" s="21">
        <v>35</v>
      </c>
      <c r="H25" s="21">
        <v>17</v>
      </c>
      <c r="I25" s="21">
        <v>5</v>
      </c>
      <c r="J25" s="21">
        <v>4</v>
      </c>
      <c r="K25" s="21">
        <v>254</v>
      </c>
      <c r="L25" s="21">
        <v>76</v>
      </c>
      <c r="M25" s="13"/>
      <c r="N25" s="13"/>
      <c r="O25" s="21">
        <v>53</v>
      </c>
      <c r="P25" s="21">
        <v>58</v>
      </c>
      <c r="Q25" s="21">
        <v>14</v>
      </c>
      <c r="R25" s="21">
        <v>28</v>
      </c>
      <c r="S25" s="21">
        <v>26</v>
      </c>
      <c r="T25" s="21">
        <v>13</v>
      </c>
      <c r="U25" s="21">
        <v>10</v>
      </c>
      <c r="V25" s="21">
        <v>12</v>
      </c>
    </row>
    <row r="26" spans="1:22">
      <c r="A26" s="14" t="s">
        <v>144</v>
      </c>
      <c r="C26" s="23">
        <f t="shared" ref="C26:L26" si="3">C21+C22+C23+C24+C25</f>
        <v>7300</v>
      </c>
      <c r="D26" s="23">
        <f t="shared" si="3"/>
        <v>9127</v>
      </c>
      <c r="E26" s="23">
        <f t="shared" si="3"/>
        <v>10115</v>
      </c>
      <c r="F26" s="23">
        <f t="shared" si="3"/>
        <v>10114</v>
      </c>
      <c r="G26" s="23">
        <f t="shared" si="3"/>
        <v>10372</v>
      </c>
      <c r="H26" s="23">
        <f t="shared" si="3"/>
        <v>10606</v>
      </c>
      <c r="I26" s="23">
        <f t="shared" si="3"/>
        <v>11108</v>
      </c>
      <c r="J26" s="23">
        <f t="shared" si="3"/>
        <v>11129</v>
      </c>
      <c r="K26" s="23">
        <f t="shared" si="3"/>
        <v>19065</v>
      </c>
      <c r="L26" s="23">
        <f t="shared" si="3"/>
        <v>20593</v>
      </c>
      <c r="M26" s="24"/>
      <c r="N26" s="24"/>
      <c r="O26" s="23">
        <f t="shared" ref="O26:V26" si="4">O21+O22+O23+O24+O25</f>
        <v>4711</v>
      </c>
      <c r="P26" s="23">
        <f t="shared" si="4"/>
        <v>4716</v>
      </c>
      <c r="Q26" s="23">
        <f t="shared" si="4"/>
        <v>4771</v>
      </c>
      <c r="R26" s="23">
        <f t="shared" si="4"/>
        <v>4807</v>
      </c>
      <c r="S26" s="23">
        <f t="shared" si="4"/>
        <v>5249</v>
      </c>
      <c r="T26" s="23">
        <f t="shared" si="4"/>
        <v>6154</v>
      </c>
      <c r="U26" s="23">
        <f t="shared" si="4"/>
        <v>6772</v>
      </c>
      <c r="V26" s="23">
        <f t="shared" si="4"/>
        <v>9135</v>
      </c>
    </row>
    <row r="27" spans="1:22">
      <c r="A27" s="14" t="s">
        <v>145</v>
      </c>
      <c r="C27" s="25">
        <f t="shared" ref="C27:L27" si="5">C14-C26</f>
        <v>5940</v>
      </c>
      <c r="D27" s="25">
        <f t="shared" si="5"/>
        <v>8509</v>
      </c>
      <c r="E27" s="25">
        <f t="shared" si="5"/>
        <v>10733</v>
      </c>
      <c r="F27" s="25">
        <f t="shared" si="5"/>
        <v>12483</v>
      </c>
      <c r="G27" s="25">
        <f t="shared" si="5"/>
        <v>13516</v>
      </c>
      <c r="H27" s="25">
        <f t="shared" si="5"/>
        <v>16844</v>
      </c>
      <c r="I27" s="25">
        <f t="shared" si="5"/>
        <v>22095</v>
      </c>
      <c r="J27" s="25">
        <f t="shared" si="5"/>
        <v>24690</v>
      </c>
      <c r="K27" s="25">
        <f t="shared" si="5"/>
        <v>32509</v>
      </c>
      <c r="L27" s="25">
        <f t="shared" si="5"/>
        <v>43294</v>
      </c>
      <c r="M27" s="13"/>
      <c r="N27" s="13"/>
      <c r="O27" s="25">
        <f t="shared" ref="O27:V27" si="6">O14-O26</f>
        <v>7776</v>
      </c>
      <c r="P27" s="25">
        <f t="shared" si="6"/>
        <v>8356</v>
      </c>
      <c r="Q27" s="25">
        <f t="shared" si="6"/>
        <v>10145</v>
      </c>
      <c r="R27" s="25">
        <f t="shared" si="6"/>
        <v>10197</v>
      </c>
      <c r="S27" s="25">
        <f t="shared" si="6"/>
        <v>10703</v>
      </c>
      <c r="T27" s="25">
        <f t="shared" si="6"/>
        <v>13157</v>
      </c>
      <c r="U27" s="25">
        <f t="shared" si="6"/>
        <v>15415</v>
      </c>
      <c r="V27" s="25">
        <f t="shared" si="6"/>
        <v>20456</v>
      </c>
    </row>
    <row r="28" spans="1:22">
      <c r="A28" s="17" t="s">
        <v>146</v>
      </c>
      <c r="C28" s="18">
        <f t="shared" ref="C28:L28" si="7">C27/C14</f>
        <v>0.44864048338368578</v>
      </c>
      <c r="D28" s="18">
        <f t="shared" si="7"/>
        <v>0.48247902018598321</v>
      </c>
      <c r="E28" s="18">
        <f t="shared" si="7"/>
        <v>0.51482156561780501</v>
      </c>
      <c r="F28" s="18">
        <f t="shared" si="7"/>
        <v>0.55241846262778249</v>
      </c>
      <c r="G28" s="18">
        <f t="shared" si="7"/>
        <v>0.5658070997990623</v>
      </c>
      <c r="H28" s="18">
        <f t="shared" si="7"/>
        <v>0.61362477231329693</v>
      </c>
      <c r="I28" s="18">
        <f t="shared" si="7"/>
        <v>0.66545191699545225</v>
      </c>
      <c r="J28" s="18">
        <f t="shared" si="7"/>
        <v>0.68929897540411511</v>
      </c>
      <c r="K28" s="18">
        <f t="shared" si="7"/>
        <v>0.63033699150734868</v>
      </c>
      <c r="L28" s="18">
        <f t="shared" si="7"/>
        <v>0.67766525271181932</v>
      </c>
      <c r="M28" s="13"/>
      <c r="N28" s="13"/>
      <c r="O28" s="18">
        <f t="shared" ref="O28:V28" si="8">O27/O14</f>
        <v>0.62272763674221188</v>
      </c>
      <c r="P28" s="18">
        <f t="shared" si="8"/>
        <v>0.6392288861689106</v>
      </c>
      <c r="Q28" s="18">
        <f t="shared" si="8"/>
        <v>0.68014212925717354</v>
      </c>
      <c r="R28" s="18">
        <f t="shared" si="8"/>
        <v>0.6796187683284457</v>
      </c>
      <c r="S28" s="18">
        <f t="shared" si="8"/>
        <v>0.67095035105315948</v>
      </c>
      <c r="T28" s="18">
        <f t="shared" si="8"/>
        <v>0.68132152659106204</v>
      </c>
      <c r="U28" s="18">
        <f t="shared" si="8"/>
        <v>0.69477622030919006</v>
      </c>
      <c r="V28" s="18">
        <f t="shared" si="8"/>
        <v>0.69129127099455911</v>
      </c>
    </row>
    <row r="29" spans="1:22" ht="8" customHeight="1">
      <c r="M29" s="13"/>
      <c r="N29" s="13"/>
    </row>
    <row r="30" spans="1:22" ht="20" customHeight="1">
      <c r="A30" s="5" t="s">
        <v>147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3"/>
      <c r="N30" s="13"/>
      <c r="O30" s="2"/>
      <c r="P30" s="2"/>
      <c r="Q30" s="2"/>
      <c r="R30" s="2"/>
      <c r="S30" s="2"/>
      <c r="T30" s="2"/>
      <c r="U30" s="2"/>
      <c r="V30" s="2"/>
    </row>
    <row r="31" spans="1:22">
      <c r="A31" s="6" t="s">
        <v>148</v>
      </c>
      <c r="C31" s="21">
        <v>2674</v>
      </c>
      <c r="D31" s="21">
        <v>3292</v>
      </c>
      <c r="E31" s="21">
        <v>3768</v>
      </c>
      <c r="F31" s="21">
        <v>4696</v>
      </c>
      <c r="G31" s="21">
        <v>4968</v>
      </c>
      <c r="H31" s="21">
        <v>4854</v>
      </c>
      <c r="I31" s="21">
        <v>4919</v>
      </c>
      <c r="J31" s="21">
        <v>5253</v>
      </c>
      <c r="K31" s="21">
        <v>9310</v>
      </c>
      <c r="L31" s="21">
        <v>10977</v>
      </c>
      <c r="M31" s="13"/>
      <c r="N31" s="13"/>
      <c r="O31" s="21">
        <v>2415</v>
      </c>
      <c r="P31" s="21">
        <v>2353</v>
      </c>
      <c r="Q31" s="21">
        <v>2253</v>
      </c>
      <c r="R31" s="21">
        <v>2693</v>
      </c>
      <c r="S31" s="21">
        <v>3050</v>
      </c>
      <c r="T31" s="21">
        <v>2965</v>
      </c>
      <c r="U31" s="21">
        <v>2995</v>
      </c>
      <c r="V31" s="21">
        <v>2895</v>
      </c>
    </row>
    <row r="32" spans="1:22">
      <c r="A32" s="6" t="s">
        <v>149</v>
      </c>
      <c r="C32" s="21">
        <v>806</v>
      </c>
      <c r="D32" s="21">
        <v>787</v>
      </c>
      <c r="E32" s="21">
        <v>1056</v>
      </c>
      <c r="F32" s="21">
        <v>1709</v>
      </c>
      <c r="G32" s="21">
        <v>1935</v>
      </c>
      <c r="H32" s="21">
        <v>1347</v>
      </c>
      <c r="I32" s="21">
        <v>1382</v>
      </c>
      <c r="J32" s="21">
        <v>1592</v>
      </c>
      <c r="K32" s="21">
        <v>4959</v>
      </c>
      <c r="L32" s="21">
        <v>4211</v>
      </c>
      <c r="M32" s="13"/>
      <c r="N32" s="13"/>
      <c r="O32" s="21">
        <v>1277</v>
      </c>
      <c r="P32" s="21">
        <v>1100</v>
      </c>
      <c r="Q32" s="21">
        <v>949</v>
      </c>
      <c r="R32" s="21">
        <v>1083</v>
      </c>
      <c r="S32" s="21">
        <v>1072</v>
      </c>
      <c r="T32" s="21">
        <v>1019</v>
      </c>
      <c r="U32" s="21">
        <v>1055</v>
      </c>
      <c r="V32" s="21">
        <v>996</v>
      </c>
    </row>
    <row r="33" spans="1:22">
      <c r="A33" s="6" t="s">
        <v>142</v>
      </c>
      <c r="C33" s="21">
        <v>1873</v>
      </c>
      <c r="D33" s="21">
        <v>1764</v>
      </c>
      <c r="E33" s="21">
        <v>541</v>
      </c>
      <c r="F33" s="21">
        <v>1898</v>
      </c>
      <c r="G33" s="21">
        <v>2401</v>
      </c>
      <c r="H33" s="21">
        <v>1976</v>
      </c>
      <c r="I33" s="21">
        <v>1512</v>
      </c>
      <c r="J33" s="21">
        <v>1394</v>
      </c>
      <c r="K33" s="21">
        <v>3244</v>
      </c>
      <c r="L33" s="21">
        <v>2031</v>
      </c>
      <c r="M33" s="13"/>
      <c r="N33" s="13"/>
      <c r="O33" s="21">
        <v>827</v>
      </c>
      <c r="P33" s="21">
        <v>812</v>
      </c>
      <c r="Q33" s="21">
        <v>511</v>
      </c>
      <c r="R33" s="21">
        <v>506</v>
      </c>
      <c r="S33" s="21">
        <v>507</v>
      </c>
      <c r="T33" s="21">
        <v>507</v>
      </c>
      <c r="U33" s="21">
        <v>506</v>
      </c>
      <c r="V33" s="21">
        <v>507</v>
      </c>
    </row>
    <row r="34" spans="1:22">
      <c r="A34" s="6" t="s">
        <v>150</v>
      </c>
      <c r="C34" s="21">
        <v>996</v>
      </c>
      <c r="D34" s="21">
        <v>161</v>
      </c>
      <c r="E34" s="21">
        <v>219</v>
      </c>
      <c r="F34" s="21">
        <v>736</v>
      </c>
      <c r="G34" s="21">
        <v>198</v>
      </c>
      <c r="H34" s="21">
        <v>148</v>
      </c>
      <c r="I34" s="21">
        <v>57</v>
      </c>
      <c r="J34" s="21">
        <v>244</v>
      </c>
      <c r="K34" s="21">
        <v>1533</v>
      </c>
      <c r="L34" s="21">
        <v>591</v>
      </c>
      <c r="M34" s="13"/>
      <c r="N34" s="13"/>
      <c r="O34" s="21">
        <v>292</v>
      </c>
      <c r="P34" s="21">
        <v>303</v>
      </c>
      <c r="Q34" s="21">
        <v>172</v>
      </c>
      <c r="R34" s="21">
        <v>86</v>
      </c>
      <c r="S34" s="21">
        <v>187</v>
      </c>
      <c r="T34" s="21">
        <v>103</v>
      </c>
      <c r="U34" s="21">
        <v>71</v>
      </c>
      <c r="V34" s="21">
        <v>103</v>
      </c>
    </row>
    <row r="35" spans="1:22">
      <c r="A35" s="6" t="s">
        <v>151</v>
      </c>
      <c r="D35" s="21">
        <v>122</v>
      </c>
      <c r="E35" s="21">
        <v>14</v>
      </c>
      <c r="M35" s="13"/>
      <c r="N35" s="13"/>
    </row>
    <row r="36" spans="1:22">
      <c r="A36" s="14" t="s">
        <v>152</v>
      </c>
      <c r="C36" s="23">
        <f t="shared" ref="C36:L36" si="9">C31+C32+C33+C34+C35</f>
        <v>6349</v>
      </c>
      <c r="D36" s="23">
        <f t="shared" si="9"/>
        <v>6126</v>
      </c>
      <c r="E36" s="23">
        <f t="shared" si="9"/>
        <v>5598</v>
      </c>
      <c r="F36" s="23">
        <f t="shared" si="9"/>
        <v>9039</v>
      </c>
      <c r="G36" s="23">
        <f t="shared" si="9"/>
        <v>9502</v>
      </c>
      <c r="H36" s="23">
        <f t="shared" si="9"/>
        <v>8325</v>
      </c>
      <c r="I36" s="23">
        <f t="shared" si="9"/>
        <v>7870</v>
      </c>
      <c r="J36" s="23">
        <f t="shared" si="9"/>
        <v>8483</v>
      </c>
      <c r="K36" s="23">
        <f t="shared" si="9"/>
        <v>19046</v>
      </c>
      <c r="L36" s="23">
        <f t="shared" si="9"/>
        <v>17810</v>
      </c>
      <c r="M36" s="24"/>
      <c r="N36" s="24"/>
      <c r="O36" s="23">
        <f t="shared" ref="O36:V36" si="10">O31+O32+O33+O34+O35</f>
        <v>4811</v>
      </c>
      <c r="P36" s="23">
        <f t="shared" si="10"/>
        <v>4568</v>
      </c>
      <c r="Q36" s="23">
        <f t="shared" si="10"/>
        <v>3885</v>
      </c>
      <c r="R36" s="23">
        <f t="shared" si="10"/>
        <v>4368</v>
      </c>
      <c r="S36" s="23">
        <f t="shared" si="10"/>
        <v>4816</v>
      </c>
      <c r="T36" s="23">
        <f t="shared" si="10"/>
        <v>4594</v>
      </c>
      <c r="U36" s="23">
        <f t="shared" si="10"/>
        <v>4627</v>
      </c>
      <c r="V36" s="23">
        <f t="shared" si="10"/>
        <v>4501</v>
      </c>
    </row>
    <row r="37" spans="1:22">
      <c r="A37" s="14" t="s">
        <v>153</v>
      </c>
      <c r="C37" s="25">
        <f t="shared" ref="C37:L37" si="11">C27-C36</f>
        <v>-409</v>
      </c>
      <c r="D37" s="25">
        <f t="shared" si="11"/>
        <v>2383</v>
      </c>
      <c r="E37" s="25">
        <f t="shared" si="11"/>
        <v>5135</v>
      </c>
      <c r="F37" s="25">
        <f t="shared" si="11"/>
        <v>3444</v>
      </c>
      <c r="G37" s="25">
        <f t="shared" si="11"/>
        <v>4014</v>
      </c>
      <c r="H37" s="25">
        <f t="shared" si="11"/>
        <v>8519</v>
      </c>
      <c r="I37" s="25">
        <f t="shared" si="11"/>
        <v>14225</v>
      </c>
      <c r="J37" s="25">
        <f t="shared" si="11"/>
        <v>16207</v>
      </c>
      <c r="K37" s="25">
        <f t="shared" si="11"/>
        <v>13463</v>
      </c>
      <c r="L37" s="25">
        <f t="shared" si="11"/>
        <v>25484</v>
      </c>
      <c r="M37" s="13"/>
      <c r="N37" s="13"/>
      <c r="O37" s="25">
        <f t="shared" ref="O37:V37" si="12">O27-O36</f>
        <v>2965</v>
      </c>
      <c r="P37" s="25">
        <f t="shared" si="12"/>
        <v>3788</v>
      </c>
      <c r="Q37" s="25">
        <f t="shared" si="12"/>
        <v>6260</v>
      </c>
      <c r="R37" s="25">
        <f t="shared" si="12"/>
        <v>5829</v>
      </c>
      <c r="S37" s="25">
        <f t="shared" si="12"/>
        <v>5887</v>
      </c>
      <c r="T37" s="25">
        <f t="shared" si="12"/>
        <v>8563</v>
      </c>
      <c r="U37" s="25">
        <f t="shared" si="12"/>
        <v>10788</v>
      </c>
      <c r="V37" s="25">
        <f t="shared" si="12"/>
        <v>15955</v>
      </c>
    </row>
    <row r="38" spans="1:22">
      <c r="A38" s="17" t="s">
        <v>154</v>
      </c>
      <c r="C38" s="18">
        <f t="shared" ref="C38:L38" si="13">C37/C14</f>
        <v>-3.0891238670694866E-2</v>
      </c>
      <c r="D38" s="18">
        <f t="shared" si="13"/>
        <v>0.13512134270809709</v>
      </c>
      <c r="E38" s="18">
        <f t="shared" si="13"/>
        <v>0.24630660015349193</v>
      </c>
      <c r="F38" s="18">
        <f t="shared" si="13"/>
        <v>0.15240961189538435</v>
      </c>
      <c r="G38" s="18">
        <f t="shared" si="13"/>
        <v>0.16803415941058272</v>
      </c>
      <c r="H38" s="18">
        <f t="shared" si="13"/>
        <v>0.31034608378870676</v>
      </c>
      <c r="I38" s="18">
        <f t="shared" si="13"/>
        <v>0.42842514230641809</v>
      </c>
      <c r="J38" s="18">
        <f t="shared" si="13"/>
        <v>0.45246935983695802</v>
      </c>
      <c r="K38" s="18">
        <f t="shared" si="13"/>
        <v>0.26104238569822003</v>
      </c>
      <c r="L38" s="18">
        <f t="shared" si="13"/>
        <v>0.39889179332258518</v>
      </c>
      <c r="M38" s="13"/>
      <c r="N38" s="13"/>
      <c r="O38" s="18">
        <f t="shared" ref="O38:V38" si="14">O37/O14</f>
        <v>0.23744694482261552</v>
      </c>
      <c r="P38" s="18">
        <f t="shared" si="14"/>
        <v>0.28977968176254593</v>
      </c>
      <c r="Q38" s="18">
        <f t="shared" si="14"/>
        <v>0.41968356127648165</v>
      </c>
      <c r="R38" s="18">
        <f t="shared" si="14"/>
        <v>0.38849640095974408</v>
      </c>
      <c r="S38" s="18">
        <f t="shared" si="14"/>
        <v>0.36904463390170511</v>
      </c>
      <c r="T38" s="18">
        <f t="shared" si="14"/>
        <v>0.44342602661695407</v>
      </c>
      <c r="U38" s="18">
        <f t="shared" si="14"/>
        <v>0.48623067562085909</v>
      </c>
      <c r="V38" s="18">
        <f t="shared" si="14"/>
        <v>0.53918421141563311</v>
      </c>
    </row>
    <row r="39" spans="1:22">
      <c r="A39" s="17" t="s">
        <v>133</v>
      </c>
      <c r="D39" s="18">
        <f t="shared" ref="D39:L39" si="15">IF(N(C37)=0,"",D37/C37-1)</f>
        <v>-6.8264058679706601</v>
      </c>
      <c r="E39" s="18">
        <f t="shared" si="15"/>
        <v>1.1548468317247167</v>
      </c>
      <c r="F39" s="18">
        <f t="shared" si="15"/>
        <v>-0.32930866601752673</v>
      </c>
      <c r="G39" s="18">
        <f t="shared" si="15"/>
        <v>0.16550522648083632</v>
      </c>
      <c r="H39" s="18">
        <f t="shared" si="15"/>
        <v>1.1223218734429499</v>
      </c>
      <c r="I39" s="18">
        <f t="shared" si="15"/>
        <v>0.66979692452165751</v>
      </c>
      <c r="J39" s="18">
        <f t="shared" si="15"/>
        <v>0.13933216168717055</v>
      </c>
      <c r="K39" s="18">
        <f t="shared" si="15"/>
        <v>-0.16930955759856847</v>
      </c>
      <c r="L39" s="18">
        <f t="shared" si="15"/>
        <v>0.89289162890886131</v>
      </c>
      <c r="M39" s="13"/>
      <c r="N39" s="13"/>
      <c r="S39" s="18">
        <f>IF(N(O37)=0,"",S37/O37-1)</f>
        <v>0.98549747048903868</v>
      </c>
      <c r="T39" s="18">
        <f>IF(N(P37)=0,"",T37/P37-1)</f>
        <v>1.260559662090813</v>
      </c>
      <c r="U39" s="18">
        <f>IF(N(Q37)=0,"",U37/Q37-1)</f>
        <v>0.72332268370607022</v>
      </c>
      <c r="V39" s="18">
        <f>IF(N(R37)=0,"",V37/R37-1)</f>
        <v>1.7371761880253902</v>
      </c>
    </row>
    <row r="40" spans="1:22" ht="8" customHeight="1">
      <c r="M40" s="13"/>
      <c r="N40" s="13"/>
    </row>
    <row r="41" spans="1:22" ht="20" customHeight="1">
      <c r="A41" s="5" t="s">
        <v>155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3"/>
      <c r="O41" s="2"/>
      <c r="P41" s="2"/>
      <c r="Q41" s="2"/>
      <c r="R41" s="2"/>
      <c r="S41" s="2"/>
      <c r="T41" s="2"/>
      <c r="U41" s="2"/>
      <c r="V41" s="2"/>
    </row>
    <row r="42" spans="1:22">
      <c r="A42" s="6" t="s">
        <v>156</v>
      </c>
      <c r="C42" s="21">
        <v>-585</v>
      </c>
      <c r="D42" s="21">
        <v>-454</v>
      </c>
      <c r="E42" s="21">
        <v>-628</v>
      </c>
      <c r="F42" s="21">
        <v>-1444</v>
      </c>
      <c r="G42" s="21">
        <v>-1777</v>
      </c>
      <c r="H42" s="21">
        <v>-1885</v>
      </c>
      <c r="I42" s="21">
        <v>-1737</v>
      </c>
      <c r="J42" s="21">
        <v>-1622</v>
      </c>
      <c r="K42" s="21">
        <v>-3953</v>
      </c>
      <c r="L42" s="21">
        <v>-3210</v>
      </c>
      <c r="M42" s="13"/>
      <c r="N42" s="13"/>
      <c r="O42" s="21">
        <v>-1047</v>
      </c>
      <c r="P42" s="21">
        <v>-1064</v>
      </c>
      <c r="Q42" s="21">
        <v>-873</v>
      </c>
      <c r="R42" s="21">
        <v>-769</v>
      </c>
      <c r="S42" s="21">
        <v>-807</v>
      </c>
      <c r="T42" s="21">
        <v>-801</v>
      </c>
      <c r="U42" s="21">
        <v>-776</v>
      </c>
      <c r="V42" s="21">
        <v>-778</v>
      </c>
    </row>
    <row r="43" spans="1:22" ht="14" customHeight="1">
      <c r="A43" s="6" t="s">
        <v>157</v>
      </c>
      <c r="B43" s="20" t="s">
        <v>158</v>
      </c>
      <c r="C43" s="21">
        <v>-123</v>
      </c>
      <c r="D43" s="21">
        <v>-166</v>
      </c>
      <c r="M43" s="13"/>
      <c r="N43" s="13"/>
    </row>
    <row r="44" spans="1:22">
      <c r="A44" s="6" t="s">
        <v>159</v>
      </c>
      <c r="E44" s="21">
        <v>-106</v>
      </c>
      <c r="M44" s="13"/>
      <c r="N44" s="13"/>
    </row>
    <row r="45" spans="1:22">
      <c r="A45" s="6" t="s">
        <v>160</v>
      </c>
      <c r="C45" s="21">
        <v>10</v>
      </c>
      <c r="D45" s="21">
        <v>62</v>
      </c>
      <c r="E45" s="21">
        <v>144</v>
      </c>
      <c r="F45" s="21">
        <v>226</v>
      </c>
      <c r="G45" s="21">
        <v>206</v>
      </c>
      <c r="H45" s="21">
        <v>131</v>
      </c>
      <c r="I45" s="21">
        <v>-54</v>
      </c>
      <c r="J45" s="21">
        <v>512</v>
      </c>
      <c r="K45" s="21">
        <v>406</v>
      </c>
      <c r="L45" s="21">
        <v>455</v>
      </c>
      <c r="M45" s="13"/>
      <c r="N45" s="13"/>
      <c r="O45" s="21">
        <v>87</v>
      </c>
      <c r="P45" s="21">
        <v>82</v>
      </c>
      <c r="Q45" s="21">
        <v>103</v>
      </c>
      <c r="R45" s="21">
        <v>25</v>
      </c>
      <c r="S45" s="21">
        <v>205</v>
      </c>
      <c r="T45" s="21">
        <v>433</v>
      </c>
      <c r="U45" s="21">
        <v>118</v>
      </c>
      <c r="V45" s="21">
        <v>98</v>
      </c>
    </row>
    <row r="46" spans="1:22">
      <c r="A46" s="14" t="s">
        <v>161</v>
      </c>
      <c r="C46" s="25">
        <f t="shared" ref="C46:L46" si="16">C37+C42+C43+C44+C45</f>
        <v>-1107</v>
      </c>
      <c r="D46" s="25">
        <f t="shared" si="16"/>
        <v>1825</v>
      </c>
      <c r="E46" s="25">
        <f t="shared" si="16"/>
        <v>4545</v>
      </c>
      <c r="F46" s="25">
        <f t="shared" si="16"/>
        <v>2226</v>
      </c>
      <c r="G46" s="25">
        <f t="shared" si="16"/>
        <v>2443</v>
      </c>
      <c r="H46" s="25">
        <f t="shared" si="16"/>
        <v>6765</v>
      </c>
      <c r="I46" s="25">
        <f t="shared" si="16"/>
        <v>12434</v>
      </c>
      <c r="J46" s="25">
        <f t="shared" si="16"/>
        <v>15097</v>
      </c>
      <c r="K46" s="25">
        <f t="shared" si="16"/>
        <v>9916</v>
      </c>
      <c r="L46" s="25">
        <f t="shared" si="16"/>
        <v>22729</v>
      </c>
      <c r="M46" s="13"/>
      <c r="N46" s="13"/>
      <c r="O46" s="25">
        <f t="shared" ref="O46:V46" si="17">O37+O42+O43+O44+O45</f>
        <v>2005</v>
      </c>
      <c r="P46" s="25">
        <f t="shared" si="17"/>
        <v>2806</v>
      </c>
      <c r="Q46" s="25">
        <f t="shared" si="17"/>
        <v>5490</v>
      </c>
      <c r="R46" s="25">
        <f t="shared" si="17"/>
        <v>5085</v>
      </c>
      <c r="S46" s="25">
        <f t="shared" si="17"/>
        <v>5285</v>
      </c>
      <c r="T46" s="25">
        <f t="shared" si="17"/>
        <v>8195</v>
      </c>
      <c r="U46" s="25">
        <f t="shared" si="17"/>
        <v>10130</v>
      </c>
      <c r="V46" s="25">
        <f t="shared" si="17"/>
        <v>15275</v>
      </c>
    </row>
    <row r="47" spans="1:22">
      <c r="A47" s="6" t="s">
        <v>162</v>
      </c>
      <c r="C47" s="21">
        <v>642</v>
      </c>
      <c r="D47" s="21">
        <v>35</v>
      </c>
      <c r="E47" s="21">
        <v>-8084</v>
      </c>
      <c r="F47" s="21">
        <v>-510</v>
      </c>
      <c r="G47" s="21">
        <v>-518</v>
      </c>
      <c r="H47" s="21">
        <v>29</v>
      </c>
      <c r="I47" s="21">
        <v>939</v>
      </c>
      <c r="J47" s="21">
        <v>1015</v>
      </c>
      <c r="K47" s="21">
        <v>3748</v>
      </c>
      <c r="L47" s="21">
        <v>-397</v>
      </c>
      <c r="M47" s="13"/>
      <c r="N47" s="13"/>
      <c r="O47" s="21">
        <v>-116</v>
      </c>
      <c r="P47" s="21">
        <v>4238</v>
      </c>
      <c r="Q47" s="21">
        <v>-13</v>
      </c>
      <c r="R47" s="21">
        <v>120</v>
      </c>
      <c r="S47" s="21">
        <v>1145</v>
      </c>
      <c r="T47" s="21">
        <v>846</v>
      </c>
      <c r="U47" s="21">
        <v>820</v>
      </c>
      <c r="V47" s="21">
        <v>2187</v>
      </c>
    </row>
    <row r="48" spans="1:22">
      <c r="A48" s="14" t="s">
        <v>163</v>
      </c>
      <c r="C48" s="25">
        <f t="shared" ref="C48:L48" si="18">C46-C47</f>
        <v>-1749</v>
      </c>
      <c r="D48" s="25">
        <f t="shared" si="18"/>
        <v>1790</v>
      </c>
      <c r="E48" s="25">
        <f t="shared" si="18"/>
        <v>12629</v>
      </c>
      <c r="F48" s="25">
        <f t="shared" si="18"/>
        <v>2736</v>
      </c>
      <c r="G48" s="25">
        <f t="shared" si="18"/>
        <v>2961</v>
      </c>
      <c r="H48" s="25">
        <f t="shared" si="18"/>
        <v>6736</v>
      </c>
      <c r="I48" s="25">
        <f t="shared" si="18"/>
        <v>11495</v>
      </c>
      <c r="J48" s="25">
        <f t="shared" si="18"/>
        <v>14082</v>
      </c>
      <c r="K48" s="25">
        <f t="shared" si="18"/>
        <v>6168</v>
      </c>
      <c r="L48" s="25">
        <f t="shared" si="18"/>
        <v>23126</v>
      </c>
      <c r="M48" s="13"/>
      <c r="N48" s="13"/>
      <c r="O48" s="25">
        <f t="shared" ref="O48:V48" si="19">O46-O47</f>
        <v>2121</v>
      </c>
      <c r="P48" s="25">
        <f t="shared" si="19"/>
        <v>-1432</v>
      </c>
      <c r="Q48" s="25">
        <f t="shared" si="19"/>
        <v>5503</v>
      </c>
      <c r="R48" s="25">
        <f t="shared" si="19"/>
        <v>4965</v>
      </c>
      <c r="S48" s="25">
        <f t="shared" si="19"/>
        <v>4140</v>
      </c>
      <c r="T48" s="25">
        <f t="shared" si="19"/>
        <v>7349</v>
      </c>
      <c r="U48" s="25">
        <f t="shared" si="19"/>
        <v>9310</v>
      </c>
      <c r="V48" s="25">
        <f t="shared" si="19"/>
        <v>13088</v>
      </c>
    </row>
    <row r="49" spans="1:22" ht="14" customHeight="1">
      <c r="A49" s="6" t="s">
        <v>164</v>
      </c>
      <c r="B49" s="20" t="s">
        <v>165</v>
      </c>
      <c r="C49" s="21">
        <v>-112</v>
      </c>
      <c r="D49" s="21">
        <v>-6</v>
      </c>
      <c r="E49" s="21">
        <v>-19</v>
      </c>
      <c r="F49" s="21">
        <v>-12</v>
      </c>
      <c r="G49" s="21">
        <v>-1</v>
      </c>
      <c r="K49" s="21">
        <v>-273</v>
      </c>
      <c r="M49" s="13"/>
      <c r="N49" s="13"/>
      <c r="P49" s="21">
        <v>-443</v>
      </c>
    </row>
    <row r="50" spans="1:22">
      <c r="A50" s="14" t="s">
        <v>166</v>
      </c>
      <c r="C50" s="25">
        <f t="shared" ref="C50:L50" si="20">C48+C49</f>
        <v>-1861</v>
      </c>
      <c r="D50" s="25">
        <f t="shared" si="20"/>
        <v>1784</v>
      </c>
      <c r="E50" s="25">
        <f t="shared" si="20"/>
        <v>12610</v>
      </c>
      <c r="F50" s="25">
        <f t="shared" si="20"/>
        <v>2724</v>
      </c>
      <c r="G50" s="25">
        <f t="shared" si="20"/>
        <v>2960</v>
      </c>
      <c r="H50" s="25">
        <f t="shared" si="20"/>
        <v>6736</v>
      </c>
      <c r="I50" s="25">
        <f t="shared" si="20"/>
        <v>11495</v>
      </c>
      <c r="J50" s="25">
        <f t="shared" si="20"/>
        <v>14082</v>
      </c>
      <c r="K50" s="25">
        <f t="shared" si="20"/>
        <v>5895</v>
      </c>
      <c r="L50" s="25">
        <f t="shared" si="20"/>
        <v>23126</v>
      </c>
      <c r="M50" s="13"/>
      <c r="N50" s="13"/>
      <c r="O50" s="25">
        <f t="shared" ref="O50:V50" si="21">O48+O49</f>
        <v>2121</v>
      </c>
      <c r="P50" s="25">
        <f t="shared" si="21"/>
        <v>-1875</v>
      </c>
      <c r="Q50" s="25">
        <f t="shared" si="21"/>
        <v>5503</v>
      </c>
      <c r="R50" s="25">
        <f t="shared" si="21"/>
        <v>4965</v>
      </c>
      <c r="S50" s="25">
        <f t="shared" si="21"/>
        <v>4140</v>
      </c>
      <c r="T50" s="25">
        <f t="shared" si="21"/>
        <v>7349</v>
      </c>
      <c r="U50" s="25">
        <f t="shared" si="21"/>
        <v>9310</v>
      </c>
      <c r="V50" s="25">
        <f t="shared" si="21"/>
        <v>13088</v>
      </c>
    </row>
    <row r="51" spans="1:22">
      <c r="A51" s="17" t="s">
        <v>167</v>
      </c>
      <c r="C51" s="18">
        <f t="shared" ref="C51:L51" si="22">C50/C14</f>
        <v>-0.14055891238670695</v>
      </c>
      <c r="D51" s="18">
        <f t="shared" si="22"/>
        <v>0.10115672488092538</v>
      </c>
      <c r="E51" s="18">
        <f t="shared" si="22"/>
        <v>0.60485418265541058</v>
      </c>
      <c r="F51" s="18">
        <f t="shared" si="22"/>
        <v>0.12054697526220294</v>
      </c>
      <c r="G51" s="18">
        <f t="shared" si="22"/>
        <v>0.12391158740790355</v>
      </c>
      <c r="H51" s="18">
        <f t="shared" si="22"/>
        <v>0.24539162112932605</v>
      </c>
      <c r="I51" s="18">
        <f t="shared" si="22"/>
        <v>0.34620365629611782</v>
      </c>
      <c r="J51" s="18">
        <f t="shared" si="22"/>
        <v>0.39314330383316115</v>
      </c>
      <c r="K51" s="18">
        <f t="shared" si="22"/>
        <v>0.11430177996664986</v>
      </c>
      <c r="L51" s="18">
        <f t="shared" si="22"/>
        <v>0.36198287601546481</v>
      </c>
      <c r="M51" s="13"/>
      <c r="N51" s="13"/>
      <c r="O51" s="18">
        <f t="shared" ref="O51:V51" si="23">O50/O14</f>
        <v>0.16985665091695362</v>
      </c>
      <c r="P51" s="18">
        <f t="shared" si="23"/>
        <v>-0.14343635250917994</v>
      </c>
      <c r="Q51" s="18">
        <f t="shared" si="23"/>
        <v>0.36893268972914989</v>
      </c>
      <c r="R51" s="18">
        <f t="shared" si="23"/>
        <v>0.33091175686483604</v>
      </c>
      <c r="S51" s="18">
        <f t="shared" si="23"/>
        <v>0.25952858575727183</v>
      </c>
      <c r="T51" s="18">
        <f t="shared" si="23"/>
        <v>0.38056030241831079</v>
      </c>
      <c r="U51" s="18">
        <f t="shared" si="23"/>
        <v>0.41961508991751928</v>
      </c>
      <c r="V51" s="18">
        <f t="shared" si="23"/>
        <v>0.44229664424994086</v>
      </c>
    </row>
    <row r="52" spans="1:22">
      <c r="A52" s="17" t="s">
        <v>133</v>
      </c>
      <c r="D52" s="18">
        <f t="shared" ref="D52:L52" si="24">IF(N(C50)=0,"",D50/C50-1)</f>
        <v>-1.9586243954862979</v>
      </c>
      <c r="E52" s="18">
        <f t="shared" si="24"/>
        <v>6.0683856502242151</v>
      </c>
      <c r="F52" s="18">
        <f t="shared" si="24"/>
        <v>-0.78398096748612212</v>
      </c>
      <c r="G52" s="18">
        <f t="shared" si="24"/>
        <v>8.6637298091042592E-2</v>
      </c>
      <c r="H52" s="18">
        <f t="shared" si="24"/>
        <v>1.2756756756756755</v>
      </c>
      <c r="I52" s="18">
        <f t="shared" si="24"/>
        <v>0.70650237529691218</v>
      </c>
      <c r="J52" s="18">
        <f t="shared" si="24"/>
        <v>0.22505437146585483</v>
      </c>
      <c r="K52" s="18">
        <f t="shared" si="24"/>
        <v>-0.58138048572645928</v>
      </c>
      <c r="L52" s="18">
        <f t="shared" si="24"/>
        <v>2.922985581000848</v>
      </c>
      <c r="M52" s="13"/>
      <c r="N52" s="13"/>
      <c r="S52" s="18">
        <f>IF(N(O50)=0,"",S50/O50-1)</f>
        <v>0.9519094766619518</v>
      </c>
      <c r="T52" s="18">
        <f>IF(N(P50)=0,"",T50/P50-1)</f>
        <v>-4.9194666666666667</v>
      </c>
      <c r="U52" s="18">
        <f>IF(N(Q50)=0,"",U50/Q50-1)</f>
        <v>0.69180447028893322</v>
      </c>
      <c r="V52" s="18">
        <f>IF(N(R50)=0,"",V50/R50-1)</f>
        <v>1.6360523665659619</v>
      </c>
    </row>
    <row r="53" spans="1:22" ht="14" customHeight="1">
      <c r="A53" s="6" t="s">
        <v>168</v>
      </c>
      <c r="B53" s="20" t="s">
        <v>169</v>
      </c>
      <c r="C53" s="21">
        <v>-122</v>
      </c>
      <c r="D53" s="21">
        <v>92</v>
      </c>
      <c r="E53" s="21">
        <v>351</v>
      </c>
      <c r="M53" s="13"/>
      <c r="N53" s="13"/>
    </row>
    <row r="54" spans="1:22" ht="24" customHeight="1">
      <c r="A54" s="6" t="s">
        <v>170</v>
      </c>
      <c r="B54" s="20" t="s">
        <v>171</v>
      </c>
      <c r="F54" s="21">
        <v>29</v>
      </c>
      <c r="G54" s="21">
        <v>297</v>
      </c>
      <c r="H54" s="21">
        <v>299</v>
      </c>
      <c r="I54" s="21">
        <v>272</v>
      </c>
      <c r="M54" s="13"/>
      <c r="N54" s="13"/>
    </row>
    <row r="55" spans="1:22">
      <c r="A55" s="14" t="s">
        <v>172</v>
      </c>
      <c r="C55" s="25">
        <f t="shared" ref="C55:L55" si="25">C50-C53-C54</f>
        <v>-1739</v>
      </c>
      <c r="D55" s="25">
        <f t="shared" si="25"/>
        <v>1692</v>
      </c>
      <c r="E55" s="25">
        <f t="shared" si="25"/>
        <v>12259</v>
      </c>
      <c r="F55" s="25">
        <f t="shared" si="25"/>
        <v>2695</v>
      </c>
      <c r="G55" s="25">
        <f t="shared" si="25"/>
        <v>2663</v>
      </c>
      <c r="H55" s="25">
        <f t="shared" si="25"/>
        <v>6437</v>
      </c>
      <c r="I55" s="25">
        <f t="shared" si="25"/>
        <v>11223</v>
      </c>
      <c r="J55" s="25">
        <f t="shared" si="25"/>
        <v>14082</v>
      </c>
      <c r="K55" s="25">
        <f t="shared" si="25"/>
        <v>5895</v>
      </c>
      <c r="L55" s="25">
        <f t="shared" si="25"/>
        <v>23126</v>
      </c>
      <c r="M55" s="13"/>
      <c r="N55" s="13"/>
      <c r="O55" s="25">
        <f t="shared" ref="O55:V55" si="26">O50-O53-O54</f>
        <v>2121</v>
      </c>
      <c r="P55" s="25">
        <f t="shared" si="26"/>
        <v>-1875</v>
      </c>
      <c r="Q55" s="25">
        <f t="shared" si="26"/>
        <v>5503</v>
      </c>
      <c r="R55" s="25">
        <f t="shared" si="26"/>
        <v>4965</v>
      </c>
      <c r="S55" s="25">
        <f t="shared" si="26"/>
        <v>4140</v>
      </c>
      <c r="T55" s="25">
        <f t="shared" si="26"/>
        <v>7349</v>
      </c>
      <c r="U55" s="25">
        <f t="shared" si="26"/>
        <v>9310</v>
      </c>
      <c r="V55" s="25">
        <f t="shared" si="26"/>
        <v>13088</v>
      </c>
    </row>
    <row r="56" spans="1:22" ht="8" customHeight="1">
      <c r="M56" s="13"/>
      <c r="N56" s="13"/>
    </row>
    <row r="57" spans="1:22" ht="20" customHeight="1">
      <c r="A57" s="5" t="s">
        <v>173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3"/>
      <c r="O57" s="2"/>
      <c r="P57" s="2"/>
      <c r="Q57" s="2"/>
      <c r="R57" s="2"/>
      <c r="S57" s="2"/>
      <c r="T57" s="2"/>
      <c r="U57" s="2"/>
      <c r="V57" s="2"/>
    </row>
    <row r="58" spans="1:22" ht="132" customHeight="1">
      <c r="A58" s="14" t="s">
        <v>174</v>
      </c>
      <c r="B58" s="20" t="s">
        <v>175</v>
      </c>
      <c r="C58" s="26">
        <v>-4.75</v>
      </c>
      <c r="D58" s="26">
        <v>4.18</v>
      </c>
      <c r="E58" s="26">
        <v>29.33</v>
      </c>
      <c r="F58" s="26">
        <v>6.77</v>
      </c>
      <c r="G58" s="26">
        <v>6.62</v>
      </c>
      <c r="H58" s="26">
        <v>15.7</v>
      </c>
      <c r="I58" s="26">
        <v>27.44</v>
      </c>
      <c r="J58" s="26">
        <v>33.93</v>
      </c>
      <c r="K58" s="26">
        <v>1.27</v>
      </c>
      <c r="L58" s="26">
        <v>4.91</v>
      </c>
      <c r="M58" s="13"/>
      <c r="N58" s="13"/>
      <c r="O58" s="26">
        <v>0.46</v>
      </c>
      <c r="P58" s="26">
        <v>-0.4</v>
      </c>
      <c r="Q58" s="26">
        <v>1.17</v>
      </c>
      <c r="R58" s="26">
        <v>1.05</v>
      </c>
      <c r="S58" s="26">
        <v>0.88</v>
      </c>
      <c r="T58" s="26">
        <v>1.55</v>
      </c>
      <c r="U58" s="26">
        <v>1.96</v>
      </c>
      <c r="V58" s="26">
        <v>2.75</v>
      </c>
    </row>
    <row r="59" spans="1:22">
      <c r="A59" s="14" t="s">
        <v>176</v>
      </c>
      <c r="C59" s="26">
        <v>-4.8600000000000003</v>
      </c>
      <c r="D59" s="26">
        <v>4.0199999999999996</v>
      </c>
      <c r="E59" s="26">
        <v>28.44</v>
      </c>
      <c r="F59" s="26">
        <v>6.43</v>
      </c>
      <c r="G59" s="26">
        <v>6.33</v>
      </c>
      <c r="H59" s="26">
        <v>15</v>
      </c>
      <c r="I59" s="26">
        <v>26.53</v>
      </c>
      <c r="J59" s="26">
        <v>32.979999999999997</v>
      </c>
      <c r="K59" s="26">
        <v>1.23</v>
      </c>
      <c r="L59" s="26">
        <v>4.7699999999999996</v>
      </c>
      <c r="M59" s="13"/>
      <c r="N59" s="13"/>
      <c r="O59" s="26">
        <v>0.44</v>
      </c>
      <c r="P59" s="26">
        <v>-0.4</v>
      </c>
      <c r="Q59" s="26">
        <v>1.1399999999999999</v>
      </c>
      <c r="R59" s="26">
        <v>1.03</v>
      </c>
      <c r="S59" s="26">
        <v>0.85</v>
      </c>
      <c r="T59" s="26">
        <v>1.5</v>
      </c>
      <c r="U59" s="26">
        <v>1.91</v>
      </c>
      <c r="V59" s="26">
        <v>2.68</v>
      </c>
    </row>
    <row r="60" spans="1:22">
      <c r="A60" s="17" t="s">
        <v>177</v>
      </c>
      <c r="D60" s="18">
        <f t="shared" ref="D60:L60" si="27">IF(N(C59)=0,"",D59/C59-1)</f>
        <v>-1.8271604938271604</v>
      </c>
      <c r="E60" s="18">
        <f t="shared" si="27"/>
        <v>6.0746268656716431</v>
      </c>
      <c r="F60" s="18">
        <f t="shared" si="27"/>
        <v>-0.77390998593530247</v>
      </c>
      <c r="G60" s="18">
        <f t="shared" si="27"/>
        <v>-1.5552099533436947E-2</v>
      </c>
      <c r="H60" s="18">
        <f t="shared" si="27"/>
        <v>1.3696682464454977</v>
      </c>
      <c r="I60" s="18">
        <f t="shared" si="27"/>
        <v>0.76866666666666683</v>
      </c>
      <c r="J60" s="18">
        <f t="shared" si="27"/>
        <v>0.24312099509988672</v>
      </c>
      <c r="K60" s="18">
        <f t="shared" si="27"/>
        <v>-0.96270466949666467</v>
      </c>
      <c r="L60" s="18">
        <f t="shared" si="27"/>
        <v>2.8780487804878048</v>
      </c>
      <c r="M60" s="13"/>
      <c r="N60" s="13"/>
      <c r="S60" s="18">
        <f>IF(N(O59)=0,"",S59/O59-1)</f>
        <v>0.93181818181818166</v>
      </c>
      <c r="T60" s="18">
        <f>IF(N(P59)=0,"",T59/P59-1)</f>
        <v>-4.75</v>
      </c>
      <c r="U60" s="18">
        <f>IF(N(Q59)=0,"",U59/Q59-1)</f>
        <v>0.67543859649122817</v>
      </c>
      <c r="V60" s="18">
        <f>IF(N(R59)=0,"",V59/R59-1)</f>
        <v>1.6019417475728157</v>
      </c>
    </row>
    <row r="61" spans="1:22">
      <c r="A61" s="6" t="s">
        <v>178</v>
      </c>
      <c r="C61" s="21">
        <v>366</v>
      </c>
      <c r="D61" s="21">
        <v>405</v>
      </c>
      <c r="E61" s="21">
        <v>418</v>
      </c>
      <c r="F61" s="21">
        <v>398</v>
      </c>
      <c r="G61" s="21">
        <v>402</v>
      </c>
      <c r="H61" s="21">
        <v>410</v>
      </c>
      <c r="I61" s="21">
        <v>409</v>
      </c>
      <c r="J61" s="21">
        <v>415</v>
      </c>
      <c r="K61" s="21">
        <v>4624</v>
      </c>
      <c r="L61" s="21">
        <v>4712</v>
      </c>
      <c r="M61" s="13"/>
      <c r="N61" s="13"/>
      <c r="O61" s="21">
        <v>4650</v>
      </c>
      <c r="P61" s="21">
        <v>4663</v>
      </c>
      <c r="Q61" s="21">
        <v>4695</v>
      </c>
      <c r="R61" s="21">
        <v>4707</v>
      </c>
      <c r="S61" s="21">
        <v>4714</v>
      </c>
      <c r="T61" s="21">
        <v>4741</v>
      </c>
      <c r="U61" s="21">
        <v>4747</v>
      </c>
      <c r="V61" s="21">
        <v>4766</v>
      </c>
    </row>
    <row r="62" spans="1:22">
      <c r="A62" s="6" t="s">
        <v>179</v>
      </c>
      <c r="C62" s="21">
        <v>383</v>
      </c>
      <c r="D62" s="21">
        <v>421</v>
      </c>
      <c r="E62" s="21">
        <v>431</v>
      </c>
      <c r="F62" s="21">
        <v>419</v>
      </c>
      <c r="G62" s="21">
        <v>421</v>
      </c>
      <c r="H62" s="21">
        <v>429</v>
      </c>
      <c r="I62" s="21">
        <v>423</v>
      </c>
      <c r="J62" s="21">
        <v>427</v>
      </c>
      <c r="K62" s="21">
        <v>4778</v>
      </c>
      <c r="L62" s="21">
        <v>4853</v>
      </c>
      <c r="M62" s="13"/>
      <c r="N62" s="13"/>
      <c r="O62" s="21">
        <v>4800</v>
      </c>
      <c r="P62" s="21">
        <v>4663</v>
      </c>
      <c r="Q62" s="21">
        <v>4836</v>
      </c>
      <c r="R62" s="21">
        <v>4826</v>
      </c>
      <c r="S62" s="21">
        <v>4860</v>
      </c>
      <c r="T62" s="21">
        <v>4888</v>
      </c>
      <c r="U62" s="21">
        <v>4876</v>
      </c>
      <c r="V62" s="21">
        <v>4887</v>
      </c>
    </row>
    <row r="63" spans="1:22">
      <c r="M63" s="13"/>
      <c r="N63" s="13"/>
    </row>
    <row r="64" spans="1:22">
      <c r="M64" s="13"/>
      <c r="N64" s="13"/>
    </row>
  </sheetData>
  <phoneticPr fontId="14" type="noConversion"/>
  <conditionalFormatting sqref="C18:V18">
    <cfRule type="cellIs" dxfId="10" priority="1" operator="notBetween">
      <formula>-0.5</formula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V56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V15" sqref="V15:V16"/>
    </sheetView>
  </sheetViews>
  <sheetFormatPr baseColWidth="10" defaultColWidth="8.83203125" defaultRowHeight="14" outlineLevelCol="1"/>
  <cols>
    <col min="1" max="1" width="46" customWidth="1"/>
    <col min="2" max="2" width="34" hidden="1" customWidth="1" outlineLevel="1"/>
    <col min="3" max="3" width="12" customWidth="1" collapsed="1"/>
    <col min="4" max="12" width="12" customWidth="1"/>
    <col min="13" max="14" width="9" customWidth="1"/>
    <col min="15" max="22" width="12" customWidth="1"/>
  </cols>
  <sheetData>
    <row r="1" spans="1:22" ht="28" customHeight="1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6" customHeight="1">
      <c r="A2" s="3" t="s">
        <v>1</v>
      </c>
    </row>
    <row r="3" spans="1:22"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1" t="s">
        <v>12</v>
      </c>
      <c r="N3" s="11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0" t="s">
        <v>20</v>
      </c>
    </row>
    <row r="4" spans="1:22">
      <c r="C4" s="12" t="s">
        <v>21</v>
      </c>
      <c r="D4" s="12" t="s">
        <v>22</v>
      </c>
      <c r="E4" s="12" t="s">
        <v>23</v>
      </c>
      <c r="F4" s="12" t="s">
        <v>24</v>
      </c>
      <c r="G4" s="12" t="s">
        <v>25</v>
      </c>
      <c r="H4" s="12" t="s">
        <v>26</v>
      </c>
      <c r="I4" s="12" t="s">
        <v>27</v>
      </c>
      <c r="J4" s="12" t="s">
        <v>28</v>
      </c>
      <c r="K4" s="12" t="s">
        <v>29</v>
      </c>
      <c r="L4" s="12" t="s">
        <v>30</v>
      </c>
      <c r="M4" s="13"/>
      <c r="N4" s="13"/>
      <c r="O4" s="12" t="s">
        <v>31</v>
      </c>
      <c r="P4" s="12" t="s">
        <v>32</v>
      </c>
      <c r="Q4" s="12" t="s">
        <v>33</v>
      </c>
      <c r="R4" s="12" t="s">
        <v>34</v>
      </c>
      <c r="S4" s="12" t="s">
        <v>35</v>
      </c>
      <c r="T4" s="12" t="s">
        <v>36</v>
      </c>
      <c r="U4" s="12" t="s">
        <v>37</v>
      </c>
      <c r="V4" s="12" t="s">
        <v>38</v>
      </c>
    </row>
    <row r="5" spans="1:22">
      <c r="M5" s="13"/>
      <c r="N5" s="13"/>
    </row>
    <row r="6" spans="1:22">
      <c r="A6" s="14" t="s">
        <v>39</v>
      </c>
      <c r="M6" s="13"/>
      <c r="N6" s="13"/>
    </row>
    <row r="7" spans="1:22">
      <c r="A7" s="15" t="str">
        <f>HYPERLINK("#'Balance Sheet'!A14","1. CURRENT ASSETS")</f>
        <v>1. CURRENT ASSETS</v>
      </c>
      <c r="M7" s="13"/>
      <c r="N7" s="13"/>
    </row>
    <row r="8" spans="1:22">
      <c r="A8" s="15" t="str">
        <f>HYPERLINK("#'Balance Sheet'!A21","2. LONG-TERM ASSETS")</f>
        <v>2. LONG-TERM ASSETS</v>
      </c>
      <c r="M8" s="13"/>
      <c r="N8" s="13"/>
    </row>
    <row r="9" spans="1:22">
      <c r="A9" s="15" t="str">
        <f>HYPERLINK("#'Balance Sheet'!A28","3. CURRENT LIABILITIES")</f>
        <v>3. CURRENT LIABILITIES</v>
      </c>
      <c r="M9" s="13"/>
      <c r="N9" s="13"/>
    </row>
    <row r="10" spans="1:22">
      <c r="A10" s="15" t="str">
        <f>HYPERLINK("#'Balance Sheet'!A35","4. LONG-TERM LIABILITIES")</f>
        <v>4. LONG-TERM LIABILITIES</v>
      </c>
      <c r="M10" s="13"/>
      <c r="N10" s="13"/>
    </row>
    <row r="11" spans="1:22">
      <c r="A11" s="15" t="str">
        <f>HYPERLINK("#'Balance Sheet'!A41","5. MEZZANINE AND EQUITY")</f>
        <v>5. MEZZANINE AND EQUITY</v>
      </c>
      <c r="M11" s="13"/>
      <c r="N11" s="13"/>
    </row>
    <row r="12" spans="1:22">
      <c r="A12" s="15" t="str">
        <f>HYPERLINK("#'Balance Sheet'!A51","6. WORKING CAPITAL ANALYTICS")</f>
        <v>6. WORKING CAPITAL ANALYTICS</v>
      </c>
      <c r="M12" s="13"/>
      <c r="N12" s="13"/>
    </row>
    <row r="13" spans="1:22" ht="8" customHeight="1">
      <c r="M13" s="13"/>
      <c r="N13" s="13"/>
    </row>
    <row r="14" spans="1:22" ht="20" customHeight="1">
      <c r="A14" s="5" t="s">
        <v>181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3"/>
      <c r="N14" s="13"/>
      <c r="O14" s="2"/>
      <c r="P14" s="2"/>
      <c r="Q14" s="2"/>
      <c r="R14" s="2"/>
      <c r="S14" s="2"/>
      <c r="T14" s="2"/>
      <c r="U14" s="2"/>
      <c r="V14" s="2"/>
    </row>
    <row r="15" spans="1:22">
      <c r="A15" s="6" t="s">
        <v>182</v>
      </c>
      <c r="C15" s="21">
        <v>3097</v>
      </c>
      <c r="D15" s="21">
        <v>11204</v>
      </c>
      <c r="E15" s="21">
        <v>4292</v>
      </c>
      <c r="F15" s="21">
        <v>5055</v>
      </c>
      <c r="G15" s="21">
        <v>7618</v>
      </c>
      <c r="H15" s="21">
        <v>12163</v>
      </c>
      <c r="I15" s="21">
        <v>12416</v>
      </c>
      <c r="J15" s="21">
        <v>14189</v>
      </c>
      <c r="K15" s="21">
        <v>9348</v>
      </c>
      <c r="L15" s="21">
        <v>16178</v>
      </c>
      <c r="M15" s="13"/>
      <c r="N15" s="13"/>
      <c r="O15" s="21">
        <v>9809</v>
      </c>
      <c r="P15" s="21">
        <v>9952</v>
      </c>
      <c r="Q15" s="21">
        <v>9307</v>
      </c>
      <c r="R15" s="21">
        <v>9472</v>
      </c>
      <c r="S15" s="21">
        <v>10718</v>
      </c>
      <c r="T15" s="21">
        <v>14174</v>
      </c>
      <c r="U15" s="21">
        <v>19628</v>
      </c>
      <c r="V15" s="21">
        <v>23975</v>
      </c>
    </row>
    <row r="16" spans="1:22">
      <c r="A16" s="6" t="s">
        <v>183</v>
      </c>
      <c r="C16" s="21">
        <v>2181</v>
      </c>
      <c r="D16" s="21">
        <v>2448</v>
      </c>
      <c r="E16" s="21">
        <v>3325</v>
      </c>
      <c r="F16" s="21">
        <v>3259</v>
      </c>
      <c r="G16" s="21">
        <v>2297</v>
      </c>
      <c r="H16" s="21">
        <v>2071</v>
      </c>
      <c r="I16" s="21">
        <v>2958</v>
      </c>
      <c r="J16" s="21">
        <v>3154</v>
      </c>
      <c r="K16" s="21">
        <v>4416</v>
      </c>
      <c r="L16" s="21">
        <v>7145</v>
      </c>
      <c r="M16" s="13"/>
      <c r="N16" s="13"/>
      <c r="O16" s="21">
        <v>5500</v>
      </c>
      <c r="P16" s="21">
        <v>4665</v>
      </c>
      <c r="Q16" s="21">
        <v>4955</v>
      </c>
      <c r="R16" s="21">
        <v>5563</v>
      </c>
      <c r="S16" s="21">
        <v>6494</v>
      </c>
      <c r="T16" s="21">
        <v>8460</v>
      </c>
      <c r="U16" s="21">
        <v>10830</v>
      </c>
      <c r="V16" s="21">
        <v>13707</v>
      </c>
    </row>
    <row r="17" spans="1:22">
      <c r="A17" s="6" t="s">
        <v>184</v>
      </c>
      <c r="C17" s="21">
        <v>1400</v>
      </c>
      <c r="D17" s="21">
        <v>1447</v>
      </c>
      <c r="E17" s="21">
        <v>1124</v>
      </c>
      <c r="F17" s="21">
        <v>874</v>
      </c>
      <c r="G17" s="21">
        <v>1003</v>
      </c>
      <c r="H17" s="21">
        <v>1297</v>
      </c>
      <c r="I17" s="21">
        <v>1925</v>
      </c>
      <c r="J17" s="21">
        <v>1898</v>
      </c>
      <c r="K17" s="21">
        <v>1760</v>
      </c>
      <c r="L17" s="21">
        <v>2270</v>
      </c>
      <c r="M17" s="13"/>
      <c r="N17" s="13"/>
      <c r="O17" s="21">
        <v>1842</v>
      </c>
      <c r="P17" s="21">
        <v>1894</v>
      </c>
      <c r="Q17" s="21">
        <v>1908</v>
      </c>
      <c r="R17" s="21">
        <v>2017</v>
      </c>
      <c r="S17" s="21">
        <v>2180</v>
      </c>
      <c r="T17" s="21">
        <v>2962</v>
      </c>
      <c r="U17" s="21">
        <v>4328</v>
      </c>
      <c r="V17" s="21">
        <v>4523</v>
      </c>
    </row>
    <row r="18" spans="1:22">
      <c r="A18" s="6" t="s">
        <v>185</v>
      </c>
      <c r="C18" s="21">
        <v>447</v>
      </c>
      <c r="D18" s="21">
        <v>724</v>
      </c>
      <c r="E18" s="21">
        <v>366</v>
      </c>
      <c r="F18" s="21">
        <v>729</v>
      </c>
      <c r="G18" s="21">
        <v>977</v>
      </c>
      <c r="H18" s="21">
        <v>1055</v>
      </c>
      <c r="I18" s="21">
        <v>1205</v>
      </c>
      <c r="J18" s="21">
        <v>1606</v>
      </c>
      <c r="K18" s="21">
        <v>4071</v>
      </c>
      <c r="L18" s="21">
        <v>5980</v>
      </c>
      <c r="M18" s="13"/>
      <c r="N18" s="13"/>
      <c r="O18" s="21">
        <v>8151</v>
      </c>
      <c r="P18" s="21">
        <v>3436</v>
      </c>
      <c r="Q18" s="21">
        <v>4820</v>
      </c>
      <c r="R18" s="21">
        <v>5129</v>
      </c>
      <c r="S18" s="21">
        <v>5606</v>
      </c>
      <c r="T18" s="21">
        <v>6466</v>
      </c>
      <c r="U18" s="21">
        <v>7427</v>
      </c>
      <c r="V18" s="21">
        <v>9968</v>
      </c>
    </row>
    <row r="19" spans="1:22">
      <c r="A19" s="14" t="s">
        <v>186</v>
      </c>
      <c r="C19" s="23">
        <f t="shared" ref="C19:L19" si="0">C15+C16+C17+C18</f>
        <v>7125</v>
      </c>
      <c r="D19" s="23">
        <f t="shared" si="0"/>
        <v>15823</v>
      </c>
      <c r="E19" s="23">
        <f t="shared" si="0"/>
        <v>9107</v>
      </c>
      <c r="F19" s="23">
        <f t="shared" si="0"/>
        <v>9917</v>
      </c>
      <c r="G19" s="23">
        <f t="shared" si="0"/>
        <v>11895</v>
      </c>
      <c r="H19" s="23">
        <f t="shared" si="0"/>
        <v>16586</v>
      </c>
      <c r="I19" s="23">
        <f t="shared" si="0"/>
        <v>18504</v>
      </c>
      <c r="J19" s="23">
        <f t="shared" si="0"/>
        <v>20847</v>
      </c>
      <c r="K19" s="23">
        <f t="shared" si="0"/>
        <v>19595</v>
      </c>
      <c r="L19" s="23">
        <f t="shared" si="0"/>
        <v>31573</v>
      </c>
      <c r="M19" s="24"/>
      <c r="N19" s="24"/>
      <c r="O19" s="23">
        <f t="shared" ref="O19:V19" si="1">O15+O16+O17+O18</f>
        <v>25302</v>
      </c>
      <c r="P19" s="23">
        <f t="shared" si="1"/>
        <v>19947</v>
      </c>
      <c r="Q19" s="23">
        <f t="shared" si="1"/>
        <v>20990</v>
      </c>
      <c r="R19" s="23">
        <f t="shared" si="1"/>
        <v>22181</v>
      </c>
      <c r="S19" s="23">
        <f t="shared" si="1"/>
        <v>24998</v>
      </c>
      <c r="T19" s="23">
        <f t="shared" si="1"/>
        <v>32062</v>
      </c>
      <c r="U19" s="23">
        <f t="shared" si="1"/>
        <v>42213</v>
      </c>
      <c r="V19" s="23">
        <f t="shared" si="1"/>
        <v>52173</v>
      </c>
    </row>
    <row r="20" spans="1:22" ht="8" customHeight="1">
      <c r="M20" s="13"/>
      <c r="N20" s="13"/>
    </row>
    <row r="21" spans="1:22" ht="20" customHeight="1">
      <c r="A21" s="5" t="s">
        <v>187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3"/>
      <c r="N21" s="13"/>
      <c r="O21" s="2"/>
      <c r="P21" s="2"/>
      <c r="Q21" s="2"/>
      <c r="R21" s="2"/>
      <c r="S21" s="2"/>
      <c r="T21" s="2"/>
      <c r="U21" s="2"/>
      <c r="V21" s="2"/>
    </row>
    <row r="22" spans="1:22">
      <c r="A22" s="6" t="s">
        <v>188</v>
      </c>
      <c r="C22" s="21">
        <v>2509</v>
      </c>
      <c r="D22" s="21">
        <v>2599</v>
      </c>
      <c r="E22" s="21">
        <v>2635</v>
      </c>
      <c r="F22" s="21">
        <v>2565</v>
      </c>
      <c r="G22" s="21">
        <v>2509</v>
      </c>
      <c r="H22" s="21">
        <v>2348</v>
      </c>
      <c r="I22" s="21">
        <v>2223</v>
      </c>
      <c r="J22" s="21">
        <v>2154</v>
      </c>
      <c r="K22" s="21">
        <v>2521</v>
      </c>
      <c r="L22" s="21">
        <v>2530</v>
      </c>
      <c r="M22" s="13"/>
      <c r="N22" s="13"/>
      <c r="O22" s="21">
        <v>2668</v>
      </c>
      <c r="P22" s="21">
        <v>2602</v>
      </c>
      <c r="Q22" s="21">
        <v>2465</v>
      </c>
      <c r="R22" s="21">
        <v>2462</v>
      </c>
      <c r="S22" s="21">
        <v>2451</v>
      </c>
      <c r="T22" s="21">
        <v>2599</v>
      </c>
      <c r="U22" s="21">
        <v>2788</v>
      </c>
      <c r="V22" s="21">
        <v>3144</v>
      </c>
    </row>
    <row r="23" spans="1:22">
      <c r="A23" s="6" t="s">
        <v>189</v>
      </c>
      <c r="C23" s="21">
        <v>24732</v>
      </c>
      <c r="D23" s="21">
        <v>24706</v>
      </c>
      <c r="E23" s="21">
        <v>26913</v>
      </c>
      <c r="F23" s="21">
        <v>36714</v>
      </c>
      <c r="G23" s="21">
        <v>43447</v>
      </c>
      <c r="H23" s="21">
        <v>43450</v>
      </c>
      <c r="I23" s="21">
        <v>43614</v>
      </c>
      <c r="J23" s="21">
        <v>43653</v>
      </c>
      <c r="K23" s="21">
        <v>97873</v>
      </c>
      <c r="L23" s="21">
        <v>97801</v>
      </c>
      <c r="M23" s="13"/>
      <c r="N23" s="13"/>
      <c r="O23" s="21">
        <v>97873</v>
      </c>
      <c r="P23" s="21">
        <v>97873</v>
      </c>
      <c r="Q23" s="21">
        <v>97871</v>
      </c>
      <c r="R23" s="21">
        <v>97801</v>
      </c>
      <c r="S23" s="21">
        <v>97801</v>
      </c>
      <c r="T23" s="21">
        <v>97801</v>
      </c>
      <c r="U23" s="21">
        <v>97801</v>
      </c>
      <c r="V23" s="21">
        <v>97801</v>
      </c>
    </row>
    <row r="24" spans="1:22">
      <c r="A24" s="6" t="s">
        <v>190</v>
      </c>
      <c r="C24" s="21">
        <v>15068</v>
      </c>
      <c r="D24" s="21">
        <v>10832</v>
      </c>
      <c r="E24" s="21">
        <v>10762</v>
      </c>
      <c r="F24" s="21">
        <v>17554</v>
      </c>
      <c r="G24" s="21">
        <v>16782</v>
      </c>
      <c r="H24" s="21">
        <v>11374</v>
      </c>
      <c r="I24" s="21">
        <v>7111</v>
      </c>
      <c r="J24" s="21">
        <v>3867</v>
      </c>
      <c r="K24" s="21">
        <v>40583</v>
      </c>
      <c r="L24" s="21">
        <v>32273</v>
      </c>
      <c r="M24" s="13"/>
      <c r="N24" s="13"/>
      <c r="O24" s="21">
        <v>45407</v>
      </c>
      <c r="P24" s="21">
        <v>43034</v>
      </c>
      <c r="Q24" s="21">
        <v>38583</v>
      </c>
      <c r="R24" s="21">
        <v>36393</v>
      </c>
      <c r="S24" s="21">
        <v>34344</v>
      </c>
      <c r="T24" s="21">
        <v>30302</v>
      </c>
      <c r="U24" s="21">
        <v>28333</v>
      </c>
      <c r="V24" s="21">
        <v>26325</v>
      </c>
    </row>
    <row r="25" spans="1:22">
      <c r="A25" s="6" t="s">
        <v>191</v>
      </c>
      <c r="C25" s="21">
        <v>532</v>
      </c>
      <c r="D25" s="21">
        <v>458</v>
      </c>
      <c r="E25" s="21">
        <v>707</v>
      </c>
      <c r="F25" s="21">
        <v>743</v>
      </c>
      <c r="G25" s="21">
        <v>1300</v>
      </c>
      <c r="H25" s="21">
        <v>1812</v>
      </c>
      <c r="I25" s="21">
        <v>1797</v>
      </c>
      <c r="J25" s="21">
        <v>2340</v>
      </c>
      <c r="K25" s="21">
        <v>5073</v>
      </c>
      <c r="L25" s="21">
        <v>6915</v>
      </c>
      <c r="M25" s="13"/>
      <c r="N25" s="13"/>
      <c r="O25" s="21">
        <v>3961</v>
      </c>
      <c r="P25" s="21">
        <v>4510</v>
      </c>
      <c r="Q25" s="21">
        <v>5449</v>
      </c>
      <c r="R25" s="21">
        <v>5793</v>
      </c>
      <c r="S25" s="21">
        <v>6027</v>
      </c>
      <c r="T25" s="21">
        <v>7139</v>
      </c>
      <c r="U25" s="21">
        <v>8023</v>
      </c>
      <c r="V25" s="21">
        <v>8705</v>
      </c>
    </row>
    <row r="26" spans="1:22">
      <c r="A26" s="14" t="s">
        <v>192</v>
      </c>
      <c r="C26" s="23">
        <f t="shared" ref="C26:L26" si="2">C19+C22+C23+C24+C25</f>
        <v>49966</v>
      </c>
      <c r="D26" s="23">
        <f t="shared" si="2"/>
        <v>54418</v>
      </c>
      <c r="E26" s="23">
        <f t="shared" si="2"/>
        <v>50124</v>
      </c>
      <c r="F26" s="23">
        <f t="shared" si="2"/>
        <v>67493</v>
      </c>
      <c r="G26" s="23">
        <f t="shared" si="2"/>
        <v>75933</v>
      </c>
      <c r="H26" s="23">
        <f t="shared" si="2"/>
        <v>75570</v>
      </c>
      <c r="I26" s="23">
        <f t="shared" si="2"/>
        <v>73249</v>
      </c>
      <c r="J26" s="23">
        <f t="shared" si="2"/>
        <v>72861</v>
      </c>
      <c r="K26" s="23">
        <f t="shared" si="2"/>
        <v>165645</v>
      </c>
      <c r="L26" s="23">
        <f t="shared" si="2"/>
        <v>171092</v>
      </c>
      <c r="M26" s="24"/>
      <c r="N26" s="24"/>
      <c r="O26" s="23">
        <f t="shared" ref="O26:V26" si="3">O19+O22+O23+O24+O25</f>
        <v>175211</v>
      </c>
      <c r="P26" s="23">
        <f t="shared" si="3"/>
        <v>167966</v>
      </c>
      <c r="Q26" s="23">
        <f t="shared" si="3"/>
        <v>165358</v>
      </c>
      <c r="R26" s="23">
        <f t="shared" si="3"/>
        <v>164630</v>
      </c>
      <c r="S26" s="23">
        <f t="shared" si="3"/>
        <v>165621</v>
      </c>
      <c r="T26" s="23">
        <f t="shared" si="3"/>
        <v>169903</v>
      </c>
      <c r="U26" s="23">
        <f t="shared" si="3"/>
        <v>179158</v>
      </c>
      <c r="V26" s="23">
        <f t="shared" si="3"/>
        <v>188148</v>
      </c>
    </row>
    <row r="27" spans="1:22" ht="8" customHeight="1">
      <c r="M27" s="13"/>
      <c r="N27" s="13"/>
    </row>
    <row r="28" spans="1:22" ht="20" customHeight="1">
      <c r="A28" s="5" t="s">
        <v>193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3"/>
      <c r="N28" s="13"/>
      <c r="O28" s="2"/>
      <c r="P28" s="2"/>
      <c r="Q28" s="2"/>
      <c r="R28" s="2"/>
      <c r="S28" s="2"/>
      <c r="T28" s="2"/>
      <c r="U28" s="2"/>
      <c r="V28" s="2"/>
    </row>
    <row r="29" spans="1:22">
      <c r="A29" s="6" t="s">
        <v>194</v>
      </c>
      <c r="C29" s="21">
        <v>1261</v>
      </c>
      <c r="D29" s="21">
        <v>1105</v>
      </c>
      <c r="E29" s="21">
        <v>811</v>
      </c>
      <c r="F29" s="21">
        <v>855</v>
      </c>
      <c r="G29" s="21">
        <v>836</v>
      </c>
      <c r="H29" s="21">
        <v>1086</v>
      </c>
      <c r="I29" s="21">
        <v>998</v>
      </c>
      <c r="J29" s="21">
        <v>1210</v>
      </c>
      <c r="K29" s="21">
        <v>1662</v>
      </c>
      <c r="L29" s="21">
        <v>1560</v>
      </c>
      <c r="M29" s="13"/>
      <c r="N29" s="13"/>
      <c r="O29" s="21">
        <v>1441</v>
      </c>
      <c r="P29" s="21">
        <v>1757</v>
      </c>
      <c r="Q29" s="21">
        <v>1905</v>
      </c>
      <c r="R29" s="21">
        <v>1297</v>
      </c>
      <c r="S29" s="21">
        <v>1432</v>
      </c>
      <c r="T29" s="21">
        <v>2112</v>
      </c>
      <c r="U29" s="21">
        <v>2337</v>
      </c>
      <c r="V29" s="21">
        <v>4000</v>
      </c>
    </row>
    <row r="30" spans="1:22">
      <c r="A30" s="6" t="s">
        <v>195</v>
      </c>
      <c r="C30" s="21">
        <v>517</v>
      </c>
      <c r="D30" s="21">
        <v>626</v>
      </c>
      <c r="E30" s="21">
        <v>715</v>
      </c>
      <c r="F30" s="21">
        <v>641</v>
      </c>
      <c r="G30" s="21">
        <v>877</v>
      </c>
      <c r="H30" s="21">
        <v>1066</v>
      </c>
      <c r="I30" s="21">
        <v>1202</v>
      </c>
      <c r="J30" s="21">
        <v>935</v>
      </c>
      <c r="K30" s="21">
        <v>1971</v>
      </c>
      <c r="L30" s="21">
        <v>2129</v>
      </c>
      <c r="M30" s="13"/>
      <c r="N30" s="13"/>
      <c r="O30" s="21">
        <v>1385</v>
      </c>
      <c r="P30" s="21">
        <v>1725</v>
      </c>
      <c r="Q30" s="21">
        <v>922</v>
      </c>
      <c r="R30" s="21">
        <v>1266</v>
      </c>
      <c r="S30" s="21">
        <v>1719</v>
      </c>
      <c r="T30" s="21">
        <v>864</v>
      </c>
      <c r="U30" s="21">
        <v>1134</v>
      </c>
      <c r="V30" s="21">
        <v>1506</v>
      </c>
    </row>
    <row r="31" spans="1:22">
      <c r="A31" s="6" t="s">
        <v>196</v>
      </c>
      <c r="C31" s="21">
        <v>454</v>
      </c>
      <c r="D31" s="21">
        <v>117</v>
      </c>
      <c r="F31" s="21">
        <v>2787</v>
      </c>
      <c r="G31" s="21">
        <v>827</v>
      </c>
      <c r="H31" s="21">
        <v>290</v>
      </c>
      <c r="I31" s="21">
        <v>440</v>
      </c>
      <c r="J31" s="21">
        <v>1608</v>
      </c>
      <c r="K31" s="21">
        <v>1271</v>
      </c>
      <c r="L31" s="21">
        <v>3152</v>
      </c>
      <c r="M31" s="13"/>
      <c r="N31" s="13"/>
      <c r="O31" s="21">
        <v>2426</v>
      </c>
      <c r="P31" s="21">
        <v>3161</v>
      </c>
      <c r="Q31" s="21">
        <v>5653</v>
      </c>
      <c r="R31" s="21">
        <v>5531</v>
      </c>
      <c r="S31" s="21">
        <v>1399</v>
      </c>
      <c r="T31" s="21">
        <v>2252</v>
      </c>
      <c r="U31" s="21">
        <v>2252</v>
      </c>
      <c r="V31" s="21">
        <v>2252</v>
      </c>
    </row>
    <row r="32" spans="1:22">
      <c r="A32" s="6" t="s">
        <v>197</v>
      </c>
      <c r="C32" s="21">
        <v>846</v>
      </c>
      <c r="D32" s="21">
        <v>681</v>
      </c>
      <c r="E32" s="21">
        <v>812</v>
      </c>
      <c r="F32" s="21">
        <v>2616</v>
      </c>
      <c r="G32" s="21">
        <v>3831</v>
      </c>
      <c r="H32" s="21">
        <v>3839</v>
      </c>
      <c r="I32" s="21">
        <v>4412</v>
      </c>
      <c r="J32" s="21">
        <v>3652</v>
      </c>
      <c r="K32" s="21">
        <v>11793</v>
      </c>
      <c r="L32" s="21">
        <v>11673</v>
      </c>
      <c r="M32" s="13"/>
      <c r="N32" s="13"/>
      <c r="O32" s="21">
        <v>14919</v>
      </c>
      <c r="P32" s="21">
        <v>12578</v>
      </c>
      <c r="Q32" s="21">
        <v>12430</v>
      </c>
      <c r="R32" s="21">
        <v>12503</v>
      </c>
      <c r="S32" s="21">
        <v>12154</v>
      </c>
      <c r="T32" s="21">
        <v>11631</v>
      </c>
      <c r="U32" s="21">
        <v>13139</v>
      </c>
      <c r="V32" s="21">
        <v>13080</v>
      </c>
    </row>
    <row r="33" spans="1:22">
      <c r="A33" s="14" t="s">
        <v>198</v>
      </c>
      <c r="C33" s="23">
        <f t="shared" ref="C33:L33" si="4">C29+C30+C31+C32</f>
        <v>3078</v>
      </c>
      <c r="D33" s="23">
        <f t="shared" si="4"/>
        <v>2529</v>
      </c>
      <c r="E33" s="23">
        <f t="shared" si="4"/>
        <v>2338</v>
      </c>
      <c r="F33" s="23">
        <f t="shared" si="4"/>
        <v>6899</v>
      </c>
      <c r="G33" s="23">
        <f t="shared" si="4"/>
        <v>6371</v>
      </c>
      <c r="H33" s="23">
        <f t="shared" si="4"/>
        <v>6281</v>
      </c>
      <c r="I33" s="23">
        <f t="shared" si="4"/>
        <v>7052</v>
      </c>
      <c r="J33" s="23">
        <f t="shared" si="4"/>
        <v>7405</v>
      </c>
      <c r="K33" s="23">
        <f t="shared" si="4"/>
        <v>16697</v>
      </c>
      <c r="L33" s="23">
        <f t="shared" si="4"/>
        <v>18514</v>
      </c>
      <c r="M33" s="24"/>
      <c r="N33" s="24"/>
      <c r="O33" s="23">
        <f t="shared" ref="O33:V33" si="5">O29+O30+O31+O32</f>
        <v>20171</v>
      </c>
      <c r="P33" s="23">
        <f t="shared" si="5"/>
        <v>19221</v>
      </c>
      <c r="Q33" s="23">
        <f t="shared" si="5"/>
        <v>20910</v>
      </c>
      <c r="R33" s="23">
        <f t="shared" si="5"/>
        <v>20597</v>
      </c>
      <c r="S33" s="23">
        <f t="shared" si="5"/>
        <v>16704</v>
      </c>
      <c r="T33" s="23">
        <f t="shared" si="5"/>
        <v>16859</v>
      </c>
      <c r="U33" s="23">
        <f t="shared" si="5"/>
        <v>18862</v>
      </c>
      <c r="V33" s="23">
        <f t="shared" si="5"/>
        <v>20838</v>
      </c>
    </row>
    <row r="34" spans="1:22" ht="8" customHeight="1">
      <c r="M34" s="13"/>
      <c r="N34" s="13"/>
    </row>
    <row r="35" spans="1:22" ht="20" customHeight="1">
      <c r="A35" s="5" t="s">
        <v>199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3"/>
      <c r="N35" s="13"/>
      <c r="O35" s="2"/>
      <c r="P35" s="2"/>
      <c r="Q35" s="2"/>
      <c r="R35" s="2"/>
      <c r="S35" s="2"/>
      <c r="T35" s="2"/>
      <c r="U35" s="2"/>
      <c r="V35" s="2"/>
    </row>
    <row r="36" spans="1:22">
      <c r="A36" s="6" t="s">
        <v>200</v>
      </c>
      <c r="C36" s="21">
        <v>13188</v>
      </c>
      <c r="D36" s="21">
        <v>17431</v>
      </c>
      <c r="E36" s="21">
        <v>17493</v>
      </c>
      <c r="F36" s="21">
        <v>30011</v>
      </c>
      <c r="G36" s="21">
        <v>40235</v>
      </c>
      <c r="H36" s="21">
        <v>39440</v>
      </c>
      <c r="I36" s="21">
        <v>39075</v>
      </c>
      <c r="J36" s="21">
        <v>37621</v>
      </c>
      <c r="K36" s="21">
        <v>66295</v>
      </c>
      <c r="L36" s="21">
        <v>61984</v>
      </c>
      <c r="M36" s="13"/>
      <c r="N36" s="13"/>
      <c r="O36" s="21">
        <v>71590</v>
      </c>
      <c r="P36" s="21">
        <v>66798</v>
      </c>
      <c r="Q36" s="21">
        <v>60926</v>
      </c>
      <c r="R36" s="21">
        <v>61751</v>
      </c>
      <c r="S36" s="21">
        <v>62830</v>
      </c>
      <c r="T36" s="21">
        <v>63805</v>
      </c>
      <c r="U36" s="21">
        <v>62655</v>
      </c>
      <c r="V36" s="21">
        <v>57167</v>
      </c>
    </row>
    <row r="37" spans="1:22" ht="24" customHeight="1">
      <c r="A37" s="6" t="s">
        <v>201</v>
      </c>
      <c r="B37" s="20" t="s">
        <v>202</v>
      </c>
      <c r="C37" s="21">
        <v>531</v>
      </c>
      <c r="D37" s="21">
        <v>112</v>
      </c>
      <c r="M37" s="13"/>
      <c r="N37" s="13"/>
    </row>
    <row r="38" spans="1:22">
      <c r="A38" s="6" t="s">
        <v>203</v>
      </c>
      <c r="C38" s="21">
        <v>11293</v>
      </c>
      <c r="D38" s="21">
        <v>11160</v>
      </c>
      <c r="E38" s="21">
        <v>3636</v>
      </c>
      <c r="F38" s="21">
        <v>5613</v>
      </c>
      <c r="G38" s="21">
        <v>5426</v>
      </c>
      <c r="H38" s="21">
        <v>4860</v>
      </c>
      <c r="I38" s="21">
        <v>4413</v>
      </c>
      <c r="J38" s="21">
        <v>3847</v>
      </c>
      <c r="K38" s="21">
        <v>14975</v>
      </c>
      <c r="L38" s="21">
        <v>9302</v>
      </c>
      <c r="M38" s="13"/>
      <c r="N38" s="13"/>
      <c r="O38" s="21">
        <v>13489</v>
      </c>
      <c r="P38" s="21">
        <v>16296</v>
      </c>
      <c r="Q38" s="21">
        <v>13733</v>
      </c>
      <c r="R38" s="21">
        <v>12696</v>
      </c>
      <c r="S38" s="21">
        <v>12810</v>
      </c>
      <c r="T38" s="21">
        <v>9367</v>
      </c>
      <c r="U38" s="21">
        <v>9950</v>
      </c>
      <c r="V38" s="21">
        <v>10453</v>
      </c>
    </row>
    <row r="39" spans="1:22">
      <c r="A39" s="14" t="s">
        <v>204</v>
      </c>
      <c r="C39" s="23">
        <f t="shared" ref="C39:L39" si="6">C33+C36+C37+C38</f>
        <v>28090</v>
      </c>
      <c r="D39" s="23">
        <f t="shared" si="6"/>
        <v>31232</v>
      </c>
      <c r="E39" s="23">
        <f t="shared" si="6"/>
        <v>23467</v>
      </c>
      <c r="F39" s="23">
        <f t="shared" si="6"/>
        <v>42523</v>
      </c>
      <c r="G39" s="23">
        <f t="shared" si="6"/>
        <v>52032</v>
      </c>
      <c r="H39" s="23">
        <f t="shared" si="6"/>
        <v>50581</v>
      </c>
      <c r="I39" s="23">
        <f t="shared" si="6"/>
        <v>50540</v>
      </c>
      <c r="J39" s="23">
        <f t="shared" si="6"/>
        <v>48873</v>
      </c>
      <c r="K39" s="23">
        <f t="shared" si="6"/>
        <v>97967</v>
      </c>
      <c r="L39" s="23">
        <f t="shared" si="6"/>
        <v>89800</v>
      </c>
      <c r="M39" s="24"/>
      <c r="N39" s="24"/>
      <c r="O39" s="23">
        <f t="shared" ref="O39:V39" si="7">O33+O36+O37+O38</f>
        <v>105250</v>
      </c>
      <c r="P39" s="23">
        <f t="shared" si="7"/>
        <v>102315</v>
      </c>
      <c r="Q39" s="23">
        <f t="shared" si="7"/>
        <v>95569</v>
      </c>
      <c r="R39" s="23">
        <f t="shared" si="7"/>
        <v>95044</v>
      </c>
      <c r="S39" s="23">
        <f t="shared" si="7"/>
        <v>92344</v>
      </c>
      <c r="T39" s="23">
        <f t="shared" si="7"/>
        <v>90031</v>
      </c>
      <c r="U39" s="23">
        <f t="shared" si="7"/>
        <v>91467</v>
      </c>
      <c r="V39" s="23">
        <f t="shared" si="7"/>
        <v>88458</v>
      </c>
    </row>
    <row r="40" spans="1:22" ht="8" customHeight="1">
      <c r="M40" s="13"/>
      <c r="N40" s="13"/>
    </row>
    <row r="41" spans="1:22" ht="20" customHeight="1">
      <c r="A41" s="5" t="s">
        <v>205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3"/>
      <c r="O41" s="2"/>
      <c r="P41" s="2"/>
      <c r="Q41" s="2"/>
      <c r="R41" s="2"/>
      <c r="S41" s="2"/>
      <c r="T41" s="2"/>
      <c r="U41" s="2"/>
      <c r="V41" s="2"/>
    </row>
    <row r="42" spans="1:22" ht="24" customHeight="1">
      <c r="A42" s="6" t="s">
        <v>206</v>
      </c>
      <c r="B42" s="20" t="s">
        <v>207</v>
      </c>
      <c r="F42" s="21">
        <v>29</v>
      </c>
      <c r="G42" s="21">
        <v>27</v>
      </c>
      <c r="H42" s="21">
        <v>27</v>
      </c>
      <c r="M42" s="13"/>
      <c r="N42" s="13"/>
    </row>
    <row r="43" spans="1:22">
      <c r="A43" s="6" t="s">
        <v>208</v>
      </c>
      <c r="C43" s="21">
        <v>19241</v>
      </c>
      <c r="D43" s="21">
        <v>20505</v>
      </c>
      <c r="E43" s="21">
        <v>23285</v>
      </c>
      <c r="F43" s="21">
        <v>25081</v>
      </c>
      <c r="G43" s="21">
        <v>23982</v>
      </c>
      <c r="H43" s="21">
        <v>24330</v>
      </c>
      <c r="I43" s="21">
        <v>21159</v>
      </c>
      <c r="J43" s="21">
        <v>21099</v>
      </c>
      <c r="K43" s="21">
        <v>67471</v>
      </c>
      <c r="L43" s="21">
        <v>71313</v>
      </c>
      <c r="M43" s="13"/>
      <c r="N43" s="13"/>
      <c r="O43" s="21">
        <v>69754</v>
      </c>
      <c r="P43" s="21">
        <v>67318</v>
      </c>
      <c r="Q43" s="21">
        <v>66853</v>
      </c>
      <c r="R43" s="21">
        <v>66694</v>
      </c>
      <c r="S43" s="21">
        <v>69016</v>
      </c>
      <c r="T43" s="21">
        <v>73140</v>
      </c>
      <c r="U43" s="21">
        <v>75317</v>
      </c>
      <c r="V43" s="21">
        <v>77335</v>
      </c>
    </row>
    <row r="44" spans="1:22">
      <c r="A44" s="6" t="s">
        <v>209</v>
      </c>
      <c r="C44" s="21">
        <v>-215</v>
      </c>
      <c r="D44" s="21">
        <v>-129</v>
      </c>
      <c r="E44" s="21">
        <v>3487</v>
      </c>
      <c r="F44" s="21">
        <v>0</v>
      </c>
      <c r="G44" s="21">
        <v>0</v>
      </c>
      <c r="H44" s="21">
        <v>748</v>
      </c>
      <c r="I44" s="21">
        <v>1604</v>
      </c>
      <c r="J44" s="21">
        <v>2682</v>
      </c>
      <c r="K44" s="21">
        <v>0</v>
      </c>
      <c r="L44" s="21">
        <v>9761</v>
      </c>
      <c r="M44" s="13"/>
      <c r="N44" s="13"/>
      <c r="O44" s="21">
        <v>0</v>
      </c>
      <c r="P44" s="21">
        <v>-1875</v>
      </c>
      <c r="Q44" s="21">
        <v>2729</v>
      </c>
      <c r="R44" s="21">
        <v>2686</v>
      </c>
      <c r="S44" s="21">
        <v>4040</v>
      </c>
      <c r="T44" s="21">
        <v>6520</v>
      </c>
      <c r="U44" s="21">
        <v>12166</v>
      </c>
      <c r="V44" s="21">
        <v>22151</v>
      </c>
    </row>
    <row r="45" spans="1:22">
      <c r="A45" s="6" t="s">
        <v>210</v>
      </c>
      <c r="C45" s="21">
        <v>-134</v>
      </c>
      <c r="D45" s="21">
        <v>-91</v>
      </c>
      <c r="E45" s="21">
        <v>-115</v>
      </c>
      <c r="F45" s="21">
        <v>-140</v>
      </c>
      <c r="G45" s="21">
        <v>-108</v>
      </c>
      <c r="H45" s="21">
        <v>-116</v>
      </c>
      <c r="I45" s="21">
        <v>-54</v>
      </c>
      <c r="J45" s="21">
        <v>207</v>
      </c>
      <c r="K45" s="21">
        <v>207</v>
      </c>
      <c r="L45" s="21">
        <v>218</v>
      </c>
      <c r="M45" s="13"/>
      <c r="N45" s="13"/>
      <c r="O45" s="21">
        <v>207</v>
      </c>
      <c r="P45" s="21">
        <v>208</v>
      </c>
      <c r="Q45" s="21">
        <v>207</v>
      </c>
      <c r="R45" s="21">
        <v>206</v>
      </c>
      <c r="S45" s="21">
        <v>221</v>
      </c>
      <c r="T45" s="21">
        <v>212</v>
      </c>
      <c r="U45" s="21">
        <v>208</v>
      </c>
      <c r="V45" s="21">
        <v>204</v>
      </c>
    </row>
    <row r="46" spans="1:22">
      <c r="A46" s="14" t="s">
        <v>211</v>
      </c>
      <c r="C46" s="23">
        <f t="shared" ref="C46:L46" si="8">C43+C44+C45</f>
        <v>18892</v>
      </c>
      <c r="D46" s="23">
        <f t="shared" si="8"/>
        <v>20285</v>
      </c>
      <c r="E46" s="23">
        <f t="shared" si="8"/>
        <v>26657</v>
      </c>
      <c r="F46" s="23">
        <f t="shared" si="8"/>
        <v>24941</v>
      </c>
      <c r="G46" s="23">
        <f t="shared" si="8"/>
        <v>23874</v>
      </c>
      <c r="H46" s="23">
        <f t="shared" si="8"/>
        <v>24962</v>
      </c>
      <c r="I46" s="23">
        <f t="shared" si="8"/>
        <v>22709</v>
      </c>
      <c r="J46" s="23">
        <f t="shared" si="8"/>
        <v>23988</v>
      </c>
      <c r="K46" s="23">
        <f t="shared" si="8"/>
        <v>67678</v>
      </c>
      <c r="L46" s="23">
        <f t="shared" si="8"/>
        <v>81292</v>
      </c>
      <c r="M46" s="24"/>
      <c r="N46" s="24"/>
      <c r="O46" s="23">
        <f t="shared" ref="O46:V46" si="9">O43+O44+O45</f>
        <v>69961</v>
      </c>
      <c r="P46" s="23">
        <f t="shared" si="9"/>
        <v>65651</v>
      </c>
      <c r="Q46" s="23">
        <f t="shared" si="9"/>
        <v>69789</v>
      </c>
      <c r="R46" s="23">
        <f t="shared" si="9"/>
        <v>69586</v>
      </c>
      <c r="S46" s="23">
        <f t="shared" si="9"/>
        <v>73277</v>
      </c>
      <c r="T46" s="23">
        <f t="shared" si="9"/>
        <v>79872</v>
      </c>
      <c r="U46" s="23">
        <f t="shared" si="9"/>
        <v>87691</v>
      </c>
      <c r="V46" s="23">
        <f t="shared" si="9"/>
        <v>99690</v>
      </c>
    </row>
    <row r="47" spans="1:22" ht="24" customHeight="1">
      <c r="A47" s="6" t="s">
        <v>212</v>
      </c>
      <c r="B47" s="20" t="s">
        <v>213</v>
      </c>
      <c r="C47" s="21">
        <v>2984</v>
      </c>
      <c r="D47" s="21">
        <v>2901</v>
      </c>
      <c r="M47" s="13"/>
      <c r="N47" s="13"/>
    </row>
    <row r="48" spans="1:22">
      <c r="A48" s="14" t="s">
        <v>214</v>
      </c>
      <c r="C48" s="23">
        <f t="shared" ref="C48:L48" si="10">C46+C47</f>
        <v>21876</v>
      </c>
      <c r="D48" s="23">
        <f t="shared" si="10"/>
        <v>23186</v>
      </c>
      <c r="E48" s="23">
        <f t="shared" si="10"/>
        <v>26657</v>
      </c>
      <c r="F48" s="23">
        <f t="shared" si="10"/>
        <v>24941</v>
      </c>
      <c r="G48" s="23">
        <f t="shared" si="10"/>
        <v>23874</v>
      </c>
      <c r="H48" s="23">
        <f t="shared" si="10"/>
        <v>24962</v>
      </c>
      <c r="I48" s="23">
        <f t="shared" si="10"/>
        <v>22709</v>
      </c>
      <c r="J48" s="23">
        <f t="shared" si="10"/>
        <v>23988</v>
      </c>
      <c r="K48" s="23">
        <f t="shared" si="10"/>
        <v>67678</v>
      </c>
      <c r="L48" s="23">
        <f t="shared" si="10"/>
        <v>81292</v>
      </c>
      <c r="M48" s="24"/>
      <c r="N48" s="24"/>
      <c r="O48" s="23">
        <f t="shared" ref="O48:V48" si="11">O46+O47</f>
        <v>69961</v>
      </c>
      <c r="P48" s="23">
        <f t="shared" si="11"/>
        <v>65651</v>
      </c>
      <c r="Q48" s="23">
        <f t="shared" si="11"/>
        <v>69789</v>
      </c>
      <c r="R48" s="23">
        <f t="shared" si="11"/>
        <v>69586</v>
      </c>
      <c r="S48" s="23">
        <f t="shared" si="11"/>
        <v>73277</v>
      </c>
      <c r="T48" s="23">
        <f t="shared" si="11"/>
        <v>79872</v>
      </c>
      <c r="U48" s="23">
        <f t="shared" si="11"/>
        <v>87691</v>
      </c>
      <c r="V48" s="23">
        <f t="shared" si="11"/>
        <v>99690</v>
      </c>
    </row>
    <row r="49" spans="1:22">
      <c r="A49" s="6" t="s">
        <v>215</v>
      </c>
      <c r="C49" s="27">
        <f t="shared" ref="C49:L49" si="12">C26-C39-C42-C48</f>
        <v>0</v>
      </c>
      <c r="D49" s="27">
        <f t="shared" si="12"/>
        <v>0</v>
      </c>
      <c r="E49" s="27">
        <f t="shared" si="12"/>
        <v>0</v>
      </c>
      <c r="F49" s="27">
        <f t="shared" si="12"/>
        <v>0</v>
      </c>
      <c r="G49" s="27">
        <f t="shared" si="12"/>
        <v>0</v>
      </c>
      <c r="H49" s="27">
        <f t="shared" si="12"/>
        <v>0</v>
      </c>
      <c r="I49" s="27">
        <f t="shared" si="12"/>
        <v>0</v>
      </c>
      <c r="J49" s="27">
        <f t="shared" si="12"/>
        <v>0</v>
      </c>
      <c r="K49" s="27">
        <f t="shared" si="12"/>
        <v>0</v>
      </c>
      <c r="L49" s="27">
        <f t="shared" si="12"/>
        <v>0</v>
      </c>
      <c r="M49" s="13"/>
      <c r="N49" s="13"/>
      <c r="O49" s="27">
        <f t="shared" ref="O49:V49" si="13">O26-O39-O42-O48</f>
        <v>0</v>
      </c>
      <c r="P49" s="27">
        <f t="shared" si="13"/>
        <v>0</v>
      </c>
      <c r="Q49" s="27">
        <f t="shared" si="13"/>
        <v>0</v>
      </c>
      <c r="R49" s="27">
        <f t="shared" si="13"/>
        <v>0</v>
      </c>
      <c r="S49" s="27">
        <f t="shared" si="13"/>
        <v>0</v>
      </c>
      <c r="T49" s="27">
        <f t="shared" si="13"/>
        <v>0</v>
      </c>
      <c r="U49" s="27">
        <f t="shared" si="13"/>
        <v>0</v>
      </c>
      <c r="V49" s="27">
        <f t="shared" si="13"/>
        <v>0</v>
      </c>
    </row>
    <row r="50" spans="1:22" ht="8" customHeight="1">
      <c r="M50" s="13"/>
      <c r="N50" s="13"/>
    </row>
    <row r="51" spans="1:22" ht="20" customHeight="1">
      <c r="A51" s="5" t="s">
        <v>216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3"/>
      <c r="O51" s="2"/>
      <c r="P51" s="2"/>
      <c r="Q51" s="2"/>
      <c r="R51" s="2"/>
      <c r="S51" s="2"/>
      <c r="T51" s="2"/>
      <c r="U51" s="2"/>
      <c r="V51" s="2"/>
    </row>
    <row r="52" spans="1:22">
      <c r="A52" s="17" t="s">
        <v>217</v>
      </c>
      <c r="C52" s="28">
        <f>C16/'Income Statement'!C14*365</f>
        <v>60.125755287009063</v>
      </c>
      <c r="D52" s="28">
        <f>D16/'Income Statement'!D14*365</f>
        <v>50.664549784531637</v>
      </c>
      <c r="E52" s="28">
        <f>E16/'Income Statement'!E14*365</f>
        <v>58.213018035303143</v>
      </c>
      <c r="F52" s="28">
        <f>F16/'Income Statement'!F14*365</f>
        <v>52.641279815904767</v>
      </c>
      <c r="G52" s="28">
        <f>G16/'Income Statement'!G14*365</f>
        <v>35.097329202947087</v>
      </c>
      <c r="H52" s="28">
        <f>H16/'Income Statement'!H14*365</f>
        <v>27.537887067395264</v>
      </c>
      <c r="I52" s="28">
        <f>I16/'Income Statement'!I14*365</f>
        <v>32.517242417853808</v>
      </c>
      <c r="J52" s="28">
        <f>J16/'Income Statement'!J14*365</f>
        <v>32.139646556296938</v>
      </c>
      <c r="K52" s="28">
        <f>K16/'Income Statement'!K14*365</f>
        <v>31.252956916275643</v>
      </c>
      <c r="L52" s="28">
        <f>L16/'Income Statement'!L14*365</f>
        <v>40.820902531031351</v>
      </c>
      <c r="M52" s="13"/>
      <c r="N52" s="13"/>
      <c r="O52" s="28">
        <f>O16/'Income Statement'!O14*91</f>
        <v>40.081684952350443</v>
      </c>
      <c r="P52" s="28">
        <f>P16/'Income Statement'!P14*91</f>
        <v>32.475137698898408</v>
      </c>
      <c r="Q52" s="28">
        <f>Q16/'Income Statement'!Q14*91</f>
        <v>30.229619200858139</v>
      </c>
      <c r="R52" s="28">
        <f>R16/'Income Statement'!R14*91</f>
        <v>33.739869368168492</v>
      </c>
      <c r="S52" s="28">
        <f>S16/'Income Statement'!S14*91</f>
        <v>37.045762286860587</v>
      </c>
      <c r="T52" s="28">
        <f>T16/'Income Statement'!T14*91</f>
        <v>39.866397390088551</v>
      </c>
      <c r="U52" s="28">
        <f>U16/'Income Statement'!U14*91</f>
        <v>44.419254518411684</v>
      </c>
      <c r="V52" s="28">
        <f>V16/'Income Statement'!V14*91</f>
        <v>42.152580176404989</v>
      </c>
    </row>
    <row r="53" spans="1:22">
      <c r="A53" s="17" t="s">
        <v>218</v>
      </c>
      <c r="C53" s="28">
        <f>C17/'Income Statement'!C26*365</f>
        <v>70</v>
      </c>
      <c r="D53" s="28">
        <f>D17/'Income Statement'!D26*365</f>
        <v>57.867316752492599</v>
      </c>
      <c r="E53" s="28">
        <f>E17/'Income Statement'!E26*365</f>
        <v>40.559565002471579</v>
      </c>
      <c r="F53" s="28">
        <f>F17/'Income Statement'!F26*365</f>
        <v>31.541427723947006</v>
      </c>
      <c r="G53" s="28">
        <f>G17/'Income Statement'!G26*365</f>
        <v>35.296471268800616</v>
      </c>
      <c r="H53" s="28">
        <f>H17/'Income Statement'!H26*365</f>
        <v>44.635583631906471</v>
      </c>
      <c r="I53" s="28">
        <f>I17/'Income Statement'!I26*365</f>
        <v>63.253961109110548</v>
      </c>
      <c r="J53" s="28">
        <f>J17/'Income Statement'!J26*365</f>
        <v>62.249078982837631</v>
      </c>
      <c r="K53" s="28">
        <f>K17/'Income Statement'!K26*365</f>
        <v>33.695253081563074</v>
      </c>
      <c r="L53" s="28">
        <f>L17/'Income Statement'!L26*365</f>
        <v>40.234545719419216</v>
      </c>
      <c r="M53" s="13"/>
      <c r="N53" s="13"/>
      <c r="O53" s="28">
        <f>O17/'Income Statement'!O26*91</f>
        <v>35.580980683506688</v>
      </c>
      <c r="P53" s="28">
        <f>P17/'Income Statement'!P26*91</f>
        <v>36.54664970313825</v>
      </c>
      <c r="Q53" s="28">
        <f>Q17/'Income Statement'!Q26*91</f>
        <v>36.392370572207085</v>
      </c>
      <c r="R53" s="28">
        <f>R17/'Income Statement'!R26*91</f>
        <v>38.183274391512377</v>
      </c>
      <c r="S53" s="28">
        <f>S17/'Income Statement'!S26*91</f>
        <v>37.793865498190137</v>
      </c>
      <c r="T53" s="28">
        <f>T17/'Income Statement'!T26*91</f>
        <v>43.799480012999673</v>
      </c>
      <c r="U53" s="28">
        <f>U17/'Income Statement'!U26*91</f>
        <v>58.158298877731838</v>
      </c>
      <c r="V53" s="28">
        <f>V17/'Income Statement'!V26*91</f>
        <v>45.056704980842916</v>
      </c>
    </row>
    <row r="54" spans="1:22">
      <c r="A54" s="17" t="s">
        <v>219</v>
      </c>
      <c r="C54" s="28">
        <f>C29/'Income Statement'!C26*365</f>
        <v>63.05</v>
      </c>
      <c r="D54" s="28">
        <f>D29/'Income Statement'!D26*365</f>
        <v>44.190314451627039</v>
      </c>
      <c r="E54" s="28">
        <f>E29/'Income Statement'!E26*365</f>
        <v>29.264953040039543</v>
      </c>
      <c r="F54" s="28">
        <f>F29/'Income Statement'!F26*365</f>
        <v>30.855744512556853</v>
      </c>
      <c r="G54" s="28">
        <f>G29/'Income Statement'!G26*365</f>
        <v>29.41959120709603</v>
      </c>
      <c r="H54" s="28">
        <f>H29/'Income Statement'!H26*365</f>
        <v>37.374127852159155</v>
      </c>
      <c r="I54" s="28">
        <f>I29/'Income Statement'!I26*365</f>
        <v>32.793482175009004</v>
      </c>
      <c r="J54" s="28">
        <f>J29/'Income Statement'!J26*365</f>
        <v>39.684607781471833</v>
      </c>
      <c r="K54" s="28">
        <f>K29/'Income Statement'!K26*365</f>
        <v>31.819040125885127</v>
      </c>
      <c r="L54" s="28">
        <f>L29/'Income Statement'!L26*365</f>
        <v>27.650172388675763</v>
      </c>
      <c r="M54" s="13"/>
      <c r="N54" s="13"/>
      <c r="O54" s="28">
        <f>O29/'Income Statement'!O26*91</f>
        <v>27.835066864784547</v>
      </c>
      <c r="P54" s="28">
        <f>P29/'Income Statement'!P26*91</f>
        <v>33.903095843935539</v>
      </c>
      <c r="Q54" s="28">
        <f>Q29/'Income Statement'!Q26*91</f>
        <v>36.335149863760215</v>
      </c>
      <c r="R54" s="28">
        <f>R29/'Income Statement'!R26*91</f>
        <v>24.55315165383815</v>
      </c>
      <c r="S54" s="28">
        <f>S29/'Income Statement'!S26*91</f>
        <v>24.826062107068012</v>
      </c>
      <c r="T54" s="28">
        <f>T29/'Income Statement'!T26*91</f>
        <v>31.230419239519009</v>
      </c>
      <c r="U54" s="28">
        <f>U29/'Income Statement'!U26*91</f>
        <v>31.403868871825164</v>
      </c>
      <c r="V54" s="28">
        <f>V29/'Income Statement'!V26*91</f>
        <v>39.846743295019152</v>
      </c>
    </row>
    <row r="55" spans="1:22">
      <c r="A55" s="17" t="s">
        <v>220</v>
      </c>
      <c r="C55" s="28">
        <f t="shared" ref="C55:L55" si="14">C52+C53-C54</f>
        <v>67.075755287009073</v>
      </c>
      <c r="D55" s="28">
        <f t="shared" si="14"/>
        <v>64.341552085397183</v>
      </c>
      <c r="E55" s="28">
        <f t="shared" si="14"/>
        <v>69.507629997735179</v>
      </c>
      <c r="F55" s="28">
        <f t="shared" si="14"/>
        <v>53.326963027294923</v>
      </c>
      <c r="G55" s="28">
        <f t="shared" si="14"/>
        <v>40.974209264651677</v>
      </c>
      <c r="H55" s="28">
        <f t="shared" si="14"/>
        <v>34.799342847142576</v>
      </c>
      <c r="I55" s="28">
        <f t="shared" si="14"/>
        <v>62.977721351955353</v>
      </c>
      <c r="J55" s="28">
        <f t="shared" si="14"/>
        <v>54.704117757662736</v>
      </c>
      <c r="K55" s="28">
        <f t="shared" si="14"/>
        <v>33.129169871953593</v>
      </c>
      <c r="L55" s="28">
        <f t="shared" si="14"/>
        <v>53.405275861774804</v>
      </c>
      <c r="M55" s="13"/>
      <c r="N55" s="13"/>
      <c r="O55" s="28">
        <f t="shared" ref="O55:V55" si="15">O52+O53-O54</f>
        <v>47.827598771072587</v>
      </c>
      <c r="P55" s="28">
        <f t="shared" si="15"/>
        <v>35.118691558101126</v>
      </c>
      <c r="Q55" s="28">
        <f t="shared" si="15"/>
        <v>30.286839909305009</v>
      </c>
      <c r="R55" s="28">
        <f t="shared" si="15"/>
        <v>47.369992105842719</v>
      </c>
      <c r="S55" s="28">
        <f t="shared" si="15"/>
        <v>50.013565677982712</v>
      </c>
      <c r="T55" s="28">
        <f t="shared" si="15"/>
        <v>52.435458163569209</v>
      </c>
      <c r="U55" s="28">
        <f t="shared" si="15"/>
        <v>71.173684524318347</v>
      </c>
      <c r="V55" s="28">
        <f t="shared" si="15"/>
        <v>47.362541862228753</v>
      </c>
    </row>
    <row r="56" spans="1:22">
      <c r="M56" s="13"/>
      <c r="N56" s="13"/>
    </row>
  </sheetData>
  <phoneticPr fontId="14" type="noConversion"/>
  <conditionalFormatting sqref="C49:V49">
    <cfRule type="cellIs" dxfId="9" priority="1" operator="notBetween">
      <formula>-0.5</formula>
      <formula>0.5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V73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J50" sqref="J50"/>
    </sheetView>
  </sheetViews>
  <sheetFormatPr baseColWidth="10" defaultColWidth="8.83203125" defaultRowHeight="14" outlineLevelCol="1"/>
  <cols>
    <col min="1" max="1" width="46" customWidth="1"/>
    <col min="2" max="2" width="34" hidden="1" customWidth="1" outlineLevel="1"/>
    <col min="3" max="3" width="12" customWidth="1" collapsed="1"/>
    <col min="4" max="12" width="12" customWidth="1"/>
    <col min="13" max="14" width="9" customWidth="1"/>
    <col min="15" max="22" width="12" customWidth="1"/>
  </cols>
  <sheetData>
    <row r="1" spans="1:22" ht="28" customHeight="1">
      <c r="A1" s="1" t="s">
        <v>221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6" customHeight="1">
      <c r="A2" s="3" t="s">
        <v>1</v>
      </c>
    </row>
    <row r="3" spans="1:22"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1" t="s">
        <v>12</v>
      </c>
      <c r="N3" s="11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0" t="s">
        <v>20</v>
      </c>
    </row>
    <row r="4" spans="1:22">
      <c r="C4" s="12" t="s">
        <v>21</v>
      </c>
      <c r="D4" s="12" t="s">
        <v>22</v>
      </c>
      <c r="E4" s="12" t="s">
        <v>23</v>
      </c>
      <c r="F4" s="12" t="s">
        <v>24</v>
      </c>
      <c r="G4" s="12" t="s">
        <v>25</v>
      </c>
      <c r="H4" s="12" t="s">
        <v>26</v>
      </c>
      <c r="I4" s="12" t="s">
        <v>27</v>
      </c>
      <c r="J4" s="12" t="s">
        <v>28</v>
      </c>
      <c r="K4" s="12" t="s">
        <v>29</v>
      </c>
      <c r="L4" s="12" t="s">
        <v>30</v>
      </c>
      <c r="M4" s="13"/>
      <c r="N4" s="13"/>
      <c r="O4" s="12" t="s">
        <v>31</v>
      </c>
      <c r="P4" s="12" t="s">
        <v>32</v>
      </c>
      <c r="Q4" s="12" t="s">
        <v>33</v>
      </c>
      <c r="R4" s="12" t="s">
        <v>34</v>
      </c>
      <c r="S4" s="12" t="s">
        <v>35</v>
      </c>
      <c r="T4" s="12" t="s">
        <v>36</v>
      </c>
      <c r="U4" s="12" t="s">
        <v>37</v>
      </c>
      <c r="V4" s="12" t="s">
        <v>38</v>
      </c>
    </row>
    <row r="5" spans="1:22">
      <c r="M5" s="13"/>
      <c r="N5" s="13"/>
    </row>
    <row r="6" spans="1:22">
      <c r="A6" s="14" t="s">
        <v>39</v>
      </c>
      <c r="M6" s="13"/>
      <c r="N6" s="13"/>
    </row>
    <row r="7" spans="1:22">
      <c r="A7" s="15" t="str">
        <f>HYPERLINK("#'Cash Flow Statement'!A13","1. OPERATING ACTIVITIES")</f>
        <v>1. OPERATING ACTIVITIES</v>
      </c>
      <c r="M7" s="13"/>
      <c r="N7" s="13"/>
    </row>
    <row r="8" spans="1:22">
      <c r="A8" s="15" t="str">
        <f>HYPERLINK("#'Cash Flow Statement'!A35","2. INVESTING ACTIVITIES")</f>
        <v>2. INVESTING ACTIVITIES</v>
      </c>
      <c r="M8" s="13"/>
      <c r="N8" s="13"/>
    </row>
    <row r="9" spans="1:22">
      <c r="A9" s="15" t="str">
        <f>HYPERLINK("#'Cash Flow Statement'!A45","3. FINANCING ACTIVITIES")</f>
        <v>3. FINANCING ACTIVITIES</v>
      </c>
      <c r="M9" s="13"/>
      <c r="N9" s="13"/>
    </row>
    <row r="10" spans="1:22">
      <c r="A10" s="15" t="str">
        <f>HYPERLINK("#'Cash Flow Statement'!A61","4. NET CHANGE IN CASH")</f>
        <v>4. NET CHANGE IN CASH</v>
      </c>
      <c r="M10" s="13"/>
      <c r="N10" s="13"/>
    </row>
    <row r="11" spans="1:22">
      <c r="A11" s="15" t="str">
        <f>HYPERLINK("#'Cash Flow Statement'!A67","5. FREE CASH FLOW ANALYTICS")</f>
        <v>5. FREE CASH FLOW ANALYTICS</v>
      </c>
      <c r="M11" s="13"/>
      <c r="N11" s="13"/>
    </row>
    <row r="12" spans="1:22" ht="8" customHeight="1">
      <c r="M12" s="13"/>
      <c r="N12" s="13"/>
    </row>
    <row r="13" spans="1:22" ht="20" customHeight="1">
      <c r="A13" s="5" t="s">
        <v>222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3"/>
      <c r="N13" s="13"/>
      <c r="O13" s="2"/>
      <c r="P13" s="2"/>
      <c r="Q13" s="2"/>
      <c r="R13" s="2"/>
      <c r="S13" s="2"/>
      <c r="T13" s="2"/>
      <c r="U13" s="2"/>
      <c r="V13" s="2"/>
    </row>
    <row r="14" spans="1:22" ht="14" customHeight="1">
      <c r="A14" s="6" t="s">
        <v>166</v>
      </c>
      <c r="B14" s="20" t="s">
        <v>223</v>
      </c>
      <c r="C14" s="21">
        <v>-1861</v>
      </c>
      <c r="D14" s="21">
        <v>1784</v>
      </c>
      <c r="E14" s="21">
        <v>12610</v>
      </c>
      <c r="F14" s="21">
        <v>2724</v>
      </c>
      <c r="G14" s="21">
        <v>2960</v>
      </c>
      <c r="H14" s="21">
        <v>6736</v>
      </c>
      <c r="I14" s="21">
        <v>11495</v>
      </c>
      <c r="J14" s="21">
        <v>14082</v>
      </c>
      <c r="K14" s="21">
        <v>5895</v>
      </c>
      <c r="L14" s="21">
        <v>23126</v>
      </c>
      <c r="M14" s="13"/>
      <c r="N14" s="13"/>
      <c r="O14" s="21">
        <v>3446</v>
      </c>
      <c r="P14" s="21">
        <v>1571</v>
      </c>
      <c r="Q14" s="21">
        <v>5503</v>
      </c>
      <c r="R14" s="21">
        <v>10468</v>
      </c>
      <c r="S14" s="21">
        <v>14608</v>
      </c>
      <c r="T14" s="21">
        <v>7349</v>
      </c>
      <c r="U14" s="21">
        <v>16659</v>
      </c>
      <c r="V14" s="21">
        <v>29747</v>
      </c>
    </row>
    <row r="15" spans="1:22">
      <c r="A15" s="17" t="s">
        <v>224</v>
      </c>
      <c r="C15" s="22">
        <f>C14-'Income Statement'!C50</f>
        <v>0</v>
      </c>
      <c r="D15" s="22">
        <f>D14-'Income Statement'!D50</f>
        <v>0</v>
      </c>
      <c r="E15" s="22">
        <f>E14-'Income Statement'!E50</f>
        <v>0</v>
      </c>
      <c r="F15" s="22">
        <f>F14-'Income Statement'!F50</f>
        <v>0</v>
      </c>
      <c r="G15" s="22">
        <f>G14-'Income Statement'!G50</f>
        <v>0</v>
      </c>
      <c r="H15" s="22">
        <f>H14-'Income Statement'!H50</f>
        <v>0</v>
      </c>
      <c r="I15" s="22">
        <f>I14-'Income Statement'!I50</f>
        <v>0</v>
      </c>
      <c r="J15" s="22">
        <f>J14-'Income Statement'!J50</f>
        <v>0</v>
      </c>
      <c r="K15" s="22">
        <f>K14-'Income Statement'!K50</f>
        <v>0</v>
      </c>
      <c r="L15" s="22">
        <f>L14-'Income Statement'!L50</f>
        <v>0</v>
      </c>
      <c r="M15" s="13"/>
      <c r="N15" s="13"/>
    </row>
    <row r="16" spans="1:22" ht="24" customHeight="1">
      <c r="A16" s="6" t="s">
        <v>225</v>
      </c>
      <c r="B16" s="20" t="s">
        <v>226</v>
      </c>
      <c r="C16" s="21">
        <v>3042</v>
      </c>
      <c r="D16" s="21">
        <v>4737</v>
      </c>
      <c r="E16" s="21">
        <v>3566</v>
      </c>
      <c r="F16" s="21">
        <v>5239</v>
      </c>
      <c r="G16" s="21">
        <v>6335</v>
      </c>
      <c r="H16" s="21">
        <v>5502</v>
      </c>
      <c r="I16" s="21">
        <v>4455</v>
      </c>
      <c r="J16" s="21">
        <v>3333</v>
      </c>
      <c r="K16" s="21">
        <v>9417</v>
      </c>
      <c r="L16" s="21">
        <v>8201</v>
      </c>
      <c r="M16" s="13"/>
      <c r="N16" s="13"/>
      <c r="O16" s="21">
        <v>4587</v>
      </c>
      <c r="P16" s="21">
        <v>6962</v>
      </c>
      <c r="Q16" s="21">
        <v>2032</v>
      </c>
      <c r="R16" s="21">
        <v>4056</v>
      </c>
      <c r="S16" s="21">
        <v>6116</v>
      </c>
      <c r="T16" s="21">
        <v>2003</v>
      </c>
      <c r="U16" s="21">
        <v>4005</v>
      </c>
      <c r="V16" s="21">
        <v>6047</v>
      </c>
    </row>
    <row r="17" spans="1:22">
      <c r="A17" s="6" t="s">
        <v>227</v>
      </c>
      <c r="E17" s="21">
        <v>515</v>
      </c>
      <c r="F17" s="21">
        <v>569</v>
      </c>
      <c r="G17" s="21">
        <v>570</v>
      </c>
      <c r="H17" s="21">
        <v>539</v>
      </c>
      <c r="I17" s="21">
        <v>529</v>
      </c>
      <c r="J17" s="21">
        <v>502</v>
      </c>
      <c r="K17" s="21">
        <v>593</v>
      </c>
      <c r="L17" s="21">
        <v>574</v>
      </c>
      <c r="M17" s="13"/>
      <c r="N17" s="13"/>
      <c r="O17" s="21">
        <v>288</v>
      </c>
      <c r="P17" s="21">
        <v>437</v>
      </c>
      <c r="Q17" s="21">
        <v>142</v>
      </c>
      <c r="R17" s="21">
        <v>284</v>
      </c>
      <c r="S17" s="21">
        <v>426</v>
      </c>
      <c r="T17" s="21">
        <v>150</v>
      </c>
      <c r="U17" s="21">
        <v>313</v>
      </c>
      <c r="V17" s="21">
        <v>484</v>
      </c>
    </row>
    <row r="18" spans="1:22">
      <c r="A18" s="6" t="s">
        <v>228</v>
      </c>
      <c r="C18" s="21">
        <v>679</v>
      </c>
      <c r="D18" s="21">
        <v>921</v>
      </c>
      <c r="E18" s="21">
        <v>1227</v>
      </c>
      <c r="F18" s="21">
        <v>2185</v>
      </c>
      <c r="G18" s="21">
        <v>1976</v>
      </c>
      <c r="H18" s="21">
        <v>1704</v>
      </c>
      <c r="I18" s="21">
        <v>1533</v>
      </c>
      <c r="J18" s="21">
        <v>2171</v>
      </c>
      <c r="K18" s="21">
        <v>5741</v>
      </c>
      <c r="L18" s="21">
        <v>7568</v>
      </c>
      <c r="M18" s="13"/>
      <c r="N18" s="13"/>
      <c r="O18" s="21">
        <v>3039</v>
      </c>
      <c r="P18" s="21">
        <v>4427</v>
      </c>
      <c r="Q18" s="21">
        <v>1280</v>
      </c>
      <c r="R18" s="21">
        <v>3051</v>
      </c>
      <c r="S18" s="21">
        <v>5373</v>
      </c>
      <c r="T18" s="21">
        <v>2176</v>
      </c>
      <c r="U18" s="21">
        <v>4268</v>
      </c>
      <c r="V18" s="21">
        <v>6287</v>
      </c>
    </row>
    <row r="19" spans="1:22">
      <c r="A19" s="6" t="s">
        <v>229</v>
      </c>
      <c r="C19" s="21">
        <v>-89</v>
      </c>
      <c r="M19" s="13"/>
      <c r="N19" s="13"/>
    </row>
    <row r="20" spans="1:22">
      <c r="A20" s="6" t="s">
        <v>230</v>
      </c>
      <c r="C20" s="21">
        <v>365</v>
      </c>
      <c r="D20" s="21">
        <v>-173</v>
      </c>
      <c r="E20" s="21">
        <v>-8270</v>
      </c>
      <c r="F20" s="21">
        <v>-934</v>
      </c>
      <c r="G20" s="21">
        <v>-1142</v>
      </c>
      <c r="H20" s="21">
        <v>-809</v>
      </c>
      <c r="I20" s="21">
        <v>-34</v>
      </c>
      <c r="J20" s="21">
        <v>-501</v>
      </c>
      <c r="K20" s="21">
        <v>1965</v>
      </c>
      <c r="L20" s="21">
        <v>-4008</v>
      </c>
      <c r="M20" s="13"/>
      <c r="N20" s="13"/>
      <c r="O20" s="21">
        <v>-805</v>
      </c>
      <c r="P20" s="21">
        <v>2833</v>
      </c>
      <c r="Q20" s="21">
        <v>-696</v>
      </c>
      <c r="R20" s="21">
        <v>-1267</v>
      </c>
      <c r="S20" s="21">
        <v>-983</v>
      </c>
      <c r="T20" s="21">
        <v>-455</v>
      </c>
      <c r="U20" s="21">
        <v>-1058</v>
      </c>
      <c r="V20" s="21">
        <v>-1051</v>
      </c>
    </row>
    <row r="21" spans="1:22">
      <c r="A21" s="6" t="s">
        <v>159</v>
      </c>
      <c r="E21" s="21">
        <v>106</v>
      </c>
      <c r="M21" s="13"/>
      <c r="N21" s="13"/>
    </row>
    <row r="22" spans="1:22">
      <c r="A22" s="6" t="s">
        <v>231</v>
      </c>
      <c r="C22" s="21">
        <v>100</v>
      </c>
      <c r="D22" s="21">
        <v>166</v>
      </c>
      <c r="G22" s="21">
        <v>169</v>
      </c>
      <c r="H22" s="21">
        <v>198</v>
      </c>
      <c r="I22" s="21">
        <v>100</v>
      </c>
      <c r="K22" s="21">
        <v>157</v>
      </c>
      <c r="L22" s="21">
        <v>138</v>
      </c>
      <c r="M22" s="13"/>
      <c r="N22" s="13"/>
      <c r="P22" s="21">
        <v>105</v>
      </c>
      <c r="Q22" s="21">
        <v>65</v>
      </c>
      <c r="R22" s="21">
        <v>65</v>
      </c>
      <c r="S22" s="21">
        <v>118</v>
      </c>
      <c r="T22" s="21">
        <v>55</v>
      </c>
      <c r="U22" s="21">
        <v>86</v>
      </c>
      <c r="V22" s="21">
        <v>161</v>
      </c>
    </row>
    <row r="23" spans="1:22">
      <c r="A23" s="6" t="s">
        <v>232</v>
      </c>
      <c r="C23" s="21">
        <v>662</v>
      </c>
      <c r="D23" s="21">
        <v>71</v>
      </c>
      <c r="E23" s="21">
        <v>21</v>
      </c>
      <c r="F23" s="21">
        <v>133</v>
      </c>
      <c r="G23" s="21">
        <v>44</v>
      </c>
      <c r="H23" s="21">
        <v>38</v>
      </c>
      <c r="I23" s="21">
        <v>13</v>
      </c>
      <c r="M23" s="13"/>
      <c r="N23" s="13"/>
    </row>
    <row r="24" spans="1:22">
      <c r="A24" s="6" t="s">
        <v>233</v>
      </c>
      <c r="C24" s="21">
        <v>36</v>
      </c>
      <c r="D24" s="21">
        <v>24</v>
      </c>
      <c r="E24" s="21">
        <v>24</v>
      </c>
      <c r="F24" s="21">
        <v>90</v>
      </c>
      <c r="G24" s="21">
        <v>108</v>
      </c>
      <c r="H24" s="21">
        <v>96</v>
      </c>
      <c r="I24" s="21">
        <v>129</v>
      </c>
      <c r="J24" s="21">
        <v>132</v>
      </c>
      <c r="K24" s="21">
        <v>427</v>
      </c>
      <c r="L24" s="21">
        <v>344</v>
      </c>
      <c r="M24" s="13"/>
      <c r="N24" s="13"/>
      <c r="O24" s="21">
        <v>221</v>
      </c>
      <c r="P24" s="21">
        <v>336</v>
      </c>
      <c r="Q24" s="21">
        <v>97</v>
      </c>
      <c r="R24" s="21">
        <v>191</v>
      </c>
      <c r="S24" s="21">
        <v>273</v>
      </c>
      <c r="T24" s="21">
        <v>72</v>
      </c>
      <c r="U24" s="21">
        <v>139</v>
      </c>
      <c r="V24" s="21">
        <v>204</v>
      </c>
    </row>
    <row r="25" spans="1:22">
      <c r="A25" s="6" t="s">
        <v>66</v>
      </c>
      <c r="C25" s="21">
        <v>-6</v>
      </c>
      <c r="D25" s="21">
        <v>7</v>
      </c>
      <c r="E25" s="21">
        <v>37</v>
      </c>
      <c r="F25" s="21">
        <v>-125</v>
      </c>
      <c r="G25" s="21">
        <v>-52</v>
      </c>
      <c r="H25" s="21">
        <v>-113</v>
      </c>
      <c r="I25" s="21">
        <v>170</v>
      </c>
      <c r="J25" s="21">
        <v>9</v>
      </c>
      <c r="K25" s="21">
        <v>404</v>
      </c>
      <c r="L25" s="21">
        <v>94</v>
      </c>
      <c r="M25" s="13"/>
      <c r="N25" s="13"/>
      <c r="O25" s="21">
        <v>130</v>
      </c>
      <c r="P25" s="21">
        <v>266</v>
      </c>
      <c r="Q25" s="21">
        <v>41</v>
      </c>
      <c r="R25" s="21">
        <v>81</v>
      </c>
      <c r="S25" s="21">
        <v>58</v>
      </c>
      <c r="T25" s="21">
        <v>15</v>
      </c>
      <c r="U25" s="21">
        <v>18</v>
      </c>
      <c r="V25" s="21">
        <v>31</v>
      </c>
    </row>
    <row r="26" spans="1:22">
      <c r="A26" s="6" t="s">
        <v>234</v>
      </c>
      <c r="C26" s="21">
        <v>-491</v>
      </c>
      <c r="D26" s="21">
        <v>-267</v>
      </c>
      <c r="E26" s="21">
        <v>-652</v>
      </c>
      <c r="F26" s="21">
        <v>486</v>
      </c>
      <c r="G26" s="21">
        <v>981</v>
      </c>
      <c r="H26" s="21">
        <v>210</v>
      </c>
      <c r="I26" s="21">
        <v>-870</v>
      </c>
      <c r="J26" s="21">
        <v>-187</v>
      </c>
      <c r="K26" s="21">
        <v>2327</v>
      </c>
      <c r="L26" s="21">
        <v>-2717</v>
      </c>
      <c r="M26" s="13"/>
      <c r="N26" s="13"/>
      <c r="O26" s="21">
        <v>1243</v>
      </c>
      <c r="P26" s="21">
        <v>2078</v>
      </c>
      <c r="Q26" s="21">
        <v>-539</v>
      </c>
      <c r="R26" s="21">
        <v>-1129</v>
      </c>
      <c r="S26" s="21">
        <v>-2066</v>
      </c>
      <c r="T26" s="21">
        <v>-1315</v>
      </c>
      <c r="U26" s="21">
        <v>-3685</v>
      </c>
      <c r="V26" s="21">
        <v>-6544</v>
      </c>
    </row>
    <row r="27" spans="1:22">
      <c r="A27" s="6" t="s">
        <v>235</v>
      </c>
      <c r="C27" s="21">
        <v>996</v>
      </c>
      <c r="D27" s="21">
        <v>-39</v>
      </c>
      <c r="E27" s="21">
        <v>417</v>
      </c>
      <c r="F27" s="21">
        <v>250</v>
      </c>
      <c r="G27" s="21">
        <v>-31</v>
      </c>
      <c r="H27" s="21">
        <v>-294</v>
      </c>
      <c r="I27" s="21">
        <v>-627</v>
      </c>
      <c r="J27" s="21">
        <v>27</v>
      </c>
      <c r="K27" s="21">
        <v>150</v>
      </c>
      <c r="L27" s="21">
        <v>-510</v>
      </c>
      <c r="M27" s="13"/>
      <c r="N27" s="13"/>
      <c r="O27" s="21">
        <v>68</v>
      </c>
      <c r="P27" s="21">
        <v>16</v>
      </c>
      <c r="Q27" s="21">
        <v>-148</v>
      </c>
      <c r="R27" s="21">
        <v>-257</v>
      </c>
      <c r="S27" s="21">
        <v>-420</v>
      </c>
      <c r="T27" s="21">
        <v>-692</v>
      </c>
      <c r="U27" s="21">
        <v>-2058</v>
      </c>
      <c r="V27" s="21">
        <v>-2253</v>
      </c>
    </row>
    <row r="28" spans="1:22">
      <c r="A28" s="6" t="s">
        <v>236</v>
      </c>
      <c r="C28" s="21">
        <v>33</v>
      </c>
      <c r="D28" s="21">
        <v>-97</v>
      </c>
      <c r="E28" s="21">
        <v>-325</v>
      </c>
      <c r="F28" s="21">
        <v>-42</v>
      </c>
      <c r="G28" s="21">
        <v>-3</v>
      </c>
      <c r="H28" s="21">
        <v>243</v>
      </c>
      <c r="I28" s="21">
        <v>-79</v>
      </c>
      <c r="J28" s="21">
        <v>209</v>
      </c>
      <c r="K28" s="21">
        <v>121</v>
      </c>
      <c r="L28" s="21">
        <v>-118</v>
      </c>
      <c r="M28" s="13"/>
      <c r="N28" s="13"/>
      <c r="O28" s="21">
        <v>-167</v>
      </c>
      <c r="P28" s="21">
        <v>206</v>
      </c>
      <c r="Q28" s="21">
        <v>241</v>
      </c>
      <c r="R28" s="21">
        <v>-372</v>
      </c>
      <c r="S28" s="21">
        <v>-236</v>
      </c>
      <c r="T28" s="21">
        <v>534</v>
      </c>
      <c r="U28" s="21">
        <v>683</v>
      </c>
      <c r="V28" s="21">
        <v>2313</v>
      </c>
    </row>
    <row r="29" spans="1:22">
      <c r="A29" s="6" t="s">
        <v>237</v>
      </c>
      <c r="C29" s="21">
        <v>163</v>
      </c>
      <c r="D29" s="21">
        <v>109</v>
      </c>
      <c r="E29" s="21">
        <v>6</v>
      </c>
      <c r="F29" s="21">
        <v>-294</v>
      </c>
      <c r="G29" s="21">
        <v>217</v>
      </c>
      <c r="H29" s="21">
        <v>186</v>
      </c>
      <c r="I29" s="21">
        <v>136</v>
      </c>
      <c r="J29" s="21">
        <v>-279</v>
      </c>
      <c r="K29" s="21">
        <v>78</v>
      </c>
      <c r="L29" s="21">
        <v>300</v>
      </c>
      <c r="M29" s="13"/>
      <c r="N29" s="13"/>
      <c r="O29" s="21">
        <v>-409</v>
      </c>
      <c r="P29" s="21">
        <v>-118</v>
      </c>
      <c r="Q29" s="21">
        <v>-908</v>
      </c>
      <c r="R29" s="21">
        <v>-621</v>
      </c>
      <c r="S29" s="21">
        <v>-110</v>
      </c>
      <c r="T29" s="21">
        <v>-1261</v>
      </c>
      <c r="U29" s="21">
        <v>-991</v>
      </c>
      <c r="V29" s="21">
        <v>-619</v>
      </c>
    </row>
    <row r="30" spans="1:22">
      <c r="A30" s="6" t="s">
        <v>238</v>
      </c>
      <c r="D30" s="21">
        <v>-361</v>
      </c>
      <c r="E30" s="21">
        <v>-130</v>
      </c>
      <c r="M30" s="13"/>
      <c r="N30" s="13"/>
    </row>
    <row r="31" spans="1:22">
      <c r="A31" s="6" t="s">
        <v>239</v>
      </c>
      <c r="C31" s="21">
        <v>-98</v>
      </c>
      <c r="D31" s="21">
        <v>-490</v>
      </c>
      <c r="E31" s="21">
        <v>369</v>
      </c>
      <c r="F31" s="21">
        <v>-283</v>
      </c>
      <c r="G31" s="21">
        <v>331</v>
      </c>
      <c r="H31" s="21">
        <v>-177</v>
      </c>
      <c r="I31" s="21">
        <v>222</v>
      </c>
      <c r="J31" s="21">
        <v>-628</v>
      </c>
      <c r="K31" s="21">
        <v>-5323</v>
      </c>
      <c r="L31" s="21">
        <v>-1837</v>
      </c>
      <c r="M31" s="13"/>
      <c r="N31" s="13"/>
      <c r="O31" s="21">
        <v>-2568</v>
      </c>
      <c r="P31" s="21">
        <v>-3913</v>
      </c>
      <c r="Q31" s="21">
        <v>26</v>
      </c>
      <c r="R31" s="21">
        <v>-29</v>
      </c>
      <c r="S31" s="21">
        <v>-1028</v>
      </c>
      <c r="T31" s="21">
        <v>-692</v>
      </c>
      <c r="U31" s="21">
        <v>-218</v>
      </c>
      <c r="V31" s="21">
        <v>-2893</v>
      </c>
    </row>
    <row r="32" spans="1:22">
      <c r="A32" s="6" t="s">
        <v>240</v>
      </c>
      <c r="C32" s="21">
        <v>-120</v>
      </c>
      <c r="D32" s="21">
        <v>159</v>
      </c>
      <c r="E32" s="21">
        <v>-641</v>
      </c>
      <c r="F32" s="21">
        <v>-301</v>
      </c>
      <c r="G32" s="21">
        <v>-402</v>
      </c>
      <c r="H32" s="21">
        <v>-295</v>
      </c>
      <c r="I32" s="21">
        <v>-436</v>
      </c>
      <c r="J32" s="21">
        <v>-785</v>
      </c>
      <c r="K32" s="21">
        <v>-1990</v>
      </c>
      <c r="L32" s="21">
        <v>-3618</v>
      </c>
      <c r="M32" s="13"/>
      <c r="N32" s="13"/>
      <c r="O32" s="21">
        <v>322</v>
      </c>
      <c r="P32" s="21">
        <v>-848</v>
      </c>
      <c r="Q32" s="21">
        <v>-1023</v>
      </c>
      <c r="R32" s="21">
        <v>-1853</v>
      </c>
      <c r="S32" s="21">
        <v>-2295</v>
      </c>
      <c r="T32" s="21">
        <v>321</v>
      </c>
      <c r="U32" s="21">
        <v>592</v>
      </c>
      <c r="V32" s="21">
        <v>1036</v>
      </c>
    </row>
    <row r="33" spans="1:22">
      <c r="A33" s="14" t="s">
        <v>241</v>
      </c>
      <c r="C33" s="23">
        <f t="shared" ref="C33:L33" si="0">C14+C16+C17+C18+C19+C20+C21+C22+C23+C24+C25+C26+C27+C28+C29+C30+C31+C32</f>
        <v>3411</v>
      </c>
      <c r="D33" s="23">
        <f t="shared" si="0"/>
        <v>6551</v>
      </c>
      <c r="E33" s="23">
        <f t="shared" si="0"/>
        <v>8880</v>
      </c>
      <c r="F33" s="23">
        <f t="shared" si="0"/>
        <v>9697</v>
      </c>
      <c r="G33" s="23">
        <f t="shared" si="0"/>
        <v>12061</v>
      </c>
      <c r="H33" s="23">
        <f t="shared" si="0"/>
        <v>13764</v>
      </c>
      <c r="I33" s="23">
        <f t="shared" si="0"/>
        <v>16736</v>
      </c>
      <c r="J33" s="23">
        <f t="shared" si="0"/>
        <v>18085</v>
      </c>
      <c r="K33" s="23">
        <f t="shared" si="0"/>
        <v>19962</v>
      </c>
      <c r="L33" s="23">
        <f t="shared" si="0"/>
        <v>27537</v>
      </c>
      <c r="M33" s="24"/>
      <c r="N33" s="24"/>
      <c r="O33" s="23">
        <f t="shared" ref="O33:V33" si="1">O14+O16+O17+O18+O19+O20+O21+O22+O23+O24+O25+O26+O27+O28+O29+O30+O31+O32</f>
        <v>9395</v>
      </c>
      <c r="P33" s="23">
        <f t="shared" si="1"/>
        <v>14358</v>
      </c>
      <c r="Q33" s="23">
        <f t="shared" si="1"/>
        <v>6113</v>
      </c>
      <c r="R33" s="23">
        <f t="shared" si="1"/>
        <v>12668</v>
      </c>
      <c r="S33" s="23">
        <f t="shared" si="1"/>
        <v>19834</v>
      </c>
      <c r="T33" s="23">
        <f t="shared" si="1"/>
        <v>8260</v>
      </c>
      <c r="U33" s="23">
        <f t="shared" si="1"/>
        <v>18753</v>
      </c>
      <c r="V33" s="23">
        <f t="shared" si="1"/>
        <v>32950</v>
      </c>
    </row>
    <row r="34" spans="1:22" ht="8" customHeight="1">
      <c r="M34" s="13"/>
      <c r="N34" s="13"/>
    </row>
    <row r="35" spans="1:22" ht="20" customHeight="1">
      <c r="A35" s="5" t="s">
        <v>242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3"/>
      <c r="N35" s="13"/>
      <c r="O35" s="2"/>
      <c r="P35" s="2"/>
      <c r="Q35" s="2"/>
      <c r="R35" s="2"/>
      <c r="S35" s="2"/>
      <c r="T35" s="2"/>
      <c r="U35" s="2"/>
      <c r="V35" s="2"/>
    </row>
    <row r="36" spans="1:22">
      <c r="A36" s="6" t="s">
        <v>243</v>
      </c>
      <c r="C36" s="21">
        <v>-723</v>
      </c>
      <c r="D36" s="21">
        <v>-1069</v>
      </c>
      <c r="E36" s="21">
        <v>-635</v>
      </c>
      <c r="F36" s="21">
        <v>-432</v>
      </c>
      <c r="G36" s="21">
        <v>-463</v>
      </c>
      <c r="H36" s="21">
        <v>-443</v>
      </c>
      <c r="I36" s="21">
        <v>-424</v>
      </c>
      <c r="J36" s="21">
        <v>-452</v>
      </c>
      <c r="K36" s="21">
        <v>-548</v>
      </c>
      <c r="L36" s="21">
        <v>-623</v>
      </c>
      <c r="M36" s="13"/>
      <c r="N36" s="13"/>
      <c r="O36" s="21">
        <v>-254</v>
      </c>
      <c r="P36" s="21">
        <v>-426</v>
      </c>
      <c r="Q36" s="21">
        <v>-100</v>
      </c>
      <c r="R36" s="21">
        <v>-244</v>
      </c>
      <c r="S36" s="21">
        <v>-386</v>
      </c>
      <c r="T36" s="21">
        <v>-250</v>
      </c>
      <c r="U36" s="21">
        <v>-481</v>
      </c>
      <c r="V36" s="21">
        <v>-1013</v>
      </c>
    </row>
    <row r="37" spans="1:22">
      <c r="A37" s="6" t="s">
        <v>244</v>
      </c>
      <c r="C37" s="21">
        <v>5</v>
      </c>
      <c r="D37" s="21">
        <v>441</v>
      </c>
      <c r="E37" s="21">
        <v>239</v>
      </c>
      <c r="F37" s="21">
        <v>88</v>
      </c>
      <c r="G37" s="21">
        <v>12</v>
      </c>
      <c r="H37" s="21">
        <v>4</v>
      </c>
      <c r="M37" s="13"/>
      <c r="N37" s="13"/>
    </row>
    <row r="38" spans="1:22" ht="14" customHeight="1">
      <c r="A38" s="6" t="s">
        <v>245</v>
      </c>
      <c r="B38" s="20" t="s">
        <v>246</v>
      </c>
      <c r="C38" s="21">
        <v>-10055</v>
      </c>
      <c r="D38" s="21">
        <v>-40</v>
      </c>
      <c r="E38" s="21">
        <v>-4800</v>
      </c>
      <c r="F38" s="21">
        <v>-16033</v>
      </c>
      <c r="G38" s="21">
        <v>-10872</v>
      </c>
      <c r="H38" s="21">
        <v>-8</v>
      </c>
      <c r="I38" s="21">
        <v>-246</v>
      </c>
      <c r="J38" s="21">
        <v>-53</v>
      </c>
      <c r="K38" s="21">
        <v>-25978</v>
      </c>
      <c r="M38" s="13"/>
      <c r="N38" s="13"/>
      <c r="O38" s="21">
        <v>-25976</v>
      </c>
      <c r="P38" s="21">
        <v>-25978</v>
      </c>
    </row>
    <row r="39" spans="1:22" ht="24" customHeight="1">
      <c r="A39" s="6" t="s">
        <v>247</v>
      </c>
      <c r="B39" s="20" t="s">
        <v>248</v>
      </c>
      <c r="C39" s="21">
        <v>898</v>
      </c>
      <c r="D39" s="21">
        <v>10</v>
      </c>
      <c r="E39" s="21">
        <v>773</v>
      </c>
      <c r="F39" s="21">
        <v>957</v>
      </c>
      <c r="G39" s="21">
        <v>218</v>
      </c>
      <c r="H39" s="21">
        <v>45</v>
      </c>
      <c r="K39" s="21">
        <v>3485</v>
      </c>
      <c r="L39" s="21">
        <v>300</v>
      </c>
      <c r="M39" s="13"/>
      <c r="N39" s="13"/>
      <c r="P39" s="21">
        <v>3485</v>
      </c>
      <c r="S39" s="21">
        <v>300</v>
      </c>
    </row>
    <row r="40" spans="1:22">
      <c r="A40" s="6" t="s">
        <v>249</v>
      </c>
      <c r="C40" s="21">
        <v>-58</v>
      </c>
      <c r="D40" s="21">
        <v>-207</v>
      </c>
      <c r="E40" s="21">
        <v>-249</v>
      </c>
      <c r="F40" s="21">
        <v>-5</v>
      </c>
      <c r="I40" s="21">
        <v>-200</v>
      </c>
      <c r="J40" s="21">
        <v>-346</v>
      </c>
      <c r="K40" s="21">
        <v>-175</v>
      </c>
      <c r="L40" s="21">
        <v>-597</v>
      </c>
      <c r="M40" s="13"/>
      <c r="N40" s="13"/>
      <c r="O40" s="21">
        <v>-72</v>
      </c>
      <c r="P40" s="21">
        <v>-145</v>
      </c>
      <c r="Q40" s="21">
        <v>-105</v>
      </c>
      <c r="R40" s="21">
        <v>-162</v>
      </c>
      <c r="S40" s="21">
        <v>-261</v>
      </c>
      <c r="T40" s="21">
        <v>-114</v>
      </c>
      <c r="U40" s="21">
        <v>-137</v>
      </c>
      <c r="V40" s="21">
        <v>-756</v>
      </c>
    </row>
    <row r="41" spans="1:22">
      <c r="A41" s="6" t="s">
        <v>250</v>
      </c>
      <c r="C41" s="21">
        <v>104</v>
      </c>
      <c r="D41" s="21">
        <v>200</v>
      </c>
      <c r="E41" s="21">
        <v>54</v>
      </c>
      <c r="F41" s="21">
        <v>5</v>
      </c>
      <c r="H41" s="21">
        <v>169</v>
      </c>
      <c r="I41" s="21">
        <v>200</v>
      </c>
      <c r="J41" s="21">
        <v>228</v>
      </c>
      <c r="K41" s="21">
        <v>156</v>
      </c>
      <c r="L41" s="21">
        <v>248</v>
      </c>
      <c r="M41" s="13"/>
      <c r="N41" s="13"/>
      <c r="O41" s="21">
        <v>131</v>
      </c>
      <c r="P41" s="21">
        <v>136</v>
      </c>
      <c r="Q41" s="21">
        <v>18</v>
      </c>
      <c r="R41" s="21">
        <v>96</v>
      </c>
      <c r="S41" s="21">
        <v>147</v>
      </c>
      <c r="T41" s="21">
        <v>244</v>
      </c>
      <c r="U41" s="21">
        <v>283</v>
      </c>
      <c r="V41" s="21">
        <v>320</v>
      </c>
    </row>
    <row r="42" spans="1:22">
      <c r="A42" s="6" t="s">
        <v>66</v>
      </c>
      <c r="C42" s="21">
        <v>-11</v>
      </c>
      <c r="D42" s="21">
        <v>-9</v>
      </c>
      <c r="E42" s="21">
        <v>-56</v>
      </c>
      <c r="F42" s="21">
        <v>-2</v>
      </c>
      <c r="G42" s="21">
        <v>-4</v>
      </c>
      <c r="H42" s="21">
        <v>-12</v>
      </c>
      <c r="I42" s="21">
        <v>3</v>
      </c>
      <c r="J42" s="21">
        <v>-66</v>
      </c>
      <c r="K42" s="21">
        <v>-10</v>
      </c>
      <c r="L42" s="21">
        <v>92</v>
      </c>
      <c r="M42" s="13"/>
      <c r="N42" s="13"/>
      <c r="O42" s="21">
        <v>-12</v>
      </c>
      <c r="P42" s="21">
        <v>-10</v>
      </c>
      <c r="Q42" s="21">
        <v>13</v>
      </c>
      <c r="R42" s="21">
        <v>3</v>
      </c>
      <c r="S42" s="21">
        <v>-13</v>
      </c>
      <c r="T42" s="21">
        <v>5</v>
      </c>
      <c r="U42" s="21">
        <v>12</v>
      </c>
      <c r="V42" s="21">
        <v>13</v>
      </c>
    </row>
    <row r="43" spans="1:22">
      <c r="A43" s="14" t="s">
        <v>251</v>
      </c>
      <c r="C43" s="23">
        <f t="shared" ref="C43:L43" si="2">C36+C37+C38+C39+C40+C41+C42</f>
        <v>-9840</v>
      </c>
      <c r="D43" s="23">
        <f t="shared" si="2"/>
        <v>-674</v>
      </c>
      <c r="E43" s="23">
        <f t="shared" si="2"/>
        <v>-4674</v>
      </c>
      <c r="F43" s="23">
        <f t="shared" si="2"/>
        <v>-15422</v>
      </c>
      <c r="G43" s="23">
        <f t="shared" si="2"/>
        <v>-11109</v>
      </c>
      <c r="H43" s="23">
        <f t="shared" si="2"/>
        <v>-245</v>
      </c>
      <c r="I43" s="23">
        <f t="shared" si="2"/>
        <v>-667</v>
      </c>
      <c r="J43" s="23">
        <f t="shared" si="2"/>
        <v>-689</v>
      </c>
      <c r="K43" s="23">
        <f t="shared" si="2"/>
        <v>-23070</v>
      </c>
      <c r="L43" s="23">
        <f t="shared" si="2"/>
        <v>-580</v>
      </c>
      <c r="M43" s="24"/>
      <c r="N43" s="24"/>
      <c r="O43" s="23">
        <f t="shared" ref="O43:V43" si="3">O36+O37+O38+O39+O40+O41+O42</f>
        <v>-26183</v>
      </c>
      <c r="P43" s="23">
        <f t="shared" si="3"/>
        <v>-22938</v>
      </c>
      <c r="Q43" s="23">
        <f t="shared" si="3"/>
        <v>-174</v>
      </c>
      <c r="R43" s="23">
        <f t="shared" si="3"/>
        <v>-307</v>
      </c>
      <c r="S43" s="23">
        <f t="shared" si="3"/>
        <v>-213</v>
      </c>
      <c r="T43" s="23">
        <f t="shared" si="3"/>
        <v>-115</v>
      </c>
      <c r="U43" s="23">
        <f t="shared" si="3"/>
        <v>-323</v>
      </c>
      <c r="V43" s="23">
        <f t="shared" si="3"/>
        <v>-1436</v>
      </c>
    </row>
    <row r="44" spans="1:22" ht="8" customHeight="1">
      <c r="M44" s="13"/>
      <c r="N44" s="13"/>
    </row>
    <row r="45" spans="1:22" ht="20" customHeight="1">
      <c r="A45" s="5" t="s">
        <v>252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3"/>
      <c r="O45" s="2"/>
      <c r="P45" s="2"/>
      <c r="Q45" s="2"/>
      <c r="R45" s="2"/>
      <c r="S45" s="2"/>
      <c r="T45" s="2"/>
      <c r="U45" s="2"/>
      <c r="V45" s="2"/>
    </row>
    <row r="46" spans="1:22">
      <c r="A46" s="6" t="s">
        <v>253</v>
      </c>
      <c r="C46" s="21">
        <v>19510</v>
      </c>
      <c r="D46" s="21">
        <v>17426</v>
      </c>
      <c r="F46" s="21">
        <v>28793</v>
      </c>
      <c r="G46" s="21">
        <v>27802</v>
      </c>
      <c r="H46" s="21">
        <v>9904</v>
      </c>
      <c r="I46" s="21">
        <v>1935</v>
      </c>
      <c r="K46" s="21">
        <v>39954</v>
      </c>
      <c r="L46" s="21">
        <v>15666</v>
      </c>
      <c r="M46" s="13"/>
      <c r="N46" s="13"/>
      <c r="O46" s="21">
        <v>30010</v>
      </c>
      <c r="P46" s="21">
        <v>34985</v>
      </c>
      <c r="Q46" s="21">
        <v>2986</v>
      </c>
      <c r="R46" s="21">
        <v>3735</v>
      </c>
      <c r="S46" s="21">
        <v>10695</v>
      </c>
      <c r="T46" s="21">
        <v>4474</v>
      </c>
      <c r="U46" s="21">
        <v>4474</v>
      </c>
      <c r="V46" s="21">
        <v>4474</v>
      </c>
    </row>
    <row r="47" spans="1:22">
      <c r="A47" s="6" t="s">
        <v>254</v>
      </c>
      <c r="C47" s="21">
        <v>-9842</v>
      </c>
      <c r="D47" s="21">
        <v>-13668</v>
      </c>
      <c r="E47" s="21">
        <v>-973</v>
      </c>
      <c r="F47" s="21">
        <v>-16800</v>
      </c>
      <c r="G47" s="21">
        <v>-18814</v>
      </c>
      <c r="H47" s="21">
        <v>-11495</v>
      </c>
      <c r="I47" s="21">
        <v>-2361</v>
      </c>
      <c r="J47" s="21">
        <v>-403</v>
      </c>
      <c r="K47" s="21">
        <v>-19608</v>
      </c>
      <c r="L47" s="21">
        <v>-18478</v>
      </c>
      <c r="M47" s="13"/>
      <c r="N47" s="13"/>
      <c r="O47" s="21">
        <v>-2934</v>
      </c>
      <c r="P47" s="21">
        <v>-12136</v>
      </c>
      <c r="Q47" s="21">
        <v>-8090</v>
      </c>
      <c r="R47" s="21">
        <v>-8090</v>
      </c>
      <c r="S47" s="21">
        <v>-14840</v>
      </c>
      <c r="T47" s="21">
        <v>-3650</v>
      </c>
      <c r="U47" s="21">
        <v>-4900</v>
      </c>
      <c r="V47" s="21">
        <v>-10528</v>
      </c>
    </row>
    <row r="48" spans="1:22">
      <c r="A48" s="6" t="s">
        <v>255</v>
      </c>
      <c r="C48" s="21">
        <v>-1475</v>
      </c>
      <c r="M48" s="13"/>
      <c r="N48" s="13"/>
    </row>
    <row r="49" spans="1:22">
      <c r="A49" s="6" t="s">
        <v>256</v>
      </c>
      <c r="C49" s="21">
        <v>-123</v>
      </c>
      <c r="D49" s="21">
        <v>-24</v>
      </c>
      <c r="M49" s="13"/>
      <c r="N49" s="13"/>
    </row>
    <row r="50" spans="1:22" ht="72" customHeight="1">
      <c r="A50" s="6" t="s">
        <v>257</v>
      </c>
      <c r="B50" s="20" t="s">
        <v>258</v>
      </c>
      <c r="F50" s="21">
        <v>1241</v>
      </c>
      <c r="G50" s="21">
        <v>-1285</v>
      </c>
      <c r="M50" s="13"/>
      <c r="N50" s="13"/>
      <c r="Q50" s="21">
        <v>3980</v>
      </c>
      <c r="R50" s="21">
        <v>3861</v>
      </c>
      <c r="S50" s="21">
        <v>488</v>
      </c>
    </row>
    <row r="51" spans="1:22" ht="48" customHeight="1">
      <c r="A51" s="6" t="s">
        <v>229</v>
      </c>
      <c r="B51" s="20" t="s">
        <v>259</v>
      </c>
      <c r="C51" s="21">
        <v>89</v>
      </c>
      <c r="M51" s="13"/>
      <c r="N51" s="13"/>
    </row>
    <row r="52" spans="1:22">
      <c r="A52" s="6" t="s">
        <v>260</v>
      </c>
      <c r="C52" s="21">
        <v>-750</v>
      </c>
      <c r="D52" s="21">
        <v>-1745</v>
      </c>
      <c r="E52" s="21">
        <v>-2998</v>
      </c>
      <c r="F52" s="21">
        <v>-4235</v>
      </c>
      <c r="G52" s="21">
        <v>-5534</v>
      </c>
      <c r="H52" s="21">
        <v>-6212</v>
      </c>
      <c r="I52" s="21">
        <v>-7032</v>
      </c>
      <c r="J52" s="21">
        <v>-7645</v>
      </c>
      <c r="K52" s="21">
        <v>-9814</v>
      </c>
      <c r="L52" s="21">
        <v>-11142</v>
      </c>
      <c r="M52" s="13"/>
      <c r="N52" s="13"/>
      <c r="O52" s="21">
        <v>-4878</v>
      </c>
      <c r="P52" s="21">
        <v>-7330</v>
      </c>
      <c r="Q52" s="21">
        <v>-2774</v>
      </c>
      <c r="R52" s="21">
        <v>-5559</v>
      </c>
      <c r="S52" s="21">
        <v>-8345</v>
      </c>
      <c r="T52" s="21">
        <v>-3086</v>
      </c>
      <c r="U52" s="21">
        <v>-6178</v>
      </c>
      <c r="V52" s="21">
        <v>-9281</v>
      </c>
    </row>
    <row r="53" spans="1:22">
      <c r="A53" s="6" t="s">
        <v>261</v>
      </c>
      <c r="E53" s="21">
        <v>-7258</v>
      </c>
      <c r="F53" s="21">
        <v>-5435</v>
      </c>
      <c r="I53" s="21">
        <v>-7000</v>
      </c>
      <c r="J53" s="21">
        <v>-5824</v>
      </c>
      <c r="K53" s="21">
        <v>-7176</v>
      </c>
      <c r="L53" s="21">
        <v>-2450</v>
      </c>
      <c r="M53" s="13"/>
      <c r="N53" s="13"/>
      <c r="O53" s="21">
        <v>-7176</v>
      </c>
      <c r="P53" s="21">
        <v>-7176</v>
      </c>
      <c r="R53" s="21">
        <v>-2450</v>
      </c>
      <c r="S53" s="21">
        <v>-2450</v>
      </c>
      <c r="T53" s="21">
        <v>-7850</v>
      </c>
      <c r="U53" s="21">
        <v>-8450</v>
      </c>
      <c r="V53" s="21">
        <v>-8450</v>
      </c>
    </row>
    <row r="54" spans="1:22">
      <c r="A54" s="6" t="s">
        <v>262</v>
      </c>
      <c r="F54" s="21">
        <v>-972</v>
      </c>
      <c r="G54" s="21">
        <v>-765</v>
      </c>
      <c r="H54" s="21">
        <v>-1299</v>
      </c>
      <c r="I54" s="21">
        <v>-1455</v>
      </c>
      <c r="J54" s="21">
        <v>-1861</v>
      </c>
      <c r="K54" s="21">
        <v>-5216</v>
      </c>
      <c r="L54" s="21">
        <v>-3860</v>
      </c>
      <c r="M54" s="13"/>
      <c r="N54" s="13"/>
      <c r="O54" s="21">
        <v>-2662</v>
      </c>
      <c r="P54" s="21">
        <v>-4012</v>
      </c>
      <c r="Q54" s="21">
        <v>-2036</v>
      </c>
      <c r="R54" s="21">
        <v>-3802</v>
      </c>
      <c r="S54" s="21">
        <v>-3860</v>
      </c>
    </row>
    <row r="55" spans="1:22">
      <c r="A55" s="6" t="s">
        <v>263</v>
      </c>
      <c r="F55" s="21">
        <v>3679</v>
      </c>
      <c r="M55" s="13"/>
      <c r="N55" s="13"/>
    </row>
    <row r="56" spans="1:22">
      <c r="A56" s="6" t="s">
        <v>264</v>
      </c>
      <c r="C56" s="21">
        <v>295</v>
      </c>
      <c r="D56" s="21">
        <v>257</v>
      </c>
      <c r="E56" s="21">
        <v>156</v>
      </c>
      <c r="F56" s="21">
        <v>253</v>
      </c>
      <c r="G56" s="21">
        <v>276</v>
      </c>
      <c r="H56" s="21">
        <v>170</v>
      </c>
      <c r="I56" s="21">
        <v>114</v>
      </c>
      <c r="J56" s="21">
        <v>122</v>
      </c>
      <c r="K56" s="21">
        <v>190</v>
      </c>
      <c r="L56" s="21">
        <v>221</v>
      </c>
      <c r="M56" s="13"/>
      <c r="N56" s="13"/>
      <c r="O56" s="21">
        <v>64</v>
      </c>
      <c r="P56" s="21">
        <v>64</v>
      </c>
      <c r="R56" s="21">
        <v>118</v>
      </c>
      <c r="S56" s="21">
        <v>118</v>
      </c>
      <c r="U56" s="21">
        <v>113</v>
      </c>
      <c r="V56" s="21">
        <v>113</v>
      </c>
    </row>
    <row r="57" spans="1:22">
      <c r="A57" s="6" t="s">
        <v>265</v>
      </c>
      <c r="D57" s="21">
        <v>-16</v>
      </c>
      <c r="E57" s="21">
        <v>-21</v>
      </c>
      <c r="M57" s="13"/>
      <c r="N57" s="13"/>
    </row>
    <row r="58" spans="1:22">
      <c r="A58" s="6" t="s">
        <v>66</v>
      </c>
      <c r="E58" s="21">
        <v>-24</v>
      </c>
      <c r="F58" s="21">
        <v>-36</v>
      </c>
      <c r="G58" s="21">
        <v>-69</v>
      </c>
      <c r="H58" s="21">
        <v>-42</v>
      </c>
      <c r="I58" s="21">
        <v>-17</v>
      </c>
      <c r="J58" s="21">
        <v>-12</v>
      </c>
      <c r="K58" s="21">
        <v>-63</v>
      </c>
      <c r="L58" s="21">
        <v>-84</v>
      </c>
      <c r="M58" s="13"/>
      <c r="N58" s="13"/>
      <c r="O58" s="21">
        <v>-16</v>
      </c>
      <c r="P58" s="21">
        <v>-52</v>
      </c>
      <c r="Q58" s="21">
        <v>-46</v>
      </c>
      <c r="R58" s="21">
        <v>-50</v>
      </c>
      <c r="S58" s="21">
        <v>-57</v>
      </c>
      <c r="T58" s="21">
        <v>-37</v>
      </c>
      <c r="U58" s="21">
        <v>-39</v>
      </c>
      <c r="V58" s="21">
        <v>-45</v>
      </c>
    </row>
    <row r="59" spans="1:22">
      <c r="A59" s="14" t="s">
        <v>266</v>
      </c>
      <c r="C59" s="23">
        <f t="shared" ref="C59:L59" si="4">C46+C47+C48+C49+C50+C51+C52+C53+C54+C55+C56+C57+C58</f>
        <v>7704</v>
      </c>
      <c r="D59" s="23">
        <f t="shared" si="4"/>
        <v>2230</v>
      </c>
      <c r="E59" s="23">
        <f t="shared" si="4"/>
        <v>-11118</v>
      </c>
      <c r="F59" s="23">
        <f t="shared" si="4"/>
        <v>6488</v>
      </c>
      <c r="G59" s="23">
        <f t="shared" si="4"/>
        <v>1611</v>
      </c>
      <c r="H59" s="23">
        <f t="shared" si="4"/>
        <v>-8974</v>
      </c>
      <c r="I59" s="23">
        <f t="shared" si="4"/>
        <v>-15816</v>
      </c>
      <c r="J59" s="23">
        <f t="shared" si="4"/>
        <v>-15623</v>
      </c>
      <c r="K59" s="23">
        <f t="shared" si="4"/>
        <v>-1733</v>
      </c>
      <c r="L59" s="23">
        <f t="shared" si="4"/>
        <v>-20127</v>
      </c>
      <c r="M59" s="24"/>
      <c r="N59" s="24"/>
      <c r="O59" s="23">
        <f t="shared" ref="O59:V59" si="5">O46+O47+O48+O49+O50+O51+O52+O53+O54+O55+O56+O57+O58</f>
        <v>12408</v>
      </c>
      <c r="P59" s="23">
        <f t="shared" si="5"/>
        <v>4343</v>
      </c>
      <c r="Q59" s="23">
        <f t="shared" si="5"/>
        <v>-5980</v>
      </c>
      <c r="R59" s="23">
        <f t="shared" si="5"/>
        <v>-12237</v>
      </c>
      <c r="S59" s="23">
        <f t="shared" si="5"/>
        <v>-18251</v>
      </c>
      <c r="T59" s="23">
        <f t="shared" si="5"/>
        <v>-10149</v>
      </c>
      <c r="U59" s="23">
        <f t="shared" si="5"/>
        <v>-14980</v>
      </c>
      <c r="V59" s="23">
        <f t="shared" si="5"/>
        <v>-23717</v>
      </c>
    </row>
    <row r="60" spans="1:22" ht="8" customHeight="1">
      <c r="M60" s="13"/>
      <c r="N60" s="13"/>
    </row>
    <row r="61" spans="1:22" ht="20" customHeight="1">
      <c r="A61" s="5" t="s">
        <v>267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3"/>
      <c r="O61" s="2"/>
      <c r="P61" s="2"/>
      <c r="Q61" s="2"/>
      <c r="R61" s="2"/>
      <c r="S61" s="2"/>
      <c r="T61" s="2"/>
      <c r="U61" s="2"/>
      <c r="V61" s="2"/>
    </row>
    <row r="62" spans="1:22" ht="24" customHeight="1">
      <c r="A62" s="14" t="s">
        <v>268</v>
      </c>
      <c r="B62" s="20" t="s">
        <v>269</v>
      </c>
      <c r="C62" s="25">
        <f t="shared" ref="C62:L62" si="6">C33+C43+C59</f>
        <v>1275</v>
      </c>
      <c r="D62" s="25">
        <f t="shared" si="6"/>
        <v>8107</v>
      </c>
      <c r="E62" s="25">
        <f t="shared" si="6"/>
        <v>-6912</v>
      </c>
      <c r="F62" s="25">
        <f t="shared" si="6"/>
        <v>763</v>
      </c>
      <c r="G62" s="25">
        <f t="shared" si="6"/>
        <v>2563</v>
      </c>
      <c r="H62" s="25">
        <f t="shared" si="6"/>
        <v>4545</v>
      </c>
      <c r="I62" s="25">
        <f t="shared" si="6"/>
        <v>253</v>
      </c>
      <c r="J62" s="25">
        <f t="shared" si="6"/>
        <v>1773</v>
      </c>
      <c r="K62" s="25">
        <f t="shared" si="6"/>
        <v>-4841</v>
      </c>
      <c r="L62" s="25">
        <f t="shared" si="6"/>
        <v>6830</v>
      </c>
      <c r="M62" s="13"/>
      <c r="N62" s="13"/>
      <c r="O62" s="25">
        <f t="shared" ref="O62:V62" si="7">O33+O43+O59</f>
        <v>-4380</v>
      </c>
      <c r="P62" s="25">
        <f t="shared" si="7"/>
        <v>-4237</v>
      </c>
      <c r="Q62" s="25">
        <f t="shared" si="7"/>
        <v>-41</v>
      </c>
      <c r="R62" s="25">
        <f t="shared" si="7"/>
        <v>124</v>
      </c>
      <c r="S62" s="25">
        <f t="shared" si="7"/>
        <v>1370</v>
      </c>
      <c r="T62" s="25">
        <f t="shared" si="7"/>
        <v>-2004</v>
      </c>
      <c r="U62" s="25">
        <f t="shared" si="7"/>
        <v>3450</v>
      </c>
      <c r="V62" s="25">
        <f t="shared" si="7"/>
        <v>7797</v>
      </c>
    </row>
    <row r="63" spans="1:22">
      <c r="A63" s="6" t="s">
        <v>270</v>
      </c>
      <c r="C63" s="21">
        <v>1822</v>
      </c>
      <c r="D63" s="21">
        <v>3097</v>
      </c>
      <c r="E63" s="21">
        <v>11204</v>
      </c>
      <c r="F63" s="21">
        <v>4292</v>
      </c>
      <c r="G63" s="21">
        <v>5055</v>
      </c>
      <c r="H63" s="21">
        <v>7618</v>
      </c>
      <c r="I63" s="21">
        <v>12163</v>
      </c>
      <c r="J63" s="21">
        <v>12416</v>
      </c>
      <c r="K63" s="21">
        <v>14189</v>
      </c>
      <c r="L63" s="21">
        <v>9348</v>
      </c>
      <c r="M63" s="13"/>
      <c r="N63" s="13"/>
      <c r="O63" s="21">
        <v>14189</v>
      </c>
      <c r="P63" s="21">
        <v>14189</v>
      </c>
      <c r="Q63" s="21">
        <v>9348</v>
      </c>
      <c r="R63" s="21">
        <v>9348</v>
      </c>
      <c r="S63" s="21">
        <v>9348</v>
      </c>
      <c r="T63" s="21">
        <v>16178</v>
      </c>
      <c r="U63" s="21">
        <v>16178</v>
      </c>
      <c r="V63" s="21">
        <v>16178</v>
      </c>
    </row>
    <row r="64" spans="1:22">
      <c r="A64" s="14" t="s">
        <v>271</v>
      </c>
      <c r="C64" s="16">
        <v>3097</v>
      </c>
      <c r="D64" s="16">
        <v>11204</v>
      </c>
      <c r="E64" s="16">
        <v>4292</v>
      </c>
      <c r="F64" s="16">
        <v>5055</v>
      </c>
      <c r="G64" s="16">
        <v>7618</v>
      </c>
      <c r="H64" s="16">
        <v>12163</v>
      </c>
      <c r="I64" s="16">
        <v>12416</v>
      </c>
      <c r="J64" s="16">
        <v>14189</v>
      </c>
      <c r="K64" s="16">
        <v>9348</v>
      </c>
      <c r="L64" s="16">
        <v>16178</v>
      </c>
      <c r="M64" s="13"/>
      <c r="N64" s="13"/>
      <c r="O64" s="16">
        <v>9809</v>
      </c>
      <c r="P64" s="16">
        <v>9952</v>
      </c>
      <c r="Q64" s="16">
        <v>9307</v>
      </c>
      <c r="R64" s="16">
        <v>9472</v>
      </c>
      <c r="S64" s="16">
        <v>10718</v>
      </c>
      <c r="T64" s="16">
        <v>14174</v>
      </c>
      <c r="U64" s="16">
        <v>19628</v>
      </c>
      <c r="V64" s="16">
        <v>23975</v>
      </c>
    </row>
    <row r="65" spans="1:22">
      <c r="A65" s="6" t="s">
        <v>272</v>
      </c>
      <c r="C65" s="27">
        <f t="shared" ref="C65:L65" si="8">C63+C62-C64</f>
        <v>0</v>
      </c>
      <c r="D65" s="27">
        <f t="shared" si="8"/>
        <v>0</v>
      </c>
      <c r="E65" s="27">
        <f t="shared" si="8"/>
        <v>0</v>
      </c>
      <c r="F65" s="27">
        <f t="shared" si="8"/>
        <v>0</v>
      </c>
      <c r="G65" s="27">
        <f t="shared" si="8"/>
        <v>0</v>
      </c>
      <c r="H65" s="27">
        <f t="shared" si="8"/>
        <v>0</v>
      </c>
      <c r="I65" s="27">
        <f t="shared" si="8"/>
        <v>0</v>
      </c>
      <c r="J65" s="27">
        <f t="shared" si="8"/>
        <v>0</v>
      </c>
      <c r="K65" s="27">
        <f t="shared" si="8"/>
        <v>0</v>
      </c>
      <c r="L65" s="27">
        <f t="shared" si="8"/>
        <v>0</v>
      </c>
      <c r="M65" s="13"/>
      <c r="N65" s="13"/>
      <c r="O65" s="27">
        <f t="shared" ref="O65:V65" si="9">O63+O62-O64</f>
        <v>0</v>
      </c>
      <c r="P65" s="27">
        <f t="shared" si="9"/>
        <v>0</v>
      </c>
      <c r="Q65" s="27">
        <f t="shared" si="9"/>
        <v>0</v>
      </c>
      <c r="R65" s="27">
        <f t="shared" si="9"/>
        <v>0</v>
      </c>
      <c r="S65" s="27">
        <f t="shared" si="9"/>
        <v>0</v>
      </c>
      <c r="T65" s="27">
        <f t="shared" si="9"/>
        <v>0</v>
      </c>
      <c r="U65" s="27">
        <f t="shared" si="9"/>
        <v>0</v>
      </c>
      <c r="V65" s="27">
        <f t="shared" si="9"/>
        <v>0</v>
      </c>
    </row>
    <row r="66" spans="1:22" ht="8" customHeight="1">
      <c r="M66" s="13"/>
      <c r="N66" s="13"/>
    </row>
    <row r="67" spans="1:22" ht="20" customHeight="1">
      <c r="A67" s="5" t="s">
        <v>273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3"/>
      <c r="O67" s="2"/>
      <c r="P67" s="2"/>
      <c r="Q67" s="2"/>
      <c r="R67" s="2"/>
      <c r="S67" s="2"/>
      <c r="T67" s="2"/>
      <c r="U67" s="2"/>
      <c r="V67" s="2"/>
    </row>
    <row r="68" spans="1:22">
      <c r="A68" s="14" t="s">
        <v>274</v>
      </c>
      <c r="C68" s="25">
        <f t="shared" ref="C68:L68" si="10">C33+C36</f>
        <v>2688</v>
      </c>
      <c r="D68" s="25">
        <f t="shared" si="10"/>
        <v>5482</v>
      </c>
      <c r="E68" s="25">
        <f t="shared" si="10"/>
        <v>8245</v>
      </c>
      <c r="F68" s="25">
        <f t="shared" si="10"/>
        <v>9265</v>
      </c>
      <c r="G68" s="25">
        <f t="shared" si="10"/>
        <v>11598</v>
      </c>
      <c r="H68" s="25">
        <f t="shared" si="10"/>
        <v>13321</v>
      </c>
      <c r="I68" s="25">
        <f t="shared" si="10"/>
        <v>16312</v>
      </c>
      <c r="J68" s="25">
        <f t="shared" si="10"/>
        <v>17633</v>
      </c>
      <c r="K68" s="25">
        <f t="shared" si="10"/>
        <v>19414</v>
      </c>
      <c r="L68" s="25">
        <f t="shared" si="10"/>
        <v>26914</v>
      </c>
      <c r="M68" s="13"/>
      <c r="N68" s="13"/>
      <c r="O68" s="25">
        <f t="shared" ref="O68:V68" si="11">O33+O36</f>
        <v>9141</v>
      </c>
      <c r="P68" s="25">
        <f t="shared" si="11"/>
        <v>13932</v>
      </c>
      <c r="Q68" s="25">
        <f t="shared" si="11"/>
        <v>6013</v>
      </c>
      <c r="R68" s="25">
        <f t="shared" si="11"/>
        <v>12424</v>
      </c>
      <c r="S68" s="25">
        <f t="shared" si="11"/>
        <v>19448</v>
      </c>
      <c r="T68" s="25">
        <f t="shared" si="11"/>
        <v>8010</v>
      </c>
      <c r="U68" s="25">
        <f t="shared" si="11"/>
        <v>18272</v>
      </c>
      <c r="V68" s="25">
        <f t="shared" si="11"/>
        <v>31937</v>
      </c>
    </row>
    <row r="69" spans="1:22">
      <c r="A69" s="17" t="s">
        <v>133</v>
      </c>
      <c r="D69" s="18">
        <f t="shared" ref="D69:L69" si="12">IF(N(C68)=0,"",D68/C68-1)</f>
        <v>1.0394345238095237</v>
      </c>
      <c r="E69" s="18">
        <f t="shared" si="12"/>
        <v>0.50401313389273983</v>
      </c>
      <c r="F69" s="18">
        <f t="shared" si="12"/>
        <v>0.12371134020618557</v>
      </c>
      <c r="G69" s="18">
        <f t="shared" si="12"/>
        <v>0.25180787911494873</v>
      </c>
      <c r="H69" s="18">
        <f t="shared" si="12"/>
        <v>0.14856009656837377</v>
      </c>
      <c r="I69" s="18">
        <f t="shared" si="12"/>
        <v>0.22453269274078513</v>
      </c>
      <c r="J69" s="18">
        <f t="shared" si="12"/>
        <v>8.0983325159391883E-2</v>
      </c>
      <c r="K69" s="18">
        <f t="shared" si="12"/>
        <v>0.10100379969375606</v>
      </c>
      <c r="L69" s="18">
        <f t="shared" si="12"/>
        <v>0.38631915112805193</v>
      </c>
      <c r="M69" s="13"/>
      <c r="N69" s="13"/>
      <c r="S69" s="18">
        <f>IF(N(O68)=0,"",S68/O68-1)</f>
        <v>1.1275571600481347</v>
      </c>
      <c r="T69" s="18">
        <f>IF(N(P68)=0,"",T68/P68-1)</f>
        <v>-0.42506459948320419</v>
      </c>
      <c r="U69" s="18">
        <f>IF(N(Q68)=0,"",U68/Q68-1)</f>
        <v>2.0387493763512388</v>
      </c>
      <c r="V69" s="18">
        <f>IF(N(R68)=0,"",V68/R68-1)</f>
        <v>1.5705891822279461</v>
      </c>
    </row>
    <row r="70" spans="1:22">
      <c r="A70" s="17" t="s">
        <v>275</v>
      </c>
      <c r="C70" s="18">
        <f>0-C36/'Income Statement'!C14</f>
        <v>5.460725075528701E-2</v>
      </c>
      <c r="D70" s="18">
        <f>0-D36/'Income Statement'!D14</f>
        <v>6.061465184849172E-2</v>
      </c>
      <c r="E70" s="18">
        <f>0-E36/'Income Statement'!E14</f>
        <v>3.0458557175748274E-2</v>
      </c>
      <c r="F70" s="18">
        <f>0-F36/'Income Statement'!F14</f>
        <v>1.9117581979908836E-2</v>
      </c>
      <c r="G70" s="18">
        <f>0-G36/'Income Statement'!G14</f>
        <v>1.9382116543871401E-2</v>
      </c>
      <c r="H70" s="18">
        <f>0-H36/'Income Statement'!H14</f>
        <v>1.6138433515482695E-2</v>
      </c>
      <c r="I70" s="18">
        <f>0-I36/'Income Statement'!I14</f>
        <v>1.2769930427973376E-2</v>
      </c>
      <c r="J70" s="18">
        <f>0-J36/'Income Statement'!J14</f>
        <v>1.2619001088807615E-2</v>
      </c>
      <c r="K70" s="18">
        <f>0-K36/'Income Statement'!K14</f>
        <v>1.062550897739171E-2</v>
      </c>
      <c r="L70" s="18">
        <f>0-L36/'Income Statement'!L14</f>
        <v>9.7515926557828671E-3</v>
      </c>
      <c r="M70" s="13"/>
      <c r="N70" s="13"/>
      <c r="O70" s="18">
        <f>0-O36/'Income Statement'!O14</f>
        <v>2.0341154800993032E-2</v>
      </c>
      <c r="P70" s="18">
        <f>0-P36/'Income Statement'!P14</f>
        <v>3.2588739290085676E-2</v>
      </c>
      <c r="Q70" s="18">
        <f>0-Q36/'Income Statement'!Q14</f>
        <v>6.7042102440332532E-3</v>
      </c>
      <c r="R70" s="18">
        <f>0-R36/'Income Statement'!R14</f>
        <v>1.6262330045321249E-2</v>
      </c>
      <c r="S70" s="18">
        <f>0-S36/'Income Statement'!S14</f>
        <v>2.4197592778335004E-2</v>
      </c>
      <c r="T70" s="18">
        <f>0-T36/'Income Statement'!T14</f>
        <v>1.2945989332504791E-2</v>
      </c>
      <c r="U70" s="18">
        <f>0-U36/'Income Statement'!U14</f>
        <v>2.1679361788434669E-2</v>
      </c>
      <c r="V70" s="18">
        <f>0-V36/'Income Statement'!V14</f>
        <v>3.4233381771484571E-2</v>
      </c>
    </row>
    <row r="71" spans="1:22">
      <c r="A71" s="17" t="s">
        <v>276</v>
      </c>
      <c r="C71" s="18">
        <f>C68/'Income Statement'!C14</f>
        <v>0.20302114803625379</v>
      </c>
      <c r="D71" s="18">
        <f>D68/'Income Statement'!D14</f>
        <v>0.31084146064867318</v>
      </c>
      <c r="E71" s="18">
        <f>E68/'Income Statement'!E14</f>
        <v>0.39548158096699926</v>
      </c>
      <c r="F71" s="18">
        <f>F68/'Income Statement'!F14</f>
        <v>0.41001017834225784</v>
      </c>
      <c r="G71" s="18">
        <f>G68/'Income Statement'!G14</f>
        <v>0.48551574012056264</v>
      </c>
      <c r="H71" s="18">
        <f>H68/'Income Statement'!H14</f>
        <v>0.48528233151183969</v>
      </c>
      <c r="I71" s="18">
        <f>I68/'Income Statement'!I14</f>
        <v>0.49128090835165494</v>
      </c>
      <c r="J71" s="18">
        <f>J68/'Income Statement'!J14</f>
        <v>0.49228063318350596</v>
      </c>
      <c r="K71" s="18">
        <f>K68/'Income Statement'!K14</f>
        <v>0.37642998410051576</v>
      </c>
      <c r="L71" s="18">
        <f>L68/'Income Statement'!L14</f>
        <v>0.42127506378449447</v>
      </c>
      <c r="M71" s="13"/>
      <c r="N71" s="13"/>
      <c r="O71" s="18">
        <f>O68/'Income Statement'!O14</f>
        <v>0.73204132297589497</v>
      </c>
      <c r="P71" s="18">
        <f>P68/'Income Statement'!P14</f>
        <v>1.0657894736842106</v>
      </c>
      <c r="Q71" s="18">
        <f>Q68/'Income Statement'!Q14</f>
        <v>0.40312416197371947</v>
      </c>
      <c r="R71" s="18">
        <f>R68/'Income Statement'!R14</f>
        <v>0.82804585443881629</v>
      </c>
      <c r="S71" s="18">
        <f>S68/'Income Statement'!S14</f>
        <v>1.2191574724172518</v>
      </c>
      <c r="T71" s="18">
        <f>T68/'Income Statement'!T14</f>
        <v>0.41478949821345346</v>
      </c>
      <c r="U71" s="18">
        <f>U68/'Income Statement'!U14</f>
        <v>0.82354531933113984</v>
      </c>
      <c r="V71" s="18">
        <f>V68/'Income Statement'!V14</f>
        <v>1.0792808624243857</v>
      </c>
    </row>
    <row r="72" spans="1:22">
      <c r="A72" s="17" t="s">
        <v>277</v>
      </c>
      <c r="C72" s="18">
        <f>C68/'Income Statement'!C50</f>
        <v>-1.4443847393874261</v>
      </c>
      <c r="D72" s="18">
        <f>D68/'Income Statement'!D50</f>
        <v>3.0728699551569507</v>
      </c>
      <c r="E72" s="18">
        <f>E68/'Income Statement'!E50</f>
        <v>0.65384615384615385</v>
      </c>
      <c r="F72" s="18">
        <f>F68/'Income Statement'!F50</f>
        <v>3.4012481644640236</v>
      </c>
      <c r="G72" s="18">
        <f>G68/'Income Statement'!G50</f>
        <v>3.9182432432432432</v>
      </c>
      <c r="H72" s="18">
        <f>H68/'Income Statement'!H50</f>
        <v>1.977583135391924</v>
      </c>
      <c r="I72" s="18">
        <f>I68/'Income Statement'!I50</f>
        <v>1.4190517616354936</v>
      </c>
      <c r="J72" s="18">
        <f>J68/'Income Statement'!J50</f>
        <v>1.2521658855276239</v>
      </c>
      <c r="K72" s="18">
        <f>K68/'Income Statement'!K50</f>
        <v>3.2932994062765055</v>
      </c>
      <c r="L72" s="18">
        <f>L68/'Income Statement'!L50</f>
        <v>1.1637983222347141</v>
      </c>
      <c r="M72" s="13"/>
      <c r="N72" s="13"/>
      <c r="O72" s="18">
        <f>O68/'Income Statement'!O50</f>
        <v>4.3097595473833099</v>
      </c>
      <c r="P72" s="18">
        <f>P68/'Income Statement'!P50</f>
        <v>-7.4303999999999997</v>
      </c>
      <c r="Q72" s="18">
        <f>Q68/'Income Statement'!Q50</f>
        <v>1.0926767217881155</v>
      </c>
      <c r="R72" s="18">
        <f>R68/'Income Statement'!R50</f>
        <v>2.5023162134944612</v>
      </c>
      <c r="S72" s="18">
        <f>S68/'Income Statement'!S50</f>
        <v>4.6975845410628017</v>
      </c>
      <c r="T72" s="18">
        <f>T68/'Income Statement'!T50</f>
        <v>1.0899442100966117</v>
      </c>
      <c r="U72" s="18">
        <f>U68/'Income Statement'!U50</f>
        <v>1.9626208378088077</v>
      </c>
      <c r="V72" s="18">
        <f>V68/'Income Statement'!V50</f>
        <v>2.4401742053789732</v>
      </c>
    </row>
    <row r="73" spans="1:22">
      <c r="M73" s="13"/>
      <c r="N73" s="13"/>
    </row>
  </sheetData>
  <phoneticPr fontId="14" type="noConversion"/>
  <conditionalFormatting sqref="C15:V15">
    <cfRule type="cellIs" dxfId="8" priority="1" operator="notBetween">
      <formula>-0.5</formula>
      <formula>0.5</formula>
    </cfRule>
  </conditionalFormatting>
  <conditionalFormatting sqref="C65:V65">
    <cfRule type="cellIs" dxfId="7" priority="2" operator="notBetween">
      <formula>-0.5</formula>
      <formula>0.5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</sheetPr>
  <dimension ref="A1:V61"/>
  <sheetViews>
    <sheetView showGridLines="0" zoomScale="110" zoomScaleNormal="110" workbookViewId="0">
      <pane xSplit="2" ySplit="5" topLeftCell="D26" activePane="bottomRight" state="frozen"/>
      <selection pane="topRight"/>
      <selection pane="bottomLeft"/>
      <selection pane="bottomRight" activeCell="B50" sqref="B50"/>
    </sheetView>
  </sheetViews>
  <sheetFormatPr baseColWidth="10" defaultColWidth="8.83203125" defaultRowHeight="14" outlineLevelCol="1"/>
  <cols>
    <col min="1" max="1" width="48.33203125" customWidth="1"/>
    <col min="2" max="2" width="34" customWidth="1" outlineLevel="1"/>
    <col min="3" max="5" width="12" customWidth="1"/>
    <col min="6" max="6" width="8.33203125" bestFit="1" customWidth="1"/>
    <col min="7" max="12" width="12" customWidth="1"/>
    <col min="13" max="14" width="9" customWidth="1"/>
    <col min="15" max="22" width="12" customWidth="1"/>
  </cols>
  <sheetData>
    <row r="1" spans="1:22" ht="28" customHeight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6" customHeight="1">
      <c r="A2" s="3" t="s">
        <v>1</v>
      </c>
    </row>
    <row r="3" spans="1:22"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1" t="s">
        <v>12</v>
      </c>
      <c r="N3" s="11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0" t="s">
        <v>20</v>
      </c>
    </row>
    <row r="4" spans="1:22">
      <c r="C4" s="12" t="s">
        <v>21</v>
      </c>
      <c r="D4" s="12" t="s">
        <v>22</v>
      </c>
      <c r="E4" s="12" t="s">
        <v>23</v>
      </c>
      <c r="F4" s="12" t="s">
        <v>24</v>
      </c>
      <c r="G4" s="12" t="s">
        <v>25</v>
      </c>
      <c r="H4" s="12" t="s">
        <v>26</v>
      </c>
      <c r="I4" s="12" t="s">
        <v>27</v>
      </c>
      <c r="J4" s="12" t="s">
        <v>28</v>
      </c>
      <c r="K4" s="12" t="s">
        <v>29</v>
      </c>
      <c r="L4" s="12" t="s">
        <v>30</v>
      </c>
      <c r="M4" s="13"/>
      <c r="N4" s="13"/>
      <c r="O4" s="12" t="s">
        <v>31</v>
      </c>
      <c r="P4" s="12" t="s">
        <v>32</v>
      </c>
      <c r="Q4" s="12" t="s">
        <v>33</v>
      </c>
      <c r="R4" s="12" t="s">
        <v>34</v>
      </c>
      <c r="S4" s="12" t="s">
        <v>35</v>
      </c>
      <c r="T4" s="12" t="s">
        <v>36</v>
      </c>
      <c r="U4" s="12" t="s">
        <v>37</v>
      </c>
      <c r="V4" s="12" t="s">
        <v>38</v>
      </c>
    </row>
    <row r="5" spans="1:22">
      <c r="M5" s="13"/>
      <c r="N5" s="13"/>
    </row>
    <row r="6" spans="1:22">
      <c r="A6" s="14" t="s">
        <v>39</v>
      </c>
      <c r="M6" s="13"/>
      <c r="N6" s="13"/>
    </row>
    <row r="7" spans="1:22">
      <c r="A7" s="15" t="str">
        <f>HYPERLINK("#'Segments'!A11","1. LEGACY 4-SEGMENT STRUCTURE (FY2016-FY2018)")</f>
        <v>1. LEGACY 4-SEGMENT STRUCTURE (FY2016-FY2018)</v>
      </c>
      <c r="M7" s="13"/>
      <c r="N7" s="13"/>
    </row>
    <row r="8" spans="1:22">
      <c r="A8" s="15" t="str">
        <f>HYPERLINK("#'Segments'!A27","2. 3-SEGMENT STRUCTURE (FY2019 ONLY — CA Technologies year)")</f>
        <v>2. 3-SEGMENT STRUCTURE (FY2019 ONLY — CA Technologies year)</v>
      </c>
      <c r="M8" s="13"/>
      <c r="N8" s="13"/>
    </row>
    <row r="9" spans="1:22">
      <c r="A9" s="15" t="str">
        <f>HYPERLINK("#'Segments'!A41","3. 2-SEGMENT STRUCTURE (FY2020-PRESENT)")</f>
        <v>3. 2-SEGMENT STRUCTURE (FY2020-PRESENT)</v>
      </c>
      <c r="M9" s="13"/>
      <c r="N9" s="13"/>
    </row>
    <row r="10" spans="1:22" ht="8" customHeight="1">
      <c r="M10" s="13"/>
      <c r="N10" s="13"/>
    </row>
    <row r="11" spans="1:22" ht="20" customHeight="1">
      <c r="A11" s="5" t="s">
        <v>279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3"/>
      <c r="N11" s="13"/>
      <c r="O11" s="2"/>
      <c r="P11" s="2"/>
      <c r="Q11" s="2"/>
      <c r="R11" s="2"/>
      <c r="S11" s="2"/>
      <c r="T11" s="2"/>
      <c r="U11" s="2"/>
      <c r="V11" s="2"/>
    </row>
    <row r="12" spans="1:22">
      <c r="A12" s="6" t="s">
        <v>280</v>
      </c>
      <c r="C12" s="21">
        <v>6582</v>
      </c>
      <c r="D12" s="21">
        <v>8549</v>
      </c>
      <c r="E12" s="21">
        <v>8674</v>
      </c>
      <c r="M12" s="13"/>
      <c r="N12" s="13"/>
    </row>
    <row r="13" spans="1:22">
      <c r="A13" s="6" t="s">
        <v>281</v>
      </c>
      <c r="C13" s="21">
        <v>3724</v>
      </c>
      <c r="D13" s="21">
        <v>5404</v>
      </c>
      <c r="E13" s="21">
        <v>6490</v>
      </c>
      <c r="M13" s="13"/>
      <c r="N13" s="13"/>
    </row>
    <row r="14" spans="1:22">
      <c r="A14" s="6" t="s">
        <v>282</v>
      </c>
      <c r="C14" s="21">
        <v>2291</v>
      </c>
      <c r="D14" s="21">
        <v>2799</v>
      </c>
      <c r="E14" s="21">
        <v>4673</v>
      </c>
      <c r="M14" s="13"/>
      <c r="N14" s="13"/>
    </row>
    <row r="15" spans="1:22">
      <c r="A15" s="6" t="s">
        <v>283</v>
      </c>
      <c r="C15" s="21">
        <v>643</v>
      </c>
      <c r="D15" s="21">
        <v>884</v>
      </c>
      <c r="E15" s="21">
        <v>1011</v>
      </c>
      <c r="M15" s="13"/>
      <c r="N15" s="13"/>
    </row>
    <row r="16" spans="1:22">
      <c r="A16" s="14" t="s">
        <v>284</v>
      </c>
      <c r="C16" s="23">
        <f>C12+C13+C14+C15</f>
        <v>13240</v>
      </c>
      <c r="D16" s="23">
        <f>D12+D13+D14+D15</f>
        <v>17636</v>
      </c>
      <c r="E16" s="23">
        <f>E12+E13+E14+E15</f>
        <v>20848</v>
      </c>
      <c r="M16" s="24"/>
      <c r="N16" s="24"/>
    </row>
    <row r="17" spans="1:22">
      <c r="A17" s="17" t="s">
        <v>285</v>
      </c>
      <c r="C17" s="22">
        <f>C16-'Income Statement'!C14</f>
        <v>0</v>
      </c>
      <c r="D17" s="22">
        <f>D16-'Income Statement'!D14</f>
        <v>0</v>
      </c>
      <c r="E17" s="22">
        <f>E16-'Income Statement'!E14</f>
        <v>0</v>
      </c>
      <c r="M17" s="13"/>
      <c r="N17" s="13"/>
    </row>
    <row r="18" spans="1:22">
      <c r="M18" s="13"/>
      <c r="N18" s="13"/>
    </row>
    <row r="19" spans="1:22">
      <c r="A19" s="6" t="s">
        <v>286</v>
      </c>
      <c r="C19" s="21">
        <v>2664</v>
      </c>
      <c r="D19" s="21">
        <v>3853</v>
      </c>
      <c r="E19" s="21">
        <v>4093</v>
      </c>
      <c r="M19" s="13"/>
      <c r="N19" s="13"/>
    </row>
    <row r="20" spans="1:22">
      <c r="A20" s="6" t="s">
        <v>287</v>
      </c>
      <c r="C20" s="21">
        <v>1282</v>
      </c>
      <c r="D20" s="21">
        <v>2155</v>
      </c>
      <c r="E20" s="21">
        <v>2840</v>
      </c>
      <c r="M20" s="13"/>
      <c r="N20" s="13"/>
    </row>
    <row r="21" spans="1:22">
      <c r="A21" s="6" t="s">
        <v>288</v>
      </c>
      <c r="C21" s="21">
        <v>995</v>
      </c>
      <c r="D21" s="21">
        <v>1527</v>
      </c>
      <c r="E21" s="21">
        <v>2906</v>
      </c>
      <c r="M21" s="13"/>
      <c r="N21" s="13"/>
    </row>
    <row r="22" spans="1:22">
      <c r="A22" s="6" t="s">
        <v>289</v>
      </c>
      <c r="C22" s="21">
        <v>327</v>
      </c>
      <c r="D22" s="21">
        <v>447</v>
      </c>
      <c r="E22" s="21">
        <v>571</v>
      </c>
      <c r="M22" s="13"/>
      <c r="N22" s="13"/>
    </row>
    <row r="23" spans="1:22">
      <c r="A23" s="14" t="s">
        <v>290</v>
      </c>
      <c r="C23" s="23">
        <f>C19+C20+C21+C22</f>
        <v>5268</v>
      </c>
      <c r="D23" s="23">
        <f>D19+D20+D21+D22</f>
        <v>7982</v>
      </c>
      <c r="E23" s="23">
        <f>E19+E20+E21+E22</f>
        <v>10410</v>
      </c>
      <c r="M23" s="24"/>
      <c r="N23" s="24"/>
    </row>
    <row r="24" spans="1:22">
      <c r="A24" s="6" t="s">
        <v>291</v>
      </c>
      <c r="C24" s="27">
        <f>'Income Statement'!C37-C23</f>
        <v>-5677</v>
      </c>
      <c r="D24" s="27">
        <f>'Income Statement'!D37-D23</f>
        <v>-5599</v>
      </c>
      <c r="E24" s="27">
        <f>'Income Statement'!E37-E23</f>
        <v>-5275</v>
      </c>
      <c r="M24" s="13"/>
      <c r="N24" s="13"/>
    </row>
    <row r="25" spans="1:22">
      <c r="A25" s="14" t="s">
        <v>292</v>
      </c>
      <c r="C25" s="29">
        <f>'Income Statement'!C37</f>
        <v>-409</v>
      </c>
      <c r="D25" s="29">
        <f>'Income Statement'!D37</f>
        <v>2383</v>
      </c>
      <c r="E25" s="29">
        <f>'Income Statement'!E37</f>
        <v>5135</v>
      </c>
      <c r="M25" s="13"/>
      <c r="N25" s="13"/>
    </row>
    <row r="26" spans="1:22" ht="8" customHeight="1">
      <c r="M26" s="13"/>
      <c r="N26" s="13"/>
    </row>
    <row r="27" spans="1:22" ht="20" customHeight="1">
      <c r="A27" s="5" t="s">
        <v>293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3"/>
      <c r="N27" s="13"/>
      <c r="O27" s="2"/>
      <c r="P27" s="2"/>
      <c r="Q27" s="2"/>
      <c r="R27" s="2"/>
      <c r="S27" s="2"/>
      <c r="T27" s="2"/>
      <c r="U27" s="2"/>
      <c r="V27" s="2"/>
    </row>
    <row r="28" spans="1:22">
      <c r="A28" s="6" t="s">
        <v>294</v>
      </c>
      <c r="F28" s="21">
        <v>17368</v>
      </c>
      <c r="M28" s="13"/>
      <c r="N28" s="13"/>
    </row>
    <row r="29" spans="1:22">
      <c r="A29" s="6" t="s">
        <v>295</v>
      </c>
      <c r="F29" s="21">
        <v>5156</v>
      </c>
      <c r="M29" s="13"/>
      <c r="N29" s="13"/>
    </row>
    <row r="30" spans="1:22">
      <c r="A30" s="6" t="s">
        <v>296</v>
      </c>
      <c r="F30" s="21">
        <v>73</v>
      </c>
      <c r="M30" s="13"/>
      <c r="N30" s="13"/>
    </row>
    <row r="31" spans="1:22">
      <c r="A31" s="14" t="s">
        <v>284</v>
      </c>
      <c r="F31" s="23">
        <f>F28+F29+F30</f>
        <v>22597</v>
      </c>
      <c r="M31" s="24"/>
      <c r="N31" s="24"/>
    </row>
    <row r="32" spans="1:22">
      <c r="A32" s="17" t="s">
        <v>285</v>
      </c>
      <c r="F32" s="22">
        <f>F31-'Income Statement'!F14</f>
        <v>0</v>
      </c>
      <c r="M32" s="13"/>
      <c r="N32" s="13"/>
    </row>
    <row r="33" spans="1:22">
      <c r="M33" s="13"/>
      <c r="N33" s="13"/>
    </row>
    <row r="34" spans="1:22">
      <c r="A34" s="6" t="s">
        <v>297</v>
      </c>
      <c r="F34" s="21">
        <v>8150</v>
      </c>
      <c r="M34" s="13"/>
      <c r="N34" s="13"/>
    </row>
    <row r="35" spans="1:22">
      <c r="A35" s="6" t="s">
        <v>298</v>
      </c>
      <c r="F35" s="21">
        <v>3781</v>
      </c>
      <c r="M35" s="13"/>
      <c r="N35" s="13"/>
    </row>
    <row r="36" spans="1:22">
      <c r="A36" s="6" t="s">
        <v>299</v>
      </c>
      <c r="F36" s="21">
        <v>-2</v>
      </c>
      <c r="M36" s="13"/>
      <c r="N36" s="13"/>
    </row>
    <row r="37" spans="1:22">
      <c r="A37" s="14" t="s">
        <v>290</v>
      </c>
      <c r="F37" s="23">
        <f>F34+F35+F36</f>
        <v>11929</v>
      </c>
      <c r="M37" s="24"/>
      <c r="N37" s="24"/>
    </row>
    <row r="38" spans="1:22">
      <c r="A38" s="6" t="s">
        <v>291</v>
      </c>
      <c r="F38" s="27">
        <f>'Income Statement'!F37-F37</f>
        <v>-8485</v>
      </c>
      <c r="M38" s="13"/>
      <c r="N38" s="13"/>
    </row>
    <row r="39" spans="1:22">
      <c r="A39" s="14" t="s">
        <v>292</v>
      </c>
      <c r="F39" s="29">
        <f>'Income Statement'!F37</f>
        <v>3444</v>
      </c>
      <c r="M39" s="13"/>
      <c r="N39" s="13"/>
    </row>
    <row r="40" spans="1:22" ht="8" customHeight="1">
      <c r="M40" s="13"/>
      <c r="N40" s="13"/>
    </row>
    <row r="41" spans="1:22" ht="20" customHeight="1">
      <c r="A41" s="5" t="s">
        <v>300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3"/>
      <c r="O41" s="2"/>
      <c r="P41" s="2"/>
      <c r="Q41" s="2"/>
      <c r="R41" s="2"/>
      <c r="S41" s="2"/>
      <c r="T41" s="2"/>
      <c r="U41" s="2"/>
      <c r="V41" s="2"/>
    </row>
    <row r="42" spans="1:22">
      <c r="A42" s="6" t="s">
        <v>301</v>
      </c>
      <c r="G42" s="21">
        <v>17267</v>
      </c>
      <c r="H42" s="21">
        <v>20383</v>
      </c>
      <c r="I42" s="21">
        <v>25818</v>
      </c>
      <c r="J42" s="21">
        <v>28182</v>
      </c>
      <c r="K42" s="21">
        <v>30096</v>
      </c>
      <c r="L42" s="21">
        <v>36858</v>
      </c>
      <c r="M42" s="13"/>
      <c r="N42" s="13"/>
      <c r="O42" s="21">
        <v>7202</v>
      </c>
      <c r="P42" s="21">
        <v>7274</v>
      </c>
      <c r="Q42" s="21">
        <v>8212</v>
      </c>
      <c r="R42" s="21">
        <v>8408</v>
      </c>
      <c r="S42" s="21">
        <v>9166</v>
      </c>
      <c r="T42" s="21">
        <v>12515</v>
      </c>
      <c r="U42" s="21">
        <v>15009</v>
      </c>
      <c r="V42" s="21">
        <v>20839</v>
      </c>
    </row>
    <row r="43" spans="1:22">
      <c r="A43" s="44" t="s">
        <v>302</v>
      </c>
      <c r="G43" s="21"/>
      <c r="H43" s="49">
        <f>H42/G42-1</f>
        <v>0.1804598366826895</v>
      </c>
      <c r="I43" s="49">
        <f>I42/H42-1</f>
        <v>0.26664377177059317</v>
      </c>
      <c r="J43" s="49">
        <f>J42/I42-1</f>
        <v>9.1564025098768376E-2</v>
      </c>
      <c r="K43" s="49">
        <f>K42/J42-1</f>
        <v>6.7915690866510614E-2</v>
      </c>
      <c r="L43" s="49">
        <f>L42/K42-1</f>
        <v>0.22468102073365226</v>
      </c>
      <c r="M43" s="13"/>
      <c r="N43" s="13"/>
      <c r="O43" s="21"/>
      <c r="P43" s="21"/>
      <c r="Q43" s="21"/>
      <c r="R43" s="50">
        <f>R42/O42-1</f>
        <v>0.16745348514301583</v>
      </c>
      <c r="S43" s="50">
        <f>S42/P42-1</f>
        <v>0.26010448171569966</v>
      </c>
      <c r="T43" s="50">
        <f>T42/Q42-1</f>
        <v>0.52398928397467115</v>
      </c>
      <c r="U43" s="50">
        <f>U42/R42-1</f>
        <v>0.78508563273073273</v>
      </c>
      <c r="V43" s="50">
        <f>V42/S42-1</f>
        <v>1.2735108007855116</v>
      </c>
    </row>
    <row r="44" spans="1:22">
      <c r="A44" s="6" t="s">
        <v>303</v>
      </c>
      <c r="G44" s="21">
        <v>6621</v>
      </c>
      <c r="H44" s="21">
        <v>7067</v>
      </c>
      <c r="I44" s="21">
        <v>7385</v>
      </c>
      <c r="J44" s="21">
        <v>7637</v>
      </c>
      <c r="K44" s="21">
        <v>21478</v>
      </c>
      <c r="L44" s="21">
        <v>27029</v>
      </c>
      <c r="M44" s="13"/>
      <c r="N44" s="13"/>
      <c r="O44" s="21">
        <v>5285</v>
      </c>
      <c r="P44" s="21">
        <v>5798</v>
      </c>
      <c r="Q44" s="21">
        <v>6704</v>
      </c>
      <c r="R44" s="21">
        <v>6596</v>
      </c>
      <c r="S44" s="21">
        <v>6786</v>
      </c>
      <c r="T44" s="21">
        <v>6796</v>
      </c>
      <c r="U44" s="21">
        <v>7178</v>
      </c>
      <c r="V44" s="21">
        <v>8752</v>
      </c>
    </row>
    <row r="45" spans="1:22">
      <c r="A45" s="44" t="s">
        <v>302</v>
      </c>
      <c r="G45" s="21"/>
      <c r="H45" s="49">
        <f>H44/G44-1</f>
        <v>6.7361425766500505E-2</v>
      </c>
      <c r="I45" s="49">
        <f>I44/H44-1</f>
        <v>4.4997877458610391E-2</v>
      </c>
      <c r="J45" s="49">
        <f>J44/I44-1</f>
        <v>3.4123222748815074E-2</v>
      </c>
      <c r="K45" s="49">
        <f>K44/J44-1</f>
        <v>1.8123608746890141</v>
      </c>
      <c r="L45" s="49">
        <f>L44/K44-1</f>
        <v>0.25845050749604237</v>
      </c>
      <c r="M45" s="13"/>
      <c r="N45" s="13"/>
      <c r="O45" s="21"/>
      <c r="P45" s="21"/>
      <c r="Q45" s="21"/>
      <c r="R45" s="50">
        <f>R44/O44-1</f>
        <v>0.24806054872280048</v>
      </c>
      <c r="S45" s="50">
        <f>S44/P44-1</f>
        <v>0.17040358744394624</v>
      </c>
      <c r="T45" s="50">
        <f>T44/Q44-1</f>
        <v>1.3723150357995317E-2</v>
      </c>
      <c r="U45" s="50">
        <f>U44/R44-1</f>
        <v>8.8235294117646967E-2</v>
      </c>
      <c r="V45" s="50">
        <f>V44/S44-1</f>
        <v>0.28971411730032415</v>
      </c>
    </row>
    <row r="46" spans="1:22">
      <c r="A46" s="14" t="s">
        <v>284</v>
      </c>
      <c r="G46" s="23">
        <f t="shared" ref="G46:L46" si="0">G42+G44</f>
        <v>23888</v>
      </c>
      <c r="H46" s="23">
        <f t="shared" si="0"/>
        <v>27450</v>
      </c>
      <c r="I46" s="23">
        <f t="shared" si="0"/>
        <v>33203</v>
      </c>
      <c r="J46" s="23">
        <f t="shared" si="0"/>
        <v>35819</v>
      </c>
      <c r="K46" s="23">
        <f t="shared" si="0"/>
        <v>51574</v>
      </c>
      <c r="L46" s="23">
        <f t="shared" si="0"/>
        <v>63887</v>
      </c>
      <c r="M46" s="24"/>
      <c r="N46" s="24"/>
      <c r="O46" s="23">
        <f t="shared" ref="O46:V46" si="1">O42+O44</f>
        <v>12487</v>
      </c>
      <c r="P46" s="23">
        <f t="shared" si="1"/>
        <v>13072</v>
      </c>
      <c r="Q46" s="23">
        <f t="shared" si="1"/>
        <v>14916</v>
      </c>
      <c r="R46" s="23">
        <f t="shared" si="1"/>
        <v>15004</v>
      </c>
      <c r="S46" s="23">
        <f t="shared" si="1"/>
        <v>15952</v>
      </c>
      <c r="T46" s="23">
        <f t="shared" si="1"/>
        <v>19311</v>
      </c>
      <c r="U46" s="23">
        <f t="shared" si="1"/>
        <v>22187</v>
      </c>
      <c r="V46" s="23">
        <f t="shared" si="1"/>
        <v>29591</v>
      </c>
    </row>
    <row r="47" spans="1:22">
      <c r="A47" s="44" t="s">
        <v>285</v>
      </c>
      <c r="G47" s="22">
        <f>G46-'Income Statement'!G14</f>
        <v>0</v>
      </c>
      <c r="H47" s="51">
        <f>H46-'Income Statement'!H14</f>
        <v>0</v>
      </c>
      <c r="I47" s="51">
        <f>I46-'Income Statement'!I14</f>
        <v>0</v>
      </c>
      <c r="J47" s="51">
        <f>J46-'Income Statement'!J14</f>
        <v>0</v>
      </c>
      <c r="K47" s="51">
        <f>K46-'Income Statement'!K14</f>
        <v>0</v>
      </c>
      <c r="L47" s="51">
        <f>L46-'Income Statement'!L14</f>
        <v>0</v>
      </c>
      <c r="M47" s="13"/>
      <c r="N47" s="13"/>
      <c r="O47" s="22">
        <f>O46-'Income Statement'!O14</f>
        <v>0</v>
      </c>
      <c r="P47" s="22">
        <f>P46-'Income Statement'!P14</f>
        <v>0</v>
      </c>
      <c r="Q47" s="22">
        <f>Q46-'Income Statement'!Q14</f>
        <v>0</v>
      </c>
      <c r="R47" s="22">
        <f>R46-'Income Statement'!R14</f>
        <v>0</v>
      </c>
      <c r="S47" s="22">
        <f>S46-'Income Statement'!S14</f>
        <v>0</v>
      </c>
      <c r="T47" s="22">
        <f>T46-'Income Statement'!T14</f>
        <v>0</v>
      </c>
      <c r="U47" s="22">
        <f>U46-'Income Statement'!U14</f>
        <v>0</v>
      </c>
      <c r="V47" s="22">
        <f>V46-'Income Statement'!V14</f>
        <v>0</v>
      </c>
    </row>
    <row r="48" spans="1:22">
      <c r="A48" s="44" t="s">
        <v>302</v>
      </c>
      <c r="G48" s="22"/>
      <c r="H48" s="50">
        <f>H46/G46-1</f>
        <v>0.14911252511721362</v>
      </c>
      <c r="I48" s="50">
        <f>I46/H46-1</f>
        <v>0.20958105646630232</v>
      </c>
      <c r="J48" s="50">
        <f>J46/I46-1</f>
        <v>7.8788061319760239E-2</v>
      </c>
      <c r="K48" s="50">
        <f>K46/J46-1</f>
        <v>0.43985035874815037</v>
      </c>
      <c r="L48" s="50">
        <f>L46/K46-1</f>
        <v>0.23874432853763516</v>
      </c>
      <c r="M48" s="13"/>
      <c r="N48" s="13"/>
      <c r="O48" s="22"/>
      <c r="P48" s="22"/>
      <c r="Q48" s="22"/>
      <c r="R48" s="50">
        <f>R46/O46-1</f>
        <v>0.20156963241771453</v>
      </c>
      <c r="S48" s="50">
        <f>S46/P46-1</f>
        <v>0.2203182374541004</v>
      </c>
      <c r="T48" s="50">
        <f>T46/Q46-1</f>
        <v>0.29465004022526142</v>
      </c>
      <c r="U48" s="50">
        <f>U46/R46-1</f>
        <v>0.47873900293255134</v>
      </c>
      <c r="V48" s="50">
        <f>V46/S46-1</f>
        <v>0.85500250752256779</v>
      </c>
    </row>
    <row r="49" spans="1:22">
      <c r="M49" s="13"/>
      <c r="N49" s="13"/>
    </row>
    <row r="50" spans="1:22">
      <c r="M50" s="13"/>
      <c r="N50" s="13"/>
    </row>
    <row r="51" spans="1:22">
      <c r="A51" s="55" t="s">
        <v>304</v>
      </c>
      <c r="G51" s="21">
        <v>8576</v>
      </c>
      <c r="H51" s="21">
        <v>10976</v>
      </c>
      <c r="I51" s="21">
        <v>15075</v>
      </c>
      <c r="J51" s="21">
        <v>16486</v>
      </c>
      <c r="K51" s="21">
        <v>16759</v>
      </c>
      <c r="L51" s="21">
        <v>21232</v>
      </c>
      <c r="M51" s="13"/>
      <c r="N51" s="13"/>
      <c r="O51" s="21">
        <v>3978</v>
      </c>
      <c r="P51" s="21">
        <v>4042</v>
      </c>
      <c r="Q51" s="21">
        <v>4706</v>
      </c>
      <c r="R51" s="21">
        <v>4806</v>
      </c>
      <c r="S51" s="21">
        <v>5217</v>
      </c>
      <c r="T51" s="21">
        <v>7503</v>
      </c>
      <c r="U51" s="21">
        <v>9281</v>
      </c>
      <c r="V51" s="21">
        <v>12770</v>
      </c>
    </row>
    <row r="52" spans="1:22">
      <c r="A52" s="44" t="s">
        <v>302</v>
      </c>
      <c r="G52" s="21"/>
      <c r="H52" s="49">
        <f>H51/G51-1</f>
        <v>0.2798507462686568</v>
      </c>
      <c r="I52" s="49">
        <f>I51/H51-1</f>
        <v>0.37345116618075802</v>
      </c>
      <c r="J52" s="49">
        <f>J51/I51-1</f>
        <v>9.3598673300165913E-2</v>
      </c>
      <c r="K52" s="49">
        <f>K51/J51-1</f>
        <v>1.6559505034574817E-2</v>
      </c>
      <c r="L52" s="49">
        <f>L51/K51-1</f>
        <v>0.26690136642997797</v>
      </c>
      <c r="M52" s="13"/>
      <c r="N52" s="13"/>
      <c r="O52" s="21"/>
      <c r="P52" s="21"/>
      <c r="Q52" s="21"/>
      <c r="R52" s="50">
        <f>R51/O51-1</f>
        <v>0.20814479638009042</v>
      </c>
      <c r="S52" s="50">
        <f>S51/P51-1</f>
        <v>0.29069767441860472</v>
      </c>
      <c r="T52" s="50">
        <f>T51/Q51-1</f>
        <v>0.59434764130896722</v>
      </c>
      <c r="U52" s="50">
        <f>U51/R51-1</f>
        <v>0.93112775697045369</v>
      </c>
      <c r="V52" s="50">
        <f>V51/S51-1</f>
        <v>1.4477669158520223</v>
      </c>
    </row>
    <row r="53" spans="1:22">
      <c r="A53" s="55" t="s">
        <v>305</v>
      </c>
      <c r="G53" s="21">
        <v>4363</v>
      </c>
      <c r="H53" s="21">
        <v>4936</v>
      </c>
      <c r="I53" s="21">
        <v>5219</v>
      </c>
      <c r="J53" s="21">
        <v>5639</v>
      </c>
      <c r="K53" s="21">
        <v>13977</v>
      </c>
      <c r="L53" s="21">
        <v>20765</v>
      </c>
      <c r="M53" s="13"/>
      <c r="N53" s="13"/>
      <c r="O53" s="21">
        <v>3168</v>
      </c>
      <c r="P53" s="21">
        <v>3906</v>
      </c>
      <c r="Q53" s="21">
        <v>5122</v>
      </c>
      <c r="R53" s="21">
        <v>4987</v>
      </c>
      <c r="S53" s="21">
        <v>5238</v>
      </c>
      <c r="T53" s="21">
        <v>5323</v>
      </c>
      <c r="U53" s="21">
        <v>5647</v>
      </c>
      <c r="V53" s="21">
        <v>7325</v>
      </c>
    </row>
    <row r="54" spans="1:22">
      <c r="A54" s="44" t="s">
        <v>302</v>
      </c>
      <c r="G54" s="53"/>
      <c r="H54" s="54">
        <f>H53/G53-1</f>
        <v>0.1313316525326611</v>
      </c>
      <c r="I54" s="54">
        <f>I53/H53-1</f>
        <v>5.7333873581847605E-2</v>
      </c>
      <c r="J54" s="54">
        <f>J53/I53-1</f>
        <v>8.047518681739807E-2</v>
      </c>
      <c r="K54" s="54">
        <f>K53/J53-1</f>
        <v>1.4786309629366907</v>
      </c>
      <c r="L54" s="54">
        <f>L53/K53-1</f>
        <v>0.48565500465049727</v>
      </c>
      <c r="M54" s="57"/>
      <c r="N54" s="57"/>
      <c r="O54" s="53"/>
      <c r="P54" s="53"/>
      <c r="Q54" s="53"/>
      <c r="R54" s="58">
        <f>R53/O53-1</f>
        <v>0.57417929292929304</v>
      </c>
      <c r="S54" s="58">
        <f>S53/P53-1</f>
        <v>0.3410138248847927</v>
      </c>
      <c r="T54" s="58">
        <f>T53/Q53-1</f>
        <v>3.924248340491987E-2</v>
      </c>
      <c r="U54" s="58">
        <f>U53/R53-1</f>
        <v>0.13234409464607988</v>
      </c>
      <c r="V54" s="58">
        <f>V53/S53-1</f>
        <v>0.39843451699121801</v>
      </c>
    </row>
    <row r="55" spans="1:22">
      <c r="A55" s="55" t="s">
        <v>306</v>
      </c>
      <c r="G55" s="56">
        <f t="shared" ref="G55:L55" si="2">G51/G42</f>
        <v>0.49666994845659351</v>
      </c>
      <c r="H55" s="56">
        <f t="shared" si="2"/>
        <v>0.53848795564931562</v>
      </c>
      <c r="I55" s="56">
        <f t="shared" si="2"/>
        <v>0.58389495700673943</v>
      </c>
      <c r="J55" s="56">
        <f t="shared" si="2"/>
        <v>0.58498332268824071</v>
      </c>
      <c r="K55" s="56">
        <f t="shared" si="2"/>
        <v>0.55685140882509299</v>
      </c>
      <c r="L55" s="56">
        <f t="shared" si="2"/>
        <v>0.57604861902436377</v>
      </c>
      <c r="M55" s="13"/>
      <c r="N55" s="13"/>
      <c r="O55" s="56">
        <f t="shared" ref="O55:V55" si="3">O51/O42</f>
        <v>0.55234657039711188</v>
      </c>
      <c r="P55" s="56">
        <f t="shared" si="3"/>
        <v>0.55567775639263128</v>
      </c>
      <c r="Q55" s="56">
        <f t="shared" si="3"/>
        <v>0.57306380905991228</v>
      </c>
      <c r="R55" s="56">
        <f t="shared" si="3"/>
        <v>0.57159847764034255</v>
      </c>
      <c r="S55" s="56">
        <f t="shared" si="3"/>
        <v>0.56916866681213174</v>
      </c>
      <c r="T55" s="56">
        <f t="shared" si="3"/>
        <v>0.59952057530962843</v>
      </c>
      <c r="U55" s="56">
        <f t="shared" si="3"/>
        <v>0.61836231594376712</v>
      </c>
      <c r="V55" s="56">
        <f t="shared" si="3"/>
        <v>0.61279332021690103</v>
      </c>
    </row>
    <row r="56" spans="1:22">
      <c r="A56" s="55" t="s">
        <v>307</v>
      </c>
      <c r="G56" s="56">
        <f t="shared" ref="G56:L56" si="4">G53/G44</f>
        <v>0.65896390273372607</v>
      </c>
      <c r="H56" s="56">
        <f t="shared" si="4"/>
        <v>0.69845761992358846</v>
      </c>
      <c r="I56" s="56">
        <f t="shared" si="4"/>
        <v>0.70670277589708874</v>
      </c>
      <c r="J56" s="56">
        <f t="shared" si="4"/>
        <v>0.73837894461175857</v>
      </c>
      <c r="K56" s="56">
        <f t="shared" si="4"/>
        <v>0.65075891610019554</v>
      </c>
      <c r="L56" s="56">
        <f t="shared" si="4"/>
        <v>0.76824891782899851</v>
      </c>
      <c r="M56" s="13"/>
      <c r="N56" s="13"/>
      <c r="O56" s="56">
        <f t="shared" ref="O56:V56" si="5">O53/O44</f>
        <v>0.59943235572374642</v>
      </c>
      <c r="P56" s="56">
        <f t="shared" si="5"/>
        <v>0.6736805795101759</v>
      </c>
      <c r="Q56" s="56">
        <f t="shared" si="5"/>
        <v>0.76402147971360379</v>
      </c>
      <c r="R56" s="56">
        <f t="shared" si="5"/>
        <v>0.75606428138265613</v>
      </c>
      <c r="S56" s="56">
        <f t="shared" si="5"/>
        <v>0.77188328912466841</v>
      </c>
      <c r="T56" s="56">
        <f t="shared" si="5"/>
        <v>0.78325485579752796</v>
      </c>
      <c r="U56" s="56">
        <f t="shared" si="5"/>
        <v>0.78670938980217331</v>
      </c>
      <c r="V56" s="56">
        <f t="shared" si="5"/>
        <v>0.83695155393053011</v>
      </c>
    </row>
    <row r="57" spans="1:22">
      <c r="A57" s="14" t="s">
        <v>290</v>
      </c>
      <c r="G57" s="23">
        <f t="shared" ref="G57:L57" si="6">G51+G53</f>
        <v>12939</v>
      </c>
      <c r="H57" s="23">
        <f t="shared" si="6"/>
        <v>15912</v>
      </c>
      <c r="I57" s="23">
        <f t="shared" si="6"/>
        <v>20294</v>
      </c>
      <c r="J57" s="23">
        <f t="shared" si="6"/>
        <v>22125</v>
      </c>
      <c r="K57" s="23">
        <f t="shared" si="6"/>
        <v>30736</v>
      </c>
      <c r="L57" s="23">
        <f t="shared" si="6"/>
        <v>41997</v>
      </c>
      <c r="M57" s="24"/>
      <c r="N57" s="24"/>
      <c r="O57" s="23">
        <f t="shared" ref="O57:V57" si="7">O51+O53</f>
        <v>7146</v>
      </c>
      <c r="P57" s="23">
        <f t="shared" si="7"/>
        <v>7948</v>
      </c>
      <c r="Q57" s="23">
        <f t="shared" si="7"/>
        <v>9828</v>
      </c>
      <c r="R57" s="23">
        <f t="shared" si="7"/>
        <v>9793</v>
      </c>
      <c r="S57" s="23">
        <f t="shared" si="7"/>
        <v>10455</v>
      </c>
      <c r="T57" s="23">
        <f t="shared" si="7"/>
        <v>12826</v>
      </c>
      <c r="U57" s="23">
        <f t="shared" si="7"/>
        <v>14928</v>
      </c>
      <c r="V57" s="23">
        <f t="shared" si="7"/>
        <v>20095</v>
      </c>
    </row>
    <row r="58" spans="1:22" ht="14" customHeight="1">
      <c r="A58" s="6" t="s">
        <v>291</v>
      </c>
      <c r="B58" s="20" t="s">
        <v>308</v>
      </c>
      <c r="G58" s="27">
        <f>'Income Statement'!G37-G57</f>
        <v>-8925</v>
      </c>
      <c r="H58" s="27">
        <f>'Income Statement'!H37-H57</f>
        <v>-7393</v>
      </c>
      <c r="I58" s="27">
        <f>'Income Statement'!I37-I57</f>
        <v>-6069</v>
      </c>
      <c r="J58" s="27">
        <f>'Income Statement'!J37-J57</f>
        <v>-5918</v>
      </c>
      <c r="K58" s="27">
        <f>'Income Statement'!K37-K57</f>
        <v>-17273</v>
      </c>
      <c r="L58" s="27">
        <f>'Income Statement'!L37-L57</f>
        <v>-16513</v>
      </c>
      <c r="M58" s="13"/>
      <c r="N58" s="13"/>
      <c r="O58" s="27">
        <f>'Income Statement'!O37-O57</f>
        <v>-4181</v>
      </c>
      <c r="P58" s="27">
        <f>'Income Statement'!P37-P57</f>
        <v>-4160</v>
      </c>
      <c r="Q58" s="27">
        <f>'Income Statement'!Q37-Q57</f>
        <v>-3568</v>
      </c>
      <c r="R58" s="27">
        <f>'Income Statement'!R37-R57</f>
        <v>-3964</v>
      </c>
      <c r="S58" s="27">
        <f>'Income Statement'!S37-S57</f>
        <v>-4568</v>
      </c>
      <c r="T58" s="27">
        <f>'Income Statement'!T37-T57</f>
        <v>-4263</v>
      </c>
      <c r="U58" s="27">
        <f>'Income Statement'!U37-U57</f>
        <v>-4140</v>
      </c>
      <c r="V58" s="27">
        <f>'Income Statement'!V37-V57</f>
        <v>-4140</v>
      </c>
    </row>
    <row r="59" spans="1:22">
      <c r="A59" s="59" t="s">
        <v>292</v>
      </c>
      <c r="G59" s="29">
        <f>'Income Statement'!G37</f>
        <v>4014</v>
      </c>
      <c r="H59" s="29">
        <f>'Income Statement'!H37</f>
        <v>8519</v>
      </c>
      <c r="I59" s="29">
        <f>'Income Statement'!I37</f>
        <v>14225</v>
      </c>
      <c r="J59" s="29">
        <f>'Income Statement'!J37</f>
        <v>16207</v>
      </c>
      <c r="K59" s="29">
        <f>'Income Statement'!K37</f>
        <v>13463</v>
      </c>
      <c r="L59" s="29">
        <f>'Income Statement'!L37</f>
        <v>25484</v>
      </c>
      <c r="M59" s="13"/>
      <c r="N59" s="13"/>
      <c r="O59" s="29">
        <f>'Income Statement'!O37</f>
        <v>2965</v>
      </c>
      <c r="P59" s="29">
        <f>'Income Statement'!P37</f>
        <v>3788</v>
      </c>
      <c r="Q59" s="29">
        <f>'Income Statement'!Q37</f>
        <v>6260</v>
      </c>
      <c r="R59" s="29">
        <f>'Income Statement'!R37</f>
        <v>5829</v>
      </c>
      <c r="S59" s="29">
        <f>'Income Statement'!S37</f>
        <v>5887</v>
      </c>
      <c r="T59" s="29">
        <f>'Income Statement'!T37</f>
        <v>8563</v>
      </c>
      <c r="U59" s="29">
        <f>'Income Statement'!U37</f>
        <v>10788</v>
      </c>
      <c r="V59" s="29">
        <f>'Income Statement'!V37</f>
        <v>15955</v>
      </c>
    </row>
    <row r="60" spans="1:22">
      <c r="A60" s="44" t="s">
        <v>302</v>
      </c>
      <c r="G60" s="21"/>
      <c r="H60" s="49">
        <f>H59/G59-1</f>
        <v>1.1223218734429499</v>
      </c>
      <c r="I60" s="49">
        <f>I59/H59-1</f>
        <v>0.66979692452165751</v>
      </c>
      <c r="J60" s="49">
        <f>J59/I59-1</f>
        <v>0.13933216168717055</v>
      </c>
      <c r="K60" s="49">
        <f>K59/J59-1</f>
        <v>-0.16930955759856847</v>
      </c>
      <c r="L60" s="49">
        <f>L59/K59-1</f>
        <v>0.89289162890886131</v>
      </c>
      <c r="M60" s="13"/>
      <c r="N60" s="13"/>
      <c r="R60" s="52">
        <f>R59/O59-1</f>
        <v>0.96593591905564935</v>
      </c>
      <c r="S60" s="52">
        <f>S59/P59-1</f>
        <v>0.5541182682154171</v>
      </c>
      <c r="T60" s="52">
        <f>T59/Q59-1</f>
        <v>0.36789137380191694</v>
      </c>
      <c r="U60" s="52">
        <f>U59/R59-1</f>
        <v>0.85074626865671643</v>
      </c>
      <c r="V60" s="52">
        <f>V59/S59-1</f>
        <v>1.7102089349413965</v>
      </c>
    </row>
    <row r="61" spans="1:22" ht="16" customHeight="1">
      <c r="A61" s="55" t="s">
        <v>309</v>
      </c>
      <c r="G61" s="56">
        <f t="shared" ref="G61:L61" si="8">G59/G46</f>
        <v>0.16803415941058272</v>
      </c>
      <c r="H61" s="56">
        <f t="shared" si="8"/>
        <v>0.31034608378870676</v>
      </c>
      <c r="I61" s="56">
        <f t="shared" si="8"/>
        <v>0.42842514230641809</v>
      </c>
      <c r="J61" s="56">
        <f t="shared" si="8"/>
        <v>0.45246935983695802</v>
      </c>
      <c r="K61" s="56">
        <f t="shared" si="8"/>
        <v>0.26104238569822003</v>
      </c>
      <c r="L61" s="56">
        <f t="shared" si="8"/>
        <v>0.39889179332258518</v>
      </c>
      <c r="M61" s="13"/>
      <c r="N61" s="13"/>
      <c r="O61" s="56">
        <f t="shared" ref="O61:V61" si="9">O59/O46</f>
        <v>0.23744694482261552</v>
      </c>
      <c r="P61" s="56">
        <f t="shared" si="9"/>
        <v>0.28977968176254593</v>
      </c>
      <c r="Q61" s="56">
        <f t="shared" si="9"/>
        <v>0.41968356127648165</v>
      </c>
      <c r="R61" s="56">
        <f t="shared" si="9"/>
        <v>0.38849640095974408</v>
      </c>
      <c r="S61" s="56">
        <f t="shared" si="9"/>
        <v>0.36904463390170511</v>
      </c>
      <c r="T61" s="56">
        <f t="shared" si="9"/>
        <v>0.44342602661695407</v>
      </c>
      <c r="U61" s="56">
        <f t="shared" si="9"/>
        <v>0.48623067562085909</v>
      </c>
      <c r="V61" s="56">
        <f t="shared" si="9"/>
        <v>0.53918421141563311</v>
      </c>
    </row>
  </sheetData>
  <phoneticPr fontId="14" type="noConversion"/>
  <conditionalFormatting sqref="C17:V17">
    <cfRule type="cellIs" dxfId="6" priority="1" operator="notBetween">
      <formula>-0.5</formula>
      <formula>0.5</formula>
    </cfRule>
  </conditionalFormatting>
  <conditionalFormatting sqref="C32:V32">
    <cfRule type="cellIs" dxfId="5" priority="2" operator="notBetween">
      <formula>-0.5</formula>
      <formula>0.5</formula>
    </cfRule>
  </conditionalFormatting>
  <conditionalFormatting sqref="M47:V47 C48:V48">
    <cfRule type="cellIs" dxfId="4" priority="3" operator="notBetween">
      <formula>-0.5</formula>
      <formula>0.5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V42"/>
  <sheetViews>
    <sheetView showGridLines="0" zoomScaleNormal="100" workbookViewId="0">
      <pane xSplit="2" ySplit="5" topLeftCell="C6" activePane="bottomRight" state="frozen"/>
      <selection pane="topRight"/>
      <selection pane="bottomLeft"/>
      <selection pane="bottomRight" activeCell="O65" sqref="O65"/>
    </sheetView>
  </sheetViews>
  <sheetFormatPr baseColWidth="10" defaultColWidth="8.83203125" defaultRowHeight="14" outlineLevelCol="1"/>
  <cols>
    <col min="1" max="1" width="46" customWidth="1"/>
    <col min="2" max="2" width="34" hidden="1" customWidth="1" outlineLevel="1"/>
    <col min="3" max="3" width="12" hidden="1" customWidth="1" collapsed="1"/>
    <col min="4" max="6" width="12" hidden="1" customWidth="1"/>
    <col min="7" max="12" width="12" customWidth="1"/>
    <col min="13" max="14" width="9" customWidth="1"/>
    <col min="15" max="22" width="12" customWidth="1"/>
  </cols>
  <sheetData>
    <row r="1" spans="1:22" ht="2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6" customHeight="1">
      <c r="A2" s="3" t="s">
        <v>1</v>
      </c>
    </row>
    <row r="3" spans="1:22"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1" t="s">
        <v>12</v>
      </c>
      <c r="N3" s="11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0" t="s">
        <v>20</v>
      </c>
    </row>
    <row r="4" spans="1:22" hidden="1">
      <c r="C4" s="12" t="s">
        <v>21</v>
      </c>
      <c r="D4" s="12" t="s">
        <v>22</v>
      </c>
      <c r="E4" s="12" t="s">
        <v>23</v>
      </c>
      <c r="F4" s="12" t="s">
        <v>24</v>
      </c>
      <c r="G4" s="12" t="s">
        <v>25</v>
      </c>
      <c r="H4" s="12" t="s">
        <v>26</v>
      </c>
      <c r="I4" s="12" t="s">
        <v>27</v>
      </c>
      <c r="J4" s="12" t="s">
        <v>28</v>
      </c>
      <c r="K4" s="12" t="s">
        <v>29</v>
      </c>
      <c r="L4" s="12" t="s">
        <v>30</v>
      </c>
      <c r="M4" s="13"/>
      <c r="N4" s="13"/>
      <c r="O4" s="12" t="s">
        <v>31</v>
      </c>
      <c r="P4" s="12" t="s">
        <v>32</v>
      </c>
      <c r="Q4" s="12" t="s">
        <v>33</v>
      </c>
      <c r="R4" s="12" t="s">
        <v>34</v>
      </c>
      <c r="S4" s="12" t="s">
        <v>35</v>
      </c>
      <c r="T4" s="12" t="s">
        <v>36</v>
      </c>
      <c r="U4" s="12" t="s">
        <v>37</v>
      </c>
      <c r="V4" s="12" t="s">
        <v>38</v>
      </c>
    </row>
    <row r="5" spans="1:22" hidden="1">
      <c r="M5" s="13"/>
      <c r="N5" s="13"/>
    </row>
    <row r="6" spans="1:22" hidden="1">
      <c r="A6" s="14" t="s">
        <v>39</v>
      </c>
      <c r="M6" s="13"/>
      <c r="N6" s="13"/>
    </row>
    <row r="7" spans="1:22" hidden="1">
      <c r="A7" s="15" t="str">
        <f>HYPERLINK("#'Geography &amp; Products'!A10","1. REVENUE BY GEOGRAPHIC REGION (FY2019 10-K Note onward; own-period figures, not restated comparatives)")</f>
        <v>1. REVENUE BY GEOGRAPHIC REGION (FY2019 10-K Note onward; own-period figures, not restated comparatives)</v>
      </c>
      <c r="M7" s="13"/>
      <c r="N7" s="13"/>
    </row>
    <row r="8" spans="1:22" hidden="1">
      <c r="A8" s="15" t="str">
        <f>HYPERLINK("#'Geography &amp; Products'!A33","2. LONG-LIVED ASSETS BY GEOGRAPHY (Annual only — disclosed in the 10-K only, not in 10-Qs)")</f>
        <v>2. LONG-LIVED ASSETS BY GEOGRAPHY (Annual only — disclosed in the 10-K only, not in 10-Qs)</v>
      </c>
      <c r="M8" s="13"/>
      <c r="N8" s="13"/>
    </row>
    <row r="9" spans="1:22" ht="8" hidden="1" customHeight="1">
      <c r="M9" s="13"/>
      <c r="N9" s="13"/>
    </row>
    <row r="10" spans="1:22" ht="20" hidden="1" customHeight="1">
      <c r="A10" s="5" t="s">
        <v>40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3"/>
      <c r="N10" s="13"/>
      <c r="O10" s="2"/>
      <c r="P10" s="2"/>
      <c r="Q10" s="2"/>
      <c r="R10" s="2"/>
      <c r="S10" s="2"/>
      <c r="T10" s="2"/>
      <c r="U10" s="2"/>
      <c r="V10" s="2"/>
    </row>
    <row r="11" spans="1:22" ht="14" hidden="1" customHeight="1">
      <c r="A11" s="6" t="s">
        <v>41</v>
      </c>
      <c r="B11" s="20" t="s">
        <v>42</v>
      </c>
      <c r="F11" s="21">
        <v>2023</v>
      </c>
      <c r="G11" s="21">
        <v>1775</v>
      </c>
      <c r="H11" s="21">
        <v>1809</v>
      </c>
      <c r="I11" s="21">
        <v>2371</v>
      </c>
      <c r="J11" s="21">
        <v>2601</v>
      </c>
      <c r="K11" s="21">
        <v>2244</v>
      </c>
      <c r="L11" s="21">
        <v>7908</v>
      </c>
      <c r="M11" s="13"/>
      <c r="N11" s="13"/>
      <c r="O11" s="21">
        <v>473</v>
      </c>
      <c r="P11" s="21">
        <v>582</v>
      </c>
      <c r="Q11" s="21">
        <v>490</v>
      </c>
      <c r="R11" s="21">
        <v>635</v>
      </c>
      <c r="S11" s="21">
        <v>662</v>
      </c>
      <c r="T11" s="21">
        <v>2164</v>
      </c>
      <c r="U11" s="21">
        <v>2187</v>
      </c>
      <c r="V11" s="21">
        <v>2642</v>
      </c>
    </row>
    <row r="12" spans="1:22" hidden="1">
      <c r="A12" s="6" t="s">
        <v>43</v>
      </c>
      <c r="F12" s="21">
        <v>14857</v>
      </c>
      <c r="G12" s="21">
        <v>14442</v>
      </c>
      <c r="H12" s="21">
        <v>17258</v>
      </c>
      <c r="I12" s="21">
        <v>21761</v>
      </c>
      <c r="J12" s="21">
        <v>23263</v>
      </c>
      <c r="K12" s="21">
        <v>26219</v>
      </c>
      <c r="L12" s="21">
        <v>33596</v>
      </c>
      <c r="M12" s="13"/>
      <c r="N12" s="13"/>
      <c r="O12" s="21">
        <v>6267</v>
      </c>
      <c r="P12" s="21">
        <v>6411</v>
      </c>
      <c r="Q12" s="21">
        <v>7269</v>
      </c>
      <c r="R12" s="21">
        <v>7454</v>
      </c>
      <c r="S12" s="21">
        <v>8181</v>
      </c>
      <c r="T12" s="21">
        <v>10950</v>
      </c>
      <c r="U12" s="21">
        <v>13956</v>
      </c>
      <c r="V12" s="21">
        <v>20199</v>
      </c>
    </row>
    <row r="13" spans="1:22" hidden="1">
      <c r="A13" s="6" t="s">
        <v>44</v>
      </c>
      <c r="F13" s="21">
        <v>1237</v>
      </c>
      <c r="G13" s="21">
        <v>1218</v>
      </c>
      <c r="H13" s="21">
        <v>1819</v>
      </c>
      <c r="I13" s="21">
        <v>2145</v>
      </c>
      <c r="J13" s="21">
        <v>2027</v>
      </c>
      <c r="K13" s="21">
        <v>1896</v>
      </c>
      <c r="L13" s="21">
        <v>3343</v>
      </c>
      <c r="M13" s="13"/>
      <c r="N13" s="13"/>
      <c r="O13" s="21">
        <v>452</v>
      </c>
      <c r="P13" s="21">
        <v>446</v>
      </c>
      <c r="Q13" s="21">
        <v>412</v>
      </c>
      <c r="R13" s="21">
        <v>417</v>
      </c>
      <c r="S13" s="21">
        <v>414</v>
      </c>
      <c r="T13" s="21">
        <v>1016</v>
      </c>
      <c r="U13" s="21">
        <v>749</v>
      </c>
      <c r="V13" s="21">
        <v>1438</v>
      </c>
    </row>
    <row r="14" spans="1:22" hidden="1">
      <c r="A14" s="14" t="s">
        <v>45</v>
      </c>
      <c r="F14" s="23">
        <f t="shared" ref="F14:L14" si="0">F11+F12+F13</f>
        <v>18117</v>
      </c>
      <c r="G14" s="23">
        <f t="shared" si="0"/>
        <v>17435</v>
      </c>
      <c r="H14" s="23">
        <f t="shared" si="0"/>
        <v>20886</v>
      </c>
      <c r="I14" s="23">
        <f t="shared" si="0"/>
        <v>26277</v>
      </c>
      <c r="J14" s="23">
        <f t="shared" si="0"/>
        <v>27891</v>
      </c>
      <c r="K14" s="23">
        <f t="shared" si="0"/>
        <v>30359</v>
      </c>
      <c r="L14" s="23">
        <f t="shared" si="0"/>
        <v>44847</v>
      </c>
      <c r="M14" s="24"/>
      <c r="N14" s="24"/>
      <c r="O14" s="23">
        <f t="shared" ref="O14:V14" si="1">O11+O12+O13</f>
        <v>7192</v>
      </c>
      <c r="P14" s="23">
        <f t="shared" si="1"/>
        <v>7439</v>
      </c>
      <c r="Q14" s="23">
        <f t="shared" si="1"/>
        <v>8171</v>
      </c>
      <c r="R14" s="23">
        <f t="shared" si="1"/>
        <v>8506</v>
      </c>
      <c r="S14" s="23">
        <f t="shared" si="1"/>
        <v>9257</v>
      </c>
      <c r="T14" s="23">
        <f t="shared" si="1"/>
        <v>14130</v>
      </c>
      <c r="U14" s="23">
        <f t="shared" si="1"/>
        <v>16892</v>
      </c>
      <c r="V14" s="23">
        <f t="shared" si="1"/>
        <v>24279</v>
      </c>
    </row>
    <row r="15" spans="1:22" hidden="1">
      <c r="A15" s="17" t="s">
        <v>46</v>
      </c>
      <c r="F15" s="22">
        <f>F14-'Income Statement'!F16</f>
        <v>0</v>
      </c>
      <c r="G15" s="22">
        <f>G14-'Income Statement'!G16</f>
        <v>0</v>
      </c>
      <c r="H15" s="22">
        <f>H14-'Income Statement'!H16</f>
        <v>0</v>
      </c>
      <c r="I15" s="22">
        <f>I14-'Income Statement'!I16</f>
        <v>0</v>
      </c>
      <c r="J15" s="22">
        <f>J14-'Income Statement'!J16</f>
        <v>0</v>
      </c>
      <c r="K15" s="22">
        <f>K14-'Income Statement'!K16</f>
        <v>0</v>
      </c>
      <c r="L15" s="22">
        <f>L14-'Income Statement'!L16</f>
        <v>0</v>
      </c>
      <c r="M15" s="13"/>
      <c r="N15" s="13"/>
      <c r="O15" s="22">
        <f>O14-'Income Statement'!O16</f>
        <v>0</v>
      </c>
      <c r="P15" s="22">
        <f>P14-'Income Statement'!P16</f>
        <v>0</v>
      </c>
      <c r="Q15" s="22">
        <f>Q14-'Income Statement'!Q16</f>
        <v>0</v>
      </c>
      <c r="R15" s="22">
        <f>R14-'Income Statement'!R16</f>
        <v>0</v>
      </c>
      <c r="S15" s="22">
        <f>S14-'Income Statement'!S16</f>
        <v>0</v>
      </c>
      <c r="T15" s="22">
        <f>T14-'Income Statement'!T16</f>
        <v>0</v>
      </c>
      <c r="U15" s="22">
        <f>U14-'Income Statement'!U16</f>
        <v>0</v>
      </c>
      <c r="V15" s="22">
        <f>V14-'Income Statement'!V16</f>
        <v>0</v>
      </c>
    </row>
    <row r="16" spans="1:22" hidden="1">
      <c r="M16" s="13"/>
      <c r="N16" s="13"/>
    </row>
    <row r="17" spans="1:22" hidden="1">
      <c r="A17" s="6" t="s">
        <v>47</v>
      </c>
      <c r="F17" s="21">
        <v>3126</v>
      </c>
      <c r="G17" s="21">
        <v>4059</v>
      </c>
      <c r="H17" s="21">
        <v>4290</v>
      </c>
      <c r="I17" s="21">
        <v>4573</v>
      </c>
      <c r="J17" s="21">
        <v>5678</v>
      </c>
      <c r="K17" s="21">
        <v>12726</v>
      </c>
      <c r="L17" s="21">
        <v>11031</v>
      </c>
      <c r="M17" s="13"/>
      <c r="N17" s="13"/>
      <c r="O17" s="21">
        <v>3401</v>
      </c>
      <c r="P17" s="21">
        <v>3409</v>
      </c>
      <c r="Q17" s="21">
        <v>4142</v>
      </c>
      <c r="R17" s="21">
        <v>4071</v>
      </c>
      <c r="S17" s="21">
        <v>4062</v>
      </c>
      <c r="T17" s="21">
        <v>2917</v>
      </c>
      <c r="U17" s="21">
        <v>3015</v>
      </c>
      <c r="V17" s="21">
        <v>2871</v>
      </c>
    </row>
    <row r="18" spans="1:22" hidden="1">
      <c r="A18" s="6" t="s">
        <v>48</v>
      </c>
      <c r="F18" s="21">
        <v>374</v>
      </c>
      <c r="G18" s="21">
        <v>881</v>
      </c>
      <c r="H18" s="21">
        <v>720</v>
      </c>
      <c r="I18" s="21">
        <v>744</v>
      </c>
      <c r="J18" s="21">
        <v>657</v>
      </c>
      <c r="K18" s="21">
        <v>2203</v>
      </c>
      <c r="L18" s="21">
        <v>2300</v>
      </c>
      <c r="M18" s="13"/>
      <c r="N18" s="13"/>
      <c r="O18" s="21">
        <v>487</v>
      </c>
      <c r="P18" s="21">
        <v>630</v>
      </c>
      <c r="Q18" s="21">
        <v>763</v>
      </c>
      <c r="R18" s="21">
        <v>646</v>
      </c>
      <c r="S18" s="21">
        <v>779</v>
      </c>
      <c r="T18" s="21">
        <v>665</v>
      </c>
      <c r="U18" s="21">
        <v>579</v>
      </c>
      <c r="V18" s="21">
        <v>745</v>
      </c>
    </row>
    <row r="19" spans="1:22" hidden="1">
      <c r="A19" s="6" t="s">
        <v>49</v>
      </c>
      <c r="F19" s="21">
        <v>980</v>
      </c>
      <c r="G19" s="21">
        <v>1513</v>
      </c>
      <c r="H19" s="21">
        <v>1554</v>
      </c>
      <c r="I19" s="21">
        <v>1609</v>
      </c>
      <c r="J19" s="21">
        <v>1593</v>
      </c>
      <c r="K19" s="21">
        <v>6286</v>
      </c>
      <c r="L19" s="21">
        <v>5709</v>
      </c>
      <c r="M19" s="13"/>
      <c r="N19" s="13"/>
      <c r="O19" s="21">
        <v>1407</v>
      </c>
      <c r="P19" s="21">
        <v>1594</v>
      </c>
      <c r="Q19" s="21">
        <v>1840</v>
      </c>
      <c r="R19" s="21">
        <v>1781</v>
      </c>
      <c r="S19" s="21">
        <v>1854</v>
      </c>
      <c r="T19" s="21">
        <v>1599</v>
      </c>
      <c r="U19" s="21">
        <v>1701</v>
      </c>
      <c r="V19" s="21">
        <v>1696</v>
      </c>
    </row>
    <row r="20" spans="1:22" hidden="1">
      <c r="A20" s="14" t="s">
        <v>50</v>
      </c>
      <c r="F20" s="23">
        <f t="shared" ref="F20:L20" si="2">F17+F18+F19</f>
        <v>4480</v>
      </c>
      <c r="G20" s="23">
        <f t="shared" si="2"/>
        <v>6453</v>
      </c>
      <c r="H20" s="23">
        <f t="shared" si="2"/>
        <v>6564</v>
      </c>
      <c r="I20" s="23">
        <f t="shared" si="2"/>
        <v>6926</v>
      </c>
      <c r="J20" s="23">
        <f t="shared" si="2"/>
        <v>7928</v>
      </c>
      <c r="K20" s="23">
        <f t="shared" si="2"/>
        <v>21215</v>
      </c>
      <c r="L20" s="23">
        <f t="shared" si="2"/>
        <v>19040</v>
      </c>
      <c r="M20" s="24"/>
      <c r="N20" s="24"/>
      <c r="O20" s="23">
        <f t="shared" ref="O20:V20" si="3">O17+O18+O19</f>
        <v>5295</v>
      </c>
      <c r="P20" s="23">
        <f t="shared" si="3"/>
        <v>5633</v>
      </c>
      <c r="Q20" s="23">
        <f t="shared" si="3"/>
        <v>6745</v>
      </c>
      <c r="R20" s="23">
        <f t="shared" si="3"/>
        <v>6498</v>
      </c>
      <c r="S20" s="23">
        <f t="shared" si="3"/>
        <v>6695</v>
      </c>
      <c r="T20" s="23">
        <f t="shared" si="3"/>
        <v>5181</v>
      </c>
      <c r="U20" s="23">
        <f t="shared" si="3"/>
        <v>5295</v>
      </c>
      <c r="V20" s="23">
        <f t="shared" si="3"/>
        <v>5312</v>
      </c>
    </row>
    <row r="21" spans="1:22" hidden="1">
      <c r="A21" s="17" t="s">
        <v>51</v>
      </c>
      <c r="F21" s="22">
        <f>F20-'Income Statement'!F17</f>
        <v>0</v>
      </c>
      <c r="G21" s="22">
        <f>G20-'Income Statement'!G17</f>
        <v>0</v>
      </c>
      <c r="H21" s="22">
        <f>H20-'Income Statement'!H17</f>
        <v>0</v>
      </c>
      <c r="I21" s="22">
        <f>I20-'Income Statement'!I17</f>
        <v>0</v>
      </c>
      <c r="J21" s="22">
        <f>J20-'Income Statement'!J17</f>
        <v>0</v>
      </c>
      <c r="K21" s="22">
        <f>K20-'Income Statement'!K17</f>
        <v>0</v>
      </c>
      <c r="L21" s="22">
        <f>L20-'Income Statement'!L17</f>
        <v>0</v>
      </c>
      <c r="M21" s="13"/>
      <c r="N21" s="13"/>
      <c r="O21" s="22">
        <f>O20-'Income Statement'!O17</f>
        <v>0</v>
      </c>
      <c r="P21" s="22">
        <f>P20-'Income Statement'!P17</f>
        <v>0</v>
      </c>
      <c r="Q21" s="22">
        <f>Q20-'Income Statement'!Q17</f>
        <v>0</v>
      </c>
      <c r="R21" s="22">
        <f>R20-'Income Statement'!R17</f>
        <v>0</v>
      </c>
      <c r="S21" s="22">
        <f>S20-'Income Statement'!S17</f>
        <v>0</v>
      </c>
      <c r="T21" s="22">
        <f>T20-'Income Statement'!T17</f>
        <v>0</v>
      </c>
      <c r="U21" s="22">
        <f>U20-'Income Statement'!U17</f>
        <v>0</v>
      </c>
      <c r="V21" s="22">
        <f>V20-'Income Statement'!V17</f>
        <v>0</v>
      </c>
    </row>
    <row r="22" spans="1:22" hidden="1">
      <c r="M22" s="13"/>
      <c r="N22" s="13"/>
    </row>
    <row r="23" spans="1:22" hidden="1">
      <c r="A23" s="6" t="s">
        <v>52</v>
      </c>
      <c r="F23" s="27">
        <f t="shared" ref="F23:L25" si="4">F11+F17</f>
        <v>5149</v>
      </c>
      <c r="G23" s="27">
        <f t="shared" si="4"/>
        <v>5834</v>
      </c>
      <c r="H23" s="27">
        <f t="shared" si="4"/>
        <v>6099</v>
      </c>
      <c r="I23" s="27">
        <f t="shared" si="4"/>
        <v>6944</v>
      </c>
      <c r="J23" s="27">
        <f t="shared" si="4"/>
        <v>8279</v>
      </c>
      <c r="K23" s="27">
        <f t="shared" si="4"/>
        <v>14970</v>
      </c>
      <c r="L23" s="27">
        <f t="shared" si="4"/>
        <v>18939</v>
      </c>
      <c r="M23" s="13"/>
      <c r="N23" s="13"/>
      <c r="O23" s="27">
        <f t="shared" ref="O23:V25" si="5">O11+O17</f>
        <v>3874</v>
      </c>
      <c r="P23" s="27">
        <f t="shared" si="5"/>
        <v>3991</v>
      </c>
      <c r="Q23" s="27">
        <f t="shared" si="5"/>
        <v>4632</v>
      </c>
      <c r="R23" s="27">
        <f t="shared" si="5"/>
        <v>4706</v>
      </c>
      <c r="S23" s="27">
        <f t="shared" si="5"/>
        <v>4724</v>
      </c>
      <c r="T23" s="27">
        <f t="shared" si="5"/>
        <v>5081</v>
      </c>
      <c r="U23" s="27">
        <f t="shared" si="5"/>
        <v>5202</v>
      </c>
      <c r="V23" s="27">
        <f t="shared" si="5"/>
        <v>5513</v>
      </c>
    </row>
    <row r="24" spans="1:22" hidden="1">
      <c r="A24" s="6" t="s">
        <v>53</v>
      </c>
      <c r="F24" s="27">
        <f t="shared" si="4"/>
        <v>15231</v>
      </c>
      <c r="G24" s="27">
        <f t="shared" si="4"/>
        <v>15323</v>
      </c>
      <c r="H24" s="27">
        <f t="shared" si="4"/>
        <v>17978</v>
      </c>
      <c r="I24" s="27">
        <f t="shared" si="4"/>
        <v>22505</v>
      </c>
      <c r="J24" s="27">
        <f t="shared" si="4"/>
        <v>23920</v>
      </c>
      <c r="K24" s="27">
        <f t="shared" si="4"/>
        <v>28422</v>
      </c>
      <c r="L24" s="27">
        <f t="shared" si="4"/>
        <v>35896</v>
      </c>
      <c r="M24" s="13"/>
      <c r="N24" s="13"/>
      <c r="O24" s="27">
        <f t="shared" si="5"/>
        <v>6754</v>
      </c>
      <c r="P24" s="27">
        <f t="shared" si="5"/>
        <v>7041</v>
      </c>
      <c r="Q24" s="27">
        <f t="shared" si="5"/>
        <v>8032</v>
      </c>
      <c r="R24" s="27">
        <f t="shared" si="5"/>
        <v>8100</v>
      </c>
      <c r="S24" s="27">
        <f t="shared" si="5"/>
        <v>8960</v>
      </c>
      <c r="T24" s="27">
        <f t="shared" si="5"/>
        <v>11615</v>
      </c>
      <c r="U24" s="27">
        <f t="shared" si="5"/>
        <v>14535</v>
      </c>
      <c r="V24" s="27">
        <f t="shared" si="5"/>
        <v>20944</v>
      </c>
    </row>
    <row r="25" spans="1:22" hidden="1">
      <c r="A25" s="6" t="s">
        <v>54</v>
      </c>
      <c r="F25" s="27">
        <f t="shared" si="4"/>
        <v>2217</v>
      </c>
      <c r="G25" s="27">
        <f t="shared" si="4"/>
        <v>2731</v>
      </c>
      <c r="H25" s="27">
        <f t="shared" si="4"/>
        <v>3373</v>
      </c>
      <c r="I25" s="27">
        <f t="shared" si="4"/>
        <v>3754</v>
      </c>
      <c r="J25" s="27">
        <f t="shared" si="4"/>
        <v>3620</v>
      </c>
      <c r="K25" s="27">
        <f t="shared" si="4"/>
        <v>8182</v>
      </c>
      <c r="L25" s="27">
        <f t="shared" si="4"/>
        <v>9052</v>
      </c>
      <c r="M25" s="13"/>
      <c r="N25" s="13"/>
      <c r="O25" s="27">
        <f t="shared" si="5"/>
        <v>1859</v>
      </c>
      <c r="P25" s="27">
        <f t="shared" si="5"/>
        <v>2040</v>
      </c>
      <c r="Q25" s="27">
        <f t="shared" si="5"/>
        <v>2252</v>
      </c>
      <c r="R25" s="27">
        <f t="shared" si="5"/>
        <v>2198</v>
      </c>
      <c r="S25" s="27">
        <f t="shared" si="5"/>
        <v>2268</v>
      </c>
      <c r="T25" s="27">
        <f t="shared" si="5"/>
        <v>2615</v>
      </c>
      <c r="U25" s="27">
        <f t="shared" si="5"/>
        <v>2450</v>
      </c>
      <c r="V25" s="27">
        <f t="shared" si="5"/>
        <v>3134</v>
      </c>
    </row>
    <row r="26" spans="1:22" hidden="1">
      <c r="A26" s="14" t="s">
        <v>55</v>
      </c>
      <c r="F26" s="23">
        <f t="shared" ref="F26:L26" si="6">F23+F24+F25</f>
        <v>22597</v>
      </c>
      <c r="G26" s="23">
        <f t="shared" si="6"/>
        <v>23888</v>
      </c>
      <c r="H26" s="23">
        <f t="shared" si="6"/>
        <v>27450</v>
      </c>
      <c r="I26" s="23">
        <f t="shared" si="6"/>
        <v>33203</v>
      </c>
      <c r="J26" s="23">
        <f t="shared" si="6"/>
        <v>35819</v>
      </c>
      <c r="K26" s="23">
        <f t="shared" si="6"/>
        <v>51574</v>
      </c>
      <c r="L26" s="23">
        <f t="shared" si="6"/>
        <v>63887</v>
      </c>
      <c r="M26" s="24"/>
      <c r="N26" s="24"/>
      <c r="O26" s="23">
        <f t="shared" ref="O26:V26" si="7">O23+O24+O25</f>
        <v>12487</v>
      </c>
      <c r="P26" s="23">
        <f t="shared" si="7"/>
        <v>13072</v>
      </c>
      <c r="Q26" s="23">
        <f t="shared" si="7"/>
        <v>14916</v>
      </c>
      <c r="R26" s="23">
        <f t="shared" si="7"/>
        <v>15004</v>
      </c>
      <c r="S26" s="23">
        <f t="shared" si="7"/>
        <v>15952</v>
      </c>
      <c r="T26" s="23">
        <f t="shared" si="7"/>
        <v>19311</v>
      </c>
      <c r="U26" s="23">
        <f t="shared" si="7"/>
        <v>22187</v>
      </c>
      <c r="V26" s="23">
        <f t="shared" si="7"/>
        <v>29591</v>
      </c>
    </row>
    <row r="27" spans="1:22" hidden="1">
      <c r="A27" s="17" t="s">
        <v>56</v>
      </c>
      <c r="F27" s="22">
        <f>F26-'Income Statement'!F14</f>
        <v>0</v>
      </c>
      <c r="G27" s="22">
        <f>G26-'Income Statement'!G14</f>
        <v>0</v>
      </c>
      <c r="H27" s="22">
        <f>H26-'Income Statement'!H14</f>
        <v>0</v>
      </c>
      <c r="I27" s="22">
        <f>I26-'Income Statement'!I14</f>
        <v>0</v>
      </c>
      <c r="J27" s="22">
        <f>J26-'Income Statement'!J14</f>
        <v>0</v>
      </c>
      <c r="K27" s="22">
        <f>K26-'Income Statement'!K14</f>
        <v>0</v>
      </c>
      <c r="L27" s="22">
        <f>L26-'Income Statement'!L14</f>
        <v>0</v>
      </c>
      <c r="M27" s="13"/>
      <c r="N27" s="13"/>
      <c r="O27" s="22">
        <f>O26-'Income Statement'!O14</f>
        <v>0</v>
      </c>
      <c r="P27" s="22">
        <f>P26-'Income Statement'!P14</f>
        <v>0</v>
      </c>
      <c r="Q27" s="22">
        <f>Q26-'Income Statement'!Q14</f>
        <v>0</v>
      </c>
      <c r="R27" s="22">
        <f>R26-'Income Statement'!R14</f>
        <v>0</v>
      </c>
      <c r="S27" s="22">
        <f>S26-'Income Statement'!S14</f>
        <v>0</v>
      </c>
      <c r="T27" s="22">
        <f>T26-'Income Statement'!T14</f>
        <v>0</v>
      </c>
      <c r="U27" s="22">
        <f>U26-'Income Statement'!U14</f>
        <v>0</v>
      </c>
      <c r="V27" s="22">
        <f>V26-'Income Statement'!V14</f>
        <v>0</v>
      </c>
    </row>
    <row r="28" spans="1:22" hidden="1">
      <c r="M28" s="13"/>
      <c r="N28" s="13"/>
    </row>
    <row r="29" spans="1:22" hidden="1">
      <c r="A29" s="60" t="s">
        <v>57</v>
      </c>
      <c r="B29" s="61"/>
      <c r="C29" s="61"/>
      <c r="D29" s="61"/>
      <c r="E29" s="61"/>
      <c r="F29" s="62">
        <f t="shared" ref="F29:L29" si="8">F23/F26</f>
        <v>0.2278621055892375</v>
      </c>
      <c r="G29" s="62">
        <f t="shared" si="8"/>
        <v>0.24422304085733423</v>
      </c>
      <c r="H29" s="62">
        <f t="shared" si="8"/>
        <v>0.22218579234972677</v>
      </c>
      <c r="I29" s="62">
        <f t="shared" si="8"/>
        <v>0.20913772851850737</v>
      </c>
      <c r="J29" s="62">
        <f t="shared" si="8"/>
        <v>0.23113431419079258</v>
      </c>
      <c r="K29" s="62">
        <f t="shared" si="8"/>
        <v>0.29026253538604724</v>
      </c>
      <c r="L29" s="62">
        <f t="shared" si="8"/>
        <v>0.29644528620846183</v>
      </c>
      <c r="M29" s="63"/>
      <c r="N29" s="63"/>
      <c r="O29" s="62">
        <f t="shared" ref="O29:V29" si="9">O23/O26</f>
        <v>0.31024265235845278</v>
      </c>
      <c r="P29" s="62">
        <f t="shared" si="9"/>
        <v>0.30530905752753978</v>
      </c>
      <c r="Q29" s="62">
        <f t="shared" si="9"/>
        <v>0.31053901850362026</v>
      </c>
      <c r="R29" s="62">
        <f t="shared" si="9"/>
        <v>0.3136496934150893</v>
      </c>
      <c r="S29" s="62">
        <f t="shared" si="9"/>
        <v>0.2961384152457372</v>
      </c>
      <c r="T29" s="62">
        <f t="shared" si="9"/>
        <v>0.26311428719382735</v>
      </c>
      <c r="U29" s="62">
        <f t="shared" si="9"/>
        <v>0.23446162167034751</v>
      </c>
      <c r="V29" s="62">
        <f t="shared" si="9"/>
        <v>0.18630664729140617</v>
      </c>
    </row>
    <row r="30" spans="1:22" hidden="1">
      <c r="A30" s="60" t="s">
        <v>58</v>
      </c>
      <c r="B30" s="61"/>
      <c r="C30" s="61"/>
      <c r="D30" s="61"/>
      <c r="E30" s="61"/>
      <c r="F30" s="62">
        <f t="shared" ref="F30:L30" si="10">F24/F26</f>
        <v>0.67402752577775815</v>
      </c>
      <c r="G30" s="62">
        <f t="shared" si="10"/>
        <v>0.64145177494976557</v>
      </c>
      <c r="H30" s="62">
        <f t="shared" si="10"/>
        <v>0.65493624772313297</v>
      </c>
      <c r="I30" s="62">
        <f t="shared" si="10"/>
        <v>0.67780019877721898</v>
      </c>
      <c r="J30" s="62">
        <f t="shared" si="10"/>
        <v>0.6678020045227393</v>
      </c>
      <c r="K30" s="62">
        <f t="shared" si="10"/>
        <v>0.55109163532012251</v>
      </c>
      <c r="L30" s="62">
        <f t="shared" si="10"/>
        <v>0.56186704650398356</v>
      </c>
      <c r="M30" s="63"/>
      <c r="N30" s="63"/>
      <c r="O30" s="62">
        <f t="shared" ref="O30:V30" si="11">O24/O26</f>
        <v>0.54088251781853125</v>
      </c>
      <c r="P30" s="62">
        <f t="shared" si="11"/>
        <v>0.5386321909424725</v>
      </c>
      <c r="Q30" s="62">
        <f t="shared" si="11"/>
        <v>0.53848216680075089</v>
      </c>
      <c r="R30" s="62">
        <f t="shared" si="11"/>
        <v>0.5398560383897627</v>
      </c>
      <c r="S30" s="62">
        <f t="shared" si="11"/>
        <v>0.56168505516549649</v>
      </c>
      <c r="T30" s="62">
        <f t="shared" si="11"/>
        <v>0.60147066438817254</v>
      </c>
      <c r="U30" s="62">
        <f t="shared" si="11"/>
        <v>0.65511335466714737</v>
      </c>
      <c r="V30" s="62">
        <f t="shared" si="11"/>
        <v>0.70778277178871951</v>
      </c>
    </row>
    <row r="31" spans="1:22" hidden="1">
      <c r="A31" s="60" t="s">
        <v>59</v>
      </c>
      <c r="B31" s="61"/>
      <c r="C31" s="61"/>
      <c r="D31" s="61"/>
      <c r="E31" s="61"/>
      <c r="F31" s="62">
        <f t="shared" ref="F31:L31" si="12">F25/F26</f>
        <v>9.8110368633004374E-2</v>
      </c>
      <c r="G31" s="62">
        <f t="shared" si="12"/>
        <v>0.11432518419290021</v>
      </c>
      <c r="H31" s="62">
        <f t="shared" si="12"/>
        <v>0.12287795992714025</v>
      </c>
      <c r="I31" s="62">
        <f t="shared" si="12"/>
        <v>0.11306207270427371</v>
      </c>
      <c r="J31" s="62">
        <f t="shared" si="12"/>
        <v>0.10106368128646807</v>
      </c>
      <c r="K31" s="62">
        <f t="shared" si="12"/>
        <v>0.15864582929383023</v>
      </c>
      <c r="L31" s="62">
        <f t="shared" si="12"/>
        <v>0.14168766728755458</v>
      </c>
      <c r="M31" s="63"/>
      <c r="N31" s="63"/>
      <c r="O31" s="62">
        <f t="shared" ref="O31:V31" si="13">O25/O26</f>
        <v>0.14887482982301595</v>
      </c>
      <c r="P31" s="62">
        <f t="shared" si="13"/>
        <v>0.15605875152998777</v>
      </c>
      <c r="Q31" s="62">
        <f t="shared" si="13"/>
        <v>0.15097881469562885</v>
      </c>
      <c r="R31" s="62">
        <f t="shared" si="13"/>
        <v>0.14649426819514796</v>
      </c>
      <c r="S31" s="62">
        <f t="shared" si="13"/>
        <v>0.14217652958876631</v>
      </c>
      <c r="T31" s="62">
        <f t="shared" si="13"/>
        <v>0.13541504841800012</v>
      </c>
      <c r="U31" s="62">
        <f t="shared" si="13"/>
        <v>0.11042502366250508</v>
      </c>
      <c r="V31" s="62">
        <f t="shared" si="13"/>
        <v>0.10591058091987429</v>
      </c>
    </row>
    <row r="32" spans="1:22" ht="8" hidden="1" customHeight="1">
      <c r="M32" s="13"/>
      <c r="N32" s="13"/>
    </row>
    <row r="33" spans="1:22" ht="20" customHeight="1">
      <c r="A33" s="5" t="s">
        <v>60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3"/>
      <c r="N33" s="13"/>
      <c r="O33" s="2"/>
      <c r="P33" s="2"/>
      <c r="Q33" s="2"/>
      <c r="R33" s="2"/>
      <c r="S33" s="2"/>
      <c r="T33" s="2"/>
      <c r="U33" s="2"/>
      <c r="V33" s="2"/>
    </row>
    <row r="34" spans="1:22" ht="14" customHeight="1">
      <c r="A34" s="6" t="s">
        <v>61</v>
      </c>
      <c r="B34" s="20" t="s">
        <v>62</v>
      </c>
      <c r="C34" s="21">
        <v>1917</v>
      </c>
      <c r="D34" s="21">
        <v>1822</v>
      </c>
      <c r="E34" s="21">
        <v>1859</v>
      </c>
      <c r="F34" s="21">
        <v>1763</v>
      </c>
      <c r="G34" s="21">
        <v>1659</v>
      </c>
      <c r="H34" s="21">
        <v>1540</v>
      </c>
      <c r="I34" s="21">
        <v>1441</v>
      </c>
      <c r="J34" s="21">
        <v>1371</v>
      </c>
      <c r="K34" s="21">
        <v>1685</v>
      </c>
      <c r="L34" s="21">
        <v>1697</v>
      </c>
      <c r="M34" s="13"/>
      <c r="N34" s="13"/>
    </row>
    <row r="35" spans="1:22" hidden="1">
      <c r="A35" s="6" t="s">
        <v>63</v>
      </c>
      <c r="C35" s="21">
        <v>153</v>
      </c>
      <c r="M35" s="13"/>
      <c r="N35" s="13"/>
    </row>
    <row r="36" spans="1:22" hidden="1">
      <c r="A36" s="6" t="s">
        <v>64</v>
      </c>
      <c r="C36" s="21">
        <v>78</v>
      </c>
      <c r="D36" s="21">
        <v>79</v>
      </c>
      <c r="M36" s="13"/>
      <c r="N36" s="13"/>
    </row>
    <row r="37" spans="1:22">
      <c r="A37" s="6" t="s">
        <v>65</v>
      </c>
      <c r="D37" s="21">
        <v>268</v>
      </c>
      <c r="E37" s="21">
        <v>264</v>
      </c>
      <c r="F37" s="21">
        <v>258</v>
      </c>
      <c r="G37" s="21">
        <v>285</v>
      </c>
      <c r="H37" s="21">
        <v>313</v>
      </c>
      <c r="I37" s="21">
        <v>318</v>
      </c>
      <c r="J37" s="21">
        <v>341</v>
      </c>
      <c r="K37" s="21">
        <v>365</v>
      </c>
      <c r="L37" s="21">
        <v>446</v>
      </c>
      <c r="M37" s="13"/>
      <c r="N37" s="13"/>
    </row>
    <row r="38" spans="1:22">
      <c r="A38" s="6" t="s">
        <v>66</v>
      </c>
      <c r="C38" s="21">
        <v>361</v>
      </c>
      <c r="D38" s="21">
        <v>430</v>
      </c>
      <c r="E38" s="21">
        <v>512</v>
      </c>
      <c r="F38" s="21">
        <v>544</v>
      </c>
      <c r="G38" s="21">
        <v>565</v>
      </c>
      <c r="H38" s="21">
        <v>495</v>
      </c>
      <c r="I38" s="21">
        <v>464</v>
      </c>
      <c r="J38" s="21">
        <v>442</v>
      </c>
      <c r="K38" s="21">
        <v>471</v>
      </c>
      <c r="L38" s="21">
        <v>387</v>
      </c>
      <c r="M38" s="13"/>
      <c r="N38" s="13"/>
    </row>
    <row r="39" spans="1:22">
      <c r="A39" s="14" t="s">
        <v>67</v>
      </c>
      <c r="C39" s="23">
        <f t="shared" ref="C39:L39" si="14">C34+C35+C36+C37+C38</f>
        <v>2509</v>
      </c>
      <c r="D39" s="23">
        <f t="shared" si="14"/>
        <v>2599</v>
      </c>
      <c r="E39" s="23">
        <f t="shared" si="14"/>
        <v>2635</v>
      </c>
      <c r="F39" s="23">
        <f t="shared" si="14"/>
        <v>2565</v>
      </c>
      <c r="G39" s="23">
        <f t="shared" si="14"/>
        <v>2509</v>
      </c>
      <c r="H39" s="23">
        <f t="shared" si="14"/>
        <v>2348</v>
      </c>
      <c r="I39" s="23">
        <f t="shared" si="14"/>
        <v>2223</v>
      </c>
      <c r="J39" s="23">
        <f t="shared" si="14"/>
        <v>2154</v>
      </c>
      <c r="K39" s="23">
        <f t="shared" si="14"/>
        <v>2521</v>
      </c>
      <c r="L39" s="23">
        <f t="shared" si="14"/>
        <v>2530</v>
      </c>
      <c r="M39" s="24"/>
      <c r="N39" s="24"/>
    </row>
    <row r="40" spans="1:22">
      <c r="A40" s="6" t="s">
        <v>68</v>
      </c>
      <c r="C40" s="21">
        <v>2509</v>
      </c>
      <c r="D40" s="21">
        <v>2599</v>
      </c>
      <c r="E40" s="21">
        <v>2635</v>
      </c>
      <c r="F40" s="21">
        <v>2565</v>
      </c>
      <c r="G40" s="21">
        <v>2509</v>
      </c>
      <c r="H40" s="21">
        <v>2348</v>
      </c>
      <c r="I40" s="21">
        <v>2223</v>
      </c>
      <c r="J40" s="21">
        <v>2154</v>
      </c>
      <c r="K40" s="21">
        <v>2521</v>
      </c>
      <c r="L40" s="21">
        <v>2530</v>
      </c>
      <c r="M40" s="13"/>
      <c r="N40" s="13"/>
    </row>
    <row r="41" spans="1:22">
      <c r="A41" s="17" t="s">
        <v>69</v>
      </c>
      <c r="C41" s="22">
        <f t="shared" ref="C41:L41" si="15">C39-C40</f>
        <v>0</v>
      </c>
      <c r="D41" s="22">
        <f t="shared" si="15"/>
        <v>0</v>
      </c>
      <c r="E41" s="22">
        <f t="shared" si="15"/>
        <v>0</v>
      </c>
      <c r="F41" s="22">
        <f t="shared" si="15"/>
        <v>0</v>
      </c>
      <c r="G41" s="22">
        <f t="shared" si="15"/>
        <v>0</v>
      </c>
      <c r="H41" s="22">
        <f t="shared" si="15"/>
        <v>0</v>
      </c>
      <c r="I41" s="22">
        <f t="shared" si="15"/>
        <v>0</v>
      </c>
      <c r="J41" s="22">
        <f t="shared" si="15"/>
        <v>0</v>
      </c>
      <c r="K41" s="22">
        <f t="shared" si="15"/>
        <v>0</v>
      </c>
      <c r="L41" s="22">
        <f t="shared" si="15"/>
        <v>0</v>
      </c>
      <c r="M41" s="13"/>
      <c r="N41" s="13"/>
    </row>
    <row r="42" spans="1:22">
      <c r="M42" s="13"/>
      <c r="N42" s="13"/>
    </row>
  </sheetData>
  <phoneticPr fontId="14" type="noConversion"/>
  <conditionalFormatting sqref="C15:V15">
    <cfRule type="cellIs" dxfId="3" priority="1" operator="notBetween">
      <formula>-0.5</formula>
      <formula>0.5</formula>
    </cfRule>
  </conditionalFormatting>
  <conditionalFormatting sqref="C21:V21">
    <cfRule type="cellIs" dxfId="2" priority="2" operator="notBetween">
      <formula>-0.5</formula>
      <formula>0.5</formula>
    </cfRule>
  </conditionalFormatting>
  <conditionalFormatting sqref="C27:V27">
    <cfRule type="cellIs" dxfId="1" priority="3" operator="notBetween">
      <formula>-0.5</formula>
      <formula>0.5</formula>
    </cfRule>
  </conditionalFormatting>
  <conditionalFormatting sqref="C41:V41">
    <cfRule type="cellIs" dxfId="0" priority="4" operator="notBetween">
      <formula>-0.5</formula>
      <formula>0.5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V65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L28" sqref="L28"/>
    </sheetView>
  </sheetViews>
  <sheetFormatPr baseColWidth="10" defaultColWidth="8.83203125" defaultRowHeight="14" outlineLevelCol="1"/>
  <cols>
    <col min="1" max="1" width="46" customWidth="1"/>
    <col min="2" max="2" width="34" hidden="1" customWidth="1" outlineLevel="1"/>
    <col min="3" max="3" width="12" customWidth="1" collapsed="1"/>
    <col min="4" max="12" width="12" customWidth="1"/>
    <col min="13" max="14" width="9" customWidth="1"/>
    <col min="15" max="22" width="12" customWidth="1"/>
  </cols>
  <sheetData>
    <row r="1" spans="1:22" ht="28" customHeight="1">
      <c r="A1" s="1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6" customHeight="1">
      <c r="A2" s="3" t="s">
        <v>1</v>
      </c>
    </row>
    <row r="3" spans="1:22"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1" t="s">
        <v>12</v>
      </c>
      <c r="N3" s="11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0" t="s">
        <v>20</v>
      </c>
    </row>
    <row r="4" spans="1:22">
      <c r="C4" s="12" t="s">
        <v>21</v>
      </c>
      <c r="D4" s="12" t="s">
        <v>22</v>
      </c>
      <c r="E4" s="12" t="s">
        <v>23</v>
      </c>
      <c r="F4" s="12" t="s">
        <v>24</v>
      </c>
      <c r="G4" s="12" t="s">
        <v>25</v>
      </c>
      <c r="H4" s="12" t="s">
        <v>26</v>
      </c>
      <c r="I4" s="12" t="s">
        <v>27</v>
      </c>
      <c r="J4" s="12" t="s">
        <v>28</v>
      </c>
      <c r="K4" s="12" t="s">
        <v>29</v>
      </c>
      <c r="L4" s="12" t="s">
        <v>30</v>
      </c>
      <c r="M4" s="13"/>
      <c r="N4" s="13"/>
      <c r="O4" s="12" t="s">
        <v>31</v>
      </c>
      <c r="P4" s="12" t="s">
        <v>32</v>
      </c>
      <c r="Q4" s="12" t="s">
        <v>33</v>
      </c>
      <c r="R4" s="12" t="s">
        <v>34</v>
      </c>
      <c r="S4" s="12" t="s">
        <v>35</v>
      </c>
      <c r="T4" s="12" t="s">
        <v>36</v>
      </c>
      <c r="U4" s="12" t="s">
        <v>37</v>
      </c>
      <c r="V4" s="12" t="s">
        <v>38</v>
      </c>
    </row>
    <row r="5" spans="1:22">
      <c r="M5" s="13"/>
      <c r="N5" s="13"/>
    </row>
    <row r="6" spans="1:22">
      <c r="A6" s="14" t="s">
        <v>39</v>
      </c>
      <c r="M6" s="13"/>
      <c r="N6" s="13"/>
    </row>
    <row r="7" spans="1:22">
      <c r="A7" s="15" t="str">
        <f>HYPERLINK("#'Derived Metrics'!A18","1. PROFITABILITY")</f>
        <v>1. PROFITABILITY</v>
      </c>
      <c r="M7" s="13"/>
      <c r="N7" s="13"/>
    </row>
    <row r="8" spans="1:22">
      <c r="A8" s="15" t="str">
        <f>HYPERLINK("#'Derived Metrics'!A25","2. RETURNS")</f>
        <v>2. RETURNS</v>
      </c>
      <c r="M8" s="13"/>
      <c r="N8" s="13"/>
    </row>
    <row r="9" spans="1:22">
      <c r="A9" s="15" t="str">
        <f>HYPERLINK("#'Derived Metrics'!A30","3. LEVERAGE")</f>
        <v>3. LEVERAGE</v>
      </c>
      <c r="M9" s="13"/>
      <c r="N9" s="13"/>
    </row>
    <row r="10" spans="1:22">
      <c r="A10" s="15" t="str">
        <f>HYPERLINK("#'Derived Metrics'!A35","4. SOLVENCY")</f>
        <v>4. SOLVENCY</v>
      </c>
      <c r="M10" s="13"/>
      <c r="N10" s="13"/>
    </row>
    <row r="11" spans="1:22">
      <c r="A11" s="15" t="str">
        <f>HYPERLINK("#'Derived Metrics'!A39","5. LIQUIDITY")</f>
        <v>5. LIQUIDITY</v>
      </c>
      <c r="M11" s="13"/>
      <c r="N11" s="13"/>
    </row>
    <row r="12" spans="1:22">
      <c r="A12" s="15" t="str">
        <f>HYPERLINK("#'Derived Metrics'!A43","6. COVERAGE")</f>
        <v>6. COVERAGE</v>
      </c>
      <c r="M12" s="13"/>
      <c r="N12" s="13"/>
    </row>
    <row r="13" spans="1:22">
      <c r="A13" s="15" t="str">
        <f>HYPERLINK("#'Derived Metrics'!A46","7. CASH CONVERSION")</f>
        <v>7. CASH CONVERSION</v>
      </c>
      <c r="M13" s="13"/>
      <c r="N13" s="13"/>
    </row>
    <row r="14" spans="1:22">
      <c r="A14" s="15" t="str">
        <f>HYPERLINK("#'Derived Metrics'!A51","8. EARNINGS QUALITY")</f>
        <v>8. EARNINGS QUALITY</v>
      </c>
      <c r="M14" s="13"/>
      <c r="N14" s="13"/>
    </row>
    <row r="15" spans="1:22">
      <c r="A15" s="15" t="str">
        <f>HYPERLINK("#'Derived Metrics'!A54","9. GROWTH")</f>
        <v>9. GROWTH</v>
      </c>
      <c r="M15" s="13"/>
      <c r="N15" s="13"/>
    </row>
    <row r="16" spans="1:22">
      <c r="A16" s="15" t="str">
        <f>HYPERLINK("#'Derived Metrics'!A60","10. WORKING CAPITAL")</f>
        <v>10. WORKING CAPITAL</v>
      </c>
      <c r="M16" s="13"/>
      <c r="N16" s="13"/>
    </row>
    <row r="17" spans="1:22" ht="8" customHeight="1">
      <c r="M17" s="13"/>
      <c r="N17" s="13"/>
    </row>
    <row r="18" spans="1:22" ht="20" customHeight="1">
      <c r="A18" s="5" t="s">
        <v>311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3"/>
      <c r="N18" s="13"/>
      <c r="O18" s="2"/>
      <c r="P18" s="2"/>
      <c r="Q18" s="2"/>
      <c r="R18" s="2"/>
      <c r="S18" s="2"/>
      <c r="T18" s="2"/>
      <c r="U18" s="2"/>
      <c r="V18" s="2"/>
    </row>
    <row r="19" spans="1:22">
      <c r="A19" s="6" t="s">
        <v>312</v>
      </c>
      <c r="C19" s="30">
        <f>'Income Statement'!C28</f>
        <v>0.44864048338368578</v>
      </c>
      <c r="D19" s="30">
        <f>'Income Statement'!D28</f>
        <v>0.48247902018598321</v>
      </c>
      <c r="E19" s="30">
        <f>'Income Statement'!E28</f>
        <v>0.51482156561780501</v>
      </c>
      <c r="F19" s="30">
        <f>'Income Statement'!F28</f>
        <v>0.55241846262778249</v>
      </c>
      <c r="G19" s="30">
        <f>'Income Statement'!G28</f>
        <v>0.5658070997990623</v>
      </c>
      <c r="H19" s="30">
        <f>'Income Statement'!H28</f>
        <v>0.61362477231329693</v>
      </c>
      <c r="I19" s="30">
        <f>'Income Statement'!I28</f>
        <v>0.66545191699545225</v>
      </c>
      <c r="J19" s="30">
        <f>'Income Statement'!J28</f>
        <v>0.68929897540411511</v>
      </c>
      <c r="K19" s="30">
        <f>'Income Statement'!K28</f>
        <v>0.63033699150734868</v>
      </c>
      <c r="L19" s="30">
        <f>'Income Statement'!L28</f>
        <v>0.67766525271181932</v>
      </c>
      <c r="M19" s="13"/>
      <c r="N19" s="13"/>
      <c r="O19" s="30">
        <f>'Income Statement'!O28</f>
        <v>0.62272763674221188</v>
      </c>
      <c r="P19" s="30">
        <f>'Income Statement'!P28</f>
        <v>0.6392288861689106</v>
      </c>
      <c r="Q19" s="30">
        <f>'Income Statement'!Q28</f>
        <v>0.68014212925717354</v>
      </c>
      <c r="R19" s="30">
        <f>'Income Statement'!R28</f>
        <v>0.6796187683284457</v>
      </c>
      <c r="S19" s="30">
        <f>'Income Statement'!S28</f>
        <v>0.67095035105315948</v>
      </c>
      <c r="T19" s="30">
        <f>'Income Statement'!T28</f>
        <v>0.68132152659106204</v>
      </c>
      <c r="U19" s="30">
        <f>'Income Statement'!U28</f>
        <v>0.69477622030919006</v>
      </c>
      <c r="V19" s="30">
        <f>'Income Statement'!V28</f>
        <v>0.69129127099455911</v>
      </c>
    </row>
    <row r="20" spans="1:22">
      <c r="A20" s="6" t="s">
        <v>313</v>
      </c>
      <c r="C20" s="30">
        <f>'Income Statement'!C38</f>
        <v>-3.0891238670694866E-2</v>
      </c>
      <c r="D20" s="30">
        <f>'Income Statement'!D38</f>
        <v>0.13512134270809709</v>
      </c>
      <c r="E20" s="30">
        <f>'Income Statement'!E38</f>
        <v>0.24630660015349193</v>
      </c>
      <c r="F20" s="30">
        <f>'Income Statement'!F38</f>
        <v>0.15240961189538435</v>
      </c>
      <c r="G20" s="30">
        <f>'Income Statement'!G38</f>
        <v>0.16803415941058272</v>
      </c>
      <c r="H20" s="30">
        <f>'Income Statement'!H38</f>
        <v>0.31034608378870676</v>
      </c>
      <c r="I20" s="30">
        <f>'Income Statement'!I38</f>
        <v>0.42842514230641809</v>
      </c>
      <c r="J20" s="30">
        <f>'Income Statement'!J38</f>
        <v>0.45246935983695802</v>
      </c>
      <c r="K20" s="30">
        <f>'Income Statement'!K38</f>
        <v>0.26104238569822003</v>
      </c>
      <c r="L20" s="30">
        <f>'Income Statement'!L38</f>
        <v>0.39889179332258518</v>
      </c>
      <c r="M20" s="13"/>
      <c r="N20" s="13"/>
      <c r="O20" s="30">
        <f>'Income Statement'!O38</f>
        <v>0.23744694482261552</v>
      </c>
      <c r="P20" s="30">
        <f>'Income Statement'!P38</f>
        <v>0.28977968176254593</v>
      </c>
      <c r="Q20" s="30">
        <f>'Income Statement'!Q38</f>
        <v>0.41968356127648165</v>
      </c>
      <c r="R20" s="30">
        <f>'Income Statement'!R38</f>
        <v>0.38849640095974408</v>
      </c>
      <c r="S20" s="30">
        <f>'Income Statement'!S38</f>
        <v>0.36904463390170511</v>
      </c>
      <c r="T20" s="30">
        <f>'Income Statement'!T38</f>
        <v>0.44342602661695407</v>
      </c>
      <c r="U20" s="30">
        <f>'Income Statement'!U38</f>
        <v>0.48623067562085909</v>
      </c>
      <c r="V20" s="30">
        <f>'Income Statement'!V38</f>
        <v>0.53918421141563311</v>
      </c>
    </row>
    <row r="21" spans="1:22">
      <c r="A21" s="6" t="s">
        <v>314</v>
      </c>
      <c r="C21" s="30">
        <f>'Income Statement'!C51</f>
        <v>-0.14055891238670695</v>
      </c>
      <c r="D21" s="30">
        <f>'Income Statement'!D51</f>
        <v>0.10115672488092538</v>
      </c>
      <c r="E21" s="30">
        <f>'Income Statement'!E51</f>
        <v>0.60485418265541058</v>
      </c>
      <c r="F21" s="30">
        <f>'Income Statement'!F51</f>
        <v>0.12054697526220294</v>
      </c>
      <c r="G21" s="30">
        <f>'Income Statement'!G51</f>
        <v>0.12391158740790355</v>
      </c>
      <c r="H21" s="30">
        <f>'Income Statement'!H51</f>
        <v>0.24539162112932605</v>
      </c>
      <c r="I21" s="30">
        <f>'Income Statement'!I51</f>
        <v>0.34620365629611782</v>
      </c>
      <c r="J21" s="30">
        <f>'Income Statement'!J51</f>
        <v>0.39314330383316115</v>
      </c>
      <c r="K21" s="30">
        <f>'Income Statement'!K51</f>
        <v>0.11430177996664986</v>
      </c>
      <c r="L21" s="30">
        <f>'Income Statement'!L51</f>
        <v>0.36198287601546481</v>
      </c>
      <c r="M21" s="13"/>
      <c r="N21" s="13"/>
      <c r="O21" s="30">
        <f>'Income Statement'!O51</f>
        <v>0.16985665091695362</v>
      </c>
      <c r="P21" s="30">
        <f>'Income Statement'!P51</f>
        <v>-0.14343635250917994</v>
      </c>
      <c r="Q21" s="30">
        <f>'Income Statement'!Q51</f>
        <v>0.36893268972914989</v>
      </c>
      <c r="R21" s="30">
        <f>'Income Statement'!R51</f>
        <v>0.33091175686483604</v>
      </c>
      <c r="S21" s="30">
        <f>'Income Statement'!S51</f>
        <v>0.25952858575727183</v>
      </c>
      <c r="T21" s="30">
        <f>'Income Statement'!T51</f>
        <v>0.38056030241831079</v>
      </c>
      <c r="U21" s="30">
        <f>'Income Statement'!U51</f>
        <v>0.41961508991751928</v>
      </c>
      <c r="V21" s="30">
        <f>'Income Statement'!V51</f>
        <v>0.44229664424994086</v>
      </c>
    </row>
    <row r="22" spans="1:22">
      <c r="A22" s="14" t="s">
        <v>315</v>
      </c>
      <c r="C22" s="25">
        <f>'Income Statement'!C37+'Cash Flow Statement'!C16+'Cash Flow Statement'!C17</f>
        <v>2633</v>
      </c>
      <c r="D22" s="25">
        <f>'Income Statement'!D37+'Cash Flow Statement'!D16+'Cash Flow Statement'!D17</f>
        <v>7120</v>
      </c>
      <c r="E22" s="25">
        <f>'Income Statement'!E37+'Cash Flow Statement'!E16+'Cash Flow Statement'!E17</f>
        <v>9216</v>
      </c>
      <c r="F22" s="25">
        <f>'Income Statement'!F37+'Cash Flow Statement'!F16+'Cash Flow Statement'!F17</f>
        <v>9252</v>
      </c>
      <c r="G22" s="25">
        <f>'Income Statement'!G37+'Cash Flow Statement'!G16+'Cash Flow Statement'!G17</f>
        <v>10919</v>
      </c>
      <c r="H22" s="25">
        <f>'Income Statement'!H37+'Cash Flow Statement'!H16+'Cash Flow Statement'!H17</f>
        <v>14560</v>
      </c>
      <c r="I22" s="25">
        <f>'Income Statement'!I37+'Cash Flow Statement'!I16+'Cash Flow Statement'!I17</f>
        <v>19209</v>
      </c>
      <c r="J22" s="25">
        <f>'Income Statement'!J37+'Cash Flow Statement'!J16+'Cash Flow Statement'!J17</f>
        <v>20042</v>
      </c>
      <c r="K22" s="25">
        <f>'Income Statement'!K37+'Cash Flow Statement'!K16+'Cash Flow Statement'!K17</f>
        <v>23473</v>
      </c>
      <c r="L22" s="25">
        <f>'Income Statement'!L37+'Cash Flow Statement'!L16+'Cash Flow Statement'!L17</f>
        <v>34259</v>
      </c>
      <c r="M22" s="13"/>
      <c r="N22" s="13"/>
      <c r="O22" s="25">
        <f>'Income Statement'!O37+'Cash Flow Statement'!O16+'Cash Flow Statement'!O17</f>
        <v>7840</v>
      </c>
      <c r="P22" s="25">
        <f>'Income Statement'!P37+'Cash Flow Statement'!P16+'Cash Flow Statement'!P17</f>
        <v>11187</v>
      </c>
      <c r="Q22" s="25">
        <f>'Income Statement'!Q37+'Cash Flow Statement'!Q16+'Cash Flow Statement'!Q17</f>
        <v>8434</v>
      </c>
      <c r="R22" s="25">
        <f>'Income Statement'!R37+'Cash Flow Statement'!R16+'Cash Flow Statement'!R17</f>
        <v>10169</v>
      </c>
      <c r="S22" s="25">
        <f>'Income Statement'!S37+'Cash Flow Statement'!S16+'Cash Flow Statement'!S17</f>
        <v>12429</v>
      </c>
      <c r="T22" s="25">
        <f>'Income Statement'!T37+'Cash Flow Statement'!T16+'Cash Flow Statement'!T17</f>
        <v>10716</v>
      </c>
      <c r="U22" s="25">
        <f>'Income Statement'!U37+'Cash Flow Statement'!U16+'Cash Flow Statement'!U17</f>
        <v>15106</v>
      </c>
      <c r="V22" s="25">
        <f>'Income Statement'!V37+'Cash Flow Statement'!V16+'Cash Flow Statement'!V17</f>
        <v>22486</v>
      </c>
    </row>
    <row r="23" spans="1:22">
      <c r="A23" s="17" t="s">
        <v>316</v>
      </c>
      <c r="C23" s="18">
        <f>C22/'Income Statement'!C14</f>
        <v>0.19886706948640484</v>
      </c>
      <c r="D23" s="18">
        <f>D22/'Income Statement'!D14</f>
        <v>0.40371966432297574</v>
      </c>
      <c r="E23" s="18">
        <f>E22/'Income Statement'!E14</f>
        <v>0.44205679201841902</v>
      </c>
      <c r="F23" s="18">
        <f>F22/'Income Statement'!F14</f>
        <v>0.40943488073638096</v>
      </c>
      <c r="G23" s="18">
        <f>G22/'Income Statement'!G14</f>
        <v>0.45709142665773611</v>
      </c>
      <c r="H23" s="18">
        <f>H22/'Income Statement'!H14</f>
        <v>0.53041894353369767</v>
      </c>
      <c r="I23" s="18">
        <f>I22/'Income Statement'!I14</f>
        <v>0.57853206035599192</v>
      </c>
      <c r="J23" s="18">
        <f>J22/'Income Statement'!J14</f>
        <v>0.55953544208381023</v>
      </c>
      <c r="K23" s="18">
        <f>K22/'Income Statement'!K14</f>
        <v>0.45513243106991896</v>
      </c>
      <c r="L23" s="18">
        <f>L22/'Income Statement'!L14</f>
        <v>0.53624368024793778</v>
      </c>
      <c r="M23" s="13"/>
      <c r="N23" s="13"/>
      <c r="O23" s="18">
        <f>O22/'Income Statement'!O14</f>
        <v>0.62785296708576921</v>
      </c>
      <c r="P23" s="18">
        <f>P22/'Income Statement'!P14</f>
        <v>0.85579865361077112</v>
      </c>
      <c r="Q23" s="18">
        <f>Q22/'Income Statement'!Q14</f>
        <v>0.5654330919817645</v>
      </c>
      <c r="R23" s="18">
        <f>R22/'Income Statement'!R14</f>
        <v>0.6777525993068515</v>
      </c>
      <c r="S23" s="18">
        <f>S22/'Income Statement'!S14</f>
        <v>0.77914994984954866</v>
      </c>
      <c r="T23" s="18">
        <f>T22/'Income Statement'!T14</f>
        <v>0.55491688674848527</v>
      </c>
      <c r="U23" s="18">
        <f>U22/'Income Statement'!U14</f>
        <v>0.68084914589624557</v>
      </c>
      <c r="V23" s="18">
        <f>V22/'Income Statement'!V14</f>
        <v>0.75989321077354599</v>
      </c>
    </row>
    <row r="24" spans="1:22" ht="8" customHeight="1">
      <c r="M24" s="13"/>
      <c r="N24" s="13"/>
    </row>
    <row r="25" spans="1:22" ht="20" customHeight="1">
      <c r="A25" s="5" t="s">
        <v>317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3"/>
      <c r="N25" s="13"/>
      <c r="O25" s="2"/>
      <c r="P25" s="2"/>
      <c r="Q25" s="2"/>
      <c r="R25" s="2"/>
      <c r="S25" s="2"/>
      <c r="T25" s="2"/>
      <c r="U25" s="2"/>
      <c r="V25" s="2"/>
    </row>
    <row r="26" spans="1:22">
      <c r="A26" s="6" t="s">
        <v>318</v>
      </c>
      <c r="D26" s="31">
        <f>'Income Statement'!D50/(('Balance Sheet'!D48+'Balance Sheet'!C48)/2)</f>
        <v>7.9179796724512891E-2</v>
      </c>
      <c r="E26" s="31">
        <f>'Income Statement'!E50/(('Balance Sheet'!E48+'Balance Sheet'!D48)/2)</f>
        <v>0.50598880484722031</v>
      </c>
      <c r="F26" s="31">
        <f>'Income Statement'!F50/(('Balance Sheet'!F48+'Balance Sheet'!E48)/2)</f>
        <v>0.10558548780960503</v>
      </c>
      <c r="G26" s="31">
        <f>'Income Statement'!G50/(('Balance Sheet'!G48+'Balance Sheet'!F48)/2)</f>
        <v>0.12127419850455802</v>
      </c>
      <c r="H26" s="31">
        <f>'Income Statement'!H50/(('Balance Sheet'!H48+'Balance Sheet'!G48)/2)</f>
        <v>0.27586206896551724</v>
      </c>
      <c r="I26" s="31">
        <f>'Income Statement'!I50/(('Balance Sheet'!I48+'Balance Sheet'!H48)/2)</f>
        <v>0.4822638501394978</v>
      </c>
      <c r="J26" s="31">
        <f>'Income Statement'!J50/(('Balance Sheet'!J48+'Balance Sheet'!I48)/2)</f>
        <v>0.60312225624772464</v>
      </c>
      <c r="K26" s="31">
        <f>'Income Statement'!K50/(('Balance Sheet'!K48+'Balance Sheet'!J48)/2)</f>
        <v>0.12861911722994349</v>
      </c>
      <c r="L26" s="31">
        <f>'Income Statement'!L50/(('Balance Sheet'!L48+'Balance Sheet'!K48)/2)</f>
        <v>0.31047861985634689</v>
      </c>
      <c r="M26" s="13"/>
      <c r="N26" s="13"/>
    </row>
    <row r="27" spans="1:22">
      <c r="A27" s="6" t="s">
        <v>319</v>
      </c>
      <c r="D27" s="31">
        <f>'Income Statement'!D50/(('Balance Sheet'!D26+'Balance Sheet'!C26)/2)</f>
        <v>3.4181483752299201E-2</v>
      </c>
      <c r="E27" s="31">
        <f>'Income Statement'!E50/(('Balance Sheet'!E26+'Balance Sheet'!D26)/2)</f>
        <v>0.24124275410839663</v>
      </c>
      <c r="F27" s="31">
        <f>'Income Statement'!F50/(('Balance Sheet'!F26+'Balance Sheet'!E26)/2)</f>
        <v>4.6319834717770389E-2</v>
      </c>
      <c r="G27" s="31">
        <f>'Income Statement'!G50/(('Balance Sheet'!G26+'Balance Sheet'!F26)/2)</f>
        <v>4.1275640399927489E-2</v>
      </c>
      <c r="H27" s="31">
        <f>'Income Statement'!H50/(('Balance Sheet'!H26+'Balance Sheet'!G26)/2)</f>
        <v>8.8922331570991997E-2</v>
      </c>
      <c r="I27" s="31">
        <f>'Income Statement'!I50/(('Balance Sheet'!I26+'Balance Sheet'!H26)/2)</f>
        <v>0.15448296252494642</v>
      </c>
      <c r="J27" s="31">
        <f>'Income Statement'!J50/(('Balance Sheet'!J26+'Balance Sheet'!I26)/2)</f>
        <v>0.19275888029566765</v>
      </c>
      <c r="K27" s="31">
        <f>'Income Statement'!K50/(('Balance Sheet'!K26+'Balance Sheet'!J26)/2)</f>
        <v>4.9432718673744054E-2</v>
      </c>
      <c r="L27" s="31">
        <f>'Income Statement'!L50/(('Balance Sheet'!L26+'Balance Sheet'!K26)/2)</f>
        <v>0.13735348357917307</v>
      </c>
      <c r="M27" s="13"/>
      <c r="N27" s="13"/>
    </row>
    <row r="28" spans="1:22" ht="24" customHeight="1">
      <c r="A28" s="6" t="s">
        <v>320</v>
      </c>
      <c r="B28" s="20" t="s">
        <v>321</v>
      </c>
      <c r="C28" s="31">
        <f>('Income Statement'!C37-'Income Statement'!C47)/('Balance Sheet'!C36+'Balance Sheet'!C31+'Balance Sheet'!C48-'Balance Sheet'!C15)</f>
        <v>-3.2417260417630551E-2</v>
      </c>
      <c r="D28" s="31">
        <f>('Income Statement'!D37-'Income Statement'!D47)/('Balance Sheet'!D36+'Balance Sheet'!D31+'Balance Sheet'!D48-'Balance Sheet'!D15)</f>
        <v>7.9512360311547584E-2</v>
      </c>
      <c r="E28" s="31">
        <f>('Income Statement'!E37-'Income Statement'!E47)/('Balance Sheet'!E36+'Balance Sheet'!E31+'Balance Sheet'!E48-'Balance Sheet'!E15)</f>
        <v>0.33165236589894126</v>
      </c>
      <c r="F28" s="31">
        <f>('Income Statement'!F37-'Income Statement'!F47)/('Balance Sheet'!F36+'Balance Sheet'!F31+'Balance Sheet'!F48-'Balance Sheet'!F15)</f>
        <v>7.505124895603979E-2</v>
      </c>
      <c r="G28" s="31">
        <f>('Income Statement'!G37-'Income Statement'!G47)/('Balance Sheet'!G36+'Balance Sheet'!G31+'Balance Sheet'!G48-'Balance Sheet'!G15)</f>
        <v>7.9067657629365989E-2</v>
      </c>
      <c r="H28" s="31">
        <f>('Income Statement'!H37-'Income Statement'!H47)/('Balance Sheet'!H36+'Balance Sheet'!H31+'Balance Sheet'!H48-'Balance Sheet'!H15)</f>
        <v>0.16162500713891376</v>
      </c>
      <c r="I28" s="31">
        <f>('Income Statement'!I37-'Income Statement'!I47)/('Balance Sheet'!I36+'Balance Sheet'!I31+'Balance Sheet'!I48-'Balance Sheet'!I15)</f>
        <v>0.26674429810472211</v>
      </c>
      <c r="J28" s="31">
        <f>('Income Statement'!J37-'Income Statement'!J47)/('Balance Sheet'!J36+'Balance Sheet'!J31+'Balance Sheet'!J48-'Balance Sheet'!J15)</f>
        <v>0.30986375132577304</v>
      </c>
      <c r="K28" s="31">
        <f>('Income Statement'!K37-'Income Statement'!K47)/('Balance Sheet'!K36+'Balance Sheet'!K31+'Balance Sheet'!K48-'Balance Sheet'!K15)</f>
        <v>7.7166867890957613E-2</v>
      </c>
      <c r="L28" s="31">
        <f>('Income Statement'!L37-'Income Statement'!L47)/('Balance Sheet'!L36+'Balance Sheet'!L31+'Balance Sheet'!L48-'Balance Sheet'!L15)</f>
        <v>0.19870249520153552</v>
      </c>
      <c r="M28" s="13"/>
      <c r="N28" s="13"/>
      <c r="O28" s="31">
        <f>('Income Statement'!O37-'Income Statement'!O47)/('Balance Sheet'!O36+'Balance Sheet'!O31+'Balance Sheet'!O48-'Balance Sheet'!O15)</f>
        <v>2.2963746944129747E-2</v>
      </c>
      <c r="P28" s="31">
        <f>('Income Statement'!P37-'Income Statement'!P47)/('Balance Sheet'!P36+'Balance Sheet'!P31+'Balance Sheet'!P48-'Balance Sheet'!P15)</f>
        <v>-3.5811488325454806E-3</v>
      </c>
      <c r="Q28" s="31">
        <f>('Income Statement'!Q37-'Income Statement'!Q47)/('Balance Sheet'!Q36+'Balance Sheet'!Q31+'Balance Sheet'!Q48-'Balance Sheet'!Q15)</f>
        <v>4.9369987643730177E-2</v>
      </c>
      <c r="R28" s="31">
        <f>('Income Statement'!R37-'Income Statement'!R47)/('Balance Sheet'!R36+'Balance Sheet'!R31+'Balance Sheet'!R48-'Balance Sheet'!R15)</f>
        <v>4.4813023956796129E-2</v>
      </c>
      <c r="S28" s="31">
        <f>('Income Statement'!S37-'Income Statement'!S47)/('Balance Sheet'!S36+'Balance Sheet'!S31+'Balance Sheet'!S48-'Balance Sheet'!S15)</f>
        <v>3.7401015869009686E-2</v>
      </c>
      <c r="T28" s="31">
        <f>('Income Statement'!T37-'Income Statement'!T47)/('Balance Sheet'!T36+'Balance Sheet'!T31+'Balance Sheet'!T48-'Balance Sheet'!T15)</f>
        <v>5.8570832226480969E-2</v>
      </c>
      <c r="U28" s="31">
        <f>('Income Statement'!U37-'Income Statement'!U47)/('Balance Sheet'!U36+'Balance Sheet'!U31+'Balance Sheet'!U48-'Balance Sheet'!U15)</f>
        <v>7.4964277656614273E-2</v>
      </c>
      <c r="V28" s="31">
        <f>('Income Statement'!V37-'Income Statement'!V47)/('Balance Sheet'!V36+'Balance Sheet'!V31+'Balance Sheet'!V48-'Balance Sheet'!V15)</f>
        <v>0.10188405582606894</v>
      </c>
    </row>
    <row r="29" spans="1:22" ht="8" customHeight="1">
      <c r="M29" s="13"/>
      <c r="N29" s="13"/>
    </row>
    <row r="30" spans="1:22" ht="20" customHeight="1">
      <c r="A30" s="5" t="s">
        <v>322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3"/>
      <c r="N30" s="13"/>
      <c r="O30" s="2"/>
      <c r="P30" s="2"/>
      <c r="Q30" s="2"/>
      <c r="R30" s="2"/>
      <c r="S30" s="2"/>
      <c r="T30" s="2"/>
      <c r="U30" s="2"/>
      <c r="V30" s="2"/>
    </row>
    <row r="31" spans="1:22">
      <c r="A31" s="6" t="s">
        <v>323</v>
      </c>
      <c r="C31" s="32">
        <f>('Balance Sheet'!C36+'Balance Sheet'!C31)/'Balance Sheet'!C48</f>
        <v>0.62360577802157613</v>
      </c>
      <c r="D31" s="32">
        <f>('Balance Sheet'!D36+'Balance Sheet'!D31)/'Balance Sheet'!D48</f>
        <v>0.75683602173725528</v>
      </c>
      <c r="E31" s="32">
        <f>('Balance Sheet'!E36+'Balance Sheet'!E31)/'Balance Sheet'!E48</f>
        <v>0.65622538170086653</v>
      </c>
      <c r="F31" s="32">
        <f>('Balance Sheet'!F36+'Balance Sheet'!F31)/'Balance Sheet'!F48</f>
        <v>1.3150234553546369</v>
      </c>
      <c r="G31" s="32">
        <f>('Balance Sheet'!G36+'Balance Sheet'!G31)/'Balance Sheet'!G48</f>
        <v>1.7199463851889085</v>
      </c>
      <c r="H31" s="32">
        <f>('Balance Sheet'!H36+'Balance Sheet'!H31)/'Balance Sheet'!H48</f>
        <v>1.5916192612771412</v>
      </c>
      <c r="I31" s="32">
        <f>('Balance Sheet'!I36+'Balance Sheet'!I31)/'Balance Sheet'!I48</f>
        <v>1.7400590074419833</v>
      </c>
      <c r="J31" s="32">
        <f>('Balance Sheet'!J36+'Balance Sheet'!J31)/'Balance Sheet'!J48</f>
        <v>1.6353593463398366</v>
      </c>
      <c r="K31" s="32">
        <f>('Balance Sheet'!K36+'Balance Sheet'!K31)/'Balance Sheet'!K48</f>
        <v>0.99834510476077898</v>
      </c>
      <c r="L31" s="32">
        <f>('Balance Sheet'!L36+'Balance Sheet'!L31)/'Balance Sheet'!L48</f>
        <v>0.80125965654676967</v>
      </c>
      <c r="M31" s="13"/>
      <c r="N31" s="13"/>
      <c r="O31" s="32">
        <f>('Balance Sheet'!O36+'Balance Sheet'!O31)/'Balance Sheet'!O48</f>
        <v>1.0579608639098927</v>
      </c>
      <c r="P31" s="32">
        <f>('Balance Sheet'!P36+'Balance Sheet'!P31)/'Balance Sheet'!P48</f>
        <v>1.0656197163790346</v>
      </c>
      <c r="Q31" s="32">
        <f>('Balance Sheet'!Q36+'Balance Sheet'!Q31)/'Balance Sheet'!Q48</f>
        <v>0.95400421269827618</v>
      </c>
      <c r="R31" s="32">
        <f>('Balance Sheet'!R36+'Balance Sheet'!R31)/'Balance Sheet'!R48</f>
        <v>0.96688989164487105</v>
      </c>
      <c r="S31" s="32">
        <f>('Balance Sheet'!S36+'Balance Sheet'!S31)/'Balance Sheet'!S48</f>
        <v>0.87652332928476873</v>
      </c>
      <c r="T31" s="32">
        <f>('Balance Sheet'!T36+'Balance Sheet'!T31)/'Balance Sheet'!T48</f>
        <v>0.82703575721153844</v>
      </c>
      <c r="U31" s="32">
        <f>('Balance Sheet'!U36+'Balance Sheet'!U31)/'Balance Sheet'!U48</f>
        <v>0.74017858161042749</v>
      </c>
      <c r="V31" s="32">
        <f>('Balance Sheet'!V36+'Balance Sheet'!V31)/'Balance Sheet'!V48</f>
        <v>0.59603771692245966</v>
      </c>
    </row>
    <row r="32" spans="1:22">
      <c r="A32" s="6" t="s">
        <v>324</v>
      </c>
      <c r="C32" s="32">
        <f>('Balance Sheet'!C36+'Balance Sheet'!C31)/C22</f>
        <v>5.1811621724268893</v>
      </c>
      <c r="D32" s="32">
        <f>('Balance Sheet'!D36+'Balance Sheet'!D31)/D22</f>
        <v>2.4646067415730335</v>
      </c>
      <c r="E32" s="32">
        <f>('Balance Sheet'!E36+'Balance Sheet'!E31)/E22</f>
        <v>1.8981119791666667</v>
      </c>
      <c r="F32" s="32">
        <f>('Balance Sheet'!F36+'Balance Sheet'!F31)/F22</f>
        <v>3.544963251188932</v>
      </c>
      <c r="G32" s="32">
        <f>('Balance Sheet'!G36+'Balance Sheet'!G31)/G22</f>
        <v>3.7606007876179137</v>
      </c>
      <c r="H32" s="32">
        <f>('Balance Sheet'!H36+'Balance Sheet'!H31)/H22</f>
        <v>2.7287087912087911</v>
      </c>
      <c r="I32" s="32">
        <f>('Balance Sheet'!I36+'Balance Sheet'!I31)/I22</f>
        <v>2.0571086469883908</v>
      </c>
      <c r="J32" s="32">
        <f>('Balance Sheet'!J36+'Balance Sheet'!J31)/J22</f>
        <v>1.957339586867578</v>
      </c>
      <c r="K32" s="32">
        <f>('Balance Sheet'!K36+'Balance Sheet'!K31)/K22</f>
        <v>2.8784560984961445</v>
      </c>
      <c r="L32" s="32">
        <f>('Balance Sheet'!L36+'Balance Sheet'!L31)/L22</f>
        <v>1.9012814151026007</v>
      </c>
      <c r="M32" s="13"/>
      <c r="N32" s="13"/>
      <c r="O32" s="32">
        <f>('Balance Sheet'!O36+'Balance Sheet'!O31)/O22</f>
        <v>9.4408163265306122</v>
      </c>
      <c r="P32" s="32">
        <f>('Balance Sheet'!P36+'Balance Sheet'!P31)/P22</f>
        <v>6.2535979261642982</v>
      </c>
      <c r="Q32" s="32">
        <f>('Balance Sheet'!Q36+'Balance Sheet'!Q31)/Q22</f>
        <v>7.8941190419729663</v>
      </c>
      <c r="R32" s="32">
        <f>('Balance Sheet'!R36+'Balance Sheet'!R31)/R22</f>
        <v>6.6163831251843837</v>
      </c>
      <c r="S32" s="32">
        <f>('Balance Sheet'!S36+'Balance Sheet'!S31)/S22</f>
        <v>5.1676723791133643</v>
      </c>
      <c r="T32" s="32">
        <f>('Balance Sheet'!T36+'Balance Sheet'!T31)/T22</f>
        <v>6.1643337066069428</v>
      </c>
      <c r="U32" s="32">
        <f>('Balance Sheet'!U36+'Balance Sheet'!U31)/U22</f>
        <v>4.2967694955646767</v>
      </c>
      <c r="V32" s="32">
        <f>('Balance Sheet'!V36+'Balance Sheet'!V31)/V22</f>
        <v>2.6424886596104242</v>
      </c>
    </row>
    <row r="33" spans="1:22">
      <c r="A33" s="6" t="s">
        <v>325</v>
      </c>
      <c r="C33" s="32">
        <f>('Balance Sheet'!C36+'Balance Sheet'!C31-'Balance Sheet'!C15)/C22</f>
        <v>4.0049373338397265</v>
      </c>
      <c r="D33" s="32">
        <f>('Balance Sheet'!D36+'Balance Sheet'!D31-'Balance Sheet'!D15)/D22</f>
        <v>0.89101123595505616</v>
      </c>
      <c r="E33" s="32">
        <f>('Balance Sheet'!E36+'Balance Sheet'!E31-'Balance Sheet'!E15)/E22</f>
        <v>1.4324001736111112</v>
      </c>
      <c r="F33" s="32">
        <f>('Balance Sheet'!F36+'Balance Sheet'!F31-'Balance Sheet'!F15)/F22</f>
        <v>2.9985948984003459</v>
      </c>
      <c r="G33" s="32">
        <f>('Balance Sheet'!G36+'Balance Sheet'!G31-'Balance Sheet'!G15)/G22</f>
        <v>3.0629178496199287</v>
      </c>
      <c r="H33" s="32">
        <f>('Balance Sheet'!H36+'Balance Sheet'!H31-'Balance Sheet'!H15)/H22</f>
        <v>1.8933379120879121</v>
      </c>
      <c r="I33" s="32">
        <f>('Balance Sheet'!I36+'Balance Sheet'!I31-'Balance Sheet'!I15)/I22</f>
        <v>1.4107449632984539</v>
      </c>
      <c r="J33" s="32">
        <f>('Balance Sheet'!J36+'Balance Sheet'!J31-'Balance Sheet'!J15)/J22</f>
        <v>1.2493763097495261</v>
      </c>
      <c r="K33" s="32">
        <f>('Balance Sheet'!K36+'Balance Sheet'!K31-'Balance Sheet'!K15)/K22</f>
        <v>2.4802113066075915</v>
      </c>
      <c r="L33" s="32">
        <f>('Balance Sheet'!L36+'Balance Sheet'!L31-'Balance Sheet'!L15)/L22</f>
        <v>1.4290551387956449</v>
      </c>
      <c r="M33" s="13"/>
      <c r="N33" s="13"/>
      <c r="O33" s="32">
        <f>('Balance Sheet'!O36+'Balance Sheet'!O31-'Balance Sheet'!O15)/O22</f>
        <v>8.1896683673469379</v>
      </c>
      <c r="P33" s="32">
        <f>('Balance Sheet'!P36+'Balance Sheet'!P31-'Balance Sheet'!P15)/P22</f>
        <v>5.3639939215160455</v>
      </c>
      <c r="Q33" s="32">
        <f>('Balance Sheet'!Q36+'Balance Sheet'!Q31-'Balance Sheet'!Q15)/Q22</f>
        <v>6.790609437989092</v>
      </c>
      <c r="R33" s="32">
        <f>('Balance Sheet'!R36+'Balance Sheet'!R31-'Balance Sheet'!R15)/R22</f>
        <v>5.6849247713639492</v>
      </c>
      <c r="S33" s="32">
        <f>('Balance Sheet'!S36+'Balance Sheet'!S31-'Balance Sheet'!S15)/S22</f>
        <v>4.3053342988172822</v>
      </c>
      <c r="T33" s="32">
        <f>('Balance Sheet'!T36+'Balance Sheet'!T31-'Balance Sheet'!T15)/T22</f>
        <v>4.84163867114595</v>
      </c>
      <c r="U33" s="32">
        <f>('Balance Sheet'!U36+'Balance Sheet'!U31-'Balance Sheet'!U15)/U22</f>
        <v>2.9974182444061963</v>
      </c>
      <c r="V33" s="32">
        <f>('Balance Sheet'!V36+'Balance Sheet'!V31-'Balance Sheet'!V15)/V22</f>
        <v>1.5762696789113226</v>
      </c>
    </row>
    <row r="34" spans="1:22" ht="8" customHeight="1">
      <c r="M34" s="13"/>
      <c r="N34" s="13"/>
    </row>
    <row r="35" spans="1:22" ht="20" customHeight="1">
      <c r="A35" s="5" t="s">
        <v>326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3"/>
      <c r="N35" s="13"/>
      <c r="O35" s="2"/>
      <c r="P35" s="2"/>
      <c r="Q35" s="2"/>
      <c r="R35" s="2"/>
      <c r="S35" s="2"/>
      <c r="T35" s="2"/>
      <c r="U35" s="2"/>
      <c r="V35" s="2"/>
    </row>
    <row r="36" spans="1:22">
      <c r="A36" s="6" t="s">
        <v>327</v>
      </c>
      <c r="C36" s="31">
        <f>'Balance Sheet'!C39/'Balance Sheet'!C26</f>
        <v>0.56218228395308811</v>
      </c>
      <c r="D36" s="31">
        <f>'Balance Sheet'!D39/'Balance Sheet'!D26</f>
        <v>0.57392774449630635</v>
      </c>
      <c r="E36" s="31">
        <f>'Balance Sheet'!E39/'Balance Sheet'!E26</f>
        <v>0.46817891628760672</v>
      </c>
      <c r="F36" s="31">
        <f>'Balance Sheet'!F39/'Balance Sheet'!F26</f>
        <v>0.63003570740669401</v>
      </c>
      <c r="G36" s="31">
        <f>'Balance Sheet'!G39/'Balance Sheet'!G26</f>
        <v>0.68523566828651572</v>
      </c>
      <c r="H36" s="31">
        <f>'Balance Sheet'!H39/'Balance Sheet'!H26</f>
        <v>0.66932645229588461</v>
      </c>
      <c r="I36" s="31">
        <f>'Balance Sheet'!I39/'Balance Sheet'!I26</f>
        <v>0.68997528976504796</v>
      </c>
      <c r="J36" s="31">
        <f>'Balance Sheet'!J39/'Balance Sheet'!J26</f>
        <v>0.67077037098035985</v>
      </c>
      <c r="K36" s="31">
        <f>'Balance Sheet'!K39/'Balance Sheet'!K26</f>
        <v>0.59142745027015609</v>
      </c>
      <c r="L36" s="31">
        <f>'Balance Sheet'!L39/'Balance Sheet'!L26</f>
        <v>0.52486381595866549</v>
      </c>
      <c r="M36" s="13"/>
      <c r="N36" s="13"/>
      <c r="O36" s="31">
        <f>'Balance Sheet'!O39/'Balance Sheet'!O26</f>
        <v>0.60070429368019129</v>
      </c>
      <c r="P36" s="31">
        <f>'Balance Sheet'!P39/'Balance Sheet'!P26</f>
        <v>0.60914113570603579</v>
      </c>
      <c r="Q36" s="31">
        <f>'Balance Sheet'!Q39/'Balance Sheet'!Q26</f>
        <v>0.57795207973004026</v>
      </c>
      <c r="R36" s="31">
        <f>'Balance Sheet'!R39/'Balance Sheet'!R26</f>
        <v>0.57731883617809632</v>
      </c>
      <c r="S36" s="31">
        <f>'Balance Sheet'!S39/'Balance Sheet'!S26</f>
        <v>0.55756214489708433</v>
      </c>
      <c r="T36" s="31">
        <f>'Balance Sheet'!T39/'Balance Sheet'!T26</f>
        <v>0.52989647033895815</v>
      </c>
      <c r="U36" s="31">
        <f>'Balance Sheet'!U39/'Balance Sheet'!U26</f>
        <v>0.51053818417262975</v>
      </c>
      <c r="V36" s="31">
        <f>'Balance Sheet'!V39/'Balance Sheet'!V26</f>
        <v>0.47015115759933668</v>
      </c>
    </row>
    <row r="37" spans="1:22">
      <c r="A37" s="6" t="s">
        <v>328</v>
      </c>
      <c r="C37" s="31">
        <f>'Balance Sheet'!C48/'Balance Sheet'!C26</f>
        <v>0.43781771604691189</v>
      </c>
      <c r="D37" s="31">
        <f>'Balance Sheet'!D48/'Balance Sheet'!D26</f>
        <v>0.42607225550369365</v>
      </c>
      <c r="E37" s="31">
        <f>'Balance Sheet'!E48/'Balance Sheet'!E26</f>
        <v>0.53182108371239323</v>
      </c>
      <c r="F37" s="31">
        <f>'Balance Sheet'!F48/'Balance Sheet'!F26</f>
        <v>0.36953461840487162</v>
      </c>
      <c r="G37" s="31">
        <f>'Balance Sheet'!G48/'Balance Sheet'!G26</f>
        <v>0.31440875508672117</v>
      </c>
      <c r="H37" s="31">
        <f>'Balance Sheet'!H48/'Balance Sheet'!H26</f>
        <v>0.33031626306735479</v>
      </c>
      <c r="I37" s="31">
        <f>'Balance Sheet'!I48/'Balance Sheet'!I26</f>
        <v>0.31002471023495204</v>
      </c>
      <c r="J37" s="31">
        <f>'Balance Sheet'!J48/'Balance Sheet'!J26</f>
        <v>0.32922962901964015</v>
      </c>
      <c r="K37" s="31">
        <f>'Balance Sheet'!K48/'Balance Sheet'!K26</f>
        <v>0.40857254972984397</v>
      </c>
      <c r="L37" s="31">
        <f>'Balance Sheet'!L48/'Balance Sheet'!L26</f>
        <v>0.47513618404133451</v>
      </c>
      <c r="M37" s="13"/>
      <c r="N37" s="13"/>
      <c r="O37" s="31">
        <f>'Balance Sheet'!O48/'Balance Sheet'!O26</f>
        <v>0.39929570631980871</v>
      </c>
      <c r="P37" s="31">
        <f>'Balance Sheet'!P48/'Balance Sheet'!P26</f>
        <v>0.39085886429396427</v>
      </c>
      <c r="Q37" s="31">
        <f>'Balance Sheet'!Q48/'Balance Sheet'!Q26</f>
        <v>0.42204792026995974</v>
      </c>
      <c r="R37" s="31">
        <f>'Balance Sheet'!R48/'Balance Sheet'!R26</f>
        <v>0.42268116382190368</v>
      </c>
      <c r="S37" s="31">
        <f>'Balance Sheet'!S48/'Balance Sheet'!S26</f>
        <v>0.44243785510291567</v>
      </c>
      <c r="T37" s="31">
        <f>'Balance Sheet'!T48/'Balance Sheet'!T26</f>
        <v>0.47010352966104191</v>
      </c>
      <c r="U37" s="31">
        <f>'Balance Sheet'!U48/'Balance Sheet'!U26</f>
        <v>0.48946181582737025</v>
      </c>
      <c r="V37" s="31">
        <f>'Balance Sheet'!V48/'Balance Sheet'!V26</f>
        <v>0.52984884240066332</v>
      </c>
    </row>
    <row r="38" spans="1:22" ht="8" customHeight="1">
      <c r="M38" s="13"/>
      <c r="N38" s="13"/>
    </row>
    <row r="39" spans="1:22" ht="20" customHeight="1">
      <c r="A39" s="5" t="s">
        <v>329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3"/>
      <c r="N39" s="13"/>
      <c r="O39" s="2"/>
      <c r="P39" s="2"/>
      <c r="Q39" s="2"/>
      <c r="R39" s="2"/>
      <c r="S39" s="2"/>
      <c r="T39" s="2"/>
      <c r="U39" s="2"/>
      <c r="V39" s="2"/>
    </row>
    <row r="40" spans="1:22">
      <c r="A40" s="6" t="s">
        <v>330</v>
      </c>
      <c r="C40" s="32">
        <f>'Balance Sheet'!C19/'Balance Sheet'!C33</f>
        <v>2.3148148148148149</v>
      </c>
      <c r="D40" s="32">
        <f>'Balance Sheet'!D19/'Balance Sheet'!D33</f>
        <v>6.2566231712139189</v>
      </c>
      <c r="E40" s="32">
        <f>'Balance Sheet'!E19/'Balance Sheet'!E33</f>
        <v>3.8952095808383231</v>
      </c>
      <c r="F40" s="32">
        <f>'Balance Sheet'!F19/'Balance Sheet'!F33</f>
        <v>1.437454703580229</v>
      </c>
      <c r="G40" s="32">
        <f>'Balance Sheet'!G19/'Balance Sheet'!G33</f>
        <v>1.8670538377020875</v>
      </c>
      <c r="H40" s="32">
        <f>'Balance Sheet'!H19/'Balance Sheet'!H33</f>
        <v>2.6406623149180066</v>
      </c>
      <c r="I40" s="32">
        <f>'Balance Sheet'!I19/'Balance Sheet'!I33</f>
        <v>2.6239364719228586</v>
      </c>
      <c r="J40" s="32">
        <f>'Balance Sheet'!J19/'Balance Sheet'!J33</f>
        <v>2.8152599594868333</v>
      </c>
      <c r="K40" s="32">
        <f>'Balance Sheet'!K19/'Balance Sheet'!K33</f>
        <v>1.1735641133137689</v>
      </c>
      <c r="L40" s="32">
        <f>'Balance Sheet'!L19/'Balance Sheet'!L33</f>
        <v>1.7053581073782003</v>
      </c>
      <c r="M40" s="13"/>
      <c r="N40" s="13"/>
      <c r="O40" s="32">
        <f>'Balance Sheet'!O19/'Balance Sheet'!O33</f>
        <v>1.2543750929552329</v>
      </c>
      <c r="P40" s="32">
        <f>'Balance Sheet'!P19/'Balance Sheet'!P33</f>
        <v>1.0377711877633837</v>
      </c>
      <c r="Q40" s="32">
        <f>'Balance Sheet'!Q19/'Balance Sheet'!Q33</f>
        <v>1.0038259206121474</v>
      </c>
      <c r="R40" s="32">
        <f>'Balance Sheet'!R19/'Balance Sheet'!R33</f>
        <v>1.0769044035539157</v>
      </c>
      <c r="S40" s="32">
        <f>'Balance Sheet'!S19/'Balance Sheet'!S33</f>
        <v>1.4965277777777777</v>
      </c>
      <c r="T40" s="32">
        <f>'Balance Sheet'!T19/'Balance Sheet'!T33</f>
        <v>1.9017735334242838</v>
      </c>
      <c r="U40" s="32">
        <f>'Balance Sheet'!U19/'Balance Sheet'!U33</f>
        <v>2.2379917294030327</v>
      </c>
      <c r="V40" s="32">
        <f>'Balance Sheet'!V19/'Balance Sheet'!V33</f>
        <v>2.5037431615318169</v>
      </c>
    </row>
    <row r="41" spans="1:22">
      <c r="A41" s="6" t="s">
        <v>331</v>
      </c>
      <c r="C41" s="32">
        <f>('Balance Sheet'!C19-'Balance Sheet'!C17)/'Balance Sheet'!C33</f>
        <v>1.8599740090968162</v>
      </c>
      <c r="D41" s="32">
        <f>('Balance Sheet'!D19-'Balance Sheet'!D17)/'Balance Sheet'!D33</f>
        <v>5.6844602609727168</v>
      </c>
      <c r="E41" s="32">
        <f>('Balance Sheet'!E19-'Balance Sheet'!E17)/'Balance Sheet'!E33</f>
        <v>3.4144568006843454</v>
      </c>
      <c r="F41" s="32">
        <f>('Balance Sheet'!F19-'Balance Sheet'!F17)/'Balance Sheet'!F33</f>
        <v>1.3107696767647485</v>
      </c>
      <c r="G41" s="32">
        <f>('Balance Sheet'!G19-'Balance Sheet'!G17)/'Balance Sheet'!G33</f>
        <v>1.7096217234343116</v>
      </c>
      <c r="H41" s="32">
        <f>('Balance Sheet'!H19-'Balance Sheet'!H17)/'Balance Sheet'!H33</f>
        <v>2.4341665339914025</v>
      </c>
      <c r="I41" s="32">
        <f>('Balance Sheet'!I19-'Balance Sheet'!I17)/'Balance Sheet'!I33</f>
        <v>2.3509642654566081</v>
      </c>
      <c r="J41" s="32">
        <f>('Balance Sheet'!J19-'Balance Sheet'!J17)/'Balance Sheet'!J33</f>
        <v>2.5589466576637405</v>
      </c>
      <c r="K41" s="32">
        <f>('Balance Sheet'!K19-'Balance Sheet'!K17)/'Balance Sheet'!K33</f>
        <v>1.0681559561597891</v>
      </c>
      <c r="L41" s="32">
        <f>('Balance Sheet'!L19-'Balance Sheet'!L17)/'Balance Sheet'!L33</f>
        <v>1.5827481905584964</v>
      </c>
      <c r="M41" s="13"/>
      <c r="N41" s="13"/>
      <c r="O41" s="32">
        <f>('Balance Sheet'!O19-'Balance Sheet'!O17)/'Balance Sheet'!O33</f>
        <v>1.1630558722919042</v>
      </c>
      <c r="P41" s="32">
        <f>('Balance Sheet'!P19-'Balance Sheet'!P17)/'Balance Sheet'!P33</f>
        <v>0.93923313043025858</v>
      </c>
      <c r="Q41" s="32">
        <f>('Balance Sheet'!Q19-'Balance Sheet'!Q17)/'Balance Sheet'!Q33</f>
        <v>0.91257771401243426</v>
      </c>
      <c r="R41" s="32">
        <f>('Balance Sheet'!R19-'Balance Sheet'!R17)/'Balance Sheet'!R33</f>
        <v>0.97897752099820368</v>
      </c>
      <c r="S41" s="32">
        <f>('Balance Sheet'!S19-'Balance Sheet'!S17)/'Balance Sheet'!S33</f>
        <v>1.3660201149425288</v>
      </c>
      <c r="T41" s="32">
        <f>('Balance Sheet'!T19-'Balance Sheet'!T17)/'Balance Sheet'!T33</f>
        <v>1.726081024971825</v>
      </c>
      <c r="U41" s="32">
        <f>('Balance Sheet'!U19-'Balance Sheet'!U17)/'Balance Sheet'!U33</f>
        <v>2.0085356802035839</v>
      </c>
      <c r="V41" s="32">
        <f>('Balance Sheet'!V19-'Balance Sheet'!V17)/'Balance Sheet'!V33</f>
        <v>2.2866877819368461</v>
      </c>
    </row>
    <row r="42" spans="1:22" ht="8" customHeight="1">
      <c r="M42" s="13"/>
      <c r="N42" s="13"/>
    </row>
    <row r="43" spans="1:22" ht="20" customHeight="1">
      <c r="A43" s="5" t="s">
        <v>332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3"/>
      <c r="O43" s="2"/>
      <c r="P43" s="2"/>
      <c r="Q43" s="2"/>
      <c r="R43" s="2"/>
      <c r="S43" s="2"/>
      <c r="T43" s="2"/>
      <c r="U43" s="2"/>
      <c r="V43" s="2"/>
    </row>
    <row r="44" spans="1:22">
      <c r="A44" s="6" t="s">
        <v>333</v>
      </c>
      <c r="C44" s="32">
        <f>'Income Statement'!C37/(0-'Income Statement'!C42)</f>
        <v>-0.6991452991452991</v>
      </c>
      <c r="D44" s="32">
        <f>'Income Statement'!D37/(0-'Income Statement'!D42)</f>
        <v>5.248898678414097</v>
      </c>
      <c r="E44" s="32">
        <f>'Income Statement'!E37/(0-'Income Statement'!E42)</f>
        <v>8.1767515923566876</v>
      </c>
      <c r="F44" s="32">
        <f>'Income Statement'!F37/(0-'Income Statement'!F42)</f>
        <v>2.3850415512465375</v>
      </c>
      <c r="G44" s="32">
        <f>'Income Statement'!G37/(0-'Income Statement'!G42)</f>
        <v>2.2588632526730446</v>
      </c>
      <c r="H44" s="32">
        <f>'Income Statement'!H37/(0-'Income Statement'!H42)</f>
        <v>4.5193633952254642</v>
      </c>
      <c r="I44" s="32">
        <f>'Income Statement'!I37/(0-'Income Statement'!I42)</f>
        <v>8.1894070236039145</v>
      </c>
      <c r="J44" s="32">
        <f>'Income Statement'!J37/(0-'Income Statement'!J42)</f>
        <v>9.9919852034525274</v>
      </c>
      <c r="K44" s="32">
        <f>'Income Statement'!K37/(0-'Income Statement'!K42)</f>
        <v>3.4057677713129269</v>
      </c>
      <c r="L44" s="32">
        <f>'Income Statement'!L37/(0-'Income Statement'!L42)</f>
        <v>7.9389408099688472</v>
      </c>
      <c r="M44" s="13"/>
      <c r="N44" s="13"/>
      <c r="O44" s="32">
        <f>'Income Statement'!O37/(0-'Income Statement'!O42)</f>
        <v>2.8319006685768864</v>
      </c>
      <c r="P44" s="32">
        <f>'Income Statement'!P37/(0-'Income Statement'!P42)</f>
        <v>3.5601503759398496</v>
      </c>
      <c r="Q44" s="32">
        <f>'Income Statement'!Q37/(0-'Income Statement'!Q42)</f>
        <v>7.1706758304696452</v>
      </c>
      <c r="R44" s="32">
        <f>'Income Statement'!R37/(0-'Income Statement'!R42)</f>
        <v>7.579973992197659</v>
      </c>
      <c r="S44" s="32">
        <f>'Income Statement'!S37/(0-'Income Statement'!S42)</f>
        <v>7.2949194547707563</v>
      </c>
      <c r="T44" s="32">
        <f>'Income Statement'!T37/(0-'Income Statement'!T42)</f>
        <v>10.690387016229712</v>
      </c>
      <c r="U44" s="32">
        <f>'Income Statement'!U37/(0-'Income Statement'!U42)</f>
        <v>13.902061855670103</v>
      </c>
      <c r="V44" s="32">
        <f>'Income Statement'!V37/(0-'Income Statement'!V42)</f>
        <v>20.507712082262209</v>
      </c>
    </row>
    <row r="45" spans="1:22" ht="8" customHeight="1">
      <c r="M45" s="13"/>
      <c r="N45" s="13"/>
    </row>
    <row r="46" spans="1:22" ht="20" customHeight="1">
      <c r="A46" s="5" t="s">
        <v>334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3"/>
      <c r="O46" s="2"/>
      <c r="P46" s="2"/>
      <c r="Q46" s="2"/>
      <c r="R46" s="2"/>
      <c r="S46" s="2"/>
      <c r="T46" s="2"/>
      <c r="U46" s="2"/>
      <c r="V46" s="2"/>
    </row>
    <row r="47" spans="1:22">
      <c r="A47" s="6" t="s">
        <v>335</v>
      </c>
      <c r="C47" s="30">
        <f>'Cash Flow Statement'!C71</f>
        <v>0.20302114803625379</v>
      </c>
      <c r="D47" s="30">
        <f>'Cash Flow Statement'!D71</f>
        <v>0.31084146064867318</v>
      </c>
      <c r="E47" s="30">
        <f>'Cash Flow Statement'!E71</f>
        <v>0.39548158096699926</v>
      </c>
      <c r="F47" s="30">
        <f>'Cash Flow Statement'!F71</f>
        <v>0.41001017834225784</v>
      </c>
      <c r="G47" s="30">
        <f>'Cash Flow Statement'!G71</f>
        <v>0.48551574012056264</v>
      </c>
      <c r="H47" s="30">
        <f>'Cash Flow Statement'!H71</f>
        <v>0.48528233151183969</v>
      </c>
      <c r="I47" s="30">
        <f>'Cash Flow Statement'!I71</f>
        <v>0.49128090835165494</v>
      </c>
      <c r="J47" s="30">
        <f>'Cash Flow Statement'!J71</f>
        <v>0.49228063318350596</v>
      </c>
      <c r="K47" s="30">
        <f>'Cash Flow Statement'!K71</f>
        <v>0.37642998410051576</v>
      </c>
      <c r="L47" s="30">
        <f>'Cash Flow Statement'!L71</f>
        <v>0.42127506378449447</v>
      </c>
      <c r="M47" s="13"/>
      <c r="N47" s="13"/>
      <c r="O47" s="30">
        <f>'Cash Flow Statement'!O71</f>
        <v>0.73204132297589497</v>
      </c>
      <c r="P47" s="30">
        <f>'Cash Flow Statement'!P71</f>
        <v>1.0657894736842106</v>
      </c>
      <c r="Q47" s="30">
        <f>'Cash Flow Statement'!Q71</f>
        <v>0.40312416197371947</v>
      </c>
      <c r="R47" s="30">
        <f>'Cash Flow Statement'!R71</f>
        <v>0.82804585443881629</v>
      </c>
      <c r="S47" s="30">
        <f>'Cash Flow Statement'!S71</f>
        <v>1.2191574724172518</v>
      </c>
      <c r="T47" s="30">
        <f>'Cash Flow Statement'!T71</f>
        <v>0.41478949821345346</v>
      </c>
      <c r="U47" s="30">
        <f>'Cash Flow Statement'!U71</f>
        <v>0.82354531933113984</v>
      </c>
      <c r="V47" s="30">
        <f>'Cash Flow Statement'!V71</f>
        <v>1.0792808624243857</v>
      </c>
    </row>
    <row r="48" spans="1:22">
      <c r="A48" s="6" t="s">
        <v>336</v>
      </c>
      <c r="C48" s="30">
        <f>'Cash Flow Statement'!C72</f>
        <v>-1.4443847393874261</v>
      </c>
      <c r="D48" s="30">
        <f>'Cash Flow Statement'!D72</f>
        <v>3.0728699551569507</v>
      </c>
      <c r="E48" s="30">
        <f>'Cash Flow Statement'!E72</f>
        <v>0.65384615384615385</v>
      </c>
      <c r="F48" s="30">
        <f>'Cash Flow Statement'!F72</f>
        <v>3.4012481644640236</v>
      </c>
      <c r="G48" s="30">
        <f>'Cash Flow Statement'!G72</f>
        <v>3.9182432432432432</v>
      </c>
      <c r="H48" s="30">
        <f>'Cash Flow Statement'!H72</f>
        <v>1.977583135391924</v>
      </c>
      <c r="I48" s="30">
        <f>'Cash Flow Statement'!I72</f>
        <v>1.4190517616354936</v>
      </c>
      <c r="J48" s="30">
        <f>'Cash Flow Statement'!J72</f>
        <v>1.2521658855276239</v>
      </c>
      <c r="K48" s="30">
        <f>'Cash Flow Statement'!K72</f>
        <v>3.2932994062765055</v>
      </c>
      <c r="L48" s="30">
        <f>'Cash Flow Statement'!L72</f>
        <v>1.1637983222347141</v>
      </c>
      <c r="M48" s="13"/>
      <c r="N48" s="13"/>
      <c r="O48" s="30">
        <f>'Cash Flow Statement'!O72</f>
        <v>4.3097595473833099</v>
      </c>
      <c r="P48" s="30">
        <f>'Cash Flow Statement'!P72</f>
        <v>-7.4303999999999997</v>
      </c>
      <c r="Q48" s="30">
        <f>'Cash Flow Statement'!Q72</f>
        <v>1.0926767217881155</v>
      </c>
      <c r="R48" s="30">
        <f>'Cash Flow Statement'!R72</f>
        <v>2.5023162134944612</v>
      </c>
      <c r="S48" s="30">
        <f>'Cash Flow Statement'!S72</f>
        <v>4.6975845410628017</v>
      </c>
      <c r="T48" s="30">
        <f>'Cash Flow Statement'!T72</f>
        <v>1.0899442100966117</v>
      </c>
      <c r="U48" s="30">
        <f>'Cash Flow Statement'!U72</f>
        <v>1.9626208378088077</v>
      </c>
      <c r="V48" s="30">
        <f>'Cash Flow Statement'!V72</f>
        <v>2.4401742053789732</v>
      </c>
    </row>
    <row r="49" spans="1:22">
      <c r="A49" s="6" t="s">
        <v>337</v>
      </c>
      <c r="C49" s="31">
        <f>'Cash Flow Statement'!C33/'Income Statement'!C50</f>
        <v>-1.8328855454056958</v>
      </c>
      <c r="D49" s="31">
        <f>'Cash Flow Statement'!D33/'Income Statement'!D50</f>
        <v>3.6720852017937218</v>
      </c>
      <c r="E49" s="31">
        <f>'Cash Flow Statement'!E33/'Income Statement'!E50</f>
        <v>0.70420301348136405</v>
      </c>
      <c r="F49" s="31">
        <f>'Cash Flow Statement'!F33/'Income Statement'!F50</f>
        <v>3.5598384728340675</v>
      </c>
      <c r="G49" s="31">
        <f>'Cash Flow Statement'!G33/'Income Statement'!G50</f>
        <v>4.0746621621621619</v>
      </c>
      <c r="H49" s="31">
        <f>'Cash Flow Statement'!H33/'Income Statement'!H50</f>
        <v>2.0433491686460807</v>
      </c>
      <c r="I49" s="31">
        <f>'Cash Flow Statement'!I33/'Income Statement'!I50</f>
        <v>1.4559373640713353</v>
      </c>
      <c r="J49" s="31">
        <f>'Cash Flow Statement'!J33/'Income Statement'!J50</f>
        <v>1.2842635989206079</v>
      </c>
      <c r="K49" s="31">
        <f>'Cash Flow Statement'!K33/'Income Statement'!K50</f>
        <v>3.386259541984733</v>
      </c>
      <c r="L49" s="31">
        <f>'Cash Flow Statement'!L33/'Income Statement'!L50</f>
        <v>1.190737697829283</v>
      </c>
      <c r="M49" s="13"/>
      <c r="N49" s="13"/>
      <c r="O49" s="31">
        <f>'Cash Flow Statement'!O33/'Income Statement'!O50</f>
        <v>4.4295143800094294</v>
      </c>
      <c r="P49" s="31">
        <f>'Cash Flow Statement'!P33/'Income Statement'!P50</f>
        <v>-7.6576000000000004</v>
      </c>
      <c r="Q49" s="31">
        <f>'Cash Flow Statement'!Q33/'Income Statement'!Q50</f>
        <v>1.1108486280210794</v>
      </c>
      <c r="R49" s="31">
        <f>'Cash Flow Statement'!R33/'Income Statement'!R50</f>
        <v>2.5514602215508559</v>
      </c>
      <c r="S49" s="31">
        <f>'Cash Flow Statement'!S33/'Income Statement'!S50</f>
        <v>4.7908212560386474</v>
      </c>
      <c r="T49" s="31">
        <f>'Cash Flow Statement'!T33/'Income Statement'!T50</f>
        <v>1.1239624438699143</v>
      </c>
      <c r="U49" s="31">
        <f>'Cash Flow Statement'!U33/'Income Statement'!U50</f>
        <v>2.0142857142857142</v>
      </c>
      <c r="V49" s="31">
        <f>'Cash Flow Statement'!V33/'Income Statement'!V50</f>
        <v>2.5175733496332517</v>
      </c>
    </row>
    <row r="50" spans="1:22" ht="8" customHeight="1">
      <c r="M50" s="13"/>
      <c r="N50" s="13"/>
    </row>
    <row r="51" spans="1:22" ht="20" customHeight="1">
      <c r="A51" s="5" t="s">
        <v>338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3"/>
      <c r="O51" s="2"/>
      <c r="P51" s="2"/>
      <c r="Q51" s="2"/>
      <c r="R51" s="2"/>
      <c r="S51" s="2"/>
      <c r="T51" s="2"/>
      <c r="U51" s="2"/>
      <c r="V51" s="2"/>
    </row>
    <row r="52" spans="1:22">
      <c r="A52" s="6" t="s">
        <v>339</v>
      </c>
      <c r="D52" s="31">
        <f>('Income Statement'!D50-'Cash Flow Statement'!D33)/(('Balance Sheet'!D26+'Balance Sheet'!C26)/2)</f>
        <v>-9.1335836909871251E-2</v>
      </c>
      <c r="E52" s="31">
        <f>('Income Statement'!E50-'Cash Flow Statement'!E33)/(('Balance Sheet'!E26+'Balance Sheet'!D26)/2)</f>
        <v>7.1358879684720017E-2</v>
      </c>
      <c r="F52" s="31">
        <f>('Income Statement'!F50-'Cash Flow Statement'!F33)/(('Balance Sheet'!F26+'Balance Sheet'!E26)/2)</f>
        <v>-0.11857129496586377</v>
      </c>
      <c r="G52" s="31">
        <f>('Income Statement'!G50-'Cash Flow Statement'!G33)/(('Balance Sheet'!G26+'Balance Sheet'!F26)/2)</f>
        <v>-0.12690864975666893</v>
      </c>
      <c r="H52" s="31">
        <f>('Income Statement'!H50-'Cash Flow Statement'!H33)/(('Balance Sheet'!H26+'Balance Sheet'!G26)/2)</f>
        <v>-9.2777040718665632E-2</v>
      </c>
      <c r="I52" s="31">
        <f>('Income Statement'!I50-'Cash Flow Statement'!I33)/(('Balance Sheet'!I26+'Balance Sheet'!H26)/2)</f>
        <v>-7.0434554727554943E-2</v>
      </c>
      <c r="J52" s="31">
        <f>('Income Statement'!J50-'Cash Flow Statement'!J33)/(('Balance Sheet'!J26+'Balance Sheet'!I26)/2)</f>
        <v>-5.4794333036753129E-2</v>
      </c>
      <c r="K52" s="31">
        <f>('Income Statement'!K50-'Cash Flow Statement'!K33)/(('Balance Sheet'!K26+'Balance Sheet'!J26)/2)</f>
        <v>-0.11795929662146865</v>
      </c>
      <c r="L52" s="31">
        <f>('Income Statement'!L50-'Cash Flow Statement'!L33)/(('Balance Sheet'!L26+'Balance Sheet'!K26)/2)</f>
        <v>-2.6198487246723703E-2</v>
      </c>
      <c r="M52" s="13"/>
      <c r="N52" s="13"/>
    </row>
    <row r="53" spans="1:22" ht="8" customHeight="1">
      <c r="M53" s="13"/>
      <c r="N53" s="13"/>
    </row>
    <row r="54" spans="1:22" ht="20" customHeight="1">
      <c r="A54" s="5" t="s">
        <v>340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3"/>
      <c r="O54" s="2"/>
      <c r="P54" s="2"/>
      <c r="Q54" s="2"/>
      <c r="R54" s="2"/>
      <c r="S54" s="2"/>
      <c r="T54" s="2"/>
      <c r="U54" s="2"/>
      <c r="V54" s="2"/>
    </row>
    <row r="55" spans="1:22">
      <c r="A55" s="6" t="s">
        <v>341</v>
      </c>
      <c r="C55" s="30">
        <f>'Income Statement'!C15</f>
        <v>0</v>
      </c>
      <c r="D55" s="30">
        <f>'Income Statement'!D15</f>
        <v>0.33202416918429001</v>
      </c>
      <c r="E55" s="30">
        <f>'Income Statement'!E15</f>
        <v>0.182127466545702</v>
      </c>
      <c r="F55" s="30">
        <f>'Income Statement'!F15</f>
        <v>8.3892939370683095E-2</v>
      </c>
      <c r="G55" s="30">
        <f>'Income Statement'!G15</f>
        <v>5.7131477629773775E-2</v>
      </c>
      <c r="H55" s="30">
        <f>'Income Statement'!H15</f>
        <v>0.14911252511721362</v>
      </c>
      <c r="I55" s="30">
        <f>'Income Statement'!I15</f>
        <v>0.20958105646630232</v>
      </c>
      <c r="J55" s="30">
        <f>'Income Statement'!J15</f>
        <v>7.8788061319760239E-2</v>
      </c>
      <c r="K55" s="30">
        <f>'Income Statement'!K15</f>
        <v>0.43985035874815037</v>
      </c>
      <c r="L55" s="30">
        <f>'Income Statement'!L15</f>
        <v>0.23874432853763516</v>
      </c>
      <c r="M55" s="13"/>
      <c r="N55" s="13"/>
      <c r="O55" s="30">
        <f>'Income Statement'!O15</f>
        <v>0</v>
      </c>
      <c r="P55" s="30">
        <f>'Income Statement'!P15</f>
        <v>0</v>
      </c>
      <c r="Q55" s="30">
        <f>'Income Statement'!Q15</f>
        <v>0</v>
      </c>
      <c r="R55" s="30">
        <f>'Income Statement'!R15</f>
        <v>0</v>
      </c>
      <c r="S55" s="30">
        <f>'Income Statement'!S15</f>
        <v>0.27748858813165689</v>
      </c>
      <c r="T55" s="30">
        <f>'Income Statement'!T15</f>
        <v>0.47727968176254598</v>
      </c>
      <c r="U55" s="30">
        <f>'Income Statement'!U15</f>
        <v>0.48746312684365778</v>
      </c>
      <c r="V55" s="30">
        <f>'Income Statement'!V15</f>
        <v>0.97220741135697142</v>
      </c>
    </row>
    <row r="56" spans="1:22">
      <c r="A56" s="6" t="s">
        <v>342</v>
      </c>
      <c r="C56" s="30">
        <f>'Income Statement'!C39</f>
        <v>0</v>
      </c>
      <c r="D56" s="30">
        <f>'Income Statement'!D39</f>
        <v>-6.8264058679706601</v>
      </c>
      <c r="E56" s="30">
        <f>'Income Statement'!E39</f>
        <v>1.1548468317247167</v>
      </c>
      <c r="F56" s="30">
        <f>'Income Statement'!F39</f>
        <v>-0.32930866601752673</v>
      </c>
      <c r="G56" s="30">
        <f>'Income Statement'!G39</f>
        <v>0.16550522648083632</v>
      </c>
      <c r="H56" s="30">
        <f>'Income Statement'!H39</f>
        <v>1.1223218734429499</v>
      </c>
      <c r="I56" s="30">
        <f>'Income Statement'!I39</f>
        <v>0.66979692452165751</v>
      </c>
      <c r="J56" s="30">
        <f>'Income Statement'!J39</f>
        <v>0.13933216168717055</v>
      </c>
      <c r="K56" s="30">
        <f>'Income Statement'!K39</f>
        <v>-0.16930955759856847</v>
      </c>
      <c r="L56" s="30">
        <f>'Income Statement'!L39</f>
        <v>0.89289162890886131</v>
      </c>
      <c r="M56" s="13"/>
      <c r="N56" s="13"/>
      <c r="O56" s="30">
        <f>'Income Statement'!O39</f>
        <v>0</v>
      </c>
      <c r="P56" s="30">
        <f>'Income Statement'!P39</f>
        <v>0</v>
      </c>
      <c r="Q56" s="30">
        <f>'Income Statement'!Q39</f>
        <v>0</v>
      </c>
      <c r="R56" s="30">
        <f>'Income Statement'!R39</f>
        <v>0</v>
      </c>
      <c r="S56" s="30">
        <f>'Income Statement'!S39</f>
        <v>0.98549747048903868</v>
      </c>
      <c r="T56" s="30">
        <f>'Income Statement'!T39</f>
        <v>1.260559662090813</v>
      </c>
      <c r="U56" s="30">
        <f>'Income Statement'!U39</f>
        <v>0.72332268370607022</v>
      </c>
      <c r="V56" s="30">
        <f>'Income Statement'!V39</f>
        <v>1.7371761880253902</v>
      </c>
    </row>
    <row r="57" spans="1:22">
      <c r="A57" s="6" t="s">
        <v>343</v>
      </c>
      <c r="C57" s="30">
        <f>'Income Statement'!C52</f>
        <v>0</v>
      </c>
      <c r="D57" s="30">
        <f>'Income Statement'!D52</f>
        <v>-1.9586243954862979</v>
      </c>
      <c r="E57" s="30">
        <f>'Income Statement'!E52</f>
        <v>6.0683856502242151</v>
      </c>
      <c r="F57" s="30">
        <f>'Income Statement'!F52</f>
        <v>-0.78398096748612212</v>
      </c>
      <c r="G57" s="30">
        <f>'Income Statement'!G52</f>
        <v>8.6637298091042592E-2</v>
      </c>
      <c r="H57" s="30">
        <f>'Income Statement'!H52</f>
        <v>1.2756756756756755</v>
      </c>
      <c r="I57" s="30">
        <f>'Income Statement'!I52</f>
        <v>0.70650237529691218</v>
      </c>
      <c r="J57" s="30">
        <f>'Income Statement'!J52</f>
        <v>0.22505437146585483</v>
      </c>
      <c r="K57" s="30">
        <f>'Income Statement'!K52</f>
        <v>-0.58138048572645928</v>
      </c>
      <c r="L57" s="30">
        <f>'Income Statement'!L52</f>
        <v>2.922985581000848</v>
      </c>
      <c r="M57" s="13"/>
      <c r="N57" s="13"/>
      <c r="O57" s="30">
        <f>'Income Statement'!O52</f>
        <v>0</v>
      </c>
      <c r="P57" s="30">
        <f>'Income Statement'!P52</f>
        <v>0</v>
      </c>
      <c r="Q57" s="30">
        <f>'Income Statement'!Q52</f>
        <v>0</v>
      </c>
      <c r="R57" s="30">
        <f>'Income Statement'!R52</f>
        <v>0</v>
      </c>
      <c r="S57" s="30">
        <f>'Income Statement'!S52</f>
        <v>0.9519094766619518</v>
      </c>
      <c r="T57" s="30">
        <f>'Income Statement'!T52</f>
        <v>-4.9194666666666667</v>
      </c>
      <c r="U57" s="30">
        <f>'Income Statement'!U52</f>
        <v>0.69180447028893322</v>
      </c>
      <c r="V57" s="30">
        <f>'Income Statement'!V52</f>
        <v>1.6360523665659619</v>
      </c>
    </row>
    <row r="58" spans="1:22">
      <c r="A58" s="6" t="s">
        <v>344</v>
      </c>
      <c r="D58" s="31">
        <f t="shared" ref="D58:L58" si="0">IF(N(C22)=0,"",D22/C22-1)</f>
        <v>1.7041397645271554</v>
      </c>
      <c r="E58" s="31">
        <f t="shared" si="0"/>
        <v>0.29438202247191003</v>
      </c>
      <c r="F58" s="31">
        <f t="shared" si="0"/>
        <v>3.90625E-3</v>
      </c>
      <c r="G58" s="31">
        <f t="shared" si="0"/>
        <v>0.18017725897103332</v>
      </c>
      <c r="H58" s="31">
        <f t="shared" si="0"/>
        <v>0.33345544463778731</v>
      </c>
      <c r="I58" s="31">
        <f t="shared" si="0"/>
        <v>0.31929945054945064</v>
      </c>
      <c r="J58" s="31">
        <f t="shared" si="0"/>
        <v>4.3365089281066194E-2</v>
      </c>
      <c r="K58" s="31">
        <f t="shared" si="0"/>
        <v>0.17119049995010482</v>
      </c>
      <c r="L58" s="31">
        <f t="shared" si="0"/>
        <v>0.45950666723469524</v>
      </c>
      <c r="M58" s="13"/>
      <c r="N58" s="13"/>
      <c r="S58" s="31">
        <f>IF(N(O22)=0,"",S22/O22-1)</f>
        <v>0.58533163265306132</v>
      </c>
      <c r="T58" s="31">
        <f>IF(N(P22)=0,"",T22/P22-1)</f>
        <v>-4.2102440332528857E-2</v>
      </c>
      <c r="U58" s="31">
        <f>IF(N(Q22)=0,"",U22/Q22-1)</f>
        <v>0.79108370879772361</v>
      </c>
      <c r="V58" s="31">
        <f>IF(N(R22)=0,"",V22/R22-1)</f>
        <v>1.2112302094601239</v>
      </c>
    </row>
    <row r="59" spans="1:22" ht="8" customHeight="1">
      <c r="M59" s="13"/>
      <c r="N59" s="13"/>
    </row>
    <row r="60" spans="1:22" ht="20" customHeight="1">
      <c r="A60" s="5" t="s">
        <v>345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3"/>
      <c r="O60" s="2"/>
      <c r="P60" s="2"/>
      <c r="Q60" s="2"/>
      <c r="R60" s="2"/>
      <c r="S60" s="2"/>
      <c r="T60" s="2"/>
      <c r="U60" s="2"/>
      <c r="V60" s="2"/>
    </row>
    <row r="61" spans="1:22">
      <c r="A61" s="6" t="s">
        <v>217</v>
      </c>
      <c r="C61" s="33">
        <f>'Balance Sheet'!C52</f>
        <v>60.125755287009063</v>
      </c>
      <c r="D61" s="33">
        <f>'Balance Sheet'!D52</f>
        <v>50.664549784531637</v>
      </c>
      <c r="E61" s="33">
        <f>'Balance Sheet'!E52</f>
        <v>58.213018035303143</v>
      </c>
      <c r="F61" s="33">
        <f>'Balance Sheet'!F52</f>
        <v>52.641279815904767</v>
      </c>
      <c r="G61" s="33">
        <f>'Balance Sheet'!G52</f>
        <v>35.097329202947087</v>
      </c>
      <c r="H61" s="33">
        <f>'Balance Sheet'!H52</f>
        <v>27.537887067395264</v>
      </c>
      <c r="I61" s="33">
        <f>'Balance Sheet'!I52</f>
        <v>32.517242417853808</v>
      </c>
      <c r="J61" s="33">
        <f>'Balance Sheet'!J52</f>
        <v>32.139646556296938</v>
      </c>
      <c r="K61" s="33">
        <f>'Balance Sheet'!K52</f>
        <v>31.252956916275643</v>
      </c>
      <c r="L61" s="33">
        <f>'Balance Sheet'!L52</f>
        <v>40.820902531031351</v>
      </c>
      <c r="M61" s="13"/>
      <c r="N61" s="13"/>
      <c r="O61" s="33">
        <f>'Balance Sheet'!O52</f>
        <v>40.081684952350443</v>
      </c>
      <c r="P61" s="33">
        <f>'Balance Sheet'!P52</f>
        <v>32.475137698898408</v>
      </c>
      <c r="Q61" s="33">
        <f>'Balance Sheet'!Q52</f>
        <v>30.229619200858139</v>
      </c>
      <c r="R61" s="33">
        <f>'Balance Sheet'!R52</f>
        <v>33.739869368168492</v>
      </c>
      <c r="S61" s="33">
        <f>'Balance Sheet'!S52</f>
        <v>37.045762286860587</v>
      </c>
      <c r="T61" s="33">
        <f>'Balance Sheet'!T52</f>
        <v>39.866397390088551</v>
      </c>
      <c r="U61" s="33">
        <f>'Balance Sheet'!U52</f>
        <v>44.419254518411684</v>
      </c>
      <c r="V61" s="33">
        <f>'Balance Sheet'!V52</f>
        <v>42.152580176404989</v>
      </c>
    </row>
    <row r="62" spans="1:22">
      <c r="A62" s="6" t="s">
        <v>218</v>
      </c>
      <c r="C62" s="33">
        <f>'Balance Sheet'!C53</f>
        <v>70</v>
      </c>
      <c r="D62" s="33">
        <f>'Balance Sheet'!D53</f>
        <v>57.867316752492599</v>
      </c>
      <c r="E62" s="33">
        <f>'Balance Sheet'!E53</f>
        <v>40.559565002471579</v>
      </c>
      <c r="F62" s="33">
        <f>'Balance Sheet'!F53</f>
        <v>31.541427723947006</v>
      </c>
      <c r="G62" s="33">
        <f>'Balance Sheet'!G53</f>
        <v>35.296471268800616</v>
      </c>
      <c r="H62" s="33">
        <f>'Balance Sheet'!H53</f>
        <v>44.635583631906471</v>
      </c>
      <c r="I62" s="33">
        <f>'Balance Sheet'!I53</f>
        <v>63.253961109110548</v>
      </c>
      <c r="J62" s="33">
        <f>'Balance Sheet'!J53</f>
        <v>62.249078982837631</v>
      </c>
      <c r="K62" s="33">
        <f>'Balance Sheet'!K53</f>
        <v>33.695253081563074</v>
      </c>
      <c r="L62" s="33">
        <f>'Balance Sheet'!L53</f>
        <v>40.234545719419216</v>
      </c>
      <c r="M62" s="13"/>
      <c r="N62" s="13"/>
      <c r="O62" s="33">
        <f>'Balance Sheet'!O53</f>
        <v>35.580980683506688</v>
      </c>
      <c r="P62" s="33">
        <f>'Balance Sheet'!P53</f>
        <v>36.54664970313825</v>
      </c>
      <c r="Q62" s="33">
        <f>'Balance Sheet'!Q53</f>
        <v>36.392370572207085</v>
      </c>
      <c r="R62" s="33">
        <f>'Balance Sheet'!R53</f>
        <v>38.183274391512377</v>
      </c>
      <c r="S62" s="33">
        <f>'Balance Sheet'!S53</f>
        <v>37.793865498190137</v>
      </c>
      <c r="T62" s="33">
        <f>'Balance Sheet'!T53</f>
        <v>43.799480012999673</v>
      </c>
      <c r="U62" s="33">
        <f>'Balance Sheet'!U53</f>
        <v>58.158298877731838</v>
      </c>
      <c r="V62" s="33">
        <f>'Balance Sheet'!V53</f>
        <v>45.056704980842916</v>
      </c>
    </row>
    <row r="63" spans="1:22">
      <c r="A63" s="6" t="s">
        <v>219</v>
      </c>
      <c r="C63" s="33">
        <f>'Balance Sheet'!C54</f>
        <v>63.05</v>
      </c>
      <c r="D63" s="33">
        <f>'Balance Sheet'!D54</f>
        <v>44.190314451627039</v>
      </c>
      <c r="E63" s="33">
        <f>'Balance Sheet'!E54</f>
        <v>29.264953040039543</v>
      </c>
      <c r="F63" s="33">
        <f>'Balance Sheet'!F54</f>
        <v>30.855744512556853</v>
      </c>
      <c r="G63" s="33">
        <f>'Balance Sheet'!G54</f>
        <v>29.41959120709603</v>
      </c>
      <c r="H63" s="33">
        <f>'Balance Sheet'!H54</f>
        <v>37.374127852159155</v>
      </c>
      <c r="I63" s="33">
        <f>'Balance Sheet'!I54</f>
        <v>32.793482175009004</v>
      </c>
      <c r="J63" s="33">
        <f>'Balance Sheet'!J54</f>
        <v>39.684607781471833</v>
      </c>
      <c r="K63" s="33">
        <f>'Balance Sheet'!K54</f>
        <v>31.819040125885127</v>
      </c>
      <c r="L63" s="33">
        <f>'Balance Sheet'!L54</f>
        <v>27.650172388675763</v>
      </c>
      <c r="M63" s="13"/>
      <c r="N63" s="13"/>
      <c r="O63" s="33">
        <f>'Balance Sheet'!O54</f>
        <v>27.835066864784547</v>
      </c>
      <c r="P63" s="33">
        <f>'Balance Sheet'!P54</f>
        <v>33.903095843935539</v>
      </c>
      <c r="Q63" s="33">
        <f>'Balance Sheet'!Q54</f>
        <v>36.335149863760215</v>
      </c>
      <c r="R63" s="33">
        <f>'Balance Sheet'!R54</f>
        <v>24.55315165383815</v>
      </c>
      <c r="S63" s="33">
        <f>'Balance Sheet'!S54</f>
        <v>24.826062107068012</v>
      </c>
      <c r="T63" s="33">
        <f>'Balance Sheet'!T54</f>
        <v>31.230419239519009</v>
      </c>
      <c r="U63" s="33">
        <f>'Balance Sheet'!U54</f>
        <v>31.403868871825164</v>
      </c>
      <c r="V63" s="33">
        <f>'Balance Sheet'!V54</f>
        <v>39.846743295019152</v>
      </c>
    </row>
    <row r="64" spans="1:22">
      <c r="A64" s="6" t="s">
        <v>220</v>
      </c>
      <c r="C64" s="33">
        <f>'Balance Sheet'!C55</f>
        <v>67.075755287009073</v>
      </c>
      <c r="D64" s="33">
        <f>'Balance Sheet'!D55</f>
        <v>64.341552085397183</v>
      </c>
      <c r="E64" s="33">
        <f>'Balance Sheet'!E55</f>
        <v>69.507629997735179</v>
      </c>
      <c r="F64" s="33">
        <f>'Balance Sheet'!F55</f>
        <v>53.326963027294923</v>
      </c>
      <c r="G64" s="33">
        <f>'Balance Sheet'!G55</f>
        <v>40.974209264651677</v>
      </c>
      <c r="H64" s="33">
        <f>'Balance Sheet'!H55</f>
        <v>34.799342847142576</v>
      </c>
      <c r="I64" s="33">
        <f>'Balance Sheet'!I55</f>
        <v>62.977721351955353</v>
      </c>
      <c r="J64" s="33">
        <f>'Balance Sheet'!J55</f>
        <v>54.704117757662736</v>
      </c>
      <c r="K64" s="33">
        <f>'Balance Sheet'!K55</f>
        <v>33.129169871953593</v>
      </c>
      <c r="L64" s="33">
        <f>'Balance Sheet'!L55</f>
        <v>53.405275861774804</v>
      </c>
      <c r="M64" s="13"/>
      <c r="N64" s="13"/>
      <c r="O64" s="33">
        <f>'Balance Sheet'!O55</f>
        <v>47.827598771072587</v>
      </c>
      <c r="P64" s="33">
        <f>'Balance Sheet'!P55</f>
        <v>35.118691558101126</v>
      </c>
      <c r="Q64" s="33">
        <f>'Balance Sheet'!Q55</f>
        <v>30.286839909305009</v>
      </c>
      <c r="R64" s="33">
        <f>'Balance Sheet'!R55</f>
        <v>47.369992105842719</v>
      </c>
      <c r="S64" s="33">
        <f>'Balance Sheet'!S55</f>
        <v>50.013565677982712</v>
      </c>
      <c r="T64" s="33">
        <f>'Balance Sheet'!T55</f>
        <v>52.435458163569209</v>
      </c>
      <c r="U64" s="33">
        <f>'Balance Sheet'!U55</f>
        <v>71.173684524318347</v>
      </c>
      <c r="V64" s="33">
        <f>'Balance Sheet'!V55</f>
        <v>47.362541862228753</v>
      </c>
    </row>
    <row r="65" spans="13:14">
      <c r="M65" s="13"/>
      <c r="N65" s="13"/>
    </row>
  </sheetData>
  <phoneticPr fontId="1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9"/>
  </sheetPr>
  <dimension ref="A1:H22"/>
  <sheetViews>
    <sheetView showGridLines="0" zoomScale="85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95" customWidth="1"/>
    <col min="3" max="3" width="30" customWidth="1"/>
  </cols>
  <sheetData>
    <row r="1" spans="1:8" ht="28" customHeight="1">
      <c r="A1" s="1" t="s">
        <v>346</v>
      </c>
      <c r="B1" s="2"/>
      <c r="C1" s="2"/>
      <c r="D1" s="2"/>
      <c r="E1" s="2"/>
      <c r="F1" s="2"/>
      <c r="G1" s="2"/>
      <c r="H1" s="2"/>
    </row>
    <row r="2" spans="1:8" ht="16" customHeight="1">
      <c r="A2" s="3" t="s">
        <v>1</v>
      </c>
    </row>
    <row r="4" spans="1:8">
      <c r="A4" s="4" t="s">
        <v>111</v>
      </c>
    </row>
    <row r="6" spans="1:8">
      <c r="A6" s="5" t="s">
        <v>347</v>
      </c>
      <c r="B6" s="5" t="s">
        <v>348</v>
      </c>
      <c r="C6" s="5" t="s">
        <v>349</v>
      </c>
    </row>
    <row r="7" spans="1:8">
      <c r="A7" s="6" t="s">
        <v>350</v>
      </c>
      <c r="B7" s="6" t="s">
        <v>351</v>
      </c>
      <c r="C7" s="6" t="s">
        <v>352</v>
      </c>
    </row>
    <row r="8" spans="1:8">
      <c r="A8" s="6" t="s">
        <v>353</v>
      </c>
      <c r="B8" s="6" t="s">
        <v>354</v>
      </c>
      <c r="C8" s="6" t="s">
        <v>355</v>
      </c>
    </row>
    <row r="9" spans="1:8">
      <c r="A9" s="6" t="s">
        <v>356</v>
      </c>
      <c r="B9" s="6" t="s">
        <v>357</v>
      </c>
      <c r="C9" s="6" t="s">
        <v>358</v>
      </c>
    </row>
    <row r="10" spans="1:8">
      <c r="A10" s="6" t="s">
        <v>359</v>
      </c>
      <c r="B10" s="6" t="s">
        <v>360</v>
      </c>
      <c r="C10" s="6" t="s">
        <v>361</v>
      </c>
    </row>
    <row r="11" spans="1:8">
      <c r="A11" s="6" t="s">
        <v>362</v>
      </c>
      <c r="B11" s="6" t="s">
        <v>363</v>
      </c>
      <c r="C11" s="6" t="s">
        <v>364</v>
      </c>
    </row>
    <row r="12" spans="1:8">
      <c r="A12" s="6" t="s">
        <v>365</v>
      </c>
      <c r="B12" s="6" t="s">
        <v>366</v>
      </c>
      <c r="C12" s="6" t="s">
        <v>367</v>
      </c>
    </row>
    <row r="13" spans="1:8">
      <c r="A13" s="6" t="s">
        <v>368</v>
      </c>
      <c r="B13" s="6" t="s">
        <v>369</v>
      </c>
      <c r="C13" s="6" t="s">
        <v>370</v>
      </c>
    </row>
    <row r="14" spans="1:8">
      <c r="A14" s="6" t="s">
        <v>371</v>
      </c>
      <c r="B14" s="6" t="s">
        <v>372</v>
      </c>
      <c r="C14" s="6" t="s">
        <v>373</v>
      </c>
    </row>
    <row r="15" spans="1:8">
      <c r="A15" s="6" t="s">
        <v>374</v>
      </c>
      <c r="B15" s="6" t="s">
        <v>375</v>
      </c>
      <c r="C15" s="6" t="s">
        <v>376</v>
      </c>
    </row>
    <row r="16" spans="1:8">
      <c r="A16" s="6" t="s">
        <v>377</v>
      </c>
      <c r="B16" s="6" t="s">
        <v>378</v>
      </c>
      <c r="C16" s="6" t="s">
        <v>379</v>
      </c>
    </row>
    <row r="17" spans="1:3">
      <c r="A17" s="6" t="s">
        <v>380</v>
      </c>
      <c r="B17" s="6" t="s">
        <v>381</v>
      </c>
      <c r="C17" s="6" t="s">
        <v>382</v>
      </c>
    </row>
    <row r="19" spans="1:3">
      <c r="A19" s="5" t="s">
        <v>383</v>
      </c>
      <c r="B19" s="5"/>
    </row>
    <row r="20" spans="1:3">
      <c r="A20" s="6" t="s">
        <v>384</v>
      </c>
      <c r="B20" s="6" t="s">
        <v>385</v>
      </c>
    </row>
    <row r="21" spans="1:3">
      <c r="A21" s="6" t="s">
        <v>386</v>
      </c>
      <c r="B21" s="6" t="s">
        <v>387</v>
      </c>
    </row>
    <row r="22" spans="1:3">
      <c r="A22" s="6" t="s">
        <v>388</v>
      </c>
      <c r="B22" s="6" t="s">
        <v>389</v>
      </c>
    </row>
  </sheetData>
  <phoneticPr fontId="1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8F00"/>
  </sheetPr>
  <dimension ref="A1:L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L8" sqref="L8"/>
    </sheetView>
  </sheetViews>
  <sheetFormatPr baseColWidth="10" defaultColWidth="8.83203125" defaultRowHeight="14"/>
  <cols>
    <col min="1" max="1" width="46" customWidth="1"/>
    <col min="2" max="2" width="30" customWidth="1"/>
    <col min="3" max="12" width="12" customWidth="1"/>
  </cols>
  <sheetData>
    <row r="1" spans="1:12" ht="28" customHeight="1">
      <c r="A1" s="35" t="s">
        <v>390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>
      <c r="A2" s="3" t="s">
        <v>391</v>
      </c>
    </row>
    <row r="3" spans="1:12">
      <c r="C3" s="36" t="s">
        <v>2</v>
      </c>
      <c r="D3" s="36" t="s">
        <v>3</v>
      </c>
      <c r="E3" s="36" t="s">
        <v>4</v>
      </c>
      <c r="F3" s="36" t="s">
        <v>5</v>
      </c>
      <c r="G3" s="36" t="s">
        <v>6</v>
      </c>
      <c r="H3" s="36" t="s">
        <v>7</v>
      </c>
      <c r="I3" s="36" t="s">
        <v>8</v>
      </c>
      <c r="J3" s="36" t="s">
        <v>9</v>
      </c>
      <c r="K3" s="36" t="s">
        <v>10</v>
      </c>
      <c r="L3" s="36" t="s">
        <v>11</v>
      </c>
    </row>
    <row r="4" spans="1:12">
      <c r="C4" s="37" t="s">
        <v>21</v>
      </c>
      <c r="D4" s="37" t="s">
        <v>22</v>
      </c>
      <c r="E4" s="37" t="s">
        <v>23</v>
      </c>
      <c r="F4" s="37" t="s">
        <v>24</v>
      </c>
      <c r="G4" s="37" t="s">
        <v>25</v>
      </c>
      <c r="H4" s="37" t="s">
        <v>26</v>
      </c>
      <c r="I4" s="37" t="s">
        <v>27</v>
      </c>
      <c r="J4" s="37" t="s">
        <v>28</v>
      </c>
      <c r="K4" s="37" t="s">
        <v>29</v>
      </c>
      <c r="L4" s="37" t="s">
        <v>30</v>
      </c>
    </row>
    <row r="6" spans="1:12" ht="20" customHeight="1">
      <c r="A6" s="5" t="s">
        <v>392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38" t="s">
        <v>393</v>
      </c>
    </row>
    <row r="8" spans="1:12">
      <c r="A8" s="6" t="s">
        <v>182</v>
      </c>
      <c r="C8" s="39">
        <f>'Balance Sheet'!C15</f>
        <v>3097</v>
      </c>
      <c r="D8" s="39">
        <f>'Balance Sheet'!D15</f>
        <v>11204</v>
      </c>
      <c r="E8" s="39">
        <f>'Balance Sheet'!E15</f>
        <v>4292</v>
      </c>
      <c r="F8" s="39">
        <f>'Balance Sheet'!F15</f>
        <v>5055</v>
      </c>
      <c r="G8" s="39">
        <f>'Balance Sheet'!G15</f>
        <v>7618</v>
      </c>
      <c r="H8" s="39">
        <f>'Balance Sheet'!H15</f>
        <v>12163</v>
      </c>
      <c r="I8" s="39">
        <f>'Balance Sheet'!I15</f>
        <v>12416</v>
      </c>
      <c r="J8" s="39">
        <f>'Balance Sheet'!J15</f>
        <v>14189</v>
      </c>
      <c r="K8" s="39">
        <f>'Balance Sheet'!K15</f>
        <v>9348</v>
      </c>
      <c r="L8" s="39">
        <f>'Balance Sheet'!L15</f>
        <v>16178</v>
      </c>
    </row>
    <row r="9" spans="1:12">
      <c r="A9" s="6" t="s">
        <v>394</v>
      </c>
      <c r="C9" s="39">
        <f>'Balance Sheet'!C16</f>
        <v>2181</v>
      </c>
      <c r="D9" s="39">
        <f>'Balance Sheet'!D16</f>
        <v>2448</v>
      </c>
      <c r="E9" s="39">
        <f>'Balance Sheet'!E16</f>
        <v>3325</v>
      </c>
      <c r="F9" s="39">
        <f>'Balance Sheet'!F16</f>
        <v>3259</v>
      </c>
      <c r="G9" s="39">
        <f>'Balance Sheet'!G16</f>
        <v>2297</v>
      </c>
      <c r="H9" s="39">
        <f>'Balance Sheet'!H16</f>
        <v>2071</v>
      </c>
      <c r="I9" s="39">
        <f>'Balance Sheet'!I16</f>
        <v>2958</v>
      </c>
      <c r="J9" s="39">
        <f>'Balance Sheet'!J16</f>
        <v>3154</v>
      </c>
      <c r="K9" s="39">
        <f>'Balance Sheet'!K16</f>
        <v>4416</v>
      </c>
      <c r="L9" s="39">
        <f>'Balance Sheet'!L16</f>
        <v>7145</v>
      </c>
    </row>
    <row r="10" spans="1:12">
      <c r="A10" s="6" t="s">
        <v>184</v>
      </c>
      <c r="C10" s="39">
        <f>'Balance Sheet'!C17</f>
        <v>1400</v>
      </c>
      <c r="D10" s="39">
        <f>'Balance Sheet'!D17</f>
        <v>1447</v>
      </c>
      <c r="E10" s="39">
        <f>'Balance Sheet'!E17</f>
        <v>1124</v>
      </c>
      <c r="F10" s="39">
        <f>'Balance Sheet'!F17</f>
        <v>874</v>
      </c>
      <c r="G10" s="39">
        <f>'Balance Sheet'!G17</f>
        <v>1003</v>
      </c>
      <c r="H10" s="39">
        <f>'Balance Sheet'!H17</f>
        <v>1297</v>
      </c>
      <c r="I10" s="39">
        <f>'Balance Sheet'!I17</f>
        <v>1925</v>
      </c>
      <c r="J10" s="39">
        <f>'Balance Sheet'!J17</f>
        <v>1898</v>
      </c>
      <c r="K10" s="39">
        <f>'Balance Sheet'!K17</f>
        <v>1760</v>
      </c>
      <c r="L10" s="39">
        <f>'Balance Sheet'!L17</f>
        <v>2270</v>
      </c>
    </row>
    <row r="11" spans="1:12">
      <c r="A11" s="6" t="s">
        <v>185</v>
      </c>
      <c r="C11" s="39">
        <f>'Balance Sheet'!C18</f>
        <v>447</v>
      </c>
      <c r="D11" s="39">
        <f>'Balance Sheet'!D18</f>
        <v>724</v>
      </c>
      <c r="E11" s="39">
        <f>'Balance Sheet'!E18</f>
        <v>366</v>
      </c>
      <c r="F11" s="39">
        <f>'Balance Sheet'!F18</f>
        <v>729</v>
      </c>
      <c r="G11" s="39">
        <f>'Balance Sheet'!G18</f>
        <v>977</v>
      </c>
      <c r="H11" s="39">
        <f>'Balance Sheet'!H18</f>
        <v>1055</v>
      </c>
      <c r="I11" s="39">
        <f>'Balance Sheet'!I18</f>
        <v>1205</v>
      </c>
      <c r="J11" s="39">
        <f>'Balance Sheet'!J18</f>
        <v>1606</v>
      </c>
      <c r="K11" s="39">
        <f>'Balance Sheet'!K18</f>
        <v>4071</v>
      </c>
      <c r="L11" s="39">
        <f>'Balance Sheet'!L18</f>
        <v>5980</v>
      </c>
    </row>
    <row r="12" spans="1:12">
      <c r="A12" s="14" t="s">
        <v>186</v>
      </c>
      <c r="C12" s="40">
        <f t="shared" ref="C12:L12" si="0">SUM(C8:C11)</f>
        <v>7125</v>
      </c>
      <c r="D12" s="40">
        <f t="shared" si="0"/>
        <v>15823</v>
      </c>
      <c r="E12" s="40">
        <f t="shared" si="0"/>
        <v>9107</v>
      </c>
      <c r="F12" s="40">
        <f t="shared" si="0"/>
        <v>9917</v>
      </c>
      <c r="G12" s="40">
        <f t="shared" si="0"/>
        <v>11895</v>
      </c>
      <c r="H12" s="40">
        <f t="shared" si="0"/>
        <v>16586</v>
      </c>
      <c r="I12" s="40">
        <f t="shared" si="0"/>
        <v>18504</v>
      </c>
      <c r="J12" s="40">
        <f t="shared" si="0"/>
        <v>20847</v>
      </c>
      <c r="K12" s="40">
        <f t="shared" si="0"/>
        <v>19595</v>
      </c>
      <c r="L12" s="40">
        <f t="shared" si="0"/>
        <v>31573</v>
      </c>
    </row>
    <row r="14" spans="1:12">
      <c r="A14" s="6" t="s">
        <v>395</v>
      </c>
      <c r="C14" s="39">
        <f>'Balance Sheet'!C22</f>
        <v>2509</v>
      </c>
      <c r="D14" s="39">
        <f>'Balance Sheet'!D22</f>
        <v>2599</v>
      </c>
      <c r="E14" s="39">
        <f>'Balance Sheet'!E22</f>
        <v>2635</v>
      </c>
      <c r="F14" s="39">
        <f>'Balance Sheet'!F22</f>
        <v>2565</v>
      </c>
      <c r="G14" s="39">
        <f>'Balance Sheet'!G22</f>
        <v>2509</v>
      </c>
      <c r="H14" s="39">
        <f>'Balance Sheet'!H22</f>
        <v>2348</v>
      </c>
      <c r="I14" s="39">
        <f>'Balance Sheet'!I22</f>
        <v>2223</v>
      </c>
      <c r="J14" s="39">
        <f>'Balance Sheet'!J22</f>
        <v>2154</v>
      </c>
      <c r="K14" s="39">
        <f>'Balance Sheet'!K22</f>
        <v>2521</v>
      </c>
      <c r="L14" s="39">
        <f>'Balance Sheet'!L22</f>
        <v>2530</v>
      </c>
    </row>
    <row r="15" spans="1:12">
      <c r="A15" s="6" t="s">
        <v>189</v>
      </c>
      <c r="C15" s="39">
        <f>'Balance Sheet'!C23</f>
        <v>24732</v>
      </c>
      <c r="D15" s="39">
        <f>'Balance Sheet'!D23</f>
        <v>24706</v>
      </c>
      <c r="E15" s="39">
        <f>'Balance Sheet'!E23</f>
        <v>26913</v>
      </c>
      <c r="F15" s="39">
        <f>'Balance Sheet'!F23</f>
        <v>36714</v>
      </c>
      <c r="G15" s="39">
        <f>'Balance Sheet'!G23</f>
        <v>43447</v>
      </c>
      <c r="H15" s="39">
        <f>'Balance Sheet'!H23</f>
        <v>43450</v>
      </c>
      <c r="I15" s="39">
        <f>'Balance Sheet'!I23</f>
        <v>43614</v>
      </c>
      <c r="J15" s="39">
        <f>'Balance Sheet'!J23</f>
        <v>43653</v>
      </c>
      <c r="K15" s="39">
        <f>'Balance Sheet'!K23</f>
        <v>97873</v>
      </c>
      <c r="L15" s="39">
        <f>'Balance Sheet'!L23</f>
        <v>97801</v>
      </c>
    </row>
    <row r="16" spans="1:12">
      <c r="A16" s="6" t="s">
        <v>190</v>
      </c>
      <c r="C16" s="39">
        <f>'Balance Sheet'!C24</f>
        <v>15068</v>
      </c>
      <c r="D16" s="39">
        <f>'Balance Sheet'!D24</f>
        <v>10832</v>
      </c>
      <c r="E16" s="39">
        <f>'Balance Sheet'!E24</f>
        <v>10762</v>
      </c>
      <c r="F16" s="39">
        <f>'Balance Sheet'!F24</f>
        <v>17554</v>
      </c>
      <c r="G16" s="39">
        <f>'Balance Sheet'!G24</f>
        <v>16782</v>
      </c>
      <c r="H16" s="39">
        <f>'Balance Sheet'!H24</f>
        <v>11374</v>
      </c>
      <c r="I16" s="39">
        <f>'Balance Sheet'!I24</f>
        <v>7111</v>
      </c>
      <c r="J16" s="39">
        <f>'Balance Sheet'!J24</f>
        <v>3867</v>
      </c>
      <c r="K16" s="39">
        <f>'Balance Sheet'!K24</f>
        <v>40583</v>
      </c>
      <c r="L16" s="39">
        <f>'Balance Sheet'!L24</f>
        <v>32273</v>
      </c>
    </row>
    <row r="17" spans="1:12">
      <c r="A17" s="6" t="s">
        <v>191</v>
      </c>
      <c r="C17" s="39">
        <f>'Balance Sheet'!C25</f>
        <v>532</v>
      </c>
      <c r="D17" s="39">
        <f>'Balance Sheet'!D25</f>
        <v>458</v>
      </c>
      <c r="E17" s="39">
        <f>'Balance Sheet'!E25</f>
        <v>707</v>
      </c>
      <c r="F17" s="39">
        <f>'Balance Sheet'!F25</f>
        <v>743</v>
      </c>
      <c r="G17" s="39">
        <f>'Balance Sheet'!G25</f>
        <v>1300</v>
      </c>
      <c r="H17" s="39">
        <f>'Balance Sheet'!H25</f>
        <v>1812</v>
      </c>
      <c r="I17" s="39">
        <f>'Balance Sheet'!I25</f>
        <v>1797</v>
      </c>
      <c r="J17" s="39">
        <f>'Balance Sheet'!J25</f>
        <v>2340</v>
      </c>
      <c r="K17" s="39">
        <f>'Balance Sheet'!K25</f>
        <v>5073</v>
      </c>
      <c r="L17" s="39">
        <f>'Balance Sheet'!L25</f>
        <v>6915</v>
      </c>
    </row>
    <row r="18" spans="1:12">
      <c r="A18" s="14" t="s">
        <v>396</v>
      </c>
      <c r="C18" s="40">
        <f t="shared" ref="C18:L18" si="1">SUM(C14:C17)</f>
        <v>42841</v>
      </c>
      <c r="D18" s="40">
        <f t="shared" si="1"/>
        <v>38595</v>
      </c>
      <c r="E18" s="40">
        <f t="shared" si="1"/>
        <v>41017</v>
      </c>
      <c r="F18" s="40">
        <f t="shared" si="1"/>
        <v>57576</v>
      </c>
      <c r="G18" s="40">
        <f t="shared" si="1"/>
        <v>64038</v>
      </c>
      <c r="H18" s="40">
        <f t="shared" si="1"/>
        <v>58984</v>
      </c>
      <c r="I18" s="40">
        <f t="shared" si="1"/>
        <v>54745</v>
      </c>
      <c r="J18" s="40">
        <f t="shared" si="1"/>
        <v>52014</v>
      </c>
      <c r="K18" s="40">
        <f t="shared" si="1"/>
        <v>146050</v>
      </c>
      <c r="L18" s="40">
        <f t="shared" si="1"/>
        <v>139519</v>
      </c>
    </row>
    <row r="20" spans="1:12">
      <c r="A20" s="14" t="s">
        <v>397</v>
      </c>
      <c r="C20" s="40">
        <f t="shared" ref="C20:L20" si="2">C12+C18</f>
        <v>49966</v>
      </c>
      <c r="D20" s="40">
        <f t="shared" si="2"/>
        <v>54418</v>
      </c>
      <c r="E20" s="40">
        <f t="shared" si="2"/>
        <v>50124</v>
      </c>
      <c r="F20" s="40">
        <f t="shared" si="2"/>
        <v>67493</v>
      </c>
      <c r="G20" s="40">
        <f t="shared" si="2"/>
        <v>75933</v>
      </c>
      <c r="H20" s="40">
        <f t="shared" si="2"/>
        <v>75570</v>
      </c>
      <c r="I20" s="40">
        <f t="shared" si="2"/>
        <v>73249</v>
      </c>
      <c r="J20" s="40">
        <f t="shared" si="2"/>
        <v>72861</v>
      </c>
      <c r="K20" s="40">
        <f t="shared" si="2"/>
        <v>165645</v>
      </c>
      <c r="L20" s="40">
        <f t="shared" si="2"/>
        <v>171092</v>
      </c>
    </row>
    <row r="21" spans="1:12">
      <c r="A21" s="6" t="s">
        <v>398</v>
      </c>
      <c r="C21" s="39">
        <f>'Balance Sheet'!C26</f>
        <v>49966</v>
      </c>
      <c r="D21" s="39">
        <f>'Balance Sheet'!D26</f>
        <v>54418</v>
      </c>
      <c r="E21" s="39">
        <f>'Balance Sheet'!E26</f>
        <v>50124</v>
      </c>
      <c r="F21" s="39">
        <f>'Balance Sheet'!F26</f>
        <v>67493</v>
      </c>
      <c r="G21" s="39">
        <f>'Balance Sheet'!G26</f>
        <v>75933</v>
      </c>
      <c r="H21" s="39">
        <f>'Balance Sheet'!H26</f>
        <v>75570</v>
      </c>
      <c r="I21" s="39">
        <f>'Balance Sheet'!I26</f>
        <v>73249</v>
      </c>
      <c r="J21" s="39">
        <f>'Balance Sheet'!J26</f>
        <v>72861</v>
      </c>
      <c r="K21" s="39">
        <f>'Balance Sheet'!K26</f>
        <v>165645</v>
      </c>
      <c r="L21" s="39">
        <f>'Balance Sheet'!L26</f>
        <v>171092</v>
      </c>
    </row>
    <row r="22" spans="1:12">
      <c r="A22" s="17" t="s">
        <v>399</v>
      </c>
      <c r="C22" s="28">
        <f t="shared" ref="C22:L22" si="3">C20-C21</f>
        <v>0</v>
      </c>
      <c r="D22" s="28">
        <f t="shared" si="3"/>
        <v>0</v>
      </c>
      <c r="E22" s="28">
        <f t="shared" si="3"/>
        <v>0</v>
      </c>
      <c r="F22" s="28">
        <f t="shared" si="3"/>
        <v>0</v>
      </c>
      <c r="G22" s="28">
        <f t="shared" si="3"/>
        <v>0</v>
      </c>
      <c r="H22" s="28">
        <f t="shared" si="3"/>
        <v>0</v>
      </c>
      <c r="I22" s="28">
        <f t="shared" si="3"/>
        <v>0</v>
      </c>
      <c r="J22" s="28">
        <f t="shared" si="3"/>
        <v>0</v>
      </c>
      <c r="K22" s="28">
        <f t="shared" si="3"/>
        <v>0</v>
      </c>
      <c r="L22" s="28">
        <f t="shared" si="3"/>
        <v>0</v>
      </c>
    </row>
    <row r="24" spans="1:12" ht="20" customHeight="1">
      <c r="A24" s="5" t="s">
        <v>400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38" t="s">
        <v>401</v>
      </c>
    </row>
    <row r="26" spans="1:12">
      <c r="A26" s="6" t="s">
        <v>182</v>
      </c>
      <c r="C26" s="31">
        <f t="shared" ref="C26:L26" si="4">C8/C21</f>
        <v>6.1982147860545171E-2</v>
      </c>
      <c r="D26" s="31">
        <f t="shared" si="4"/>
        <v>0.20588775772722262</v>
      </c>
      <c r="E26" s="31">
        <f t="shared" si="4"/>
        <v>8.5627643444258245E-2</v>
      </c>
      <c r="F26" s="31">
        <f t="shared" si="4"/>
        <v>7.4896655949505869E-2</v>
      </c>
      <c r="G26" s="31">
        <f t="shared" si="4"/>
        <v>0.10032528676596474</v>
      </c>
      <c r="H26" s="31">
        <f t="shared" si="4"/>
        <v>0.16095011247849675</v>
      </c>
      <c r="I26" s="31">
        <f t="shared" si="4"/>
        <v>0.16950402053270353</v>
      </c>
      <c r="J26" s="31">
        <f t="shared" si="4"/>
        <v>0.19474067059194905</v>
      </c>
      <c r="K26" s="31">
        <f t="shared" si="4"/>
        <v>5.6433940052521961E-2</v>
      </c>
      <c r="L26" s="31">
        <f t="shared" si="4"/>
        <v>9.4557314193533304E-2</v>
      </c>
    </row>
    <row r="27" spans="1:12">
      <c r="A27" s="6" t="s">
        <v>394</v>
      </c>
      <c r="C27" s="31">
        <f t="shared" ref="C27:L27" si="5">C9/C21</f>
        <v>4.3649681783612858E-2</v>
      </c>
      <c r="D27" s="31">
        <f t="shared" si="5"/>
        <v>4.4985115219228933E-2</v>
      </c>
      <c r="E27" s="31">
        <f t="shared" si="5"/>
        <v>6.6335487989785336E-2</v>
      </c>
      <c r="F27" s="31">
        <f t="shared" si="5"/>
        <v>4.8286488969226438E-2</v>
      </c>
      <c r="G27" s="31">
        <f t="shared" si="5"/>
        <v>3.025035228425059E-2</v>
      </c>
      <c r="H27" s="31">
        <f t="shared" si="5"/>
        <v>2.7405054915971946E-2</v>
      </c>
      <c r="I27" s="31">
        <f t="shared" si="5"/>
        <v>4.0382803860803562E-2</v>
      </c>
      <c r="J27" s="31">
        <f t="shared" si="5"/>
        <v>4.3287904365847299E-2</v>
      </c>
      <c r="K27" s="31">
        <f t="shared" si="5"/>
        <v>2.6659422258444265E-2</v>
      </c>
      <c r="L27" s="31">
        <f t="shared" si="5"/>
        <v>4.1761157739695604E-2</v>
      </c>
    </row>
    <row r="28" spans="1:12">
      <c r="A28" s="6" t="s">
        <v>184</v>
      </c>
      <c r="C28" s="31">
        <f t="shared" ref="C28:L28" si="6">C10/C21</f>
        <v>2.8019052956010086E-2</v>
      </c>
      <c r="D28" s="31">
        <f t="shared" si="6"/>
        <v>2.6590466389797493E-2</v>
      </c>
      <c r="E28" s="31">
        <f t="shared" si="6"/>
        <v>2.2424387518952996E-2</v>
      </c>
      <c r="F28" s="31">
        <f t="shared" si="6"/>
        <v>1.2949491058331975E-2</v>
      </c>
      <c r="G28" s="31">
        <f t="shared" si="6"/>
        <v>1.320901320901321E-2</v>
      </c>
      <c r="H28" s="31">
        <f t="shared" si="6"/>
        <v>1.7162895328834193E-2</v>
      </c>
      <c r="I28" s="31">
        <f t="shared" si="6"/>
        <v>2.6280222255593934E-2</v>
      </c>
      <c r="J28" s="31">
        <f t="shared" si="6"/>
        <v>2.6049601295617682E-2</v>
      </c>
      <c r="K28" s="31">
        <f t="shared" si="6"/>
        <v>1.0625132059524887E-2</v>
      </c>
      <c r="L28" s="31">
        <f t="shared" si="6"/>
        <v>1.3267715614990766E-2</v>
      </c>
    </row>
    <row r="29" spans="1:12">
      <c r="A29" s="6" t="s">
        <v>185</v>
      </c>
      <c r="C29" s="31">
        <f t="shared" ref="C29:L29" si="7">C11/C21</f>
        <v>8.9460833366689346E-3</v>
      </c>
      <c r="D29" s="31">
        <f t="shared" si="7"/>
        <v>1.3304421331177183E-2</v>
      </c>
      <c r="E29" s="31">
        <f t="shared" si="7"/>
        <v>7.3018913095523105E-3</v>
      </c>
      <c r="F29" s="31">
        <f t="shared" si="7"/>
        <v>1.0801120116160195E-2</v>
      </c>
      <c r="G29" s="31">
        <f t="shared" si="7"/>
        <v>1.286660608694507E-2</v>
      </c>
      <c r="H29" s="31">
        <f t="shared" si="7"/>
        <v>1.3960566362313086E-2</v>
      </c>
      <c r="I29" s="31">
        <f t="shared" si="7"/>
        <v>1.645073652882633E-2</v>
      </c>
      <c r="J29" s="31">
        <f t="shared" si="7"/>
        <v>2.2041970327061115E-2</v>
      </c>
      <c r="K29" s="31">
        <f t="shared" si="7"/>
        <v>2.4576654894503305E-2</v>
      </c>
      <c r="L29" s="31">
        <f t="shared" si="7"/>
        <v>3.4951955672971269E-2</v>
      </c>
    </row>
    <row r="30" spans="1:12">
      <c r="A30" s="6" t="s">
        <v>395</v>
      </c>
      <c r="C30" s="31">
        <f t="shared" ref="C30:L30" si="8">C14/C21</f>
        <v>5.0214145619020933E-2</v>
      </c>
      <c r="D30" s="31">
        <f t="shared" si="8"/>
        <v>4.7759932375316991E-2</v>
      </c>
      <c r="E30" s="31">
        <f t="shared" si="8"/>
        <v>5.2569627324235896E-2</v>
      </c>
      <c r="F30" s="31">
        <f t="shared" si="8"/>
        <v>3.8003941149452533E-2</v>
      </c>
      <c r="G30" s="31">
        <f t="shared" si="8"/>
        <v>3.3042287279575415E-2</v>
      </c>
      <c r="H30" s="31">
        <f t="shared" si="8"/>
        <v>3.1070530633849409E-2</v>
      </c>
      <c r="I30" s="31">
        <f t="shared" si="8"/>
        <v>3.0348537181394967E-2</v>
      </c>
      <c r="J30" s="31">
        <f t="shared" si="8"/>
        <v>2.9563140774900153E-2</v>
      </c>
      <c r="K30" s="31">
        <f t="shared" si="8"/>
        <v>1.5219294273899E-2</v>
      </c>
      <c r="L30" s="31">
        <f t="shared" si="8"/>
        <v>1.4787365861641691E-2</v>
      </c>
    </row>
    <row r="31" spans="1:12">
      <c r="A31" s="6" t="s">
        <v>189</v>
      </c>
      <c r="C31" s="31">
        <f t="shared" ref="C31:L31" si="9">C15/C21</f>
        <v>0.49497658407717249</v>
      </c>
      <c r="D31" s="31">
        <f t="shared" si="9"/>
        <v>0.45400418979014295</v>
      </c>
      <c r="E31" s="31">
        <f t="shared" si="9"/>
        <v>0.53692841752453913</v>
      </c>
      <c r="F31" s="31">
        <f t="shared" si="9"/>
        <v>0.54396752255789493</v>
      </c>
      <c r="G31" s="31">
        <f t="shared" si="9"/>
        <v>0.57217547048055528</v>
      </c>
      <c r="H31" s="31">
        <f t="shared" si="9"/>
        <v>0.57496360989810769</v>
      </c>
      <c r="I31" s="31">
        <f t="shared" si="9"/>
        <v>0.59542109789894737</v>
      </c>
      <c r="J31" s="31">
        <f t="shared" si="9"/>
        <v>0.59912710503561573</v>
      </c>
      <c r="K31" s="31">
        <f t="shared" si="9"/>
        <v>0.59085997162606785</v>
      </c>
      <c r="L31" s="31">
        <f t="shared" si="9"/>
        <v>0.5716281298950272</v>
      </c>
    </row>
    <row r="32" spans="1:12">
      <c r="A32" s="6" t="s">
        <v>190</v>
      </c>
      <c r="C32" s="31">
        <f t="shared" ref="C32:L32" si="10">C16/C21</f>
        <v>0.30156506424368573</v>
      </c>
      <c r="D32" s="31">
        <f t="shared" si="10"/>
        <v>0.19905178433606527</v>
      </c>
      <c r="E32" s="31">
        <f t="shared" si="10"/>
        <v>0.21470752533716383</v>
      </c>
      <c r="F32" s="31">
        <f t="shared" si="10"/>
        <v>0.26008623116471336</v>
      </c>
      <c r="G32" s="31">
        <f t="shared" si="10"/>
        <v>0.22101062779028879</v>
      </c>
      <c r="H32" s="31">
        <f t="shared" si="10"/>
        <v>0.15050946142649199</v>
      </c>
      <c r="I32" s="31">
        <f t="shared" si="10"/>
        <v>9.7079823615339456E-2</v>
      </c>
      <c r="J32" s="31">
        <f t="shared" si="10"/>
        <v>5.3073660806192614E-2</v>
      </c>
      <c r="K32" s="31">
        <f t="shared" si="10"/>
        <v>0.24499984907482869</v>
      </c>
      <c r="L32" s="31">
        <f t="shared" si="10"/>
        <v>0.18862950926986649</v>
      </c>
    </row>
    <row r="33" spans="1:12">
      <c r="A33" s="6" t="s">
        <v>191</v>
      </c>
      <c r="C33" s="31">
        <f t="shared" ref="C33:L33" si="11">C17/C21</f>
        <v>1.0647240123283833E-2</v>
      </c>
      <c r="D33" s="31">
        <f t="shared" si="11"/>
        <v>8.4163328310485497E-3</v>
      </c>
      <c r="E33" s="31">
        <f t="shared" si="11"/>
        <v>1.4105019551512249E-2</v>
      </c>
      <c r="F33" s="31">
        <f t="shared" si="11"/>
        <v>1.1008549034714711E-2</v>
      </c>
      <c r="G33" s="31">
        <f t="shared" si="11"/>
        <v>1.7120356103406949E-2</v>
      </c>
      <c r="H33" s="31">
        <f t="shared" si="11"/>
        <v>2.3977768955934894E-2</v>
      </c>
      <c r="I33" s="31">
        <f t="shared" si="11"/>
        <v>2.4532758126390802E-2</v>
      </c>
      <c r="J33" s="31">
        <f t="shared" si="11"/>
        <v>3.211594680281632E-2</v>
      </c>
      <c r="K33" s="31">
        <f t="shared" si="11"/>
        <v>3.0625735760210087E-2</v>
      </c>
      <c r="L33" s="31">
        <f t="shared" si="11"/>
        <v>4.0416851752273629E-2</v>
      </c>
    </row>
    <row r="34" spans="1:12">
      <c r="A34" s="14" t="s">
        <v>402</v>
      </c>
      <c r="C34" s="41">
        <f t="shared" ref="C34:L34" si="12">SUM(C26:C33)</f>
        <v>1</v>
      </c>
      <c r="D34" s="41">
        <f t="shared" si="12"/>
        <v>1</v>
      </c>
      <c r="E34" s="41">
        <f t="shared" si="12"/>
        <v>1</v>
      </c>
      <c r="F34" s="41">
        <f t="shared" si="12"/>
        <v>1</v>
      </c>
      <c r="G34" s="41">
        <f t="shared" si="12"/>
        <v>1</v>
      </c>
      <c r="H34" s="41">
        <f t="shared" si="12"/>
        <v>0.99999999999999989</v>
      </c>
      <c r="I34" s="41">
        <f t="shared" si="12"/>
        <v>0.99999999999999978</v>
      </c>
      <c r="J34" s="41">
        <f t="shared" si="12"/>
        <v>0.99999999999999978</v>
      </c>
      <c r="K34" s="41">
        <f t="shared" si="12"/>
        <v>1</v>
      </c>
      <c r="L34" s="41">
        <f t="shared" si="12"/>
        <v>1</v>
      </c>
    </row>
    <row r="36" spans="1:12">
      <c r="A36" s="38" t="s">
        <v>403</v>
      </c>
    </row>
    <row r="37" spans="1:12">
      <c r="A37" s="38" t="s">
        <v>404</v>
      </c>
    </row>
  </sheetData>
  <phoneticPr fontId="14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8F00"/>
  </sheetPr>
  <dimension ref="A1:L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N15" sqref="N15"/>
    </sheetView>
  </sheetViews>
  <sheetFormatPr baseColWidth="10" defaultColWidth="8.83203125" defaultRowHeight="14"/>
  <cols>
    <col min="1" max="1" width="46" customWidth="1"/>
    <col min="2" max="2" width="30" customWidth="1"/>
    <col min="3" max="12" width="12" customWidth="1"/>
  </cols>
  <sheetData>
    <row r="1" spans="1:12" ht="28" customHeight="1">
      <c r="A1" s="35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>
      <c r="A2" s="3" t="s">
        <v>391</v>
      </c>
    </row>
    <row r="3" spans="1:12">
      <c r="C3" s="36" t="s">
        <v>2</v>
      </c>
      <c r="D3" s="36" t="s">
        <v>3</v>
      </c>
      <c r="E3" s="36" t="s">
        <v>4</v>
      </c>
      <c r="F3" s="36" t="s">
        <v>5</v>
      </c>
      <c r="G3" s="36" t="s">
        <v>6</v>
      </c>
      <c r="H3" s="36" t="s">
        <v>7</v>
      </c>
      <c r="I3" s="36" t="s">
        <v>8</v>
      </c>
      <c r="J3" s="36" t="s">
        <v>9</v>
      </c>
      <c r="K3" s="36" t="s">
        <v>10</v>
      </c>
      <c r="L3" s="36" t="s">
        <v>11</v>
      </c>
    </row>
    <row r="4" spans="1:12">
      <c r="C4" s="37" t="s">
        <v>21</v>
      </c>
      <c r="D4" s="37" t="s">
        <v>22</v>
      </c>
      <c r="E4" s="37" t="s">
        <v>23</v>
      </c>
      <c r="F4" s="37" t="s">
        <v>24</v>
      </c>
      <c r="G4" s="37" t="s">
        <v>25</v>
      </c>
      <c r="H4" s="37" t="s">
        <v>26</v>
      </c>
      <c r="I4" s="37" t="s">
        <v>27</v>
      </c>
      <c r="J4" s="37" t="s">
        <v>28</v>
      </c>
      <c r="K4" s="37" t="s">
        <v>29</v>
      </c>
      <c r="L4" s="37" t="s">
        <v>30</v>
      </c>
    </row>
    <row r="6" spans="1:12" ht="20" customHeight="1">
      <c r="A6" s="5" t="s">
        <v>406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38" t="s">
        <v>407</v>
      </c>
    </row>
    <row r="8" spans="1:12">
      <c r="A8" s="6" t="s">
        <v>182</v>
      </c>
      <c r="C8" s="39">
        <f>'Balance Sheet'!C15</f>
        <v>3097</v>
      </c>
      <c r="D8" s="39">
        <f>'Balance Sheet'!D15</f>
        <v>11204</v>
      </c>
      <c r="E8" s="39">
        <f>'Balance Sheet'!E15</f>
        <v>4292</v>
      </c>
      <c r="F8" s="39">
        <f>'Balance Sheet'!F15</f>
        <v>5055</v>
      </c>
      <c r="G8" s="39">
        <f>'Balance Sheet'!G15</f>
        <v>7618</v>
      </c>
      <c r="H8" s="39">
        <f>'Balance Sheet'!H15</f>
        <v>12163</v>
      </c>
      <c r="I8" s="39">
        <f>'Balance Sheet'!I15</f>
        <v>12416</v>
      </c>
      <c r="J8" s="39">
        <f>'Balance Sheet'!J15</f>
        <v>14189</v>
      </c>
      <c r="K8" s="39">
        <f>'Balance Sheet'!K15</f>
        <v>9348</v>
      </c>
      <c r="L8" s="39">
        <f>'Balance Sheet'!L15</f>
        <v>16178</v>
      </c>
    </row>
    <row r="9" spans="1:12">
      <c r="A9" s="6" t="s">
        <v>196</v>
      </c>
      <c r="C9" s="39">
        <f>'Balance Sheet'!C31</f>
        <v>454</v>
      </c>
      <c r="D9" s="39">
        <f>'Balance Sheet'!D31</f>
        <v>117</v>
      </c>
      <c r="E9" s="39">
        <f>'Balance Sheet'!E31</f>
        <v>0</v>
      </c>
      <c r="F9" s="39">
        <f>'Balance Sheet'!F31</f>
        <v>2787</v>
      </c>
      <c r="G9" s="39">
        <f>'Balance Sheet'!G31</f>
        <v>827</v>
      </c>
      <c r="H9" s="39">
        <f>'Balance Sheet'!H31</f>
        <v>290</v>
      </c>
      <c r="I9" s="39">
        <f>'Balance Sheet'!I31</f>
        <v>440</v>
      </c>
      <c r="J9" s="39">
        <f>'Balance Sheet'!J31</f>
        <v>1608</v>
      </c>
      <c r="K9" s="39">
        <f>'Balance Sheet'!K31</f>
        <v>1271</v>
      </c>
      <c r="L9" s="39">
        <f>'Balance Sheet'!L31</f>
        <v>3152</v>
      </c>
    </row>
    <row r="10" spans="1:12">
      <c r="A10" s="6" t="s">
        <v>200</v>
      </c>
      <c r="C10" s="39">
        <f>'Balance Sheet'!C36</f>
        <v>13188</v>
      </c>
      <c r="D10" s="39">
        <f>'Balance Sheet'!D36</f>
        <v>17431</v>
      </c>
      <c r="E10" s="39">
        <f>'Balance Sheet'!E36</f>
        <v>17493</v>
      </c>
      <c r="F10" s="39">
        <f>'Balance Sheet'!F36</f>
        <v>30011</v>
      </c>
      <c r="G10" s="39">
        <f>'Balance Sheet'!G36</f>
        <v>40235</v>
      </c>
      <c r="H10" s="39">
        <f>'Balance Sheet'!H36</f>
        <v>39440</v>
      </c>
      <c r="I10" s="39">
        <f>'Balance Sheet'!I36</f>
        <v>39075</v>
      </c>
      <c r="J10" s="39">
        <f>'Balance Sheet'!J36</f>
        <v>37621</v>
      </c>
      <c r="K10" s="39">
        <f>'Balance Sheet'!K36</f>
        <v>66295</v>
      </c>
      <c r="L10" s="39">
        <f>'Balance Sheet'!L36</f>
        <v>61984</v>
      </c>
    </row>
    <row r="11" spans="1:12">
      <c r="A11" s="14" t="s">
        <v>408</v>
      </c>
      <c r="C11" s="40">
        <f t="shared" ref="C11:L11" si="0">C9+C10</f>
        <v>13642</v>
      </c>
      <c r="D11" s="40">
        <f t="shared" si="0"/>
        <v>17548</v>
      </c>
      <c r="E11" s="40">
        <f t="shared" si="0"/>
        <v>17493</v>
      </c>
      <c r="F11" s="40">
        <f t="shared" si="0"/>
        <v>32798</v>
      </c>
      <c r="G11" s="40">
        <f t="shared" si="0"/>
        <v>41062</v>
      </c>
      <c r="H11" s="40">
        <f t="shared" si="0"/>
        <v>39730</v>
      </c>
      <c r="I11" s="40">
        <f t="shared" si="0"/>
        <v>39515</v>
      </c>
      <c r="J11" s="40">
        <f t="shared" si="0"/>
        <v>39229</v>
      </c>
      <c r="K11" s="40">
        <f t="shared" si="0"/>
        <v>67566</v>
      </c>
      <c r="L11" s="40">
        <f t="shared" si="0"/>
        <v>65136</v>
      </c>
    </row>
    <row r="13" spans="1:12">
      <c r="A13" s="14" t="s">
        <v>409</v>
      </c>
      <c r="C13" s="40">
        <f t="shared" ref="C13:L13" si="1">C8-C11</f>
        <v>-10545</v>
      </c>
      <c r="D13" s="40">
        <f t="shared" si="1"/>
        <v>-6344</v>
      </c>
      <c r="E13" s="40">
        <f t="shared" si="1"/>
        <v>-13201</v>
      </c>
      <c r="F13" s="40">
        <f t="shared" si="1"/>
        <v>-27743</v>
      </c>
      <c r="G13" s="40">
        <f t="shared" si="1"/>
        <v>-33444</v>
      </c>
      <c r="H13" s="40">
        <f t="shared" si="1"/>
        <v>-27567</v>
      </c>
      <c r="I13" s="40">
        <f t="shared" si="1"/>
        <v>-27099</v>
      </c>
      <c r="J13" s="40">
        <f t="shared" si="1"/>
        <v>-25040</v>
      </c>
      <c r="K13" s="40">
        <f t="shared" si="1"/>
        <v>-58218</v>
      </c>
      <c r="L13" s="40">
        <f t="shared" si="1"/>
        <v>-48958</v>
      </c>
    </row>
    <row r="15" spans="1:12">
      <c r="A15" s="38" t="s">
        <v>410</v>
      </c>
    </row>
  </sheetData>
  <phoneticPr fontId="14" type="noConversion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F8F00"/>
  </sheetPr>
  <dimension ref="A1:L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N45" sqref="N45"/>
    </sheetView>
  </sheetViews>
  <sheetFormatPr baseColWidth="10" defaultColWidth="8.83203125" defaultRowHeight="14"/>
  <cols>
    <col min="1" max="1" width="46" customWidth="1"/>
    <col min="2" max="2" width="30" customWidth="1"/>
    <col min="3" max="12" width="12" customWidth="1"/>
  </cols>
  <sheetData>
    <row r="1" spans="1:12" ht="28" customHeight="1">
      <c r="A1" s="35" t="s">
        <v>411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>
      <c r="A2" s="3" t="s">
        <v>391</v>
      </c>
    </row>
    <row r="3" spans="1:12">
      <c r="C3" s="36" t="s">
        <v>2</v>
      </c>
      <c r="D3" s="36" t="s">
        <v>3</v>
      </c>
      <c r="E3" s="36" t="s">
        <v>4</v>
      </c>
      <c r="F3" s="36" t="s">
        <v>5</v>
      </c>
      <c r="G3" s="36" t="s">
        <v>6</v>
      </c>
      <c r="H3" s="36" t="s">
        <v>7</v>
      </c>
      <c r="I3" s="36" t="s">
        <v>8</v>
      </c>
      <c r="J3" s="36" t="s">
        <v>9</v>
      </c>
      <c r="K3" s="36" t="s">
        <v>10</v>
      </c>
      <c r="L3" s="36" t="s">
        <v>11</v>
      </c>
    </row>
    <row r="4" spans="1:12">
      <c r="C4" s="37" t="s">
        <v>21</v>
      </c>
      <c r="D4" s="37" t="s">
        <v>22</v>
      </c>
      <c r="E4" s="37" t="s">
        <v>23</v>
      </c>
      <c r="F4" s="37" t="s">
        <v>24</v>
      </c>
      <c r="G4" s="37" t="s">
        <v>25</v>
      </c>
      <c r="H4" s="37" t="s">
        <v>26</v>
      </c>
      <c r="I4" s="37" t="s">
        <v>27</v>
      </c>
      <c r="J4" s="37" t="s">
        <v>28</v>
      </c>
      <c r="K4" s="37" t="s">
        <v>29</v>
      </c>
      <c r="L4" s="37" t="s">
        <v>30</v>
      </c>
    </row>
    <row r="6" spans="1:12" ht="20" customHeight="1">
      <c r="A6" s="5" t="s">
        <v>412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38" t="s">
        <v>413</v>
      </c>
    </row>
    <row r="8" spans="1:12">
      <c r="A8" s="6" t="s">
        <v>394</v>
      </c>
      <c r="C8" s="39">
        <f>'Balance Sheet'!C16</f>
        <v>2181</v>
      </c>
      <c r="D8" s="39">
        <f>'Balance Sheet'!D16</f>
        <v>2448</v>
      </c>
      <c r="E8" s="39">
        <f>'Balance Sheet'!E16</f>
        <v>3325</v>
      </c>
      <c r="F8" s="39">
        <f>'Balance Sheet'!F16</f>
        <v>3259</v>
      </c>
      <c r="G8" s="39">
        <f>'Balance Sheet'!G16</f>
        <v>2297</v>
      </c>
      <c r="H8" s="39">
        <f>'Balance Sheet'!H16</f>
        <v>2071</v>
      </c>
      <c r="I8" s="39">
        <f>'Balance Sheet'!I16</f>
        <v>2958</v>
      </c>
      <c r="J8" s="39">
        <f>'Balance Sheet'!J16</f>
        <v>3154</v>
      </c>
      <c r="K8" s="39">
        <f>'Balance Sheet'!K16</f>
        <v>4416</v>
      </c>
      <c r="L8" s="39">
        <f>'Balance Sheet'!L16</f>
        <v>7145</v>
      </c>
    </row>
    <row r="9" spans="1:12">
      <c r="A9" s="6" t="s">
        <v>184</v>
      </c>
      <c r="C9" s="39">
        <f>'Balance Sheet'!C17</f>
        <v>1400</v>
      </c>
      <c r="D9" s="39">
        <f>'Balance Sheet'!D17</f>
        <v>1447</v>
      </c>
      <c r="E9" s="39">
        <f>'Balance Sheet'!E17</f>
        <v>1124</v>
      </c>
      <c r="F9" s="39">
        <f>'Balance Sheet'!F17</f>
        <v>874</v>
      </c>
      <c r="G9" s="39">
        <f>'Balance Sheet'!G17</f>
        <v>1003</v>
      </c>
      <c r="H9" s="39">
        <f>'Balance Sheet'!H17</f>
        <v>1297</v>
      </c>
      <c r="I9" s="39">
        <f>'Balance Sheet'!I17</f>
        <v>1925</v>
      </c>
      <c r="J9" s="39">
        <f>'Balance Sheet'!J17</f>
        <v>1898</v>
      </c>
      <c r="K9" s="39">
        <f>'Balance Sheet'!K17</f>
        <v>1760</v>
      </c>
      <c r="L9" s="39">
        <f>'Balance Sheet'!L17</f>
        <v>2270</v>
      </c>
    </row>
    <row r="10" spans="1:12">
      <c r="A10" s="6" t="s">
        <v>185</v>
      </c>
      <c r="C10" s="39">
        <f>'Balance Sheet'!C18</f>
        <v>447</v>
      </c>
      <c r="D10" s="39">
        <f>'Balance Sheet'!D18</f>
        <v>724</v>
      </c>
      <c r="E10" s="39">
        <f>'Balance Sheet'!E18</f>
        <v>366</v>
      </c>
      <c r="F10" s="39">
        <f>'Balance Sheet'!F18</f>
        <v>729</v>
      </c>
      <c r="G10" s="39">
        <f>'Balance Sheet'!G18</f>
        <v>977</v>
      </c>
      <c r="H10" s="39">
        <f>'Balance Sheet'!H18</f>
        <v>1055</v>
      </c>
      <c r="I10" s="39">
        <f>'Balance Sheet'!I18</f>
        <v>1205</v>
      </c>
      <c r="J10" s="39">
        <f>'Balance Sheet'!J18</f>
        <v>1606</v>
      </c>
      <c r="K10" s="39">
        <f>'Balance Sheet'!K18</f>
        <v>4071</v>
      </c>
      <c r="L10" s="39">
        <f>'Balance Sheet'!L18</f>
        <v>5980</v>
      </c>
    </row>
    <row r="11" spans="1:12">
      <c r="A11" s="14" t="s">
        <v>532</v>
      </c>
      <c r="C11" s="40">
        <f t="shared" ref="C11:L11" si="0">SUM(C8:C10)</f>
        <v>4028</v>
      </c>
      <c r="D11" s="40">
        <f t="shared" si="0"/>
        <v>4619</v>
      </c>
      <c r="E11" s="40">
        <f t="shared" si="0"/>
        <v>4815</v>
      </c>
      <c r="F11" s="40">
        <f t="shared" si="0"/>
        <v>4862</v>
      </c>
      <c r="G11" s="40">
        <f t="shared" si="0"/>
        <v>4277</v>
      </c>
      <c r="H11" s="40">
        <f t="shared" si="0"/>
        <v>4423</v>
      </c>
      <c r="I11" s="40">
        <f t="shared" si="0"/>
        <v>6088</v>
      </c>
      <c r="J11" s="40">
        <f t="shared" si="0"/>
        <v>6658</v>
      </c>
      <c r="K11" s="40">
        <f t="shared" si="0"/>
        <v>10247</v>
      </c>
      <c r="L11" s="40">
        <f t="shared" si="0"/>
        <v>15395</v>
      </c>
    </row>
    <row r="13" spans="1:12">
      <c r="A13" s="6" t="s">
        <v>194</v>
      </c>
      <c r="C13" s="39">
        <f>'Balance Sheet'!C29</f>
        <v>1261</v>
      </c>
      <c r="D13" s="39">
        <f>'Balance Sheet'!D29</f>
        <v>1105</v>
      </c>
      <c r="E13" s="39">
        <f>'Balance Sheet'!E29</f>
        <v>811</v>
      </c>
      <c r="F13" s="39">
        <f>'Balance Sheet'!F29</f>
        <v>855</v>
      </c>
      <c r="G13" s="39">
        <f>'Balance Sheet'!G29</f>
        <v>836</v>
      </c>
      <c r="H13" s="39">
        <f>'Balance Sheet'!H29</f>
        <v>1086</v>
      </c>
      <c r="I13" s="39">
        <f>'Balance Sheet'!I29</f>
        <v>998</v>
      </c>
      <c r="J13" s="39">
        <f>'Balance Sheet'!J29</f>
        <v>1210</v>
      </c>
      <c r="K13" s="39">
        <f>'Balance Sheet'!K29</f>
        <v>1662</v>
      </c>
      <c r="L13" s="39">
        <f>'Balance Sheet'!L29</f>
        <v>1560</v>
      </c>
    </row>
    <row r="14" spans="1:12">
      <c r="A14" s="6" t="s">
        <v>195</v>
      </c>
      <c r="C14" s="39">
        <f>'Balance Sheet'!C30</f>
        <v>517</v>
      </c>
      <c r="D14" s="39">
        <f>'Balance Sheet'!D30</f>
        <v>626</v>
      </c>
      <c r="E14" s="39">
        <f>'Balance Sheet'!E30</f>
        <v>715</v>
      </c>
      <c r="F14" s="39">
        <f>'Balance Sheet'!F30</f>
        <v>641</v>
      </c>
      <c r="G14" s="39">
        <f>'Balance Sheet'!G30</f>
        <v>877</v>
      </c>
      <c r="H14" s="39">
        <f>'Balance Sheet'!H30</f>
        <v>1066</v>
      </c>
      <c r="I14" s="39">
        <f>'Balance Sheet'!I30</f>
        <v>1202</v>
      </c>
      <c r="J14" s="39">
        <f>'Balance Sheet'!J30</f>
        <v>935</v>
      </c>
      <c r="K14" s="39">
        <f>'Balance Sheet'!K30</f>
        <v>1971</v>
      </c>
      <c r="L14" s="39">
        <f>'Balance Sheet'!L30</f>
        <v>2129</v>
      </c>
    </row>
    <row r="15" spans="1:12">
      <c r="A15" s="6" t="s">
        <v>197</v>
      </c>
      <c r="C15" s="39">
        <f>'Balance Sheet'!C32</f>
        <v>846</v>
      </c>
      <c r="D15" s="39">
        <f>'Balance Sheet'!D32</f>
        <v>681</v>
      </c>
      <c r="E15" s="39">
        <f>'Balance Sheet'!E32</f>
        <v>812</v>
      </c>
      <c r="F15" s="39">
        <f>'Balance Sheet'!F32</f>
        <v>2616</v>
      </c>
      <c r="G15" s="39">
        <f>'Balance Sheet'!G32</f>
        <v>3831</v>
      </c>
      <c r="H15" s="39">
        <f>'Balance Sheet'!H32</f>
        <v>3839</v>
      </c>
      <c r="I15" s="39">
        <f>'Balance Sheet'!I32</f>
        <v>4412</v>
      </c>
      <c r="J15" s="39">
        <f>'Balance Sheet'!J32</f>
        <v>3652</v>
      </c>
      <c r="K15" s="39">
        <f>'Balance Sheet'!K32</f>
        <v>11793</v>
      </c>
      <c r="L15" s="39">
        <f>'Balance Sheet'!L32</f>
        <v>11673</v>
      </c>
    </row>
    <row r="16" spans="1:12">
      <c r="A16" s="14" t="s">
        <v>533</v>
      </c>
      <c r="C16" s="40">
        <f t="shared" ref="C16:L16" si="1">SUM(C13:C15)</f>
        <v>2624</v>
      </c>
      <c r="D16" s="40">
        <f t="shared" si="1"/>
        <v>2412</v>
      </c>
      <c r="E16" s="40">
        <f t="shared" si="1"/>
        <v>2338</v>
      </c>
      <c r="F16" s="40">
        <f t="shared" si="1"/>
        <v>4112</v>
      </c>
      <c r="G16" s="40">
        <f t="shared" si="1"/>
        <v>5544</v>
      </c>
      <c r="H16" s="40">
        <f t="shared" si="1"/>
        <v>5991</v>
      </c>
      <c r="I16" s="40">
        <f t="shared" si="1"/>
        <v>6612</v>
      </c>
      <c r="J16" s="40">
        <f t="shared" si="1"/>
        <v>5797</v>
      </c>
      <c r="K16" s="40">
        <f t="shared" si="1"/>
        <v>15426</v>
      </c>
      <c r="L16" s="40">
        <f t="shared" si="1"/>
        <v>15362</v>
      </c>
    </row>
    <row r="18" spans="1:12">
      <c r="A18" s="14" t="s">
        <v>534</v>
      </c>
      <c r="C18" s="40">
        <f t="shared" ref="C18:L18" si="2">C11-C16</f>
        <v>1404</v>
      </c>
      <c r="D18" s="40">
        <f t="shared" si="2"/>
        <v>2207</v>
      </c>
      <c r="E18" s="40">
        <f t="shared" si="2"/>
        <v>2477</v>
      </c>
      <c r="F18" s="40">
        <f t="shared" si="2"/>
        <v>750</v>
      </c>
      <c r="G18" s="40">
        <f t="shared" si="2"/>
        <v>-1267</v>
      </c>
      <c r="H18" s="40">
        <f t="shared" si="2"/>
        <v>-1568</v>
      </c>
      <c r="I18" s="40">
        <f t="shared" si="2"/>
        <v>-524</v>
      </c>
      <c r="J18" s="40">
        <f t="shared" si="2"/>
        <v>861</v>
      </c>
      <c r="K18" s="40">
        <f t="shared" si="2"/>
        <v>-5179</v>
      </c>
      <c r="L18" s="40">
        <f t="shared" si="2"/>
        <v>33</v>
      </c>
    </row>
    <row r="19" spans="1:12">
      <c r="A19" s="6" t="s">
        <v>414</v>
      </c>
      <c r="C19" s="39">
        <f>'Income Statement'!C14</f>
        <v>13240</v>
      </c>
      <c r="D19" s="39">
        <f>'Income Statement'!D14</f>
        <v>17636</v>
      </c>
      <c r="E19" s="39">
        <f>'Income Statement'!E14</f>
        <v>20848</v>
      </c>
      <c r="F19" s="39">
        <f>'Income Statement'!F14</f>
        <v>22597</v>
      </c>
      <c r="G19" s="39">
        <f>'Income Statement'!G14</f>
        <v>23888</v>
      </c>
      <c r="H19" s="39">
        <f>'Income Statement'!H14</f>
        <v>27450</v>
      </c>
      <c r="I19" s="39">
        <f>'Income Statement'!I14</f>
        <v>33203</v>
      </c>
      <c r="J19" s="39">
        <f>'Income Statement'!J14</f>
        <v>35819</v>
      </c>
      <c r="K19" s="39">
        <f>'Income Statement'!K14</f>
        <v>51574</v>
      </c>
      <c r="L19" s="39">
        <f>'Income Statement'!L14</f>
        <v>63887</v>
      </c>
    </row>
    <row r="20" spans="1:12">
      <c r="A20" s="14" t="s">
        <v>415</v>
      </c>
      <c r="C20" s="42">
        <f t="shared" ref="C20:L20" si="3">C18/C19</f>
        <v>0.10604229607250755</v>
      </c>
      <c r="D20" s="42">
        <f t="shared" si="3"/>
        <v>0.12514175550011342</v>
      </c>
      <c r="E20" s="42">
        <f t="shared" si="3"/>
        <v>0.11881235610130468</v>
      </c>
      <c r="F20" s="42">
        <f t="shared" si="3"/>
        <v>3.3190246492897285E-2</v>
      </c>
      <c r="G20" s="42">
        <f t="shared" si="3"/>
        <v>-5.3039182853315471E-2</v>
      </c>
      <c r="H20" s="42">
        <f t="shared" si="3"/>
        <v>-5.7122040072859745E-2</v>
      </c>
      <c r="I20" s="42">
        <f t="shared" si="3"/>
        <v>-1.5781706472306718E-2</v>
      </c>
      <c r="J20" s="42">
        <f t="shared" si="3"/>
        <v>2.40375219855384E-2</v>
      </c>
      <c r="K20" s="42">
        <f t="shared" si="3"/>
        <v>-0.10041881568232056</v>
      </c>
      <c r="L20" s="42">
        <f t="shared" si="3"/>
        <v>5.1653701065944562E-4</v>
      </c>
    </row>
    <row r="22" spans="1:12">
      <c r="A22" s="38" t="s">
        <v>416</v>
      </c>
    </row>
  </sheetData>
  <phoneticPr fontId="14" type="noConversion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F8F00"/>
  </sheetPr>
  <dimension ref="A1:L5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Q37" sqref="Q37"/>
    </sheetView>
  </sheetViews>
  <sheetFormatPr baseColWidth="10" defaultColWidth="8.83203125" defaultRowHeight="14"/>
  <cols>
    <col min="1" max="1" width="46" customWidth="1"/>
    <col min="2" max="2" width="30" customWidth="1"/>
    <col min="3" max="12" width="12" customWidth="1"/>
  </cols>
  <sheetData>
    <row r="1" spans="1:12" ht="28" customHeight="1">
      <c r="A1" s="35" t="s">
        <v>417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>
      <c r="A2" s="3" t="s">
        <v>418</v>
      </c>
    </row>
    <row r="3" spans="1:12">
      <c r="C3" s="36" t="s">
        <v>2</v>
      </c>
      <c r="D3" s="36" t="s">
        <v>3</v>
      </c>
      <c r="E3" s="36" t="s">
        <v>4</v>
      </c>
      <c r="F3" s="36" t="s">
        <v>5</v>
      </c>
      <c r="G3" s="36" t="s">
        <v>6</v>
      </c>
      <c r="H3" s="36" t="s">
        <v>7</v>
      </c>
      <c r="I3" s="36" t="s">
        <v>8</v>
      </c>
      <c r="J3" s="36" t="s">
        <v>9</v>
      </c>
      <c r="K3" s="36" t="s">
        <v>10</v>
      </c>
      <c r="L3" s="36" t="s">
        <v>11</v>
      </c>
    </row>
    <row r="4" spans="1:12">
      <c r="C4" s="37" t="s">
        <v>21</v>
      </c>
      <c r="D4" s="37" t="s">
        <v>22</v>
      </c>
      <c r="E4" s="37" t="s">
        <v>23</v>
      </c>
      <c r="F4" s="37" t="s">
        <v>24</v>
      </c>
      <c r="G4" s="37" t="s">
        <v>25</v>
      </c>
      <c r="H4" s="37" t="s">
        <v>26</v>
      </c>
      <c r="I4" s="37" t="s">
        <v>27</v>
      </c>
      <c r="J4" s="37" t="s">
        <v>28</v>
      </c>
      <c r="K4" s="37" t="s">
        <v>29</v>
      </c>
      <c r="L4" s="37" t="s">
        <v>30</v>
      </c>
    </row>
    <row r="6" spans="1:12" ht="20" customHeight="1">
      <c r="A6" s="5" t="s">
        <v>419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38" t="s">
        <v>420</v>
      </c>
    </row>
    <row r="8" spans="1:12">
      <c r="A8" s="14" t="s">
        <v>166</v>
      </c>
      <c r="C8" s="29">
        <f>'Cash Flow Statement'!C14</f>
        <v>-1861</v>
      </c>
      <c r="D8" s="29">
        <f>'Cash Flow Statement'!D14</f>
        <v>1784</v>
      </c>
      <c r="E8" s="29">
        <f>'Cash Flow Statement'!E14</f>
        <v>12610</v>
      </c>
      <c r="F8" s="29">
        <f>'Cash Flow Statement'!F14</f>
        <v>2724</v>
      </c>
      <c r="G8" s="29">
        <f>'Cash Flow Statement'!G14</f>
        <v>2960</v>
      </c>
      <c r="H8" s="29">
        <f>'Cash Flow Statement'!H14</f>
        <v>6736</v>
      </c>
      <c r="I8" s="29">
        <f>'Cash Flow Statement'!I14</f>
        <v>11495</v>
      </c>
      <c r="J8" s="29">
        <f>'Cash Flow Statement'!J14</f>
        <v>14082</v>
      </c>
      <c r="K8" s="29">
        <f>'Cash Flow Statement'!K14</f>
        <v>5895</v>
      </c>
      <c r="L8" s="29">
        <f>'Cash Flow Statement'!L14</f>
        <v>23126</v>
      </c>
    </row>
    <row r="9" spans="1:12">
      <c r="A9" s="6" t="s">
        <v>421</v>
      </c>
      <c r="C9" s="27">
        <f>'Cash Flow Statement'!C16+'Cash Flow Statement'!C17</f>
        <v>3042</v>
      </c>
      <c r="D9" s="27">
        <f>'Cash Flow Statement'!D16+'Cash Flow Statement'!D17</f>
        <v>4737</v>
      </c>
      <c r="E9" s="27">
        <f>'Cash Flow Statement'!E16+'Cash Flow Statement'!E17</f>
        <v>4081</v>
      </c>
      <c r="F9" s="27">
        <f>'Cash Flow Statement'!F16+'Cash Flow Statement'!F17</f>
        <v>5808</v>
      </c>
      <c r="G9" s="27">
        <f>'Cash Flow Statement'!G16+'Cash Flow Statement'!G17</f>
        <v>6905</v>
      </c>
      <c r="H9" s="27">
        <f>'Cash Flow Statement'!H16+'Cash Flow Statement'!H17</f>
        <v>6041</v>
      </c>
      <c r="I9" s="27">
        <f>'Cash Flow Statement'!I16+'Cash Flow Statement'!I17</f>
        <v>4984</v>
      </c>
      <c r="J9" s="27">
        <f>'Cash Flow Statement'!J16+'Cash Flow Statement'!J17</f>
        <v>3835</v>
      </c>
      <c r="K9" s="27">
        <f>'Cash Flow Statement'!K16+'Cash Flow Statement'!K17</f>
        <v>10010</v>
      </c>
      <c r="L9" s="27">
        <f>'Cash Flow Statement'!L16+'Cash Flow Statement'!L17</f>
        <v>8775</v>
      </c>
    </row>
    <row r="10" spans="1:12">
      <c r="A10" s="6" t="s">
        <v>228</v>
      </c>
      <c r="C10" s="39">
        <f>'Cash Flow Statement'!C18</f>
        <v>679</v>
      </c>
      <c r="D10" s="39">
        <f>'Cash Flow Statement'!D18</f>
        <v>921</v>
      </c>
      <c r="E10" s="39">
        <f>'Cash Flow Statement'!E18</f>
        <v>1227</v>
      </c>
      <c r="F10" s="39">
        <f>'Cash Flow Statement'!F18</f>
        <v>2185</v>
      </c>
      <c r="G10" s="39">
        <f>'Cash Flow Statement'!G18</f>
        <v>1976</v>
      </c>
      <c r="H10" s="39">
        <f>'Cash Flow Statement'!H18</f>
        <v>1704</v>
      </c>
      <c r="I10" s="39">
        <f>'Cash Flow Statement'!I18</f>
        <v>1533</v>
      </c>
      <c r="J10" s="39">
        <f>'Cash Flow Statement'!J18</f>
        <v>2171</v>
      </c>
      <c r="K10" s="39">
        <f>'Cash Flow Statement'!K18</f>
        <v>5741</v>
      </c>
      <c r="L10" s="39">
        <f>'Cash Flow Statement'!L18</f>
        <v>7568</v>
      </c>
    </row>
    <row r="11" spans="1:12">
      <c r="A11" s="6" t="s">
        <v>230</v>
      </c>
      <c r="C11" s="39">
        <f>'Cash Flow Statement'!C20</f>
        <v>365</v>
      </c>
      <c r="D11" s="39">
        <f>'Cash Flow Statement'!D20</f>
        <v>-173</v>
      </c>
      <c r="E11" s="39">
        <f>'Cash Flow Statement'!E20</f>
        <v>-8270</v>
      </c>
      <c r="F11" s="39">
        <f>'Cash Flow Statement'!F20</f>
        <v>-934</v>
      </c>
      <c r="G11" s="39">
        <f>'Cash Flow Statement'!G20</f>
        <v>-1142</v>
      </c>
      <c r="H11" s="39">
        <f>'Cash Flow Statement'!H20</f>
        <v>-809</v>
      </c>
      <c r="I11" s="39">
        <f>'Cash Flow Statement'!I20</f>
        <v>-34</v>
      </c>
      <c r="J11" s="39">
        <f>'Cash Flow Statement'!J20</f>
        <v>-501</v>
      </c>
      <c r="K11" s="39">
        <f>'Cash Flow Statement'!K20</f>
        <v>1965</v>
      </c>
      <c r="L11" s="39">
        <f>'Cash Flow Statement'!L20</f>
        <v>-4008</v>
      </c>
    </row>
    <row r="12" spans="1:12">
      <c r="A12" s="6" t="s">
        <v>422</v>
      </c>
      <c r="C12" s="27">
        <f>'Cash Flow Statement'!C19+'Cash Flow Statement'!C21+'Cash Flow Statement'!C22+'Cash Flow Statement'!C23+'Cash Flow Statement'!C24+'Cash Flow Statement'!C25</f>
        <v>703</v>
      </c>
      <c r="D12" s="27">
        <f>'Cash Flow Statement'!D19+'Cash Flow Statement'!D21+'Cash Flow Statement'!D22+'Cash Flow Statement'!D23+'Cash Flow Statement'!D24+'Cash Flow Statement'!D25</f>
        <v>268</v>
      </c>
      <c r="E12" s="27">
        <f>'Cash Flow Statement'!E19+'Cash Flow Statement'!E21+'Cash Flow Statement'!E22+'Cash Flow Statement'!E23+'Cash Flow Statement'!E24+'Cash Flow Statement'!E25</f>
        <v>188</v>
      </c>
      <c r="F12" s="27">
        <f>'Cash Flow Statement'!F19+'Cash Flow Statement'!F21+'Cash Flow Statement'!F22+'Cash Flow Statement'!F23+'Cash Flow Statement'!F24+'Cash Flow Statement'!F25</f>
        <v>98</v>
      </c>
      <c r="G12" s="27">
        <f>'Cash Flow Statement'!G19+'Cash Flow Statement'!G21+'Cash Flow Statement'!G22+'Cash Flow Statement'!G23+'Cash Flow Statement'!G24+'Cash Flow Statement'!G25</f>
        <v>269</v>
      </c>
      <c r="H12" s="27">
        <f>'Cash Flow Statement'!H19+'Cash Flow Statement'!H21+'Cash Flow Statement'!H22+'Cash Flow Statement'!H23+'Cash Flow Statement'!H24+'Cash Flow Statement'!H25</f>
        <v>219</v>
      </c>
      <c r="I12" s="27">
        <f>'Cash Flow Statement'!I19+'Cash Flow Statement'!I21+'Cash Flow Statement'!I22+'Cash Flow Statement'!I23+'Cash Flow Statement'!I24+'Cash Flow Statement'!I25</f>
        <v>412</v>
      </c>
      <c r="J12" s="27">
        <f>'Cash Flow Statement'!J19+'Cash Flow Statement'!J21+'Cash Flow Statement'!J22+'Cash Flow Statement'!J23+'Cash Flow Statement'!J24+'Cash Flow Statement'!J25</f>
        <v>141</v>
      </c>
      <c r="K12" s="27">
        <f>'Cash Flow Statement'!K19+'Cash Flow Statement'!K21+'Cash Flow Statement'!K22+'Cash Flow Statement'!K23+'Cash Flow Statement'!K24+'Cash Flow Statement'!K25</f>
        <v>988</v>
      </c>
      <c r="L12" s="27">
        <f>'Cash Flow Statement'!L19+'Cash Flow Statement'!L21+'Cash Flow Statement'!L22+'Cash Flow Statement'!L23+'Cash Flow Statement'!L24+'Cash Flow Statement'!L25</f>
        <v>576</v>
      </c>
    </row>
    <row r="13" spans="1:12">
      <c r="A13" s="6" t="s">
        <v>423</v>
      </c>
      <c r="C13" s="27">
        <f>'Cash Flow Statement'!C26+'Cash Flow Statement'!C27+'Cash Flow Statement'!C28+'Cash Flow Statement'!C29+'Cash Flow Statement'!C30+'Cash Flow Statement'!C31+'Cash Flow Statement'!C32</f>
        <v>483</v>
      </c>
      <c r="D13" s="27">
        <f>'Cash Flow Statement'!D26+'Cash Flow Statement'!D27+'Cash Flow Statement'!D28+'Cash Flow Statement'!D29+'Cash Flow Statement'!D30+'Cash Flow Statement'!D31+'Cash Flow Statement'!D32</f>
        <v>-986</v>
      </c>
      <c r="E13" s="27">
        <f>'Cash Flow Statement'!E26+'Cash Flow Statement'!E27+'Cash Flow Statement'!E28+'Cash Flow Statement'!E29+'Cash Flow Statement'!E30+'Cash Flow Statement'!E31+'Cash Flow Statement'!E32</f>
        <v>-956</v>
      </c>
      <c r="F13" s="27">
        <f>'Cash Flow Statement'!F26+'Cash Flow Statement'!F27+'Cash Flow Statement'!F28+'Cash Flow Statement'!F29+'Cash Flow Statement'!F30+'Cash Flow Statement'!F31+'Cash Flow Statement'!F32</f>
        <v>-184</v>
      </c>
      <c r="G13" s="27">
        <f>'Cash Flow Statement'!G26+'Cash Flow Statement'!G27+'Cash Flow Statement'!G28+'Cash Flow Statement'!G29+'Cash Flow Statement'!G30+'Cash Flow Statement'!G31+'Cash Flow Statement'!G32</f>
        <v>1093</v>
      </c>
      <c r="H13" s="27">
        <f>'Cash Flow Statement'!H26+'Cash Flow Statement'!H27+'Cash Flow Statement'!H28+'Cash Flow Statement'!H29+'Cash Flow Statement'!H30+'Cash Flow Statement'!H31+'Cash Flow Statement'!H32</f>
        <v>-127</v>
      </c>
      <c r="I13" s="27">
        <f>'Cash Flow Statement'!I26+'Cash Flow Statement'!I27+'Cash Flow Statement'!I28+'Cash Flow Statement'!I29+'Cash Flow Statement'!I30+'Cash Flow Statement'!I31+'Cash Flow Statement'!I32</f>
        <v>-1654</v>
      </c>
      <c r="J13" s="27">
        <f>'Cash Flow Statement'!J26+'Cash Flow Statement'!J27+'Cash Flow Statement'!J28+'Cash Flow Statement'!J29+'Cash Flow Statement'!J30+'Cash Flow Statement'!J31+'Cash Flow Statement'!J32</f>
        <v>-1643</v>
      </c>
      <c r="K13" s="27">
        <f>'Cash Flow Statement'!K26+'Cash Flow Statement'!K27+'Cash Flow Statement'!K28+'Cash Flow Statement'!K29+'Cash Flow Statement'!K30+'Cash Flow Statement'!K31+'Cash Flow Statement'!K32</f>
        <v>-4637</v>
      </c>
      <c r="L13" s="27">
        <f>'Cash Flow Statement'!L26+'Cash Flow Statement'!L27+'Cash Flow Statement'!L28+'Cash Flow Statement'!L29+'Cash Flow Statement'!L30+'Cash Flow Statement'!L31+'Cash Flow Statement'!L32</f>
        <v>-8500</v>
      </c>
    </row>
    <row r="14" spans="1:12">
      <c r="A14" s="14" t="s">
        <v>424</v>
      </c>
      <c r="C14" s="40">
        <f t="shared" ref="C14:L14" si="0">SUM(C8:C13)</f>
        <v>3411</v>
      </c>
      <c r="D14" s="40">
        <f t="shared" si="0"/>
        <v>6551</v>
      </c>
      <c r="E14" s="40">
        <f t="shared" si="0"/>
        <v>8880</v>
      </c>
      <c r="F14" s="40">
        <f t="shared" si="0"/>
        <v>9697</v>
      </c>
      <c r="G14" s="40">
        <f t="shared" si="0"/>
        <v>12061</v>
      </c>
      <c r="H14" s="40">
        <f t="shared" si="0"/>
        <v>13764</v>
      </c>
      <c r="I14" s="40">
        <f t="shared" si="0"/>
        <v>16736</v>
      </c>
      <c r="J14" s="40">
        <f t="shared" si="0"/>
        <v>18085</v>
      </c>
      <c r="K14" s="40">
        <f t="shared" si="0"/>
        <v>19962</v>
      </c>
      <c r="L14" s="40">
        <f t="shared" si="0"/>
        <v>27537</v>
      </c>
    </row>
    <row r="15" spans="1:12">
      <c r="A15" s="6" t="s">
        <v>425</v>
      </c>
      <c r="C15" s="39">
        <f>'Cash Flow Statement'!C33</f>
        <v>3411</v>
      </c>
      <c r="D15" s="39">
        <f>'Cash Flow Statement'!D33</f>
        <v>6551</v>
      </c>
      <c r="E15" s="39">
        <f>'Cash Flow Statement'!E33</f>
        <v>8880</v>
      </c>
      <c r="F15" s="39">
        <f>'Cash Flow Statement'!F33</f>
        <v>9697</v>
      </c>
      <c r="G15" s="39">
        <f>'Cash Flow Statement'!G33</f>
        <v>12061</v>
      </c>
      <c r="H15" s="39">
        <f>'Cash Flow Statement'!H33</f>
        <v>13764</v>
      </c>
      <c r="I15" s="39">
        <f>'Cash Flow Statement'!I33</f>
        <v>16736</v>
      </c>
      <c r="J15" s="39">
        <f>'Cash Flow Statement'!J33</f>
        <v>18085</v>
      </c>
      <c r="K15" s="39">
        <f>'Cash Flow Statement'!K33</f>
        <v>19962</v>
      </c>
      <c r="L15" s="39">
        <f>'Cash Flow Statement'!L33</f>
        <v>27537</v>
      </c>
    </row>
    <row r="17" spans="1:12">
      <c r="A17" s="6" t="s">
        <v>426</v>
      </c>
      <c r="C17" s="39">
        <f>'Cash Flow Statement'!C36</f>
        <v>-723</v>
      </c>
      <c r="D17" s="39">
        <f>'Cash Flow Statement'!D36</f>
        <v>-1069</v>
      </c>
      <c r="E17" s="39">
        <f>'Cash Flow Statement'!E36</f>
        <v>-635</v>
      </c>
      <c r="F17" s="39">
        <f>'Cash Flow Statement'!F36</f>
        <v>-432</v>
      </c>
      <c r="G17" s="39">
        <f>'Cash Flow Statement'!G36</f>
        <v>-463</v>
      </c>
      <c r="H17" s="39">
        <f>'Cash Flow Statement'!H36</f>
        <v>-443</v>
      </c>
      <c r="I17" s="39">
        <f>'Cash Flow Statement'!I36</f>
        <v>-424</v>
      </c>
      <c r="J17" s="39">
        <f>'Cash Flow Statement'!J36</f>
        <v>-452</v>
      </c>
      <c r="K17" s="39">
        <f>'Cash Flow Statement'!K36</f>
        <v>-548</v>
      </c>
      <c r="L17" s="39">
        <f>'Cash Flow Statement'!L36</f>
        <v>-623</v>
      </c>
    </row>
    <row r="18" spans="1:12">
      <c r="A18" s="14" t="s">
        <v>427</v>
      </c>
      <c r="C18" s="40">
        <f t="shared" ref="C18:L18" si="1">C15+C17</f>
        <v>2688</v>
      </c>
      <c r="D18" s="40">
        <f t="shared" si="1"/>
        <v>5482</v>
      </c>
      <c r="E18" s="40">
        <f t="shared" si="1"/>
        <v>8245</v>
      </c>
      <c r="F18" s="40">
        <f t="shared" si="1"/>
        <v>9265</v>
      </c>
      <c r="G18" s="40">
        <f t="shared" si="1"/>
        <v>11598</v>
      </c>
      <c r="H18" s="40">
        <f t="shared" si="1"/>
        <v>13321</v>
      </c>
      <c r="I18" s="40">
        <f t="shared" si="1"/>
        <v>16312</v>
      </c>
      <c r="J18" s="40">
        <f t="shared" si="1"/>
        <v>17633</v>
      </c>
      <c r="K18" s="40">
        <f t="shared" si="1"/>
        <v>19414</v>
      </c>
      <c r="L18" s="40">
        <f t="shared" si="1"/>
        <v>26914</v>
      </c>
    </row>
    <row r="20" spans="1:12">
      <c r="A20" s="6" t="s">
        <v>428</v>
      </c>
      <c r="C20" s="39">
        <f>'Cash Flow Statement'!C52</f>
        <v>-750</v>
      </c>
      <c r="D20" s="39">
        <f>'Cash Flow Statement'!D52</f>
        <v>-1745</v>
      </c>
      <c r="E20" s="39">
        <f>'Cash Flow Statement'!E52</f>
        <v>-2998</v>
      </c>
      <c r="F20" s="39">
        <f>'Cash Flow Statement'!F52</f>
        <v>-4235</v>
      </c>
      <c r="G20" s="39">
        <f>'Cash Flow Statement'!G52</f>
        <v>-5534</v>
      </c>
      <c r="H20" s="39">
        <f>'Cash Flow Statement'!H52</f>
        <v>-6212</v>
      </c>
      <c r="I20" s="39">
        <f>'Cash Flow Statement'!I52</f>
        <v>-7032</v>
      </c>
      <c r="J20" s="39">
        <f>'Cash Flow Statement'!J52</f>
        <v>-7645</v>
      </c>
      <c r="K20" s="39">
        <f>'Cash Flow Statement'!K52</f>
        <v>-9814</v>
      </c>
      <c r="L20" s="39">
        <f>'Cash Flow Statement'!L52</f>
        <v>-11142</v>
      </c>
    </row>
    <row r="21" spans="1:12">
      <c r="A21" s="6" t="s">
        <v>429</v>
      </c>
      <c r="C21" s="39">
        <f>'Cash Flow Statement'!C53</f>
        <v>0</v>
      </c>
      <c r="D21" s="39">
        <f>'Cash Flow Statement'!D53</f>
        <v>0</v>
      </c>
      <c r="E21" s="39">
        <f>'Cash Flow Statement'!E53</f>
        <v>-7258</v>
      </c>
      <c r="F21" s="39">
        <f>'Cash Flow Statement'!F53</f>
        <v>-5435</v>
      </c>
      <c r="G21" s="39">
        <f>'Cash Flow Statement'!G53</f>
        <v>0</v>
      </c>
      <c r="H21" s="39">
        <f>'Cash Flow Statement'!H53</f>
        <v>0</v>
      </c>
      <c r="I21" s="39">
        <f>'Cash Flow Statement'!I53</f>
        <v>-7000</v>
      </c>
      <c r="J21" s="39">
        <f>'Cash Flow Statement'!J53</f>
        <v>-5824</v>
      </c>
      <c r="K21" s="39">
        <f>'Cash Flow Statement'!K53</f>
        <v>-7176</v>
      </c>
      <c r="L21" s="39">
        <f>'Cash Flow Statement'!L53</f>
        <v>-2450</v>
      </c>
    </row>
    <row r="22" spans="1:12">
      <c r="A22" s="6" t="s">
        <v>430</v>
      </c>
      <c r="C22" s="39">
        <f>'Cash Flow Statement'!C54</f>
        <v>0</v>
      </c>
      <c r="D22" s="39">
        <f>'Cash Flow Statement'!D54</f>
        <v>0</v>
      </c>
      <c r="E22" s="39">
        <f>'Cash Flow Statement'!E54</f>
        <v>0</v>
      </c>
      <c r="F22" s="39">
        <f>'Cash Flow Statement'!F54</f>
        <v>-972</v>
      </c>
      <c r="G22" s="39">
        <f>'Cash Flow Statement'!G54</f>
        <v>-765</v>
      </c>
      <c r="H22" s="39">
        <f>'Cash Flow Statement'!H54</f>
        <v>-1299</v>
      </c>
      <c r="I22" s="39">
        <f>'Cash Flow Statement'!I54</f>
        <v>-1455</v>
      </c>
      <c r="J22" s="39">
        <f>'Cash Flow Statement'!J54</f>
        <v>-1861</v>
      </c>
      <c r="K22" s="39">
        <f>'Cash Flow Statement'!K54</f>
        <v>-5216</v>
      </c>
      <c r="L22" s="39">
        <f>'Cash Flow Statement'!L54</f>
        <v>-3860</v>
      </c>
    </row>
    <row r="23" spans="1:12">
      <c r="A23" s="6" t="s">
        <v>431</v>
      </c>
      <c r="C23" s="27">
        <f>'Cash Flow Statement'!C46+'Cash Flow Statement'!C47+'Cash Flow Statement'!C48+'Cash Flow Statement'!C49+'Cash Flow Statement'!C50+'Cash Flow Statement'!C57</f>
        <v>8070</v>
      </c>
      <c r="D23" s="27">
        <f>'Cash Flow Statement'!D46+'Cash Flow Statement'!D47+'Cash Flow Statement'!D48+'Cash Flow Statement'!D49+'Cash Flow Statement'!D50+'Cash Flow Statement'!D57</f>
        <v>3718</v>
      </c>
      <c r="E23" s="27">
        <f>'Cash Flow Statement'!E46+'Cash Flow Statement'!E47+'Cash Flow Statement'!E48+'Cash Flow Statement'!E49+'Cash Flow Statement'!E50+'Cash Flow Statement'!E57</f>
        <v>-994</v>
      </c>
      <c r="F23" s="27">
        <f>'Cash Flow Statement'!F46+'Cash Flow Statement'!F47+'Cash Flow Statement'!F48+'Cash Flow Statement'!F49+'Cash Flow Statement'!F50+'Cash Flow Statement'!F57</f>
        <v>13234</v>
      </c>
      <c r="G23" s="27">
        <f>'Cash Flow Statement'!G46+'Cash Flow Statement'!G47+'Cash Flow Statement'!G48+'Cash Flow Statement'!G49+'Cash Flow Statement'!G50+'Cash Flow Statement'!G57</f>
        <v>7703</v>
      </c>
      <c r="H23" s="27">
        <f>'Cash Flow Statement'!H46+'Cash Flow Statement'!H47+'Cash Flow Statement'!H48+'Cash Flow Statement'!H49+'Cash Flow Statement'!H50+'Cash Flow Statement'!H57</f>
        <v>-1591</v>
      </c>
      <c r="I23" s="27">
        <f>'Cash Flow Statement'!I46+'Cash Flow Statement'!I47+'Cash Flow Statement'!I48+'Cash Flow Statement'!I49+'Cash Flow Statement'!I50+'Cash Flow Statement'!I57</f>
        <v>-426</v>
      </c>
      <c r="J23" s="27">
        <f>'Cash Flow Statement'!J46+'Cash Flow Statement'!J47+'Cash Flow Statement'!J48+'Cash Flow Statement'!J49+'Cash Flow Statement'!J50+'Cash Flow Statement'!J57</f>
        <v>-403</v>
      </c>
      <c r="K23" s="27">
        <f>'Cash Flow Statement'!K46+'Cash Flow Statement'!K47+'Cash Flow Statement'!K48+'Cash Flow Statement'!K49+'Cash Flow Statement'!K50+'Cash Flow Statement'!K57</f>
        <v>20346</v>
      </c>
      <c r="L23" s="27">
        <f>'Cash Flow Statement'!L46+'Cash Flow Statement'!L47+'Cash Flow Statement'!L48+'Cash Flow Statement'!L49+'Cash Flow Statement'!L50+'Cash Flow Statement'!L57</f>
        <v>-2812</v>
      </c>
    </row>
    <row r="24" spans="1:12">
      <c r="A24" s="6" t="s">
        <v>245</v>
      </c>
      <c r="C24" s="39">
        <f>'Cash Flow Statement'!C38</f>
        <v>-10055</v>
      </c>
      <c r="D24" s="39">
        <f>'Cash Flow Statement'!D38</f>
        <v>-40</v>
      </c>
      <c r="E24" s="39">
        <f>'Cash Flow Statement'!E38</f>
        <v>-4800</v>
      </c>
      <c r="F24" s="39">
        <f>'Cash Flow Statement'!F38</f>
        <v>-16033</v>
      </c>
      <c r="G24" s="39">
        <f>'Cash Flow Statement'!G38</f>
        <v>-10872</v>
      </c>
      <c r="H24" s="39">
        <f>'Cash Flow Statement'!H38</f>
        <v>-8</v>
      </c>
      <c r="I24" s="39">
        <f>'Cash Flow Statement'!I38</f>
        <v>-246</v>
      </c>
      <c r="J24" s="39">
        <f>'Cash Flow Statement'!J38</f>
        <v>-53</v>
      </c>
      <c r="K24" s="39">
        <f>'Cash Flow Statement'!K38</f>
        <v>-25978</v>
      </c>
      <c r="L24" s="39">
        <f>'Cash Flow Statement'!L38</f>
        <v>0</v>
      </c>
    </row>
    <row r="25" spans="1:12">
      <c r="A25" s="6" t="s">
        <v>247</v>
      </c>
      <c r="C25" s="39">
        <f>'Cash Flow Statement'!C39</f>
        <v>898</v>
      </c>
      <c r="D25" s="39">
        <f>'Cash Flow Statement'!D39</f>
        <v>10</v>
      </c>
      <c r="E25" s="39">
        <f>'Cash Flow Statement'!E39</f>
        <v>773</v>
      </c>
      <c r="F25" s="39">
        <f>'Cash Flow Statement'!F39</f>
        <v>957</v>
      </c>
      <c r="G25" s="39">
        <f>'Cash Flow Statement'!G39</f>
        <v>218</v>
      </c>
      <c r="H25" s="39">
        <f>'Cash Flow Statement'!H39</f>
        <v>45</v>
      </c>
      <c r="I25" s="39">
        <f>'Cash Flow Statement'!I39</f>
        <v>0</v>
      </c>
      <c r="J25" s="39">
        <f>'Cash Flow Statement'!J39</f>
        <v>0</v>
      </c>
      <c r="K25" s="39">
        <f>'Cash Flow Statement'!K39</f>
        <v>3485</v>
      </c>
      <c r="L25" s="39">
        <f>'Cash Flow Statement'!L39</f>
        <v>300</v>
      </c>
    </row>
    <row r="26" spans="1:12">
      <c r="A26" s="6" t="s">
        <v>432</v>
      </c>
      <c r="C26" s="27">
        <f>'Cash Flow Statement'!C37+'Cash Flow Statement'!C40+'Cash Flow Statement'!C41+'Cash Flow Statement'!C42</f>
        <v>40</v>
      </c>
      <c r="D26" s="27">
        <f>'Cash Flow Statement'!D37+'Cash Flow Statement'!D40+'Cash Flow Statement'!D41+'Cash Flow Statement'!D42</f>
        <v>425</v>
      </c>
      <c r="E26" s="27">
        <f>'Cash Flow Statement'!E37+'Cash Flow Statement'!E40+'Cash Flow Statement'!E41+'Cash Flow Statement'!E42</f>
        <v>-12</v>
      </c>
      <c r="F26" s="27">
        <f>'Cash Flow Statement'!F37+'Cash Flow Statement'!F40+'Cash Flow Statement'!F41+'Cash Flow Statement'!F42</f>
        <v>86</v>
      </c>
      <c r="G26" s="27">
        <f>'Cash Flow Statement'!G37+'Cash Flow Statement'!G40+'Cash Flow Statement'!G41+'Cash Flow Statement'!G42</f>
        <v>8</v>
      </c>
      <c r="H26" s="27">
        <f>'Cash Flow Statement'!H37+'Cash Flow Statement'!H40+'Cash Flow Statement'!H41+'Cash Flow Statement'!H42</f>
        <v>161</v>
      </c>
      <c r="I26" s="27">
        <f>'Cash Flow Statement'!I37+'Cash Flow Statement'!I40+'Cash Flow Statement'!I41+'Cash Flow Statement'!I42</f>
        <v>3</v>
      </c>
      <c r="J26" s="27">
        <f>'Cash Flow Statement'!J37+'Cash Flow Statement'!J40+'Cash Flow Statement'!J41+'Cash Flow Statement'!J42</f>
        <v>-184</v>
      </c>
      <c r="K26" s="27">
        <f>'Cash Flow Statement'!K37+'Cash Flow Statement'!K40+'Cash Flow Statement'!K41+'Cash Flow Statement'!K42</f>
        <v>-29</v>
      </c>
      <c r="L26" s="27">
        <f>'Cash Flow Statement'!L37+'Cash Flow Statement'!L40+'Cash Flow Statement'!L41+'Cash Flow Statement'!L42</f>
        <v>-257</v>
      </c>
    </row>
    <row r="27" spans="1:12">
      <c r="A27" s="6" t="s">
        <v>433</v>
      </c>
      <c r="C27" s="27">
        <f>'Cash Flow Statement'!C51+'Cash Flow Statement'!C55+'Cash Flow Statement'!C56+'Cash Flow Statement'!C58</f>
        <v>384</v>
      </c>
      <c r="D27" s="27">
        <f>'Cash Flow Statement'!D51+'Cash Flow Statement'!D55+'Cash Flow Statement'!D56+'Cash Flow Statement'!D58</f>
        <v>257</v>
      </c>
      <c r="E27" s="27">
        <f>'Cash Flow Statement'!E51+'Cash Flow Statement'!E55+'Cash Flow Statement'!E56+'Cash Flow Statement'!E58</f>
        <v>132</v>
      </c>
      <c r="F27" s="27">
        <f>'Cash Flow Statement'!F51+'Cash Flow Statement'!F55+'Cash Flow Statement'!F56+'Cash Flow Statement'!F58</f>
        <v>3896</v>
      </c>
      <c r="G27" s="27">
        <f>'Cash Flow Statement'!G51+'Cash Flow Statement'!G55+'Cash Flow Statement'!G56+'Cash Flow Statement'!G58</f>
        <v>207</v>
      </c>
      <c r="H27" s="27">
        <f>'Cash Flow Statement'!H51+'Cash Flow Statement'!H55+'Cash Flow Statement'!H56+'Cash Flow Statement'!H58</f>
        <v>128</v>
      </c>
      <c r="I27" s="27">
        <f>'Cash Flow Statement'!I51+'Cash Flow Statement'!I55+'Cash Flow Statement'!I56+'Cash Flow Statement'!I58</f>
        <v>97</v>
      </c>
      <c r="J27" s="27">
        <f>'Cash Flow Statement'!J51+'Cash Flow Statement'!J55+'Cash Flow Statement'!J56+'Cash Flow Statement'!J58</f>
        <v>110</v>
      </c>
      <c r="K27" s="27">
        <f>'Cash Flow Statement'!K51+'Cash Flow Statement'!K55+'Cash Flow Statement'!K56+'Cash Flow Statement'!K58</f>
        <v>127</v>
      </c>
      <c r="L27" s="27">
        <f>'Cash Flow Statement'!L51+'Cash Flow Statement'!L55+'Cash Flow Statement'!L56+'Cash Flow Statement'!L58</f>
        <v>137</v>
      </c>
    </row>
    <row r="28" spans="1:12">
      <c r="A28" s="14" t="s">
        <v>434</v>
      </c>
      <c r="C28" s="40">
        <f t="shared" ref="C28:L28" si="2">C8+C9+C10+C11+C12+C13+C17+C20+C21+C22+C23+C24+C25+C26+C27</f>
        <v>1275</v>
      </c>
      <c r="D28" s="40">
        <f t="shared" si="2"/>
        <v>8107</v>
      </c>
      <c r="E28" s="40">
        <f t="shared" si="2"/>
        <v>-6912</v>
      </c>
      <c r="F28" s="40">
        <f t="shared" si="2"/>
        <v>763</v>
      </c>
      <c r="G28" s="40">
        <f t="shared" si="2"/>
        <v>2563</v>
      </c>
      <c r="H28" s="40">
        <f t="shared" si="2"/>
        <v>4545</v>
      </c>
      <c r="I28" s="40">
        <f t="shared" si="2"/>
        <v>253</v>
      </c>
      <c r="J28" s="40">
        <f t="shared" si="2"/>
        <v>1773</v>
      </c>
      <c r="K28" s="40">
        <f t="shared" si="2"/>
        <v>-4841</v>
      </c>
      <c r="L28" s="40">
        <f t="shared" si="2"/>
        <v>6830</v>
      </c>
    </row>
    <row r="29" spans="1:12">
      <c r="A29" s="6" t="s">
        <v>435</v>
      </c>
      <c r="C29" s="39">
        <f>'Cash Flow Statement'!C62</f>
        <v>1275</v>
      </c>
      <c r="D29" s="39">
        <f>'Cash Flow Statement'!D62</f>
        <v>8107</v>
      </c>
      <c r="E29" s="39">
        <f>'Cash Flow Statement'!E62</f>
        <v>-6912</v>
      </c>
      <c r="F29" s="39">
        <f>'Cash Flow Statement'!F62</f>
        <v>763</v>
      </c>
      <c r="G29" s="39">
        <f>'Cash Flow Statement'!G62</f>
        <v>2563</v>
      </c>
      <c r="H29" s="39">
        <f>'Cash Flow Statement'!H62</f>
        <v>4545</v>
      </c>
      <c r="I29" s="39">
        <f>'Cash Flow Statement'!I62</f>
        <v>253</v>
      </c>
      <c r="J29" s="39">
        <f>'Cash Flow Statement'!J62</f>
        <v>1773</v>
      </c>
      <c r="K29" s="39">
        <f>'Cash Flow Statement'!K62</f>
        <v>-4841</v>
      </c>
      <c r="L29" s="39">
        <f>'Cash Flow Statement'!L62</f>
        <v>6830</v>
      </c>
    </row>
    <row r="30" spans="1:12">
      <c r="A30" s="17" t="s">
        <v>399</v>
      </c>
      <c r="C30" s="28">
        <f t="shared" ref="C30:L30" si="3">C28-C29</f>
        <v>0</v>
      </c>
      <c r="D30" s="28">
        <f t="shared" si="3"/>
        <v>0</v>
      </c>
      <c r="E30" s="28">
        <f t="shared" si="3"/>
        <v>0</v>
      </c>
      <c r="F30" s="28">
        <f t="shared" si="3"/>
        <v>0</v>
      </c>
      <c r="G30" s="28">
        <f t="shared" si="3"/>
        <v>0</v>
      </c>
      <c r="H30" s="28">
        <f t="shared" si="3"/>
        <v>0</v>
      </c>
      <c r="I30" s="28">
        <f t="shared" si="3"/>
        <v>0</v>
      </c>
      <c r="J30" s="28">
        <f t="shared" si="3"/>
        <v>0</v>
      </c>
      <c r="K30" s="28">
        <f t="shared" si="3"/>
        <v>0</v>
      </c>
      <c r="L30" s="28">
        <f t="shared" si="3"/>
        <v>0</v>
      </c>
    </row>
    <row r="32" spans="1:12">
      <c r="A32" s="38" t="s">
        <v>436</v>
      </c>
    </row>
    <row r="33" spans="1:3">
      <c r="A33" s="38" t="s">
        <v>437</v>
      </c>
    </row>
    <row r="34" spans="1:3">
      <c r="A34" s="17" t="s">
        <v>438</v>
      </c>
    </row>
    <row r="35" spans="1:3">
      <c r="A35" s="17" t="s">
        <v>439</v>
      </c>
      <c r="B35" s="17" t="s">
        <v>440</v>
      </c>
      <c r="C35" s="17" t="s">
        <v>441</v>
      </c>
    </row>
    <row r="36" spans="1:3">
      <c r="A36" s="17" t="s">
        <v>442</v>
      </c>
      <c r="B36" s="43">
        <v>0</v>
      </c>
      <c r="C36" s="43">
        <v>23126</v>
      </c>
    </row>
    <row r="37" spans="1:3">
      <c r="A37" s="17" t="s">
        <v>443</v>
      </c>
      <c r="B37" s="43">
        <v>23126</v>
      </c>
      <c r="C37" s="43">
        <v>8775</v>
      </c>
    </row>
    <row r="38" spans="1:3">
      <c r="A38" s="17" t="s">
        <v>444</v>
      </c>
      <c r="B38" s="43">
        <v>31901</v>
      </c>
      <c r="C38" s="43">
        <v>7568</v>
      </c>
    </row>
    <row r="39" spans="1:3">
      <c r="A39" s="17" t="s">
        <v>445</v>
      </c>
      <c r="B39" s="43">
        <v>35461</v>
      </c>
      <c r="C39" s="43">
        <v>-4008</v>
      </c>
    </row>
    <row r="40" spans="1:3">
      <c r="A40" s="17" t="s">
        <v>446</v>
      </c>
      <c r="B40" s="43">
        <v>35461</v>
      </c>
      <c r="C40" s="43">
        <v>576</v>
      </c>
    </row>
    <row r="41" spans="1:3">
      <c r="A41" s="17" t="s">
        <v>447</v>
      </c>
      <c r="B41" s="43">
        <v>27537</v>
      </c>
      <c r="C41" s="43">
        <v>-8500</v>
      </c>
    </row>
    <row r="42" spans="1:3">
      <c r="A42" s="17" t="s">
        <v>448</v>
      </c>
      <c r="B42" s="43">
        <v>26914</v>
      </c>
      <c r="C42" s="43">
        <v>-623</v>
      </c>
    </row>
    <row r="43" spans="1:3">
      <c r="A43" s="17" t="s">
        <v>449</v>
      </c>
      <c r="B43" s="43">
        <v>15772</v>
      </c>
      <c r="C43" s="43">
        <v>-11142</v>
      </c>
    </row>
    <row r="44" spans="1:3">
      <c r="A44" s="17" t="s">
        <v>450</v>
      </c>
      <c r="B44" s="43">
        <v>13322</v>
      </c>
      <c r="C44" s="43">
        <v>-2450</v>
      </c>
    </row>
    <row r="45" spans="1:3">
      <c r="A45" s="17" t="s">
        <v>451</v>
      </c>
      <c r="B45" s="43">
        <v>9462</v>
      </c>
      <c r="C45" s="43">
        <v>-3860</v>
      </c>
    </row>
    <row r="46" spans="1:3">
      <c r="A46" s="17" t="s">
        <v>452</v>
      </c>
      <c r="B46" s="43">
        <v>6650</v>
      </c>
      <c r="C46" s="43">
        <v>-2812</v>
      </c>
    </row>
    <row r="47" spans="1:3">
      <c r="A47" s="17" t="s">
        <v>453</v>
      </c>
      <c r="B47" s="43">
        <v>6650</v>
      </c>
      <c r="C47" s="43">
        <v>0</v>
      </c>
    </row>
    <row r="48" spans="1:3">
      <c r="A48" s="17" t="s">
        <v>454</v>
      </c>
      <c r="B48" s="43">
        <v>6650</v>
      </c>
      <c r="C48" s="43">
        <v>300</v>
      </c>
    </row>
    <row r="49" spans="1:3">
      <c r="A49" s="17" t="s">
        <v>455</v>
      </c>
      <c r="B49" s="43">
        <v>6693</v>
      </c>
      <c r="C49" s="43">
        <v>-257</v>
      </c>
    </row>
    <row r="50" spans="1:3">
      <c r="A50" s="17" t="s">
        <v>456</v>
      </c>
      <c r="B50" s="43">
        <v>6693</v>
      </c>
      <c r="C50" s="43">
        <v>137</v>
      </c>
    </row>
    <row r="51" spans="1:3">
      <c r="A51" s="17" t="s">
        <v>457</v>
      </c>
      <c r="B51" s="43">
        <v>0</v>
      </c>
      <c r="C51" s="43">
        <v>6830</v>
      </c>
    </row>
  </sheetData>
  <phoneticPr fontId="14" type="noConversion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F8F00"/>
  </sheetPr>
  <dimension ref="A1:L42"/>
  <sheetViews>
    <sheetView showGridLines="0" workbookViewId="0">
      <pane xSplit="2" ySplit="5" topLeftCell="G6" activePane="bottomRight" state="frozen"/>
      <selection pane="topRight"/>
      <selection pane="bottomLeft"/>
      <selection pane="bottomRight" activeCell="J46" sqref="J46"/>
    </sheetView>
  </sheetViews>
  <sheetFormatPr baseColWidth="10" defaultColWidth="8.83203125" defaultRowHeight="14"/>
  <cols>
    <col min="1" max="1" width="69.1640625" customWidth="1"/>
    <col min="2" max="2" width="30" hidden="1" customWidth="1"/>
    <col min="3" max="6" width="12" hidden="1" customWidth="1"/>
    <col min="7" max="12" width="12" customWidth="1"/>
  </cols>
  <sheetData>
    <row r="1" spans="1:12" ht="28" customHeight="1">
      <c r="A1" s="35" t="s">
        <v>458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>
      <c r="A2" s="3" t="s">
        <v>391</v>
      </c>
    </row>
    <row r="3" spans="1:12">
      <c r="C3" s="36" t="s">
        <v>2</v>
      </c>
      <c r="D3" s="36" t="s">
        <v>3</v>
      </c>
      <c r="E3" s="36" t="s">
        <v>4</v>
      </c>
      <c r="F3" s="36" t="s">
        <v>5</v>
      </c>
      <c r="G3" s="36" t="s">
        <v>6</v>
      </c>
      <c r="H3" s="36" t="s">
        <v>7</v>
      </c>
      <c r="I3" s="36" t="s">
        <v>8</v>
      </c>
      <c r="J3" s="36" t="s">
        <v>9</v>
      </c>
      <c r="K3" s="36" t="s">
        <v>10</v>
      </c>
      <c r="L3" s="36" t="s">
        <v>11</v>
      </c>
    </row>
    <row r="4" spans="1:12" hidden="1">
      <c r="C4" s="37" t="s">
        <v>21</v>
      </c>
      <c r="D4" s="37" t="s">
        <v>22</v>
      </c>
      <c r="E4" s="37" t="s">
        <v>23</v>
      </c>
      <c r="F4" s="37" t="s">
        <v>24</v>
      </c>
      <c r="G4" s="37" t="s">
        <v>25</v>
      </c>
      <c r="H4" s="37" t="s">
        <v>26</v>
      </c>
      <c r="I4" s="37" t="s">
        <v>27</v>
      </c>
      <c r="J4" s="37" t="s">
        <v>28</v>
      </c>
      <c r="K4" s="37" t="s">
        <v>29</v>
      </c>
      <c r="L4" s="37" t="s">
        <v>30</v>
      </c>
    </row>
    <row r="5" spans="1:12" hidden="1"/>
    <row r="6" spans="1:12" ht="20" customHeight="1">
      <c r="A6" s="5" t="s">
        <v>459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idden="1">
      <c r="A7" s="38" t="s">
        <v>460</v>
      </c>
    </row>
    <row r="8" spans="1:12">
      <c r="A8" s="14" t="s">
        <v>461</v>
      </c>
      <c r="C8" s="29">
        <f>'Income Statement'!C14</f>
        <v>13240</v>
      </c>
      <c r="D8" s="29">
        <f>'Income Statement'!D14</f>
        <v>17636</v>
      </c>
      <c r="E8" s="29">
        <f>'Income Statement'!E14</f>
        <v>20848</v>
      </c>
      <c r="F8" s="29">
        <f>'Income Statement'!F14</f>
        <v>22597</v>
      </c>
      <c r="G8" s="29">
        <f>'Income Statement'!G14</f>
        <v>23888</v>
      </c>
      <c r="H8" s="29">
        <f>'Income Statement'!H14</f>
        <v>27450</v>
      </c>
      <c r="I8" s="29">
        <f>'Income Statement'!I14</f>
        <v>33203</v>
      </c>
      <c r="J8" s="29">
        <f>'Income Statement'!J14</f>
        <v>35819</v>
      </c>
      <c r="K8" s="29">
        <f>'Income Statement'!K14</f>
        <v>51574</v>
      </c>
      <c r="L8" s="29">
        <f>'Income Statement'!L14</f>
        <v>63887</v>
      </c>
    </row>
    <row r="9" spans="1:12">
      <c r="A9" s="6" t="s">
        <v>462</v>
      </c>
      <c r="C9" s="44" t="s">
        <v>463</v>
      </c>
      <c r="D9" s="31">
        <f t="shared" ref="D9:L9" si="0">(D8/C8)-1</f>
        <v>0.33202416918429001</v>
      </c>
      <c r="E9" s="31">
        <f t="shared" si="0"/>
        <v>0.182127466545702</v>
      </c>
      <c r="F9" s="31">
        <f t="shared" si="0"/>
        <v>8.3892939370683095E-2</v>
      </c>
      <c r="G9" s="31">
        <f t="shared" si="0"/>
        <v>5.7131477629773775E-2</v>
      </c>
      <c r="H9" s="31">
        <f t="shared" si="0"/>
        <v>0.14911252511721362</v>
      </c>
      <c r="I9" s="31">
        <f t="shared" si="0"/>
        <v>0.20958105646630232</v>
      </c>
      <c r="J9" s="31">
        <f t="shared" si="0"/>
        <v>7.8788061319760239E-2</v>
      </c>
      <c r="K9" s="31">
        <f t="shared" si="0"/>
        <v>0.43985035874815037</v>
      </c>
      <c r="L9" s="31">
        <f t="shared" si="0"/>
        <v>0.23874432853763516</v>
      </c>
    </row>
    <row r="10" spans="1:12">
      <c r="A10" s="6" t="s">
        <v>464</v>
      </c>
      <c r="C10" s="31">
        <f>'Income Statement'!C27/C8</f>
        <v>0.44864048338368578</v>
      </c>
      <c r="D10" s="31">
        <f>'Income Statement'!D27/D8</f>
        <v>0.48247902018598321</v>
      </c>
      <c r="E10" s="31">
        <f>'Income Statement'!E27/E8</f>
        <v>0.51482156561780501</v>
      </c>
      <c r="F10" s="31">
        <f>'Income Statement'!F27/F8</f>
        <v>0.55241846262778249</v>
      </c>
      <c r="G10" s="31">
        <f>'Income Statement'!G27/G8</f>
        <v>0.5658070997990623</v>
      </c>
      <c r="H10" s="31">
        <f>'Income Statement'!H27/H8</f>
        <v>0.61362477231329693</v>
      </c>
      <c r="I10" s="31">
        <f>'Income Statement'!I27/I8</f>
        <v>0.66545191699545225</v>
      </c>
      <c r="J10" s="31">
        <f>'Income Statement'!J27/J8</f>
        <v>0.68929897540411511</v>
      </c>
      <c r="K10" s="31">
        <f>'Income Statement'!K27/K8</f>
        <v>0.63033699150734868</v>
      </c>
      <c r="L10" s="31">
        <f>'Income Statement'!L27/L8</f>
        <v>0.67766525271181932</v>
      </c>
    </row>
    <row r="11" spans="1:12">
      <c r="A11" s="6" t="s">
        <v>465</v>
      </c>
      <c r="C11" s="31">
        <f>'Income Statement'!C37/C8</f>
        <v>-3.0891238670694866E-2</v>
      </c>
      <c r="D11" s="31">
        <f>'Income Statement'!D37/D8</f>
        <v>0.13512134270809709</v>
      </c>
      <c r="E11" s="31">
        <f>'Income Statement'!E37/E8</f>
        <v>0.24630660015349193</v>
      </c>
      <c r="F11" s="31">
        <f>'Income Statement'!F37/F8</f>
        <v>0.15240961189538435</v>
      </c>
      <c r="G11" s="31">
        <f>'Income Statement'!G37/G8</f>
        <v>0.16803415941058272</v>
      </c>
      <c r="H11" s="31">
        <f>'Income Statement'!H37/H8</f>
        <v>0.31034608378870676</v>
      </c>
      <c r="I11" s="31">
        <f>'Income Statement'!I37/I8</f>
        <v>0.42842514230641809</v>
      </c>
      <c r="J11" s="31">
        <f>'Income Statement'!J37/J8</f>
        <v>0.45246935983695802</v>
      </c>
      <c r="K11" s="31">
        <f>'Income Statement'!K37/K8</f>
        <v>0.26104238569822003</v>
      </c>
      <c r="L11" s="31">
        <f>'Income Statement'!L37/L8</f>
        <v>0.39889179332258518</v>
      </c>
    </row>
    <row r="12" spans="1:12">
      <c r="A12" s="6" t="s">
        <v>466</v>
      </c>
      <c r="C12" s="27">
        <f>'Income Statement'!C37+'Cash Flow Statement'!C16+'Cash Flow Statement'!C17</f>
        <v>2633</v>
      </c>
      <c r="D12" s="27">
        <f>'Income Statement'!D37+'Cash Flow Statement'!D16+'Cash Flow Statement'!D17</f>
        <v>7120</v>
      </c>
      <c r="E12" s="27">
        <f>'Income Statement'!E37+'Cash Flow Statement'!E16+'Cash Flow Statement'!E17</f>
        <v>9216</v>
      </c>
      <c r="F12" s="27">
        <f>'Income Statement'!F37+'Cash Flow Statement'!F16+'Cash Flow Statement'!F17</f>
        <v>9252</v>
      </c>
      <c r="G12" s="27">
        <f>'Income Statement'!G37+'Cash Flow Statement'!G16+'Cash Flow Statement'!G17</f>
        <v>10919</v>
      </c>
      <c r="H12" s="27">
        <f>'Income Statement'!H37+'Cash Flow Statement'!H16+'Cash Flow Statement'!H17</f>
        <v>14560</v>
      </c>
      <c r="I12" s="27">
        <f>'Income Statement'!I37+'Cash Flow Statement'!I16+'Cash Flow Statement'!I17</f>
        <v>19209</v>
      </c>
      <c r="J12" s="27">
        <f>'Income Statement'!J37+'Cash Flow Statement'!J16+'Cash Flow Statement'!J17</f>
        <v>20042</v>
      </c>
      <c r="K12" s="27">
        <f>'Income Statement'!K37+'Cash Flow Statement'!K16+'Cash Flow Statement'!K17</f>
        <v>23473</v>
      </c>
      <c r="L12" s="27">
        <f>'Income Statement'!L37+'Cash Flow Statement'!L16+'Cash Flow Statement'!L17</f>
        <v>34259</v>
      </c>
    </row>
    <row r="13" spans="1:12">
      <c r="A13" s="6" t="s">
        <v>467</v>
      </c>
      <c r="C13" s="31">
        <f t="shared" ref="C13:L13" si="1">C12/C8</f>
        <v>0.19886706948640484</v>
      </c>
      <c r="D13" s="31">
        <f t="shared" si="1"/>
        <v>0.40371966432297574</v>
      </c>
      <c r="E13" s="31">
        <f t="shared" si="1"/>
        <v>0.44205679201841902</v>
      </c>
      <c r="F13" s="31">
        <f t="shared" si="1"/>
        <v>0.40943488073638096</v>
      </c>
      <c r="G13" s="31">
        <f t="shared" si="1"/>
        <v>0.45709142665773611</v>
      </c>
      <c r="H13" s="31">
        <f t="shared" si="1"/>
        <v>0.53041894353369767</v>
      </c>
      <c r="I13" s="31">
        <f t="shared" si="1"/>
        <v>0.57853206035599192</v>
      </c>
      <c r="J13" s="31">
        <f t="shared" si="1"/>
        <v>0.55953544208381023</v>
      </c>
      <c r="K13" s="31">
        <f t="shared" si="1"/>
        <v>0.45513243106991896</v>
      </c>
      <c r="L13" s="31">
        <f t="shared" si="1"/>
        <v>0.53624368024793778</v>
      </c>
    </row>
    <row r="14" spans="1:12">
      <c r="A14" s="6" t="s">
        <v>468</v>
      </c>
      <c r="C14" s="31">
        <f>'Income Statement'!C47/'Income Statement'!C46</f>
        <v>-0.57994579945799463</v>
      </c>
      <c r="D14" s="31">
        <f>'Income Statement'!D47/'Income Statement'!D46</f>
        <v>1.9178082191780823E-2</v>
      </c>
      <c r="E14" s="31">
        <f>'Income Statement'!E47/'Income Statement'!E46</f>
        <v>-1.7786578657865786</v>
      </c>
      <c r="F14" s="31">
        <f>'Income Statement'!F47/'Income Statement'!F46</f>
        <v>-0.22911051212938005</v>
      </c>
      <c r="G14" s="31">
        <f>'Income Statement'!G47/'Income Statement'!G46</f>
        <v>-0.21203438395415472</v>
      </c>
      <c r="H14" s="31">
        <f>'Income Statement'!H47/'Income Statement'!H46</f>
        <v>4.286770140428677E-3</v>
      </c>
      <c r="I14" s="31">
        <f>'Income Statement'!I47/'Income Statement'!I46</f>
        <v>7.5518738941611707E-2</v>
      </c>
      <c r="J14" s="31">
        <f>'Income Statement'!J47/'Income Statement'!J46</f>
        <v>6.7231900377558454E-2</v>
      </c>
      <c r="K14" s="31">
        <f>'Income Statement'!K47/'Income Statement'!K46</f>
        <v>0.37797498991528844</v>
      </c>
      <c r="L14" s="31">
        <f>'Income Statement'!L47/'Income Statement'!L46</f>
        <v>-1.7466672532887501E-2</v>
      </c>
    </row>
    <row r="15" spans="1:12" hidden="1">
      <c r="A15" s="38" t="s">
        <v>469</v>
      </c>
    </row>
    <row r="16" spans="1:12">
      <c r="A16" s="6" t="s">
        <v>470</v>
      </c>
      <c r="C16" s="31">
        <f>'Income Statement'!C50/C8</f>
        <v>-0.14055891238670695</v>
      </c>
      <c r="D16" s="31">
        <f>'Income Statement'!D50/D8</f>
        <v>0.10115672488092538</v>
      </c>
      <c r="E16" s="31">
        <f>'Income Statement'!E50/E8</f>
        <v>0.60485418265541058</v>
      </c>
      <c r="F16" s="31">
        <f>'Income Statement'!F50/F8</f>
        <v>0.12054697526220294</v>
      </c>
      <c r="G16" s="31">
        <f>'Income Statement'!G50/G8</f>
        <v>0.12391158740790355</v>
      </c>
      <c r="H16" s="31">
        <f>'Income Statement'!H50/H8</f>
        <v>0.24539162112932605</v>
      </c>
      <c r="I16" s="31">
        <f>'Income Statement'!I50/I8</f>
        <v>0.34620365629611782</v>
      </c>
      <c r="J16" s="31">
        <f>'Income Statement'!J50/J8</f>
        <v>0.39314330383316115</v>
      </c>
      <c r="K16" s="31">
        <f>'Income Statement'!K50/K8</f>
        <v>0.11430177996664986</v>
      </c>
      <c r="L16" s="31">
        <f>'Income Statement'!L50/L8</f>
        <v>0.36198287601546481</v>
      </c>
    </row>
    <row r="17" spans="1:12" hidden="1">
      <c r="A17" s="6" t="s">
        <v>471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</row>
    <row r="18" spans="1:12">
      <c r="A18" s="14" t="s">
        <v>472</v>
      </c>
      <c r="C18" s="25">
        <f>'Income Statement'!C37-'Income Statement'!C47</f>
        <v>-1051</v>
      </c>
      <c r="D18" s="25">
        <f>'Income Statement'!D37-'Income Statement'!D47</f>
        <v>2348</v>
      </c>
      <c r="E18" s="25">
        <f>'Income Statement'!E37-'Income Statement'!E47</f>
        <v>13219</v>
      </c>
      <c r="F18" s="25">
        <f>'Income Statement'!F37-'Income Statement'!F47</f>
        <v>3954</v>
      </c>
      <c r="G18" s="25">
        <f>'Income Statement'!G37-'Income Statement'!G47</f>
        <v>4532</v>
      </c>
      <c r="H18" s="25">
        <f>'Income Statement'!H37-'Income Statement'!H47</f>
        <v>8490</v>
      </c>
      <c r="I18" s="25">
        <f>'Income Statement'!I37-'Income Statement'!I47</f>
        <v>13286</v>
      </c>
      <c r="J18" s="25">
        <f>'Income Statement'!J37-'Income Statement'!J47</f>
        <v>15192</v>
      </c>
      <c r="K18" s="25">
        <f>'Income Statement'!K37-'Income Statement'!K47</f>
        <v>9715</v>
      </c>
      <c r="L18" s="25">
        <f>'Income Statement'!L37-'Income Statement'!L47</f>
        <v>25881</v>
      </c>
    </row>
    <row r="19" spans="1:12">
      <c r="A19" s="6" t="s">
        <v>473</v>
      </c>
      <c r="C19" s="27">
        <f>'Balance Sheet'!C31+'Balance Sheet'!C36+'Balance Sheet'!C48-'Balance Sheet'!C15</f>
        <v>32421</v>
      </c>
      <c r="D19" s="27">
        <f>'Balance Sheet'!D31+'Balance Sheet'!D36+'Balance Sheet'!D48-'Balance Sheet'!D15</f>
        <v>29530</v>
      </c>
      <c r="E19" s="27">
        <f>'Balance Sheet'!E31+'Balance Sheet'!E36+'Balance Sheet'!E48-'Balance Sheet'!E15</f>
        <v>39858</v>
      </c>
      <c r="F19" s="27">
        <f>'Balance Sheet'!F31+'Balance Sheet'!F36+'Balance Sheet'!F48-'Balance Sheet'!F15</f>
        <v>52684</v>
      </c>
      <c r="G19" s="27">
        <f>'Balance Sheet'!G31+'Balance Sheet'!G36+'Balance Sheet'!G48-'Balance Sheet'!G15</f>
        <v>57318</v>
      </c>
      <c r="H19" s="27">
        <f>'Balance Sheet'!H31+'Balance Sheet'!H36+'Balance Sheet'!H48-'Balance Sheet'!H15</f>
        <v>52529</v>
      </c>
      <c r="I19" s="27">
        <f>'Balance Sheet'!I31+'Balance Sheet'!I36+'Balance Sheet'!I48-'Balance Sheet'!I15</f>
        <v>49808</v>
      </c>
      <c r="J19" s="27">
        <f>'Balance Sheet'!J31+'Balance Sheet'!J36+'Balance Sheet'!J48-'Balance Sheet'!J15</f>
        <v>49028</v>
      </c>
      <c r="K19" s="27">
        <f>'Balance Sheet'!K31+'Balance Sheet'!K36+'Balance Sheet'!K48-'Balance Sheet'!K15</f>
        <v>125896</v>
      </c>
      <c r="L19" s="27">
        <f>'Balance Sheet'!L31+'Balance Sheet'!L36+'Balance Sheet'!L48-'Balance Sheet'!L15</f>
        <v>130250</v>
      </c>
    </row>
    <row r="20" spans="1:12">
      <c r="A20" s="6" t="s">
        <v>474</v>
      </c>
      <c r="C20" s="27">
        <f>'Balance Sheet'!C31+'Balance Sheet'!C36+'Balance Sheet'!C48</f>
        <v>35518</v>
      </c>
      <c r="D20" s="27">
        <f>'Balance Sheet'!D31+'Balance Sheet'!D36+'Balance Sheet'!D48</f>
        <v>40734</v>
      </c>
      <c r="E20" s="27">
        <f>'Balance Sheet'!E31+'Balance Sheet'!E36+'Balance Sheet'!E48</f>
        <v>44150</v>
      </c>
      <c r="F20" s="27">
        <f>'Balance Sheet'!F31+'Balance Sheet'!F36+'Balance Sheet'!F48</f>
        <v>57739</v>
      </c>
      <c r="G20" s="27">
        <f>'Balance Sheet'!G31+'Balance Sheet'!G36+'Balance Sheet'!G48</f>
        <v>64936</v>
      </c>
      <c r="H20" s="27">
        <f>'Balance Sheet'!H31+'Balance Sheet'!H36+'Balance Sheet'!H48</f>
        <v>64692</v>
      </c>
      <c r="I20" s="27">
        <f>'Balance Sheet'!I31+'Balance Sheet'!I36+'Balance Sheet'!I48</f>
        <v>62224</v>
      </c>
      <c r="J20" s="27">
        <f>'Balance Sheet'!J31+'Balance Sheet'!J36+'Balance Sheet'!J48</f>
        <v>63217</v>
      </c>
      <c r="K20" s="27">
        <f>'Balance Sheet'!K31+'Balance Sheet'!K36+'Balance Sheet'!K48</f>
        <v>135244</v>
      </c>
      <c r="L20" s="27">
        <f>'Balance Sheet'!L31+'Balance Sheet'!L36+'Balance Sheet'!L48</f>
        <v>146428</v>
      </c>
    </row>
    <row r="21" spans="1:12">
      <c r="A21" s="14" t="s">
        <v>475</v>
      </c>
      <c r="C21" s="44" t="s">
        <v>463</v>
      </c>
      <c r="D21" s="42">
        <f t="shared" ref="D21:L21" si="2">D18/((D19+C19)/2)</f>
        <v>7.5801843392358473E-2</v>
      </c>
      <c r="E21" s="42">
        <f t="shared" si="2"/>
        <v>0.38101689052862164</v>
      </c>
      <c r="F21" s="42">
        <f t="shared" si="2"/>
        <v>8.5453091569233433E-2</v>
      </c>
      <c r="G21" s="42">
        <f t="shared" si="2"/>
        <v>8.2398501845420996E-2</v>
      </c>
      <c r="H21" s="42">
        <f t="shared" si="2"/>
        <v>0.15457864120094314</v>
      </c>
      <c r="I21" s="42">
        <f t="shared" si="2"/>
        <v>0.25965193429551386</v>
      </c>
      <c r="J21" s="42">
        <f t="shared" si="2"/>
        <v>0.30741834958921849</v>
      </c>
      <c r="K21" s="42">
        <f t="shared" si="2"/>
        <v>0.11107681050056024</v>
      </c>
      <c r="L21" s="42">
        <f t="shared" si="2"/>
        <v>0.2020800637136633</v>
      </c>
    </row>
    <row r="22" spans="1:12">
      <c r="A22" s="6" t="s">
        <v>476</v>
      </c>
      <c r="C22" s="44" t="s">
        <v>463</v>
      </c>
      <c r="D22" s="31">
        <f t="shared" ref="D22:L22" si="3">D18/((D20+C20)/2)</f>
        <v>6.1585269894560139E-2</v>
      </c>
      <c r="E22" s="31">
        <f t="shared" si="3"/>
        <v>0.31146034588379434</v>
      </c>
      <c r="F22" s="31">
        <f t="shared" si="3"/>
        <v>7.7613873921620585E-2</v>
      </c>
      <c r="G22" s="31">
        <f t="shared" si="3"/>
        <v>7.3886284899123703E-2</v>
      </c>
      <c r="H22" s="31">
        <f t="shared" si="3"/>
        <v>0.13099021816274262</v>
      </c>
      <c r="I22" s="31">
        <f t="shared" si="3"/>
        <v>0.20936682530177439</v>
      </c>
      <c r="J22" s="31">
        <f t="shared" si="3"/>
        <v>0.24221745681236598</v>
      </c>
      <c r="K22" s="31">
        <f t="shared" si="3"/>
        <v>9.7903366404482495E-2</v>
      </c>
      <c r="L22" s="31">
        <f t="shared" si="3"/>
        <v>0.18376693459058763</v>
      </c>
    </row>
    <row r="23" spans="1:12">
      <c r="A23" s="6" t="s">
        <v>477</v>
      </c>
      <c r="C23" s="44" t="s">
        <v>463</v>
      </c>
      <c r="D23" s="46">
        <f>D8/(('Balance Sheet'!D26+'Balance Sheet'!C26)/2)</f>
        <v>0.33790619251992643</v>
      </c>
      <c r="E23" s="46">
        <f>E8/(('Balance Sheet'!E26+'Balance Sheet'!D26)/2)</f>
        <v>0.39884448355684798</v>
      </c>
      <c r="F23" s="46">
        <f>F8/(('Balance Sheet'!F26+'Balance Sheet'!E26)/2)</f>
        <v>0.38424717515325163</v>
      </c>
      <c r="G23" s="46">
        <f>G8/(('Balance Sheet'!G26+'Balance Sheet'!F26)/2)</f>
        <v>0.33310557360590132</v>
      </c>
      <c r="H23" s="46">
        <f>H8/(('Balance Sheet'!H26+'Balance Sheet'!G26)/2)</f>
        <v>0.36236906199877228</v>
      </c>
      <c r="I23" s="46">
        <f>I8/(('Balance Sheet'!I26+'Balance Sheet'!H26)/2)</f>
        <v>0.44621990471646766</v>
      </c>
      <c r="J23" s="46">
        <f>J8/(('Balance Sheet'!J26+'Balance Sheet'!I26)/2)</f>
        <v>0.49030182739032235</v>
      </c>
      <c r="K23" s="46">
        <f>K8/(('Balance Sheet'!K26+'Balance Sheet'!J26)/2)</f>
        <v>0.43247549327899509</v>
      </c>
      <c r="L23" s="46">
        <f>L8/(('Balance Sheet'!L26+'Balance Sheet'!K26)/2)</f>
        <v>0.37944746196586654</v>
      </c>
    </row>
    <row r="24" spans="1:12">
      <c r="A24" s="6" t="s">
        <v>409</v>
      </c>
      <c r="C24" s="27">
        <f>'Balance Sheet'!C15-'Balance Sheet'!C31-'Balance Sheet'!C36</f>
        <v>-10545</v>
      </c>
      <c r="D24" s="27">
        <f>'Balance Sheet'!D15-'Balance Sheet'!D31-'Balance Sheet'!D36</f>
        <v>-6344</v>
      </c>
      <c r="E24" s="27">
        <f>'Balance Sheet'!E15-'Balance Sheet'!E31-'Balance Sheet'!E36</f>
        <v>-13201</v>
      </c>
      <c r="F24" s="27">
        <f>'Balance Sheet'!F15-'Balance Sheet'!F31-'Balance Sheet'!F36</f>
        <v>-27743</v>
      </c>
      <c r="G24" s="27">
        <f>'Balance Sheet'!G15-'Balance Sheet'!G31-'Balance Sheet'!G36</f>
        <v>-33444</v>
      </c>
      <c r="H24" s="27">
        <f>'Balance Sheet'!H15-'Balance Sheet'!H31-'Balance Sheet'!H36</f>
        <v>-27567</v>
      </c>
      <c r="I24" s="27">
        <f>'Balance Sheet'!I15-'Balance Sheet'!I31-'Balance Sheet'!I36</f>
        <v>-27099</v>
      </c>
      <c r="J24" s="27">
        <f>'Balance Sheet'!J15-'Balance Sheet'!J31-'Balance Sheet'!J36</f>
        <v>-25040</v>
      </c>
      <c r="K24" s="27">
        <f>'Balance Sheet'!K15-'Balance Sheet'!K31-'Balance Sheet'!K36</f>
        <v>-58218</v>
      </c>
      <c r="L24" s="27">
        <f>'Balance Sheet'!L15-'Balance Sheet'!L31-'Balance Sheet'!L36</f>
        <v>-48958</v>
      </c>
    </row>
    <row r="25" spans="1:12">
      <c r="A25" s="6" t="s">
        <v>478</v>
      </c>
      <c r="C25" s="39">
        <f>'Cash Flow Statement'!C33</f>
        <v>3411</v>
      </c>
      <c r="D25" s="39">
        <f>'Cash Flow Statement'!D33</f>
        <v>6551</v>
      </c>
      <c r="E25" s="39">
        <f>'Cash Flow Statement'!E33</f>
        <v>8880</v>
      </c>
      <c r="F25" s="39">
        <f>'Cash Flow Statement'!F33</f>
        <v>9697</v>
      </c>
      <c r="G25" s="39">
        <f>'Cash Flow Statement'!G33</f>
        <v>12061</v>
      </c>
      <c r="H25" s="39">
        <f>'Cash Flow Statement'!H33</f>
        <v>13764</v>
      </c>
      <c r="I25" s="39">
        <f>'Cash Flow Statement'!I33</f>
        <v>16736</v>
      </c>
      <c r="J25" s="39">
        <f>'Cash Flow Statement'!J33</f>
        <v>18085</v>
      </c>
      <c r="K25" s="39">
        <f>'Cash Flow Statement'!K33</f>
        <v>19962</v>
      </c>
      <c r="L25" s="39">
        <f>'Cash Flow Statement'!L33</f>
        <v>27537</v>
      </c>
    </row>
    <row r="26" spans="1:12">
      <c r="A26" s="6" t="s">
        <v>479</v>
      </c>
      <c r="C26" s="39">
        <f>'Cash Flow Statement'!C36</f>
        <v>-723</v>
      </c>
      <c r="D26" s="39">
        <f>'Cash Flow Statement'!D36</f>
        <v>-1069</v>
      </c>
      <c r="E26" s="39">
        <f>'Cash Flow Statement'!E36</f>
        <v>-635</v>
      </c>
      <c r="F26" s="39">
        <f>'Cash Flow Statement'!F36</f>
        <v>-432</v>
      </c>
      <c r="G26" s="39">
        <f>'Cash Flow Statement'!G36</f>
        <v>-463</v>
      </c>
      <c r="H26" s="39">
        <f>'Cash Flow Statement'!H36</f>
        <v>-443</v>
      </c>
      <c r="I26" s="39">
        <f>'Cash Flow Statement'!I36</f>
        <v>-424</v>
      </c>
      <c r="J26" s="39">
        <f>'Cash Flow Statement'!J36</f>
        <v>-452</v>
      </c>
      <c r="K26" s="39">
        <f>'Cash Flow Statement'!K36</f>
        <v>-548</v>
      </c>
      <c r="L26" s="39">
        <f>'Cash Flow Statement'!L36</f>
        <v>-623</v>
      </c>
    </row>
    <row r="27" spans="1:12">
      <c r="A27" s="14" t="s">
        <v>480</v>
      </c>
      <c r="C27" s="25">
        <f t="shared" ref="C27:L27" si="4">C25+C26</f>
        <v>2688</v>
      </c>
      <c r="D27" s="25">
        <f t="shared" si="4"/>
        <v>5482</v>
      </c>
      <c r="E27" s="25">
        <f t="shared" si="4"/>
        <v>8245</v>
      </c>
      <c r="F27" s="25">
        <f t="shared" si="4"/>
        <v>9265</v>
      </c>
      <c r="G27" s="25">
        <f t="shared" si="4"/>
        <v>11598</v>
      </c>
      <c r="H27" s="25">
        <f t="shared" si="4"/>
        <v>13321</v>
      </c>
      <c r="I27" s="25">
        <f t="shared" si="4"/>
        <v>16312</v>
      </c>
      <c r="J27" s="25">
        <f t="shared" si="4"/>
        <v>17633</v>
      </c>
      <c r="K27" s="25">
        <f t="shared" si="4"/>
        <v>19414</v>
      </c>
      <c r="L27" s="25">
        <f t="shared" si="4"/>
        <v>26914</v>
      </c>
    </row>
    <row r="28" spans="1:12">
      <c r="A28" s="6" t="s">
        <v>481</v>
      </c>
      <c r="C28" s="31">
        <f t="shared" ref="C28:L28" si="5">C27/C8</f>
        <v>0.20302114803625379</v>
      </c>
      <c r="D28" s="31">
        <f t="shared" si="5"/>
        <v>0.31084146064867318</v>
      </c>
      <c r="E28" s="31">
        <f t="shared" si="5"/>
        <v>0.39548158096699926</v>
      </c>
      <c r="F28" s="31">
        <f t="shared" si="5"/>
        <v>0.41001017834225784</v>
      </c>
      <c r="G28" s="31">
        <f t="shared" si="5"/>
        <v>0.48551574012056264</v>
      </c>
      <c r="H28" s="31">
        <f t="shared" si="5"/>
        <v>0.48528233151183969</v>
      </c>
      <c r="I28" s="31">
        <f t="shared" si="5"/>
        <v>0.49128090835165494</v>
      </c>
      <c r="J28" s="31">
        <f t="shared" si="5"/>
        <v>0.49228063318350596</v>
      </c>
      <c r="K28" s="31">
        <f t="shared" si="5"/>
        <v>0.37642998410051576</v>
      </c>
      <c r="L28" s="31">
        <f t="shared" si="5"/>
        <v>0.42127506378449447</v>
      </c>
    </row>
    <row r="29" spans="1:12">
      <c r="A29" s="6" t="s">
        <v>482</v>
      </c>
      <c r="C29" s="39">
        <f>'Income Statement'!C50</f>
        <v>-1861</v>
      </c>
      <c r="D29" s="39">
        <f>'Income Statement'!D50</f>
        <v>1784</v>
      </c>
      <c r="E29" s="39">
        <f>'Income Statement'!E50</f>
        <v>12610</v>
      </c>
      <c r="F29" s="39">
        <f>'Income Statement'!F50</f>
        <v>2724</v>
      </c>
      <c r="G29" s="39">
        <f>'Income Statement'!G50</f>
        <v>2960</v>
      </c>
      <c r="H29" s="39">
        <f>'Income Statement'!H50</f>
        <v>6736</v>
      </c>
      <c r="I29" s="39">
        <f>'Income Statement'!I50</f>
        <v>11495</v>
      </c>
      <c r="J29" s="39">
        <f>'Income Statement'!J50</f>
        <v>14082</v>
      </c>
      <c r="K29" s="39">
        <f>'Income Statement'!K50</f>
        <v>5895</v>
      </c>
      <c r="L29" s="39">
        <f>'Income Statement'!L50</f>
        <v>23126</v>
      </c>
    </row>
    <row r="30" spans="1:12">
      <c r="A30" s="6" t="s">
        <v>483</v>
      </c>
      <c r="C30" s="44" t="s">
        <v>484</v>
      </c>
      <c r="D30" s="46">
        <f t="shared" ref="D30:L30" si="6">D25/D29</f>
        <v>3.6720852017937218</v>
      </c>
      <c r="E30" s="46">
        <f t="shared" si="6"/>
        <v>0.70420301348136405</v>
      </c>
      <c r="F30" s="46">
        <f t="shared" si="6"/>
        <v>3.5598384728340675</v>
      </c>
      <c r="G30" s="46">
        <f t="shared" si="6"/>
        <v>4.0746621621621619</v>
      </c>
      <c r="H30" s="46">
        <f t="shared" si="6"/>
        <v>2.0433491686460807</v>
      </c>
      <c r="I30" s="46">
        <f t="shared" si="6"/>
        <v>1.4559373640713353</v>
      </c>
      <c r="J30" s="46">
        <f t="shared" si="6"/>
        <v>1.2842635989206079</v>
      </c>
      <c r="K30" s="46">
        <f t="shared" si="6"/>
        <v>3.386259541984733</v>
      </c>
      <c r="L30" s="46">
        <f t="shared" si="6"/>
        <v>1.190737697829283</v>
      </c>
    </row>
    <row r="31" spans="1:12">
      <c r="A31" s="6" t="s">
        <v>485</v>
      </c>
      <c r="C31" s="44" t="s">
        <v>484</v>
      </c>
      <c r="D31" s="46">
        <f t="shared" ref="D31:L31" si="7">D27/D29</f>
        <v>3.0728699551569507</v>
      </c>
      <c r="E31" s="46">
        <f t="shared" si="7"/>
        <v>0.65384615384615385</v>
      </c>
      <c r="F31" s="46">
        <f t="shared" si="7"/>
        <v>3.4012481644640236</v>
      </c>
      <c r="G31" s="46">
        <f t="shared" si="7"/>
        <v>3.9182432432432432</v>
      </c>
      <c r="H31" s="46">
        <f t="shared" si="7"/>
        <v>1.977583135391924</v>
      </c>
      <c r="I31" s="46">
        <f t="shared" si="7"/>
        <v>1.4190517616354936</v>
      </c>
      <c r="J31" s="46">
        <f t="shared" si="7"/>
        <v>1.2521658855276239</v>
      </c>
      <c r="K31" s="46">
        <f t="shared" si="7"/>
        <v>3.2932994062765055</v>
      </c>
      <c r="L31" s="46">
        <f t="shared" si="7"/>
        <v>1.1637983222347141</v>
      </c>
    </row>
    <row r="32" spans="1:12">
      <c r="A32" s="6" t="s">
        <v>486</v>
      </c>
      <c r="C32" s="39">
        <f>'Income Statement'!C62</f>
        <v>383</v>
      </c>
      <c r="D32" s="39">
        <f>'Income Statement'!D62</f>
        <v>421</v>
      </c>
      <c r="E32" s="39">
        <f>'Income Statement'!E62</f>
        <v>431</v>
      </c>
      <c r="F32" s="39">
        <f>'Income Statement'!F62</f>
        <v>419</v>
      </c>
      <c r="G32" s="39">
        <f>'Income Statement'!G62</f>
        <v>421</v>
      </c>
      <c r="H32" s="39">
        <f>'Income Statement'!H62</f>
        <v>429</v>
      </c>
      <c r="I32" s="39">
        <f>'Income Statement'!I62</f>
        <v>423</v>
      </c>
      <c r="J32" s="39">
        <f>'Income Statement'!J62</f>
        <v>427</v>
      </c>
      <c r="K32" s="39">
        <f>'Income Statement'!K62</f>
        <v>4778</v>
      </c>
      <c r="L32" s="39">
        <f>'Income Statement'!L62</f>
        <v>4853</v>
      </c>
    </row>
    <row r="33" spans="1:12">
      <c r="A33" s="6" t="s">
        <v>487</v>
      </c>
      <c r="C33" s="27">
        <f>-'Cash Flow Statement'!C52</f>
        <v>750</v>
      </c>
      <c r="D33" s="27">
        <f>-'Cash Flow Statement'!D52</f>
        <v>1745</v>
      </c>
      <c r="E33" s="27">
        <f>-'Cash Flow Statement'!E52</f>
        <v>2998</v>
      </c>
      <c r="F33" s="27">
        <f>-'Cash Flow Statement'!F52</f>
        <v>4235</v>
      </c>
      <c r="G33" s="27">
        <f>-'Cash Flow Statement'!G52</f>
        <v>5534</v>
      </c>
      <c r="H33" s="27">
        <f>-'Cash Flow Statement'!H52</f>
        <v>6212</v>
      </c>
      <c r="I33" s="27">
        <f>-'Cash Flow Statement'!I52</f>
        <v>7032</v>
      </c>
      <c r="J33" s="27">
        <f>-'Cash Flow Statement'!J52</f>
        <v>7645</v>
      </c>
      <c r="K33" s="27">
        <f>-'Cash Flow Statement'!K52</f>
        <v>9814</v>
      </c>
      <c r="L33" s="27">
        <f>-'Cash Flow Statement'!L52</f>
        <v>11142</v>
      </c>
    </row>
    <row r="34" spans="1:12">
      <c r="A34" s="6" t="s">
        <v>488</v>
      </c>
      <c r="C34" s="47">
        <f t="shared" ref="C34:L34" si="8">C33/C32</f>
        <v>1.95822454308094</v>
      </c>
      <c r="D34" s="47">
        <f t="shared" si="8"/>
        <v>4.1448931116389547</v>
      </c>
      <c r="E34" s="47">
        <f t="shared" si="8"/>
        <v>6.9559164733178651</v>
      </c>
      <c r="F34" s="47">
        <f t="shared" si="8"/>
        <v>10.107398568019093</v>
      </c>
      <c r="G34" s="47">
        <f t="shared" si="8"/>
        <v>13.144893111638956</v>
      </c>
      <c r="H34" s="47">
        <f t="shared" si="8"/>
        <v>14.480186480186481</v>
      </c>
      <c r="I34" s="47">
        <f t="shared" si="8"/>
        <v>16.624113475177303</v>
      </c>
      <c r="J34" s="47">
        <f t="shared" si="8"/>
        <v>17.903981264637004</v>
      </c>
      <c r="K34" s="47">
        <f t="shared" si="8"/>
        <v>2.0539974884889074</v>
      </c>
      <c r="L34" s="47">
        <f t="shared" si="8"/>
        <v>2.2958994436431075</v>
      </c>
    </row>
    <row r="35" spans="1:12">
      <c r="A35" s="6" t="s">
        <v>489</v>
      </c>
      <c r="C35" s="27">
        <f>-'Cash Flow Statement'!C53</f>
        <v>0</v>
      </c>
      <c r="D35" s="27">
        <f>-'Cash Flow Statement'!D53</f>
        <v>0</v>
      </c>
      <c r="E35" s="27">
        <f>-'Cash Flow Statement'!E53</f>
        <v>7258</v>
      </c>
      <c r="F35" s="27">
        <f>-'Cash Flow Statement'!F53</f>
        <v>5435</v>
      </c>
      <c r="G35" s="27">
        <f>-'Cash Flow Statement'!G53</f>
        <v>0</v>
      </c>
      <c r="H35" s="27">
        <f>-'Cash Flow Statement'!H53</f>
        <v>0</v>
      </c>
      <c r="I35" s="27">
        <f>-'Cash Flow Statement'!I53</f>
        <v>7000</v>
      </c>
      <c r="J35" s="27">
        <f>-'Cash Flow Statement'!J53</f>
        <v>5824</v>
      </c>
      <c r="K35" s="27">
        <f>-'Cash Flow Statement'!K53</f>
        <v>7176</v>
      </c>
      <c r="L35" s="27">
        <f>-'Cash Flow Statement'!L53</f>
        <v>2450</v>
      </c>
    </row>
    <row r="36" spans="1:12">
      <c r="A36" s="6" t="s">
        <v>490</v>
      </c>
      <c r="C36" s="44" t="s">
        <v>484</v>
      </c>
      <c r="D36" s="31">
        <f t="shared" ref="D36:L36" si="9">(D33+D35)/D29</f>
        <v>0.97813901345291476</v>
      </c>
      <c r="E36" s="31">
        <f t="shared" si="9"/>
        <v>0.81332275971451229</v>
      </c>
      <c r="F36" s="31">
        <f t="shared" si="9"/>
        <v>3.5499265785609397</v>
      </c>
      <c r="G36" s="31">
        <f t="shared" si="9"/>
        <v>1.8695945945945946</v>
      </c>
      <c r="H36" s="31">
        <f t="shared" si="9"/>
        <v>0.92220902612826605</v>
      </c>
      <c r="I36" s="31">
        <f t="shared" si="9"/>
        <v>1.2207046541974771</v>
      </c>
      <c r="J36" s="31">
        <f t="shared" si="9"/>
        <v>0.95646925152677176</v>
      </c>
      <c r="K36" s="31">
        <f t="shared" si="9"/>
        <v>2.8821034775233247</v>
      </c>
      <c r="L36" s="31">
        <f t="shared" si="9"/>
        <v>0.58773674651906949</v>
      </c>
    </row>
    <row r="37" spans="1:12">
      <c r="A37" s="14" t="s">
        <v>491</v>
      </c>
      <c r="C37" s="25">
        <f>C25-('Cash Flow Statement'!C26+'Cash Flow Statement'!C27+'Cash Flow Statement'!C28+'Cash Flow Statement'!C29+'Cash Flow Statement'!C30+'Cash Flow Statement'!C31+'Cash Flow Statement'!C32)</f>
        <v>2928</v>
      </c>
      <c r="D37" s="25">
        <f>D25-('Cash Flow Statement'!D26+'Cash Flow Statement'!D27+'Cash Flow Statement'!D28+'Cash Flow Statement'!D29+'Cash Flow Statement'!D30+'Cash Flow Statement'!D31+'Cash Flow Statement'!D32)</f>
        <v>7537</v>
      </c>
      <c r="E37" s="25">
        <f>E25-('Cash Flow Statement'!E26+'Cash Flow Statement'!E27+'Cash Flow Statement'!E28+'Cash Flow Statement'!E29+'Cash Flow Statement'!E30+'Cash Flow Statement'!E31+'Cash Flow Statement'!E32)</f>
        <v>9836</v>
      </c>
      <c r="F37" s="25">
        <f>F25-('Cash Flow Statement'!F26+'Cash Flow Statement'!F27+'Cash Flow Statement'!F28+'Cash Flow Statement'!F29+'Cash Flow Statement'!F30+'Cash Flow Statement'!F31+'Cash Flow Statement'!F32)</f>
        <v>9881</v>
      </c>
      <c r="G37" s="25">
        <f>G25-('Cash Flow Statement'!G26+'Cash Flow Statement'!G27+'Cash Flow Statement'!G28+'Cash Flow Statement'!G29+'Cash Flow Statement'!G30+'Cash Flow Statement'!G31+'Cash Flow Statement'!G32)</f>
        <v>10968</v>
      </c>
      <c r="H37" s="25">
        <f>H25-('Cash Flow Statement'!H26+'Cash Flow Statement'!H27+'Cash Flow Statement'!H28+'Cash Flow Statement'!H29+'Cash Flow Statement'!H30+'Cash Flow Statement'!H31+'Cash Flow Statement'!H32)</f>
        <v>13891</v>
      </c>
      <c r="I37" s="25">
        <f>I25-('Cash Flow Statement'!I26+'Cash Flow Statement'!I27+'Cash Flow Statement'!I28+'Cash Flow Statement'!I29+'Cash Flow Statement'!I30+'Cash Flow Statement'!I31+'Cash Flow Statement'!I32)</f>
        <v>18390</v>
      </c>
      <c r="J37" s="25">
        <f>J25-('Cash Flow Statement'!J26+'Cash Flow Statement'!J27+'Cash Flow Statement'!J28+'Cash Flow Statement'!J29+'Cash Flow Statement'!J30+'Cash Flow Statement'!J31+'Cash Flow Statement'!J32)</f>
        <v>19728</v>
      </c>
      <c r="K37" s="25">
        <f>K25-('Cash Flow Statement'!K26+'Cash Flow Statement'!K27+'Cash Flow Statement'!K28+'Cash Flow Statement'!K29+'Cash Flow Statement'!K30+'Cash Flow Statement'!K31+'Cash Flow Statement'!K32)</f>
        <v>24599</v>
      </c>
      <c r="L37" s="25">
        <f>L25-('Cash Flow Statement'!L26+'Cash Flow Statement'!L27+'Cash Flow Statement'!L28+'Cash Flow Statement'!L29+'Cash Flow Statement'!L30+'Cash Flow Statement'!L31+'Cash Flow Statement'!L32)</f>
        <v>36037</v>
      </c>
    </row>
    <row r="38" spans="1:12">
      <c r="A38" s="6" t="s">
        <v>492</v>
      </c>
      <c r="C38" s="47">
        <f t="shared" ref="C38:L38" si="10">C37/C32</f>
        <v>7.6449086161879896</v>
      </c>
      <c r="D38" s="47">
        <f t="shared" si="10"/>
        <v>17.902612826603324</v>
      </c>
      <c r="E38" s="47">
        <f t="shared" si="10"/>
        <v>22.821345707656612</v>
      </c>
      <c r="F38" s="47">
        <f t="shared" si="10"/>
        <v>23.582338902147971</v>
      </c>
      <c r="G38" s="47">
        <f t="shared" si="10"/>
        <v>26.052256532066508</v>
      </c>
      <c r="H38" s="47">
        <f t="shared" si="10"/>
        <v>32.379953379953378</v>
      </c>
      <c r="I38" s="47">
        <f t="shared" si="10"/>
        <v>43.475177304964539</v>
      </c>
      <c r="J38" s="47">
        <f t="shared" si="10"/>
        <v>46.201405152224822</v>
      </c>
      <c r="K38" s="47">
        <f t="shared" si="10"/>
        <v>5.1483884470489745</v>
      </c>
      <c r="L38" s="47">
        <f t="shared" si="10"/>
        <v>7.425716051926643</v>
      </c>
    </row>
    <row r="40" spans="1:12">
      <c r="A40" s="38" t="s">
        <v>493</v>
      </c>
    </row>
    <row r="41" spans="1:12">
      <c r="A41" s="38" t="s">
        <v>494</v>
      </c>
    </row>
    <row r="42" spans="1:12">
      <c r="A42" s="38" t="s">
        <v>495</v>
      </c>
    </row>
  </sheetData>
  <phoneticPr fontId="1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F8F00"/>
  </sheetPr>
  <dimension ref="A1:E22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F26" sqref="F26"/>
    </sheetView>
  </sheetViews>
  <sheetFormatPr baseColWidth="10" defaultColWidth="8.83203125" defaultRowHeight="14"/>
  <cols>
    <col min="1" max="1" width="46" customWidth="1"/>
    <col min="2" max="2" width="30" customWidth="1"/>
    <col min="3" max="5" width="16" customWidth="1"/>
    <col min="6" max="12" width="12" customWidth="1"/>
  </cols>
  <sheetData>
    <row r="1" spans="1:5" ht="28" customHeight="1">
      <c r="A1" s="35" t="s">
        <v>496</v>
      </c>
      <c r="B1" s="2"/>
      <c r="C1" s="2"/>
      <c r="D1" s="2"/>
      <c r="E1" s="2"/>
    </row>
    <row r="2" spans="1:5">
      <c r="A2" s="3" t="s">
        <v>497</v>
      </c>
    </row>
    <row r="3" spans="1:5" ht="36" customHeight="1">
      <c r="C3" s="48" t="s">
        <v>498</v>
      </c>
      <c r="D3" s="48" t="s">
        <v>499</v>
      </c>
      <c r="E3" s="48" t="s">
        <v>500</v>
      </c>
    </row>
    <row r="4" spans="1:5" hidden="1"/>
    <row r="5" spans="1:5" hidden="1"/>
    <row r="6" spans="1:5" ht="20" customHeight="1">
      <c r="A6" s="5" t="s">
        <v>501</v>
      </c>
      <c r="B6" s="2"/>
      <c r="C6" s="2"/>
      <c r="D6" s="2"/>
      <c r="E6" s="2"/>
    </row>
    <row r="7" spans="1:5">
      <c r="A7" s="38" t="s">
        <v>502</v>
      </c>
    </row>
    <row r="8" spans="1:5">
      <c r="A8" s="6" t="s">
        <v>503</v>
      </c>
      <c r="C8" s="27">
        <v>65584</v>
      </c>
      <c r="D8" s="27">
        <v>96084</v>
      </c>
      <c r="E8" s="27">
        <v>136684</v>
      </c>
    </row>
    <row r="9" spans="1:5">
      <c r="A9" s="6" t="s">
        <v>504</v>
      </c>
      <c r="C9" s="27">
        <v>-1623</v>
      </c>
      <c r="D9" s="27">
        <v>-2490</v>
      </c>
      <c r="E9" s="27">
        <v>-5812</v>
      </c>
    </row>
    <row r="10" spans="1:5">
      <c r="A10" s="14" t="s">
        <v>505</v>
      </c>
      <c r="C10" s="27">
        <v>63961</v>
      </c>
      <c r="D10" s="27">
        <v>93594</v>
      </c>
      <c r="E10" s="27">
        <v>130872</v>
      </c>
    </row>
    <row r="11" spans="1:5">
      <c r="A11" s="6" t="s">
        <v>506</v>
      </c>
      <c r="C11" s="27">
        <v>43103</v>
      </c>
      <c r="D11" s="27">
        <v>61334</v>
      </c>
      <c r="E11" s="27">
        <v>79551</v>
      </c>
    </row>
    <row r="12" spans="1:5">
      <c r="A12" s="6" t="s">
        <v>507</v>
      </c>
      <c r="C12" s="46">
        <v>1.5215646242720919</v>
      </c>
      <c r="D12" s="46">
        <v>1.566569928587733</v>
      </c>
      <c r="E12" s="46">
        <v>1.7181933602343149</v>
      </c>
    </row>
    <row r="13" spans="1:5">
      <c r="A13" s="6" t="s">
        <v>508</v>
      </c>
      <c r="C13" s="46">
        <v>1.48391063267058</v>
      </c>
      <c r="D13" s="46">
        <v>1.525972543776698</v>
      </c>
      <c r="E13" s="46">
        <v>1.6451333107063391</v>
      </c>
    </row>
    <row r="14" spans="1:5">
      <c r="A14" s="6" t="s">
        <v>509</v>
      </c>
      <c r="C14" s="27">
        <v>28601</v>
      </c>
      <c r="D14" s="27">
        <v>41845</v>
      </c>
      <c r="E14" s="27">
        <v>57107</v>
      </c>
    </row>
    <row r="15" spans="1:5">
      <c r="A15" s="6" t="s">
        <v>510</v>
      </c>
      <c r="C15" s="27">
        <v>15450</v>
      </c>
      <c r="D15" s="27">
        <v>22450</v>
      </c>
      <c r="E15" s="27">
        <v>35143</v>
      </c>
    </row>
    <row r="16" spans="1:5">
      <c r="A16" s="6" t="s">
        <v>511</v>
      </c>
      <c r="C16" s="27">
        <v>44051</v>
      </c>
      <c r="D16" s="27">
        <v>64295</v>
      </c>
      <c r="E16" s="27">
        <v>92250</v>
      </c>
    </row>
    <row r="17" spans="1:5">
      <c r="A17" s="6" t="s">
        <v>535</v>
      </c>
      <c r="C17" s="56">
        <f>C14/C11</f>
        <v>0.6635501009210496</v>
      </c>
      <c r="D17" s="56">
        <f t="shared" ref="D17:E17" si="0">D14/D11</f>
        <v>0.68224801904327126</v>
      </c>
      <c r="E17" s="56">
        <f t="shared" si="0"/>
        <v>0.71786652587648181</v>
      </c>
    </row>
    <row r="18" spans="1:5">
      <c r="A18" s="14" t="s">
        <v>512</v>
      </c>
      <c r="C18" s="31">
        <v>1.021993828735819</v>
      </c>
      <c r="D18" s="31">
        <v>1.0482766491668569</v>
      </c>
      <c r="E18" s="31">
        <v>1.159633442697138</v>
      </c>
    </row>
    <row r="19" spans="1:5">
      <c r="A19" s="6" t="s">
        <v>513</v>
      </c>
      <c r="C19" s="31">
        <v>0.68871656165475836</v>
      </c>
      <c r="D19" s="31">
        <v>0.68695642883090802</v>
      </c>
      <c r="E19" s="31">
        <v>0.70488721804511278</v>
      </c>
    </row>
    <row r="21" spans="1:5">
      <c r="A21" s="38" t="s">
        <v>514</v>
      </c>
    </row>
    <row r="22" spans="1:5">
      <c r="A22" s="38" t="s">
        <v>515</v>
      </c>
    </row>
  </sheetData>
  <phoneticPr fontId="14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F8F00"/>
  </sheetPr>
  <dimension ref="A1:E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K49" sqref="K49"/>
    </sheetView>
  </sheetViews>
  <sheetFormatPr baseColWidth="10" defaultColWidth="8.83203125" defaultRowHeight="14"/>
  <cols>
    <col min="1" max="1" width="46" customWidth="1"/>
    <col min="2" max="2" width="30" hidden="1" customWidth="1"/>
    <col min="3" max="3" width="20" hidden="1" customWidth="1"/>
    <col min="4" max="4" width="20" customWidth="1"/>
    <col min="5" max="5" width="46" customWidth="1"/>
    <col min="6" max="12" width="12" customWidth="1"/>
  </cols>
  <sheetData>
    <row r="1" spans="1:5" ht="28" customHeight="1">
      <c r="A1" s="35" t="s">
        <v>516</v>
      </c>
      <c r="B1" s="2"/>
      <c r="C1" s="2"/>
      <c r="D1" s="2"/>
      <c r="E1" s="2"/>
    </row>
    <row r="2" spans="1:5">
      <c r="A2" s="3" t="s">
        <v>517</v>
      </c>
    </row>
    <row r="3" spans="1:5" ht="30" customHeight="1">
      <c r="C3" s="48" t="s">
        <v>518</v>
      </c>
      <c r="D3" s="48" t="s">
        <v>519</v>
      </c>
      <c r="E3" s="48" t="s">
        <v>520</v>
      </c>
    </row>
    <row r="4" spans="1:5" hidden="1"/>
    <row r="5" spans="1:5" hidden="1"/>
    <row r="6" spans="1:5" ht="20" customHeight="1">
      <c r="A6" s="5" t="s">
        <v>521</v>
      </c>
      <c r="B6" s="2"/>
      <c r="C6" s="2"/>
      <c r="D6" s="2"/>
      <c r="E6" s="2"/>
    </row>
    <row r="7" spans="1:5">
      <c r="A7" s="38" t="s">
        <v>522</v>
      </c>
    </row>
    <row r="8" spans="1:5">
      <c r="A8" s="14" t="s">
        <v>461</v>
      </c>
      <c r="C8" s="42">
        <v>0.19109710141606501</v>
      </c>
      <c r="D8" s="31">
        <v>0.21743712435641929</v>
      </c>
      <c r="E8" s="20" t="s">
        <v>523</v>
      </c>
    </row>
    <row r="9" spans="1:5">
      <c r="A9" s="14" t="s">
        <v>524</v>
      </c>
      <c r="C9" s="42">
        <v>0.12213235395960929</v>
      </c>
      <c r="D9" s="31">
        <v>0.14702114027897251</v>
      </c>
      <c r="E9" s="20" t="s">
        <v>523</v>
      </c>
    </row>
    <row r="10" spans="1:5">
      <c r="A10" s="14" t="s">
        <v>525</v>
      </c>
      <c r="C10" s="42">
        <v>0.34475430804260759</v>
      </c>
      <c r="D10" s="31">
        <v>0.44723162988150178</v>
      </c>
      <c r="E10" s="20" t="s">
        <v>526</v>
      </c>
    </row>
    <row r="11" spans="1:5">
      <c r="A11" s="14" t="s">
        <v>442</v>
      </c>
      <c r="C11" s="42">
        <v>0.37748922027636977</v>
      </c>
      <c r="D11" s="31">
        <v>0.50855713077837583</v>
      </c>
      <c r="E11" s="20" t="s">
        <v>526</v>
      </c>
    </row>
    <row r="12" spans="1:5">
      <c r="A12" s="14" t="s">
        <v>527</v>
      </c>
      <c r="C12" s="42">
        <v>0.34389037623976693</v>
      </c>
      <c r="D12" s="31">
        <v>0.43840507919795918</v>
      </c>
      <c r="E12" s="20" t="s">
        <v>523</v>
      </c>
    </row>
    <row r="13" spans="1:5">
      <c r="A13" s="14" t="s">
        <v>528</v>
      </c>
      <c r="C13" s="42">
        <v>0.32169376031282648</v>
      </c>
      <c r="D13" s="31">
        <v>0.26859862866535389</v>
      </c>
      <c r="E13" s="20" t="s">
        <v>523</v>
      </c>
    </row>
    <row r="15" spans="1:5">
      <c r="A15" s="38" t="s">
        <v>529</v>
      </c>
    </row>
    <row r="16" spans="1:5">
      <c r="A16" s="38" t="s">
        <v>530</v>
      </c>
    </row>
    <row r="17" spans="1:1">
      <c r="A17" s="38" t="s">
        <v>531</v>
      </c>
    </row>
  </sheetData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Cover</vt:lpstr>
      <vt:lpstr>Income Statement</vt:lpstr>
      <vt:lpstr>Balance Sheet</vt:lpstr>
      <vt:lpstr>Cash Flow Statement</vt:lpstr>
      <vt:lpstr>Segments</vt:lpstr>
      <vt:lpstr>Geography &amp; Products</vt:lpstr>
      <vt:lpstr>Derived Metrics</vt:lpstr>
      <vt:lpstr>Sources</vt:lpstr>
      <vt:lpstr>Asset Structure</vt:lpstr>
      <vt:lpstr>Net Cash</vt:lpstr>
      <vt:lpstr>Working Capital</vt:lpstr>
      <vt:lpstr>Cash-Flow Attribution</vt:lpstr>
      <vt:lpstr>Yearly Factor Table</vt:lpstr>
      <vt:lpstr>Interval Factor Table</vt:lpstr>
      <vt:lpstr>Growth Factor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e69900</cp:lastModifiedBy>
  <dcterms:created xsi:type="dcterms:W3CDTF">2026-09-22T08:41:23Z</dcterms:created>
  <dcterms:modified xsi:type="dcterms:W3CDTF">2026-09-24T08:55:55Z</dcterms:modified>
</cp:coreProperties>
</file>