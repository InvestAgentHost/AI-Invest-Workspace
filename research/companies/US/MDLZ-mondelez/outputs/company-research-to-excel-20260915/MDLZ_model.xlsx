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come Statement" sheetId="2" state="visible" r:id="rId2"/>
    <sheet xmlns:r="http://schemas.openxmlformats.org/officeDocument/2006/relationships" name="Balance Sheet" sheetId="3" state="visible" r:id="rId3"/>
    <sheet xmlns:r="http://schemas.openxmlformats.org/officeDocument/2006/relationships" name="Cash Flow" sheetId="4" state="visible" r:id="rId4"/>
    <sheet xmlns:r="http://schemas.openxmlformats.org/officeDocument/2006/relationships" name="Segments" sheetId="5" state="visible" r:id="rId5"/>
    <sheet xmlns:r="http://schemas.openxmlformats.org/officeDocument/2006/relationships" name="Geography &amp; Products" sheetId="6" state="visible" r:id="rId6"/>
    <sheet xmlns:r="http://schemas.openxmlformats.org/officeDocument/2006/relationships" name="Derived Metrics" sheetId="7" state="visible" r:id="rId7"/>
    <sheet xmlns:r="http://schemas.openxmlformats.org/officeDocument/2006/relationships" name="Sources" sheetId="8" state="visible" r:id="rId8"/>
  </sheets>
  <definedNames/>
  <calcPr calcId="124519" fullCalcOnLoad="1"/>
</workbook>
</file>

<file path=xl/styles.xml><?xml version="1.0" encoding="utf-8"?>
<styleSheet xmlns="http://schemas.openxmlformats.org/spreadsheetml/2006/main">
  <numFmts count="5">
    <numFmt numFmtId="164" formatCode="#,##0;(#,##0);&quot;-&quot;"/>
    <numFmt numFmtId="165" formatCode="0.0%;(0.0%);&quot;-&quot;"/>
    <numFmt numFmtId="166" formatCode="#,##0.00;(#,##0.00);&quot;-&quot;"/>
    <numFmt numFmtId="167" formatCode="#,##0.0;(#,##0.0);&quot;-&quot;"/>
    <numFmt numFmtId="168" formatCode="0.0&quot;x&quot;;(0.0&quot;x&quot;);&quot;-&quot;"/>
  </numFmts>
  <fonts count="14">
    <font>
      <name val="Calibri"/>
      <family val="2"/>
      <color theme="1"/>
      <sz val="11"/>
      <scheme val="minor"/>
    </font>
    <font>
      <name val="Arial"/>
      <b val="1"/>
      <color rgb="00FFFFFF"/>
      <sz val="14"/>
    </font>
    <font>
      <name val="Arial"/>
      <i val="1"/>
      <color rgb="00808080"/>
      <sz val="9"/>
    </font>
    <font>
      <name val="Arial"/>
      <b val="1"/>
      <sz val="10"/>
    </font>
    <font>
      <name val="Arial"/>
      <color rgb="00333333"/>
      <sz val="10"/>
    </font>
    <font>
      <name val="Arial"/>
      <b val="1"/>
      <color rgb="00333333"/>
      <sz val="10"/>
    </font>
    <font>
      <name val="Arial"/>
      <i val="1"/>
      <color rgb="00808080"/>
      <sz val="8"/>
    </font>
    <font>
      <name val="Arial"/>
      <i val="1"/>
      <color rgb="00999999"/>
      <sz val="9"/>
    </font>
    <font>
      <name val="Arial"/>
      <color rgb="000563C1"/>
      <sz val="9"/>
      <u val="single"/>
    </font>
    <font>
      <name val="Arial"/>
      <b val="1"/>
      <color rgb="00FFFFFF"/>
      <sz val="10"/>
    </font>
    <font>
      <name val="Arial"/>
      <b val="1"/>
      <color rgb="000000CC"/>
      <sz val="10"/>
    </font>
    <font>
      <name val="Arial"/>
      <color rgb="000000CC"/>
      <sz val="10"/>
    </font>
    <font>
      <name val="Arial"/>
      <color rgb="00008000"/>
      <sz val="10"/>
    </font>
    <font>
      <name val="Arial"/>
      <b val="1"/>
      <color rgb="00008000"/>
      <sz val="10"/>
    </font>
  </fonts>
  <fills count="5">
    <fill>
      <patternFill/>
    </fill>
    <fill>
      <patternFill patternType="gray125"/>
    </fill>
    <fill>
      <patternFill patternType="solid">
        <fgColor rgb="001F4E79"/>
      </patternFill>
    </fill>
    <fill>
      <patternFill patternType="solid">
        <fgColor rgb="00D6E4F0"/>
      </patternFill>
    </fill>
    <fill>
      <patternFill patternType="solid">
        <fgColor rgb="00F2F2F2"/>
      </patternFill>
    </fill>
  </fills>
  <borders count="3">
    <border>
      <left/>
      <right/>
      <top/>
      <bottom/>
      <diagonal/>
    </border>
    <border>
      <bottom style="thin">
        <color rgb="00999999"/>
      </bottom>
    </border>
    <border>
      <top style="thin">
        <color rgb="00999999"/>
      </top>
    </border>
  </borders>
  <cellStyleXfs count="1">
    <xf numFmtId="0" fontId="0" fillId="0" borderId="0"/>
  </cellStyleXfs>
  <cellXfs count="35">
    <xf numFmtId="0" fontId="0" fillId="0" borderId="0" pivotButton="0" quotePrefix="0" xfId="0"/>
    <xf numFmtId="0" fontId="1" fillId="2" borderId="0" applyAlignment="1" pivotButton="0" quotePrefix="0" xfId="0">
      <alignment vertical="center"/>
    </xf>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xf>
    <xf numFmtId="0" fontId="7" fillId="4" borderId="0" applyAlignment="1" pivotButton="0" quotePrefix="0" xfId="0">
      <alignment horizontal="center"/>
    </xf>
    <xf numFmtId="0" fontId="6" fillId="0" borderId="0" applyAlignment="1" pivotButton="0" quotePrefix="0" xfId="0">
      <alignment horizontal="center"/>
    </xf>
    <xf numFmtId="0" fontId="0" fillId="4" borderId="0" pivotButton="0" quotePrefix="0" xfId="0"/>
    <xf numFmtId="0" fontId="5" fillId="0" borderId="0" pivotButton="0" quotePrefix="0" xfId="0"/>
    <xf numFmtId="0" fontId="8" fillId="0" borderId="0" applyAlignment="1" pivotButton="0" quotePrefix="0" xfId="0">
      <alignment indent="1"/>
    </xf>
    <xf numFmtId="0" fontId="9" fillId="2" borderId="0" pivotButton="0" quotePrefix="0" xfId="0"/>
    <xf numFmtId="164" fontId="10" fillId="0" borderId="0" applyAlignment="1" pivotButton="0" quotePrefix="0" xfId="0">
      <alignment horizontal="right"/>
    </xf>
    <xf numFmtId="0" fontId="7" fillId="0" borderId="0" pivotButton="0" quotePrefix="0" xfId="0"/>
    <xf numFmtId="165" fontId="7" fillId="0" borderId="0" applyAlignment="1" pivotButton="0" quotePrefix="0" xfId="0">
      <alignment horizontal="right"/>
    </xf>
    <xf numFmtId="0" fontId="4" fillId="0" borderId="0" applyAlignment="1" pivotButton="0" quotePrefix="0" xfId="0">
      <alignment indent="1"/>
    </xf>
    <xf numFmtId="0" fontId="6" fillId="0" borderId="0" applyAlignment="1" pivotButton="0" quotePrefix="0" xfId="0">
      <alignment vertical="top" wrapText="1"/>
    </xf>
    <xf numFmtId="164" fontId="11" fillId="0" borderId="0" applyAlignment="1" pivotButton="0" quotePrefix="0" xfId="0">
      <alignment horizontal="right"/>
    </xf>
    <xf numFmtId="164" fontId="10" fillId="0" borderId="2" applyAlignment="1" pivotButton="0" quotePrefix="0" xfId="0">
      <alignment horizontal="right"/>
    </xf>
    <xf numFmtId="0" fontId="0" fillId="4" borderId="2" pivotButton="0" quotePrefix="0" xfId="0"/>
    <xf numFmtId="166" fontId="10" fillId="0" borderId="0" applyAlignment="1" pivotButton="0" quotePrefix="0" xfId="0">
      <alignment horizontal="right"/>
    </xf>
    <xf numFmtId="166" fontId="11" fillId="0" borderId="0" applyAlignment="1" pivotButton="0" quotePrefix="0" xfId="0">
      <alignment horizontal="right"/>
    </xf>
    <xf numFmtId="164" fontId="7" fillId="0" borderId="0" applyAlignment="1" pivotButton="0" quotePrefix="0" xfId="0">
      <alignment horizontal="right"/>
    </xf>
    <xf numFmtId="164" fontId="5" fillId="0" borderId="0" applyAlignment="1" pivotButton="0" quotePrefix="0" xfId="0">
      <alignment horizontal="right"/>
    </xf>
    <xf numFmtId="167" fontId="7" fillId="0" borderId="0" applyAlignment="1" pivotButton="0" quotePrefix="0" xfId="0">
      <alignment horizontal="right"/>
    </xf>
    <xf numFmtId="0" fontId="7" fillId="0" borderId="0" applyAlignment="1" pivotButton="0" quotePrefix="0" xfId="0">
      <alignment indent="1"/>
    </xf>
    <xf numFmtId="164" fontId="5" fillId="0" borderId="2" applyAlignment="1" pivotButton="0" quotePrefix="0" xfId="0">
      <alignment horizontal="right"/>
    </xf>
    <xf numFmtId="164" fontId="12" fillId="0" borderId="0" applyAlignment="1" pivotButton="0" quotePrefix="0" xfId="0">
      <alignment horizontal="right"/>
    </xf>
    <xf numFmtId="165" fontId="12" fillId="0" borderId="0" applyAlignment="1" pivotButton="0" quotePrefix="0" xfId="0">
      <alignment horizontal="right"/>
    </xf>
    <xf numFmtId="165" fontId="4" fillId="0" borderId="0" applyAlignment="1" pivotButton="0" quotePrefix="0" xfId="0">
      <alignment horizontal="right"/>
    </xf>
    <xf numFmtId="168" fontId="4" fillId="0" borderId="0" applyAlignment="1" pivotButton="0" quotePrefix="0" xfId="0">
      <alignment horizontal="right"/>
    </xf>
    <xf numFmtId="164" fontId="4" fillId="0" borderId="0" applyAlignment="1" pivotButton="0" quotePrefix="0" xfId="0">
      <alignment horizontal="right"/>
    </xf>
    <xf numFmtId="167" fontId="12" fillId="0" borderId="0" applyAlignment="1" pivotButton="0" quotePrefix="0" xfId="0">
      <alignment horizontal="right"/>
    </xf>
    <xf numFmtId="167" fontId="13" fillId="0" borderId="0" applyAlignment="1" pivotButton="0" quotePrefix="0" xfId="0">
      <alignment horizontal="right"/>
    </xf>
  </cellXfs>
  <cellStyles count="1">
    <cellStyle name="Normal" xfId="0" builtinId="0" hidden="0"/>
  </cellStyles>
  <dxfs count="1">
    <dxf>
      <font>
        <name val="Arial"/>
        <b val="1"/>
        <color rgb="00FF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H19"/>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60" customWidth="1" min="2" max="2"/>
  </cols>
  <sheetData>
    <row r="1" ht="28" customHeight="1">
      <c r="A1" s="1" t="inlineStr">
        <is>
          <t>Mondelez International, Inc. — Cover</t>
        </is>
      </c>
      <c r="B1" s="2" t="n"/>
      <c r="C1" s="2" t="n"/>
      <c r="D1" s="2" t="n"/>
      <c r="E1" s="2" t="n"/>
      <c r="F1" s="2" t="n"/>
      <c r="G1" s="2" t="n"/>
      <c r="H1" s="2" t="n"/>
    </row>
    <row r="2" ht="16" customHeight="1">
      <c r="A2" s="3" t="inlineStr">
        <is>
          <t>$ in millions except per-share data  |  USD  |  as of 2026-09-15</t>
        </is>
      </c>
    </row>
    <row r="4">
      <c r="A4" s="4" t="inlineStr">
        <is>
          <t>Mondelez International, Inc.</t>
        </is>
      </c>
    </row>
    <row r="5">
      <c r="A5" t="inlineStr">
        <is>
          <t>Financial Model — Historical As-Reported Statements</t>
        </is>
      </c>
    </row>
    <row r="7">
      <c r="A7" s="5" t="inlineStr">
        <is>
          <t>Ticker</t>
        </is>
      </c>
      <c r="B7" s="5" t="inlineStr">
        <is>
          <t>MDLZ</t>
        </is>
      </c>
    </row>
    <row r="8">
      <c r="A8" s="5" t="inlineStr">
        <is>
          <t>CIK</t>
        </is>
      </c>
      <c r="B8" s="5" t="inlineStr">
        <is>
          <t>0001103982</t>
        </is>
      </c>
    </row>
    <row r="9">
      <c r="A9" s="5" t="inlineStr">
        <is>
          <t>Exchange</t>
        </is>
      </c>
      <c r="B9" s="5" t="inlineStr">
        <is>
          <t>Nasdaq</t>
        </is>
      </c>
    </row>
    <row r="10">
      <c r="A10" s="5" t="inlineStr">
        <is>
          <t>Fiscal Year End</t>
        </is>
      </c>
      <c r="B10" s="5" t="inlineStr">
        <is>
          <t>December 31</t>
        </is>
      </c>
    </row>
    <row r="11">
      <c r="A11" s="5" t="inlineStr">
        <is>
          <t>Currency / Units</t>
        </is>
      </c>
      <c r="B11" s="5" t="inlineStr">
        <is>
          <t>USD, $ in millions except per-share data</t>
        </is>
      </c>
    </row>
    <row r="12">
      <c r="A12" s="5" t="inlineStr">
        <is>
          <t>Reporting Framework</t>
        </is>
      </c>
      <c r="B12" s="5" t="inlineStr">
        <is>
          <t>US GAAP</t>
        </is>
      </c>
    </row>
    <row r="14">
      <c r="A14" s="5" t="inlineStr">
        <is>
          <t>Annual periods covered</t>
        </is>
      </c>
      <c r="B14" s="5" t="inlineStr">
        <is>
          <t>FY2016 - FY2025 (10 fiscal years)</t>
        </is>
      </c>
    </row>
    <row r="15">
      <c r="A15" s="5" t="inlineStr">
        <is>
          <t>Quarterly periods covered</t>
        </is>
      </c>
      <c r="B15" s="5" t="inlineStr">
        <is>
          <t>3Q2024, 1Q2025, 2Q2025, 3Q2025, 1Q2026, 2Q2026</t>
        </is>
      </c>
    </row>
    <row r="16">
      <c r="A16" s="5" t="inlineStr">
        <is>
          <t>Model date</t>
        </is>
      </c>
      <c r="B16" s="5" t="inlineStr">
        <is>
          <t>2026-09-15</t>
        </is>
      </c>
    </row>
    <row r="18">
      <c r="A18" s="4" t="inlineStr">
        <is>
          <t>Scope note</t>
        </is>
      </c>
    </row>
    <row r="19">
      <c r="A19" t="inlineStr">
        <is>
          <t>This workbook is a mechanical financial model / data-prep artifact built directly from SEC filings (10-K and 10-Q source HTML). It contains no valuation opinion, price target, investment thesis, or buy/sell/hold recommendation.</t>
        </is>
      </c>
    </row>
  </sheetData>
  <pageMargins left="0.75" right="0.75" top="1" bottom="1" header="0.5" footer="0.5"/>
</worksheet>
</file>

<file path=xl/worksheets/sheet2.xml><?xml version="1.0" encoding="utf-8"?>
<worksheet xmlns="http://schemas.openxmlformats.org/spreadsheetml/2006/main">
  <sheetPr>
    <tabColor rgb="001F4E79"/>
    <outlinePr summaryBelow="1" summaryRight="1"/>
    <pageSetUpPr/>
  </sheetPr>
  <dimension ref="A1:U52"/>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6.5"/>
  <cols>
    <col width="46" customWidth="1" min="1" max="1"/>
    <col hidden="1" outlineLevel="1"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9" customWidth="1" min="13" max="13"/>
    <col width="9" customWidth="1" min="14" max="14"/>
    <col width="9" customWidth="1" min="15" max="15"/>
    <col width="12" customWidth="1" min="16" max="16"/>
    <col width="12" customWidth="1" min="17" max="17"/>
    <col width="12" customWidth="1" min="18" max="18"/>
    <col width="12" customWidth="1" min="19" max="19"/>
    <col width="12" customWidth="1" min="20" max="20"/>
    <col width="12" customWidth="1" min="21" max="21"/>
  </cols>
  <sheetData>
    <row r="1" ht="28" customHeight="1">
      <c r="A1" s="1" t="inlineStr">
        <is>
          <t>Mondelez International, Inc. — Income Statement</t>
        </is>
      </c>
      <c r="B1" s="2" t="n"/>
      <c r="C1" s="2" t="n"/>
      <c r="D1" s="2" t="n"/>
      <c r="E1" s="2" t="n"/>
      <c r="F1" s="2" t="n"/>
      <c r="G1" s="2" t="n"/>
      <c r="H1" s="2" t="n"/>
      <c r="I1" s="2" t="n"/>
      <c r="J1" s="2" t="n"/>
      <c r="K1" s="2" t="n"/>
      <c r="L1" s="2" t="n"/>
      <c r="M1" s="2" t="n"/>
      <c r="N1" s="2" t="n"/>
      <c r="O1" s="2" t="n"/>
      <c r="P1" s="2" t="n"/>
      <c r="Q1" s="2" t="n"/>
      <c r="R1" s="2" t="n"/>
      <c r="S1" s="2" t="n"/>
      <c r="T1" s="2" t="n"/>
      <c r="U1" s="2" t="n"/>
    </row>
    <row r="2" ht="16" customHeight="1">
      <c r="A2" s="3" t="inlineStr">
        <is>
          <t>$ in millions except per-share data  |  USD  |  as of 2026-09-15</t>
        </is>
      </c>
    </row>
    <row r="3">
      <c r="C3" s="6" t="inlineStr">
        <is>
          <t>FY2016</t>
        </is>
      </c>
      <c r="D3" s="6" t="inlineStr">
        <is>
          <t>FY2017</t>
        </is>
      </c>
      <c r="E3" s="6" t="inlineStr">
        <is>
          <t>FY2018</t>
        </is>
      </c>
      <c r="F3" s="6" t="inlineStr">
        <is>
          <t>FY2019</t>
        </is>
      </c>
      <c r="G3" s="6" t="inlineStr">
        <is>
          <t>FY2020</t>
        </is>
      </c>
      <c r="H3" s="6" t="inlineStr">
        <is>
          <t>FY2021</t>
        </is>
      </c>
      <c r="I3" s="6" t="inlineStr">
        <is>
          <t>FY2022</t>
        </is>
      </c>
      <c r="J3" s="6" t="inlineStr">
        <is>
          <t>FY2023</t>
        </is>
      </c>
      <c r="K3" s="6" t="inlineStr">
        <is>
          <t>FY2024</t>
        </is>
      </c>
      <c r="L3" s="6" t="inlineStr">
        <is>
          <t>FY2025</t>
        </is>
      </c>
      <c r="M3" s="7" t="inlineStr">
        <is>
          <t>·</t>
        </is>
      </c>
      <c r="N3" s="7" t="inlineStr">
        <is>
          <t>·</t>
        </is>
      </c>
      <c r="O3" s="7" t="inlineStr">
        <is>
          <t>·</t>
        </is>
      </c>
      <c r="P3" s="6" t="inlineStr">
        <is>
          <t>3Q2024</t>
        </is>
      </c>
      <c r="Q3" s="6" t="inlineStr">
        <is>
          <t>1Q2025</t>
        </is>
      </c>
      <c r="R3" s="6" t="inlineStr">
        <is>
          <t>2Q2025</t>
        </is>
      </c>
      <c r="S3" s="6" t="inlineStr">
        <is>
          <t>3Q2025</t>
        </is>
      </c>
      <c r="T3" s="6" t="inlineStr">
        <is>
          <t>1Q2026</t>
        </is>
      </c>
      <c r="U3" s="6" t="inlineStr">
        <is>
          <t>2Q2026</t>
        </is>
      </c>
    </row>
    <row r="4">
      <c r="C4" s="8" t="inlineStr">
        <is>
          <t>2016-12-31</t>
        </is>
      </c>
      <c r="D4" s="8" t="inlineStr">
        <is>
          <t>2017-12-31</t>
        </is>
      </c>
      <c r="E4" s="8" t="inlineStr">
        <is>
          <t>2018-12-31</t>
        </is>
      </c>
      <c r="F4" s="8" t="inlineStr">
        <is>
          <t>2019-12-31</t>
        </is>
      </c>
      <c r="G4" s="8" t="inlineStr">
        <is>
          <t>2020-12-31</t>
        </is>
      </c>
      <c r="H4" s="8" t="inlineStr">
        <is>
          <t>2021-12-31</t>
        </is>
      </c>
      <c r="I4" s="8" t="inlineStr">
        <is>
          <t>2022-12-31</t>
        </is>
      </c>
      <c r="J4" s="8" t="inlineStr">
        <is>
          <t>2023-12-31</t>
        </is>
      </c>
      <c r="K4" s="8" t="inlineStr">
        <is>
          <t>2024-12-31</t>
        </is>
      </c>
      <c r="L4" s="8" t="inlineStr">
        <is>
          <t>2025-12-31</t>
        </is>
      </c>
      <c r="M4" s="9" t="n"/>
      <c r="N4" s="9" t="n"/>
      <c r="O4" s="9" t="n"/>
      <c r="P4" s="8" t="inlineStr">
        <is>
          <t>2024-09-30</t>
        </is>
      </c>
      <c r="Q4" s="8" t="inlineStr">
        <is>
          <t>2025-03-31</t>
        </is>
      </c>
      <c r="R4" s="8" t="inlineStr">
        <is>
          <t>2025-06-30</t>
        </is>
      </c>
      <c r="S4" s="8" t="inlineStr">
        <is>
          <t>2025-09-30</t>
        </is>
      </c>
      <c r="T4" s="8" t="inlineStr">
        <is>
          <t>2026-03-31</t>
        </is>
      </c>
      <c r="U4" s="8" t="inlineStr">
        <is>
          <t>2026-06-30</t>
        </is>
      </c>
    </row>
    <row r="5">
      <c r="M5" s="9" t="n"/>
      <c r="N5" s="9" t="n"/>
      <c r="O5" s="9" t="n"/>
    </row>
    <row r="6">
      <c r="A6" s="10" t="inlineStr">
        <is>
          <t>CONTENTS</t>
        </is>
      </c>
      <c r="M6" s="9" t="n"/>
      <c r="N6" s="9" t="n"/>
      <c r="O6" s="9" t="n"/>
    </row>
    <row r="7">
      <c r="A7" s="11">
        <f>HYPERLINK("#'Income Statement'!A11","1. INCOME STATEMENT — AS REPORTED")</f>
        <v/>
      </c>
      <c r="M7" s="9" t="n"/>
      <c r="N7" s="9" t="n"/>
      <c r="O7" s="9" t="n"/>
    </row>
    <row r="8">
      <c r="A8" s="11">
        <f>HYPERLINK("#'Income Statement'!A40","2. EPS &amp; SHARE COUNT")</f>
        <v/>
      </c>
      <c r="M8" s="9" t="n"/>
      <c r="N8" s="9" t="n"/>
      <c r="O8" s="9" t="n"/>
    </row>
    <row r="9">
      <c r="A9" s="11">
        <f>HYPERLINK("#'Income Statement'!A48","3. CHECKS")</f>
        <v/>
      </c>
      <c r="M9" s="9" t="n"/>
      <c r="N9" s="9" t="n"/>
      <c r="O9" s="9" t="n"/>
    </row>
    <row r="10" ht="8" customHeight="1">
      <c r="M10" s="9" t="n"/>
      <c r="N10" s="9" t="n"/>
      <c r="O10" s="9" t="n"/>
    </row>
    <row r="11" ht="20" customHeight="1">
      <c r="A11" s="12" t="inlineStr">
        <is>
          <t>1. INCOME STATEMENT — AS REPORTED</t>
        </is>
      </c>
      <c r="B11" s="2" t="n"/>
      <c r="C11" s="2" t="n"/>
      <c r="D11" s="2" t="n"/>
      <c r="E11" s="2" t="n"/>
      <c r="F11" s="2" t="n"/>
      <c r="G11" s="2" t="n"/>
      <c r="H11" s="2" t="n"/>
      <c r="I11" s="2" t="n"/>
      <c r="J11" s="2" t="n"/>
      <c r="K11" s="2" t="n"/>
      <c r="L11" s="2" t="n"/>
      <c r="M11" s="9" t="n"/>
      <c r="N11" s="9" t="n"/>
      <c r="O11" s="9" t="n"/>
      <c r="P11" s="2" t="n"/>
      <c r="Q11" s="2" t="n"/>
      <c r="R11" s="2" t="n"/>
      <c r="S11" s="2" t="n"/>
      <c r="T11" s="2" t="n"/>
      <c r="U11" s="2" t="n"/>
    </row>
    <row r="12">
      <c r="A12" s="10" t="inlineStr">
        <is>
          <t>Net revenues</t>
        </is>
      </c>
      <c r="C12" s="13" t="n">
        <v>25923</v>
      </c>
      <c r="D12" s="13" t="n">
        <v>25896</v>
      </c>
      <c r="E12" s="13" t="n">
        <v>25938</v>
      </c>
      <c r="F12" s="13" t="n">
        <v>25868</v>
      </c>
      <c r="G12" s="13" t="n">
        <v>26581</v>
      </c>
      <c r="H12" s="13" t="n">
        <v>28720</v>
      </c>
      <c r="I12" s="13" t="n">
        <v>31496</v>
      </c>
      <c r="J12" s="13" t="n">
        <v>36016</v>
      </c>
      <c r="K12" s="13" t="n">
        <v>36441</v>
      </c>
      <c r="L12" s="13" t="n">
        <v>38537</v>
      </c>
      <c r="M12" s="9" t="n"/>
      <c r="N12" s="9" t="n"/>
      <c r="O12" s="9" t="n"/>
      <c r="P12" s="13" t="n">
        <v>9204</v>
      </c>
      <c r="Q12" s="13" t="n">
        <v>9313</v>
      </c>
      <c r="R12" s="13" t="n">
        <v>8984</v>
      </c>
      <c r="S12" s="13" t="n">
        <v>9744</v>
      </c>
      <c r="T12" s="13" t="n">
        <v>10080</v>
      </c>
      <c r="U12" s="13" t="n">
        <v>9355</v>
      </c>
    </row>
    <row r="13">
      <c r="A13" s="14" t="inlineStr">
        <is>
          <t xml:space="preserve">  YoY Growth</t>
        </is>
      </c>
      <c r="D13" s="15">
        <f>IF(N(C12)=0,"",D12/C12-1)</f>
        <v/>
      </c>
      <c r="E13" s="15">
        <f>IF(N(D12)=0,"",E12/D12-1)</f>
        <v/>
      </c>
      <c r="F13" s="15">
        <f>IF(N(E12)=0,"",F12/E12-1)</f>
        <v/>
      </c>
      <c r="G13" s="15">
        <f>IF(N(F12)=0,"",G12/F12-1)</f>
        <v/>
      </c>
      <c r="H13" s="15">
        <f>IF(N(G12)=0,"",H12/G12-1)</f>
        <v/>
      </c>
      <c r="I13" s="15">
        <f>IF(N(H12)=0,"",I12/H12-1)</f>
        <v/>
      </c>
      <c r="J13" s="15">
        <f>IF(N(I12)=0,"",J12/I12-1)</f>
        <v/>
      </c>
      <c r="K13" s="15">
        <f>IF(N(J12)=0,"",K12/J12-1)</f>
        <v/>
      </c>
      <c r="L13" s="15">
        <f>IF(N(K12)=0,"",L12/K12-1)</f>
        <v/>
      </c>
      <c r="M13" s="9" t="n"/>
      <c r="N13" s="9" t="n"/>
      <c r="O13" s="9" t="n"/>
      <c r="T13" s="15">
        <f>IF(N(P12)=0,"",T12/P12-1)</f>
        <v/>
      </c>
      <c r="U13" s="15">
        <f>IF(N(Q12)=0,"",U12/Q12-1)</f>
        <v/>
      </c>
    </row>
    <row r="14">
      <c r="A14" s="16" t="inlineStr">
        <is>
          <t>Cost of sales</t>
        </is>
      </c>
      <c r="B14" s="17" t="inlineStr">
        <is>
          <t>FY2016-22 sign-flipped from filed positive-subtract convention to true economic sign; FY2023-25 &amp; quarters filed additive</t>
        </is>
      </c>
      <c r="C14" s="18" t="n">
        <v>-15795</v>
      </c>
      <c r="D14" s="18" t="n">
        <v>-15831</v>
      </c>
      <c r="E14" s="18" t="n">
        <v>-15586</v>
      </c>
      <c r="F14" s="18" t="n">
        <v>-15531</v>
      </c>
      <c r="G14" s="18" t="n">
        <v>-16135</v>
      </c>
      <c r="H14" s="18" t="n">
        <v>-17466</v>
      </c>
      <c r="I14" s="18" t="n">
        <v>-20184</v>
      </c>
      <c r="J14" s="18" t="n">
        <v>-22252</v>
      </c>
      <c r="K14" s="18" t="n">
        <v>-22184</v>
      </c>
      <c r="L14" s="18" t="n">
        <v>-27602</v>
      </c>
      <c r="M14" s="9" t="n"/>
      <c r="N14" s="9" t="n"/>
      <c r="O14" s="9" t="n"/>
      <c r="P14" s="18" t="n">
        <v>-6205</v>
      </c>
      <c r="Q14" s="18" t="n">
        <v>-6883</v>
      </c>
      <c r="R14" s="18" t="n">
        <v>-6047</v>
      </c>
      <c r="S14" s="18" t="n">
        <v>-7132</v>
      </c>
      <c r="T14" s="18" t="n">
        <v>-7277</v>
      </c>
      <c r="U14" s="18" t="n">
        <v>-5369</v>
      </c>
    </row>
    <row r="15">
      <c r="A15" s="10" t="inlineStr">
        <is>
          <t>Gross profit</t>
        </is>
      </c>
      <c r="C15" s="19" t="n">
        <v>10128</v>
      </c>
      <c r="D15" s="19" t="n">
        <v>10065</v>
      </c>
      <c r="E15" s="19" t="n">
        <v>10352</v>
      </c>
      <c r="F15" s="19" t="n">
        <v>10337</v>
      </c>
      <c r="G15" s="19" t="n">
        <v>10446</v>
      </c>
      <c r="H15" s="19" t="n">
        <v>11254</v>
      </c>
      <c r="I15" s="19" t="n">
        <v>11312</v>
      </c>
      <c r="J15" s="19" t="n">
        <v>13764</v>
      </c>
      <c r="K15" s="19" t="n">
        <v>14257</v>
      </c>
      <c r="L15" s="19" t="n">
        <v>10935</v>
      </c>
      <c r="M15" s="20" t="n"/>
      <c r="N15" s="20" t="n"/>
      <c r="O15" s="20" t="n"/>
      <c r="P15" s="19" t="n">
        <v>2999</v>
      </c>
      <c r="Q15" s="19" t="n">
        <v>2430</v>
      </c>
      <c r="R15" s="19" t="n">
        <v>2937</v>
      </c>
      <c r="S15" s="19" t="n">
        <v>2612</v>
      </c>
      <c r="T15" s="19" t="n">
        <v>2803</v>
      </c>
      <c r="U15" s="19" t="n">
        <v>3986</v>
      </c>
    </row>
    <row r="16">
      <c r="A16" s="14" t="inlineStr">
        <is>
          <t xml:space="preserve">  Gross Margin</t>
        </is>
      </c>
      <c r="C16" s="15">
        <f>C15/C12</f>
        <v/>
      </c>
      <c r="D16" s="15">
        <f>D15/D12</f>
        <v/>
      </c>
      <c r="E16" s="15">
        <f>E15/E12</f>
        <v/>
      </c>
      <c r="F16" s="15">
        <f>F15/F12</f>
        <v/>
      </c>
      <c r="G16" s="15">
        <f>G15/G12</f>
        <v/>
      </c>
      <c r="H16" s="15">
        <f>H15/H12</f>
        <v/>
      </c>
      <c r="I16" s="15">
        <f>I15/I12</f>
        <v/>
      </c>
      <c r="J16" s="15">
        <f>J15/J12</f>
        <v/>
      </c>
      <c r="K16" s="15">
        <f>K15/K12</f>
        <v/>
      </c>
      <c r="L16" s="15">
        <f>L15/L12</f>
        <v/>
      </c>
      <c r="M16" s="9" t="n"/>
      <c r="N16" s="9" t="n"/>
      <c r="O16" s="9" t="n"/>
      <c r="P16" s="15">
        <f>P15/P12</f>
        <v/>
      </c>
      <c r="Q16" s="15">
        <f>Q15/Q12</f>
        <v/>
      </c>
      <c r="R16" s="15">
        <f>R15/R12</f>
        <v/>
      </c>
      <c r="S16" s="15">
        <f>S15/S12</f>
        <v/>
      </c>
      <c r="T16" s="15">
        <f>T15/T12</f>
        <v/>
      </c>
      <c r="U16" s="15">
        <f>U15/U12</f>
        <v/>
      </c>
    </row>
    <row r="17">
      <c r="M17" s="9" t="n"/>
      <c r="N17" s="9" t="n"/>
      <c r="O17" s="9" t="n"/>
    </row>
    <row r="18">
      <c r="A18" s="16" t="inlineStr">
        <is>
          <t>Selling, general and administrative expenses</t>
        </is>
      </c>
      <c r="C18" s="18" t="n">
        <v>-6540</v>
      </c>
      <c r="D18" s="18" t="n">
        <v>-5911</v>
      </c>
      <c r="E18" s="18" t="n">
        <v>-6475</v>
      </c>
      <c r="F18" s="18" t="n">
        <v>-6136</v>
      </c>
      <c r="G18" s="18" t="n">
        <v>-6098</v>
      </c>
      <c r="H18" s="18" t="n">
        <v>-6263</v>
      </c>
      <c r="I18" s="18" t="n">
        <v>-7384</v>
      </c>
      <c r="J18" s="18" t="n">
        <v>-8002</v>
      </c>
      <c r="K18" s="18" t="n">
        <v>-7439</v>
      </c>
      <c r="L18" s="18" t="n">
        <v>-7173</v>
      </c>
      <c r="M18" s="9" t="n"/>
      <c r="N18" s="9" t="n"/>
      <c r="O18" s="9" t="n"/>
      <c r="P18" s="18" t="n">
        <v>-1630</v>
      </c>
      <c r="Q18" s="18" t="n">
        <v>-1711</v>
      </c>
      <c r="R18" s="18" t="n">
        <v>-1725</v>
      </c>
      <c r="S18" s="18" t="n">
        <v>-1795</v>
      </c>
      <c r="T18" s="18" t="n">
        <v>-1916</v>
      </c>
      <c r="U18" s="18" t="n">
        <v>-2001</v>
      </c>
    </row>
    <row r="19">
      <c r="A19" s="16" t="inlineStr">
        <is>
          <t>Asset impairment and exit costs</t>
        </is>
      </c>
      <c r="C19" s="18" t="n">
        <v>-852</v>
      </c>
      <c r="D19" s="18" t="n">
        <v>-656</v>
      </c>
      <c r="E19" s="18" t="n">
        <v>-389</v>
      </c>
      <c r="F19" s="18" t="n">
        <v>-228</v>
      </c>
      <c r="G19" s="18" t="n">
        <v>-301</v>
      </c>
      <c r="H19" s="18" t="n">
        <v>-212</v>
      </c>
      <c r="I19" s="18" t="n">
        <v>-262</v>
      </c>
      <c r="J19" s="18" t="n">
        <v>-217</v>
      </c>
      <c r="K19" s="18" t="n">
        <v>-324</v>
      </c>
      <c r="L19" s="18" t="n">
        <v>-85</v>
      </c>
      <c r="M19" s="9" t="n"/>
      <c r="N19" s="9" t="n"/>
      <c r="O19" s="9" t="n"/>
      <c r="P19" s="18" t="n">
        <v>-176</v>
      </c>
      <c r="Q19" s="18" t="n">
        <v>-2</v>
      </c>
      <c r="R19" s="18" t="n">
        <v>-2</v>
      </c>
      <c r="S19" s="18" t="n">
        <v>-41</v>
      </c>
      <c r="T19" s="18" t="n">
        <v>-53</v>
      </c>
      <c r="U19" s="18" t="n">
        <v>-13</v>
      </c>
    </row>
    <row r="20">
      <c r="A20" s="16" t="inlineStr">
        <is>
          <t>Gain on divestitures and acquisitions, net</t>
        </is>
      </c>
      <c r="C20" s="18" t="n">
        <v>9</v>
      </c>
      <c r="D20" s="18" t="n">
        <v>186</v>
      </c>
      <c r="F20" s="18" t="n">
        <v>44</v>
      </c>
      <c r="H20" s="18" t="n">
        <v>8</v>
      </c>
      <c r="J20" s="18" t="n">
        <v>108</v>
      </c>
      <c r="K20" s="18" t="n">
        <v>4</v>
      </c>
      <c r="L20" s="18" t="n">
        <v>13</v>
      </c>
      <c r="M20" s="9" t="n"/>
      <c r="N20" s="9" t="n"/>
      <c r="O20" s="9" t="n"/>
      <c r="T20" s="18" t="n">
        <v>1</v>
      </c>
    </row>
    <row r="21">
      <c r="A21" s="16" t="inlineStr">
        <is>
          <t>Amortization of intangible assets</t>
        </is>
      </c>
      <c r="C21" s="18" t="n">
        <v>-176</v>
      </c>
      <c r="D21" s="18" t="n">
        <v>-178</v>
      </c>
      <c r="E21" s="18" t="n">
        <v>-176</v>
      </c>
      <c r="F21" s="18" t="n">
        <v>-174</v>
      </c>
      <c r="G21" s="18" t="n">
        <v>-194</v>
      </c>
      <c r="H21" s="18" t="n">
        <v>-134</v>
      </c>
      <c r="I21" s="18" t="n">
        <v>-132</v>
      </c>
      <c r="J21" s="18" t="n">
        <v>-151</v>
      </c>
      <c r="K21" s="18" t="n">
        <v>-153</v>
      </c>
      <c r="L21" s="18" t="n">
        <v>-142</v>
      </c>
      <c r="M21" s="9" t="n"/>
      <c r="N21" s="9" t="n"/>
      <c r="O21" s="9" t="n"/>
      <c r="P21" s="18" t="n">
        <v>-40</v>
      </c>
      <c r="Q21" s="18" t="n">
        <v>-37</v>
      </c>
      <c r="R21" s="18" t="n">
        <v>-38</v>
      </c>
      <c r="S21" s="18" t="n">
        <v>-32</v>
      </c>
      <c r="T21" s="18" t="n">
        <v>-27</v>
      </c>
      <c r="U21" s="18" t="n">
        <v>-26</v>
      </c>
    </row>
    <row r="22">
      <c r="A22" s="10" t="inlineStr">
        <is>
          <t>Operating income</t>
        </is>
      </c>
      <c r="C22" s="19" t="n">
        <v>2569</v>
      </c>
      <c r="D22" s="19" t="n">
        <v>3506</v>
      </c>
      <c r="E22" s="19" t="n">
        <v>3312</v>
      </c>
      <c r="F22" s="19" t="n">
        <v>3843</v>
      </c>
      <c r="G22" s="19" t="n">
        <v>3853</v>
      </c>
      <c r="H22" s="19" t="n">
        <v>4653</v>
      </c>
      <c r="I22" s="19" t="n">
        <v>3534</v>
      </c>
      <c r="J22" s="19" t="n">
        <v>5502</v>
      </c>
      <c r="K22" s="19" t="n">
        <v>6345</v>
      </c>
      <c r="L22" s="19" t="n">
        <v>3548</v>
      </c>
      <c r="M22" s="20" t="n"/>
      <c r="N22" s="20" t="n"/>
      <c r="O22" s="20" t="n"/>
      <c r="P22" s="19" t="n">
        <v>1153</v>
      </c>
      <c r="Q22" s="19" t="n">
        <v>680</v>
      </c>
      <c r="R22" s="19" t="n">
        <v>1172</v>
      </c>
      <c r="S22" s="19" t="n">
        <v>744</v>
      </c>
      <c r="T22" s="19" t="n">
        <v>808</v>
      </c>
      <c r="U22" s="19" t="n">
        <v>1946</v>
      </c>
    </row>
    <row r="23">
      <c r="A23" s="14" t="inlineStr">
        <is>
          <t xml:space="preserve">  Operating Margin</t>
        </is>
      </c>
      <c r="C23" s="15">
        <f>C22/C12</f>
        <v/>
      </c>
      <c r="D23" s="15">
        <f>D22/D12</f>
        <v/>
      </c>
      <c r="E23" s="15">
        <f>E22/E12</f>
        <v/>
      </c>
      <c r="F23" s="15">
        <f>F22/F12</f>
        <v/>
      </c>
      <c r="G23" s="15">
        <f>G22/G12</f>
        <v/>
      </c>
      <c r="H23" s="15">
        <f>H22/H12</f>
        <v/>
      </c>
      <c r="I23" s="15">
        <f>I22/I12</f>
        <v/>
      </c>
      <c r="J23" s="15">
        <f>J22/J12</f>
        <v/>
      </c>
      <c r="K23" s="15">
        <f>K22/K12</f>
        <v/>
      </c>
      <c r="L23" s="15">
        <f>L22/L12</f>
        <v/>
      </c>
      <c r="M23" s="9" t="n"/>
      <c r="N23" s="9" t="n"/>
      <c r="O23" s="9" t="n"/>
      <c r="P23" s="15">
        <f>P22/P12</f>
        <v/>
      </c>
      <c r="Q23" s="15">
        <f>Q22/Q12</f>
        <v/>
      </c>
      <c r="R23" s="15">
        <f>R22/R12</f>
        <v/>
      </c>
      <c r="S23" s="15">
        <f>S22/S12</f>
        <v/>
      </c>
      <c r="T23" s="15">
        <f>T22/T12</f>
        <v/>
      </c>
      <c r="U23" s="15">
        <f>U22/U12</f>
        <v/>
      </c>
    </row>
    <row r="24">
      <c r="A24" s="14" t="inlineStr">
        <is>
          <t xml:space="preserve">  YoY Growth</t>
        </is>
      </c>
      <c r="D24" s="15">
        <f>IF(N(C22)=0,"",D22/C22-1)</f>
        <v/>
      </c>
      <c r="E24" s="15">
        <f>IF(N(D22)=0,"",E22/D22-1)</f>
        <v/>
      </c>
      <c r="F24" s="15">
        <f>IF(N(E22)=0,"",F22/E22-1)</f>
        <v/>
      </c>
      <c r="G24" s="15">
        <f>IF(N(F22)=0,"",G22/F22-1)</f>
        <v/>
      </c>
      <c r="H24" s="15">
        <f>IF(N(G22)=0,"",H22/G22-1)</f>
        <v/>
      </c>
      <c r="I24" s="15">
        <f>IF(N(H22)=0,"",I22/H22-1)</f>
        <v/>
      </c>
      <c r="J24" s="15">
        <f>IF(N(I22)=0,"",J22/I22-1)</f>
        <v/>
      </c>
      <c r="K24" s="15">
        <f>IF(N(J22)=0,"",K22/J22-1)</f>
        <v/>
      </c>
      <c r="L24" s="15">
        <f>IF(N(K22)=0,"",L22/K22-1)</f>
        <v/>
      </c>
      <c r="M24" s="9" t="n"/>
      <c r="N24" s="9" t="n"/>
      <c r="O24" s="9" t="n"/>
      <c r="T24" s="15">
        <f>IF(N(P22)=0,"",T22/P22-1)</f>
        <v/>
      </c>
      <c r="U24" s="15">
        <f>IF(N(Q22)=0,"",U22/Q22-1)</f>
        <v/>
      </c>
    </row>
    <row r="25">
      <c r="M25" s="9" t="n"/>
      <c r="N25" s="9" t="n"/>
      <c r="O25" s="9" t="n"/>
    </row>
    <row r="26">
      <c r="A26" s="16" t="inlineStr">
        <is>
          <t>Benefit plan non-service income/(expense)</t>
        </is>
      </c>
      <c r="B26" s="17" t="inlineStr">
        <is>
          <t>Line does not exist in FY2016-2017 filings</t>
        </is>
      </c>
      <c r="E26" s="18" t="n">
        <v>50</v>
      </c>
      <c r="F26" s="18" t="n">
        <v>60</v>
      </c>
      <c r="G26" s="18" t="n">
        <v>138</v>
      </c>
      <c r="H26" s="18" t="n">
        <v>163</v>
      </c>
      <c r="I26" s="18" t="n">
        <v>117</v>
      </c>
      <c r="J26" s="18" t="n">
        <v>82</v>
      </c>
      <c r="K26" s="18" t="n">
        <v>96</v>
      </c>
      <c r="L26" s="18" t="n">
        <v>-252</v>
      </c>
      <c r="M26" s="9" t="n"/>
      <c r="N26" s="9" t="n"/>
      <c r="O26" s="9" t="n"/>
      <c r="P26" s="18" t="n">
        <v>25</v>
      </c>
      <c r="Q26" s="18" t="n">
        <v>18</v>
      </c>
      <c r="R26" s="18" t="n">
        <v>-264</v>
      </c>
      <c r="S26" s="18" t="n">
        <v>-27</v>
      </c>
      <c r="T26" s="18" t="n">
        <v>31</v>
      </c>
      <c r="U26" s="18" t="n">
        <v>27</v>
      </c>
    </row>
    <row r="27">
      <c r="A27" s="16" t="inlineStr">
        <is>
          <t>Interest and other expense, net</t>
        </is>
      </c>
      <c r="C27" s="18" t="n">
        <v>-1115</v>
      </c>
      <c r="D27" s="18" t="n">
        <v>-382</v>
      </c>
      <c r="E27" s="18" t="n">
        <v>-520</v>
      </c>
      <c r="F27" s="18" t="n">
        <v>-456</v>
      </c>
      <c r="G27" s="18" t="n">
        <v>-608</v>
      </c>
      <c r="H27" s="18" t="n">
        <v>-447</v>
      </c>
      <c r="I27" s="18" t="n">
        <v>-423</v>
      </c>
      <c r="J27" s="18" t="n">
        <v>-310</v>
      </c>
      <c r="K27" s="18" t="n">
        <v>-180</v>
      </c>
      <c r="L27" s="18" t="n">
        <v>-282</v>
      </c>
      <c r="M27" s="9" t="n"/>
      <c r="N27" s="9" t="n"/>
      <c r="O27" s="9" t="n"/>
      <c r="P27" s="18" t="n">
        <v>-46</v>
      </c>
      <c r="Q27" s="18" t="n">
        <v>-153</v>
      </c>
      <c r="R27" s="18" t="n">
        <v>-53</v>
      </c>
      <c r="S27" s="18" t="n">
        <v>-22</v>
      </c>
      <c r="T27" s="18" t="n">
        <v>-64</v>
      </c>
      <c r="U27" s="18" t="n">
        <v>-74</v>
      </c>
    </row>
    <row r="28">
      <c r="A28" s="16" t="inlineStr">
        <is>
          <t>Gain on marketable securities</t>
        </is>
      </c>
      <c r="B28" s="17" t="inlineStr">
        <is>
          <t>One-time item, FY2023 only (JDE Peet's share sale)</t>
        </is>
      </c>
      <c r="J28" s="18" t="n">
        <v>606</v>
      </c>
      <c r="M28" s="9" t="n"/>
      <c r="N28" s="9" t="n"/>
      <c r="O28" s="9" t="n"/>
    </row>
    <row r="29">
      <c r="A29" s="10" t="inlineStr">
        <is>
          <t>Earnings before income taxes</t>
        </is>
      </c>
      <c r="C29" s="19" t="n">
        <v>1454</v>
      </c>
      <c r="D29" s="19" t="n">
        <v>3124</v>
      </c>
      <c r="E29" s="19" t="n">
        <v>2842</v>
      </c>
      <c r="F29" s="19" t="n">
        <v>3447</v>
      </c>
      <c r="G29" s="19" t="n">
        <v>3383</v>
      </c>
      <c r="H29" s="19" t="n">
        <v>4369</v>
      </c>
      <c r="I29" s="19" t="n">
        <v>3228</v>
      </c>
      <c r="J29" s="19" t="n">
        <v>5880</v>
      </c>
      <c r="K29" s="19" t="n">
        <v>6261</v>
      </c>
      <c r="L29" s="19" t="n">
        <v>3014</v>
      </c>
      <c r="M29" s="20" t="n"/>
      <c r="N29" s="20" t="n"/>
      <c r="O29" s="20" t="n"/>
      <c r="P29" s="19" t="n">
        <v>1132</v>
      </c>
      <c r="Q29" s="19" t="n">
        <v>545</v>
      </c>
      <c r="R29" s="19" t="n">
        <v>855</v>
      </c>
      <c r="S29" s="19" t="n">
        <v>695</v>
      </c>
      <c r="T29" s="19" t="n">
        <v>775</v>
      </c>
      <c r="U29" s="19" t="n">
        <v>1899</v>
      </c>
    </row>
    <row r="30">
      <c r="A30" s="16" t="inlineStr">
        <is>
          <t>Income tax provision</t>
        </is>
      </c>
      <c r="C30" s="18" t="n">
        <v>-129</v>
      </c>
      <c r="D30" s="18" t="n">
        <v>-688</v>
      </c>
      <c r="E30" s="18" t="n">
        <v>-773</v>
      </c>
      <c r="F30" s="18" t="n">
        <v>-2</v>
      </c>
      <c r="G30" s="18" t="n">
        <v>-1224</v>
      </c>
      <c r="H30" s="18" t="n">
        <v>-1190</v>
      </c>
      <c r="I30" s="18" t="n">
        <v>-865</v>
      </c>
      <c r="J30" s="18" t="n">
        <v>-1537</v>
      </c>
      <c r="K30" s="18" t="n">
        <v>-1469</v>
      </c>
      <c r="L30" s="18" t="n">
        <v>-782</v>
      </c>
      <c r="M30" s="9" t="n"/>
      <c r="N30" s="9" t="n"/>
      <c r="O30" s="9" t="n"/>
      <c r="P30" s="18" t="n">
        <v>-326</v>
      </c>
      <c r="Q30" s="18" t="n">
        <v>-154</v>
      </c>
      <c r="R30" s="18" t="n">
        <v>-230</v>
      </c>
      <c r="S30" s="18" t="n">
        <v>-137</v>
      </c>
      <c r="T30" s="18" t="n">
        <v>-228</v>
      </c>
      <c r="U30" s="18" t="n">
        <v>-364</v>
      </c>
    </row>
    <row r="31">
      <c r="A31" s="14" t="inlineStr">
        <is>
          <t xml:space="preserve">  Effective Tax Rate</t>
        </is>
      </c>
      <c r="C31" s="15">
        <f>0-C30/C29</f>
        <v/>
      </c>
      <c r="D31" s="15">
        <f>0-D30/D29</f>
        <v/>
      </c>
      <c r="E31" s="15">
        <f>0-E30/E29</f>
        <v/>
      </c>
      <c r="F31" s="15">
        <f>0-F30/F29</f>
        <v/>
      </c>
      <c r="G31" s="15">
        <f>0-G30/G29</f>
        <v/>
      </c>
      <c r="H31" s="15">
        <f>0-H30/H29</f>
        <v/>
      </c>
      <c r="I31" s="15">
        <f>0-I30/I29</f>
        <v/>
      </c>
      <c r="J31" s="15">
        <f>0-J30/J29</f>
        <v/>
      </c>
      <c r="K31" s="15">
        <f>0-K30/K29</f>
        <v/>
      </c>
      <c r="L31" s="15">
        <f>0-L30/L29</f>
        <v/>
      </c>
      <c r="M31" s="9" t="n"/>
      <c r="N31" s="9" t="n"/>
      <c r="O31" s="9" t="n"/>
      <c r="P31" s="15">
        <f>0-P30/P29</f>
        <v/>
      </c>
      <c r="Q31" s="15">
        <f>0-Q30/Q29</f>
        <v/>
      </c>
      <c r="R31" s="15">
        <f>0-R30/R29</f>
        <v/>
      </c>
      <c r="S31" s="15">
        <f>0-S30/S29</f>
        <v/>
      </c>
      <c r="T31" s="15">
        <f>0-T30/T29</f>
        <v/>
      </c>
      <c r="U31" s="15">
        <f>0-U30/U29</f>
        <v/>
      </c>
    </row>
    <row r="32">
      <c r="A32" s="16" t="inlineStr">
        <is>
          <t>Gain/(loss) on equity method investment transactions</t>
        </is>
      </c>
      <c r="B32" s="17" t="inlineStr">
        <is>
          <t>FY2024 value (-337) recovered from FY2025 10-K comparative column; corrupted in FY2024 filing's own raw table extraction</t>
        </is>
      </c>
      <c r="C32" s="18" t="n">
        <v>43</v>
      </c>
      <c r="D32" s="18" t="n">
        <v>40</v>
      </c>
      <c r="E32" s="18" t="n">
        <v>778</v>
      </c>
      <c r="F32" s="18" t="n">
        <v>-2</v>
      </c>
      <c r="G32" s="18" t="n">
        <v>989</v>
      </c>
      <c r="H32" s="18" t="n">
        <v>742</v>
      </c>
      <c r="I32" s="18" t="n">
        <v>-22</v>
      </c>
      <c r="J32" s="18" t="n">
        <v>465</v>
      </c>
      <c r="K32" s="18" t="n">
        <v>-337</v>
      </c>
      <c r="L32" s="18" t="n">
        <v>169</v>
      </c>
      <c r="M32" s="9" t="n"/>
      <c r="N32" s="9" t="n"/>
      <c r="O32" s="9" t="n"/>
      <c r="P32" s="18" t="n">
        <v>-4</v>
      </c>
      <c r="S32" s="18" t="n">
        <v>169</v>
      </c>
      <c r="T32" s="18" t="n">
        <v>-3</v>
      </c>
    </row>
    <row r="33">
      <c r="A33" s="16" t="inlineStr">
        <is>
          <t>Equity method investment net earnings</t>
        </is>
      </c>
      <c r="C33" s="18" t="n">
        <v>301</v>
      </c>
      <c r="D33" s="18" t="n">
        <v>460</v>
      </c>
      <c r="E33" s="18" t="n">
        <v>548</v>
      </c>
      <c r="F33" s="18" t="n">
        <v>442</v>
      </c>
      <c r="G33" s="18" t="n">
        <v>421</v>
      </c>
      <c r="H33" s="18" t="n">
        <v>393</v>
      </c>
      <c r="I33" s="18" t="n">
        <v>385</v>
      </c>
      <c r="J33" s="18" t="n">
        <v>160</v>
      </c>
      <c r="K33" s="18" t="n">
        <v>168</v>
      </c>
      <c r="L33" s="18" t="n">
        <v>65</v>
      </c>
      <c r="M33" s="9" t="n"/>
      <c r="N33" s="9" t="n"/>
      <c r="O33" s="9" t="n"/>
      <c r="P33" s="18" t="n">
        <v>54</v>
      </c>
      <c r="Q33" s="18" t="n">
        <v>16</v>
      </c>
      <c r="R33" s="18" t="n">
        <v>19</v>
      </c>
      <c r="S33" s="18" t="n">
        <v>19</v>
      </c>
      <c r="T33" s="18" t="n">
        <v>20</v>
      </c>
      <c r="U33" s="18" t="n">
        <v>17</v>
      </c>
    </row>
    <row r="34">
      <c r="A34" s="10" t="inlineStr">
        <is>
          <t>Net earnings</t>
        </is>
      </c>
      <c r="C34" s="19" t="n">
        <v>1669</v>
      </c>
      <c r="D34" s="19" t="n">
        <v>2936</v>
      </c>
      <c r="E34" s="19" t="n">
        <v>3395</v>
      </c>
      <c r="F34" s="19" t="n">
        <v>3885</v>
      </c>
      <c r="G34" s="19" t="n">
        <v>3569</v>
      </c>
      <c r="H34" s="19" t="n">
        <v>4314</v>
      </c>
      <c r="I34" s="19" t="n">
        <v>2726</v>
      </c>
      <c r="J34" s="19" t="n">
        <v>4968</v>
      </c>
      <c r="K34" s="19" t="n">
        <v>4623</v>
      </c>
      <c r="L34" s="19" t="n">
        <v>2466</v>
      </c>
      <c r="M34" s="20" t="n"/>
      <c r="N34" s="20" t="n"/>
      <c r="O34" s="20" t="n"/>
      <c r="P34" s="19" t="n">
        <v>856</v>
      </c>
      <c r="Q34" s="19" t="n">
        <v>407</v>
      </c>
      <c r="R34" s="19" t="n">
        <v>644</v>
      </c>
      <c r="S34" s="19" t="n">
        <v>746</v>
      </c>
      <c r="T34" s="19" t="n">
        <v>564</v>
      </c>
      <c r="U34" s="19" t="n">
        <v>1552</v>
      </c>
    </row>
    <row r="35">
      <c r="A35" s="14" t="inlineStr">
        <is>
          <t xml:space="preserve">  Net Margin</t>
        </is>
      </c>
      <c r="C35" s="15">
        <f>C34/C12</f>
        <v/>
      </c>
      <c r="D35" s="15">
        <f>D34/D12</f>
        <v/>
      </c>
      <c r="E35" s="15">
        <f>E34/E12</f>
        <v/>
      </c>
      <c r="F35" s="15">
        <f>F34/F12</f>
        <v/>
      </c>
      <c r="G35" s="15">
        <f>G34/G12</f>
        <v/>
      </c>
      <c r="H35" s="15">
        <f>H34/H12</f>
        <v/>
      </c>
      <c r="I35" s="15">
        <f>I34/I12</f>
        <v/>
      </c>
      <c r="J35" s="15">
        <f>J34/J12</f>
        <v/>
      </c>
      <c r="K35" s="15">
        <f>K34/K12</f>
        <v/>
      </c>
      <c r="L35" s="15">
        <f>L34/L12</f>
        <v/>
      </c>
      <c r="M35" s="9" t="n"/>
      <c r="N35" s="9" t="n"/>
      <c r="O35" s="9" t="n"/>
      <c r="P35" s="15">
        <f>P34/P12</f>
        <v/>
      </c>
      <c r="Q35" s="15">
        <f>Q34/Q12</f>
        <v/>
      </c>
      <c r="R35" s="15">
        <f>R34/R12</f>
        <v/>
      </c>
      <c r="S35" s="15">
        <f>S34/S12</f>
        <v/>
      </c>
      <c r="T35" s="15">
        <f>T34/T12</f>
        <v/>
      </c>
      <c r="U35" s="15">
        <f>U34/U12</f>
        <v/>
      </c>
    </row>
    <row r="36">
      <c r="A36" s="16" t="inlineStr">
        <is>
          <t>Noncontrolling interest earnings</t>
        </is>
      </c>
      <c r="C36" s="18" t="n">
        <v>-10</v>
      </c>
      <c r="D36" s="18" t="n">
        <v>-14</v>
      </c>
      <c r="E36" s="18" t="n">
        <v>-14</v>
      </c>
      <c r="F36" s="18" t="n">
        <v>-15</v>
      </c>
      <c r="G36" s="18" t="n">
        <v>-14</v>
      </c>
      <c r="H36" s="18" t="n">
        <v>-14</v>
      </c>
      <c r="I36" s="18" t="n">
        <v>-9</v>
      </c>
      <c r="J36" s="18" t="n">
        <v>-9</v>
      </c>
      <c r="K36" s="18" t="n">
        <v>-12</v>
      </c>
      <c r="L36" s="18" t="n">
        <v>-15</v>
      </c>
      <c r="M36" s="9" t="n"/>
      <c r="N36" s="9" t="n"/>
      <c r="O36" s="9" t="n"/>
      <c r="P36" s="18" t="n">
        <v>-3</v>
      </c>
      <c r="Q36" s="18" t="n">
        <v>-5</v>
      </c>
      <c r="R36" s="18" t="n">
        <v>-3</v>
      </c>
      <c r="S36" s="18" t="n">
        <v>-3</v>
      </c>
      <c r="T36" s="18" t="n">
        <v>-4</v>
      </c>
      <c r="U36" s="18" t="n">
        <v>-4</v>
      </c>
    </row>
    <row r="37">
      <c r="A37" s="10" t="inlineStr">
        <is>
          <t>Net earnings attributable to Mondelez International</t>
        </is>
      </c>
      <c r="C37" s="19" t="n">
        <v>1659</v>
      </c>
      <c r="D37" s="19" t="n">
        <v>2922</v>
      </c>
      <c r="E37" s="19" t="n">
        <v>3381</v>
      </c>
      <c r="F37" s="19" t="n">
        <v>3870</v>
      </c>
      <c r="G37" s="19" t="n">
        <v>3555</v>
      </c>
      <c r="H37" s="19" t="n">
        <v>4300</v>
      </c>
      <c r="I37" s="19" t="n">
        <v>2717</v>
      </c>
      <c r="J37" s="19" t="n">
        <v>4959</v>
      </c>
      <c r="K37" s="19" t="n">
        <v>4611</v>
      </c>
      <c r="L37" s="19" t="n">
        <v>2451</v>
      </c>
      <c r="M37" s="20" t="n"/>
      <c r="N37" s="20" t="n"/>
      <c r="O37" s="20" t="n"/>
      <c r="P37" s="19" t="n">
        <v>853</v>
      </c>
      <c r="Q37" s="19" t="n">
        <v>402</v>
      </c>
      <c r="R37" s="19" t="n">
        <v>641</v>
      </c>
      <c r="S37" s="19" t="n">
        <v>743</v>
      </c>
      <c r="T37" s="19" t="n">
        <v>560</v>
      </c>
      <c r="U37" s="19" t="n">
        <v>1548</v>
      </c>
    </row>
    <row r="38">
      <c r="A38" s="14" t="inlineStr">
        <is>
          <t xml:space="preserve">  YoY Growth</t>
        </is>
      </c>
      <c r="D38" s="15">
        <f>IF(N(C37)=0,"",D37/C37-1)</f>
        <v/>
      </c>
      <c r="E38" s="15">
        <f>IF(N(D37)=0,"",E37/D37-1)</f>
        <v/>
      </c>
      <c r="F38" s="15">
        <f>IF(N(E37)=0,"",F37/E37-1)</f>
        <v/>
      </c>
      <c r="G38" s="15">
        <f>IF(N(F37)=0,"",G37/F37-1)</f>
        <v/>
      </c>
      <c r="H38" s="15">
        <f>IF(N(G37)=0,"",H37/G37-1)</f>
        <v/>
      </c>
      <c r="I38" s="15">
        <f>IF(N(H37)=0,"",I37/H37-1)</f>
        <v/>
      </c>
      <c r="J38" s="15">
        <f>IF(N(I37)=0,"",J37/I37-1)</f>
        <v/>
      </c>
      <c r="K38" s="15">
        <f>IF(N(J37)=0,"",K37/J37-1)</f>
        <v/>
      </c>
      <c r="L38" s="15">
        <f>IF(N(K37)=0,"",L37/K37-1)</f>
        <v/>
      </c>
      <c r="M38" s="9" t="n"/>
      <c r="N38" s="9" t="n"/>
      <c r="O38" s="9" t="n"/>
      <c r="T38" s="15">
        <f>IF(N(P37)=0,"",T37/P37-1)</f>
        <v/>
      </c>
      <c r="U38" s="15">
        <f>IF(N(Q37)=0,"",U37/Q37-1)</f>
        <v/>
      </c>
    </row>
    <row r="39" ht="8" customHeight="1">
      <c r="M39" s="9" t="n"/>
      <c r="N39" s="9" t="n"/>
      <c r="O39" s="9" t="n"/>
    </row>
    <row r="40" ht="20" customHeight="1">
      <c r="A40" s="12" t="inlineStr">
        <is>
          <t>2. EPS &amp; SHARE COUNT</t>
        </is>
      </c>
      <c r="B40" s="2" t="n"/>
      <c r="C40" s="2" t="n"/>
      <c r="D40" s="2" t="n"/>
      <c r="E40" s="2" t="n"/>
      <c r="F40" s="2" t="n"/>
      <c r="G40" s="2" t="n"/>
      <c r="H40" s="2" t="n"/>
      <c r="I40" s="2" t="n"/>
      <c r="J40" s="2" t="n"/>
      <c r="K40" s="2" t="n"/>
      <c r="L40" s="2" t="n"/>
      <c r="M40" s="9" t="n"/>
      <c r="N40" s="9" t="n"/>
      <c r="O40" s="9" t="n"/>
      <c r="P40" s="2" t="n"/>
      <c r="Q40" s="2" t="n"/>
      <c r="R40" s="2" t="n"/>
      <c r="S40" s="2" t="n"/>
      <c r="T40" s="2" t="n"/>
      <c r="U40" s="2" t="n"/>
    </row>
    <row r="41">
      <c r="A41" s="10" t="inlineStr">
        <is>
          <t>Basic EPS</t>
        </is>
      </c>
      <c r="C41" s="21" t="n">
        <v>1.07</v>
      </c>
      <c r="D41" s="21" t="n">
        <v>1.93</v>
      </c>
      <c r="E41" s="21" t="n">
        <v>2.3</v>
      </c>
      <c r="F41" s="21" t="n">
        <v>2.68</v>
      </c>
      <c r="G41" s="21" t="n">
        <v>2.48</v>
      </c>
      <c r="H41" s="21" t="n">
        <v>3.06</v>
      </c>
      <c r="I41" s="21" t="n">
        <v>1.97</v>
      </c>
      <c r="J41" s="21" t="n">
        <v>3.64</v>
      </c>
      <c r="K41" s="21" t="n">
        <v>3.44</v>
      </c>
      <c r="L41" s="21" t="n">
        <v>1.89</v>
      </c>
      <c r="M41" s="9" t="n"/>
      <c r="N41" s="9" t="n"/>
      <c r="O41" s="9" t="n"/>
      <c r="P41" s="21" t="n">
        <v>0.64</v>
      </c>
      <c r="Q41" s="21" t="n">
        <v>0.31</v>
      </c>
      <c r="R41" s="21" t="n">
        <v>0.49</v>
      </c>
      <c r="S41" s="21" t="n">
        <v>0.57</v>
      </c>
      <c r="T41" s="21" t="n">
        <v>0.44</v>
      </c>
      <c r="U41" s="21" t="n">
        <v>1.21</v>
      </c>
    </row>
    <row r="42">
      <c r="A42" s="10" t="inlineStr">
        <is>
          <t>Diluted EPS</t>
        </is>
      </c>
      <c r="C42" s="21" t="n">
        <v>1.05</v>
      </c>
      <c r="D42" s="21" t="n">
        <v>1.91</v>
      </c>
      <c r="E42" s="21" t="n">
        <v>2.28</v>
      </c>
      <c r="F42" s="21" t="n">
        <v>2.65</v>
      </c>
      <c r="G42" s="21" t="n">
        <v>2.47</v>
      </c>
      <c r="H42" s="21" t="n">
        <v>3.04</v>
      </c>
      <c r="I42" s="21" t="n">
        <v>1.96</v>
      </c>
      <c r="J42" s="21" t="n">
        <v>3.62</v>
      </c>
      <c r="K42" s="21" t="n">
        <v>3.42</v>
      </c>
      <c r="L42" s="21" t="n">
        <v>1.89</v>
      </c>
      <c r="M42" s="9" t="n"/>
      <c r="N42" s="9" t="n"/>
      <c r="O42" s="9" t="n"/>
      <c r="P42" s="21" t="n">
        <v>0.63</v>
      </c>
      <c r="Q42" s="21" t="n">
        <v>0.31</v>
      </c>
      <c r="R42" s="21" t="n">
        <v>0.49</v>
      </c>
      <c r="S42" s="21" t="n">
        <v>0.57</v>
      </c>
      <c r="T42" s="21" t="n">
        <v>0.44</v>
      </c>
      <c r="U42" s="21" t="n">
        <v>1.2</v>
      </c>
    </row>
    <row r="43">
      <c r="A43" s="14" t="inlineStr">
        <is>
          <t xml:space="preserve">  YoY Growth</t>
        </is>
      </c>
      <c r="D43" s="15">
        <f>IF(N(C42)=0,"",D42/C42-1)</f>
        <v/>
      </c>
      <c r="E43" s="15">
        <f>IF(N(D42)=0,"",E42/D42-1)</f>
        <v/>
      </c>
      <c r="F43" s="15">
        <f>IF(N(E42)=0,"",F42/E42-1)</f>
        <v/>
      </c>
      <c r="G43" s="15">
        <f>IF(N(F42)=0,"",G42/F42-1)</f>
        <v/>
      </c>
      <c r="H43" s="15">
        <f>IF(N(G42)=0,"",H42/G42-1)</f>
        <v/>
      </c>
      <c r="I43" s="15">
        <f>IF(N(H42)=0,"",I42/H42-1)</f>
        <v/>
      </c>
      <c r="J43" s="15">
        <f>IF(N(I42)=0,"",J42/I42-1)</f>
        <v/>
      </c>
      <c r="K43" s="15">
        <f>IF(N(J42)=0,"",K42/J42-1)</f>
        <v/>
      </c>
      <c r="L43" s="15">
        <f>IF(N(K42)=0,"",L42/K42-1)</f>
        <v/>
      </c>
      <c r="M43" s="9" t="n"/>
      <c r="N43" s="9" t="n"/>
      <c r="O43" s="9" t="n"/>
      <c r="T43" s="15">
        <f>IF(N(P42)=0,"",T42/P42-1)</f>
        <v/>
      </c>
      <c r="U43" s="15">
        <f>IF(N(Q42)=0,"",U42/Q42-1)</f>
        <v/>
      </c>
    </row>
    <row r="44">
      <c r="A44" s="5" t="inlineStr">
        <is>
          <t>Weighted Avg Shares — Basic</t>
        </is>
      </c>
      <c r="C44" s="18" t="n">
        <v>1556</v>
      </c>
      <c r="D44" s="18" t="n">
        <v>1513</v>
      </c>
      <c r="E44" s="18" t="n">
        <v>1472</v>
      </c>
      <c r="F44" s="18" t="n">
        <v>1445</v>
      </c>
      <c r="G44" s="18" t="n">
        <v>1431</v>
      </c>
      <c r="H44" s="18" t="n">
        <v>1403</v>
      </c>
      <c r="I44" s="18" t="n">
        <v>1378</v>
      </c>
      <c r="J44" s="18" t="n">
        <v>1363</v>
      </c>
      <c r="K44" s="18" t="n">
        <v>1341</v>
      </c>
      <c r="L44" s="18" t="n">
        <v>1294</v>
      </c>
      <c r="M44" s="9" t="n"/>
      <c r="N44" s="9" t="n"/>
      <c r="O44" s="9" t="n"/>
      <c r="P44" s="18" t="n">
        <v>1339</v>
      </c>
      <c r="Q44" s="18" t="n">
        <v>1301</v>
      </c>
      <c r="R44" s="18" t="n">
        <v>1295</v>
      </c>
      <c r="S44" s="18" t="n">
        <v>1293</v>
      </c>
      <c r="T44" s="18" t="n">
        <v>1283</v>
      </c>
      <c r="U44" s="18" t="n">
        <v>1284</v>
      </c>
    </row>
    <row r="45">
      <c r="A45" s="5" t="inlineStr">
        <is>
          <t>Weighted Avg Shares — Diluted</t>
        </is>
      </c>
      <c r="C45" s="18" t="n">
        <v>1573</v>
      </c>
      <c r="D45" s="18" t="n">
        <v>1531</v>
      </c>
      <c r="E45" s="18" t="n">
        <v>1486</v>
      </c>
      <c r="F45" s="18" t="n">
        <v>1458</v>
      </c>
      <c r="G45" s="18" t="n">
        <v>1441</v>
      </c>
      <c r="H45" s="18" t="n">
        <v>1413</v>
      </c>
      <c r="I45" s="18" t="n">
        <v>1385</v>
      </c>
      <c r="J45" s="18" t="n">
        <v>1370</v>
      </c>
      <c r="K45" s="18" t="n">
        <v>1347</v>
      </c>
      <c r="L45" s="18" t="n">
        <v>1298</v>
      </c>
      <c r="M45" s="9" t="n"/>
      <c r="N45" s="9" t="n"/>
      <c r="O45" s="9" t="n"/>
      <c r="P45" s="18" t="n">
        <v>1344</v>
      </c>
      <c r="Q45" s="18" t="n">
        <v>1305</v>
      </c>
      <c r="R45" s="18" t="n">
        <v>1299</v>
      </c>
      <c r="S45" s="18" t="n">
        <v>1296</v>
      </c>
      <c r="T45" s="18" t="n">
        <v>1286</v>
      </c>
      <c r="U45" s="18" t="n">
        <v>1287</v>
      </c>
    </row>
    <row r="46">
      <c r="A46" s="5" t="inlineStr">
        <is>
          <t>Dividends declared per share</t>
        </is>
      </c>
      <c r="B46" s="17" t="inlineStr">
        <is>
          <t>Quarterly dividend-per-share not separately tabulated by collector; annual only</t>
        </is>
      </c>
      <c r="C46" s="22" t="n">
        <v>0.72</v>
      </c>
      <c r="D46" s="22" t="n">
        <v>0.82</v>
      </c>
      <c r="E46" s="22" t="n">
        <v>0.96</v>
      </c>
      <c r="F46" s="22" t="n">
        <v>1.09</v>
      </c>
      <c r="G46" s="22" t="n">
        <v>1.2</v>
      </c>
      <c r="H46" s="22" t="n">
        <v>1.33</v>
      </c>
      <c r="I46" s="22" t="n">
        <v>1.47</v>
      </c>
      <c r="J46" s="22" t="n">
        <v>1.62</v>
      </c>
      <c r="K46" s="22" t="n">
        <v>1.79</v>
      </c>
      <c r="L46" s="22" t="n">
        <v>1.94</v>
      </c>
      <c r="M46" s="9" t="n"/>
      <c r="N46" s="9" t="n"/>
      <c r="O46" s="9" t="n"/>
    </row>
    <row r="47" ht="8" customHeight="1">
      <c r="M47" s="9" t="n"/>
      <c r="N47" s="9" t="n"/>
      <c r="O47" s="9" t="n"/>
    </row>
    <row r="48" ht="20" customHeight="1">
      <c r="A48" s="12" t="inlineStr">
        <is>
          <t>3. CHECKS</t>
        </is>
      </c>
      <c r="B48" s="2" t="n"/>
      <c r="C48" s="2" t="n"/>
      <c r="D48" s="2" t="n"/>
      <c r="E48" s="2" t="n"/>
      <c r="F48" s="2" t="n"/>
      <c r="G48" s="2" t="n"/>
      <c r="H48" s="2" t="n"/>
      <c r="I48" s="2" t="n"/>
      <c r="J48" s="2" t="n"/>
      <c r="K48" s="2" t="n"/>
      <c r="L48" s="2" t="n"/>
      <c r="M48" s="9" t="n"/>
      <c r="N48" s="9" t="n"/>
      <c r="O48" s="9" t="n"/>
      <c r="P48" s="2" t="n"/>
      <c r="Q48" s="2" t="n"/>
      <c r="R48" s="2" t="n"/>
      <c r="S48" s="2" t="n"/>
      <c r="T48" s="2" t="n"/>
      <c r="U48" s="2" t="n"/>
    </row>
    <row r="49">
      <c r="A49" s="14" t="inlineStr">
        <is>
          <t>Gross Profit Check (should be ~0)</t>
        </is>
      </c>
      <c r="C49" s="23">
        <f>C12+C14-C15</f>
        <v/>
      </c>
      <c r="D49" s="23">
        <f>D12+D14-D15</f>
        <v/>
      </c>
      <c r="E49" s="23">
        <f>E12+E14-E15</f>
        <v/>
      </c>
      <c r="F49" s="23">
        <f>F12+F14-F15</f>
        <v/>
      </c>
      <c r="G49" s="23">
        <f>G12+G14-G15</f>
        <v/>
      </c>
      <c r="H49" s="23">
        <f>H12+H14-H15</f>
        <v/>
      </c>
      <c r="I49" s="23">
        <f>I12+I14-I15</f>
        <v/>
      </c>
      <c r="J49" s="23">
        <f>J12+J14-J15</f>
        <v/>
      </c>
      <c r="K49" s="23">
        <f>K12+K14-K15</f>
        <v/>
      </c>
      <c r="L49" s="23">
        <f>L12+L14-L15</f>
        <v/>
      </c>
      <c r="M49" s="9" t="n"/>
      <c r="N49" s="9" t="n"/>
      <c r="O49" s="9" t="n"/>
      <c r="P49" s="23">
        <f>P12+P14-P15</f>
        <v/>
      </c>
      <c r="Q49" s="23">
        <f>Q12+Q14-Q15</f>
        <v/>
      </c>
      <c r="R49" s="23">
        <f>R12+R14-R15</f>
        <v/>
      </c>
      <c r="S49" s="23">
        <f>S12+S14-S15</f>
        <v/>
      </c>
      <c r="T49" s="23">
        <f>T12+T14-T15</f>
        <v/>
      </c>
      <c r="U49" s="23">
        <f>U12+U14-U15</f>
        <v/>
      </c>
    </row>
    <row r="50">
      <c r="A50" s="14" t="inlineStr">
        <is>
          <t>Operating Income Check (should be ~0)</t>
        </is>
      </c>
      <c r="C50" s="23">
        <f>C15+C18+C19+C20+C21-C22</f>
        <v/>
      </c>
      <c r="D50" s="23">
        <f>D15+D18+D19+D20+D21-D22</f>
        <v/>
      </c>
      <c r="E50" s="23">
        <f>E15+E18+E19+E20+E21-E22</f>
        <v/>
      </c>
      <c r="F50" s="23">
        <f>F15+F18+F19+F20+F21-F22</f>
        <v/>
      </c>
      <c r="G50" s="23">
        <f>G15+G18+G19+G20+G21-G22</f>
        <v/>
      </c>
      <c r="H50" s="23">
        <f>H15+H18+H19+H20+H21-H22</f>
        <v/>
      </c>
      <c r="I50" s="23">
        <f>I15+I18+I19+I20+I21-I22</f>
        <v/>
      </c>
      <c r="J50" s="23">
        <f>J15+J18+J19+J20+J21-J22</f>
        <v/>
      </c>
      <c r="K50" s="23">
        <f>K15+K18+K19+K20+K21-K22</f>
        <v/>
      </c>
      <c r="L50" s="23">
        <f>L15+L18+L19+L20+L21-L22</f>
        <v/>
      </c>
      <c r="M50" s="9" t="n"/>
      <c r="N50" s="9" t="n"/>
      <c r="O50" s="9" t="n"/>
      <c r="P50" s="23">
        <f>P15+P18+P19+P20+P21-P22</f>
        <v/>
      </c>
      <c r="Q50" s="23">
        <f>Q15+Q18+Q19+Q20+Q21-Q22</f>
        <v/>
      </c>
      <c r="R50" s="23">
        <f>R15+R18+R19+R20+R21-R22</f>
        <v/>
      </c>
      <c r="S50" s="23">
        <f>S15+S18+S19+S20+S21-S22</f>
        <v/>
      </c>
      <c r="T50" s="23">
        <f>T15+T18+T19+T20+T21-T22</f>
        <v/>
      </c>
      <c r="U50" s="23">
        <f>U15+U18+U19+U20+U21-U22</f>
        <v/>
      </c>
    </row>
    <row r="51">
      <c r="A51" s="14" t="inlineStr">
        <is>
          <t>Bottom-Line Check (should be ~0)</t>
        </is>
      </c>
      <c r="C51" s="23">
        <f>C22+C26+C27+C28+C30+C32+C33+C36-C37</f>
        <v/>
      </c>
      <c r="D51" s="23">
        <f>D22+D26+D27+D28+D30+D32+D33+D36-D37</f>
        <v/>
      </c>
      <c r="E51" s="23">
        <f>E22+E26+E27+E28+E30+E32+E33+E36-E37</f>
        <v/>
      </c>
      <c r="F51" s="23">
        <f>F22+F26+F27+F28+F30+F32+F33+F36-F37</f>
        <v/>
      </c>
      <c r="G51" s="23">
        <f>G22+G26+G27+G28+G30+G32+G33+G36-G37</f>
        <v/>
      </c>
      <c r="H51" s="23">
        <f>H22+H26+H27+H28+H30+H32+H33+H36-H37</f>
        <v/>
      </c>
      <c r="I51" s="23">
        <f>I22+I26+I27+I28+I30+I32+I33+I36-I37</f>
        <v/>
      </c>
      <c r="J51" s="23">
        <f>J22+J26+J27+J28+J30+J32+J33+J36-J37</f>
        <v/>
      </c>
      <c r="K51" s="23">
        <f>K22+K26+K27+K28+K30+K32+K33+K36-K37</f>
        <v/>
      </c>
      <c r="L51" s="23">
        <f>L22+L26+L27+L28+L30+L32+L33+L36-L37</f>
        <v/>
      </c>
      <c r="M51" s="9" t="n"/>
      <c r="N51" s="9" t="n"/>
      <c r="O51" s="9" t="n"/>
      <c r="P51" s="23">
        <f>P22+P26+P27+P28+P30+P32+P33+P36-P37</f>
        <v/>
      </c>
      <c r="Q51" s="23">
        <f>Q22+Q26+Q27+Q28+Q30+Q32+Q33+Q36-Q37</f>
        <v/>
      </c>
      <c r="R51" s="23">
        <f>R22+R26+R27+R28+R30+R32+R33+R36-R37</f>
        <v/>
      </c>
      <c r="S51" s="23">
        <f>S22+S26+S27+S28+S30+S32+S33+S36-S37</f>
        <v/>
      </c>
      <c r="T51" s="23">
        <f>T22+T26+T27+T28+T30+T32+T33+T36-T37</f>
        <v/>
      </c>
      <c r="U51" s="23">
        <f>U22+U26+U27+U28+U30+U32+U33+U36-U37</f>
        <v/>
      </c>
    </row>
    <row r="52">
      <c r="M52" s="9" t="n"/>
      <c r="N52" s="9" t="n"/>
      <c r="O52" s="9" t="n"/>
    </row>
  </sheetData>
  <conditionalFormatting sqref="C49:U49">
    <cfRule type="cellIs" priority="1" operator="notBetween" dxfId="0">
      <formula>-0.5</formula>
      <formula>0.5</formula>
    </cfRule>
  </conditionalFormatting>
  <conditionalFormatting sqref="C50:U50">
    <cfRule type="cellIs" priority="2" operator="notBetween" dxfId="0">
      <formula>-0.5</formula>
      <formula>0.5</formula>
    </cfRule>
  </conditionalFormatting>
  <conditionalFormatting sqref="C51:U51">
    <cfRule type="cellIs" priority="3" operator="notBetween" dxfId="0">
      <formula>-0.5</formula>
      <formula>0.5</formula>
    </cfRule>
  </conditionalFormatting>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U71"/>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6.5"/>
  <cols>
    <col width="46" customWidth="1" min="1" max="1"/>
    <col hidden="1" outlineLevel="1"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9" customWidth="1" min="13" max="13"/>
    <col width="9" customWidth="1" min="14" max="14"/>
    <col width="9" customWidth="1" min="15" max="15"/>
    <col width="12" customWidth="1" min="16" max="16"/>
    <col width="12" customWidth="1" min="17" max="17"/>
    <col width="12" customWidth="1" min="18" max="18"/>
    <col width="12" customWidth="1" min="19" max="19"/>
    <col width="12" customWidth="1" min="20" max="20"/>
    <col width="12" customWidth="1" min="21" max="21"/>
  </cols>
  <sheetData>
    <row r="1" ht="28" customHeight="1">
      <c r="A1" s="1" t="inlineStr">
        <is>
          <t>Mondelez International, Inc. — Balance Sheet</t>
        </is>
      </c>
      <c r="B1" s="2" t="n"/>
      <c r="C1" s="2" t="n"/>
      <c r="D1" s="2" t="n"/>
      <c r="E1" s="2" t="n"/>
      <c r="F1" s="2" t="n"/>
      <c r="G1" s="2" t="n"/>
      <c r="H1" s="2" t="n"/>
      <c r="I1" s="2" t="n"/>
      <c r="J1" s="2" t="n"/>
      <c r="K1" s="2" t="n"/>
      <c r="L1" s="2" t="n"/>
      <c r="M1" s="2" t="n"/>
      <c r="N1" s="2" t="n"/>
      <c r="O1" s="2" t="n"/>
      <c r="P1" s="2" t="n"/>
      <c r="Q1" s="2" t="n"/>
      <c r="R1" s="2" t="n"/>
      <c r="S1" s="2" t="n"/>
      <c r="T1" s="2" t="n"/>
      <c r="U1" s="2" t="n"/>
    </row>
    <row r="2" ht="16" customHeight="1">
      <c r="A2" s="3" t="inlineStr">
        <is>
          <t>$ in millions except per-share data  |  USD  |  as of 2026-09-15</t>
        </is>
      </c>
    </row>
    <row r="3">
      <c r="C3" s="6" t="inlineStr">
        <is>
          <t>FY2016</t>
        </is>
      </c>
      <c r="D3" s="6" t="inlineStr">
        <is>
          <t>FY2017</t>
        </is>
      </c>
      <c r="E3" s="6" t="inlineStr">
        <is>
          <t>FY2018</t>
        </is>
      </c>
      <c r="F3" s="6" t="inlineStr">
        <is>
          <t>FY2019</t>
        </is>
      </c>
      <c r="G3" s="6" t="inlineStr">
        <is>
          <t>FY2020</t>
        </is>
      </c>
      <c r="H3" s="6" t="inlineStr">
        <is>
          <t>FY2021</t>
        </is>
      </c>
      <c r="I3" s="6" t="inlineStr">
        <is>
          <t>FY2022</t>
        </is>
      </c>
      <c r="J3" s="6" t="inlineStr">
        <is>
          <t>FY2023</t>
        </is>
      </c>
      <c r="K3" s="6" t="inlineStr">
        <is>
          <t>FY2024</t>
        </is>
      </c>
      <c r="L3" s="6" t="inlineStr">
        <is>
          <t>FY2025</t>
        </is>
      </c>
      <c r="M3" s="7" t="inlineStr">
        <is>
          <t>·</t>
        </is>
      </c>
      <c r="N3" s="7" t="inlineStr">
        <is>
          <t>·</t>
        </is>
      </c>
      <c r="O3" s="7" t="inlineStr">
        <is>
          <t>·</t>
        </is>
      </c>
      <c r="P3" s="6" t="inlineStr">
        <is>
          <t>3Q2024</t>
        </is>
      </c>
      <c r="Q3" s="6" t="inlineStr">
        <is>
          <t>1Q2025</t>
        </is>
      </c>
      <c r="R3" s="6" t="inlineStr">
        <is>
          <t>2Q2025</t>
        </is>
      </c>
      <c r="S3" s="6" t="inlineStr">
        <is>
          <t>3Q2025</t>
        </is>
      </c>
      <c r="T3" s="6" t="inlineStr">
        <is>
          <t>1Q2026</t>
        </is>
      </c>
      <c r="U3" s="6" t="inlineStr">
        <is>
          <t>2Q2026</t>
        </is>
      </c>
    </row>
    <row r="4">
      <c r="C4" s="8" t="inlineStr">
        <is>
          <t>2016-12-31</t>
        </is>
      </c>
      <c r="D4" s="8" t="inlineStr">
        <is>
          <t>2017-12-31</t>
        </is>
      </c>
      <c r="E4" s="8" t="inlineStr">
        <is>
          <t>2018-12-31</t>
        </is>
      </c>
      <c r="F4" s="8" t="inlineStr">
        <is>
          <t>2019-12-31</t>
        </is>
      </c>
      <c r="G4" s="8" t="inlineStr">
        <is>
          <t>2020-12-31</t>
        </is>
      </c>
      <c r="H4" s="8" t="inlineStr">
        <is>
          <t>2021-12-31</t>
        </is>
      </c>
      <c r="I4" s="8" t="inlineStr">
        <is>
          <t>2022-12-31</t>
        </is>
      </c>
      <c r="J4" s="8" t="inlineStr">
        <is>
          <t>2023-12-31</t>
        </is>
      </c>
      <c r="K4" s="8" t="inlineStr">
        <is>
          <t>2024-12-31</t>
        </is>
      </c>
      <c r="L4" s="8" t="inlineStr">
        <is>
          <t>2025-12-31</t>
        </is>
      </c>
      <c r="M4" s="9" t="n"/>
      <c r="N4" s="9" t="n"/>
      <c r="O4" s="9" t="n"/>
      <c r="P4" s="8" t="inlineStr">
        <is>
          <t>2024-09-30</t>
        </is>
      </c>
      <c r="Q4" s="8" t="inlineStr">
        <is>
          <t>2025-03-31</t>
        </is>
      </c>
      <c r="R4" s="8" t="inlineStr">
        <is>
          <t>2025-06-30</t>
        </is>
      </c>
      <c r="S4" s="8" t="inlineStr">
        <is>
          <t>2025-09-30</t>
        </is>
      </c>
      <c r="T4" s="8" t="inlineStr">
        <is>
          <t>2026-03-31</t>
        </is>
      </c>
      <c r="U4" s="8" t="inlineStr">
        <is>
          <t>2026-06-30</t>
        </is>
      </c>
    </row>
    <row r="5">
      <c r="M5" s="9" t="n"/>
      <c r="N5" s="9" t="n"/>
      <c r="O5" s="9" t="n"/>
    </row>
    <row r="6">
      <c r="A6" s="10" t="inlineStr">
        <is>
          <t>CONTENTS</t>
        </is>
      </c>
      <c r="M6" s="9" t="n"/>
      <c r="N6" s="9" t="n"/>
      <c r="O6" s="9" t="n"/>
    </row>
    <row r="7">
      <c r="A7" s="11">
        <f>HYPERLINK("#'Balance Sheet'!A13","1. ASSETS")</f>
        <v/>
      </c>
      <c r="M7" s="9" t="n"/>
      <c r="N7" s="9" t="n"/>
      <c r="O7" s="9" t="n"/>
    </row>
    <row r="8">
      <c r="A8" s="11">
        <f>HYPERLINK("#'Balance Sheet'!A33","2. LIABILITIES")</f>
        <v/>
      </c>
      <c r="M8" s="9" t="n"/>
      <c r="N8" s="9" t="n"/>
      <c r="O8" s="9" t="n"/>
    </row>
    <row r="9">
      <c r="A9" s="11">
        <f>HYPERLINK("#'Balance Sheet'!A52","3. EQUITY")</f>
        <v/>
      </c>
      <c r="M9" s="9" t="n"/>
      <c r="N9" s="9" t="n"/>
      <c r="O9" s="9" t="n"/>
    </row>
    <row r="10">
      <c r="A10" s="11">
        <f>HYPERLINK("#'Balance Sheet'!A63","4. BALANCE CHECK")</f>
        <v/>
      </c>
      <c r="M10" s="9" t="n"/>
      <c r="N10" s="9" t="n"/>
      <c r="O10" s="9" t="n"/>
    </row>
    <row r="11">
      <c r="A11" s="11">
        <f>HYPERLINK("#'Balance Sheet'!A66","5. WORKING CAPITAL ANALYTICS")</f>
        <v/>
      </c>
      <c r="M11" s="9" t="n"/>
      <c r="N11" s="9" t="n"/>
      <c r="O11" s="9" t="n"/>
    </row>
    <row r="12" ht="8" customHeight="1">
      <c r="M12" s="9" t="n"/>
      <c r="N12" s="9" t="n"/>
      <c r="O12" s="9" t="n"/>
    </row>
    <row r="13" ht="20" customHeight="1">
      <c r="A13" s="12" t="inlineStr">
        <is>
          <t>1. ASSETS</t>
        </is>
      </c>
      <c r="B13" s="2" t="n"/>
      <c r="C13" s="2" t="n"/>
      <c r="D13" s="2" t="n"/>
      <c r="E13" s="2" t="n"/>
      <c r="F13" s="2" t="n"/>
      <c r="G13" s="2" t="n"/>
      <c r="H13" s="2" t="n"/>
      <c r="I13" s="2" t="n"/>
      <c r="J13" s="2" t="n"/>
      <c r="K13" s="2" t="n"/>
      <c r="L13" s="2" t="n"/>
      <c r="M13" s="9" t="n"/>
      <c r="N13" s="9" t="n"/>
      <c r="O13" s="9" t="n"/>
      <c r="P13" s="2" t="n"/>
      <c r="Q13" s="2" t="n"/>
      <c r="R13" s="2" t="n"/>
      <c r="S13" s="2" t="n"/>
      <c r="T13" s="2" t="n"/>
      <c r="U13" s="2" t="n"/>
    </row>
    <row r="14">
      <c r="A14" s="5" t="inlineStr">
        <is>
          <t>Cash and cash equivalents</t>
        </is>
      </c>
      <c r="C14" s="18" t="n">
        <v>1741</v>
      </c>
      <c r="D14" s="18" t="n">
        <v>761</v>
      </c>
      <c r="E14" s="18" t="n">
        <v>1100</v>
      </c>
      <c r="F14" s="18" t="n">
        <v>1291</v>
      </c>
      <c r="G14" s="18" t="n">
        <v>3619</v>
      </c>
      <c r="H14" s="18" t="n">
        <v>3546</v>
      </c>
      <c r="I14" s="18" t="n">
        <v>1923</v>
      </c>
      <c r="J14" s="18" t="n">
        <v>1810</v>
      </c>
      <c r="K14" s="18" t="n">
        <v>1351</v>
      </c>
      <c r="L14" s="18" t="n">
        <v>2125</v>
      </c>
      <c r="M14" s="9" t="n"/>
      <c r="N14" s="9" t="n"/>
      <c r="O14" s="9" t="n"/>
      <c r="P14" s="18" t="n">
        <v>1517</v>
      </c>
      <c r="Q14" s="18" t="n">
        <v>1561</v>
      </c>
      <c r="R14" s="18" t="n">
        <v>1504</v>
      </c>
      <c r="S14" s="18" t="n">
        <v>1367</v>
      </c>
      <c r="T14" s="18" t="n">
        <v>1524</v>
      </c>
      <c r="U14" s="18" t="n">
        <v>1716</v>
      </c>
    </row>
    <row r="15">
      <c r="A15" s="5" t="inlineStr">
        <is>
          <t>Trade receivables, net</t>
        </is>
      </c>
      <c r="C15" s="18" t="n">
        <v>2611</v>
      </c>
      <c r="D15" s="18" t="n">
        <v>2691</v>
      </c>
      <c r="E15" s="18" t="n">
        <v>2262</v>
      </c>
      <c r="F15" s="18" t="n">
        <v>2212</v>
      </c>
      <c r="G15" s="18" t="n">
        <v>2297</v>
      </c>
      <c r="H15" s="18" t="n">
        <v>2337</v>
      </c>
      <c r="I15" s="18" t="n">
        <v>3088</v>
      </c>
      <c r="J15" s="18" t="n">
        <v>3634</v>
      </c>
      <c r="K15" s="18" t="n">
        <v>3874</v>
      </c>
      <c r="L15" s="18" t="n">
        <v>3903</v>
      </c>
      <c r="M15" s="9" t="n"/>
      <c r="N15" s="9" t="n"/>
      <c r="O15" s="9" t="n"/>
      <c r="P15" s="18" t="n">
        <v>3800</v>
      </c>
      <c r="Q15" s="18" t="n">
        <v>4318</v>
      </c>
      <c r="R15" s="18" t="n">
        <v>3528</v>
      </c>
      <c r="S15" s="18" t="n">
        <v>4189</v>
      </c>
      <c r="T15" s="18" t="n">
        <v>4397</v>
      </c>
      <c r="U15" s="18" t="n">
        <v>4010</v>
      </c>
    </row>
    <row r="16">
      <c r="A16" s="5" t="inlineStr">
        <is>
          <t>Other receivables, net</t>
        </is>
      </c>
      <c r="C16" s="18" t="n">
        <v>859</v>
      </c>
      <c r="D16" s="18" t="n">
        <v>835</v>
      </c>
      <c r="E16" s="18" t="n">
        <v>744</v>
      </c>
      <c r="F16" s="18" t="n">
        <v>715</v>
      </c>
      <c r="G16" s="18" t="n">
        <v>657</v>
      </c>
      <c r="H16" s="18" t="n">
        <v>851</v>
      </c>
      <c r="I16" s="18" t="n">
        <v>819</v>
      </c>
      <c r="J16" s="18" t="n">
        <v>878</v>
      </c>
      <c r="K16" s="18" t="n">
        <v>937</v>
      </c>
      <c r="L16" s="18" t="n">
        <v>955</v>
      </c>
      <c r="M16" s="9" t="n"/>
      <c r="N16" s="9" t="n"/>
      <c r="O16" s="9" t="n"/>
      <c r="P16" s="18" t="n">
        <v>891</v>
      </c>
      <c r="Q16" s="18" t="n">
        <v>941</v>
      </c>
      <c r="R16" s="18" t="n">
        <v>1103</v>
      </c>
      <c r="S16" s="18" t="n">
        <v>1049</v>
      </c>
      <c r="T16" s="18" t="n">
        <v>985</v>
      </c>
      <c r="U16" s="18" t="n">
        <v>998</v>
      </c>
    </row>
    <row r="17">
      <c r="A17" s="5" t="inlineStr">
        <is>
          <t>Inventories, net</t>
        </is>
      </c>
      <c r="C17" s="18" t="n">
        <v>2469</v>
      </c>
      <c r="D17" s="18" t="n">
        <v>2557</v>
      </c>
      <c r="E17" s="18" t="n">
        <v>2592</v>
      </c>
      <c r="F17" s="18" t="n">
        <v>2546</v>
      </c>
      <c r="G17" s="18" t="n">
        <v>2647</v>
      </c>
      <c r="H17" s="18" t="n">
        <v>2708</v>
      </c>
      <c r="I17" s="18" t="n">
        <v>3381</v>
      </c>
      <c r="J17" s="18" t="n">
        <v>3615</v>
      </c>
      <c r="K17" s="18" t="n">
        <v>3827</v>
      </c>
      <c r="L17" s="18" t="n">
        <v>4419</v>
      </c>
      <c r="M17" s="9" t="n"/>
      <c r="N17" s="9" t="n"/>
      <c r="O17" s="9" t="n"/>
      <c r="P17" s="18" t="n">
        <v>4270</v>
      </c>
      <c r="Q17" s="18" t="n">
        <v>4255</v>
      </c>
      <c r="R17" s="18" t="n">
        <v>4951</v>
      </c>
      <c r="S17" s="18" t="n">
        <v>5098</v>
      </c>
      <c r="T17" s="18" t="n">
        <v>4079</v>
      </c>
      <c r="U17" s="18" t="n">
        <v>4405</v>
      </c>
    </row>
    <row r="18">
      <c r="A18" s="5" t="inlineStr">
        <is>
          <t>Other current assets</t>
        </is>
      </c>
      <c r="C18" s="18" t="n">
        <v>800</v>
      </c>
      <c r="D18" s="18" t="n">
        <v>676</v>
      </c>
      <c r="E18" s="18" t="n">
        <v>906</v>
      </c>
      <c r="F18" s="18" t="n">
        <v>866</v>
      </c>
      <c r="G18" s="18" t="n">
        <v>759</v>
      </c>
      <c r="H18" s="18" t="n">
        <v>900</v>
      </c>
      <c r="I18" s="18" t="n">
        <v>880</v>
      </c>
      <c r="J18" s="18" t="n">
        <v>1766</v>
      </c>
      <c r="K18" s="18" t="n">
        <v>3253</v>
      </c>
      <c r="L18" s="18" t="n">
        <v>1549</v>
      </c>
      <c r="M18" s="9" t="n"/>
      <c r="N18" s="9" t="n"/>
      <c r="O18" s="9" t="n"/>
      <c r="P18" s="18" t="n">
        <v>2723</v>
      </c>
      <c r="Q18" s="18" t="n">
        <v>1655</v>
      </c>
      <c r="R18" s="18" t="n">
        <v>1664</v>
      </c>
      <c r="S18" s="18" t="n">
        <v>1444</v>
      </c>
      <c r="T18" s="18" t="n">
        <v>1760</v>
      </c>
      <c r="U18" s="18" t="n">
        <v>1809</v>
      </c>
    </row>
    <row r="19">
      <c r="A19" s="10" t="inlineStr">
        <is>
          <t>Total current assets</t>
        </is>
      </c>
      <c r="C19" s="19" t="n">
        <v>8480</v>
      </c>
      <c r="D19" s="19" t="n">
        <v>7520</v>
      </c>
      <c r="E19" s="19" t="n">
        <v>7604</v>
      </c>
      <c r="F19" s="19" t="n">
        <v>7630</v>
      </c>
      <c r="G19" s="19" t="n">
        <v>9979</v>
      </c>
      <c r="H19" s="19" t="n">
        <v>10342</v>
      </c>
      <c r="I19" s="19" t="n">
        <v>10091</v>
      </c>
      <c r="J19" s="19" t="n">
        <v>11703</v>
      </c>
      <c r="K19" s="19" t="n">
        <v>13242</v>
      </c>
      <c r="L19" s="19" t="n">
        <v>12951</v>
      </c>
      <c r="M19" s="20" t="n"/>
      <c r="N19" s="20" t="n"/>
      <c r="O19" s="20" t="n"/>
      <c r="P19" s="19" t="n">
        <v>13201</v>
      </c>
      <c r="Q19" s="19" t="n">
        <v>12730</v>
      </c>
      <c r="R19" s="19" t="n">
        <v>12750</v>
      </c>
      <c r="S19" s="19" t="n">
        <v>13147</v>
      </c>
      <c r="T19" s="19" t="n">
        <v>12745</v>
      </c>
      <c r="U19" s="19" t="n">
        <v>12938</v>
      </c>
    </row>
    <row r="20">
      <c r="A20" s="14" t="inlineStr">
        <is>
          <t>Current Assets Check (should be ~0)</t>
        </is>
      </c>
      <c r="C20" s="23">
        <f>C14+C15+C16+C17+C18-C19</f>
        <v/>
      </c>
      <c r="D20" s="23">
        <f>D14+D15+D16+D17+D18-D19</f>
        <v/>
      </c>
      <c r="E20" s="23">
        <f>E14+E15+E16+E17+E18-E19</f>
        <v/>
      </c>
      <c r="F20" s="23">
        <f>F14+F15+F16+F17+F18-F19</f>
        <v/>
      </c>
      <c r="G20" s="23">
        <f>G14+G15+G16+G17+G18-G19</f>
        <v/>
      </c>
      <c r="H20" s="23">
        <f>H14+H15+H16+H17+H18-H19</f>
        <v/>
      </c>
      <c r="I20" s="23">
        <f>I14+I15+I16+I17+I18-I19</f>
        <v/>
      </c>
      <c r="J20" s="23">
        <f>J14+J15+J16+J17+J18-J19</f>
        <v/>
      </c>
      <c r="K20" s="23">
        <f>K14+K15+K16+K17+K18-K19</f>
        <v/>
      </c>
      <c r="L20" s="23">
        <f>L14+L15+L16+L17+L18-L19</f>
        <v/>
      </c>
      <c r="M20" s="9" t="n"/>
      <c r="N20" s="9" t="n"/>
      <c r="O20" s="9" t="n"/>
      <c r="P20" s="23">
        <f>P14+P15+P16+P17+P18-P19</f>
        <v/>
      </c>
      <c r="Q20" s="23">
        <f>Q14+Q15+Q16+Q17+Q18-Q19</f>
        <v/>
      </c>
      <c r="R20" s="23">
        <f>R14+R15+R16+R17+R18-R19</f>
        <v/>
      </c>
      <c r="S20" s="23">
        <f>S14+S15+S16+S17+S18-S19</f>
        <v/>
      </c>
      <c r="T20" s="23">
        <f>T14+T15+T16+T17+T18-T19</f>
        <v/>
      </c>
      <c r="U20" s="23">
        <f>U14+U15+U16+U17+U18-U19</f>
        <v/>
      </c>
    </row>
    <row r="21">
      <c r="M21" s="9" t="n"/>
      <c r="N21" s="9" t="n"/>
      <c r="O21" s="9" t="n"/>
    </row>
    <row r="22">
      <c r="A22" s="5" t="inlineStr">
        <is>
          <t>Property, plant and equipment, net</t>
        </is>
      </c>
      <c r="C22" s="18" t="n">
        <v>8229</v>
      </c>
      <c r="D22" s="18" t="n">
        <v>8677</v>
      </c>
      <c r="E22" s="18" t="n">
        <v>8482</v>
      </c>
      <c r="F22" s="18" t="n">
        <v>8733</v>
      </c>
      <c r="G22" s="18" t="n">
        <v>9026</v>
      </c>
      <c r="H22" s="18" t="n">
        <v>8658</v>
      </c>
      <c r="I22" s="18" t="n">
        <v>9020</v>
      </c>
      <c r="J22" s="18" t="n">
        <v>9694</v>
      </c>
      <c r="K22" s="18" t="n">
        <v>9481</v>
      </c>
      <c r="L22" s="18" t="n">
        <v>10667</v>
      </c>
      <c r="M22" s="9" t="n"/>
      <c r="N22" s="9" t="n"/>
      <c r="O22" s="9" t="n"/>
      <c r="P22" s="18" t="n">
        <v>9696</v>
      </c>
      <c r="Q22" s="18" t="n">
        <v>9767</v>
      </c>
      <c r="R22" s="18" t="n">
        <v>10313</v>
      </c>
      <c r="S22" s="18" t="n">
        <v>10333</v>
      </c>
      <c r="T22" s="18" t="n">
        <v>10567</v>
      </c>
      <c r="U22" s="18" t="n">
        <v>10649</v>
      </c>
    </row>
    <row r="23">
      <c r="A23" s="5" t="inlineStr">
        <is>
          <t>Operating lease right-of-use assets</t>
        </is>
      </c>
      <c r="B23" s="17" t="inlineStr">
        <is>
          <t>Recognized starting FY2019 (ASU 2016-02 adoption)</t>
        </is>
      </c>
      <c r="F23" s="18" t="n">
        <v>568</v>
      </c>
      <c r="G23" s="18" t="n">
        <v>638</v>
      </c>
      <c r="H23" s="18" t="n">
        <v>613</v>
      </c>
      <c r="I23" s="18" t="n">
        <v>660</v>
      </c>
      <c r="J23" s="18" t="n">
        <v>683</v>
      </c>
      <c r="K23" s="18" t="n">
        <v>767</v>
      </c>
      <c r="L23" s="18" t="n">
        <v>731</v>
      </c>
      <c r="M23" s="9" t="n"/>
      <c r="N23" s="9" t="n"/>
      <c r="O23" s="9" t="n"/>
      <c r="P23" s="18" t="n">
        <v>774</v>
      </c>
      <c r="Q23" s="18" t="n">
        <v>761</v>
      </c>
      <c r="R23" s="18" t="n">
        <v>761</v>
      </c>
      <c r="S23" s="18" t="n">
        <v>750</v>
      </c>
      <c r="T23" s="18" t="n">
        <v>725</v>
      </c>
      <c r="U23" s="18" t="n">
        <v>732</v>
      </c>
    </row>
    <row r="24">
      <c r="A24" s="5" t="inlineStr">
        <is>
          <t>Goodwill</t>
        </is>
      </c>
      <c r="C24" s="18" t="n">
        <v>20276</v>
      </c>
      <c r="D24" s="18" t="n">
        <v>21085</v>
      </c>
      <c r="E24" s="18" t="n">
        <v>20725</v>
      </c>
      <c r="F24" s="18" t="n">
        <v>20848</v>
      </c>
      <c r="G24" s="18" t="n">
        <v>21895</v>
      </c>
      <c r="H24" s="18" t="n">
        <v>21978</v>
      </c>
      <c r="I24" s="18" t="n">
        <v>23450</v>
      </c>
      <c r="J24" s="18" t="n">
        <v>23896</v>
      </c>
      <c r="K24" s="18" t="n">
        <v>23017</v>
      </c>
      <c r="L24" s="18" t="n">
        <v>24336</v>
      </c>
      <c r="M24" s="9" t="n"/>
      <c r="N24" s="9" t="n"/>
      <c r="O24" s="9" t="n"/>
      <c r="P24" s="18" t="n">
        <v>23773</v>
      </c>
      <c r="Q24" s="18" t="n">
        <v>23439</v>
      </c>
      <c r="R24" s="18" t="n">
        <v>24344</v>
      </c>
      <c r="S24" s="18" t="n">
        <v>24250</v>
      </c>
      <c r="T24" s="18" t="n">
        <v>24226</v>
      </c>
      <c r="U24" s="18" t="n">
        <v>24180</v>
      </c>
    </row>
    <row r="25">
      <c r="A25" s="5" t="inlineStr">
        <is>
          <t>Intangible assets, net</t>
        </is>
      </c>
      <c r="C25" s="18" t="n">
        <v>18101</v>
      </c>
      <c r="D25" s="18" t="n">
        <v>18639</v>
      </c>
      <c r="E25" s="18" t="n">
        <v>18002</v>
      </c>
      <c r="F25" s="18" t="n">
        <v>17957</v>
      </c>
      <c r="G25" s="18" t="n">
        <v>18482</v>
      </c>
      <c r="H25" s="18" t="n">
        <v>18291</v>
      </c>
      <c r="I25" s="18" t="n">
        <v>19710</v>
      </c>
      <c r="J25" s="18" t="n">
        <v>19836</v>
      </c>
      <c r="K25" s="18" t="n">
        <v>18848</v>
      </c>
      <c r="L25" s="18" t="n">
        <v>19628</v>
      </c>
      <c r="M25" s="9" t="n"/>
      <c r="N25" s="9" t="n"/>
      <c r="O25" s="9" t="n"/>
      <c r="P25" s="18" t="n">
        <v>19459</v>
      </c>
      <c r="Q25" s="18" t="n">
        <v>19130</v>
      </c>
      <c r="R25" s="18" t="n">
        <v>19729</v>
      </c>
      <c r="S25" s="18" t="n">
        <v>19611</v>
      </c>
      <c r="T25" s="18" t="n">
        <v>19533</v>
      </c>
      <c r="U25" s="18" t="n">
        <v>19509</v>
      </c>
    </row>
    <row r="26">
      <c r="A26" s="5" t="inlineStr">
        <is>
          <t>Prepaid pension assets</t>
        </is>
      </c>
      <c r="C26" s="18" t="n">
        <v>159</v>
      </c>
      <c r="D26" s="18" t="n">
        <v>158</v>
      </c>
      <c r="E26" s="18" t="n">
        <v>132</v>
      </c>
      <c r="F26" s="18" t="n">
        <v>516</v>
      </c>
      <c r="G26" s="18" t="n">
        <v>672</v>
      </c>
      <c r="H26" s="18" t="n">
        <v>1009</v>
      </c>
      <c r="I26" s="18" t="n">
        <v>1016</v>
      </c>
      <c r="J26" s="18" t="n">
        <v>1043</v>
      </c>
      <c r="K26" s="18" t="n">
        <v>987</v>
      </c>
      <c r="L26" s="18" t="n">
        <v>1220</v>
      </c>
      <c r="M26" s="9" t="n"/>
      <c r="N26" s="9" t="n"/>
      <c r="O26" s="9" t="n"/>
      <c r="P26" s="18" t="n">
        <v>1146</v>
      </c>
      <c r="Q26" s="18" t="n">
        <v>993</v>
      </c>
      <c r="R26" s="18" t="n">
        <v>1121</v>
      </c>
      <c r="S26" s="18" t="n">
        <v>1132</v>
      </c>
      <c r="T26" s="18" t="n">
        <v>1259</v>
      </c>
      <c r="U26" s="18" t="n">
        <v>1251</v>
      </c>
    </row>
    <row r="27">
      <c r="A27" s="5" t="inlineStr">
        <is>
          <t>Deferred income taxes</t>
        </is>
      </c>
      <c r="C27" s="18" t="n">
        <v>358</v>
      </c>
      <c r="D27" s="18" t="n">
        <v>319</v>
      </c>
      <c r="E27" s="18" t="n">
        <v>255</v>
      </c>
      <c r="F27" s="18" t="n">
        <v>726</v>
      </c>
      <c r="G27" s="18" t="n">
        <v>790</v>
      </c>
      <c r="H27" s="18" t="n">
        <v>541</v>
      </c>
      <c r="I27" s="18" t="n">
        <v>473</v>
      </c>
      <c r="J27" s="18" t="n">
        <v>408</v>
      </c>
      <c r="K27" s="18" t="n">
        <v>333</v>
      </c>
      <c r="L27" s="18" t="n">
        <v>336</v>
      </c>
      <c r="M27" s="9" t="n"/>
      <c r="N27" s="9" t="n"/>
      <c r="O27" s="9" t="n"/>
      <c r="P27" s="18" t="n">
        <v>372</v>
      </c>
      <c r="Q27" s="18" t="n">
        <v>400</v>
      </c>
      <c r="R27" s="18" t="n">
        <v>415</v>
      </c>
      <c r="S27" s="18" t="n">
        <v>437</v>
      </c>
      <c r="T27" s="18" t="n">
        <v>316</v>
      </c>
      <c r="U27" s="18" t="n">
        <v>184</v>
      </c>
    </row>
    <row r="28">
      <c r="A28" s="5" t="inlineStr">
        <is>
          <t>Equity method investments</t>
        </is>
      </c>
      <c r="C28" s="18" t="n">
        <v>5585</v>
      </c>
      <c r="D28" s="18" t="n">
        <v>6345</v>
      </c>
      <c r="E28" s="18" t="n">
        <v>7123</v>
      </c>
      <c r="F28" s="18" t="n">
        <v>7212</v>
      </c>
      <c r="G28" s="18" t="n">
        <v>6036</v>
      </c>
      <c r="H28" s="18" t="n">
        <v>5289</v>
      </c>
      <c r="I28" s="18" t="n">
        <v>4879</v>
      </c>
      <c r="J28" s="18" t="n">
        <v>3242</v>
      </c>
      <c r="K28" s="18" t="n">
        <v>635</v>
      </c>
      <c r="L28" s="18" t="n">
        <v>667</v>
      </c>
      <c r="M28" s="9" t="n"/>
      <c r="N28" s="9" t="n"/>
      <c r="O28" s="9" t="n"/>
      <c r="P28" s="18" t="n">
        <v>2576</v>
      </c>
      <c r="Q28" s="18" t="n">
        <v>610</v>
      </c>
      <c r="R28" s="18" t="n">
        <v>665</v>
      </c>
      <c r="S28" s="18" t="n">
        <v>669</v>
      </c>
      <c r="T28" s="18" t="n">
        <v>610</v>
      </c>
      <c r="U28" s="18" t="n">
        <v>619</v>
      </c>
    </row>
    <row r="29">
      <c r="A29" s="5" t="inlineStr">
        <is>
          <t>Other assets</t>
        </is>
      </c>
      <c r="C29" s="18" t="n">
        <v>350</v>
      </c>
      <c r="D29" s="18" t="n">
        <v>366</v>
      </c>
      <c r="E29" s="18" t="n">
        <v>406</v>
      </c>
      <c r="F29" s="18" t="n">
        <v>359</v>
      </c>
      <c r="G29" s="18" t="n">
        <v>292</v>
      </c>
      <c r="H29" s="18" t="n">
        <v>371</v>
      </c>
      <c r="I29" s="18" t="n">
        <v>1862</v>
      </c>
      <c r="J29" s="18" t="n">
        <v>886</v>
      </c>
      <c r="K29" s="18" t="n">
        <v>1187</v>
      </c>
      <c r="L29" s="18" t="n">
        <v>951</v>
      </c>
      <c r="M29" s="9" t="n"/>
      <c r="N29" s="9" t="n"/>
      <c r="O29" s="9" t="n"/>
      <c r="P29" s="18" t="n">
        <v>1194</v>
      </c>
      <c r="Q29" s="18" t="n">
        <v>1097</v>
      </c>
      <c r="R29" s="18" t="n">
        <v>922</v>
      </c>
      <c r="S29" s="18" t="n">
        <v>1029</v>
      </c>
      <c r="T29" s="18" t="n">
        <v>1141</v>
      </c>
      <c r="U29" s="18" t="n">
        <v>1185</v>
      </c>
    </row>
    <row r="30">
      <c r="A30" s="10" t="inlineStr">
        <is>
          <t>TOTAL ASSETS</t>
        </is>
      </c>
      <c r="C30" s="19" t="n">
        <v>61538</v>
      </c>
      <c r="D30" s="19" t="n">
        <v>63109</v>
      </c>
      <c r="E30" s="19" t="n">
        <v>62729</v>
      </c>
      <c r="F30" s="19" t="n">
        <v>64549</v>
      </c>
      <c r="G30" s="19" t="n">
        <v>67810</v>
      </c>
      <c r="H30" s="19" t="n">
        <v>67092</v>
      </c>
      <c r="I30" s="19" t="n">
        <v>71161</v>
      </c>
      <c r="J30" s="19" t="n">
        <v>71391</v>
      </c>
      <c r="K30" s="19" t="n">
        <v>68497</v>
      </c>
      <c r="L30" s="19" t="n">
        <v>71487</v>
      </c>
      <c r="M30" s="20" t="n"/>
      <c r="N30" s="20" t="n"/>
      <c r="O30" s="20" t="n"/>
      <c r="P30" s="19" t="n">
        <v>72191</v>
      </c>
      <c r="Q30" s="19" t="n">
        <v>68927</v>
      </c>
      <c r="R30" s="19" t="n">
        <v>71020</v>
      </c>
      <c r="S30" s="19" t="n">
        <v>71358</v>
      </c>
      <c r="T30" s="19" t="n">
        <v>71122</v>
      </c>
      <c r="U30" s="19" t="n">
        <v>71247</v>
      </c>
    </row>
    <row r="31">
      <c r="A31" s="14" t="inlineStr">
        <is>
          <t>Total Assets Check (should be ~0)</t>
        </is>
      </c>
      <c r="C31" s="23">
        <f>C19+C22+C23+C24+C25+C26+C27+C28+C29-C30</f>
        <v/>
      </c>
      <c r="D31" s="23">
        <f>D19+D22+D23+D24+D25+D26+D27+D28+D29-D30</f>
        <v/>
      </c>
      <c r="E31" s="23">
        <f>E19+E22+E23+E24+E25+E26+E27+E28+E29-E30</f>
        <v/>
      </c>
      <c r="F31" s="23">
        <f>F19+F22+F23+F24+F25+F26+F27+F28+F29-F30</f>
        <v/>
      </c>
      <c r="G31" s="23">
        <f>G19+G22+G23+G24+G25+G26+G27+G28+G29-G30</f>
        <v/>
      </c>
      <c r="H31" s="23">
        <f>H19+H22+H23+H24+H25+H26+H27+H28+H29-H30</f>
        <v/>
      </c>
      <c r="I31" s="23">
        <f>I19+I22+I23+I24+I25+I26+I27+I28+I29-I30</f>
        <v/>
      </c>
      <c r="J31" s="23">
        <f>J19+J22+J23+J24+J25+J26+J27+J28+J29-J30</f>
        <v/>
      </c>
      <c r="K31" s="23">
        <f>K19+K22+K23+K24+K25+K26+K27+K28+K29-K30</f>
        <v/>
      </c>
      <c r="L31" s="23">
        <f>L19+L22+L23+L24+L25+L26+L27+L28+L29-L30</f>
        <v/>
      </c>
      <c r="M31" s="9" t="n"/>
      <c r="N31" s="9" t="n"/>
      <c r="O31" s="9" t="n"/>
      <c r="P31" s="23">
        <f>P19+P22+P23+P24+P25+P26+P27+P28+P29-P30</f>
        <v/>
      </c>
      <c r="Q31" s="23">
        <f>Q19+Q22+Q23+Q24+Q25+Q26+Q27+Q28+Q29-Q30</f>
        <v/>
      </c>
      <c r="R31" s="23">
        <f>R19+R22+R23+R24+R25+R26+R27+R28+R29-R30</f>
        <v/>
      </c>
      <c r="S31" s="23">
        <f>S19+S22+S23+S24+S25+S26+S27+S28+S29-S30</f>
        <v/>
      </c>
      <c r="T31" s="23">
        <f>T19+T22+T23+T24+T25+T26+T27+T28+T29-T30</f>
        <v/>
      </c>
      <c r="U31" s="23">
        <f>U19+U22+U23+U24+U25+U26+U27+U28+U29-U30</f>
        <v/>
      </c>
    </row>
    <row r="32" ht="8" customHeight="1">
      <c r="M32" s="9" t="n"/>
      <c r="N32" s="9" t="n"/>
      <c r="O32" s="9" t="n"/>
    </row>
    <row r="33" ht="20" customHeight="1">
      <c r="A33" s="12" t="inlineStr">
        <is>
          <t>2. LIABILITIES</t>
        </is>
      </c>
      <c r="B33" s="2" t="n"/>
      <c r="C33" s="2" t="n"/>
      <c r="D33" s="2" t="n"/>
      <c r="E33" s="2" t="n"/>
      <c r="F33" s="2" t="n"/>
      <c r="G33" s="2" t="n"/>
      <c r="H33" s="2" t="n"/>
      <c r="I33" s="2" t="n"/>
      <c r="J33" s="2" t="n"/>
      <c r="K33" s="2" t="n"/>
      <c r="L33" s="2" t="n"/>
      <c r="M33" s="9" t="n"/>
      <c r="N33" s="9" t="n"/>
      <c r="O33" s="9" t="n"/>
      <c r="P33" s="2" t="n"/>
      <c r="Q33" s="2" t="n"/>
      <c r="R33" s="2" t="n"/>
      <c r="S33" s="2" t="n"/>
      <c r="T33" s="2" t="n"/>
      <c r="U33" s="2" t="n"/>
    </row>
    <row r="34">
      <c r="A34" s="5" t="inlineStr">
        <is>
          <t>Short-term borrowings</t>
        </is>
      </c>
      <c r="C34" s="18" t="n">
        <v>2531</v>
      </c>
      <c r="D34" s="18" t="n">
        <v>3517</v>
      </c>
      <c r="E34" s="18" t="n">
        <v>3192</v>
      </c>
      <c r="F34" s="18" t="n">
        <v>2638</v>
      </c>
      <c r="G34" s="18" t="n">
        <v>29</v>
      </c>
      <c r="H34" s="18" t="n">
        <v>216</v>
      </c>
      <c r="I34" s="18" t="n">
        <v>2299</v>
      </c>
      <c r="J34" s="18" t="n">
        <v>420</v>
      </c>
      <c r="K34" s="18" t="n">
        <v>71</v>
      </c>
      <c r="L34" s="18" t="n">
        <v>2688</v>
      </c>
      <c r="M34" s="9" t="n"/>
      <c r="N34" s="9" t="n"/>
      <c r="O34" s="9" t="n"/>
      <c r="P34" s="18" t="n">
        <v>1484</v>
      </c>
      <c r="Q34" s="18" t="n">
        <v>1914</v>
      </c>
      <c r="R34" s="18" t="n">
        <v>1664</v>
      </c>
      <c r="S34" s="18" t="n">
        <v>2645</v>
      </c>
      <c r="T34" s="18" t="n">
        <v>2881</v>
      </c>
      <c r="U34" s="18" t="n">
        <v>2327</v>
      </c>
    </row>
    <row r="35">
      <c r="A35" s="5" t="inlineStr">
        <is>
          <t>Current portion of long-term debt</t>
        </is>
      </c>
      <c r="C35" s="18" t="n">
        <v>1451</v>
      </c>
      <c r="D35" s="18" t="n">
        <v>1163</v>
      </c>
      <c r="E35" s="18" t="n">
        <v>2648</v>
      </c>
      <c r="F35" s="18" t="n">
        <v>1581</v>
      </c>
      <c r="G35" s="18" t="n">
        <v>2741</v>
      </c>
      <c r="H35" s="18" t="n">
        <v>1746</v>
      </c>
      <c r="I35" s="18" t="n">
        <v>383</v>
      </c>
      <c r="J35" s="18" t="n">
        <v>2101</v>
      </c>
      <c r="K35" s="18" t="n">
        <v>2014</v>
      </c>
      <c r="L35" s="18" t="n">
        <v>1295</v>
      </c>
      <c r="M35" s="9" t="n"/>
      <c r="N35" s="9" t="n"/>
      <c r="O35" s="9" t="n"/>
      <c r="P35" s="18" t="n">
        <v>1821</v>
      </c>
      <c r="Q35" s="18" t="n">
        <v>1828</v>
      </c>
      <c r="R35" s="18" t="n">
        <v>1107</v>
      </c>
      <c r="S35" s="18" t="n">
        <v>1543</v>
      </c>
      <c r="T35" s="18" t="n">
        <v>2675</v>
      </c>
      <c r="U35" s="18" t="n">
        <v>2663</v>
      </c>
    </row>
    <row r="36">
      <c r="A36" s="5" t="inlineStr">
        <is>
          <t>Accounts payable</t>
        </is>
      </c>
      <c r="C36" s="18" t="n">
        <v>5318</v>
      </c>
      <c r="D36" s="18" t="n">
        <v>5705</v>
      </c>
      <c r="E36" s="18" t="n">
        <v>5794</v>
      </c>
      <c r="F36" s="18" t="n">
        <v>5853</v>
      </c>
      <c r="G36" s="18" t="n">
        <v>6209</v>
      </c>
      <c r="H36" s="18" t="n">
        <v>6730</v>
      </c>
      <c r="I36" s="18" t="n">
        <v>7562</v>
      </c>
      <c r="J36" s="18" t="n">
        <v>8321</v>
      </c>
      <c r="K36" s="18" t="n">
        <v>9433</v>
      </c>
      <c r="L36" s="18" t="n">
        <v>10139</v>
      </c>
      <c r="M36" s="9" t="n"/>
      <c r="N36" s="9" t="n"/>
      <c r="O36" s="9" t="n"/>
      <c r="P36" s="18" t="n">
        <v>9110</v>
      </c>
      <c r="Q36" s="18" t="n">
        <v>9921</v>
      </c>
      <c r="R36" s="18" t="n">
        <v>9975</v>
      </c>
      <c r="S36" s="18" t="n">
        <v>10022</v>
      </c>
      <c r="T36" s="18" t="n">
        <v>9744</v>
      </c>
      <c r="U36" s="18" t="n">
        <v>9411</v>
      </c>
    </row>
    <row r="37">
      <c r="A37" s="5" t="inlineStr">
        <is>
          <t>Accrued marketing</t>
        </is>
      </c>
      <c r="C37" s="18" t="n">
        <v>1745</v>
      </c>
      <c r="D37" s="18" t="n">
        <v>1728</v>
      </c>
      <c r="E37" s="18" t="n">
        <v>1756</v>
      </c>
      <c r="F37" s="18" t="n">
        <v>1836</v>
      </c>
      <c r="G37" s="18" t="n">
        <v>2130</v>
      </c>
      <c r="H37" s="18" t="n">
        <v>2097</v>
      </c>
      <c r="I37" s="18" t="n">
        <v>2370</v>
      </c>
      <c r="J37" s="18" t="n">
        <v>2683</v>
      </c>
      <c r="K37" s="18" t="n">
        <v>2558</v>
      </c>
      <c r="L37" s="18" t="n">
        <v>2787</v>
      </c>
      <c r="M37" s="9" t="n"/>
      <c r="N37" s="9" t="n"/>
      <c r="O37" s="9" t="n"/>
      <c r="P37" s="18" t="n">
        <v>2721</v>
      </c>
      <c r="Q37" s="18" t="n">
        <v>2697</v>
      </c>
      <c r="R37" s="18" t="n">
        <v>2423</v>
      </c>
      <c r="S37" s="18" t="n">
        <v>2650</v>
      </c>
      <c r="T37" s="18" t="n">
        <v>2968</v>
      </c>
      <c r="U37" s="18" t="n">
        <v>2612</v>
      </c>
    </row>
    <row r="38">
      <c r="A38" s="5" t="inlineStr">
        <is>
          <t>Accrued employment costs</t>
        </is>
      </c>
      <c r="C38" s="18" t="n">
        <v>736</v>
      </c>
      <c r="D38" s="18" t="n">
        <v>721</v>
      </c>
      <c r="E38" s="18" t="n">
        <v>701</v>
      </c>
      <c r="F38" s="18" t="n">
        <v>769</v>
      </c>
      <c r="G38" s="18" t="n">
        <v>834</v>
      </c>
      <c r="H38" s="18" t="n">
        <v>822</v>
      </c>
      <c r="I38" s="18" t="n">
        <v>949</v>
      </c>
      <c r="J38" s="18" t="n">
        <v>1158</v>
      </c>
      <c r="K38" s="18" t="n">
        <v>928</v>
      </c>
      <c r="L38" s="18" t="n">
        <v>1000</v>
      </c>
      <c r="M38" s="9" t="n"/>
      <c r="N38" s="9" t="n"/>
      <c r="O38" s="9" t="n"/>
      <c r="P38" s="18" t="n">
        <v>905</v>
      </c>
      <c r="Q38" s="18" t="n">
        <v>774</v>
      </c>
      <c r="R38" s="18" t="n">
        <v>836</v>
      </c>
      <c r="S38" s="18" t="n">
        <v>956</v>
      </c>
      <c r="T38" s="18" t="n">
        <v>865</v>
      </c>
      <c r="U38" s="18" t="n">
        <v>875</v>
      </c>
    </row>
    <row r="39">
      <c r="A39" s="5" t="inlineStr">
        <is>
          <t>Other current liabilities</t>
        </is>
      </c>
      <c r="C39" s="18" t="n">
        <v>2636</v>
      </c>
      <c r="D39" s="18" t="n">
        <v>2959</v>
      </c>
      <c r="E39" s="18" t="n">
        <v>2646</v>
      </c>
      <c r="F39" s="18" t="n">
        <v>2645</v>
      </c>
      <c r="G39" s="18" t="n">
        <v>3216</v>
      </c>
      <c r="H39" s="18" t="n">
        <v>2397</v>
      </c>
      <c r="I39" s="18" t="n">
        <v>3168</v>
      </c>
      <c r="J39" s="18" t="n">
        <v>4330</v>
      </c>
      <c r="K39" s="18" t="n">
        <v>4545</v>
      </c>
      <c r="L39" s="18" t="n">
        <v>3955</v>
      </c>
      <c r="M39" s="9" t="n"/>
      <c r="N39" s="9" t="n"/>
      <c r="O39" s="9" t="n"/>
      <c r="P39" s="18" t="n">
        <v>5032</v>
      </c>
      <c r="Q39" s="18" t="n">
        <v>3869</v>
      </c>
      <c r="R39" s="18" t="n">
        <v>3878</v>
      </c>
      <c r="S39" s="18" t="n">
        <v>3696</v>
      </c>
      <c r="T39" s="18" t="n">
        <v>4368</v>
      </c>
      <c r="U39" s="18" t="n">
        <v>3705</v>
      </c>
    </row>
    <row r="40">
      <c r="A40" s="10" t="inlineStr">
        <is>
          <t>Total current liabilities</t>
        </is>
      </c>
      <c r="C40" s="19" t="n">
        <v>14417</v>
      </c>
      <c r="D40" s="19" t="n">
        <v>15793</v>
      </c>
      <c r="E40" s="19" t="n">
        <v>16737</v>
      </c>
      <c r="F40" s="19" t="n">
        <v>15322</v>
      </c>
      <c r="G40" s="19" t="n">
        <v>15159</v>
      </c>
      <c r="H40" s="19" t="n">
        <v>14008</v>
      </c>
      <c r="I40" s="19" t="n">
        <v>16731</v>
      </c>
      <c r="J40" s="19" t="n">
        <v>19013</v>
      </c>
      <c r="K40" s="19" t="n">
        <v>19549</v>
      </c>
      <c r="L40" s="19" t="n">
        <v>21864</v>
      </c>
      <c r="M40" s="20" t="n"/>
      <c r="N40" s="20" t="n"/>
      <c r="O40" s="20" t="n"/>
      <c r="P40" s="19" t="n">
        <v>21073</v>
      </c>
      <c r="Q40" s="19" t="n">
        <v>21003</v>
      </c>
      <c r="R40" s="19" t="n">
        <v>19883</v>
      </c>
      <c r="S40" s="19" t="n">
        <v>21512</v>
      </c>
      <c r="T40" s="19" t="n">
        <v>23501</v>
      </c>
      <c r="U40" s="19" t="n">
        <v>21593</v>
      </c>
    </row>
    <row r="41">
      <c r="A41" s="14" t="inlineStr">
        <is>
          <t>Current Liabilities Check (should be ~0)</t>
        </is>
      </c>
      <c r="C41" s="23">
        <f>C34+C35+C36+C37+C38+C39-C40</f>
        <v/>
      </c>
      <c r="D41" s="23">
        <f>D34+D35+D36+D37+D38+D39-D40</f>
        <v/>
      </c>
      <c r="E41" s="23">
        <f>E34+E35+E36+E37+E38+E39-E40</f>
        <v/>
      </c>
      <c r="F41" s="23">
        <f>F34+F35+F36+F37+F38+F39-F40</f>
        <v/>
      </c>
      <c r="G41" s="23">
        <f>G34+G35+G36+G37+G38+G39-G40</f>
        <v/>
      </c>
      <c r="H41" s="23">
        <f>H34+H35+H36+H37+H38+H39-H40</f>
        <v/>
      </c>
      <c r="I41" s="23">
        <f>I34+I35+I36+I37+I38+I39-I40</f>
        <v/>
      </c>
      <c r="J41" s="23">
        <f>J34+J35+J36+J37+J38+J39-J40</f>
        <v/>
      </c>
      <c r="K41" s="23">
        <f>K34+K35+K36+K37+K38+K39-K40</f>
        <v/>
      </c>
      <c r="L41" s="23">
        <f>L34+L35+L36+L37+L38+L39-L40</f>
        <v/>
      </c>
      <c r="M41" s="9" t="n"/>
      <c r="N41" s="9" t="n"/>
      <c r="O41" s="9" t="n"/>
      <c r="P41" s="23">
        <f>P34+P35+P36+P37+P38+P39-P40</f>
        <v/>
      </c>
      <c r="Q41" s="23">
        <f>Q34+Q35+Q36+Q37+Q38+Q39-Q40</f>
        <v/>
      </c>
      <c r="R41" s="23">
        <f>R34+R35+R36+R37+R38+R39-R40</f>
        <v/>
      </c>
      <c r="S41" s="23">
        <f>S34+S35+S36+S37+S38+S39-S40</f>
        <v/>
      </c>
      <c r="T41" s="23">
        <f>T34+T35+T36+T37+T38+T39-T40</f>
        <v/>
      </c>
      <c r="U41" s="23">
        <f>U34+U35+U36+U37+U38+U39-U40</f>
        <v/>
      </c>
    </row>
    <row r="42">
      <c r="M42" s="9" t="n"/>
      <c r="N42" s="9" t="n"/>
      <c r="O42" s="9" t="n"/>
    </row>
    <row r="43">
      <c r="A43" s="5" t="inlineStr">
        <is>
          <t>Long-term debt</t>
        </is>
      </c>
      <c r="C43" s="18" t="n">
        <v>13217</v>
      </c>
      <c r="D43" s="18" t="n">
        <v>12972</v>
      </c>
      <c r="E43" s="18" t="n">
        <v>12532</v>
      </c>
      <c r="F43" s="18" t="n">
        <v>14207</v>
      </c>
      <c r="G43" s="18" t="n">
        <v>17276</v>
      </c>
      <c r="H43" s="18" t="n">
        <v>17550</v>
      </c>
      <c r="I43" s="18" t="n">
        <v>20251</v>
      </c>
      <c r="J43" s="18" t="n">
        <v>16887</v>
      </c>
      <c r="K43" s="18" t="n">
        <v>15664</v>
      </c>
      <c r="L43" s="18" t="n">
        <v>17222</v>
      </c>
      <c r="M43" s="9" t="n"/>
      <c r="N43" s="9" t="n"/>
      <c r="O43" s="9" t="n"/>
      <c r="P43" s="18" t="n">
        <v>16499</v>
      </c>
      <c r="Q43" s="18" t="n">
        <v>15796</v>
      </c>
      <c r="R43" s="18" t="n">
        <v>18116</v>
      </c>
      <c r="S43" s="18" t="n">
        <v>17134</v>
      </c>
      <c r="T43" s="18" t="n">
        <v>15468</v>
      </c>
      <c r="U43" s="18" t="n">
        <v>16460</v>
      </c>
    </row>
    <row r="44">
      <c r="A44" s="5" t="inlineStr">
        <is>
          <t>Long-term operating lease liabilities</t>
        </is>
      </c>
      <c r="B44" s="17" t="inlineStr">
        <is>
          <t>Recognized starting FY2019 (ASU 2016-02 adoption)</t>
        </is>
      </c>
      <c r="F44" s="18" t="n">
        <v>403</v>
      </c>
      <c r="G44" s="18" t="n">
        <v>470</v>
      </c>
      <c r="H44" s="18" t="n">
        <v>459</v>
      </c>
      <c r="I44" s="18" t="n">
        <v>514</v>
      </c>
      <c r="J44" s="18" t="n">
        <v>537</v>
      </c>
      <c r="K44" s="18" t="n">
        <v>623</v>
      </c>
      <c r="L44" s="18" t="n">
        <v>599</v>
      </c>
      <c r="M44" s="9" t="n"/>
      <c r="N44" s="9" t="n"/>
      <c r="O44" s="9" t="n"/>
      <c r="P44" s="18" t="n">
        <v>621</v>
      </c>
      <c r="Q44" s="18" t="n">
        <v>617</v>
      </c>
      <c r="R44" s="18" t="n">
        <v>618</v>
      </c>
      <c r="S44" s="18" t="n">
        <v>611</v>
      </c>
      <c r="T44" s="18" t="n">
        <v>598</v>
      </c>
      <c r="U44" s="18" t="n">
        <v>609</v>
      </c>
    </row>
    <row r="45">
      <c r="A45" s="5" t="inlineStr">
        <is>
          <t>Deferred income taxes</t>
        </is>
      </c>
      <c r="C45" s="18" t="n">
        <v>4721</v>
      </c>
      <c r="D45" s="18" t="n">
        <v>3376</v>
      </c>
      <c r="E45" s="18" t="n">
        <v>3552</v>
      </c>
      <c r="F45" s="18" t="n">
        <v>3338</v>
      </c>
      <c r="G45" s="18" t="n">
        <v>3346</v>
      </c>
      <c r="H45" s="18" t="n">
        <v>3444</v>
      </c>
      <c r="I45" s="18" t="n">
        <v>3437</v>
      </c>
      <c r="J45" s="18" t="n">
        <v>3292</v>
      </c>
      <c r="K45" s="18" t="n">
        <v>3425</v>
      </c>
      <c r="L45" s="18" t="n">
        <v>3530</v>
      </c>
      <c r="M45" s="9" t="n"/>
      <c r="N45" s="9" t="n"/>
      <c r="O45" s="9" t="n"/>
      <c r="P45" s="18" t="n">
        <v>3423</v>
      </c>
      <c r="Q45" s="18" t="n">
        <v>3429</v>
      </c>
      <c r="R45" s="18" t="n">
        <v>3550</v>
      </c>
      <c r="S45" s="18" t="n">
        <v>3451</v>
      </c>
      <c r="T45" s="18" t="n">
        <v>3549</v>
      </c>
      <c r="U45" s="18" t="n">
        <v>3539</v>
      </c>
    </row>
    <row r="46">
      <c r="A46" s="5" t="inlineStr">
        <is>
          <t>Accrued pension costs</t>
        </is>
      </c>
      <c r="C46" s="18" t="n">
        <v>2014</v>
      </c>
      <c r="D46" s="18" t="n">
        <v>1669</v>
      </c>
      <c r="E46" s="18" t="n">
        <v>1221</v>
      </c>
      <c r="F46" s="18" t="n">
        <v>1190</v>
      </c>
      <c r="G46" s="18" t="n">
        <v>1257</v>
      </c>
      <c r="H46" s="18" t="n">
        <v>681</v>
      </c>
      <c r="I46" s="18" t="n">
        <v>403</v>
      </c>
      <c r="J46" s="18" t="n">
        <v>437</v>
      </c>
      <c r="K46" s="18" t="n">
        <v>391</v>
      </c>
      <c r="L46" s="18" t="n">
        <v>422</v>
      </c>
      <c r="M46" s="9" t="n"/>
      <c r="N46" s="9" t="n"/>
      <c r="O46" s="9" t="n"/>
      <c r="P46" s="18" t="n">
        <v>368</v>
      </c>
      <c r="Q46" s="18" t="n">
        <v>366</v>
      </c>
      <c r="R46" s="18" t="n">
        <v>375</v>
      </c>
      <c r="S46" s="18" t="n">
        <v>356</v>
      </c>
      <c r="T46" s="18" t="n">
        <v>389</v>
      </c>
      <c r="U46" s="18" t="n">
        <v>370</v>
      </c>
    </row>
    <row r="47">
      <c r="A47" s="5" t="inlineStr">
        <is>
          <t>Accrued postretirement health care costs</t>
        </is>
      </c>
      <c r="C47" s="18" t="n">
        <v>382</v>
      </c>
      <c r="D47" s="18" t="n">
        <v>419</v>
      </c>
      <c r="E47" s="18" t="n">
        <v>351</v>
      </c>
      <c r="F47" s="18" t="n">
        <v>387</v>
      </c>
      <c r="G47" s="18" t="n">
        <v>346</v>
      </c>
      <c r="H47" s="18" t="n">
        <v>301</v>
      </c>
      <c r="I47" s="18" t="n">
        <v>217</v>
      </c>
      <c r="J47" s="18" t="n">
        <v>124</v>
      </c>
      <c r="K47" s="18" t="n">
        <v>98</v>
      </c>
      <c r="L47" s="18" t="n">
        <v>74</v>
      </c>
      <c r="M47" s="9" t="n"/>
      <c r="N47" s="9" t="n"/>
      <c r="O47" s="9" t="n"/>
      <c r="P47" s="18" t="n">
        <v>125</v>
      </c>
      <c r="Q47" s="18" t="n">
        <v>95</v>
      </c>
      <c r="R47" s="18" t="n">
        <v>98</v>
      </c>
      <c r="S47" s="18" t="n">
        <v>95</v>
      </c>
      <c r="T47" s="18" t="n">
        <v>72</v>
      </c>
      <c r="U47" s="18" t="n">
        <v>72</v>
      </c>
    </row>
    <row r="48">
      <c r="A48" s="5" t="inlineStr">
        <is>
          <t>Other liabilities</t>
        </is>
      </c>
      <c r="C48" s="18" t="n">
        <v>1572</v>
      </c>
      <c r="D48" s="18" t="n">
        <v>2689</v>
      </c>
      <c r="E48" s="18" t="n">
        <v>2623</v>
      </c>
      <c r="F48" s="18" t="n">
        <v>2351</v>
      </c>
      <c r="G48" s="18" t="n">
        <v>2302</v>
      </c>
      <c r="H48" s="18" t="n">
        <v>2326</v>
      </c>
      <c r="I48" s="18" t="n">
        <v>2688</v>
      </c>
      <c r="J48" s="18" t="n">
        <v>2735</v>
      </c>
      <c r="K48" s="18" t="n">
        <v>1789</v>
      </c>
      <c r="L48" s="18" t="n">
        <v>1885</v>
      </c>
      <c r="M48" s="9" t="n"/>
      <c r="N48" s="9" t="n"/>
      <c r="O48" s="9" t="n"/>
      <c r="P48" s="18" t="n">
        <v>2191</v>
      </c>
      <c r="Q48" s="18" t="n">
        <v>1798</v>
      </c>
      <c r="R48" s="18" t="n">
        <v>2133</v>
      </c>
      <c r="S48" s="18" t="n">
        <v>1970</v>
      </c>
      <c r="T48" s="18" t="n">
        <v>1741</v>
      </c>
      <c r="U48" s="18" t="n">
        <v>1912</v>
      </c>
    </row>
    <row r="49">
      <c r="A49" s="10" t="inlineStr">
        <is>
          <t>TOTAL LIABILITIES</t>
        </is>
      </c>
      <c r="C49" s="19" t="n">
        <v>36323</v>
      </c>
      <c r="D49" s="19" t="n">
        <v>36918</v>
      </c>
      <c r="E49" s="19" t="n">
        <v>37016</v>
      </c>
      <c r="F49" s="19" t="n">
        <v>37198</v>
      </c>
      <c r="G49" s="19" t="n">
        <v>40156</v>
      </c>
      <c r="H49" s="19" t="n">
        <v>38769</v>
      </c>
      <c r="I49" s="19" t="n">
        <v>44241</v>
      </c>
      <c r="J49" s="19" t="n">
        <v>43025</v>
      </c>
      <c r="K49" s="19" t="n">
        <v>41539</v>
      </c>
      <c r="L49" s="19" t="n">
        <v>45596</v>
      </c>
      <c r="M49" s="20" t="n"/>
      <c r="N49" s="20" t="n"/>
      <c r="O49" s="20" t="n"/>
      <c r="P49" s="19" t="n">
        <v>44300</v>
      </c>
      <c r="Q49" s="19" t="n">
        <v>43104</v>
      </c>
      <c r="R49" s="19" t="n">
        <v>44773</v>
      </c>
      <c r="S49" s="19" t="n">
        <v>45129</v>
      </c>
      <c r="T49" s="19" t="n">
        <v>45318</v>
      </c>
      <c r="U49" s="19" t="n">
        <v>44555</v>
      </c>
    </row>
    <row r="50">
      <c r="A50" s="14" t="inlineStr">
        <is>
          <t>Total Liabilities Check (should be ~0)</t>
        </is>
      </c>
      <c r="C50" s="23">
        <f>C40+C43+C44+C45+C46+C47+C48-C49</f>
        <v/>
      </c>
      <c r="D50" s="23">
        <f>D40+D43+D44+D45+D46+D47+D48-D49</f>
        <v/>
      </c>
      <c r="E50" s="23">
        <f>E40+E43+E44+E45+E46+E47+E48-E49</f>
        <v/>
      </c>
      <c r="F50" s="23">
        <f>F40+F43+F44+F45+F46+F47+F48-F49</f>
        <v/>
      </c>
      <c r="G50" s="23">
        <f>G40+G43+G44+G45+G46+G47+G48-G49</f>
        <v/>
      </c>
      <c r="H50" s="23">
        <f>H40+H43+H44+H45+H46+H47+H48-H49</f>
        <v/>
      </c>
      <c r="I50" s="23">
        <f>I40+I43+I44+I45+I46+I47+I48-I49</f>
        <v/>
      </c>
      <c r="J50" s="23">
        <f>J40+J43+J44+J45+J46+J47+J48-J49</f>
        <v/>
      </c>
      <c r="K50" s="23">
        <f>K40+K43+K44+K45+K46+K47+K48-K49</f>
        <v/>
      </c>
      <c r="L50" s="23">
        <f>L40+L43+L44+L45+L46+L47+L48-L49</f>
        <v/>
      </c>
      <c r="M50" s="9" t="n"/>
      <c r="N50" s="9" t="n"/>
      <c r="O50" s="9" t="n"/>
      <c r="P50" s="23">
        <f>P40+P43+P44+P45+P46+P47+P48-P49</f>
        <v/>
      </c>
      <c r="Q50" s="23">
        <f>Q40+Q43+Q44+Q45+Q46+Q47+Q48-Q49</f>
        <v/>
      </c>
      <c r="R50" s="23">
        <f>R40+R43+R44+R45+R46+R47+R48-R49</f>
        <v/>
      </c>
      <c r="S50" s="23">
        <f>S40+S43+S44+S45+S46+S47+S48-S49</f>
        <v/>
      </c>
      <c r="T50" s="23">
        <f>T40+T43+T44+T45+T46+T47+T48-T49</f>
        <v/>
      </c>
      <c r="U50" s="23">
        <f>U40+U43+U44+U45+U46+U47+U48-U49</f>
        <v/>
      </c>
    </row>
    <row r="51" ht="8" customHeight="1">
      <c r="M51" s="9" t="n"/>
      <c r="N51" s="9" t="n"/>
      <c r="O51" s="9" t="n"/>
    </row>
    <row r="52" ht="20" customHeight="1">
      <c r="A52" s="12" t="inlineStr">
        <is>
          <t>3. EQUITY</t>
        </is>
      </c>
      <c r="B52" s="2" t="n"/>
      <c r="C52" s="2" t="n"/>
      <c r="D52" s="2" t="n"/>
      <c r="E52" s="2" t="n"/>
      <c r="F52" s="2" t="n"/>
      <c r="G52" s="2" t="n"/>
      <c r="H52" s="2" t="n"/>
      <c r="I52" s="2" t="n"/>
      <c r="J52" s="2" t="n"/>
      <c r="K52" s="2" t="n"/>
      <c r="L52" s="2" t="n"/>
      <c r="M52" s="9" t="n"/>
      <c r="N52" s="9" t="n"/>
      <c r="O52" s="9" t="n"/>
      <c r="P52" s="2" t="n"/>
      <c r="Q52" s="2" t="n"/>
      <c r="R52" s="2" t="n"/>
      <c r="S52" s="2" t="n"/>
      <c r="T52" s="2" t="n"/>
      <c r="U52" s="2" t="n"/>
    </row>
    <row r="53">
      <c r="A53" s="5" t="inlineStr">
        <is>
          <t>Additional paid-in capital</t>
        </is>
      </c>
      <c r="C53" s="18" t="n">
        <v>31847</v>
      </c>
      <c r="D53" s="18" t="n">
        <v>31915</v>
      </c>
      <c r="E53" s="18" t="n">
        <v>31961</v>
      </c>
      <c r="F53" s="18" t="n">
        <v>32019</v>
      </c>
      <c r="G53" s="18" t="n">
        <v>32070</v>
      </c>
      <c r="H53" s="18" t="n">
        <v>32097</v>
      </c>
      <c r="I53" s="18" t="n">
        <v>32143</v>
      </c>
      <c r="J53" s="18" t="n">
        <v>32216</v>
      </c>
      <c r="K53" s="18" t="n">
        <v>32276</v>
      </c>
      <c r="L53" s="18" t="n">
        <v>32322</v>
      </c>
      <c r="M53" s="9" t="n"/>
      <c r="N53" s="9" t="n"/>
      <c r="O53" s="9" t="n"/>
      <c r="P53" s="18" t="n">
        <v>32244</v>
      </c>
      <c r="Q53" s="18" t="n">
        <v>32233</v>
      </c>
      <c r="R53" s="18" t="n">
        <v>32280</v>
      </c>
      <c r="S53" s="18" t="n">
        <v>32299</v>
      </c>
      <c r="T53" s="18" t="n">
        <v>32276</v>
      </c>
      <c r="U53" s="18" t="n">
        <v>32333</v>
      </c>
    </row>
    <row r="54">
      <c r="A54" s="5" t="inlineStr">
        <is>
          <t>Retained earnings</t>
        </is>
      </c>
      <c r="C54" s="18" t="n">
        <v>21149</v>
      </c>
      <c r="D54" s="18" t="n">
        <v>22749</v>
      </c>
      <c r="E54" s="18" t="n">
        <v>24491</v>
      </c>
      <c r="F54" s="18" t="n">
        <v>26653</v>
      </c>
      <c r="G54" s="18" t="n">
        <v>28402</v>
      </c>
      <c r="H54" s="18" t="n">
        <v>30806</v>
      </c>
      <c r="I54" s="18" t="n">
        <v>31481</v>
      </c>
      <c r="J54" s="18" t="n">
        <v>34236</v>
      </c>
      <c r="K54" s="18" t="n">
        <v>36476</v>
      </c>
      <c r="L54" s="18" t="n">
        <v>36413</v>
      </c>
      <c r="M54" s="9" t="n"/>
      <c r="N54" s="9" t="n"/>
      <c r="O54" s="9" t="n"/>
      <c r="P54" s="18" t="n">
        <v>35331</v>
      </c>
      <c r="Q54" s="18" t="n">
        <v>36263</v>
      </c>
      <c r="R54" s="18" t="n">
        <v>36293</v>
      </c>
      <c r="S54" s="18" t="n">
        <v>36390</v>
      </c>
      <c r="T54" s="18" t="n">
        <v>36329</v>
      </c>
      <c r="U54" s="18" t="n">
        <v>37233</v>
      </c>
    </row>
    <row r="55">
      <c r="A55" s="5" t="inlineStr">
        <is>
          <t>Accumulated other comprehensive losses</t>
        </is>
      </c>
      <c r="C55" s="18" t="n">
        <v>-11122</v>
      </c>
      <c r="D55" s="18" t="n">
        <v>-9998</v>
      </c>
      <c r="E55" s="18" t="n">
        <v>-10630</v>
      </c>
      <c r="F55" s="18" t="n">
        <v>-10258</v>
      </c>
      <c r="G55" s="18" t="n">
        <v>-10690</v>
      </c>
      <c r="H55" s="18" t="n">
        <v>-10624</v>
      </c>
      <c r="I55" s="18" t="n">
        <v>-10947</v>
      </c>
      <c r="J55" s="18" t="n">
        <v>-10946</v>
      </c>
      <c r="K55" s="18" t="n">
        <v>-12471</v>
      </c>
      <c r="L55" s="18" t="n">
        <v>-11364</v>
      </c>
      <c r="M55" s="9" t="n"/>
      <c r="N55" s="9" t="n"/>
      <c r="O55" s="9" t="n"/>
      <c r="P55" s="18" t="n">
        <v>-11579</v>
      </c>
      <c r="Q55" s="18" t="n">
        <v>-11979</v>
      </c>
      <c r="R55" s="18" t="n">
        <v>-11561</v>
      </c>
      <c r="S55" s="18" t="n">
        <v>-11464</v>
      </c>
      <c r="T55" s="18" t="n">
        <v>-11406</v>
      </c>
      <c r="U55" s="18" t="n">
        <v>-11283</v>
      </c>
    </row>
    <row r="56">
      <c r="A56" s="5" t="inlineStr">
        <is>
          <t>Treasury stock, at cost</t>
        </is>
      </c>
      <c r="C56" s="18" t="n">
        <v>-16713</v>
      </c>
      <c r="D56" s="18" t="n">
        <v>-18555</v>
      </c>
      <c r="E56" s="18" t="n">
        <v>-20185</v>
      </c>
      <c r="F56" s="18" t="n">
        <v>-21139</v>
      </c>
      <c r="G56" s="18" t="n">
        <v>-22204</v>
      </c>
      <c r="H56" s="18" t="n">
        <v>-24010</v>
      </c>
      <c r="I56" s="18" t="n">
        <v>-25794</v>
      </c>
      <c r="J56" s="18" t="n">
        <v>-27174</v>
      </c>
      <c r="K56" s="18" t="n">
        <v>-29349</v>
      </c>
      <c r="L56" s="18" t="n">
        <v>-31533</v>
      </c>
      <c r="M56" s="9" t="n"/>
      <c r="N56" s="9" t="n"/>
      <c r="O56" s="9" t="n"/>
      <c r="P56" s="18" t="n">
        <v>-28142</v>
      </c>
      <c r="Q56" s="18" t="n">
        <v>-30732</v>
      </c>
      <c r="R56" s="18" t="n">
        <v>-30819</v>
      </c>
      <c r="S56" s="18" t="n">
        <v>-31048</v>
      </c>
      <c r="T56" s="18" t="n">
        <v>-31449</v>
      </c>
      <c r="U56" s="18" t="n">
        <v>-31644</v>
      </c>
    </row>
    <row r="57">
      <c r="A57" s="10" t="inlineStr">
        <is>
          <t>Total Mondelez International Shareholders' Equity</t>
        </is>
      </c>
      <c r="C57" s="19" t="n">
        <v>25161</v>
      </c>
      <c r="D57" s="19" t="n">
        <v>26111</v>
      </c>
      <c r="E57" s="19" t="n">
        <v>25637</v>
      </c>
      <c r="F57" s="19" t="n">
        <v>27275</v>
      </c>
      <c r="G57" s="19" t="n">
        <v>27578</v>
      </c>
      <c r="H57" s="19" t="n">
        <v>28269</v>
      </c>
      <c r="I57" s="19" t="n">
        <v>26883</v>
      </c>
      <c r="J57" s="19" t="n">
        <v>28332</v>
      </c>
      <c r="K57" s="19" t="n">
        <v>26932</v>
      </c>
      <c r="L57" s="19" t="n">
        <v>25838</v>
      </c>
      <c r="M57" s="20" t="n"/>
      <c r="N57" s="20" t="n"/>
      <c r="O57" s="20" t="n"/>
      <c r="P57" s="19" t="n">
        <v>27854</v>
      </c>
      <c r="Q57" s="19" t="n">
        <v>25785</v>
      </c>
      <c r="R57" s="19" t="n">
        <v>26193</v>
      </c>
      <c r="S57" s="19" t="n">
        <v>26177</v>
      </c>
      <c r="T57" s="19" t="n">
        <v>25750</v>
      </c>
      <c r="U57" s="19" t="n">
        <v>26639</v>
      </c>
    </row>
    <row r="58">
      <c r="A58" s="14" t="inlineStr">
        <is>
          <t>Parent Equity Check (should be ~0)</t>
        </is>
      </c>
      <c r="C58" s="23">
        <f>C53+C54+C55+C56-C57</f>
        <v/>
      </c>
      <c r="D58" s="23">
        <f>D53+D54+D55+D56-D57</f>
        <v/>
      </c>
      <c r="E58" s="23">
        <f>E53+E54+E55+E56-E57</f>
        <v/>
      </c>
      <c r="F58" s="23">
        <f>F53+F54+F55+F56-F57</f>
        <v/>
      </c>
      <c r="G58" s="23">
        <f>G53+G54+G55+G56-G57</f>
        <v/>
      </c>
      <c r="H58" s="23">
        <f>H53+H54+H55+H56-H57</f>
        <v/>
      </c>
      <c r="I58" s="23">
        <f>I53+I54+I55+I56-I57</f>
        <v/>
      </c>
      <c r="J58" s="23">
        <f>J53+J54+J55+J56-J57</f>
        <v/>
      </c>
      <c r="K58" s="23">
        <f>K53+K54+K55+K56-K57</f>
        <v/>
      </c>
      <c r="L58" s="23">
        <f>L53+L54+L55+L56-L57</f>
        <v/>
      </c>
      <c r="M58" s="9" t="n"/>
      <c r="N58" s="9" t="n"/>
      <c r="O58" s="9" t="n"/>
      <c r="P58" s="23">
        <f>P53+P54+P55+P56-P57</f>
        <v/>
      </c>
      <c r="Q58" s="23">
        <f>Q53+Q54+Q55+Q56-Q57</f>
        <v/>
      </c>
      <c r="R58" s="23">
        <f>R53+R54+R55+R56-R57</f>
        <v/>
      </c>
      <c r="S58" s="23">
        <f>S53+S54+S55+S56-S57</f>
        <v/>
      </c>
      <c r="T58" s="23">
        <f>T53+T54+T55+T56-T57</f>
        <v/>
      </c>
      <c r="U58" s="23">
        <f>U53+U54+U55+U56-U57</f>
        <v/>
      </c>
    </row>
    <row r="59">
      <c r="A59" s="5" t="inlineStr">
        <is>
          <t>Noncontrolling interest</t>
        </is>
      </c>
      <c r="C59" s="18" t="n">
        <v>54</v>
      </c>
      <c r="D59" s="18" t="n">
        <v>80</v>
      </c>
      <c r="E59" s="18" t="n">
        <v>76</v>
      </c>
      <c r="F59" s="18" t="n">
        <v>76</v>
      </c>
      <c r="G59" s="18" t="n">
        <v>76</v>
      </c>
      <c r="H59" s="18" t="n">
        <v>54</v>
      </c>
      <c r="I59" s="18" t="n">
        <v>37</v>
      </c>
      <c r="J59" s="18" t="n">
        <v>34</v>
      </c>
      <c r="K59" s="18" t="n">
        <v>26</v>
      </c>
      <c r="L59" s="18" t="n">
        <v>53</v>
      </c>
      <c r="M59" s="9" t="n"/>
      <c r="N59" s="9" t="n"/>
      <c r="O59" s="9" t="n"/>
      <c r="P59" s="18" t="n">
        <v>37</v>
      </c>
      <c r="Q59" s="18" t="n">
        <v>38</v>
      </c>
      <c r="R59" s="18" t="n">
        <v>54</v>
      </c>
      <c r="S59" s="18" t="n">
        <v>52</v>
      </c>
      <c r="T59" s="18" t="n">
        <v>54</v>
      </c>
      <c r="U59" s="18" t="n">
        <v>53</v>
      </c>
    </row>
    <row r="60">
      <c r="A60" s="10" t="inlineStr">
        <is>
          <t>TOTAL EQUITY</t>
        </is>
      </c>
      <c r="C60" s="19" t="n">
        <v>25215</v>
      </c>
      <c r="D60" s="19" t="n">
        <v>26191</v>
      </c>
      <c r="E60" s="19" t="n">
        <v>25713</v>
      </c>
      <c r="F60" s="19" t="n">
        <v>27351</v>
      </c>
      <c r="G60" s="19" t="n">
        <v>27654</v>
      </c>
      <c r="H60" s="19" t="n">
        <v>28323</v>
      </c>
      <c r="I60" s="19" t="n">
        <v>26920</v>
      </c>
      <c r="J60" s="19" t="n">
        <v>28366</v>
      </c>
      <c r="K60" s="19" t="n">
        <v>26958</v>
      </c>
      <c r="L60" s="19" t="n">
        <v>25891</v>
      </c>
      <c r="M60" s="20" t="n"/>
      <c r="N60" s="20" t="n"/>
      <c r="O60" s="20" t="n"/>
      <c r="P60" s="19" t="n">
        <v>27891</v>
      </c>
      <c r="Q60" s="19" t="n">
        <v>25823</v>
      </c>
      <c r="R60" s="19" t="n">
        <v>26247</v>
      </c>
      <c r="S60" s="19" t="n">
        <v>26229</v>
      </c>
      <c r="T60" s="19" t="n">
        <v>25804</v>
      </c>
      <c r="U60" s="19" t="n">
        <v>26692</v>
      </c>
    </row>
    <row r="61">
      <c r="A61" s="14" t="inlineStr">
        <is>
          <t>Total Equity Check (should be ~0)</t>
        </is>
      </c>
      <c r="C61" s="23">
        <f>C57+C59-C60</f>
        <v/>
      </c>
      <c r="D61" s="23">
        <f>D57+D59-D60</f>
        <v/>
      </c>
      <c r="E61" s="23">
        <f>E57+E59-E60</f>
        <v/>
      </c>
      <c r="F61" s="23">
        <f>F57+F59-F60</f>
        <v/>
      </c>
      <c r="G61" s="23">
        <f>G57+G59-G60</f>
        <v/>
      </c>
      <c r="H61" s="23">
        <f>H57+H59-H60</f>
        <v/>
      </c>
      <c r="I61" s="23">
        <f>I57+I59-I60</f>
        <v/>
      </c>
      <c r="J61" s="23">
        <f>J57+J59-J60</f>
        <v/>
      </c>
      <c r="K61" s="23">
        <f>K57+K59-K60</f>
        <v/>
      </c>
      <c r="L61" s="23">
        <f>L57+L59-L60</f>
        <v/>
      </c>
      <c r="M61" s="9" t="n"/>
      <c r="N61" s="9" t="n"/>
      <c r="O61" s="9" t="n"/>
      <c r="P61" s="23">
        <f>P57+P59-P60</f>
        <v/>
      </c>
      <c r="Q61" s="23">
        <f>Q57+Q59-Q60</f>
        <v/>
      </c>
      <c r="R61" s="23">
        <f>R57+R59-R60</f>
        <v/>
      </c>
      <c r="S61" s="23">
        <f>S57+S59-S60</f>
        <v/>
      </c>
      <c r="T61" s="23">
        <f>T57+T59-T60</f>
        <v/>
      </c>
      <c r="U61" s="23">
        <f>U57+U59-U60</f>
        <v/>
      </c>
    </row>
    <row r="62" ht="8" customHeight="1">
      <c r="M62" s="9" t="n"/>
      <c r="N62" s="9" t="n"/>
      <c r="O62" s="9" t="n"/>
    </row>
    <row r="63" ht="20" customHeight="1">
      <c r="A63" s="12" t="inlineStr">
        <is>
          <t>4. BALANCE CHECK</t>
        </is>
      </c>
      <c r="B63" s="2" t="n"/>
      <c r="C63" s="2" t="n"/>
      <c r="D63" s="2" t="n"/>
      <c r="E63" s="2" t="n"/>
      <c r="F63" s="2" t="n"/>
      <c r="G63" s="2" t="n"/>
      <c r="H63" s="2" t="n"/>
      <c r="I63" s="2" t="n"/>
      <c r="J63" s="2" t="n"/>
      <c r="K63" s="2" t="n"/>
      <c r="L63" s="2" t="n"/>
      <c r="M63" s="9" t="n"/>
      <c r="N63" s="9" t="n"/>
      <c r="O63" s="9" t="n"/>
      <c r="P63" s="2" t="n"/>
      <c r="Q63" s="2" t="n"/>
      <c r="R63" s="2" t="n"/>
      <c r="S63" s="2" t="n"/>
      <c r="T63" s="2" t="n"/>
      <c r="U63" s="2" t="n"/>
    </row>
    <row r="64">
      <c r="A64" s="10" t="inlineStr">
        <is>
          <t>Balance Sheet Check: Assets = Liabilities + Equity (should be ~0)</t>
        </is>
      </c>
      <c r="C64" s="24">
        <f>C30-C49-C60</f>
        <v/>
      </c>
      <c r="D64" s="24">
        <f>D30-D49-D60</f>
        <v/>
      </c>
      <c r="E64" s="24">
        <f>E30-E49-E60</f>
        <v/>
      </c>
      <c r="F64" s="24">
        <f>F30-F49-F60</f>
        <v/>
      </c>
      <c r="G64" s="24">
        <f>G30-G49-G60</f>
        <v/>
      </c>
      <c r="H64" s="24">
        <f>H30-H49-H60</f>
        <v/>
      </c>
      <c r="I64" s="24">
        <f>I30-I49-I60</f>
        <v/>
      </c>
      <c r="J64" s="24">
        <f>J30-J49-J60</f>
        <v/>
      </c>
      <c r="K64" s="24">
        <f>K30-K49-K60</f>
        <v/>
      </c>
      <c r="L64" s="24">
        <f>L30-L49-L60</f>
        <v/>
      </c>
      <c r="M64" s="9" t="n"/>
      <c r="N64" s="9" t="n"/>
      <c r="O64" s="9" t="n"/>
      <c r="P64" s="24">
        <f>P30-P49-P60</f>
        <v/>
      </c>
      <c r="Q64" s="24">
        <f>Q30-Q49-Q60</f>
        <v/>
      </c>
      <c r="R64" s="24">
        <f>R30-R49-R60</f>
        <v/>
      </c>
      <c r="S64" s="24">
        <f>S30-S49-S60</f>
        <v/>
      </c>
      <c r="T64" s="24">
        <f>T30-T49-T60</f>
        <v/>
      </c>
      <c r="U64" s="24">
        <f>U30-U49-U60</f>
        <v/>
      </c>
    </row>
    <row r="65" ht="8" customHeight="1">
      <c r="M65" s="9" t="n"/>
      <c r="N65" s="9" t="n"/>
      <c r="O65" s="9" t="n"/>
    </row>
    <row r="66" ht="20" customHeight="1">
      <c r="A66" s="12" t="inlineStr">
        <is>
          <t>5. WORKING CAPITAL ANALYTICS</t>
        </is>
      </c>
      <c r="B66" s="2" t="n"/>
      <c r="C66" s="2" t="n"/>
      <c r="D66" s="2" t="n"/>
      <c r="E66" s="2" t="n"/>
      <c r="F66" s="2" t="n"/>
      <c r="G66" s="2" t="n"/>
      <c r="H66" s="2" t="n"/>
      <c r="I66" s="2" t="n"/>
      <c r="J66" s="2" t="n"/>
      <c r="K66" s="2" t="n"/>
      <c r="L66" s="2" t="n"/>
      <c r="M66" s="9" t="n"/>
      <c r="N66" s="9" t="n"/>
      <c r="O66" s="9" t="n"/>
      <c r="P66" s="2" t="n"/>
      <c r="Q66" s="2" t="n"/>
      <c r="R66" s="2" t="n"/>
      <c r="S66" s="2" t="n"/>
      <c r="T66" s="2" t="n"/>
      <c r="U66" s="2" t="n"/>
    </row>
    <row r="67">
      <c r="A67" s="14" t="inlineStr">
        <is>
          <t>Days Sales Outstanding</t>
        </is>
      </c>
      <c r="C67" s="25">
        <f>C15/'Income Statement'!C12*365</f>
        <v/>
      </c>
      <c r="D67" s="25">
        <f>D15/'Income Statement'!D12*365</f>
        <v/>
      </c>
      <c r="E67" s="25">
        <f>E15/'Income Statement'!E12*365</f>
        <v/>
      </c>
      <c r="F67" s="25">
        <f>F15/'Income Statement'!F12*365</f>
        <v/>
      </c>
      <c r="G67" s="25">
        <f>G15/'Income Statement'!G12*365</f>
        <v/>
      </c>
      <c r="H67" s="25">
        <f>H15/'Income Statement'!H12*365</f>
        <v/>
      </c>
      <c r="I67" s="25">
        <f>I15/'Income Statement'!I12*365</f>
        <v/>
      </c>
      <c r="J67" s="25">
        <f>J15/'Income Statement'!J12*365</f>
        <v/>
      </c>
      <c r="K67" s="25">
        <f>K15/'Income Statement'!K12*365</f>
        <v/>
      </c>
      <c r="L67" s="25">
        <f>L15/'Income Statement'!L12*365</f>
        <v/>
      </c>
      <c r="M67" s="9" t="n"/>
      <c r="N67" s="9" t="n"/>
      <c r="O67" s="9" t="n"/>
      <c r="P67" s="25">
        <f>P15/'Income Statement'!P12*91</f>
        <v/>
      </c>
      <c r="Q67" s="25">
        <f>Q15/'Income Statement'!Q12*91</f>
        <v/>
      </c>
      <c r="R67" s="25">
        <f>R15/'Income Statement'!R12*91</f>
        <v/>
      </c>
      <c r="S67" s="25">
        <f>S15/'Income Statement'!S12*91</f>
        <v/>
      </c>
      <c r="T67" s="25">
        <f>T15/'Income Statement'!T12*91</f>
        <v/>
      </c>
      <c r="U67" s="25">
        <f>U15/'Income Statement'!U12*91</f>
        <v/>
      </c>
    </row>
    <row r="68">
      <c r="A68" s="14" t="inlineStr">
        <is>
          <t>Days Inventory Outstanding</t>
        </is>
      </c>
      <c r="C68" s="25">
        <f>C17/(0-'Income Statement'!C14)*365</f>
        <v/>
      </c>
      <c r="D68" s="25">
        <f>D17/(0-'Income Statement'!D14)*365</f>
        <v/>
      </c>
      <c r="E68" s="25">
        <f>E17/(0-'Income Statement'!E14)*365</f>
        <v/>
      </c>
      <c r="F68" s="25">
        <f>F17/(0-'Income Statement'!F14)*365</f>
        <v/>
      </c>
      <c r="G68" s="25">
        <f>G17/(0-'Income Statement'!G14)*365</f>
        <v/>
      </c>
      <c r="H68" s="25">
        <f>H17/(0-'Income Statement'!H14)*365</f>
        <v/>
      </c>
      <c r="I68" s="25">
        <f>I17/(0-'Income Statement'!I14)*365</f>
        <v/>
      </c>
      <c r="J68" s="25">
        <f>J17/(0-'Income Statement'!J14)*365</f>
        <v/>
      </c>
      <c r="K68" s="25">
        <f>K17/(0-'Income Statement'!K14)*365</f>
        <v/>
      </c>
      <c r="L68" s="25">
        <f>L17/(0-'Income Statement'!L14)*365</f>
        <v/>
      </c>
      <c r="M68" s="9" t="n"/>
      <c r="N68" s="9" t="n"/>
      <c r="O68" s="9" t="n"/>
      <c r="P68" s="25">
        <f>P17/(0-'Income Statement'!P14)*91</f>
        <v/>
      </c>
      <c r="Q68" s="25">
        <f>Q17/(0-'Income Statement'!Q14)*91</f>
        <v/>
      </c>
      <c r="R68" s="25">
        <f>R17/(0-'Income Statement'!R14)*91</f>
        <v/>
      </c>
      <c r="S68" s="25">
        <f>S17/(0-'Income Statement'!S14)*91</f>
        <v/>
      </c>
      <c r="T68" s="25">
        <f>T17/(0-'Income Statement'!T14)*91</f>
        <v/>
      </c>
      <c r="U68" s="25">
        <f>U17/(0-'Income Statement'!U14)*91</f>
        <v/>
      </c>
    </row>
    <row r="69">
      <c r="A69" s="14" t="inlineStr">
        <is>
          <t>Days Payable Outstanding</t>
        </is>
      </c>
      <c r="C69" s="25">
        <f>C36/(0-'Income Statement'!C14)*365</f>
        <v/>
      </c>
      <c r="D69" s="25">
        <f>D36/(0-'Income Statement'!D14)*365</f>
        <v/>
      </c>
      <c r="E69" s="25">
        <f>E36/(0-'Income Statement'!E14)*365</f>
        <v/>
      </c>
      <c r="F69" s="25">
        <f>F36/(0-'Income Statement'!F14)*365</f>
        <v/>
      </c>
      <c r="G69" s="25">
        <f>G36/(0-'Income Statement'!G14)*365</f>
        <v/>
      </c>
      <c r="H69" s="25">
        <f>H36/(0-'Income Statement'!H14)*365</f>
        <v/>
      </c>
      <c r="I69" s="25">
        <f>I36/(0-'Income Statement'!I14)*365</f>
        <v/>
      </c>
      <c r="J69" s="25">
        <f>J36/(0-'Income Statement'!J14)*365</f>
        <v/>
      </c>
      <c r="K69" s="25">
        <f>K36/(0-'Income Statement'!K14)*365</f>
        <v/>
      </c>
      <c r="L69" s="25">
        <f>L36/(0-'Income Statement'!L14)*365</f>
        <v/>
      </c>
      <c r="M69" s="9" t="n"/>
      <c r="N69" s="9" t="n"/>
      <c r="O69" s="9" t="n"/>
      <c r="P69" s="25">
        <f>P36/(0-'Income Statement'!P14)*91</f>
        <v/>
      </c>
      <c r="Q69" s="25">
        <f>Q36/(0-'Income Statement'!Q14)*91</f>
        <v/>
      </c>
      <c r="R69" s="25">
        <f>R36/(0-'Income Statement'!R14)*91</f>
        <v/>
      </c>
      <c r="S69" s="25">
        <f>S36/(0-'Income Statement'!S14)*91</f>
        <v/>
      </c>
      <c r="T69" s="25">
        <f>T36/(0-'Income Statement'!T14)*91</f>
        <v/>
      </c>
      <c r="U69" s="25">
        <f>U36/(0-'Income Statement'!U14)*91</f>
        <v/>
      </c>
    </row>
    <row r="70">
      <c r="A70" s="14" t="inlineStr">
        <is>
          <t>Cash Conversion Cycle</t>
        </is>
      </c>
      <c r="C70" s="25">
        <f>C67+C68-C69</f>
        <v/>
      </c>
      <c r="D70" s="25">
        <f>D67+D68-D69</f>
        <v/>
      </c>
      <c r="E70" s="25">
        <f>E67+E68-E69</f>
        <v/>
      </c>
      <c r="F70" s="25">
        <f>F67+F68-F69</f>
        <v/>
      </c>
      <c r="G70" s="25">
        <f>G67+G68-G69</f>
        <v/>
      </c>
      <c r="H70" s="25">
        <f>H67+H68-H69</f>
        <v/>
      </c>
      <c r="I70" s="25">
        <f>I67+I68-I69</f>
        <v/>
      </c>
      <c r="J70" s="25">
        <f>J67+J68-J69</f>
        <v/>
      </c>
      <c r="K70" s="25">
        <f>K67+K68-K69</f>
        <v/>
      </c>
      <c r="L70" s="25">
        <f>L67+L68-L69</f>
        <v/>
      </c>
      <c r="M70" s="9" t="n"/>
      <c r="N70" s="9" t="n"/>
      <c r="O70" s="9" t="n"/>
      <c r="P70" s="25">
        <f>P67+P68-P69</f>
        <v/>
      </c>
      <c r="Q70" s="25">
        <f>Q67+Q68-Q69</f>
        <v/>
      </c>
      <c r="R70" s="25">
        <f>R67+R68-R69</f>
        <v/>
      </c>
      <c r="S70" s="25">
        <f>S67+S68-S69</f>
        <v/>
      </c>
      <c r="T70" s="25">
        <f>T67+T68-T69</f>
        <v/>
      </c>
      <c r="U70" s="25">
        <f>U67+U68-U69</f>
        <v/>
      </c>
    </row>
    <row r="71">
      <c r="M71" s="9" t="n"/>
      <c r="N71" s="9" t="n"/>
      <c r="O71" s="9" t="n"/>
    </row>
  </sheetData>
  <conditionalFormatting sqref="C20:U20">
    <cfRule type="cellIs" priority="1" operator="notBetween" dxfId="0">
      <formula>-0.5</formula>
      <formula>0.5</formula>
    </cfRule>
  </conditionalFormatting>
  <conditionalFormatting sqref="C31:U31">
    <cfRule type="cellIs" priority="2" operator="notBetween" dxfId="0">
      <formula>-0.5</formula>
      <formula>0.5</formula>
    </cfRule>
  </conditionalFormatting>
  <conditionalFormatting sqref="C41:U41">
    <cfRule type="cellIs" priority="3" operator="notBetween" dxfId="0">
      <formula>-0.5</formula>
      <formula>0.5</formula>
    </cfRule>
  </conditionalFormatting>
  <conditionalFormatting sqref="C50:U50">
    <cfRule type="cellIs" priority="4" operator="notBetween" dxfId="0">
      <formula>-0.5</formula>
      <formula>0.5</formula>
    </cfRule>
  </conditionalFormatting>
  <conditionalFormatting sqref="C58:U58">
    <cfRule type="cellIs" priority="5" operator="notBetween" dxfId="0">
      <formula>-0.5</formula>
      <formula>0.5</formula>
    </cfRule>
  </conditionalFormatting>
  <conditionalFormatting sqref="C61:U61">
    <cfRule type="cellIs" priority="6" operator="notBetween" dxfId="0">
      <formula>-0.5</formula>
      <formula>0.5</formula>
    </cfRule>
  </conditionalFormatting>
  <conditionalFormatting sqref="C64:U64">
    <cfRule type="cellIs" priority="7" operator="notBetween" dxfId="0">
      <formula>-0.5</formula>
      <formula>0.5</formula>
    </cfRule>
  </conditionalFormatting>
  <pageMargins left="0.75" right="0.75" top="1" bottom="1" header="0.5" footer="0.5"/>
</worksheet>
</file>

<file path=xl/worksheets/sheet4.xml><?xml version="1.0" encoding="utf-8"?>
<worksheet xmlns="http://schemas.openxmlformats.org/spreadsheetml/2006/main">
  <sheetPr>
    <tabColor rgb="001F4E79"/>
    <outlinePr summaryBelow="1" summaryRight="1"/>
    <pageSetUpPr/>
  </sheetPr>
  <dimension ref="A1:U7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6.5"/>
  <cols>
    <col width="46" customWidth="1" min="1" max="1"/>
    <col hidden="1" outlineLevel="1"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9" customWidth="1" min="13" max="13"/>
    <col width="9" customWidth="1" min="14" max="14"/>
    <col width="9" customWidth="1" min="15" max="15"/>
    <col width="12" customWidth="1" min="16" max="16"/>
    <col width="12" customWidth="1" min="17" max="17"/>
    <col width="12" customWidth="1" min="18" max="18"/>
    <col width="12" customWidth="1" min="19" max="19"/>
    <col width="12" customWidth="1" min="20" max="20"/>
    <col width="12" customWidth="1" min="21" max="21"/>
  </cols>
  <sheetData>
    <row r="1" ht="28" customHeight="1">
      <c r="A1" s="1" t="inlineStr">
        <is>
          <t>Mondelez International, Inc. — Cash Flow</t>
        </is>
      </c>
      <c r="B1" s="2" t="n"/>
      <c r="C1" s="2" t="n"/>
      <c r="D1" s="2" t="n"/>
      <c r="E1" s="2" t="n"/>
      <c r="F1" s="2" t="n"/>
      <c r="G1" s="2" t="n"/>
      <c r="H1" s="2" t="n"/>
      <c r="I1" s="2" t="n"/>
      <c r="J1" s="2" t="n"/>
      <c r="K1" s="2" t="n"/>
      <c r="L1" s="2" t="n"/>
      <c r="M1" s="2" t="n"/>
      <c r="N1" s="2" t="n"/>
      <c r="O1" s="2" t="n"/>
      <c r="P1" s="2" t="n"/>
      <c r="Q1" s="2" t="n"/>
      <c r="R1" s="2" t="n"/>
      <c r="S1" s="2" t="n"/>
      <c r="T1" s="2" t="n"/>
      <c r="U1" s="2" t="n"/>
    </row>
    <row r="2" ht="16" customHeight="1">
      <c r="A2" s="3" t="inlineStr">
        <is>
          <t>$ in millions except per-share data  |  USD  |  as of 2026-09-15</t>
        </is>
      </c>
    </row>
    <row r="3">
      <c r="C3" s="6" t="inlineStr">
        <is>
          <t>FY2016</t>
        </is>
      </c>
      <c r="D3" s="6" t="inlineStr">
        <is>
          <t>FY2017</t>
        </is>
      </c>
      <c r="E3" s="6" t="inlineStr">
        <is>
          <t>FY2018</t>
        </is>
      </c>
      <c r="F3" s="6" t="inlineStr">
        <is>
          <t>FY2019</t>
        </is>
      </c>
      <c r="G3" s="6" t="inlineStr">
        <is>
          <t>FY2020</t>
        </is>
      </c>
      <c r="H3" s="6" t="inlineStr">
        <is>
          <t>FY2021</t>
        </is>
      </c>
      <c r="I3" s="6" t="inlineStr">
        <is>
          <t>FY2022</t>
        </is>
      </c>
      <c r="J3" s="6" t="inlineStr">
        <is>
          <t>FY2023</t>
        </is>
      </c>
      <c r="K3" s="6" t="inlineStr">
        <is>
          <t>FY2024</t>
        </is>
      </c>
      <c r="L3" s="6" t="inlineStr">
        <is>
          <t>FY2025</t>
        </is>
      </c>
      <c r="M3" s="7" t="inlineStr">
        <is>
          <t>·</t>
        </is>
      </c>
      <c r="N3" s="7" t="inlineStr">
        <is>
          <t>·</t>
        </is>
      </c>
      <c r="O3" s="7" t="inlineStr">
        <is>
          <t>·</t>
        </is>
      </c>
      <c r="P3" s="6" t="inlineStr">
        <is>
          <t>3Q2024</t>
        </is>
      </c>
      <c r="Q3" s="6" t="inlineStr">
        <is>
          <t>1Q2025</t>
        </is>
      </c>
      <c r="R3" s="6" t="inlineStr">
        <is>
          <t>2Q2025</t>
        </is>
      </c>
      <c r="S3" s="6" t="inlineStr">
        <is>
          <t>3Q2025</t>
        </is>
      </c>
      <c r="T3" s="6" t="inlineStr">
        <is>
          <t>1Q2026</t>
        </is>
      </c>
      <c r="U3" s="6" t="inlineStr">
        <is>
          <t>2Q2026</t>
        </is>
      </c>
    </row>
    <row r="4">
      <c r="C4" s="8" t="inlineStr">
        <is>
          <t>2016-12-31</t>
        </is>
      </c>
      <c r="D4" s="8" t="inlineStr">
        <is>
          <t>2017-12-31</t>
        </is>
      </c>
      <c r="E4" s="8" t="inlineStr">
        <is>
          <t>2018-12-31</t>
        </is>
      </c>
      <c r="F4" s="8" t="inlineStr">
        <is>
          <t>2019-12-31</t>
        </is>
      </c>
      <c r="G4" s="8" t="inlineStr">
        <is>
          <t>2020-12-31</t>
        </is>
      </c>
      <c r="H4" s="8" t="inlineStr">
        <is>
          <t>2021-12-31</t>
        </is>
      </c>
      <c r="I4" s="8" t="inlineStr">
        <is>
          <t>2022-12-31</t>
        </is>
      </c>
      <c r="J4" s="8" t="inlineStr">
        <is>
          <t>2023-12-31</t>
        </is>
      </c>
      <c r="K4" s="8" t="inlineStr">
        <is>
          <t>2024-12-31</t>
        </is>
      </c>
      <c r="L4" s="8" t="inlineStr">
        <is>
          <t>2025-12-31</t>
        </is>
      </c>
      <c r="M4" s="9" t="n"/>
      <c r="N4" s="9" t="n"/>
      <c r="O4" s="9" t="n"/>
      <c r="P4" s="8" t="inlineStr">
        <is>
          <t>2024-09-30</t>
        </is>
      </c>
      <c r="Q4" s="8" t="inlineStr">
        <is>
          <t>2025-03-31</t>
        </is>
      </c>
      <c r="R4" s="8" t="inlineStr">
        <is>
          <t>2025-06-30</t>
        </is>
      </c>
      <c r="S4" s="8" t="inlineStr">
        <is>
          <t>2025-09-30</t>
        </is>
      </c>
      <c r="T4" s="8" t="inlineStr">
        <is>
          <t>2026-03-31</t>
        </is>
      </c>
      <c r="U4" s="8" t="inlineStr">
        <is>
          <t>2026-06-30</t>
        </is>
      </c>
    </row>
    <row r="5">
      <c r="M5" s="9" t="n"/>
      <c r="N5" s="9" t="n"/>
      <c r="O5" s="9" t="n"/>
    </row>
    <row r="6">
      <c r="A6" s="10" t="inlineStr">
        <is>
          <t>CONTENTS</t>
        </is>
      </c>
      <c r="M6" s="9" t="n"/>
      <c r="N6" s="9" t="n"/>
      <c r="O6" s="9" t="n"/>
    </row>
    <row r="7">
      <c r="A7" s="11">
        <f>HYPERLINK("#'Cash Flow'!A12","1. CASH FLOW FROM OPERATING ACTIVITIES")</f>
        <v/>
      </c>
      <c r="M7" s="9" t="n"/>
      <c r="N7" s="9" t="n"/>
      <c r="O7" s="9" t="n"/>
    </row>
    <row r="8">
      <c r="A8" s="11">
        <f>HYPERLINK("#'Cash Flow'!A38","2. CASH FLOW FROM INVESTING ACTIVITIES")</f>
        <v/>
      </c>
      <c r="M8" s="9" t="n"/>
      <c r="N8" s="9" t="n"/>
      <c r="O8" s="9" t="n"/>
    </row>
    <row r="9">
      <c r="A9" s="11">
        <f>HYPERLINK("#'Cash Flow'!A49","3. CASH FLOW FROM FINANCING ACTIVITIES")</f>
        <v/>
      </c>
      <c r="M9" s="9" t="n"/>
      <c r="N9" s="9" t="n"/>
      <c r="O9" s="9" t="n"/>
    </row>
    <row r="10">
      <c r="A10" s="11">
        <f>HYPERLINK("#'Cash Flow'!A61","4. NET CHANGE IN CASH &amp; FCF ANALYTICS")</f>
        <v/>
      </c>
      <c r="M10" s="9" t="n"/>
      <c r="N10" s="9" t="n"/>
      <c r="O10" s="9" t="n"/>
    </row>
    <row r="11" ht="8" customHeight="1">
      <c r="M11" s="9" t="n"/>
      <c r="N11" s="9" t="n"/>
      <c r="O11" s="9" t="n"/>
    </row>
    <row r="12" ht="20" customHeight="1">
      <c r="A12" s="12" t="inlineStr">
        <is>
          <t>1. CASH FLOW FROM OPERATING ACTIVITIES</t>
        </is>
      </c>
      <c r="B12" s="2" t="n"/>
      <c r="C12" s="2" t="n"/>
      <c r="D12" s="2" t="n"/>
      <c r="E12" s="2" t="n"/>
      <c r="F12" s="2" t="n"/>
      <c r="G12" s="2" t="n"/>
      <c r="H12" s="2" t="n"/>
      <c r="I12" s="2" t="n"/>
      <c r="J12" s="2" t="n"/>
      <c r="K12" s="2" t="n"/>
      <c r="L12" s="2" t="n"/>
      <c r="M12" s="9" t="n"/>
      <c r="N12" s="9" t="n"/>
      <c r="O12" s="9" t="n"/>
      <c r="P12" s="2" t="n"/>
      <c r="Q12" s="2" t="n"/>
      <c r="R12" s="2" t="n"/>
      <c r="S12" s="2" t="n"/>
      <c r="T12" s="2" t="n"/>
      <c r="U12" s="2" t="n"/>
    </row>
    <row r="13">
      <c r="A13" s="10" t="inlineStr">
        <is>
          <t>Net earnings</t>
        </is>
      </c>
      <c r="B13" s="17" t="inlineStr">
        <is>
          <t>Quarterly CF columns are fiscal-YTD cumulative (per MDLZ 10-Q presentation), not discrete-quarter</t>
        </is>
      </c>
      <c r="C13" s="13" t="n">
        <v>1669</v>
      </c>
      <c r="D13" s="13" t="n">
        <v>2936</v>
      </c>
      <c r="E13" s="13" t="n">
        <v>3395</v>
      </c>
      <c r="F13" s="13" t="n">
        <v>3885</v>
      </c>
      <c r="G13" s="13" t="n">
        <v>3569</v>
      </c>
      <c r="H13" s="13" t="n">
        <v>4314</v>
      </c>
      <c r="I13" s="13" t="n">
        <v>2726</v>
      </c>
      <c r="J13" s="13" t="n">
        <v>4968</v>
      </c>
      <c r="K13" s="13" t="n">
        <v>4623</v>
      </c>
      <c r="L13" s="13" t="n">
        <v>2466</v>
      </c>
      <c r="M13" s="9" t="n"/>
      <c r="N13" s="9" t="n"/>
      <c r="O13" s="9" t="n"/>
      <c r="P13" s="13" t="n">
        <v>2875</v>
      </c>
      <c r="Q13" s="13" t="n">
        <v>407</v>
      </c>
      <c r="R13" s="13" t="n">
        <v>1051</v>
      </c>
      <c r="S13" s="13" t="n">
        <v>1797</v>
      </c>
      <c r="T13" s="13" t="n">
        <v>564</v>
      </c>
      <c r="U13" s="13" t="n">
        <v>2116</v>
      </c>
    </row>
    <row r="14">
      <c r="A14" s="16" t="inlineStr">
        <is>
          <t>Depreciation and amortization</t>
        </is>
      </c>
      <c r="C14" s="18" t="n">
        <v>823</v>
      </c>
      <c r="D14" s="18" t="n">
        <v>816</v>
      </c>
      <c r="E14" s="18" t="n">
        <v>811</v>
      </c>
      <c r="F14" s="18" t="n">
        <v>1047</v>
      </c>
      <c r="G14" s="18" t="n">
        <v>1116</v>
      </c>
      <c r="H14" s="18" t="n">
        <v>1113</v>
      </c>
      <c r="I14" s="18" t="n">
        <v>1107</v>
      </c>
      <c r="J14" s="18" t="n">
        <v>1215</v>
      </c>
      <c r="K14" s="18" t="n">
        <v>1302</v>
      </c>
      <c r="L14" s="18" t="n">
        <v>1358</v>
      </c>
      <c r="M14" s="9" t="n"/>
      <c r="N14" s="9" t="n"/>
      <c r="O14" s="9" t="n"/>
      <c r="P14" s="18" t="n">
        <v>971</v>
      </c>
      <c r="Q14" s="18" t="n">
        <v>324</v>
      </c>
      <c r="R14" s="18" t="n">
        <v>663</v>
      </c>
      <c r="S14" s="18" t="n">
        <v>1006</v>
      </c>
      <c r="T14" s="18" t="n">
        <v>343</v>
      </c>
      <c r="U14" s="18" t="n">
        <v>693</v>
      </c>
    </row>
    <row r="15">
      <c r="A15" s="16" t="inlineStr">
        <is>
          <t>Stock-based compensation expense</t>
        </is>
      </c>
      <c r="C15" s="18" t="n">
        <v>140</v>
      </c>
      <c r="D15" s="18" t="n">
        <v>137</v>
      </c>
      <c r="E15" s="18" t="n">
        <v>128</v>
      </c>
      <c r="F15" s="18" t="n">
        <v>135</v>
      </c>
      <c r="G15" s="18" t="n">
        <v>126</v>
      </c>
      <c r="H15" s="18" t="n">
        <v>121</v>
      </c>
      <c r="I15" s="18" t="n">
        <v>120</v>
      </c>
      <c r="J15" s="18" t="n">
        <v>146</v>
      </c>
      <c r="K15" s="18" t="n">
        <v>147</v>
      </c>
      <c r="L15" s="18" t="n">
        <v>114</v>
      </c>
      <c r="M15" s="9" t="n"/>
      <c r="N15" s="9" t="n"/>
      <c r="O15" s="9" t="n"/>
      <c r="P15" s="18" t="n">
        <v>112</v>
      </c>
      <c r="Q15" s="18" t="n">
        <v>18</v>
      </c>
      <c r="R15" s="18" t="n">
        <v>65</v>
      </c>
      <c r="S15" s="18" t="n">
        <v>84</v>
      </c>
      <c r="T15" s="18" t="n">
        <v>29</v>
      </c>
      <c r="U15" s="18" t="n">
        <v>87</v>
      </c>
    </row>
    <row r="16">
      <c r="A16" s="16" t="inlineStr">
        <is>
          <t>Deferred income tax provision/(benefit)</t>
        </is>
      </c>
      <c r="C16" s="18" t="n">
        <v>-141</v>
      </c>
      <c r="D16" s="18" t="n">
        <v>-1206</v>
      </c>
      <c r="E16" s="18" t="n">
        <v>233</v>
      </c>
      <c r="F16" s="18" t="n">
        <v>-631</v>
      </c>
      <c r="G16" s="18" t="n">
        <v>-70</v>
      </c>
      <c r="H16" s="18" t="n">
        <v>205</v>
      </c>
      <c r="I16" s="18" t="n">
        <v>-42</v>
      </c>
      <c r="J16" s="18" t="n">
        <v>-37</v>
      </c>
      <c r="K16" s="18" t="n">
        <v>257</v>
      </c>
      <c r="L16" s="18" t="n">
        <v>16</v>
      </c>
      <c r="M16" s="9" t="n"/>
      <c r="N16" s="9" t="n"/>
      <c r="O16" s="9" t="n"/>
      <c r="P16" s="18" t="n">
        <v>167</v>
      </c>
      <c r="Q16" s="18" t="n">
        <v>-96</v>
      </c>
      <c r="R16" s="18" t="n">
        <v>-69</v>
      </c>
      <c r="S16" s="18" t="n">
        <v>-158</v>
      </c>
      <c r="T16" s="18" t="n">
        <v>8</v>
      </c>
      <c r="U16" s="18" t="n">
        <v>149</v>
      </c>
    </row>
    <row r="17">
      <c r="A17" s="16" t="inlineStr">
        <is>
          <t>U.S. tax reform transition tax</t>
        </is>
      </c>
      <c r="B17" s="17" t="inlineStr">
        <is>
          <t>FY2017-2019 only (Tax Cuts and Jobs Act transition tax)</t>
        </is>
      </c>
      <c r="D17" s="18" t="n">
        <v>1317</v>
      </c>
      <c r="E17" s="18" t="n">
        <v>-38</v>
      </c>
      <c r="F17" s="18" t="n">
        <v>5</v>
      </c>
      <c r="M17" s="9" t="n"/>
      <c r="N17" s="9" t="n"/>
      <c r="O17" s="9" t="n"/>
    </row>
    <row r="18">
      <c r="A18" s="16" t="inlineStr">
        <is>
          <t>Asset impairments and accelerated depreciation</t>
        </is>
      </c>
      <c r="C18" s="18" t="n">
        <v>446</v>
      </c>
      <c r="D18" s="18" t="n">
        <v>334</v>
      </c>
      <c r="E18" s="18" t="n">
        <v>141</v>
      </c>
      <c r="F18" s="18" t="n">
        <v>109</v>
      </c>
      <c r="G18" s="18" t="n">
        <v>136</v>
      </c>
      <c r="H18" s="18" t="n">
        <v>128</v>
      </c>
      <c r="I18" s="18" t="n">
        <v>233</v>
      </c>
      <c r="J18" s="18" t="n">
        <v>128</v>
      </c>
      <c r="K18" s="18" t="n">
        <v>267</v>
      </c>
      <c r="L18" s="18" t="n">
        <v>85</v>
      </c>
      <c r="M18" s="9" t="n"/>
      <c r="N18" s="9" t="n"/>
      <c r="O18" s="9" t="n"/>
      <c r="P18" s="18" t="n">
        <v>210</v>
      </c>
      <c r="Q18" s="18" t="n">
        <v>4</v>
      </c>
      <c r="R18" s="18" t="n">
        <v>9</v>
      </c>
      <c r="S18" s="18" t="n">
        <v>55</v>
      </c>
      <c r="T18" s="18" t="n">
        <v>4</v>
      </c>
      <c r="U18" s="18" t="n">
        <v>10</v>
      </c>
    </row>
    <row r="19">
      <c r="A19" s="16" t="inlineStr">
        <is>
          <t>Loss on early extinguishment of debt</t>
        </is>
      </c>
      <c r="B19" s="17" t="inlineStr">
        <is>
          <t>FY2016-2023 only</t>
        </is>
      </c>
      <c r="C19" s="18" t="n">
        <v>428</v>
      </c>
      <c r="D19" s="18" t="n">
        <v>11</v>
      </c>
      <c r="E19" s="18" t="n">
        <v>140</v>
      </c>
      <c r="G19" s="18" t="n">
        <v>185</v>
      </c>
      <c r="H19" s="18" t="n">
        <v>110</v>
      </c>
      <c r="I19" s="18" t="n">
        <v>38</v>
      </c>
      <c r="J19" s="18" t="n">
        <v>1</v>
      </c>
      <c r="M19" s="9" t="n"/>
      <c r="N19" s="9" t="n"/>
      <c r="O19" s="9" t="n"/>
    </row>
    <row r="20">
      <c r="A20" s="16" t="inlineStr">
        <is>
          <t>Gain on divestitures and acquisitions, net</t>
        </is>
      </c>
      <c r="C20" s="18" t="n">
        <v>-9</v>
      </c>
      <c r="D20" s="18" t="n">
        <v>-186</v>
      </c>
      <c r="F20" s="18" t="n">
        <v>-44</v>
      </c>
      <c r="H20" s="18" t="n">
        <v>-8</v>
      </c>
      <c r="J20" s="18" t="n">
        <v>-108</v>
      </c>
      <c r="K20" s="18" t="n">
        <v>-4</v>
      </c>
      <c r="L20" s="18" t="n">
        <v>-13</v>
      </c>
      <c r="M20" s="9" t="n"/>
      <c r="N20" s="9" t="n"/>
      <c r="O20" s="9" t="n"/>
      <c r="T20" s="18" t="n">
        <v>-1</v>
      </c>
      <c r="U20" s="18" t="n">
        <v>-1</v>
      </c>
    </row>
    <row r="21">
      <c r="A21" s="16" t="inlineStr">
        <is>
          <t>Loss/(gain) on equity method investment transactions</t>
        </is>
      </c>
      <c r="C21" s="18" t="n">
        <v>-43</v>
      </c>
      <c r="D21" s="18" t="n">
        <v>-40</v>
      </c>
      <c r="E21" s="18" t="n">
        <v>-778</v>
      </c>
      <c r="F21" s="18" t="n">
        <v>2</v>
      </c>
      <c r="G21" s="18" t="n">
        <v>-989</v>
      </c>
      <c r="H21" s="18" t="n">
        <v>-742</v>
      </c>
      <c r="I21" s="18" t="n">
        <v>22</v>
      </c>
      <c r="J21" s="18" t="n">
        <v>-465</v>
      </c>
      <c r="K21" s="18" t="n">
        <v>337</v>
      </c>
      <c r="M21" s="9" t="n"/>
      <c r="N21" s="9" t="n"/>
      <c r="O21" s="9" t="n"/>
      <c r="P21" s="18" t="n">
        <v>669</v>
      </c>
      <c r="T21" s="18" t="n">
        <v>3</v>
      </c>
      <c r="U21" s="18" t="n">
        <v>3</v>
      </c>
    </row>
    <row r="22">
      <c r="A22" s="16" t="inlineStr">
        <is>
          <t>Equity method investment net earnings</t>
        </is>
      </c>
      <c r="C22" s="18" t="n">
        <v>-301</v>
      </c>
      <c r="D22" s="18" t="n">
        <v>-460</v>
      </c>
      <c r="E22" s="18" t="n">
        <v>-548</v>
      </c>
      <c r="F22" s="18" t="n">
        <v>-442</v>
      </c>
      <c r="G22" s="18" t="n">
        <v>-421</v>
      </c>
      <c r="H22" s="18" t="n">
        <v>-393</v>
      </c>
      <c r="I22" s="18" t="n">
        <v>-385</v>
      </c>
      <c r="J22" s="18" t="n">
        <v>-160</v>
      </c>
      <c r="K22" s="18" t="n">
        <v>-175</v>
      </c>
      <c r="L22" s="18" t="n">
        <v>-65</v>
      </c>
      <c r="M22" s="9" t="n"/>
      <c r="N22" s="9" t="n"/>
      <c r="O22" s="9" t="n"/>
      <c r="P22" s="18" t="n">
        <v>-140</v>
      </c>
      <c r="Q22" s="18" t="n">
        <v>-16</v>
      </c>
      <c r="R22" s="18" t="n">
        <v>-35</v>
      </c>
      <c r="S22" s="18" t="n">
        <v>-54</v>
      </c>
      <c r="T22" s="18" t="n">
        <v>-20</v>
      </c>
      <c r="U22" s="18" t="n">
        <v>-37</v>
      </c>
    </row>
    <row r="23">
      <c r="A23" s="16" t="inlineStr">
        <is>
          <t>Distributions from equity method investments</t>
        </is>
      </c>
      <c r="C23" s="18" t="n">
        <v>75</v>
      </c>
      <c r="D23" s="18" t="n">
        <v>152</v>
      </c>
      <c r="E23" s="18" t="n">
        <v>180</v>
      </c>
      <c r="F23" s="18" t="n">
        <v>250</v>
      </c>
      <c r="G23" s="18" t="n">
        <v>246</v>
      </c>
      <c r="H23" s="18" t="n">
        <v>172</v>
      </c>
      <c r="I23" s="18" t="n">
        <v>184</v>
      </c>
      <c r="J23" s="18" t="n">
        <v>137</v>
      </c>
      <c r="K23" s="18" t="n">
        <v>115</v>
      </c>
      <c r="L23" s="18" t="n">
        <v>45</v>
      </c>
      <c r="M23" s="9" t="n"/>
      <c r="N23" s="9" t="n"/>
      <c r="O23" s="9" t="n"/>
      <c r="P23" s="18" t="n">
        <v>115</v>
      </c>
      <c r="Q23" s="18" t="n">
        <v>44</v>
      </c>
      <c r="R23" s="18" t="n">
        <v>44</v>
      </c>
      <c r="S23" s="18" t="n">
        <v>45</v>
      </c>
      <c r="T23" s="18" t="n">
        <v>43</v>
      </c>
      <c r="U23" s="18" t="n">
        <v>44</v>
      </c>
    </row>
    <row r="24">
      <c r="A24" s="16" t="inlineStr">
        <is>
          <t>Unrealized loss/(gain) on derivative contracts</t>
        </is>
      </c>
      <c r="B24" s="17" t="inlineStr">
        <is>
          <t>FY2023 onward only</t>
        </is>
      </c>
      <c r="J24" s="18" t="n">
        <v>-171</v>
      </c>
      <c r="K24" s="18" t="n">
        <v>-627</v>
      </c>
      <c r="L24" s="18" t="n">
        <v>1379</v>
      </c>
      <c r="M24" s="9" t="n"/>
      <c r="N24" s="9" t="n"/>
      <c r="O24" s="9" t="n"/>
      <c r="P24" s="18" t="n">
        <v>104</v>
      </c>
      <c r="Q24" s="18" t="n">
        <v>689</v>
      </c>
      <c r="R24" s="18" t="n">
        <v>800</v>
      </c>
      <c r="S24" s="18" t="n">
        <v>1161</v>
      </c>
      <c r="T24" s="18" t="n">
        <v>257</v>
      </c>
      <c r="U24" s="18" t="n">
        <v>-509</v>
      </c>
    </row>
    <row r="25">
      <c r="A25" s="16" t="inlineStr">
        <is>
          <t>Gain on marketable securities</t>
        </is>
      </c>
      <c r="B25" s="17" t="inlineStr">
        <is>
          <t>FY2023 only</t>
        </is>
      </c>
      <c r="J25" s="18" t="n">
        <v>-593</v>
      </c>
      <c r="M25" s="9" t="n"/>
      <c r="N25" s="9" t="n"/>
      <c r="O25" s="9" t="n"/>
    </row>
    <row r="26">
      <c r="A26" s="16" t="inlineStr">
        <is>
          <t>Contingent consideration adjustments</t>
        </is>
      </c>
      <c r="B26" s="17" t="inlineStr">
        <is>
          <t>FY2024 onward only</t>
        </is>
      </c>
      <c r="K26" s="18" t="n">
        <v>-389</v>
      </c>
      <c r="L26" s="18" t="n">
        <v>-34</v>
      </c>
      <c r="M26" s="9" t="n"/>
      <c r="N26" s="9" t="n"/>
      <c r="O26" s="9" t="n"/>
      <c r="P26" s="18" t="n">
        <v>-311</v>
      </c>
      <c r="Q26" s="18" t="n">
        <v>-12</v>
      </c>
      <c r="R26" s="18" t="n">
        <v>-38</v>
      </c>
      <c r="S26" s="18" t="n">
        <v>-26</v>
      </c>
      <c r="T26" s="18" t="n">
        <v>-8</v>
      </c>
      <c r="U26" s="18" t="n">
        <v>3</v>
      </c>
    </row>
    <row r="27">
      <c r="A27" s="16" t="inlineStr">
        <is>
          <t>Other non-cash items, net</t>
        </is>
      </c>
      <c r="C27" s="18" t="n">
        <v>-43</v>
      </c>
      <c r="D27" s="18" t="n">
        <v>-225</v>
      </c>
      <c r="E27" s="18" t="n">
        <v>381</v>
      </c>
      <c r="F27" s="18" t="n">
        <v>97</v>
      </c>
      <c r="G27" s="18" t="n">
        <v>243</v>
      </c>
      <c r="H27" s="18" t="n">
        <v>-230</v>
      </c>
      <c r="I27" s="18" t="n">
        <v>426</v>
      </c>
      <c r="J27" s="18" t="n">
        <v>140</v>
      </c>
      <c r="K27" s="18" t="n">
        <v>26</v>
      </c>
      <c r="L27" s="18" t="n">
        <v>137</v>
      </c>
      <c r="M27" s="9" t="n"/>
      <c r="N27" s="9" t="n"/>
      <c r="O27" s="9" t="n"/>
      <c r="P27" s="18" t="n">
        <v>93</v>
      </c>
      <c r="Q27" s="18" t="n">
        <v>56</v>
      </c>
      <c r="R27" s="18" t="n">
        <v>105</v>
      </c>
      <c r="S27" s="18" t="n">
        <v>109</v>
      </c>
      <c r="T27" s="18" t="n">
        <v>-36</v>
      </c>
      <c r="U27" s="18" t="n">
        <v>-5</v>
      </c>
    </row>
    <row r="28">
      <c r="M28" s="9" t="n"/>
      <c r="N28" s="9" t="n"/>
      <c r="O28" s="9" t="n"/>
    </row>
    <row r="29">
      <c r="A29" s="16" t="inlineStr">
        <is>
          <t>Change in receivables</t>
        </is>
      </c>
      <c r="C29" s="18" t="n">
        <v>31</v>
      </c>
      <c r="D29" s="18" t="n">
        <v>-24</v>
      </c>
      <c r="E29" s="18" t="n">
        <v>257</v>
      </c>
      <c r="F29" s="18" t="n">
        <v>124</v>
      </c>
      <c r="G29" s="18" t="n">
        <v>59</v>
      </c>
      <c r="H29" s="18" t="n">
        <v>-197</v>
      </c>
      <c r="I29" s="18" t="n">
        <v>-719</v>
      </c>
      <c r="J29" s="18" t="n">
        <v>-628</v>
      </c>
      <c r="K29" s="18" t="n">
        <v>-519</v>
      </c>
      <c r="L29" s="18" t="n">
        <v>433</v>
      </c>
      <c r="M29" s="9" t="n"/>
      <c r="N29" s="9" t="n"/>
      <c r="O29" s="9" t="n"/>
      <c r="P29" s="18" t="n">
        <v>-270</v>
      </c>
      <c r="Q29" s="18" t="n">
        <v>-379</v>
      </c>
      <c r="R29" s="18" t="n">
        <v>536</v>
      </c>
      <c r="S29" s="18" t="n">
        <v>-92</v>
      </c>
      <c r="T29" s="18" t="n">
        <v>-728</v>
      </c>
      <c r="U29" s="18" t="n">
        <v>-424</v>
      </c>
    </row>
    <row r="30">
      <c r="A30" s="16" t="inlineStr">
        <is>
          <t>Change in inventories</t>
        </is>
      </c>
      <c r="C30" s="18" t="n">
        <v>62</v>
      </c>
      <c r="D30" s="18" t="n">
        <v>-18</v>
      </c>
      <c r="E30" s="18" t="n">
        <v>-204</v>
      </c>
      <c r="F30" s="18" t="n">
        <v>31</v>
      </c>
      <c r="G30" s="18" t="n">
        <v>-24</v>
      </c>
      <c r="H30" s="18" t="n">
        <v>-170</v>
      </c>
      <c r="I30" s="18" t="n">
        <v>-635</v>
      </c>
      <c r="J30" s="18" t="n">
        <v>-193</v>
      </c>
      <c r="K30" s="18" t="n">
        <v>-458</v>
      </c>
      <c r="L30" s="18" t="n">
        <v>-253</v>
      </c>
      <c r="M30" s="9" t="n"/>
      <c r="N30" s="9" t="n"/>
      <c r="O30" s="9" t="n"/>
      <c r="P30" s="18" t="n">
        <v>-710</v>
      </c>
      <c r="Q30" s="18" t="n">
        <v>-300</v>
      </c>
      <c r="R30" s="18" t="n">
        <v>-775</v>
      </c>
      <c r="S30" s="18" t="n">
        <v>-967</v>
      </c>
      <c r="T30" s="18" t="n">
        <v>314</v>
      </c>
      <c r="U30" s="18" t="n">
        <v>-16</v>
      </c>
    </row>
    <row r="31">
      <c r="A31" s="16" t="inlineStr">
        <is>
          <t>Change in accounts payable</t>
        </is>
      </c>
      <c r="C31" s="18" t="n">
        <v>409</v>
      </c>
      <c r="D31" s="18" t="n">
        <v>5</v>
      </c>
      <c r="E31" s="18" t="n">
        <v>236</v>
      </c>
      <c r="F31" s="18" t="n">
        <v>4</v>
      </c>
      <c r="G31" s="18" t="n">
        <v>436</v>
      </c>
      <c r="H31" s="18" t="n">
        <v>702</v>
      </c>
      <c r="I31" s="18" t="n">
        <v>715</v>
      </c>
      <c r="J31" s="18" t="n">
        <v>264</v>
      </c>
      <c r="K31" s="18" t="n">
        <v>1682</v>
      </c>
      <c r="L31" s="18" t="n">
        <v>-145</v>
      </c>
      <c r="M31" s="9" t="n"/>
      <c r="N31" s="9" t="n"/>
      <c r="O31" s="9" t="n"/>
      <c r="P31" s="18" t="n">
        <v>951</v>
      </c>
      <c r="Q31" s="18" t="n">
        <v>222</v>
      </c>
      <c r="R31" s="18" t="n">
        <v>-177</v>
      </c>
      <c r="S31" s="18" t="n">
        <v>-159</v>
      </c>
      <c r="T31" s="18" t="n">
        <v>-320</v>
      </c>
      <c r="U31" s="18" t="n">
        <v>-538</v>
      </c>
    </row>
    <row r="32">
      <c r="A32" s="16" t="inlineStr">
        <is>
          <t>Change in other current assets</t>
        </is>
      </c>
      <c r="C32" s="18" t="n">
        <v>-176</v>
      </c>
      <c r="D32" s="18" t="n">
        <v>14</v>
      </c>
      <c r="E32" s="18" t="n">
        <v>-25</v>
      </c>
      <c r="F32" s="18" t="n">
        <v>-77</v>
      </c>
      <c r="G32" s="18" t="n">
        <v>-207</v>
      </c>
      <c r="H32" s="18" t="n">
        <v>-169</v>
      </c>
      <c r="I32" s="18" t="n">
        <v>-286</v>
      </c>
      <c r="J32" s="18" t="n">
        <v>-120</v>
      </c>
      <c r="K32" s="18" t="n">
        <v>-591</v>
      </c>
      <c r="L32" s="18" t="n">
        <v>-225</v>
      </c>
      <c r="M32" s="9" t="n"/>
      <c r="N32" s="9" t="n"/>
      <c r="O32" s="9" t="n"/>
      <c r="P32" s="18" t="n">
        <v>-287</v>
      </c>
      <c r="Q32" s="18" t="n">
        <v>196</v>
      </c>
      <c r="R32" s="18" t="n">
        <v>108</v>
      </c>
      <c r="S32" s="18" t="n">
        <v>-30</v>
      </c>
      <c r="T32" s="18" t="n">
        <v>-1</v>
      </c>
      <c r="U32" s="18" t="n">
        <v>142</v>
      </c>
    </row>
    <row r="33">
      <c r="A33" s="16" t="inlineStr">
        <is>
          <t>Change in other current liabilities</t>
        </is>
      </c>
      <c r="C33" s="18" t="n">
        <v>60</v>
      </c>
      <c r="D33" s="18" t="n">
        <v>-637</v>
      </c>
      <c r="E33" s="18" t="n">
        <v>-136</v>
      </c>
      <c r="F33" s="18" t="n">
        <v>-362</v>
      </c>
      <c r="G33" s="18" t="n">
        <v>-208</v>
      </c>
      <c r="H33" s="18" t="n">
        <v>-502</v>
      </c>
      <c r="I33" s="18" t="n">
        <v>630</v>
      </c>
      <c r="J33" s="18" t="n">
        <v>376</v>
      </c>
      <c r="K33" s="18" t="n">
        <v>-932</v>
      </c>
      <c r="L33" s="18" t="n">
        <v>-1026</v>
      </c>
      <c r="M33" s="9" t="n"/>
      <c r="N33" s="9" t="n"/>
      <c r="O33" s="9" t="n"/>
      <c r="P33" s="18" t="n">
        <v>-992</v>
      </c>
      <c r="Q33" s="18" t="n">
        <v>-58</v>
      </c>
      <c r="R33" s="18" t="n">
        <v>-1125</v>
      </c>
      <c r="S33" s="18" t="n">
        <v>-903</v>
      </c>
      <c r="T33" s="18" t="n">
        <v>83</v>
      </c>
      <c r="U33" s="18" t="n">
        <v>-296</v>
      </c>
    </row>
    <row r="34">
      <c r="A34" s="16" t="inlineStr">
        <is>
          <t>Change in pension and postretirement assets/liabilities</t>
        </is>
      </c>
      <c r="C34" s="18" t="n">
        <v>-592</v>
      </c>
      <c r="D34" s="18" t="n">
        <v>-333</v>
      </c>
      <c r="E34" s="18" t="n">
        <v>-225</v>
      </c>
      <c r="F34" s="18" t="n">
        <v>-168</v>
      </c>
      <c r="G34" s="18" t="n">
        <v>-233</v>
      </c>
      <c r="H34" s="18" t="n">
        <v>-313</v>
      </c>
      <c r="I34" s="18" t="n">
        <v>-226</v>
      </c>
      <c r="J34" s="18" t="n">
        <v>-186</v>
      </c>
      <c r="K34" s="18" t="n">
        <v>-151</v>
      </c>
      <c r="L34" s="18" t="n">
        <v>242</v>
      </c>
      <c r="M34" s="9" t="n"/>
      <c r="N34" s="9" t="n"/>
      <c r="O34" s="9" t="n"/>
      <c r="P34" s="18" t="n">
        <v>-106</v>
      </c>
      <c r="Q34" s="18" t="n">
        <v>-7</v>
      </c>
      <c r="R34" s="18" t="n">
        <v>238</v>
      </c>
      <c r="S34" s="18" t="n">
        <v>249</v>
      </c>
      <c r="T34" s="18" t="n">
        <v>-67</v>
      </c>
      <c r="U34" s="18" t="n">
        <v>-99</v>
      </c>
    </row>
    <row r="35">
      <c r="A35" s="10" t="inlineStr">
        <is>
          <t>Net cash provided by operating activities</t>
        </is>
      </c>
      <c r="C35" s="19" t="n">
        <v>2838</v>
      </c>
      <c r="D35" s="19" t="n">
        <v>2593</v>
      </c>
      <c r="E35" s="19" t="n">
        <v>3948</v>
      </c>
      <c r="F35" s="19" t="n">
        <v>3965</v>
      </c>
      <c r="G35" s="19" t="n">
        <v>3964</v>
      </c>
      <c r="H35" s="19" t="n">
        <v>4141</v>
      </c>
      <c r="I35" s="19" t="n">
        <v>3908</v>
      </c>
      <c r="J35" s="19" t="n">
        <v>4714</v>
      </c>
      <c r="K35" s="19" t="n">
        <v>4910</v>
      </c>
      <c r="L35" s="19" t="n">
        <v>4514</v>
      </c>
      <c r="M35" s="20" t="n"/>
      <c r="N35" s="20" t="n"/>
      <c r="O35" s="20" t="n"/>
      <c r="P35" s="19" t="n">
        <v>3451</v>
      </c>
      <c r="Q35" s="19" t="n">
        <v>1092</v>
      </c>
      <c r="R35" s="19" t="n">
        <v>1400</v>
      </c>
      <c r="S35" s="19" t="n">
        <v>2117</v>
      </c>
      <c r="T35" s="19" t="n">
        <v>467</v>
      </c>
      <c r="U35" s="19" t="n">
        <v>1322</v>
      </c>
    </row>
    <row r="36">
      <c r="A36" s="14" t="inlineStr">
        <is>
          <t>CFO Check (should be ~0)</t>
        </is>
      </c>
      <c r="C36" s="23">
        <f>C13+C14+C15+C16+C17+C18+C19+C20+C21+C22+C23+C24+C25+C26+C27+C29+C30+C31+C32+C33+C34-C35</f>
        <v/>
      </c>
      <c r="D36" s="23">
        <f>D13+D14+D15+D16+D17+D18+D19+D20+D21+D22+D23+D24+D25+D26+D27+D29+D30+D31+D32+D33+D34-D35</f>
        <v/>
      </c>
      <c r="E36" s="23">
        <f>E13+E14+E15+E16+E17+E18+E19+E20+E21+E22+E23+E24+E25+E26+E27+E29+E30+E31+E32+E33+E34-E35</f>
        <v/>
      </c>
      <c r="F36" s="23">
        <f>F13+F14+F15+F16+F17+F18+F19+F20+F21+F22+F23+F24+F25+F26+F27+F29+F30+F31+F32+F33+F34-F35</f>
        <v/>
      </c>
      <c r="G36" s="23">
        <f>G13+G14+G15+G16+G17+G18+G19+G20+G21+G22+G23+G24+G25+G26+G27+G29+G30+G31+G32+G33+G34-G35</f>
        <v/>
      </c>
      <c r="H36" s="23">
        <f>H13+H14+H15+H16+H17+H18+H19+H20+H21+H22+H23+H24+H25+H26+H27+H29+H30+H31+H32+H33+H34-H35</f>
        <v/>
      </c>
      <c r="I36" s="23">
        <f>I13+I14+I15+I16+I17+I18+I19+I20+I21+I22+I23+I24+I25+I26+I27+I29+I30+I31+I32+I33+I34-I35</f>
        <v/>
      </c>
      <c r="J36" s="23">
        <f>J13+J14+J15+J16+J17+J18+J19+J20+J21+J22+J23+J24+J25+J26+J27+J29+J30+J31+J32+J33+J34-J35</f>
        <v/>
      </c>
      <c r="K36" s="23">
        <f>K13+K14+K15+K16+K17+K18+K19+K20+K21+K22+K23+K24+K25+K26+K27+K29+K30+K31+K32+K33+K34-K35</f>
        <v/>
      </c>
      <c r="L36" s="23">
        <f>L13+L14+L15+L16+L17+L18+L19+L20+L21+L22+L23+L24+L25+L26+L27+L29+L30+L31+L32+L33+L34-L35</f>
        <v/>
      </c>
      <c r="M36" s="9" t="n"/>
      <c r="N36" s="9" t="n"/>
      <c r="O36" s="9" t="n"/>
      <c r="P36" s="23">
        <f>P13+P14+P15+P16+P17+P18+P19+P20+P21+P22+P23+P24+P25+P26+P27+P29+P30+P31+P32+P33+P34-P35</f>
        <v/>
      </c>
      <c r="Q36" s="23">
        <f>Q13+Q14+Q15+Q16+Q17+Q18+Q19+Q20+Q21+Q22+Q23+Q24+Q25+Q26+Q27+Q29+Q30+Q31+Q32+Q33+Q34-Q35</f>
        <v/>
      </c>
      <c r="R36" s="23">
        <f>R13+R14+R15+R16+R17+R18+R19+R20+R21+R22+R23+R24+R25+R26+R27+R29+R30+R31+R32+R33+R34-R35</f>
        <v/>
      </c>
      <c r="S36" s="23">
        <f>S13+S14+S15+S16+S17+S18+S19+S20+S21+S22+S23+S24+S25+S26+S27+S29+S30+S31+S32+S33+S34-S35</f>
        <v/>
      </c>
      <c r="T36" s="23">
        <f>T13+T14+T15+T16+T17+T18+T19+T20+T21+T22+T23+T24+T25+T26+T27+T29+T30+T31+T32+T33+T34-T35</f>
        <v/>
      </c>
      <c r="U36" s="23">
        <f>U13+U14+U15+U16+U17+U18+U19+U20+U21+U22+U23+U24+U25+U26+U27+U29+U30+U31+U32+U33+U34-U35</f>
        <v/>
      </c>
    </row>
    <row r="37" ht="8" customHeight="1">
      <c r="M37" s="9" t="n"/>
      <c r="N37" s="9" t="n"/>
      <c r="O37" s="9" t="n"/>
    </row>
    <row r="38" ht="20" customHeight="1">
      <c r="A38" s="12" t="inlineStr">
        <is>
          <t>2. CASH FLOW FROM INVESTING ACTIVITIES</t>
        </is>
      </c>
      <c r="B38" s="2" t="n"/>
      <c r="C38" s="2" t="n"/>
      <c r="D38" s="2" t="n"/>
      <c r="E38" s="2" t="n"/>
      <c r="F38" s="2" t="n"/>
      <c r="G38" s="2" t="n"/>
      <c r="H38" s="2" t="n"/>
      <c r="I38" s="2" t="n"/>
      <c r="J38" s="2" t="n"/>
      <c r="K38" s="2" t="n"/>
      <c r="L38" s="2" t="n"/>
      <c r="M38" s="9" t="n"/>
      <c r="N38" s="9" t="n"/>
      <c r="O38" s="9" t="n"/>
      <c r="P38" s="2" t="n"/>
      <c r="Q38" s="2" t="n"/>
      <c r="R38" s="2" t="n"/>
      <c r="S38" s="2" t="n"/>
      <c r="T38" s="2" t="n"/>
      <c r="U38" s="2" t="n"/>
    </row>
    <row r="39">
      <c r="A39" s="16" t="inlineStr">
        <is>
          <t>Capital expenditures</t>
        </is>
      </c>
      <c r="C39" s="18" t="n">
        <v>-1224</v>
      </c>
      <c r="D39" s="18" t="n">
        <v>-1014</v>
      </c>
      <c r="E39" s="18" t="n">
        <v>-1095</v>
      </c>
      <c r="F39" s="18" t="n">
        <v>-925</v>
      </c>
      <c r="G39" s="18" t="n">
        <v>-863</v>
      </c>
      <c r="H39" s="18" t="n">
        <v>-965</v>
      </c>
      <c r="I39" s="18" t="n">
        <v>-906</v>
      </c>
      <c r="J39" s="18" t="n">
        <v>-1112</v>
      </c>
      <c r="K39" s="18" t="n">
        <v>-1387</v>
      </c>
      <c r="L39" s="18" t="n">
        <v>-1279</v>
      </c>
      <c r="M39" s="9" t="n"/>
      <c r="N39" s="9" t="n"/>
      <c r="O39" s="9" t="n"/>
      <c r="P39" s="18" t="n">
        <v>-982</v>
      </c>
      <c r="Q39" s="18" t="n">
        <v>-277</v>
      </c>
      <c r="R39" s="18" t="n">
        <v>-582</v>
      </c>
      <c r="S39" s="18" t="n">
        <v>-881</v>
      </c>
      <c r="T39" s="18" t="n">
        <v>-312</v>
      </c>
      <c r="U39" s="18" t="n">
        <v>-654</v>
      </c>
    </row>
    <row r="40">
      <c r="A40" s="16" t="inlineStr">
        <is>
          <t>Acquisitions, net of cash acquired</t>
        </is>
      </c>
      <c r="C40" s="18" t="n">
        <v>-246</v>
      </c>
      <c r="E40" s="18" t="n">
        <v>-528</v>
      </c>
      <c r="F40" s="18" t="n">
        <v>-284</v>
      </c>
      <c r="G40" s="18" t="n">
        <v>-1136</v>
      </c>
      <c r="H40" s="18" t="n">
        <v>-833</v>
      </c>
      <c r="I40" s="18" t="n">
        <v>-5286</v>
      </c>
      <c r="J40" s="18" t="n">
        <v>19</v>
      </c>
      <c r="K40" s="18" t="n">
        <v>-240</v>
      </c>
      <c r="L40" s="18" t="n">
        <v>-15</v>
      </c>
      <c r="M40" s="9" t="n"/>
      <c r="N40" s="9" t="n"/>
      <c r="O40" s="9" t="n"/>
      <c r="Q40" s="18" t="n">
        <v>-15</v>
      </c>
      <c r="R40" s="18" t="n">
        <v>-15</v>
      </c>
      <c r="S40" s="18" t="n">
        <v>-15</v>
      </c>
    </row>
    <row r="41">
      <c r="A41" s="16" t="inlineStr">
        <is>
          <t>Proceeds from divestitures</t>
        </is>
      </c>
      <c r="C41" s="18" t="n">
        <v>303</v>
      </c>
      <c r="D41" s="18" t="n">
        <v>604</v>
      </c>
      <c r="E41" s="18" t="n">
        <v>1</v>
      </c>
      <c r="F41" s="18" t="n">
        <v>167</v>
      </c>
      <c r="G41" s="18" t="n">
        <v>2489</v>
      </c>
      <c r="H41" s="18" t="n">
        <v>1539</v>
      </c>
      <c r="I41" s="18" t="n">
        <v>601</v>
      </c>
      <c r="J41" s="18" t="n">
        <v>4099</v>
      </c>
      <c r="K41" s="18" t="n">
        <v>2294</v>
      </c>
      <c r="L41" s="18" t="n">
        <v>127</v>
      </c>
      <c r="M41" s="9" t="n"/>
      <c r="N41" s="9" t="n"/>
      <c r="O41" s="9" t="n"/>
      <c r="P41" s="18" t="n">
        <v>4</v>
      </c>
      <c r="Q41" s="18" t="n">
        <v>4</v>
      </c>
      <c r="R41" s="18" t="n">
        <v>4</v>
      </c>
      <c r="S41" s="18" t="n">
        <v>4</v>
      </c>
      <c r="T41" s="18" t="n">
        <v>1</v>
      </c>
      <c r="U41" s="18" t="n">
        <v>1</v>
      </c>
    </row>
    <row r="42">
      <c r="A42" s="16" t="inlineStr">
        <is>
          <t>Proceeds from settlement of derivatives</t>
        </is>
      </c>
      <c r="I42" s="18" t="n">
        <v>703</v>
      </c>
      <c r="J42" s="18" t="n">
        <v>177</v>
      </c>
      <c r="K42" s="18" t="n">
        <v>320</v>
      </c>
      <c r="L42" s="18" t="n">
        <v>54</v>
      </c>
      <c r="M42" s="9" t="n"/>
      <c r="N42" s="9" t="n"/>
      <c r="O42" s="9" t="n"/>
      <c r="P42" s="18" t="n">
        <v>191</v>
      </c>
      <c r="Q42" s="18" t="n">
        <v>14</v>
      </c>
      <c r="R42" s="18" t="n">
        <v>19</v>
      </c>
      <c r="S42" s="18" t="n">
        <v>54</v>
      </c>
      <c r="T42" s="18" t="n">
        <v>52</v>
      </c>
      <c r="U42" s="18" t="n">
        <v>179</v>
      </c>
    </row>
    <row r="43">
      <c r="A43" s="16" t="inlineStr">
        <is>
          <t>Payments for settlement of derivatives</t>
        </is>
      </c>
      <c r="J43" s="18" t="n">
        <v>-81</v>
      </c>
      <c r="K43" s="18" t="n">
        <v>-199</v>
      </c>
      <c r="L43" s="18" t="n">
        <v>-165</v>
      </c>
      <c r="M43" s="9" t="n"/>
      <c r="N43" s="9" t="n"/>
      <c r="O43" s="9" t="n"/>
      <c r="P43" s="18" t="n">
        <v>-150</v>
      </c>
      <c r="R43" s="18" t="n">
        <v>-55</v>
      </c>
      <c r="S43" s="18" t="n">
        <v>-165</v>
      </c>
      <c r="T43" s="18" t="n">
        <v>-179</v>
      </c>
      <c r="U43" s="18" t="n">
        <v>-270</v>
      </c>
    </row>
    <row r="44">
      <c r="A44" s="16" t="inlineStr">
        <is>
          <t>Contributions to (proceeds from) other investments</t>
        </is>
      </c>
      <c r="J44" s="18" t="n">
        <v>-309</v>
      </c>
      <c r="K44" s="18" t="n">
        <v>-278</v>
      </c>
      <c r="L44" s="18" t="n">
        <v>73</v>
      </c>
      <c r="M44" s="9" t="n"/>
      <c r="N44" s="9" t="n"/>
      <c r="O44" s="9" t="n"/>
      <c r="P44" s="18" t="n">
        <v>-249</v>
      </c>
      <c r="Q44" s="18" t="n">
        <v>22</v>
      </c>
      <c r="R44" s="18" t="n">
        <v>30</v>
      </c>
      <c r="S44" s="18" t="n">
        <v>65</v>
      </c>
      <c r="T44" s="18" t="n">
        <v>16</v>
      </c>
      <c r="U44" s="18" t="n">
        <v>25</v>
      </c>
    </row>
    <row r="45">
      <c r="A45" s="16" t="inlineStr">
        <is>
          <t>Proceeds from sale of property, plant and equipment</t>
        </is>
      </c>
      <c r="C45" s="18" t="n">
        <v>138</v>
      </c>
      <c r="D45" s="18" t="n">
        <v>109</v>
      </c>
      <c r="E45" s="18" t="n">
        <v>398</v>
      </c>
      <c r="F45" s="18" t="n">
        <v>82</v>
      </c>
      <c r="G45" s="18" t="n">
        <v>10</v>
      </c>
      <c r="H45" s="18" t="n">
        <v>233</v>
      </c>
      <c r="J45" s="18" t="n">
        <v>19</v>
      </c>
      <c r="K45" s="18" t="n">
        <v>16</v>
      </c>
      <c r="L45" s="18" t="n">
        <v>9</v>
      </c>
      <c r="M45" s="9" t="n"/>
      <c r="N45" s="9" t="n"/>
      <c r="O45" s="9" t="n"/>
      <c r="P45" s="18" t="n">
        <v>16</v>
      </c>
      <c r="Q45" s="18" t="n">
        <v>1</v>
      </c>
      <c r="R45" s="18" t="n">
        <v>8</v>
      </c>
      <c r="S45" s="18" t="n">
        <v>8</v>
      </c>
      <c r="U45" s="18" t="n">
        <v>3</v>
      </c>
    </row>
    <row r="46">
      <c r="A46" s="10" t="inlineStr">
        <is>
          <t>Net cash provided by/(used in) investing activities</t>
        </is>
      </c>
      <c r="C46" s="19" t="n">
        <v>-1029</v>
      </c>
      <c r="D46" s="19" t="n">
        <v>-301</v>
      </c>
      <c r="E46" s="19" t="n">
        <v>-1224</v>
      </c>
      <c r="F46" s="19" t="n">
        <v>-960</v>
      </c>
      <c r="G46" s="19" t="n">
        <v>500</v>
      </c>
      <c r="H46" s="19" t="n">
        <v>-26</v>
      </c>
      <c r="I46" s="19" t="n">
        <v>-4888</v>
      </c>
      <c r="J46" s="19" t="n">
        <v>2812</v>
      </c>
      <c r="K46" s="19" t="n">
        <v>526</v>
      </c>
      <c r="L46" s="19" t="n">
        <v>-1196</v>
      </c>
      <c r="M46" s="20" t="n"/>
      <c r="N46" s="20" t="n"/>
      <c r="O46" s="20" t="n"/>
      <c r="P46" s="19" t="n">
        <v>-1170</v>
      </c>
      <c r="Q46" s="19" t="n">
        <v>-251</v>
      </c>
      <c r="R46" s="19" t="n">
        <v>-591</v>
      </c>
      <c r="S46" s="19" t="n">
        <v>-930</v>
      </c>
      <c r="T46" s="19" t="n">
        <v>-422</v>
      </c>
      <c r="U46" s="19" t="n">
        <v>-716</v>
      </c>
    </row>
    <row r="47">
      <c r="A47" s="14" t="inlineStr">
        <is>
          <t>CFI Check (should be ~0)</t>
        </is>
      </c>
      <c r="C47" s="23">
        <f>C39+C40+C41+C42+C43+C44+C45-C46</f>
        <v/>
      </c>
      <c r="D47" s="23">
        <f>D39+D40+D41+D42+D43+D44+D45-D46</f>
        <v/>
      </c>
      <c r="E47" s="23">
        <f>E39+E40+E41+E42+E43+E44+E45-E46</f>
        <v/>
      </c>
      <c r="F47" s="23">
        <f>F39+F40+F41+F42+F43+F44+F45-F46</f>
        <v/>
      </c>
      <c r="G47" s="23">
        <f>G39+G40+G41+G42+G43+G44+G45-G46</f>
        <v/>
      </c>
      <c r="H47" s="23">
        <f>H39+H40+H41+H42+H43+H44+H45-H46</f>
        <v/>
      </c>
      <c r="I47" s="23">
        <f>I39+I40+I41+I42+I43+I44+I45-I46</f>
        <v/>
      </c>
      <c r="J47" s="23">
        <f>J39+J40+J41+J42+J43+J44+J45-J46</f>
        <v/>
      </c>
      <c r="K47" s="23">
        <f>K39+K40+K41+K42+K43+K44+K45-K46</f>
        <v/>
      </c>
      <c r="L47" s="23">
        <f>L39+L40+L41+L42+L43+L44+L45-L46</f>
        <v/>
      </c>
      <c r="M47" s="9" t="n"/>
      <c r="N47" s="9" t="n"/>
      <c r="O47" s="9" t="n"/>
      <c r="P47" s="23">
        <f>P39+P40+P41+P42+P43+P44+P45-P46</f>
        <v/>
      </c>
      <c r="Q47" s="23">
        <f>Q39+Q40+Q41+Q42+Q43+Q44+Q45-Q46</f>
        <v/>
      </c>
      <c r="R47" s="23">
        <f>R39+R40+R41+R42+R43+R44+R45-R46</f>
        <v/>
      </c>
      <c r="S47" s="23">
        <f>S39+S40+S41+S42+S43+S44+S45-S46</f>
        <v/>
      </c>
      <c r="T47" s="23">
        <f>T39+T40+T41+T42+T43+T44+T45-T46</f>
        <v/>
      </c>
      <c r="U47" s="23">
        <f>U39+U40+U41+U42+U43+U44+U45-U46</f>
        <v/>
      </c>
    </row>
    <row r="48" ht="8" customHeight="1">
      <c r="M48" s="9" t="n"/>
      <c r="N48" s="9" t="n"/>
      <c r="O48" s="9" t="n"/>
    </row>
    <row r="49" ht="20" customHeight="1">
      <c r="A49" s="12" t="inlineStr">
        <is>
          <t>3. CASH FLOW FROM FINANCING ACTIVITIES</t>
        </is>
      </c>
      <c r="B49" s="2" t="n"/>
      <c r="C49" s="2" t="n"/>
      <c r="D49" s="2" t="n"/>
      <c r="E49" s="2" t="n"/>
      <c r="F49" s="2" t="n"/>
      <c r="G49" s="2" t="n"/>
      <c r="H49" s="2" t="n"/>
      <c r="I49" s="2" t="n"/>
      <c r="J49" s="2" t="n"/>
      <c r="K49" s="2" t="n"/>
      <c r="L49" s="2" t="n"/>
      <c r="M49" s="9" t="n"/>
      <c r="N49" s="9" t="n"/>
      <c r="O49" s="9" t="n"/>
      <c r="P49" s="2" t="n"/>
      <c r="Q49" s="2" t="n"/>
      <c r="R49" s="2" t="n"/>
      <c r="S49" s="2" t="n"/>
      <c r="T49" s="2" t="n"/>
      <c r="U49" s="2" t="n"/>
    </row>
    <row r="50">
      <c r="A50" s="16" t="inlineStr">
        <is>
          <t>Issuances of commercial paper, net</t>
        </is>
      </c>
      <c r="C50" s="18" t="n">
        <v>1540</v>
      </c>
      <c r="D50" s="18" t="n">
        <v>1808</v>
      </c>
      <c r="E50" s="18" t="n">
        <v>3981</v>
      </c>
      <c r="F50" s="18" t="n">
        <v>1306</v>
      </c>
      <c r="G50" s="18" t="n">
        <v>677</v>
      </c>
      <c r="J50" s="18" t="n">
        <v>67</v>
      </c>
      <c r="M50" s="9" t="n"/>
      <c r="N50" s="9" t="n"/>
      <c r="O50" s="9" t="n"/>
      <c r="T50" s="18" t="n">
        <v>586</v>
      </c>
      <c r="U50" s="18" t="n">
        <v>1584</v>
      </c>
    </row>
    <row r="51">
      <c r="A51" s="16" t="inlineStr">
        <is>
          <t>Repayments of commercial paper, net</t>
        </is>
      </c>
      <c r="C51" s="18" t="n">
        <v>-1031</v>
      </c>
      <c r="D51" s="18" t="n">
        <v>-1911</v>
      </c>
      <c r="E51" s="18" t="n">
        <v>-2856</v>
      </c>
      <c r="F51" s="18" t="n">
        <v>-2367</v>
      </c>
      <c r="G51" s="18" t="n">
        <v>-1174</v>
      </c>
      <c r="J51" s="18" t="n">
        <v>-67</v>
      </c>
      <c r="M51" s="9" t="n"/>
      <c r="N51" s="9" t="n"/>
      <c r="O51" s="9" t="n"/>
      <c r="U51" s="18" t="n">
        <v>-587</v>
      </c>
    </row>
    <row r="52">
      <c r="A52" s="16" t="inlineStr">
        <is>
          <t>Net issuance/(repayment) of other short-term borrowings</t>
        </is>
      </c>
      <c r="C52" s="18" t="n">
        <v>1741</v>
      </c>
      <c r="D52" s="18" t="n">
        <v>1027</v>
      </c>
      <c r="E52" s="18" t="n">
        <v>-1413</v>
      </c>
      <c r="F52" s="18" t="n">
        <v>524</v>
      </c>
      <c r="G52" s="18" t="n">
        <v>-2116</v>
      </c>
      <c r="H52" s="18" t="n">
        <v>194</v>
      </c>
      <c r="I52" s="18" t="n">
        <v>1914</v>
      </c>
      <c r="J52" s="18" t="n">
        <v>-1869</v>
      </c>
      <c r="K52" s="18" t="n">
        <v>-343</v>
      </c>
      <c r="L52" s="18" t="n">
        <v>2609</v>
      </c>
      <c r="M52" s="9" t="n"/>
      <c r="N52" s="9" t="n"/>
      <c r="O52" s="9" t="n"/>
      <c r="P52" s="18" t="n">
        <v>1065</v>
      </c>
      <c r="Q52" s="18" t="n">
        <v>1841</v>
      </c>
      <c r="R52" s="18" t="n">
        <v>1589</v>
      </c>
      <c r="S52" s="18" t="n">
        <v>2569</v>
      </c>
      <c r="T52" s="18" t="n">
        <v>-368</v>
      </c>
      <c r="U52" s="18" t="n">
        <v>-1313</v>
      </c>
    </row>
    <row r="53">
      <c r="A53" s="16" t="inlineStr">
        <is>
          <t>Long-term debt proceeds</t>
        </is>
      </c>
      <c r="C53" s="18" t="n">
        <v>5640</v>
      </c>
      <c r="D53" s="18" t="n">
        <v>350</v>
      </c>
      <c r="E53" s="18" t="n">
        <v>2948</v>
      </c>
      <c r="F53" s="18" t="n">
        <v>3136</v>
      </c>
      <c r="G53" s="18" t="n">
        <v>7213</v>
      </c>
      <c r="H53" s="18" t="n">
        <v>5921</v>
      </c>
      <c r="I53" s="18" t="n">
        <v>4490</v>
      </c>
      <c r="J53" s="18" t="n">
        <v>277</v>
      </c>
      <c r="K53" s="18" t="n">
        <v>1671</v>
      </c>
      <c r="L53" s="18" t="n">
        <v>1594</v>
      </c>
      <c r="M53" s="9" t="n"/>
      <c r="N53" s="9" t="n"/>
      <c r="O53" s="9" t="n"/>
      <c r="P53" s="18" t="n">
        <v>1671</v>
      </c>
      <c r="R53" s="18" t="n">
        <v>1594</v>
      </c>
      <c r="S53" s="18" t="n">
        <v>1594</v>
      </c>
      <c r="U53" s="18" t="n">
        <v>1074</v>
      </c>
    </row>
    <row r="54">
      <c r="A54" s="16" t="inlineStr">
        <is>
          <t>Long-term debt repayments</t>
        </is>
      </c>
      <c r="C54" s="18" t="n">
        <v>-6186</v>
      </c>
      <c r="D54" s="18" t="n">
        <v>-1470</v>
      </c>
      <c r="E54" s="18" t="n">
        <v>-1821</v>
      </c>
      <c r="F54" s="18" t="n">
        <v>-2677</v>
      </c>
      <c r="G54" s="18" t="n">
        <v>-3878</v>
      </c>
      <c r="H54" s="18" t="n">
        <v>-6247</v>
      </c>
      <c r="I54" s="18" t="n">
        <v>-3032</v>
      </c>
      <c r="J54" s="18" t="n">
        <v>-2432</v>
      </c>
      <c r="K54" s="18" t="n">
        <v>-2554</v>
      </c>
      <c r="L54" s="18" t="n">
        <v>-2077</v>
      </c>
      <c r="M54" s="9" t="n"/>
      <c r="N54" s="9" t="n"/>
      <c r="O54" s="9" t="n"/>
      <c r="P54" s="18" t="n">
        <v>-2517</v>
      </c>
      <c r="Q54" s="18" t="n">
        <v>-453</v>
      </c>
      <c r="R54" s="18" t="n">
        <v>-1242</v>
      </c>
      <c r="S54" s="18" t="n">
        <v>-1782</v>
      </c>
      <c r="T54" s="18" t="n">
        <v>-262</v>
      </c>
      <c r="U54" s="18" t="n">
        <v>-304</v>
      </c>
    </row>
    <row r="55">
      <c r="A55" s="16" t="inlineStr">
        <is>
          <t>Repurchases of common stock</t>
        </is>
      </c>
      <c r="C55" s="18" t="n">
        <v>-2601</v>
      </c>
      <c r="D55" s="18" t="n">
        <v>-2174</v>
      </c>
      <c r="E55" s="18" t="n">
        <v>-2020</v>
      </c>
      <c r="F55" s="18" t="n">
        <v>-1480</v>
      </c>
      <c r="G55" s="18" t="n">
        <v>-1390</v>
      </c>
      <c r="H55" s="18" t="n">
        <v>-2110</v>
      </c>
      <c r="I55" s="18" t="n">
        <v>-2017</v>
      </c>
      <c r="J55" s="18" t="n">
        <v>-1547</v>
      </c>
      <c r="K55" s="18" t="n">
        <v>-2334</v>
      </c>
      <c r="L55" s="18" t="n">
        <v>-2385</v>
      </c>
      <c r="M55" s="9" t="n"/>
      <c r="N55" s="9" t="n"/>
      <c r="O55" s="9" t="n"/>
      <c r="P55" s="18" t="n">
        <v>-1187</v>
      </c>
      <c r="Q55" s="18" t="n">
        <v>-1522</v>
      </c>
      <c r="R55" s="18" t="n">
        <v>-1653</v>
      </c>
      <c r="S55" s="18" t="n">
        <v>-1893</v>
      </c>
      <c r="U55" s="18" t="n">
        <v>-212</v>
      </c>
    </row>
    <row r="56">
      <c r="A56" s="16" t="inlineStr">
        <is>
          <t>Dividends paid</t>
        </is>
      </c>
      <c r="C56" s="18" t="n">
        <v>-1094</v>
      </c>
      <c r="D56" s="18" t="n">
        <v>-1198</v>
      </c>
      <c r="E56" s="18" t="n">
        <v>-1359</v>
      </c>
      <c r="F56" s="18" t="n">
        <v>-1542</v>
      </c>
      <c r="G56" s="18" t="n">
        <v>-1678</v>
      </c>
      <c r="H56" s="18" t="n">
        <v>-1826</v>
      </c>
      <c r="I56" s="18" t="n">
        <v>-1985</v>
      </c>
      <c r="J56" s="18" t="n">
        <v>-2160</v>
      </c>
      <c r="K56" s="18" t="n">
        <v>-2349</v>
      </c>
      <c r="L56" s="18" t="n">
        <v>-2487</v>
      </c>
      <c r="M56" s="9" t="n"/>
      <c r="N56" s="9" t="n"/>
      <c r="O56" s="9" t="n"/>
      <c r="P56" s="18" t="n">
        <v>-1722</v>
      </c>
      <c r="Q56" s="18" t="n">
        <v>-623</v>
      </c>
      <c r="R56" s="18" t="n">
        <v>-1233</v>
      </c>
      <c r="S56" s="18" t="n">
        <v>-1842</v>
      </c>
      <c r="T56" s="18" t="n">
        <v>-644</v>
      </c>
      <c r="U56" s="18" t="n">
        <v>-1287</v>
      </c>
    </row>
    <row r="57">
      <c r="A57" s="16" t="inlineStr">
        <is>
          <t>Other financing activities, net</t>
        </is>
      </c>
      <c r="C57" s="18" t="n">
        <v>129</v>
      </c>
      <c r="D57" s="18" t="n">
        <v>207</v>
      </c>
      <c r="E57" s="18" t="n">
        <v>211</v>
      </c>
      <c r="F57" s="18" t="n">
        <v>313</v>
      </c>
      <c r="G57" s="18" t="n">
        <v>131</v>
      </c>
      <c r="H57" s="18" t="n">
        <v>-1</v>
      </c>
      <c r="I57" s="18" t="n">
        <v>174</v>
      </c>
      <c r="J57" s="18" t="n">
        <v>173</v>
      </c>
      <c r="K57" s="18" t="n">
        <v>129</v>
      </c>
      <c r="L57" s="18" t="n">
        <v>-13</v>
      </c>
      <c r="M57" s="9" t="n"/>
      <c r="N57" s="9" t="n"/>
      <c r="O57" s="9" t="n"/>
      <c r="P57" s="18" t="n">
        <v>132</v>
      </c>
      <c r="Q57" s="18" t="n">
        <v>53</v>
      </c>
      <c r="R57" s="18" t="n">
        <v>83</v>
      </c>
      <c r="S57" s="18" t="n">
        <v>8</v>
      </c>
      <c r="T57" s="18" t="n">
        <v>84</v>
      </c>
      <c r="U57" s="18" t="n">
        <v>6</v>
      </c>
    </row>
    <row r="58">
      <c r="A58" s="10" t="inlineStr">
        <is>
          <t>Net cash used in financing activities</t>
        </is>
      </c>
      <c r="C58" s="19" t="n">
        <v>-1862</v>
      </c>
      <c r="D58" s="19" t="n">
        <v>-3361</v>
      </c>
      <c r="E58" s="19" t="n">
        <v>-2329</v>
      </c>
      <c r="F58" s="19" t="n">
        <v>-2787</v>
      </c>
      <c r="G58" s="19" t="n">
        <v>-2215</v>
      </c>
      <c r="H58" s="19" t="n">
        <v>-4069</v>
      </c>
      <c r="I58" s="19" t="n">
        <v>-456</v>
      </c>
      <c r="J58" s="19" t="n">
        <v>-7558</v>
      </c>
      <c r="K58" s="19" t="n">
        <v>-5780</v>
      </c>
      <c r="L58" s="19" t="n">
        <v>-2759</v>
      </c>
      <c r="M58" s="20" t="n"/>
      <c r="N58" s="20" t="n"/>
      <c r="O58" s="20" t="n"/>
      <c r="P58" s="19" t="n">
        <v>-2558</v>
      </c>
      <c r="Q58" s="19" t="n">
        <v>-704</v>
      </c>
      <c r="R58" s="19" t="n">
        <v>-862</v>
      </c>
      <c r="S58" s="19" t="n">
        <v>-1346</v>
      </c>
      <c r="T58" s="19" t="n">
        <v>-604</v>
      </c>
      <c r="U58" s="19" t="n">
        <v>-1039</v>
      </c>
    </row>
    <row r="59">
      <c r="A59" s="14" t="inlineStr">
        <is>
          <t>CFF Check (should be ~0)</t>
        </is>
      </c>
      <c r="C59" s="23">
        <f>C50+C51+C52+C53+C54+C55+C56+C57-C58</f>
        <v/>
      </c>
      <c r="D59" s="23">
        <f>D50+D51+D52+D53+D54+D55+D56+D57-D58</f>
        <v/>
      </c>
      <c r="E59" s="23">
        <f>E50+E51+E52+E53+E54+E55+E56+E57-E58</f>
        <v/>
      </c>
      <c r="F59" s="23">
        <f>F50+F51+F52+F53+F54+F55+F56+F57-F58</f>
        <v/>
      </c>
      <c r="G59" s="23">
        <f>G50+G51+G52+G53+G54+G55+G56+G57-G58</f>
        <v/>
      </c>
      <c r="H59" s="23">
        <f>H50+H51+H52+H53+H54+H55+H56+H57-H58</f>
        <v/>
      </c>
      <c r="I59" s="23">
        <f>I50+I51+I52+I53+I54+I55+I56+I57-I58</f>
        <v/>
      </c>
      <c r="J59" s="23">
        <f>J50+J51+J52+J53+J54+J55+J56+J57-J58</f>
        <v/>
      </c>
      <c r="K59" s="23">
        <f>K50+K51+K52+K53+K54+K55+K56+K57-K58</f>
        <v/>
      </c>
      <c r="L59" s="23">
        <f>L50+L51+L52+L53+L54+L55+L56+L57-L58</f>
        <v/>
      </c>
      <c r="M59" s="9" t="n"/>
      <c r="N59" s="9" t="n"/>
      <c r="O59" s="9" t="n"/>
      <c r="P59" s="23">
        <f>P50+P51+P52+P53+P54+P55+P56+P57-P58</f>
        <v/>
      </c>
      <c r="Q59" s="23">
        <f>Q50+Q51+Q52+Q53+Q54+Q55+Q56+Q57-Q58</f>
        <v/>
      </c>
      <c r="R59" s="23">
        <f>R50+R51+R52+R53+R54+R55+R56+R57-R58</f>
        <v/>
      </c>
      <c r="S59" s="23">
        <f>S50+S51+S52+S53+S54+S55+S56+S57-S58</f>
        <v/>
      </c>
      <c r="T59" s="23">
        <f>T50+T51+T52+T53+T54+T55+T56+T57-T58</f>
        <v/>
      </c>
      <c r="U59" s="23">
        <f>U50+U51+U52+U53+U54+U55+U56+U57-U58</f>
        <v/>
      </c>
    </row>
    <row r="60" ht="8" customHeight="1">
      <c r="M60" s="9" t="n"/>
      <c r="N60" s="9" t="n"/>
      <c r="O60" s="9" t="n"/>
    </row>
    <row r="61" ht="20" customHeight="1">
      <c r="A61" s="12" t="inlineStr">
        <is>
          <t>4. NET CHANGE IN CASH &amp; FCF ANALYTICS</t>
        </is>
      </c>
      <c r="B61" s="2" t="n"/>
      <c r="C61" s="2" t="n"/>
      <c r="D61" s="2" t="n"/>
      <c r="E61" s="2" t="n"/>
      <c r="F61" s="2" t="n"/>
      <c r="G61" s="2" t="n"/>
      <c r="H61" s="2" t="n"/>
      <c r="I61" s="2" t="n"/>
      <c r="J61" s="2" t="n"/>
      <c r="K61" s="2" t="n"/>
      <c r="L61" s="2" t="n"/>
      <c r="M61" s="9" t="n"/>
      <c r="N61" s="9" t="n"/>
      <c r="O61" s="9" t="n"/>
      <c r="P61" s="2" t="n"/>
      <c r="Q61" s="2" t="n"/>
      <c r="R61" s="2" t="n"/>
      <c r="S61" s="2" t="n"/>
      <c r="T61" s="2" t="n"/>
      <c r="U61" s="2" t="n"/>
    </row>
    <row r="62">
      <c r="A62" s="16" t="inlineStr">
        <is>
          <t>Effect of exchange rate changes on cash</t>
        </is>
      </c>
      <c r="C62" s="18" t="n">
        <v>-76</v>
      </c>
      <c r="D62" s="18" t="n">
        <v>89</v>
      </c>
      <c r="E62" s="18" t="n">
        <v>-56</v>
      </c>
      <c r="F62" s="18" t="n">
        <v>10</v>
      </c>
      <c r="G62" s="18" t="n">
        <v>73</v>
      </c>
      <c r="H62" s="18" t="n">
        <v>-143</v>
      </c>
      <c r="I62" s="18" t="n">
        <v>-169</v>
      </c>
      <c r="J62" s="18" t="n">
        <v>-32</v>
      </c>
      <c r="K62" s="18" t="n">
        <v>-140</v>
      </c>
      <c r="L62" s="18" t="n">
        <v>236</v>
      </c>
      <c r="M62" s="9" t="n"/>
      <c r="N62" s="9" t="n"/>
      <c r="O62" s="9" t="n"/>
      <c r="P62" s="18" t="n">
        <v>-34</v>
      </c>
      <c r="Q62" s="18" t="n">
        <v>88</v>
      </c>
      <c r="R62" s="18" t="n">
        <v>240</v>
      </c>
      <c r="S62" s="18" t="n">
        <v>225</v>
      </c>
      <c r="T62" s="18" t="n">
        <v>-5</v>
      </c>
      <c r="U62" s="18" t="n">
        <v>-3</v>
      </c>
    </row>
    <row r="63">
      <c r="A63" s="10" t="inlineStr">
        <is>
          <t>Increase/(decrease) in cash and cash equivalents</t>
        </is>
      </c>
      <c r="C63" s="19" t="n">
        <v>-129</v>
      </c>
      <c r="D63" s="19" t="n">
        <v>-980</v>
      </c>
      <c r="E63" s="19" t="n">
        <v>339</v>
      </c>
      <c r="F63" s="19" t="n">
        <v>228</v>
      </c>
      <c r="G63" s="19" t="n">
        <v>2322</v>
      </c>
      <c r="H63" s="19" t="n">
        <v>-97</v>
      </c>
      <c r="I63" s="19" t="n">
        <v>-1605</v>
      </c>
      <c r="J63" s="19" t="n">
        <v>-64</v>
      </c>
      <c r="K63" s="19" t="n">
        <v>-484</v>
      </c>
      <c r="L63" s="19" t="n">
        <v>795</v>
      </c>
      <c r="M63" s="20" t="n"/>
      <c r="N63" s="20" t="n"/>
      <c r="O63" s="20" t="n"/>
      <c r="P63" s="19" t="n">
        <v>-311</v>
      </c>
      <c r="Q63" s="19" t="n">
        <v>225</v>
      </c>
      <c r="R63" s="19" t="n">
        <v>187</v>
      </c>
      <c r="S63" s="19" t="n">
        <v>66</v>
      </c>
      <c r="T63" s="19" t="n">
        <v>-564</v>
      </c>
      <c r="U63" s="19" t="n">
        <v>-436</v>
      </c>
    </row>
    <row r="64">
      <c r="A64" s="5" t="inlineStr">
        <is>
          <t>Cash and cash equivalents, beginning of period</t>
        </is>
      </c>
      <c r="C64" s="18" t="n">
        <v>1870</v>
      </c>
      <c r="D64" s="18" t="n">
        <v>1741</v>
      </c>
      <c r="E64" s="18" t="n">
        <v>761</v>
      </c>
      <c r="F64" s="18" t="n">
        <v>1100</v>
      </c>
      <c r="G64" s="18" t="n">
        <v>1328</v>
      </c>
      <c r="H64" s="18" t="n">
        <v>3650</v>
      </c>
      <c r="I64" s="18" t="n">
        <v>3553</v>
      </c>
      <c r="J64" s="18" t="n">
        <v>1948</v>
      </c>
      <c r="K64" s="18" t="n">
        <v>1884</v>
      </c>
      <c r="L64" s="18" t="n">
        <v>1400</v>
      </c>
      <c r="M64" s="9" t="n"/>
      <c r="N64" s="9" t="n"/>
      <c r="O64" s="9" t="n"/>
      <c r="P64" s="18" t="n">
        <v>1884</v>
      </c>
      <c r="Q64" s="18" t="n">
        <v>1400</v>
      </c>
      <c r="R64" s="18" t="n">
        <v>1400</v>
      </c>
      <c r="S64" s="18" t="n">
        <v>1400</v>
      </c>
      <c r="T64" s="18" t="n">
        <v>2195</v>
      </c>
      <c r="U64" s="18" t="n">
        <v>2195</v>
      </c>
    </row>
    <row r="65">
      <c r="A65" s="10" t="inlineStr">
        <is>
          <t>Cash and cash equivalents, end of period</t>
        </is>
      </c>
      <c r="C65" s="19" t="n">
        <v>1741</v>
      </c>
      <c r="D65" s="19" t="n">
        <v>761</v>
      </c>
      <c r="E65" s="19" t="n">
        <v>1100</v>
      </c>
      <c r="F65" s="19" t="n">
        <v>1328</v>
      </c>
      <c r="G65" s="19" t="n">
        <v>3650</v>
      </c>
      <c r="H65" s="19" t="n">
        <v>3553</v>
      </c>
      <c r="I65" s="19" t="n">
        <v>1948</v>
      </c>
      <c r="J65" s="19" t="n">
        <v>1884</v>
      </c>
      <c r="K65" s="19" t="n">
        <v>1400</v>
      </c>
      <c r="L65" s="19" t="n">
        <v>2195</v>
      </c>
      <c r="M65" s="20" t="n"/>
      <c r="N65" s="20" t="n"/>
      <c r="O65" s="20" t="n"/>
      <c r="P65" s="19" t="n">
        <v>1573</v>
      </c>
      <c r="Q65" s="19" t="n">
        <v>1625</v>
      </c>
      <c r="R65" s="19" t="n">
        <v>1587</v>
      </c>
      <c r="S65" s="19" t="n">
        <v>1466</v>
      </c>
      <c r="T65" s="19" t="n">
        <v>1631</v>
      </c>
      <c r="U65" s="19" t="n">
        <v>1759</v>
      </c>
    </row>
    <row r="66">
      <c r="A66" s="14" t="inlineStr">
        <is>
          <t>Cash Walk Check (should be ~0)</t>
        </is>
      </c>
      <c r="C66" s="23">
        <f>C35+C46+C58+C62-C63</f>
        <v/>
      </c>
      <c r="D66" s="23">
        <f>D35+D46+D58+D62-D63</f>
        <v/>
      </c>
      <c r="E66" s="23">
        <f>E35+E46+E58+E62-E63</f>
        <v/>
      </c>
      <c r="F66" s="23">
        <f>F35+F46+F58+F62-F63</f>
        <v/>
      </c>
      <c r="G66" s="23">
        <f>G35+G46+G58+G62-G63</f>
        <v/>
      </c>
      <c r="H66" s="23">
        <f>H35+H46+H58+H62-H63</f>
        <v/>
      </c>
      <c r="I66" s="23">
        <f>I35+I46+I58+I62-I63</f>
        <v/>
      </c>
      <c r="J66" s="23">
        <f>J35+J46+J58+J62-J63</f>
        <v/>
      </c>
      <c r="K66" s="23">
        <f>K35+K46+K58+K62-K63</f>
        <v/>
      </c>
      <c r="L66" s="23">
        <f>L35+L46+L58+L62-L63</f>
        <v/>
      </c>
      <c r="M66" s="9" t="n"/>
      <c r="N66" s="9" t="n"/>
      <c r="O66" s="9" t="n"/>
      <c r="P66" s="23">
        <f>P35+P46+P58+P62-P63</f>
        <v/>
      </c>
      <c r="Q66" s="23">
        <f>Q35+Q46+Q58+Q62-Q63</f>
        <v/>
      </c>
      <c r="R66" s="23">
        <f>R35+R46+R58+R62-R63</f>
        <v/>
      </c>
      <c r="S66" s="23">
        <f>S35+S46+S58+S62-S63</f>
        <v/>
      </c>
      <c r="T66" s="23">
        <f>T35+T46+T58+T62-T63</f>
        <v/>
      </c>
      <c r="U66" s="23">
        <f>U35+U46+U58+U62-U63</f>
        <v/>
      </c>
    </row>
    <row r="67">
      <c r="A67" s="14" t="inlineStr">
        <is>
          <t>Cash Rollforward Check (should be ~0)</t>
        </is>
      </c>
      <c r="C67" s="23">
        <f>C64+C63-C65</f>
        <v/>
      </c>
      <c r="D67" s="23">
        <f>D64+D63-D65</f>
        <v/>
      </c>
      <c r="E67" s="23">
        <f>E64+E63-E65</f>
        <v/>
      </c>
      <c r="F67" s="23">
        <f>F64+F63-F65</f>
        <v/>
      </c>
      <c r="G67" s="23">
        <f>G64+G63-G65</f>
        <v/>
      </c>
      <c r="H67" s="23">
        <f>H64+H63-H65</f>
        <v/>
      </c>
      <c r="I67" s="23">
        <f>I64+I63-I65</f>
        <v/>
      </c>
      <c r="J67" s="23">
        <f>J64+J63-J65</f>
        <v/>
      </c>
      <c r="K67" s="23">
        <f>K64+K63-K65</f>
        <v/>
      </c>
      <c r="L67" s="23">
        <f>L64+L63-L65</f>
        <v/>
      </c>
      <c r="M67" s="9" t="n"/>
      <c r="N67" s="9" t="n"/>
      <c r="O67" s="9" t="n"/>
      <c r="P67" s="23">
        <f>P64+P63-P65</f>
        <v/>
      </c>
      <c r="Q67" s="23">
        <f>Q64+Q63-Q65</f>
        <v/>
      </c>
      <c r="R67" s="23">
        <f>R64+R63-R65</f>
        <v/>
      </c>
      <c r="S67" s="23">
        <f>S64+S63-S65</f>
        <v/>
      </c>
      <c r="T67" s="23">
        <f>T64+T63-T65</f>
        <v/>
      </c>
      <c r="U67" s="23">
        <f>U64+U63-U65</f>
        <v/>
      </c>
    </row>
    <row r="68">
      <c r="M68" s="9" t="n"/>
      <c r="N68" s="9" t="n"/>
      <c r="O68" s="9" t="n"/>
    </row>
    <row r="69">
      <c r="A69" s="10" t="inlineStr">
        <is>
          <t>Free Cash Flow</t>
        </is>
      </c>
      <c r="C69" s="24">
        <f>C35+C39</f>
        <v/>
      </c>
      <c r="D69" s="24">
        <f>D35+D39</f>
        <v/>
      </c>
      <c r="E69" s="24">
        <f>E35+E39</f>
        <v/>
      </c>
      <c r="F69" s="24">
        <f>F35+F39</f>
        <v/>
      </c>
      <c r="G69" s="24">
        <f>G35+G39</f>
        <v/>
      </c>
      <c r="H69" s="24">
        <f>H35+H39</f>
        <v/>
      </c>
      <c r="I69" s="24">
        <f>I35+I39</f>
        <v/>
      </c>
      <c r="J69" s="24">
        <f>J35+J39</f>
        <v/>
      </c>
      <c r="K69" s="24">
        <f>K35+K39</f>
        <v/>
      </c>
      <c r="L69" s="24">
        <f>L35+L39</f>
        <v/>
      </c>
      <c r="M69" s="9" t="n"/>
      <c r="N69" s="9" t="n"/>
      <c r="O69" s="9" t="n"/>
      <c r="P69" s="24">
        <f>P35+P39</f>
        <v/>
      </c>
      <c r="Q69" s="24">
        <f>Q35+Q39</f>
        <v/>
      </c>
      <c r="R69" s="24">
        <f>R35+R39</f>
        <v/>
      </c>
      <c r="S69" s="24">
        <f>S35+S39</f>
        <v/>
      </c>
      <c r="T69" s="24">
        <f>T35+T39</f>
        <v/>
      </c>
      <c r="U69" s="24">
        <f>U35+U39</f>
        <v/>
      </c>
    </row>
    <row r="70">
      <c r="A70" s="14" t="inlineStr">
        <is>
          <t xml:space="preserve">  YoY Growth</t>
        </is>
      </c>
      <c r="D70" s="15">
        <f>IF(N(C69)=0,"",D69/C69-1)</f>
        <v/>
      </c>
      <c r="E70" s="15">
        <f>IF(N(D69)=0,"",E69/D69-1)</f>
        <v/>
      </c>
      <c r="F70" s="15">
        <f>IF(N(E69)=0,"",F69/E69-1)</f>
        <v/>
      </c>
      <c r="G70" s="15">
        <f>IF(N(F69)=0,"",G69/F69-1)</f>
        <v/>
      </c>
      <c r="H70" s="15">
        <f>IF(N(G69)=0,"",H69/G69-1)</f>
        <v/>
      </c>
      <c r="I70" s="15">
        <f>IF(N(H69)=0,"",I69/H69-1)</f>
        <v/>
      </c>
      <c r="J70" s="15">
        <f>IF(N(I69)=0,"",J69/I69-1)</f>
        <v/>
      </c>
      <c r="K70" s="15">
        <f>IF(N(J69)=0,"",K69/J69-1)</f>
        <v/>
      </c>
      <c r="L70" s="15">
        <f>IF(N(K69)=0,"",L69/K69-1)</f>
        <v/>
      </c>
      <c r="M70" s="9" t="n"/>
      <c r="N70" s="9" t="n"/>
      <c r="O70" s="9" t="n"/>
      <c r="T70" s="15">
        <f>IF(N(P69)=0,"",T69/P69-1)</f>
        <v/>
      </c>
      <c r="U70" s="15">
        <f>IF(N(Q69)=0,"",U69/Q69-1)</f>
        <v/>
      </c>
    </row>
    <row r="71">
      <c r="A71" s="14" t="inlineStr">
        <is>
          <t xml:space="preserve">  Capex % of Revenue</t>
        </is>
      </c>
      <c r="C71" s="15">
        <f>0-C39/'Income Statement'!C12</f>
        <v/>
      </c>
      <c r="D71" s="15">
        <f>0-D39/'Income Statement'!D12</f>
        <v/>
      </c>
      <c r="E71" s="15">
        <f>0-E39/'Income Statement'!E12</f>
        <v/>
      </c>
      <c r="F71" s="15">
        <f>0-F39/'Income Statement'!F12</f>
        <v/>
      </c>
      <c r="G71" s="15">
        <f>0-G39/'Income Statement'!G12</f>
        <v/>
      </c>
      <c r="H71" s="15">
        <f>0-H39/'Income Statement'!H12</f>
        <v/>
      </c>
      <c r="I71" s="15">
        <f>0-I39/'Income Statement'!I12</f>
        <v/>
      </c>
      <c r="J71" s="15">
        <f>0-J39/'Income Statement'!J12</f>
        <v/>
      </c>
      <c r="K71" s="15">
        <f>0-K39/'Income Statement'!K12</f>
        <v/>
      </c>
      <c r="L71" s="15">
        <f>0-L39/'Income Statement'!L12</f>
        <v/>
      </c>
      <c r="M71" s="9" t="n"/>
      <c r="N71" s="9" t="n"/>
      <c r="O71" s="9" t="n"/>
      <c r="P71" s="15">
        <f>0-P39/'Income Statement'!P12</f>
        <v/>
      </c>
      <c r="Q71" s="15">
        <f>0-Q39/'Income Statement'!Q12</f>
        <v/>
      </c>
      <c r="R71" s="15">
        <f>0-R39/'Income Statement'!R12</f>
        <v/>
      </c>
      <c r="S71" s="15">
        <f>0-S39/'Income Statement'!S12</f>
        <v/>
      </c>
      <c r="T71" s="15">
        <f>0-T39/'Income Statement'!T12</f>
        <v/>
      </c>
      <c r="U71" s="15">
        <f>0-U39/'Income Statement'!U12</f>
        <v/>
      </c>
    </row>
    <row r="72">
      <c r="A72" s="14" t="inlineStr">
        <is>
          <t xml:space="preserve">  FCF Margin</t>
        </is>
      </c>
      <c r="C72" s="15">
        <f>C69/'Income Statement'!C12</f>
        <v/>
      </c>
      <c r="D72" s="15">
        <f>D69/'Income Statement'!D12</f>
        <v/>
      </c>
      <c r="E72" s="15">
        <f>E69/'Income Statement'!E12</f>
        <v/>
      </c>
      <c r="F72" s="15">
        <f>F69/'Income Statement'!F12</f>
        <v/>
      </c>
      <c r="G72" s="15">
        <f>G69/'Income Statement'!G12</f>
        <v/>
      </c>
      <c r="H72" s="15">
        <f>H69/'Income Statement'!H12</f>
        <v/>
      </c>
      <c r="I72" s="15">
        <f>I69/'Income Statement'!I12</f>
        <v/>
      </c>
      <c r="J72" s="15">
        <f>J69/'Income Statement'!J12</f>
        <v/>
      </c>
      <c r="K72" s="15">
        <f>K69/'Income Statement'!K12</f>
        <v/>
      </c>
      <c r="L72" s="15">
        <f>L69/'Income Statement'!L12</f>
        <v/>
      </c>
      <c r="M72" s="9" t="n"/>
      <c r="N72" s="9" t="n"/>
      <c r="O72" s="9" t="n"/>
      <c r="P72" s="15">
        <f>P69/'Income Statement'!P12</f>
        <v/>
      </c>
      <c r="Q72" s="15">
        <f>Q69/'Income Statement'!Q12</f>
        <v/>
      </c>
      <c r="R72" s="15">
        <f>R69/'Income Statement'!R12</f>
        <v/>
      </c>
      <c r="S72" s="15">
        <f>S69/'Income Statement'!S12</f>
        <v/>
      </c>
      <c r="T72" s="15">
        <f>T69/'Income Statement'!T12</f>
        <v/>
      </c>
      <c r="U72" s="15">
        <f>U69/'Income Statement'!U12</f>
        <v/>
      </c>
    </row>
    <row r="73">
      <c r="A73" s="14" t="inlineStr">
        <is>
          <t xml:space="preserve">  FCF Conversion (of Net Earnings)</t>
        </is>
      </c>
      <c r="C73" s="15">
        <f>C69/'Income Statement'!C34</f>
        <v/>
      </c>
      <c r="D73" s="15">
        <f>D69/'Income Statement'!D34</f>
        <v/>
      </c>
      <c r="E73" s="15">
        <f>E69/'Income Statement'!E34</f>
        <v/>
      </c>
      <c r="F73" s="15">
        <f>F69/'Income Statement'!F34</f>
        <v/>
      </c>
      <c r="G73" s="15">
        <f>G69/'Income Statement'!G34</f>
        <v/>
      </c>
      <c r="H73" s="15">
        <f>H69/'Income Statement'!H34</f>
        <v/>
      </c>
      <c r="I73" s="15">
        <f>I69/'Income Statement'!I34</f>
        <v/>
      </c>
      <c r="J73" s="15">
        <f>J69/'Income Statement'!J34</f>
        <v/>
      </c>
      <c r="K73" s="15">
        <f>K69/'Income Statement'!K34</f>
        <v/>
      </c>
      <c r="L73" s="15">
        <f>L69/'Income Statement'!L34</f>
        <v/>
      </c>
      <c r="M73" s="9" t="n"/>
      <c r="N73" s="9" t="n"/>
      <c r="O73" s="9" t="n"/>
      <c r="P73" s="15">
        <f>P69/'Income Statement'!P34</f>
        <v/>
      </c>
      <c r="Q73" s="15">
        <f>Q69/'Income Statement'!Q34</f>
        <v/>
      </c>
      <c r="R73" s="15">
        <f>R69/'Income Statement'!R34</f>
        <v/>
      </c>
      <c r="S73" s="15">
        <f>S69/'Income Statement'!S34</f>
        <v/>
      </c>
      <c r="T73" s="15">
        <f>T69/'Income Statement'!T34</f>
        <v/>
      </c>
      <c r="U73" s="15">
        <f>U69/'Income Statement'!U34</f>
        <v/>
      </c>
    </row>
    <row r="74">
      <c r="M74" s="9" t="n"/>
      <c r="N74" s="9" t="n"/>
      <c r="O74" s="9" t="n"/>
    </row>
    <row r="75">
      <c r="A75" s="26" t="inlineStr">
        <is>
          <t>Memo: Cash paid for interest</t>
        </is>
      </c>
      <c r="C75" s="23" t="n">
        <v>630</v>
      </c>
      <c r="D75" s="23" t="n">
        <v>398</v>
      </c>
      <c r="E75" s="23" t="n">
        <v>491</v>
      </c>
      <c r="F75" s="23" t="n">
        <v>486</v>
      </c>
      <c r="G75" s="23" t="n">
        <v>413</v>
      </c>
      <c r="H75" s="23" t="n">
        <v>426</v>
      </c>
      <c r="I75" s="23" t="n">
        <v>551</v>
      </c>
      <c r="J75" s="23" t="n">
        <v>568</v>
      </c>
      <c r="K75" s="23" t="n">
        <v>554</v>
      </c>
      <c r="L75" s="23" t="n">
        <v>570</v>
      </c>
      <c r="M75" s="9" t="n"/>
      <c r="N75" s="9" t="n"/>
      <c r="O75" s="9" t="n"/>
    </row>
    <row r="76">
      <c r="A76" s="26" t="inlineStr">
        <is>
          <t>Memo: Cash paid for income taxes</t>
        </is>
      </c>
      <c r="C76" s="23" t="n">
        <v>527</v>
      </c>
      <c r="D76" s="23" t="n">
        <v>848</v>
      </c>
      <c r="E76" s="23" t="n">
        <v>864</v>
      </c>
      <c r="F76" s="23" t="n">
        <v>981</v>
      </c>
      <c r="G76" s="23" t="n">
        <v>1264</v>
      </c>
      <c r="H76" s="23" t="n">
        <v>1556</v>
      </c>
      <c r="I76" s="23" t="n">
        <v>1103</v>
      </c>
      <c r="J76" s="23" t="n">
        <v>1607</v>
      </c>
      <c r="K76" s="23" t="n">
        <v>1474</v>
      </c>
      <c r="L76" s="23" t="n">
        <v>1074</v>
      </c>
      <c r="M76" s="9" t="n"/>
      <c r="N76" s="9" t="n"/>
      <c r="O76" s="9" t="n"/>
    </row>
    <row r="77">
      <c r="M77" s="9" t="n"/>
      <c r="N77" s="9" t="n"/>
      <c r="O77" s="9" t="n"/>
    </row>
  </sheetData>
  <conditionalFormatting sqref="C36:U36">
    <cfRule type="cellIs" priority="1" operator="notBetween" dxfId="0">
      <formula>-0.5</formula>
      <formula>0.5</formula>
    </cfRule>
  </conditionalFormatting>
  <conditionalFormatting sqref="C47:U47">
    <cfRule type="cellIs" priority="2" operator="notBetween" dxfId="0">
      <formula>-0.5</formula>
      <formula>0.5</formula>
    </cfRule>
  </conditionalFormatting>
  <conditionalFormatting sqref="C59:U59">
    <cfRule type="cellIs" priority="3" operator="notBetween" dxfId="0">
      <formula>-0.5</formula>
      <formula>0.5</formula>
    </cfRule>
  </conditionalFormatting>
  <conditionalFormatting sqref="C66:U66">
    <cfRule type="cellIs" priority="4" operator="notBetween" dxfId="0">
      <formula>-0.5</formula>
      <formula>0.5</formula>
    </cfRule>
  </conditionalFormatting>
  <conditionalFormatting sqref="C67:U67">
    <cfRule type="cellIs" priority="5" operator="notBetween" dxfId="0">
      <formula>-0.5</formula>
      <formula>0.5</formula>
    </cfRule>
  </conditionalFormatting>
  <pageMargins left="0.75" right="0.75" top="1" bottom="1" header="0.5" footer="0.5"/>
</worksheet>
</file>

<file path=xl/worksheets/sheet5.xml><?xml version="1.0" encoding="utf-8"?>
<worksheet xmlns="http://schemas.openxmlformats.org/spreadsheetml/2006/main">
  <sheetPr>
    <tabColor rgb="00548235"/>
    <outlinePr summaryBelow="1" summaryRight="1"/>
    <pageSetUpPr/>
  </sheetPr>
  <dimension ref="A1:U4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6.5"/>
  <cols>
    <col width="46" customWidth="1" min="1" max="1"/>
    <col width="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9" customWidth="1" min="13" max="13"/>
    <col width="9" customWidth="1" min="14" max="14"/>
    <col width="9" customWidth="1" min="15" max="15"/>
    <col width="12" customWidth="1" min="16" max="16"/>
    <col width="12" customWidth="1" min="17" max="17"/>
    <col width="12" customWidth="1" min="18" max="18"/>
    <col width="12" customWidth="1" min="19" max="19"/>
    <col width="12" customWidth="1" min="20" max="20"/>
    <col width="12" customWidth="1" min="21" max="21"/>
  </cols>
  <sheetData>
    <row r="1" ht="28" customHeight="1">
      <c r="A1" s="1" t="inlineStr">
        <is>
          <t>Mondelez International, Inc. — Segments</t>
        </is>
      </c>
      <c r="B1" s="2" t="n"/>
      <c r="C1" s="2" t="n"/>
      <c r="D1" s="2" t="n"/>
      <c r="E1" s="2" t="n"/>
      <c r="F1" s="2" t="n"/>
      <c r="G1" s="2" t="n"/>
      <c r="H1" s="2" t="n"/>
      <c r="I1" s="2" t="n"/>
      <c r="J1" s="2" t="n"/>
      <c r="K1" s="2" t="n"/>
      <c r="L1" s="2" t="n"/>
      <c r="M1" s="2" t="n"/>
      <c r="N1" s="2" t="n"/>
      <c r="O1" s="2" t="n"/>
      <c r="P1" s="2" t="n"/>
      <c r="Q1" s="2" t="n"/>
      <c r="R1" s="2" t="n"/>
      <c r="S1" s="2" t="n"/>
      <c r="T1" s="2" t="n"/>
      <c r="U1" s="2" t="n"/>
    </row>
    <row r="2" ht="16" customHeight="1">
      <c r="A2" s="3" t="inlineStr">
        <is>
          <t>$ in millions except per-share data  |  USD  |  as of 2026-09-15</t>
        </is>
      </c>
    </row>
    <row r="3">
      <c r="C3" s="6" t="inlineStr">
        <is>
          <t>FY2016</t>
        </is>
      </c>
      <c r="D3" s="6" t="inlineStr">
        <is>
          <t>FY2017</t>
        </is>
      </c>
      <c r="E3" s="6" t="inlineStr">
        <is>
          <t>FY2018</t>
        </is>
      </c>
      <c r="F3" s="6" t="inlineStr">
        <is>
          <t>FY2019</t>
        </is>
      </c>
      <c r="G3" s="6" t="inlineStr">
        <is>
          <t>FY2020</t>
        </is>
      </c>
      <c r="H3" s="6" t="inlineStr">
        <is>
          <t>FY2021</t>
        </is>
      </c>
      <c r="I3" s="6" t="inlineStr">
        <is>
          <t>FY2022</t>
        </is>
      </c>
      <c r="J3" s="6" t="inlineStr">
        <is>
          <t>FY2023</t>
        </is>
      </c>
      <c r="K3" s="6" t="inlineStr">
        <is>
          <t>FY2024</t>
        </is>
      </c>
      <c r="L3" s="6" t="inlineStr">
        <is>
          <t>FY2025</t>
        </is>
      </c>
      <c r="M3" s="7" t="inlineStr">
        <is>
          <t>·</t>
        </is>
      </c>
      <c r="N3" s="7" t="inlineStr">
        <is>
          <t>·</t>
        </is>
      </c>
      <c r="O3" s="7" t="inlineStr">
        <is>
          <t>·</t>
        </is>
      </c>
      <c r="P3" s="6" t="inlineStr">
        <is>
          <t>3Q2024</t>
        </is>
      </c>
      <c r="Q3" s="6" t="inlineStr">
        <is>
          <t>1Q2025</t>
        </is>
      </c>
      <c r="R3" s="6" t="inlineStr">
        <is>
          <t>2Q2025</t>
        </is>
      </c>
      <c r="S3" s="6" t="inlineStr">
        <is>
          <t>3Q2025</t>
        </is>
      </c>
      <c r="T3" s="6" t="inlineStr">
        <is>
          <t>1Q2026</t>
        </is>
      </c>
      <c r="U3" s="6" t="inlineStr">
        <is>
          <t>2Q2026</t>
        </is>
      </c>
    </row>
    <row r="4">
      <c r="C4" s="8" t="inlineStr">
        <is>
          <t>2016-12-31</t>
        </is>
      </c>
      <c r="D4" s="8" t="inlineStr">
        <is>
          <t>2017-12-31</t>
        </is>
      </c>
      <c r="E4" s="8" t="inlineStr">
        <is>
          <t>2018-12-31</t>
        </is>
      </c>
      <c r="F4" s="8" t="inlineStr">
        <is>
          <t>2019-12-31</t>
        </is>
      </c>
      <c r="G4" s="8" t="inlineStr">
        <is>
          <t>2020-12-31</t>
        </is>
      </c>
      <c r="H4" s="8" t="inlineStr">
        <is>
          <t>2021-12-31</t>
        </is>
      </c>
      <c r="I4" s="8" t="inlineStr">
        <is>
          <t>2022-12-31</t>
        </is>
      </c>
      <c r="J4" s="8" t="inlineStr">
        <is>
          <t>2023-12-31</t>
        </is>
      </c>
      <c r="K4" s="8" t="inlineStr">
        <is>
          <t>2024-12-31</t>
        </is>
      </c>
      <c r="L4" s="8" t="inlineStr">
        <is>
          <t>2025-12-31</t>
        </is>
      </c>
      <c r="M4" s="9" t="n"/>
      <c r="N4" s="9" t="n"/>
      <c r="O4" s="9" t="n"/>
      <c r="P4" s="8" t="inlineStr">
        <is>
          <t>2024-09-30</t>
        </is>
      </c>
      <c r="Q4" s="8" t="inlineStr">
        <is>
          <t>2025-03-31</t>
        </is>
      </c>
      <c r="R4" s="8" t="inlineStr">
        <is>
          <t>2025-06-30</t>
        </is>
      </c>
      <c r="S4" s="8" t="inlineStr">
        <is>
          <t>2025-09-30</t>
        </is>
      </c>
      <c r="T4" s="8" t="inlineStr">
        <is>
          <t>2026-03-31</t>
        </is>
      </c>
      <c r="U4" s="8" t="inlineStr">
        <is>
          <t>2026-06-30</t>
        </is>
      </c>
    </row>
    <row r="5">
      <c r="M5" s="9" t="n"/>
      <c r="N5" s="9" t="n"/>
      <c r="O5" s="9" t="n"/>
    </row>
    <row r="6">
      <c r="A6" s="10" t="inlineStr">
        <is>
          <t>CONTENTS</t>
        </is>
      </c>
      <c r="M6" s="9" t="n"/>
      <c r="N6" s="9" t="n"/>
      <c r="O6" s="9" t="n"/>
    </row>
    <row r="7">
      <c r="A7" s="11">
        <f>HYPERLINK("#'Segments'!A12","1. SEGMENT REVENUE (Latin America / AMEA / Europe / North America)")</f>
        <v/>
      </c>
      <c r="M7" s="9" t="n"/>
      <c r="N7" s="9" t="n"/>
      <c r="O7" s="9" t="n"/>
    </row>
    <row r="8">
      <c r="A8" s="11">
        <f>HYPERLINK("#'Segments'!A25","2. SEGMENT OPERATING INCOME")</f>
        <v/>
      </c>
      <c r="M8" s="9" t="n"/>
      <c r="N8" s="9" t="n"/>
      <c r="O8" s="9" t="n"/>
    </row>
    <row r="9">
      <c r="A9" s="11">
        <f>HYPERLINK("#'Segments'!A32","3. RECONCILIATION TO CONSOLIDATED OPERATING INCOME")</f>
        <v/>
      </c>
      <c r="M9" s="9" t="n"/>
      <c r="N9" s="9" t="n"/>
      <c r="O9" s="9" t="n"/>
    </row>
    <row r="10">
      <c r="A10" s="11">
        <f>HYPERLINK("#'Segments'!A41","4. RECONCILIATION TO EARNINGS BEFORE TAX")</f>
        <v/>
      </c>
      <c r="M10" s="9" t="n"/>
      <c r="N10" s="9" t="n"/>
      <c r="O10" s="9" t="n"/>
    </row>
    <row r="11" ht="8" customHeight="1">
      <c r="M11" s="9" t="n"/>
      <c r="N11" s="9" t="n"/>
      <c r="O11" s="9" t="n"/>
    </row>
    <row r="12" ht="20" customHeight="1">
      <c r="A12" s="12" t="inlineStr">
        <is>
          <t>1. SEGMENT REVENUE (Latin America / AMEA / Europe / North America)</t>
        </is>
      </c>
      <c r="B12" s="2" t="n"/>
      <c r="C12" s="2" t="n"/>
      <c r="D12" s="2" t="n"/>
      <c r="E12" s="2" t="n"/>
      <c r="F12" s="2" t="n"/>
      <c r="G12" s="2" t="n"/>
      <c r="H12" s="2" t="n"/>
      <c r="I12" s="2" t="n"/>
      <c r="J12" s="2" t="n"/>
      <c r="K12" s="2" t="n"/>
      <c r="L12" s="2" t="n"/>
      <c r="M12" s="9" t="n"/>
      <c r="N12" s="9" t="n"/>
      <c r="O12" s="9" t="n"/>
      <c r="P12" s="2" t="n"/>
      <c r="Q12" s="2" t="n"/>
      <c r="R12" s="2" t="n"/>
      <c r="S12" s="2" t="n"/>
      <c r="T12" s="2" t="n"/>
      <c r="U12" s="2" t="n"/>
    </row>
    <row r="13">
      <c r="A13" s="16" t="inlineStr">
        <is>
          <t>Latin America</t>
        </is>
      </c>
      <c r="C13" s="18" t="n">
        <v>3392</v>
      </c>
      <c r="D13" s="18" t="n">
        <v>3566</v>
      </c>
      <c r="E13" s="18" t="n">
        <v>3202</v>
      </c>
      <c r="F13" s="18" t="n">
        <v>3018</v>
      </c>
      <c r="G13" s="18" t="n">
        <v>2477</v>
      </c>
      <c r="H13" s="18" t="n">
        <v>2797</v>
      </c>
      <c r="I13" s="18" t="n">
        <v>3629</v>
      </c>
      <c r="J13" s="18" t="n">
        <v>5006</v>
      </c>
      <c r="K13" s="18" t="n">
        <v>4926</v>
      </c>
      <c r="L13" s="18" t="n">
        <v>4899</v>
      </c>
      <c r="M13" s="9" t="n"/>
      <c r="N13" s="9" t="n"/>
      <c r="O13" s="9" t="n"/>
      <c r="P13" s="18" t="n">
        <v>1204</v>
      </c>
      <c r="Q13" s="18" t="n">
        <v>1203</v>
      </c>
      <c r="R13" s="18" t="n">
        <v>1194</v>
      </c>
      <c r="S13" s="18" t="n">
        <v>1238</v>
      </c>
      <c r="T13" s="18" t="n">
        <v>1348</v>
      </c>
      <c r="U13" s="18" t="n">
        <v>1374</v>
      </c>
    </row>
    <row r="14">
      <c r="A14" s="16" t="inlineStr">
        <is>
          <t>Asia, Middle East and Africa (AMEA)</t>
        </is>
      </c>
      <c r="C14" s="18" t="n">
        <v>5816</v>
      </c>
      <c r="D14" s="18" t="n">
        <v>5739</v>
      </c>
      <c r="E14" s="18" t="n">
        <v>5729</v>
      </c>
      <c r="F14" s="18" t="n">
        <v>5770</v>
      </c>
      <c r="G14" s="18" t="n">
        <v>5740</v>
      </c>
      <c r="H14" s="18" t="n">
        <v>6465</v>
      </c>
      <c r="I14" s="18" t="n">
        <v>6767</v>
      </c>
      <c r="J14" s="18" t="n">
        <v>7075</v>
      </c>
      <c r="K14" s="18" t="n">
        <v>7296</v>
      </c>
      <c r="L14" s="18" t="n">
        <v>7932</v>
      </c>
      <c r="M14" s="9" t="n"/>
      <c r="N14" s="9" t="n"/>
      <c r="O14" s="9" t="n"/>
      <c r="P14" s="18" t="n">
        <v>1851</v>
      </c>
      <c r="Q14" s="18" t="n">
        <v>2016</v>
      </c>
      <c r="R14" s="18" t="n">
        <v>1821</v>
      </c>
      <c r="S14" s="18" t="n">
        <v>2017</v>
      </c>
      <c r="T14" s="18" t="n">
        <v>2304</v>
      </c>
      <c r="U14" s="18" t="n">
        <v>1971</v>
      </c>
    </row>
    <row r="15">
      <c r="A15" s="16" t="inlineStr">
        <is>
          <t>Europe</t>
        </is>
      </c>
      <c r="C15" s="18" t="n">
        <v>9755</v>
      </c>
      <c r="D15" s="18" t="n">
        <v>9794</v>
      </c>
      <c r="E15" s="18" t="n">
        <v>10122</v>
      </c>
      <c r="F15" s="18" t="n">
        <v>9972</v>
      </c>
      <c r="G15" s="18" t="n">
        <v>10207</v>
      </c>
      <c r="H15" s="18" t="n">
        <v>11156</v>
      </c>
      <c r="I15" s="18" t="n">
        <v>11420</v>
      </c>
      <c r="J15" s="18" t="n">
        <v>12857</v>
      </c>
      <c r="K15" s="18" t="n">
        <v>13309</v>
      </c>
      <c r="L15" s="18" t="n">
        <v>15027</v>
      </c>
      <c r="M15" s="9" t="n"/>
      <c r="N15" s="9" t="n"/>
      <c r="O15" s="9" t="n"/>
      <c r="P15" s="18" t="n">
        <v>3323</v>
      </c>
      <c r="Q15" s="18" t="n">
        <v>3550</v>
      </c>
      <c r="R15" s="18" t="n">
        <v>3412</v>
      </c>
      <c r="S15" s="18" t="n">
        <v>3674</v>
      </c>
      <c r="T15" s="18" t="n">
        <v>3871</v>
      </c>
      <c r="U15" s="18" t="n">
        <v>3377</v>
      </c>
    </row>
    <row r="16">
      <c r="A16" s="16" t="inlineStr">
        <is>
          <t>North America</t>
        </is>
      </c>
      <c r="C16" s="18" t="n">
        <v>6960</v>
      </c>
      <c r="D16" s="18" t="n">
        <v>6797</v>
      </c>
      <c r="E16" s="18" t="n">
        <v>6885</v>
      </c>
      <c r="F16" s="18" t="n">
        <v>7108</v>
      </c>
      <c r="G16" s="18" t="n">
        <v>8157</v>
      </c>
      <c r="H16" s="18" t="n">
        <v>8302</v>
      </c>
      <c r="I16" s="18" t="n">
        <v>9680</v>
      </c>
      <c r="J16" s="18" t="n">
        <v>11078</v>
      </c>
      <c r="K16" s="18" t="n">
        <v>10910</v>
      </c>
      <c r="L16" s="18" t="n">
        <v>10679</v>
      </c>
      <c r="M16" s="9" t="n"/>
      <c r="N16" s="9" t="n"/>
      <c r="O16" s="9" t="n"/>
      <c r="P16" s="18" t="n">
        <v>2826</v>
      </c>
      <c r="Q16" s="18" t="n">
        <v>2544</v>
      </c>
      <c r="R16" s="18" t="n">
        <v>2557</v>
      </c>
      <c r="S16" s="18" t="n">
        <v>2815</v>
      </c>
      <c r="T16" s="18" t="n">
        <v>2557</v>
      </c>
      <c r="U16" s="18" t="n">
        <v>2633</v>
      </c>
    </row>
    <row r="17">
      <c r="A17" s="10" t="inlineStr">
        <is>
          <t>Total Segment Net Revenues</t>
        </is>
      </c>
      <c r="C17" s="27">
        <f>C13+C14+C15+C16</f>
        <v/>
      </c>
      <c r="D17" s="27">
        <f>D13+D14+D15+D16</f>
        <v/>
      </c>
      <c r="E17" s="27">
        <f>E13+E14+E15+E16</f>
        <v/>
      </c>
      <c r="F17" s="27">
        <f>F13+F14+F15+F16</f>
        <v/>
      </c>
      <c r="G17" s="27">
        <f>G13+G14+G15+G16</f>
        <v/>
      </c>
      <c r="H17" s="27">
        <f>H13+H14+H15+H16</f>
        <v/>
      </c>
      <c r="I17" s="27">
        <f>I13+I14+I15+I16</f>
        <v/>
      </c>
      <c r="J17" s="27">
        <f>J13+J14+J15+J16</f>
        <v/>
      </c>
      <c r="K17" s="27">
        <f>K13+K14+K15+K16</f>
        <v/>
      </c>
      <c r="L17" s="27">
        <f>L13+L14+L15+L16</f>
        <v/>
      </c>
      <c r="M17" s="20" t="n"/>
      <c r="N17" s="20" t="n"/>
      <c r="O17" s="20" t="n"/>
      <c r="P17" s="27">
        <f>P13+P14+P15+P16</f>
        <v/>
      </c>
      <c r="Q17" s="27">
        <f>Q13+Q14+Q15+Q16</f>
        <v/>
      </c>
      <c r="R17" s="27">
        <f>R13+R14+R15+R16</f>
        <v/>
      </c>
      <c r="S17" s="27">
        <f>S13+S14+S15+S16</f>
        <v/>
      </c>
      <c r="T17" s="27">
        <f>T13+T14+T15+T16</f>
        <v/>
      </c>
      <c r="U17" s="27">
        <f>U13+U14+U15+U16</f>
        <v/>
      </c>
    </row>
    <row r="18">
      <c r="A18" s="14" t="inlineStr">
        <is>
          <t>vs IS Net Revenues (should be ~0)</t>
        </is>
      </c>
      <c r="C18" s="23">
        <f>C17-'Income Statement'!C12</f>
        <v/>
      </c>
      <c r="D18" s="23">
        <f>D17-'Income Statement'!D12</f>
        <v/>
      </c>
      <c r="E18" s="23">
        <f>E17-'Income Statement'!E12</f>
        <v/>
      </c>
      <c r="F18" s="23">
        <f>F17-'Income Statement'!F12</f>
        <v/>
      </c>
      <c r="G18" s="23">
        <f>G17-'Income Statement'!G12</f>
        <v/>
      </c>
      <c r="H18" s="23">
        <f>H17-'Income Statement'!H12</f>
        <v/>
      </c>
      <c r="I18" s="23">
        <f>I17-'Income Statement'!I12</f>
        <v/>
      </c>
      <c r="J18" s="23">
        <f>J17-'Income Statement'!J12</f>
        <v/>
      </c>
      <c r="K18" s="23">
        <f>K17-'Income Statement'!K12</f>
        <v/>
      </c>
      <c r="L18" s="23">
        <f>L17-'Income Statement'!L12</f>
        <v/>
      </c>
      <c r="M18" s="9" t="n"/>
      <c r="N18" s="9" t="n"/>
      <c r="O18" s="9" t="n"/>
      <c r="P18" s="23">
        <f>P17-'Income Statement'!P12</f>
        <v/>
      </c>
      <c r="Q18" s="23">
        <f>Q17-'Income Statement'!Q12</f>
        <v/>
      </c>
      <c r="R18" s="23">
        <f>R17-'Income Statement'!R12</f>
        <v/>
      </c>
      <c r="S18" s="23">
        <f>S17-'Income Statement'!S12</f>
        <v/>
      </c>
      <c r="T18" s="23">
        <f>T17-'Income Statement'!T12</f>
        <v/>
      </c>
      <c r="U18" s="23">
        <f>U17-'Income Statement'!U12</f>
        <v/>
      </c>
    </row>
    <row r="19">
      <c r="M19" s="9" t="n"/>
      <c r="N19" s="9" t="n"/>
      <c r="O19" s="9" t="n"/>
    </row>
    <row r="20">
      <c r="A20" s="14" t="inlineStr">
        <is>
          <t xml:space="preserve">  Latin America % of total</t>
        </is>
      </c>
      <c r="C20" s="15">
        <f>C13/C17</f>
        <v/>
      </c>
      <c r="D20" s="15">
        <f>D13/D17</f>
        <v/>
      </c>
      <c r="E20" s="15">
        <f>E13/E17</f>
        <v/>
      </c>
      <c r="F20" s="15">
        <f>F13/F17</f>
        <v/>
      </c>
      <c r="G20" s="15">
        <f>G13/G17</f>
        <v/>
      </c>
      <c r="H20" s="15">
        <f>H13/H17</f>
        <v/>
      </c>
      <c r="I20" s="15">
        <f>I13/I17</f>
        <v/>
      </c>
      <c r="J20" s="15">
        <f>J13/J17</f>
        <v/>
      </c>
      <c r="K20" s="15">
        <f>K13/K17</f>
        <v/>
      </c>
      <c r="L20" s="15">
        <f>L13/L17</f>
        <v/>
      </c>
      <c r="M20" s="9" t="n"/>
      <c r="N20" s="9" t="n"/>
      <c r="O20" s="9" t="n"/>
      <c r="P20" s="15">
        <f>P13/P17</f>
        <v/>
      </c>
      <c r="Q20" s="15">
        <f>Q13/Q17</f>
        <v/>
      </c>
      <c r="R20" s="15">
        <f>R13/R17</f>
        <v/>
      </c>
      <c r="S20" s="15">
        <f>S13/S17</f>
        <v/>
      </c>
      <c r="T20" s="15">
        <f>T13/T17</f>
        <v/>
      </c>
      <c r="U20" s="15">
        <f>U13/U17</f>
        <v/>
      </c>
    </row>
    <row r="21">
      <c r="A21" s="14" t="inlineStr">
        <is>
          <t xml:space="preserve">  AMEA % of total</t>
        </is>
      </c>
      <c r="C21" s="15">
        <f>C14/C17</f>
        <v/>
      </c>
      <c r="D21" s="15">
        <f>D14/D17</f>
        <v/>
      </c>
      <c r="E21" s="15">
        <f>E14/E17</f>
        <v/>
      </c>
      <c r="F21" s="15">
        <f>F14/F17</f>
        <v/>
      </c>
      <c r="G21" s="15">
        <f>G14/G17</f>
        <v/>
      </c>
      <c r="H21" s="15">
        <f>H14/H17</f>
        <v/>
      </c>
      <c r="I21" s="15">
        <f>I14/I17</f>
        <v/>
      </c>
      <c r="J21" s="15">
        <f>J14/J17</f>
        <v/>
      </c>
      <c r="K21" s="15">
        <f>K14/K17</f>
        <v/>
      </c>
      <c r="L21" s="15">
        <f>L14/L17</f>
        <v/>
      </c>
      <c r="M21" s="9" t="n"/>
      <c r="N21" s="9" t="n"/>
      <c r="O21" s="9" t="n"/>
      <c r="P21" s="15">
        <f>P14/P17</f>
        <v/>
      </c>
      <c r="Q21" s="15">
        <f>Q14/Q17</f>
        <v/>
      </c>
      <c r="R21" s="15">
        <f>R14/R17</f>
        <v/>
      </c>
      <c r="S21" s="15">
        <f>S14/S17</f>
        <v/>
      </c>
      <c r="T21" s="15">
        <f>T14/T17</f>
        <v/>
      </c>
      <c r="U21" s="15">
        <f>U14/U17</f>
        <v/>
      </c>
    </row>
    <row r="22">
      <c r="A22" s="14" t="inlineStr">
        <is>
          <t xml:space="preserve">  Europe % of total</t>
        </is>
      </c>
      <c r="C22" s="15">
        <f>C15/C17</f>
        <v/>
      </c>
      <c r="D22" s="15">
        <f>D15/D17</f>
        <v/>
      </c>
      <c r="E22" s="15">
        <f>E15/E17</f>
        <v/>
      </c>
      <c r="F22" s="15">
        <f>F15/F17</f>
        <v/>
      </c>
      <c r="G22" s="15">
        <f>G15/G17</f>
        <v/>
      </c>
      <c r="H22" s="15">
        <f>H15/H17</f>
        <v/>
      </c>
      <c r="I22" s="15">
        <f>I15/I17</f>
        <v/>
      </c>
      <c r="J22" s="15">
        <f>J15/J17</f>
        <v/>
      </c>
      <c r="K22" s="15">
        <f>K15/K17</f>
        <v/>
      </c>
      <c r="L22" s="15">
        <f>L15/L17</f>
        <v/>
      </c>
      <c r="M22" s="9" t="n"/>
      <c r="N22" s="9" t="n"/>
      <c r="O22" s="9" t="n"/>
      <c r="P22" s="15">
        <f>P15/P17</f>
        <v/>
      </c>
      <c r="Q22" s="15">
        <f>Q15/Q17</f>
        <v/>
      </c>
      <c r="R22" s="15">
        <f>R15/R17</f>
        <v/>
      </c>
      <c r="S22" s="15">
        <f>S15/S17</f>
        <v/>
      </c>
      <c r="T22" s="15">
        <f>T15/T17</f>
        <v/>
      </c>
      <c r="U22" s="15">
        <f>U15/U17</f>
        <v/>
      </c>
    </row>
    <row r="23">
      <c r="A23" s="14" t="inlineStr">
        <is>
          <t xml:space="preserve">  North America % of total</t>
        </is>
      </c>
      <c r="C23" s="15">
        <f>C16/C17</f>
        <v/>
      </c>
      <c r="D23" s="15">
        <f>D16/D17</f>
        <v/>
      </c>
      <c r="E23" s="15">
        <f>E16/E17</f>
        <v/>
      </c>
      <c r="F23" s="15">
        <f>F16/F17</f>
        <v/>
      </c>
      <c r="G23" s="15">
        <f>G16/G17</f>
        <v/>
      </c>
      <c r="H23" s="15">
        <f>H16/H17</f>
        <v/>
      </c>
      <c r="I23" s="15">
        <f>I16/I17</f>
        <v/>
      </c>
      <c r="J23" s="15">
        <f>J16/J17</f>
        <v/>
      </c>
      <c r="K23" s="15">
        <f>K16/K17</f>
        <v/>
      </c>
      <c r="L23" s="15">
        <f>L16/L17</f>
        <v/>
      </c>
      <c r="M23" s="9" t="n"/>
      <c r="N23" s="9" t="n"/>
      <c r="O23" s="9" t="n"/>
      <c r="P23" s="15">
        <f>P16/P17</f>
        <v/>
      </c>
      <c r="Q23" s="15">
        <f>Q16/Q17</f>
        <v/>
      </c>
      <c r="R23" s="15">
        <f>R16/R17</f>
        <v/>
      </c>
      <c r="S23" s="15">
        <f>S16/S17</f>
        <v/>
      </c>
      <c r="T23" s="15">
        <f>T16/T17</f>
        <v/>
      </c>
      <c r="U23" s="15">
        <f>U16/U17</f>
        <v/>
      </c>
    </row>
    <row r="24" ht="8" customHeight="1">
      <c r="M24" s="9" t="n"/>
      <c r="N24" s="9" t="n"/>
      <c r="O24" s="9" t="n"/>
    </row>
    <row r="25" ht="20" customHeight="1">
      <c r="A25" s="12" t="inlineStr">
        <is>
          <t>2. SEGMENT OPERATING INCOME</t>
        </is>
      </c>
      <c r="B25" s="2" t="n"/>
      <c r="C25" s="2" t="n"/>
      <c r="D25" s="2" t="n"/>
      <c r="E25" s="2" t="n"/>
      <c r="F25" s="2" t="n"/>
      <c r="G25" s="2" t="n"/>
      <c r="H25" s="2" t="n"/>
      <c r="I25" s="2" t="n"/>
      <c r="J25" s="2" t="n"/>
      <c r="K25" s="2" t="n"/>
      <c r="L25" s="2" t="n"/>
      <c r="M25" s="9" t="n"/>
      <c r="N25" s="9" t="n"/>
      <c r="O25" s="9" t="n"/>
      <c r="P25" s="2" t="n"/>
      <c r="Q25" s="2" t="n"/>
      <c r="R25" s="2" t="n"/>
      <c r="S25" s="2" t="n"/>
      <c r="T25" s="2" t="n"/>
      <c r="U25" s="2" t="n"/>
    </row>
    <row r="26">
      <c r="A26" s="16" t="inlineStr">
        <is>
          <t>Latin America</t>
        </is>
      </c>
      <c r="C26" s="18" t="n">
        <v>271</v>
      </c>
      <c r="D26" s="18" t="n">
        <v>565</v>
      </c>
      <c r="E26" s="18" t="n">
        <v>410</v>
      </c>
      <c r="F26" s="18" t="n">
        <v>341</v>
      </c>
      <c r="G26" s="18" t="n">
        <v>189</v>
      </c>
      <c r="H26" s="18" t="n">
        <v>261</v>
      </c>
      <c r="I26" s="18" t="n">
        <v>388</v>
      </c>
      <c r="J26" s="18" t="n">
        <v>529</v>
      </c>
      <c r="K26" s="18" t="n">
        <v>532</v>
      </c>
      <c r="L26" s="18" t="n">
        <v>569</v>
      </c>
      <c r="M26" s="9" t="n"/>
      <c r="N26" s="9" t="n"/>
      <c r="O26" s="9" t="n"/>
      <c r="P26" s="18" t="n">
        <v>125</v>
      </c>
      <c r="Q26" s="18" t="n">
        <v>139</v>
      </c>
      <c r="R26" s="18" t="n">
        <v>133</v>
      </c>
      <c r="S26" s="18" t="n">
        <v>147</v>
      </c>
      <c r="T26" s="18" t="n">
        <v>149</v>
      </c>
      <c r="U26" s="18" t="n">
        <v>166</v>
      </c>
    </row>
    <row r="27">
      <c r="A27" s="16" t="inlineStr">
        <is>
          <t>Asia, Middle East and Africa (AMEA)</t>
        </is>
      </c>
      <c r="C27" s="18" t="n">
        <v>506</v>
      </c>
      <c r="D27" s="18" t="n">
        <v>516</v>
      </c>
      <c r="E27" s="18" t="n">
        <v>702</v>
      </c>
      <c r="F27" s="18" t="n">
        <v>691</v>
      </c>
      <c r="G27" s="18" t="n">
        <v>821</v>
      </c>
      <c r="H27" s="18" t="n">
        <v>1054</v>
      </c>
      <c r="I27" s="18" t="n">
        <v>929</v>
      </c>
      <c r="J27" s="18" t="n">
        <v>1113</v>
      </c>
      <c r="K27" s="18" t="n">
        <v>1192</v>
      </c>
      <c r="L27" s="18" t="n">
        <v>985</v>
      </c>
      <c r="M27" s="9" t="n"/>
      <c r="N27" s="9" t="n"/>
      <c r="O27" s="9" t="n"/>
      <c r="P27" s="18" t="n">
        <v>335</v>
      </c>
      <c r="Q27" s="18" t="n">
        <v>343</v>
      </c>
      <c r="R27" s="18" t="n">
        <v>271</v>
      </c>
      <c r="S27" s="18" t="n">
        <v>199</v>
      </c>
      <c r="T27" s="18" t="n">
        <v>326</v>
      </c>
      <c r="U27" s="18" t="n">
        <v>254</v>
      </c>
    </row>
    <row r="28">
      <c r="A28" s="16" t="inlineStr">
        <is>
          <t>Europe</t>
        </is>
      </c>
      <c r="C28" s="18" t="n">
        <v>1267</v>
      </c>
      <c r="D28" s="18" t="n">
        <v>1680</v>
      </c>
      <c r="E28" s="18" t="n">
        <v>1734</v>
      </c>
      <c r="F28" s="18" t="n">
        <v>1732</v>
      </c>
      <c r="G28" s="18" t="n">
        <v>1775</v>
      </c>
      <c r="H28" s="18" t="n">
        <v>2092</v>
      </c>
      <c r="I28" s="18" t="n">
        <v>1481</v>
      </c>
      <c r="J28" s="18" t="n">
        <v>1978</v>
      </c>
      <c r="K28" s="18" t="n">
        <v>2068</v>
      </c>
      <c r="L28" s="18" t="n">
        <v>1820</v>
      </c>
      <c r="M28" s="9" t="n"/>
      <c r="N28" s="9" t="n"/>
      <c r="O28" s="9" t="n"/>
      <c r="P28" s="18" t="n">
        <v>605</v>
      </c>
      <c r="Q28" s="18" t="n">
        <v>462</v>
      </c>
      <c r="R28" s="18" t="n">
        <v>514</v>
      </c>
      <c r="S28" s="18" t="n">
        <v>275</v>
      </c>
      <c r="T28" s="18" t="n">
        <v>294</v>
      </c>
      <c r="U28" s="18" t="n">
        <v>382</v>
      </c>
    </row>
    <row r="29">
      <c r="A29" s="16" t="inlineStr">
        <is>
          <t>North America</t>
        </is>
      </c>
      <c r="C29" s="18" t="n">
        <v>1078</v>
      </c>
      <c r="D29" s="18" t="n">
        <v>1120</v>
      </c>
      <c r="E29" s="18" t="n">
        <v>849</v>
      </c>
      <c r="F29" s="18" t="n">
        <v>1451</v>
      </c>
      <c r="G29" s="18" t="n">
        <v>1587</v>
      </c>
      <c r="H29" s="18" t="n">
        <v>1371</v>
      </c>
      <c r="I29" s="18" t="n">
        <v>1769</v>
      </c>
      <c r="J29" s="18" t="n">
        <v>2092</v>
      </c>
      <c r="K29" s="18" t="n">
        <v>2492</v>
      </c>
      <c r="L29" s="18" t="n">
        <v>1904</v>
      </c>
      <c r="M29" s="9" t="n"/>
      <c r="N29" s="9" t="n"/>
      <c r="O29" s="9" t="n"/>
      <c r="P29" s="18" t="n">
        <v>918</v>
      </c>
      <c r="Q29" s="18" t="n">
        <v>485</v>
      </c>
      <c r="R29" s="18" t="n">
        <v>454</v>
      </c>
      <c r="S29" s="18" t="n">
        <v>547</v>
      </c>
      <c r="T29" s="18" t="n">
        <v>384</v>
      </c>
      <c r="U29" s="18" t="n">
        <v>431</v>
      </c>
    </row>
    <row r="30">
      <c r="A30" s="10" t="inlineStr">
        <is>
          <t>Total Segment Operating Income</t>
        </is>
      </c>
      <c r="C30" s="27">
        <f>C26+C27+C28+C29</f>
        <v/>
      </c>
      <c r="D30" s="27">
        <f>D26+D27+D28+D29</f>
        <v/>
      </c>
      <c r="E30" s="27">
        <f>E26+E27+E28+E29</f>
        <v/>
      </c>
      <c r="F30" s="27">
        <f>F26+F27+F28+F29</f>
        <v/>
      </c>
      <c r="G30" s="27">
        <f>G26+G27+G28+G29</f>
        <v/>
      </c>
      <c r="H30" s="27">
        <f>H26+H27+H28+H29</f>
        <v/>
      </c>
      <c r="I30" s="27">
        <f>I26+I27+I28+I29</f>
        <v/>
      </c>
      <c r="J30" s="27">
        <f>J26+J27+J28+J29</f>
        <v/>
      </c>
      <c r="K30" s="27">
        <f>K26+K27+K28+K29</f>
        <v/>
      </c>
      <c r="L30" s="27">
        <f>L26+L27+L28+L29</f>
        <v/>
      </c>
      <c r="M30" s="20" t="n"/>
      <c r="N30" s="20" t="n"/>
      <c r="O30" s="20" t="n"/>
      <c r="P30" s="27">
        <f>P26+P27+P28+P29</f>
        <v/>
      </c>
      <c r="Q30" s="27">
        <f>Q26+Q27+Q28+Q29</f>
        <v/>
      </c>
      <c r="R30" s="27">
        <f>R26+R27+R28+R29</f>
        <v/>
      </c>
      <c r="S30" s="27">
        <f>S26+S27+S28+S29</f>
        <v/>
      </c>
      <c r="T30" s="27">
        <f>T26+T27+T28+T29</f>
        <v/>
      </c>
      <c r="U30" s="27">
        <f>U26+U27+U28+U29</f>
        <v/>
      </c>
    </row>
    <row r="31" ht="8" customHeight="1">
      <c r="M31" s="9" t="n"/>
      <c r="N31" s="9" t="n"/>
      <c r="O31" s="9" t="n"/>
    </row>
    <row r="32" ht="20" customHeight="1">
      <c r="A32" s="12" t="inlineStr">
        <is>
          <t>3. RECONCILIATION TO CONSOLIDATED OPERATING INCOME</t>
        </is>
      </c>
      <c r="B32" s="2" t="n"/>
      <c r="C32" s="2" t="n"/>
      <c r="D32" s="2" t="n"/>
      <c r="E32" s="2" t="n"/>
      <c r="F32" s="2" t="n"/>
      <c r="G32" s="2" t="n"/>
      <c r="H32" s="2" t="n"/>
      <c r="I32" s="2" t="n"/>
      <c r="J32" s="2" t="n"/>
      <c r="K32" s="2" t="n"/>
      <c r="L32" s="2" t="n"/>
      <c r="M32" s="9" t="n"/>
      <c r="N32" s="9" t="n"/>
      <c r="O32" s="9" t="n"/>
      <c r="P32" s="2" t="n"/>
      <c r="Q32" s="2" t="n"/>
      <c r="R32" s="2" t="n"/>
      <c r="S32" s="2" t="n"/>
      <c r="T32" s="2" t="n"/>
      <c r="U32" s="2" t="n"/>
    </row>
    <row r="33">
      <c r="A33" s="16" t="inlineStr">
        <is>
          <t>Mark-to-market gains/(losses) on hedging activities</t>
        </is>
      </c>
      <c r="C33" s="18" t="n">
        <v>-94</v>
      </c>
      <c r="D33" s="18" t="n">
        <v>-96</v>
      </c>
      <c r="E33" s="18" t="n">
        <v>141</v>
      </c>
      <c r="F33" s="18" t="n">
        <v>91</v>
      </c>
      <c r="G33" s="18" t="n">
        <v>16</v>
      </c>
      <c r="H33" s="18" t="n">
        <v>279</v>
      </c>
      <c r="I33" s="18" t="n">
        <v>-326</v>
      </c>
      <c r="J33" s="18" t="n">
        <v>189</v>
      </c>
      <c r="K33" s="18" t="n">
        <v>543</v>
      </c>
      <c r="L33" s="18" t="n">
        <v>-1341</v>
      </c>
      <c r="M33" s="9" t="n"/>
      <c r="N33" s="9" t="n"/>
      <c r="O33" s="9" t="n"/>
      <c r="P33" s="18" t="n">
        <v>-710</v>
      </c>
      <c r="Q33" s="18" t="n">
        <v>-669</v>
      </c>
      <c r="R33" s="18" t="n">
        <v>-93</v>
      </c>
      <c r="S33" s="18" t="n">
        <v>-348</v>
      </c>
      <c r="T33" s="18" t="n">
        <v>-273</v>
      </c>
      <c r="U33" s="18" t="n">
        <v>827</v>
      </c>
    </row>
    <row r="34">
      <c r="A34" s="16" t="inlineStr">
        <is>
          <t>General corporate expenses</t>
        </is>
      </c>
      <c r="C34" s="18" t="n">
        <v>-291</v>
      </c>
      <c r="D34" s="18" t="n">
        <v>-287</v>
      </c>
      <c r="E34" s="18" t="n">
        <v>-335</v>
      </c>
      <c r="F34" s="18" t="n">
        <v>-330</v>
      </c>
      <c r="G34" s="18" t="n">
        <v>-326</v>
      </c>
      <c r="H34" s="18" t="n">
        <v>-253</v>
      </c>
      <c r="I34" s="18" t="n">
        <v>-245</v>
      </c>
      <c r="J34" s="18" t="n">
        <v>-356</v>
      </c>
      <c r="K34" s="18" t="n">
        <v>-330</v>
      </c>
      <c r="L34" s="18" t="n">
        <v>-260</v>
      </c>
      <c r="M34" s="9" t="n"/>
      <c r="N34" s="9" t="n"/>
      <c r="O34" s="9" t="n"/>
      <c r="P34" s="18" t="n">
        <v>-78</v>
      </c>
      <c r="Q34" s="18" t="n">
        <v>-43</v>
      </c>
      <c r="R34" s="18" t="n">
        <v>-69</v>
      </c>
      <c r="S34" s="18" t="n">
        <v>-44</v>
      </c>
      <c r="T34" s="18" t="n">
        <v>-46</v>
      </c>
      <c r="U34" s="18" t="n">
        <v>-88</v>
      </c>
    </row>
    <row r="35">
      <c r="A35" s="16" t="inlineStr">
        <is>
          <t>Amortization of intangible assets</t>
        </is>
      </c>
      <c r="C35" s="18" t="n">
        <v>-176</v>
      </c>
      <c r="D35" s="18" t="n">
        <v>-178</v>
      </c>
      <c r="E35" s="18" t="n">
        <v>-176</v>
      </c>
      <c r="F35" s="18" t="n">
        <v>-174</v>
      </c>
      <c r="G35" s="18" t="n">
        <v>-194</v>
      </c>
      <c r="H35" s="18" t="n">
        <v>-134</v>
      </c>
      <c r="I35" s="18" t="n">
        <v>-132</v>
      </c>
      <c r="J35" s="18" t="n">
        <v>-151</v>
      </c>
      <c r="K35" s="18" t="n">
        <v>-153</v>
      </c>
      <c r="L35" s="18" t="n">
        <v>-142</v>
      </c>
      <c r="M35" s="9" t="n"/>
      <c r="N35" s="9" t="n"/>
      <c r="O35" s="9" t="n"/>
      <c r="P35" s="18" t="n">
        <v>-40</v>
      </c>
      <c r="Q35" s="18" t="n">
        <v>-37</v>
      </c>
      <c r="R35" s="18" t="n">
        <v>-38</v>
      </c>
      <c r="S35" s="18" t="n">
        <v>-32</v>
      </c>
      <c r="T35" s="18" t="n">
        <v>-27</v>
      </c>
      <c r="U35" s="18" t="n">
        <v>-26</v>
      </c>
    </row>
    <row r="36">
      <c r="A36" s="16" t="inlineStr">
        <is>
          <t>Gain on divestitures</t>
        </is>
      </c>
      <c r="C36" s="18" t="n">
        <v>9</v>
      </c>
      <c r="D36" s="18" t="n">
        <v>186</v>
      </c>
      <c r="E36" s="18" t="n">
        <v>0</v>
      </c>
      <c r="F36" s="18" t="n">
        <v>44</v>
      </c>
      <c r="G36" s="18" t="n">
        <v>0</v>
      </c>
      <c r="H36" s="18" t="n">
        <v>8</v>
      </c>
      <c r="I36" s="18" t="n">
        <v>0</v>
      </c>
      <c r="J36" s="18" t="n">
        <v>108</v>
      </c>
      <c r="K36" s="18" t="n">
        <v>4</v>
      </c>
      <c r="L36" s="18" t="n">
        <v>13</v>
      </c>
      <c r="M36" s="9" t="n"/>
      <c r="N36" s="9" t="n"/>
      <c r="O36" s="9" t="n"/>
      <c r="T36" s="18" t="n">
        <v>1</v>
      </c>
    </row>
    <row r="37">
      <c r="A37" s="16" t="inlineStr">
        <is>
          <t>Acquisition-related costs</t>
        </is>
      </c>
      <c r="C37" s="18" t="n">
        <v>-1</v>
      </c>
      <c r="D37" s="18" t="n">
        <v>0</v>
      </c>
      <c r="E37" s="18" t="n">
        <v>-13</v>
      </c>
      <c r="F37" s="18" t="n">
        <v>-3</v>
      </c>
      <c r="G37" s="18" t="n">
        <v>-15</v>
      </c>
      <c r="H37" s="18" t="n">
        <v>-25</v>
      </c>
      <c r="I37" s="18" t="n">
        <v>-330</v>
      </c>
      <c r="J37" s="18" t="n">
        <v>0</v>
      </c>
      <c r="K37" s="18" t="n">
        <v>-3</v>
      </c>
      <c r="L37" s="18" t="n">
        <v>0</v>
      </c>
      <c r="M37" s="9" t="n"/>
      <c r="N37" s="9" t="n"/>
      <c r="O37" s="9" t="n"/>
      <c r="P37" s="18" t="n">
        <v>-2</v>
      </c>
    </row>
    <row r="38">
      <c r="A38" s="10" t="inlineStr">
        <is>
          <t>Operating Income (reconciled)</t>
        </is>
      </c>
      <c r="C38" s="27">
        <f>C30+C33+C34+C35+C36+C37</f>
        <v/>
      </c>
      <c r="D38" s="27">
        <f>D30+D33+D34+D35+D36+D37</f>
        <v/>
      </c>
      <c r="E38" s="27">
        <f>E30+E33+E34+E35+E36+E37</f>
        <v/>
      </c>
      <c r="F38" s="27">
        <f>F30+F33+F34+F35+F36+F37</f>
        <v/>
      </c>
      <c r="G38" s="27">
        <f>G30+G33+G34+G35+G36+G37</f>
        <v/>
      </c>
      <c r="H38" s="27">
        <f>H30+H33+H34+H35+H36+H37</f>
        <v/>
      </c>
      <c r="I38" s="27">
        <f>I30+I33+I34+I35+I36+I37</f>
        <v/>
      </c>
      <c r="J38" s="27">
        <f>J30+J33+J34+J35+J36+J37</f>
        <v/>
      </c>
      <c r="K38" s="27">
        <f>K30+K33+K34+K35+K36+K37</f>
        <v/>
      </c>
      <c r="L38" s="27">
        <f>L30+L33+L34+L35+L36+L37</f>
        <v/>
      </c>
      <c r="M38" s="20" t="n"/>
      <c r="N38" s="20" t="n"/>
      <c r="O38" s="20" t="n"/>
      <c r="P38" s="27">
        <f>P30+P33+P34+P35+P36+P37</f>
        <v/>
      </c>
      <c r="Q38" s="27">
        <f>Q30+Q33+Q34+Q35+Q36+Q37</f>
        <v/>
      </c>
      <c r="R38" s="27">
        <f>R30+R33+R34+R35+R36+R37</f>
        <v/>
      </c>
      <c r="S38" s="27">
        <f>S30+S33+S34+S35+S36+S37</f>
        <v/>
      </c>
      <c r="T38" s="27">
        <f>T30+T33+T34+T35+T36+T37</f>
        <v/>
      </c>
      <c r="U38" s="27">
        <f>U30+U33+U34+U35+U36+U37</f>
        <v/>
      </c>
    </row>
    <row r="39">
      <c r="A39" s="14" t="inlineStr">
        <is>
          <t>vs IS Operating Income (should be ~0)</t>
        </is>
      </c>
      <c r="C39" s="23">
        <f>C38-'Income Statement'!C22</f>
        <v/>
      </c>
      <c r="D39" s="23">
        <f>D38-'Income Statement'!D22</f>
        <v/>
      </c>
      <c r="E39" s="23">
        <f>E38-'Income Statement'!E22</f>
        <v/>
      </c>
      <c r="F39" s="23">
        <f>F38-'Income Statement'!F22</f>
        <v/>
      </c>
      <c r="G39" s="23">
        <f>G38-'Income Statement'!G22</f>
        <v/>
      </c>
      <c r="H39" s="23">
        <f>H38-'Income Statement'!H22</f>
        <v/>
      </c>
      <c r="I39" s="23">
        <f>I38-'Income Statement'!I22</f>
        <v/>
      </c>
      <c r="J39" s="23">
        <f>J38-'Income Statement'!J22</f>
        <v/>
      </c>
      <c r="K39" s="23">
        <f>K38-'Income Statement'!K22</f>
        <v/>
      </c>
      <c r="L39" s="23">
        <f>L38-'Income Statement'!L22</f>
        <v/>
      </c>
      <c r="M39" s="9" t="n"/>
      <c r="N39" s="9" t="n"/>
      <c r="O39" s="9" t="n"/>
      <c r="P39" s="23">
        <f>P38-'Income Statement'!P22</f>
        <v/>
      </c>
      <c r="Q39" s="23">
        <f>Q38-'Income Statement'!Q22</f>
        <v/>
      </c>
      <c r="R39" s="23">
        <f>R38-'Income Statement'!R22</f>
        <v/>
      </c>
      <c r="S39" s="23">
        <f>S38-'Income Statement'!S22</f>
        <v/>
      </c>
      <c r="T39" s="23">
        <f>T38-'Income Statement'!T22</f>
        <v/>
      </c>
      <c r="U39" s="23">
        <f>U38-'Income Statement'!U22</f>
        <v/>
      </c>
    </row>
    <row r="40" ht="8" customHeight="1">
      <c r="M40" s="9" t="n"/>
      <c r="N40" s="9" t="n"/>
      <c r="O40" s="9" t="n"/>
    </row>
    <row r="41" ht="20" customHeight="1">
      <c r="A41" s="12" t="inlineStr">
        <is>
          <t>4. RECONCILIATION TO EARNINGS BEFORE TAX</t>
        </is>
      </c>
      <c r="B41" s="2" t="n"/>
      <c r="C41" s="2" t="n"/>
      <c r="D41" s="2" t="n"/>
      <c r="E41" s="2" t="n"/>
      <c r="F41" s="2" t="n"/>
      <c r="G41" s="2" t="n"/>
      <c r="H41" s="2" t="n"/>
      <c r="I41" s="2" t="n"/>
      <c r="J41" s="2" t="n"/>
      <c r="K41" s="2" t="n"/>
      <c r="L41" s="2" t="n"/>
      <c r="M41" s="9" t="n"/>
      <c r="N41" s="9" t="n"/>
      <c r="O41" s="9" t="n"/>
      <c r="P41" s="2" t="n"/>
      <c r="Q41" s="2" t="n"/>
      <c r="R41" s="2" t="n"/>
      <c r="S41" s="2" t="n"/>
      <c r="T41" s="2" t="n"/>
      <c r="U41" s="2" t="n"/>
    </row>
    <row r="42">
      <c r="A42" s="16" t="inlineStr">
        <is>
          <t>Benefit plan non-service income/(expense)</t>
        </is>
      </c>
      <c r="C42" s="28">
        <f>'Income Statement'!C26</f>
        <v/>
      </c>
      <c r="D42" s="28">
        <f>'Income Statement'!D26</f>
        <v/>
      </c>
      <c r="E42" s="28">
        <f>'Income Statement'!E26</f>
        <v/>
      </c>
      <c r="F42" s="28">
        <f>'Income Statement'!F26</f>
        <v/>
      </c>
      <c r="G42" s="28">
        <f>'Income Statement'!G26</f>
        <v/>
      </c>
      <c r="H42" s="28">
        <f>'Income Statement'!H26</f>
        <v/>
      </c>
      <c r="I42" s="28">
        <f>'Income Statement'!I26</f>
        <v/>
      </c>
      <c r="J42" s="28">
        <f>'Income Statement'!J26</f>
        <v/>
      </c>
      <c r="K42" s="28">
        <f>'Income Statement'!K26</f>
        <v/>
      </c>
      <c r="L42" s="28">
        <f>'Income Statement'!L26</f>
        <v/>
      </c>
      <c r="M42" s="9" t="n"/>
      <c r="N42" s="9" t="n"/>
      <c r="O42" s="9" t="n"/>
      <c r="P42" s="28">
        <f>'Income Statement'!P26</f>
        <v/>
      </c>
      <c r="Q42" s="28">
        <f>'Income Statement'!Q26</f>
        <v/>
      </c>
      <c r="R42" s="28">
        <f>'Income Statement'!R26</f>
        <v/>
      </c>
      <c r="S42" s="28">
        <f>'Income Statement'!S26</f>
        <v/>
      </c>
      <c r="T42" s="28">
        <f>'Income Statement'!T26</f>
        <v/>
      </c>
      <c r="U42" s="28">
        <f>'Income Statement'!U26</f>
        <v/>
      </c>
    </row>
    <row r="43">
      <c r="A43" s="16" t="inlineStr">
        <is>
          <t>Interest and other expense, net</t>
        </is>
      </c>
      <c r="C43" s="28">
        <f>'Income Statement'!C27</f>
        <v/>
      </c>
      <c r="D43" s="28">
        <f>'Income Statement'!D27</f>
        <v/>
      </c>
      <c r="E43" s="28">
        <f>'Income Statement'!E27</f>
        <v/>
      </c>
      <c r="F43" s="28">
        <f>'Income Statement'!F27</f>
        <v/>
      </c>
      <c r="G43" s="28">
        <f>'Income Statement'!G27</f>
        <v/>
      </c>
      <c r="H43" s="28">
        <f>'Income Statement'!H27</f>
        <v/>
      </c>
      <c r="I43" s="28">
        <f>'Income Statement'!I27</f>
        <v/>
      </c>
      <c r="J43" s="28">
        <f>'Income Statement'!J27</f>
        <v/>
      </c>
      <c r="K43" s="28">
        <f>'Income Statement'!K27</f>
        <v/>
      </c>
      <c r="L43" s="28">
        <f>'Income Statement'!L27</f>
        <v/>
      </c>
      <c r="M43" s="9" t="n"/>
      <c r="N43" s="9" t="n"/>
      <c r="O43" s="9" t="n"/>
      <c r="P43" s="28">
        <f>'Income Statement'!P27</f>
        <v/>
      </c>
      <c r="Q43" s="28">
        <f>'Income Statement'!Q27</f>
        <v/>
      </c>
      <c r="R43" s="28">
        <f>'Income Statement'!R27</f>
        <v/>
      </c>
      <c r="S43" s="28">
        <f>'Income Statement'!S27</f>
        <v/>
      </c>
      <c r="T43" s="28">
        <f>'Income Statement'!T27</f>
        <v/>
      </c>
      <c r="U43" s="28">
        <f>'Income Statement'!U27</f>
        <v/>
      </c>
    </row>
    <row r="44">
      <c r="A44" s="16" t="inlineStr">
        <is>
          <t>Gain on marketable securities</t>
        </is>
      </c>
      <c r="C44" s="28">
        <f>'Income Statement'!C28</f>
        <v/>
      </c>
      <c r="D44" s="28">
        <f>'Income Statement'!D28</f>
        <v/>
      </c>
      <c r="E44" s="28">
        <f>'Income Statement'!E28</f>
        <v/>
      </c>
      <c r="F44" s="28">
        <f>'Income Statement'!F28</f>
        <v/>
      </c>
      <c r="G44" s="28">
        <f>'Income Statement'!G28</f>
        <v/>
      </c>
      <c r="H44" s="28">
        <f>'Income Statement'!H28</f>
        <v/>
      </c>
      <c r="I44" s="28">
        <f>'Income Statement'!I28</f>
        <v/>
      </c>
      <c r="J44" s="28">
        <f>'Income Statement'!J28</f>
        <v/>
      </c>
      <c r="K44" s="28">
        <f>'Income Statement'!K28</f>
        <v/>
      </c>
      <c r="L44" s="28">
        <f>'Income Statement'!L28</f>
        <v/>
      </c>
      <c r="M44" s="9" t="n"/>
      <c r="N44" s="9" t="n"/>
      <c r="O44" s="9" t="n"/>
      <c r="P44" s="28">
        <f>'Income Statement'!P28</f>
        <v/>
      </c>
      <c r="Q44" s="28">
        <f>'Income Statement'!Q28</f>
        <v/>
      </c>
      <c r="R44" s="28">
        <f>'Income Statement'!R28</f>
        <v/>
      </c>
      <c r="S44" s="28">
        <f>'Income Statement'!S28</f>
        <v/>
      </c>
      <c r="T44" s="28">
        <f>'Income Statement'!T28</f>
        <v/>
      </c>
      <c r="U44" s="28">
        <f>'Income Statement'!U28</f>
        <v/>
      </c>
    </row>
    <row r="45">
      <c r="A45" s="10" t="inlineStr">
        <is>
          <t>Earnings Before Income Taxes (reconciled)</t>
        </is>
      </c>
      <c r="C45" s="27">
        <f>C38+C42+C43+C44</f>
        <v/>
      </c>
      <c r="D45" s="27">
        <f>D38+D42+D43+D44</f>
        <v/>
      </c>
      <c r="E45" s="27">
        <f>E38+E42+E43+E44</f>
        <v/>
      </c>
      <c r="F45" s="27">
        <f>F38+F42+F43+F44</f>
        <v/>
      </c>
      <c r="G45" s="27">
        <f>G38+G42+G43+G44</f>
        <v/>
      </c>
      <c r="H45" s="27">
        <f>H38+H42+H43+H44</f>
        <v/>
      </c>
      <c r="I45" s="27">
        <f>I38+I42+I43+I44</f>
        <v/>
      </c>
      <c r="J45" s="27">
        <f>J38+J42+J43+J44</f>
        <v/>
      </c>
      <c r="K45" s="27">
        <f>K38+K42+K43+K44</f>
        <v/>
      </c>
      <c r="L45" s="27">
        <f>L38+L42+L43+L44</f>
        <v/>
      </c>
      <c r="M45" s="20" t="n"/>
      <c r="N45" s="20" t="n"/>
      <c r="O45" s="20" t="n"/>
      <c r="P45" s="27">
        <f>P38+P42+P43+P44</f>
        <v/>
      </c>
      <c r="Q45" s="27">
        <f>Q38+Q42+Q43+Q44</f>
        <v/>
      </c>
      <c r="R45" s="27">
        <f>R38+R42+R43+R44</f>
        <v/>
      </c>
      <c r="S45" s="27">
        <f>S38+S42+S43+S44</f>
        <v/>
      </c>
      <c r="T45" s="27">
        <f>T38+T42+T43+T44</f>
        <v/>
      </c>
      <c r="U45" s="27">
        <f>U38+U42+U43+U44</f>
        <v/>
      </c>
    </row>
    <row r="46">
      <c r="A46" s="14" t="inlineStr">
        <is>
          <t>vs IS Earnings Before Tax (should be ~0)</t>
        </is>
      </c>
      <c r="C46" s="23">
        <f>C45-'Income Statement'!C29</f>
        <v/>
      </c>
      <c r="D46" s="23">
        <f>D45-'Income Statement'!D29</f>
        <v/>
      </c>
      <c r="E46" s="23">
        <f>E45-'Income Statement'!E29</f>
        <v/>
      </c>
      <c r="F46" s="23">
        <f>F45-'Income Statement'!F29</f>
        <v/>
      </c>
      <c r="G46" s="23">
        <f>G45-'Income Statement'!G29</f>
        <v/>
      </c>
      <c r="H46" s="23">
        <f>H45-'Income Statement'!H29</f>
        <v/>
      </c>
      <c r="I46" s="23">
        <f>I45-'Income Statement'!I29</f>
        <v/>
      </c>
      <c r="J46" s="23">
        <f>J45-'Income Statement'!J29</f>
        <v/>
      </c>
      <c r="K46" s="23">
        <f>K45-'Income Statement'!K29</f>
        <v/>
      </c>
      <c r="L46" s="23">
        <f>L45-'Income Statement'!L29</f>
        <v/>
      </c>
      <c r="M46" s="9" t="n"/>
      <c r="N46" s="9" t="n"/>
      <c r="O46" s="9" t="n"/>
      <c r="P46" s="23">
        <f>P45-'Income Statement'!P29</f>
        <v/>
      </c>
      <c r="Q46" s="23">
        <f>Q45-'Income Statement'!Q29</f>
        <v/>
      </c>
      <c r="R46" s="23">
        <f>R45-'Income Statement'!R29</f>
        <v/>
      </c>
      <c r="S46" s="23">
        <f>S45-'Income Statement'!S29</f>
        <v/>
      </c>
      <c r="T46" s="23">
        <f>T45-'Income Statement'!T29</f>
        <v/>
      </c>
      <c r="U46" s="23">
        <f>U45-'Income Statement'!U29</f>
        <v/>
      </c>
    </row>
    <row r="47">
      <c r="M47" s="9" t="n"/>
      <c r="N47" s="9" t="n"/>
      <c r="O47" s="9" t="n"/>
    </row>
  </sheetData>
  <conditionalFormatting sqref="C18:U18">
    <cfRule type="cellIs" priority="1" operator="notBetween" dxfId="0">
      <formula>-0.5</formula>
      <formula>0.5</formula>
    </cfRule>
  </conditionalFormatting>
  <conditionalFormatting sqref="C39:U39">
    <cfRule type="cellIs" priority="2" operator="notBetween" dxfId="0">
      <formula>-0.5</formula>
      <formula>0.5</formula>
    </cfRule>
  </conditionalFormatting>
  <conditionalFormatting sqref="C46:U46">
    <cfRule type="cellIs" priority="3" operator="notBetween" dxfId="0">
      <formula>-0.5</formula>
      <formula>0.5</formula>
    </cfRule>
  </conditionalFormatting>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U47"/>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6.5"/>
  <cols>
    <col width="46" customWidth="1" min="1" max="1"/>
    <col hidden="1" outlineLevel="1" width="3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9" customWidth="1" min="13" max="13"/>
    <col width="9" customWidth="1" min="14" max="14"/>
    <col width="9" customWidth="1" min="15" max="15"/>
    <col width="12" customWidth="1" min="16" max="16"/>
    <col width="12" customWidth="1" min="17" max="17"/>
    <col width="12" customWidth="1" min="18" max="18"/>
    <col width="12" customWidth="1" min="19" max="19"/>
    <col width="12" customWidth="1" min="20" max="20"/>
    <col width="12" customWidth="1" min="21" max="21"/>
  </cols>
  <sheetData>
    <row r="1" ht="28" customHeight="1">
      <c r="A1" s="1" t="inlineStr">
        <is>
          <t>Mondelez International, Inc. — Geography &amp; Products</t>
        </is>
      </c>
      <c r="B1" s="2" t="n"/>
      <c r="C1" s="2" t="n"/>
      <c r="D1" s="2" t="n"/>
      <c r="E1" s="2" t="n"/>
      <c r="F1" s="2" t="n"/>
      <c r="G1" s="2" t="n"/>
      <c r="H1" s="2" t="n"/>
      <c r="I1" s="2" t="n"/>
      <c r="J1" s="2" t="n"/>
      <c r="K1" s="2" t="n"/>
      <c r="L1" s="2" t="n"/>
      <c r="M1" s="2" t="n"/>
      <c r="N1" s="2" t="n"/>
      <c r="O1" s="2" t="n"/>
      <c r="P1" s="2" t="n"/>
      <c r="Q1" s="2" t="n"/>
      <c r="R1" s="2" t="n"/>
      <c r="S1" s="2" t="n"/>
      <c r="T1" s="2" t="n"/>
      <c r="U1" s="2" t="n"/>
    </row>
    <row r="2" ht="16" customHeight="1">
      <c r="A2" s="3" t="inlineStr">
        <is>
          <t>$ in millions except per-share data  |  USD  |  as of 2026-09-15</t>
        </is>
      </c>
    </row>
    <row r="3">
      <c r="C3" s="6" t="inlineStr">
        <is>
          <t>FY2016</t>
        </is>
      </c>
      <c r="D3" s="6" t="inlineStr">
        <is>
          <t>FY2017</t>
        </is>
      </c>
      <c r="E3" s="6" t="inlineStr">
        <is>
          <t>FY2018</t>
        </is>
      </c>
      <c r="F3" s="6" t="inlineStr">
        <is>
          <t>FY2019</t>
        </is>
      </c>
      <c r="G3" s="6" t="inlineStr">
        <is>
          <t>FY2020</t>
        </is>
      </c>
      <c r="H3" s="6" t="inlineStr">
        <is>
          <t>FY2021</t>
        </is>
      </c>
      <c r="I3" s="6" t="inlineStr">
        <is>
          <t>FY2022</t>
        </is>
      </c>
      <c r="J3" s="6" t="inlineStr">
        <is>
          <t>FY2023</t>
        </is>
      </c>
      <c r="K3" s="6" t="inlineStr">
        <is>
          <t>FY2024</t>
        </is>
      </c>
      <c r="L3" s="6" t="inlineStr">
        <is>
          <t>FY2025</t>
        </is>
      </c>
      <c r="M3" s="7" t="inlineStr">
        <is>
          <t>·</t>
        </is>
      </c>
      <c r="N3" s="7" t="inlineStr">
        <is>
          <t>·</t>
        </is>
      </c>
      <c r="O3" s="7" t="inlineStr">
        <is>
          <t>·</t>
        </is>
      </c>
      <c r="P3" s="6" t="inlineStr">
        <is>
          <t>3Q2024</t>
        </is>
      </c>
      <c r="Q3" s="6" t="inlineStr">
        <is>
          <t>1Q2025</t>
        </is>
      </c>
      <c r="R3" s="6" t="inlineStr">
        <is>
          <t>2Q2025</t>
        </is>
      </c>
      <c r="S3" s="6" t="inlineStr">
        <is>
          <t>3Q2025</t>
        </is>
      </c>
      <c r="T3" s="6" t="inlineStr">
        <is>
          <t>1Q2026</t>
        </is>
      </c>
      <c r="U3" s="6" t="inlineStr">
        <is>
          <t>2Q2026</t>
        </is>
      </c>
    </row>
    <row r="4">
      <c r="C4" s="8" t="inlineStr">
        <is>
          <t>2016-12-31</t>
        </is>
      </c>
      <c r="D4" s="8" t="inlineStr">
        <is>
          <t>2017-12-31</t>
        </is>
      </c>
      <c r="E4" s="8" t="inlineStr">
        <is>
          <t>2018-12-31</t>
        </is>
      </c>
      <c r="F4" s="8" t="inlineStr">
        <is>
          <t>2019-12-31</t>
        </is>
      </c>
      <c r="G4" s="8" t="inlineStr">
        <is>
          <t>2020-12-31</t>
        </is>
      </c>
      <c r="H4" s="8" t="inlineStr">
        <is>
          <t>2021-12-31</t>
        </is>
      </c>
      <c r="I4" s="8" t="inlineStr">
        <is>
          <t>2022-12-31</t>
        </is>
      </c>
      <c r="J4" s="8" t="inlineStr">
        <is>
          <t>2023-12-31</t>
        </is>
      </c>
      <c r="K4" s="8" t="inlineStr">
        <is>
          <t>2024-12-31</t>
        </is>
      </c>
      <c r="L4" s="8" t="inlineStr">
        <is>
          <t>2025-12-31</t>
        </is>
      </c>
      <c r="M4" s="9" t="n"/>
      <c r="N4" s="9" t="n"/>
      <c r="O4" s="9" t="n"/>
      <c r="P4" s="8" t="inlineStr">
        <is>
          <t>2024-09-30</t>
        </is>
      </c>
      <c r="Q4" s="8" t="inlineStr">
        <is>
          <t>2025-03-31</t>
        </is>
      </c>
      <c r="R4" s="8" t="inlineStr">
        <is>
          <t>2025-06-30</t>
        </is>
      </c>
      <c r="S4" s="8" t="inlineStr">
        <is>
          <t>2025-09-30</t>
        </is>
      </c>
      <c r="T4" s="8" t="inlineStr">
        <is>
          <t>2026-03-31</t>
        </is>
      </c>
      <c r="U4" s="8" t="inlineStr">
        <is>
          <t>2026-06-30</t>
        </is>
      </c>
    </row>
    <row r="5">
      <c r="M5" s="9" t="n"/>
      <c r="N5" s="9" t="n"/>
      <c r="O5" s="9" t="n"/>
    </row>
    <row r="6">
      <c r="A6" s="10" t="inlineStr">
        <is>
          <t>CONTENTS</t>
        </is>
      </c>
      <c r="M6" s="9" t="n"/>
      <c r="N6" s="9" t="n"/>
      <c r="O6" s="9" t="n"/>
    </row>
    <row r="7">
      <c r="A7" s="11">
        <f>HYPERLINK("#'Geography &amp; Products'!A13","1. PRODUCT CATEGORY REVENUE — TOTAL COMPANY")</f>
        <v/>
      </c>
      <c r="M7" s="9" t="n"/>
      <c r="N7" s="9" t="n"/>
      <c r="O7" s="9" t="n"/>
    </row>
    <row r="8">
      <c r="A8" s="11">
        <f>HYPERLINK("#'Geography &amp; Products'!A22","2. BISCUITS &amp; BAKED SNACKS BY SEGMENT")</f>
        <v/>
      </c>
      <c r="M8" s="9" t="n"/>
      <c r="N8" s="9" t="n"/>
      <c r="O8" s="9" t="n"/>
    </row>
    <row r="9">
      <c r="A9" s="11">
        <f>HYPERLINK("#'Geography &amp; Products'!A28","3. CHOCOLATE BY SEGMENT")</f>
        <v/>
      </c>
      <c r="M9" s="9" t="n"/>
      <c r="N9" s="9" t="n"/>
      <c r="O9" s="9" t="n"/>
    </row>
    <row r="10">
      <c r="A10" s="11">
        <f>HYPERLINK("#'Geography &amp; Products'!A34","4. GUM &amp; CANDY BY SEGMENT")</f>
        <v/>
      </c>
      <c r="M10" s="9" t="n"/>
      <c r="N10" s="9" t="n"/>
      <c r="O10" s="9" t="n"/>
    </row>
    <row r="11">
      <c r="A11" s="11">
        <f>HYPERLINK("#'Geography &amp; Products'!A40","5. BEVERAGES &amp; CHEESE/GROCERY BY SEGMENT")</f>
        <v/>
      </c>
      <c r="M11" s="9" t="n"/>
      <c r="N11" s="9" t="n"/>
      <c r="O11" s="9" t="n"/>
    </row>
    <row r="12" ht="8" customHeight="1">
      <c r="M12" s="9" t="n"/>
      <c r="N12" s="9" t="n"/>
      <c r="O12" s="9" t="n"/>
    </row>
    <row r="13" ht="20" customHeight="1">
      <c r="A13" s="12" t="inlineStr">
        <is>
          <t>1. PRODUCT CATEGORY REVENUE — TOTAL COMPANY</t>
        </is>
      </c>
      <c r="B13" s="2" t="n"/>
      <c r="C13" s="2" t="n"/>
      <c r="D13" s="2" t="n"/>
      <c r="E13" s="2" t="n"/>
      <c r="F13" s="2" t="n"/>
      <c r="G13" s="2" t="n"/>
      <c r="H13" s="2" t="n"/>
      <c r="I13" s="2" t="n"/>
      <c r="J13" s="2" t="n"/>
      <c r="K13" s="2" t="n"/>
      <c r="L13" s="2" t="n"/>
      <c r="M13" s="9" t="n"/>
      <c r="N13" s="9" t="n"/>
      <c r="O13" s="9" t="n"/>
      <c r="P13" s="2" t="n"/>
      <c r="Q13" s="2" t="n"/>
      <c r="R13" s="2" t="n"/>
      <c r="S13" s="2" t="n"/>
      <c r="T13" s="2" t="n"/>
      <c r="U13" s="2" t="n"/>
    </row>
    <row r="14">
      <c r="A14" s="16" t="inlineStr">
        <is>
          <t>Biscuits &amp; Baked Snacks</t>
        </is>
      </c>
      <c r="B14" s="17" t="inlineStr">
        <is>
          <t>FY2023-2025 &amp; 3Q2024 only; earlier years use an incompatible product-category taxonomy (no separate Gum &amp; Candy category, $ not disclosed)</t>
        </is>
      </c>
      <c r="J14" s="18" t="n">
        <v>17629</v>
      </c>
      <c r="K14" s="18" t="n">
        <v>17802</v>
      </c>
      <c r="L14" s="18" t="n">
        <v>18391</v>
      </c>
      <c r="M14" s="9" t="n"/>
      <c r="N14" s="9" t="n"/>
      <c r="O14" s="9" t="n"/>
      <c r="P14" s="18" t="n">
        <v>4605</v>
      </c>
    </row>
    <row r="15">
      <c r="A15" s="16" t="inlineStr">
        <is>
          <t>Chocolate</t>
        </is>
      </c>
      <c r="J15" s="18" t="n">
        <v>10619</v>
      </c>
      <c r="K15" s="18" t="n">
        <v>11248</v>
      </c>
      <c r="L15" s="18" t="n">
        <v>12696</v>
      </c>
      <c r="M15" s="9" t="n"/>
      <c r="N15" s="9" t="n"/>
      <c r="O15" s="9" t="n"/>
      <c r="P15" s="18" t="n">
        <v>2783</v>
      </c>
    </row>
    <row r="16">
      <c r="A16" s="16" t="inlineStr">
        <is>
          <t>Gum &amp; Candy</t>
        </is>
      </c>
      <c r="J16" s="18" t="n">
        <v>4426</v>
      </c>
      <c r="K16" s="18" t="n">
        <v>4040</v>
      </c>
      <c r="L16" s="18" t="n">
        <v>4060</v>
      </c>
      <c r="M16" s="9" t="n"/>
      <c r="N16" s="9" t="n"/>
      <c r="O16" s="9" t="n"/>
      <c r="P16" s="18" t="n">
        <v>1023</v>
      </c>
    </row>
    <row r="17">
      <c r="A17" s="16" t="inlineStr">
        <is>
          <t>Beverages</t>
        </is>
      </c>
      <c r="J17" s="18" t="n">
        <v>1185</v>
      </c>
      <c r="K17" s="18" t="n">
        <v>1096</v>
      </c>
      <c r="L17" s="18" t="n">
        <v>1006</v>
      </c>
      <c r="M17" s="9" t="n"/>
      <c r="N17" s="9" t="n"/>
      <c r="O17" s="9" t="n"/>
      <c r="P17" s="18" t="n">
        <v>237</v>
      </c>
    </row>
    <row r="18">
      <c r="A18" s="16" t="inlineStr">
        <is>
          <t>Cheese &amp; Grocery</t>
        </is>
      </c>
      <c r="J18" s="18" t="n">
        <v>2157</v>
      </c>
      <c r="K18" s="18" t="n">
        <v>2255</v>
      </c>
      <c r="L18" s="18" t="n">
        <v>2384</v>
      </c>
      <c r="M18" s="9" t="n"/>
      <c r="N18" s="9" t="n"/>
      <c r="O18" s="9" t="n"/>
      <c r="P18" s="18" t="n">
        <v>556</v>
      </c>
    </row>
    <row r="19">
      <c r="A19" s="10" t="inlineStr">
        <is>
          <t>Total Net Revenues (product categories)</t>
        </is>
      </c>
      <c r="J19" s="27">
        <f>J14+J15+J16+J17+J18</f>
        <v/>
      </c>
      <c r="K19" s="27">
        <f>K14+K15+K16+K17+K18</f>
        <v/>
      </c>
      <c r="L19" s="27">
        <f>L14+L15+L16+L17+L18</f>
        <v/>
      </c>
      <c r="M19" s="20" t="n"/>
      <c r="N19" s="20" t="n"/>
      <c r="O19" s="20" t="n"/>
      <c r="P19" s="27">
        <f>P14+P15+P16+P17+P18</f>
        <v/>
      </c>
    </row>
    <row r="20">
      <c r="A20" s="14" t="inlineStr">
        <is>
          <t>vs IS Net Revenues (should be ~0)</t>
        </is>
      </c>
      <c r="J20" s="23">
        <f>J19-'Income Statement'!J12</f>
        <v/>
      </c>
      <c r="K20" s="23">
        <f>K19-'Income Statement'!K12</f>
        <v/>
      </c>
      <c r="L20" s="23">
        <f>L19-'Income Statement'!L12</f>
        <v/>
      </c>
      <c r="M20" s="9" t="n"/>
      <c r="N20" s="9" t="n"/>
      <c r="O20" s="9" t="n"/>
      <c r="P20" s="23">
        <f>P19-'Income Statement'!P12</f>
        <v/>
      </c>
    </row>
    <row r="21" ht="8" customHeight="1">
      <c r="M21" s="9" t="n"/>
      <c r="N21" s="9" t="n"/>
      <c r="O21" s="9" t="n"/>
    </row>
    <row r="22" ht="20" customHeight="1">
      <c r="A22" s="12" t="inlineStr">
        <is>
          <t>2. BISCUITS &amp; BAKED SNACKS BY SEGMENT</t>
        </is>
      </c>
      <c r="B22" s="2" t="n"/>
      <c r="C22" s="2" t="n"/>
      <c r="D22" s="2" t="n"/>
      <c r="E22" s="2" t="n"/>
      <c r="F22" s="2" t="n"/>
      <c r="G22" s="2" t="n"/>
      <c r="H22" s="2" t="n"/>
      <c r="I22" s="2" t="n"/>
      <c r="J22" s="2" t="n"/>
      <c r="K22" s="2" t="n"/>
      <c r="L22" s="2" t="n"/>
      <c r="M22" s="9" t="n"/>
      <c r="N22" s="9" t="n"/>
      <c r="O22" s="9" t="n"/>
      <c r="P22" s="2" t="n"/>
      <c r="Q22" s="2" t="n"/>
      <c r="R22" s="2" t="n"/>
      <c r="S22" s="2" t="n"/>
      <c r="T22" s="2" t="n"/>
      <c r="U22" s="2" t="n"/>
    </row>
    <row r="23" outlineLevel="1">
      <c r="A23" s="16" t="inlineStr">
        <is>
          <t>Latin America</t>
        </is>
      </c>
      <c r="J23" s="18" t="n">
        <v>1193</v>
      </c>
      <c r="K23" s="18" t="n">
        <v>1199</v>
      </c>
      <c r="L23" s="18" t="n">
        <v>1155</v>
      </c>
      <c r="M23" s="9" t="n"/>
      <c r="N23" s="9" t="n"/>
      <c r="O23" s="9" t="n"/>
      <c r="P23" s="18" t="n">
        <v>312</v>
      </c>
    </row>
    <row r="24" outlineLevel="1">
      <c r="A24" s="16" t="inlineStr">
        <is>
          <t>AMEA</t>
        </is>
      </c>
      <c r="J24" s="18" t="n">
        <v>2488</v>
      </c>
      <c r="K24" s="18" t="n">
        <v>2573</v>
      </c>
      <c r="L24" s="18" t="n">
        <v>2935</v>
      </c>
      <c r="M24" s="9" t="n"/>
      <c r="N24" s="9" t="n"/>
      <c r="O24" s="9" t="n"/>
      <c r="P24" s="18" t="n">
        <v>661</v>
      </c>
    </row>
    <row r="25" outlineLevel="1">
      <c r="A25" s="16" t="inlineStr">
        <is>
          <t>Europe</t>
        </is>
      </c>
      <c r="J25" s="18" t="n">
        <v>4429</v>
      </c>
      <c r="K25" s="18" t="n">
        <v>4425</v>
      </c>
      <c r="L25" s="18" t="n">
        <v>4970</v>
      </c>
      <c r="M25" s="9" t="n"/>
      <c r="N25" s="9" t="n"/>
      <c r="O25" s="9" t="n"/>
      <c r="P25" s="18" t="n">
        <v>1162</v>
      </c>
    </row>
    <row r="26" outlineLevel="1">
      <c r="A26" s="16" t="inlineStr">
        <is>
          <t>North America</t>
        </is>
      </c>
      <c r="J26" s="18" t="n">
        <v>9519</v>
      </c>
      <c r="K26" s="18" t="n">
        <v>9605</v>
      </c>
      <c r="L26" s="18" t="n">
        <v>9331</v>
      </c>
      <c r="M26" s="9" t="n"/>
      <c r="N26" s="9" t="n"/>
      <c r="O26" s="9" t="n"/>
      <c r="P26" s="18" t="n">
        <v>2470</v>
      </c>
    </row>
    <row r="27" ht="8" customHeight="1">
      <c r="M27" s="9" t="n"/>
      <c r="N27" s="9" t="n"/>
      <c r="O27" s="9" t="n"/>
    </row>
    <row r="28" ht="20" customHeight="1">
      <c r="A28" s="12" t="inlineStr">
        <is>
          <t>3. CHOCOLATE BY SEGMENT</t>
        </is>
      </c>
      <c r="B28" s="2" t="n"/>
      <c r="C28" s="2" t="n"/>
      <c r="D28" s="2" t="n"/>
      <c r="E28" s="2" t="n"/>
      <c r="F28" s="2" t="n"/>
      <c r="G28" s="2" t="n"/>
      <c r="H28" s="2" t="n"/>
      <c r="I28" s="2" t="n"/>
      <c r="J28" s="2" t="n"/>
      <c r="K28" s="2" t="n"/>
      <c r="L28" s="2" t="n"/>
      <c r="M28" s="9" t="n"/>
      <c r="N28" s="9" t="n"/>
      <c r="O28" s="9" t="n"/>
      <c r="P28" s="2" t="n"/>
      <c r="Q28" s="2" t="n"/>
      <c r="R28" s="2" t="n"/>
      <c r="S28" s="2" t="n"/>
      <c r="T28" s="2" t="n"/>
      <c r="U28" s="2" t="n"/>
    </row>
    <row r="29" outlineLevel="1">
      <c r="A29" s="16" t="inlineStr">
        <is>
          <t>Latin America</t>
        </is>
      </c>
      <c r="J29" s="18" t="n">
        <v>1357</v>
      </c>
      <c r="K29" s="18" t="n">
        <v>1276</v>
      </c>
      <c r="L29" s="18" t="n">
        <v>1414</v>
      </c>
      <c r="M29" s="9" t="n"/>
      <c r="N29" s="9" t="n"/>
      <c r="O29" s="9" t="n"/>
      <c r="P29" s="18" t="n">
        <v>299</v>
      </c>
    </row>
    <row r="30" outlineLevel="1">
      <c r="A30" s="16" t="inlineStr">
        <is>
          <t>AMEA</t>
        </is>
      </c>
      <c r="J30" s="18" t="n">
        <v>2690</v>
      </c>
      <c r="K30" s="18" t="n">
        <v>2831</v>
      </c>
      <c r="L30" s="18" t="n">
        <v>3047</v>
      </c>
      <c r="M30" s="9" t="n"/>
      <c r="N30" s="9" t="n"/>
      <c r="O30" s="9" t="n"/>
      <c r="P30" s="18" t="n">
        <v>752</v>
      </c>
    </row>
    <row r="31" outlineLevel="1">
      <c r="A31" s="16" t="inlineStr">
        <is>
          <t>Europe</t>
        </is>
      </c>
      <c r="J31" s="18" t="n">
        <v>6225</v>
      </c>
      <c r="K31" s="18" t="n">
        <v>6773</v>
      </c>
      <c r="L31" s="18" t="n">
        <v>7799</v>
      </c>
      <c r="M31" s="9" t="n"/>
      <c r="N31" s="9" t="n"/>
      <c r="O31" s="9" t="n"/>
      <c r="P31" s="18" t="n">
        <v>1640</v>
      </c>
    </row>
    <row r="32" outlineLevel="1">
      <c r="A32" s="16" t="inlineStr">
        <is>
          <t>North America</t>
        </is>
      </c>
      <c r="J32" s="18" t="n">
        <v>347</v>
      </c>
      <c r="K32" s="18" t="n">
        <v>368</v>
      </c>
      <c r="L32" s="18" t="n">
        <v>436</v>
      </c>
      <c r="M32" s="9" t="n"/>
      <c r="N32" s="9" t="n"/>
      <c r="O32" s="9" t="n"/>
      <c r="P32" s="18" t="n">
        <v>92</v>
      </c>
    </row>
    <row r="33" ht="8" customHeight="1">
      <c r="M33" s="9" t="n"/>
      <c r="N33" s="9" t="n"/>
      <c r="O33" s="9" t="n"/>
    </row>
    <row r="34" ht="20" customHeight="1">
      <c r="A34" s="12" t="inlineStr">
        <is>
          <t>4. GUM &amp; CANDY BY SEGMENT</t>
        </is>
      </c>
      <c r="B34" s="2" t="n"/>
      <c r="C34" s="2" t="n"/>
      <c r="D34" s="2" t="n"/>
      <c r="E34" s="2" t="n"/>
      <c r="F34" s="2" t="n"/>
      <c r="G34" s="2" t="n"/>
      <c r="H34" s="2" t="n"/>
      <c r="I34" s="2" t="n"/>
      <c r="J34" s="2" t="n"/>
      <c r="K34" s="2" t="n"/>
      <c r="L34" s="2" t="n"/>
      <c r="M34" s="9" t="n"/>
      <c r="N34" s="9" t="n"/>
      <c r="O34" s="9" t="n"/>
      <c r="P34" s="2" t="n"/>
      <c r="Q34" s="2" t="n"/>
      <c r="R34" s="2" t="n"/>
      <c r="S34" s="2" t="n"/>
      <c r="T34" s="2" t="n"/>
      <c r="U34" s="2" t="n"/>
    </row>
    <row r="35" outlineLevel="1">
      <c r="A35" s="16" t="inlineStr">
        <is>
          <t>Latin America</t>
        </is>
      </c>
      <c r="J35" s="18" t="n">
        <v>1509</v>
      </c>
      <c r="K35" s="18" t="n">
        <v>1512</v>
      </c>
      <c r="L35" s="18" t="n">
        <v>1507</v>
      </c>
      <c r="M35" s="9" t="n"/>
      <c r="N35" s="9" t="n"/>
      <c r="O35" s="9" t="n"/>
      <c r="P35" s="18" t="n">
        <v>374</v>
      </c>
    </row>
    <row r="36" outlineLevel="1">
      <c r="A36" s="16" t="inlineStr">
        <is>
          <t>AMEA</t>
        </is>
      </c>
      <c r="J36" s="18" t="n">
        <v>893</v>
      </c>
      <c r="K36" s="18" t="n">
        <v>947</v>
      </c>
      <c r="L36" s="18" t="n">
        <v>989</v>
      </c>
      <c r="M36" s="9" t="n"/>
      <c r="N36" s="9" t="n"/>
      <c r="O36" s="9" t="n"/>
      <c r="P36" s="18" t="n">
        <v>240</v>
      </c>
    </row>
    <row r="37" outlineLevel="1">
      <c r="A37" s="16" t="inlineStr">
        <is>
          <t>Europe</t>
        </is>
      </c>
      <c r="J37" s="18" t="n">
        <v>812</v>
      </c>
      <c r="K37" s="18" t="n">
        <v>644</v>
      </c>
      <c r="L37" s="18" t="n">
        <v>652</v>
      </c>
      <c r="M37" s="9" t="n"/>
      <c r="N37" s="9" t="n"/>
      <c r="O37" s="9" t="n"/>
      <c r="P37" s="18" t="n">
        <v>145</v>
      </c>
    </row>
    <row r="38" outlineLevel="1">
      <c r="A38" s="16" t="inlineStr">
        <is>
          <t>North America</t>
        </is>
      </c>
      <c r="J38" s="18" t="n">
        <v>1212</v>
      </c>
      <c r="K38" s="18" t="n">
        <v>937</v>
      </c>
      <c r="L38" s="18" t="n">
        <v>912</v>
      </c>
      <c r="M38" s="9" t="n"/>
      <c r="N38" s="9" t="n"/>
      <c r="O38" s="9" t="n"/>
      <c r="P38" s="18" t="n">
        <v>264</v>
      </c>
    </row>
    <row r="39" ht="8" customHeight="1">
      <c r="M39" s="9" t="n"/>
      <c r="N39" s="9" t="n"/>
      <c r="O39" s="9" t="n"/>
    </row>
    <row r="40" ht="20" customHeight="1">
      <c r="A40" s="12" t="inlineStr">
        <is>
          <t>5. BEVERAGES &amp; CHEESE/GROCERY BY SEGMENT</t>
        </is>
      </c>
      <c r="B40" s="2" t="n"/>
      <c r="C40" s="2" t="n"/>
      <c r="D40" s="2" t="n"/>
      <c r="E40" s="2" t="n"/>
      <c r="F40" s="2" t="n"/>
      <c r="G40" s="2" t="n"/>
      <c r="H40" s="2" t="n"/>
      <c r="I40" s="2" t="n"/>
      <c r="J40" s="2" t="n"/>
      <c r="K40" s="2" t="n"/>
      <c r="L40" s="2" t="n"/>
      <c r="M40" s="9" t="n"/>
      <c r="N40" s="9" t="n"/>
      <c r="O40" s="9" t="n"/>
      <c r="P40" s="2" t="n"/>
      <c r="Q40" s="2" t="n"/>
      <c r="R40" s="2" t="n"/>
      <c r="S40" s="2" t="n"/>
      <c r="T40" s="2" t="n"/>
      <c r="U40" s="2" t="n"/>
    </row>
    <row r="41" outlineLevel="1">
      <c r="A41" s="16" t="inlineStr">
        <is>
          <t>Beverages — Latin America</t>
        </is>
      </c>
      <c r="J41" s="18" t="n">
        <v>457</v>
      </c>
      <c r="K41" s="18" t="n">
        <v>454</v>
      </c>
      <c r="L41" s="18" t="n">
        <v>344</v>
      </c>
      <c r="M41" s="9" t="n"/>
      <c r="N41" s="9" t="n"/>
      <c r="O41" s="9" t="n"/>
      <c r="P41" s="18" t="n">
        <v>104</v>
      </c>
    </row>
    <row r="42" outlineLevel="1">
      <c r="A42" s="16" t="inlineStr">
        <is>
          <t>Beverages — AMEA</t>
        </is>
      </c>
      <c r="J42" s="18" t="n">
        <v>593</v>
      </c>
      <c r="K42" s="18" t="n">
        <v>525</v>
      </c>
      <c r="L42" s="18" t="n">
        <v>517</v>
      </c>
      <c r="M42" s="9" t="n"/>
      <c r="N42" s="9" t="n"/>
      <c r="O42" s="9" t="n"/>
      <c r="P42" s="18" t="n">
        <v>105</v>
      </c>
    </row>
    <row r="43" outlineLevel="1">
      <c r="A43" s="16" t="inlineStr">
        <is>
          <t>Beverages — Europe</t>
        </is>
      </c>
      <c r="J43" s="18" t="n">
        <v>135</v>
      </c>
      <c r="K43" s="18" t="n">
        <v>117</v>
      </c>
      <c r="L43" s="18" t="n">
        <v>145</v>
      </c>
      <c r="M43" s="9" t="n"/>
      <c r="N43" s="9" t="n"/>
      <c r="O43" s="9" t="n"/>
      <c r="P43" s="18" t="n">
        <v>28</v>
      </c>
    </row>
    <row r="44" outlineLevel="1">
      <c r="A44" s="16" t="inlineStr">
        <is>
          <t>Cheese &amp; Grocery — Latin America</t>
        </is>
      </c>
      <c r="J44" s="18" t="n">
        <v>490</v>
      </c>
      <c r="K44" s="18" t="n">
        <v>485</v>
      </c>
      <c r="L44" s="18" t="n">
        <v>479</v>
      </c>
      <c r="M44" s="9" t="n"/>
      <c r="N44" s="9" t="n"/>
      <c r="O44" s="9" t="n"/>
      <c r="P44" s="18" t="n">
        <v>115</v>
      </c>
    </row>
    <row r="45" outlineLevel="1">
      <c r="A45" s="16" t="inlineStr">
        <is>
          <t>Cheese &amp; Grocery — AMEA</t>
        </is>
      </c>
      <c r="J45" s="18" t="n">
        <v>411</v>
      </c>
      <c r="K45" s="18" t="n">
        <v>420</v>
      </c>
      <c r="L45" s="18" t="n">
        <v>444</v>
      </c>
      <c r="M45" s="9" t="n"/>
      <c r="N45" s="9" t="n"/>
      <c r="O45" s="9" t="n"/>
      <c r="P45" s="18" t="n">
        <v>93</v>
      </c>
    </row>
    <row r="46" outlineLevel="1">
      <c r="A46" s="16" t="inlineStr">
        <is>
          <t>Cheese &amp; Grocery — Europe</t>
        </is>
      </c>
      <c r="J46" s="18" t="n">
        <v>1256</v>
      </c>
      <c r="K46" s="18" t="n">
        <v>1350</v>
      </c>
      <c r="L46" s="18" t="n">
        <v>1461</v>
      </c>
      <c r="M46" s="9" t="n"/>
      <c r="N46" s="9" t="n"/>
      <c r="O46" s="9" t="n"/>
      <c r="P46" s="18" t="n">
        <v>348</v>
      </c>
    </row>
    <row r="47">
      <c r="M47" s="9" t="n"/>
      <c r="N47" s="9" t="n"/>
      <c r="O47" s="9" t="n"/>
    </row>
  </sheetData>
  <conditionalFormatting sqref="C20:U20">
    <cfRule type="cellIs" priority="1" operator="notBetween" dxfId="0">
      <formula>-0.5</formula>
      <formula>0.5</formula>
    </cfRule>
  </conditionalFormatting>
  <pageMargins left="0.75" right="0.75" top="1" bottom="1" header="0.5" footer="0.5"/>
</worksheet>
</file>

<file path=xl/worksheets/sheet7.xml><?xml version="1.0" encoding="utf-8"?>
<worksheet xmlns="http://schemas.openxmlformats.org/spreadsheetml/2006/main">
  <sheetPr>
    <tabColor rgb="007030A0"/>
    <outlinePr summaryBelow="1" summaryRight="1"/>
    <pageSetUpPr/>
  </sheetPr>
  <dimension ref="A1:U78"/>
  <sheetViews>
    <sheetView showGridLines="0" zoomScale="85" workbookViewId="0">
      <pane xSplit="2" ySplit="5" topLeftCell="C6" activePane="bottomRight" state="frozen"/>
      <selection pane="topRight"/>
      <selection pane="bottomLeft"/>
      <selection pane="bottomRight" activeCell="A1" sqref="A1"/>
    </sheetView>
  </sheetViews>
  <sheetFormatPr baseColWidth="8" defaultRowHeight="16.5"/>
  <cols>
    <col width="46" customWidth="1" min="1" max="1"/>
    <col width="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9" customWidth="1" min="13" max="13"/>
    <col width="9" customWidth="1" min="14" max="14"/>
    <col width="9" customWidth="1" min="15" max="15"/>
    <col width="12" customWidth="1" min="16" max="16"/>
    <col width="12" customWidth="1" min="17" max="17"/>
    <col width="12" customWidth="1" min="18" max="18"/>
    <col width="12" customWidth="1" min="19" max="19"/>
    <col width="12" customWidth="1" min="20" max="20"/>
    <col width="12" customWidth="1" min="21" max="21"/>
  </cols>
  <sheetData>
    <row r="1" ht="28" customHeight="1">
      <c r="A1" s="1" t="inlineStr">
        <is>
          <t>Mondelez International, Inc. — Derived Metrics</t>
        </is>
      </c>
      <c r="B1" s="2" t="n"/>
      <c r="C1" s="2" t="n"/>
      <c r="D1" s="2" t="n"/>
      <c r="E1" s="2" t="n"/>
      <c r="F1" s="2" t="n"/>
      <c r="G1" s="2" t="n"/>
      <c r="H1" s="2" t="n"/>
      <c r="I1" s="2" t="n"/>
      <c r="J1" s="2" t="n"/>
      <c r="K1" s="2" t="n"/>
      <c r="L1" s="2" t="n"/>
      <c r="M1" s="2" t="n"/>
      <c r="N1" s="2" t="n"/>
      <c r="O1" s="2" t="n"/>
      <c r="P1" s="2" t="n"/>
      <c r="Q1" s="2" t="n"/>
      <c r="R1" s="2" t="n"/>
      <c r="S1" s="2" t="n"/>
      <c r="T1" s="2" t="n"/>
      <c r="U1" s="2" t="n"/>
    </row>
    <row r="2" ht="16" customHeight="1">
      <c r="A2" s="3" t="inlineStr">
        <is>
          <t>$ in millions except per-share data  |  USD  |  as of 2026-09-15</t>
        </is>
      </c>
    </row>
    <row r="3">
      <c r="C3" s="6" t="inlineStr">
        <is>
          <t>FY2016</t>
        </is>
      </c>
      <c r="D3" s="6" t="inlineStr">
        <is>
          <t>FY2017</t>
        </is>
      </c>
      <c r="E3" s="6" t="inlineStr">
        <is>
          <t>FY2018</t>
        </is>
      </c>
      <c r="F3" s="6" t="inlineStr">
        <is>
          <t>FY2019</t>
        </is>
      </c>
      <c r="G3" s="6" t="inlineStr">
        <is>
          <t>FY2020</t>
        </is>
      </c>
      <c r="H3" s="6" t="inlineStr">
        <is>
          <t>FY2021</t>
        </is>
      </c>
      <c r="I3" s="6" t="inlineStr">
        <is>
          <t>FY2022</t>
        </is>
      </c>
      <c r="J3" s="6" t="inlineStr">
        <is>
          <t>FY2023</t>
        </is>
      </c>
      <c r="K3" s="6" t="inlineStr">
        <is>
          <t>FY2024</t>
        </is>
      </c>
      <c r="L3" s="6" t="inlineStr">
        <is>
          <t>FY2025</t>
        </is>
      </c>
      <c r="M3" s="7" t="inlineStr">
        <is>
          <t>·</t>
        </is>
      </c>
      <c r="N3" s="7" t="inlineStr">
        <is>
          <t>·</t>
        </is>
      </c>
      <c r="O3" s="7" t="inlineStr">
        <is>
          <t>·</t>
        </is>
      </c>
      <c r="P3" s="6" t="inlineStr">
        <is>
          <t>3Q2024</t>
        </is>
      </c>
      <c r="Q3" s="6" t="inlineStr">
        <is>
          <t>1Q2025</t>
        </is>
      </c>
      <c r="R3" s="6" t="inlineStr">
        <is>
          <t>2Q2025</t>
        </is>
      </c>
      <c r="S3" s="6" t="inlineStr">
        <is>
          <t>3Q2025</t>
        </is>
      </c>
      <c r="T3" s="6" t="inlineStr">
        <is>
          <t>1Q2026</t>
        </is>
      </c>
      <c r="U3" s="6" t="inlineStr">
        <is>
          <t>2Q2026</t>
        </is>
      </c>
    </row>
    <row r="4">
      <c r="C4" s="8" t="inlineStr">
        <is>
          <t>2016-12-31</t>
        </is>
      </c>
      <c r="D4" s="8" t="inlineStr">
        <is>
          <t>2017-12-31</t>
        </is>
      </c>
      <c r="E4" s="8" t="inlineStr">
        <is>
          <t>2018-12-31</t>
        </is>
      </c>
      <c r="F4" s="8" t="inlineStr">
        <is>
          <t>2019-12-31</t>
        </is>
      </c>
      <c r="G4" s="8" t="inlineStr">
        <is>
          <t>2020-12-31</t>
        </is>
      </c>
      <c r="H4" s="8" t="inlineStr">
        <is>
          <t>2021-12-31</t>
        </is>
      </c>
      <c r="I4" s="8" t="inlineStr">
        <is>
          <t>2022-12-31</t>
        </is>
      </c>
      <c r="J4" s="8" t="inlineStr">
        <is>
          <t>2023-12-31</t>
        </is>
      </c>
      <c r="K4" s="8" t="inlineStr">
        <is>
          <t>2024-12-31</t>
        </is>
      </c>
      <c r="L4" s="8" t="inlineStr">
        <is>
          <t>2025-12-31</t>
        </is>
      </c>
      <c r="M4" s="9" t="n"/>
      <c r="N4" s="9" t="n"/>
      <c r="O4" s="9" t="n"/>
      <c r="P4" s="8" t="inlineStr">
        <is>
          <t>2024-09-30</t>
        </is>
      </c>
      <c r="Q4" s="8" t="inlineStr">
        <is>
          <t>2025-03-31</t>
        </is>
      </c>
      <c r="R4" s="8" t="inlineStr">
        <is>
          <t>2025-06-30</t>
        </is>
      </c>
      <c r="S4" s="8" t="inlineStr">
        <is>
          <t>2025-09-30</t>
        </is>
      </c>
      <c r="T4" s="8" t="inlineStr">
        <is>
          <t>2026-03-31</t>
        </is>
      </c>
      <c r="U4" s="8" t="inlineStr">
        <is>
          <t>2026-06-30</t>
        </is>
      </c>
    </row>
    <row r="5">
      <c r="M5" s="9" t="n"/>
      <c r="N5" s="9" t="n"/>
      <c r="O5" s="9" t="n"/>
    </row>
    <row r="6">
      <c r="A6" s="10" t="inlineStr">
        <is>
          <t>CONTENTS</t>
        </is>
      </c>
      <c r="M6" s="9" t="n"/>
      <c r="N6" s="9" t="n"/>
      <c r="O6" s="9" t="n"/>
    </row>
    <row r="7">
      <c r="A7" s="11">
        <f>HYPERLINK("#'Derived Metrics'!A18","1. PROFITABILITY")</f>
        <v/>
      </c>
      <c r="M7" s="9" t="n"/>
      <c r="N7" s="9" t="n"/>
      <c r="O7" s="9" t="n"/>
    </row>
    <row r="8">
      <c r="A8" s="11">
        <f>HYPERLINK("#'Derived Metrics'!A26","2. RETURNS")</f>
        <v/>
      </c>
      <c r="M8" s="9" t="n"/>
      <c r="N8" s="9" t="n"/>
      <c r="O8" s="9" t="n"/>
    </row>
    <row r="9">
      <c r="A9" s="11">
        <f>HYPERLINK("#'Derived Metrics'!A34","3. LEVERAGE")</f>
        <v/>
      </c>
      <c r="M9" s="9" t="n"/>
      <c r="N9" s="9" t="n"/>
      <c r="O9" s="9" t="n"/>
    </row>
    <row r="10">
      <c r="A10" s="11">
        <f>HYPERLINK("#'Derived Metrics'!A40","4. SOLVENCY")</f>
        <v/>
      </c>
      <c r="M10" s="9" t="n"/>
      <c r="N10" s="9" t="n"/>
      <c r="O10" s="9" t="n"/>
    </row>
    <row r="11">
      <c r="A11" s="11">
        <f>HYPERLINK("#'Derived Metrics'!A44","5. LIQUIDITY")</f>
        <v/>
      </c>
      <c r="M11" s="9" t="n"/>
      <c r="N11" s="9" t="n"/>
      <c r="O11" s="9" t="n"/>
    </row>
    <row r="12">
      <c r="A12" s="11">
        <f>HYPERLINK("#'Derived Metrics'!A49","6. COVERAGE")</f>
        <v/>
      </c>
      <c r="M12" s="9" t="n"/>
      <c r="N12" s="9" t="n"/>
      <c r="O12" s="9" t="n"/>
    </row>
    <row r="13">
      <c r="A13" s="11">
        <f>HYPERLINK("#'Derived Metrics'!A53","7. CASH CONVERSION")</f>
        <v/>
      </c>
      <c r="M13" s="9" t="n"/>
      <c r="N13" s="9" t="n"/>
      <c r="O13" s="9" t="n"/>
    </row>
    <row r="14">
      <c r="A14" s="11">
        <f>HYPERLINK("#'Derived Metrics'!A61","8. EARNINGS QUALITY")</f>
        <v/>
      </c>
      <c r="M14" s="9" t="n"/>
      <c r="N14" s="9" t="n"/>
      <c r="O14" s="9" t="n"/>
    </row>
    <row r="15">
      <c r="A15" s="11">
        <f>HYPERLINK("#'Derived Metrics'!A65","9. GROWTH")</f>
        <v/>
      </c>
      <c r="M15" s="9" t="n"/>
      <c r="N15" s="9" t="n"/>
      <c r="O15" s="9" t="n"/>
    </row>
    <row r="16">
      <c r="A16" s="11">
        <f>HYPERLINK("#'Derived Metrics'!A73","10. WORKING CAPITAL")</f>
        <v/>
      </c>
      <c r="M16" s="9" t="n"/>
      <c r="N16" s="9" t="n"/>
      <c r="O16" s="9" t="n"/>
    </row>
    <row r="17" ht="8" customHeight="1">
      <c r="M17" s="9" t="n"/>
      <c r="N17" s="9" t="n"/>
      <c r="O17" s="9" t="n"/>
    </row>
    <row r="18" ht="20" customHeight="1">
      <c r="A18" s="12" t="inlineStr">
        <is>
          <t>1. PROFITABILITY</t>
        </is>
      </c>
      <c r="B18" s="2" t="n"/>
      <c r="C18" s="2" t="n"/>
      <c r="D18" s="2" t="n"/>
      <c r="E18" s="2" t="n"/>
      <c r="F18" s="2" t="n"/>
      <c r="G18" s="2" t="n"/>
      <c r="H18" s="2" t="n"/>
      <c r="I18" s="2" t="n"/>
      <c r="J18" s="2" t="n"/>
      <c r="K18" s="2" t="n"/>
      <c r="L18" s="2" t="n"/>
      <c r="M18" s="9" t="n"/>
      <c r="N18" s="9" t="n"/>
      <c r="O18" s="9" t="n"/>
      <c r="P18" s="2" t="n"/>
      <c r="Q18" s="2" t="n"/>
      <c r="R18" s="2" t="n"/>
      <c r="S18" s="2" t="n"/>
      <c r="T18" s="2" t="n"/>
      <c r="U18" s="2" t="n"/>
    </row>
    <row r="19">
      <c r="A19" s="5" t="inlineStr">
        <is>
          <t>Gross Margin</t>
        </is>
      </c>
      <c r="C19" s="29">
        <f>'Income Statement'!C16</f>
        <v/>
      </c>
      <c r="D19" s="29">
        <f>'Income Statement'!D16</f>
        <v/>
      </c>
      <c r="E19" s="29">
        <f>'Income Statement'!E16</f>
        <v/>
      </c>
      <c r="F19" s="29">
        <f>'Income Statement'!F16</f>
        <v/>
      </c>
      <c r="G19" s="29">
        <f>'Income Statement'!G16</f>
        <v/>
      </c>
      <c r="H19" s="29">
        <f>'Income Statement'!H16</f>
        <v/>
      </c>
      <c r="I19" s="29">
        <f>'Income Statement'!I16</f>
        <v/>
      </c>
      <c r="J19" s="29">
        <f>'Income Statement'!J16</f>
        <v/>
      </c>
      <c r="K19" s="29">
        <f>'Income Statement'!K16</f>
        <v/>
      </c>
      <c r="L19" s="29">
        <f>'Income Statement'!L16</f>
        <v/>
      </c>
      <c r="M19" s="9" t="n"/>
      <c r="N19" s="9" t="n"/>
      <c r="O19" s="9" t="n"/>
      <c r="P19" s="29">
        <f>'Income Statement'!P16</f>
        <v/>
      </c>
      <c r="Q19" s="29">
        <f>'Income Statement'!Q16</f>
        <v/>
      </c>
      <c r="R19" s="29">
        <f>'Income Statement'!R16</f>
        <v/>
      </c>
      <c r="S19" s="29">
        <f>'Income Statement'!S16</f>
        <v/>
      </c>
      <c r="T19" s="29">
        <f>'Income Statement'!T16</f>
        <v/>
      </c>
      <c r="U19" s="29">
        <f>'Income Statement'!U16</f>
        <v/>
      </c>
    </row>
    <row r="20">
      <c r="A20" s="5" t="inlineStr">
        <is>
          <t>Operating Margin</t>
        </is>
      </c>
      <c r="C20" s="29">
        <f>'Income Statement'!C23</f>
        <v/>
      </c>
      <c r="D20" s="29">
        <f>'Income Statement'!D23</f>
        <v/>
      </c>
      <c r="E20" s="29">
        <f>'Income Statement'!E23</f>
        <v/>
      </c>
      <c r="F20" s="29">
        <f>'Income Statement'!F23</f>
        <v/>
      </c>
      <c r="G20" s="29">
        <f>'Income Statement'!G23</f>
        <v/>
      </c>
      <c r="H20" s="29">
        <f>'Income Statement'!H23</f>
        <v/>
      </c>
      <c r="I20" s="29">
        <f>'Income Statement'!I23</f>
        <v/>
      </c>
      <c r="J20" s="29">
        <f>'Income Statement'!J23</f>
        <v/>
      </c>
      <c r="K20" s="29">
        <f>'Income Statement'!K23</f>
        <v/>
      </c>
      <c r="L20" s="29">
        <f>'Income Statement'!L23</f>
        <v/>
      </c>
      <c r="M20" s="9" t="n"/>
      <c r="N20" s="9" t="n"/>
      <c r="O20" s="9" t="n"/>
      <c r="P20" s="29">
        <f>'Income Statement'!P23</f>
        <v/>
      </c>
      <c r="Q20" s="29">
        <f>'Income Statement'!Q23</f>
        <v/>
      </c>
      <c r="R20" s="29">
        <f>'Income Statement'!R23</f>
        <v/>
      </c>
      <c r="S20" s="29">
        <f>'Income Statement'!S23</f>
        <v/>
      </c>
      <c r="T20" s="29">
        <f>'Income Statement'!T23</f>
        <v/>
      </c>
      <c r="U20" s="29">
        <f>'Income Statement'!U23</f>
        <v/>
      </c>
    </row>
    <row r="21">
      <c r="A21" s="10" t="inlineStr">
        <is>
          <t>EBITDA</t>
        </is>
      </c>
      <c r="C21" s="24">
        <f>'Income Statement'!C22+'Cash Flow'!C14</f>
        <v/>
      </c>
      <c r="D21" s="24">
        <f>'Income Statement'!D22+'Cash Flow'!D14</f>
        <v/>
      </c>
      <c r="E21" s="24">
        <f>'Income Statement'!E22+'Cash Flow'!E14</f>
        <v/>
      </c>
      <c r="F21" s="24">
        <f>'Income Statement'!F22+'Cash Flow'!F14</f>
        <v/>
      </c>
      <c r="G21" s="24">
        <f>'Income Statement'!G22+'Cash Flow'!G14</f>
        <v/>
      </c>
      <c r="H21" s="24">
        <f>'Income Statement'!H22+'Cash Flow'!H14</f>
        <v/>
      </c>
      <c r="I21" s="24">
        <f>'Income Statement'!I22+'Cash Flow'!I14</f>
        <v/>
      </c>
      <c r="J21" s="24">
        <f>'Income Statement'!J22+'Cash Flow'!J14</f>
        <v/>
      </c>
      <c r="K21" s="24">
        <f>'Income Statement'!K22+'Cash Flow'!K14</f>
        <v/>
      </c>
      <c r="L21" s="24">
        <f>'Income Statement'!L22+'Cash Flow'!L14</f>
        <v/>
      </c>
      <c r="M21" s="9" t="n"/>
      <c r="N21" s="9" t="n"/>
      <c r="O21" s="9" t="n"/>
      <c r="P21" s="24">
        <f>'Income Statement'!P22+'Cash Flow'!P14</f>
        <v/>
      </c>
      <c r="Q21" s="24">
        <f>'Income Statement'!Q22+'Cash Flow'!Q14</f>
        <v/>
      </c>
      <c r="R21" s="24">
        <f>'Income Statement'!R22+'Cash Flow'!R14</f>
        <v/>
      </c>
      <c r="S21" s="24">
        <f>'Income Statement'!S22+'Cash Flow'!S14</f>
        <v/>
      </c>
      <c r="T21" s="24">
        <f>'Income Statement'!T22+'Cash Flow'!T14</f>
        <v/>
      </c>
      <c r="U21" s="24">
        <f>'Income Statement'!U22+'Cash Flow'!U14</f>
        <v/>
      </c>
    </row>
    <row r="22">
      <c r="A22" s="14" t="inlineStr">
        <is>
          <t xml:space="preserve">  EBITDA Margin</t>
        </is>
      </c>
      <c r="C22" s="15">
        <f>C21/'Income Statement'!C12</f>
        <v/>
      </c>
      <c r="D22" s="15">
        <f>D21/'Income Statement'!D12</f>
        <v/>
      </c>
      <c r="E22" s="15">
        <f>E21/'Income Statement'!E12</f>
        <v/>
      </c>
      <c r="F22" s="15">
        <f>F21/'Income Statement'!F12</f>
        <v/>
      </c>
      <c r="G22" s="15">
        <f>G21/'Income Statement'!G12</f>
        <v/>
      </c>
      <c r="H22" s="15">
        <f>H21/'Income Statement'!H12</f>
        <v/>
      </c>
      <c r="I22" s="15">
        <f>I21/'Income Statement'!I12</f>
        <v/>
      </c>
      <c r="J22" s="15">
        <f>J21/'Income Statement'!J12</f>
        <v/>
      </c>
      <c r="K22" s="15">
        <f>K21/'Income Statement'!K12</f>
        <v/>
      </c>
      <c r="L22" s="15">
        <f>L21/'Income Statement'!L12</f>
        <v/>
      </c>
      <c r="M22" s="9" t="n"/>
      <c r="N22" s="9" t="n"/>
      <c r="O22" s="9" t="n"/>
      <c r="P22" s="15">
        <f>P21/'Income Statement'!P12</f>
        <v/>
      </c>
      <c r="Q22" s="15">
        <f>Q21/'Income Statement'!Q12</f>
        <v/>
      </c>
      <c r="R22" s="15">
        <f>R21/'Income Statement'!R12</f>
        <v/>
      </c>
      <c r="S22" s="15">
        <f>S21/'Income Statement'!S12</f>
        <v/>
      </c>
      <c r="T22" s="15">
        <f>T21/'Income Statement'!T12</f>
        <v/>
      </c>
      <c r="U22" s="15">
        <f>U21/'Income Statement'!U12</f>
        <v/>
      </c>
    </row>
    <row r="23">
      <c r="A23" s="5" t="inlineStr">
        <is>
          <t>Net Margin (attributable)</t>
        </is>
      </c>
      <c r="C23" s="30">
        <f>'Income Statement'!C37/'Income Statement'!C12</f>
        <v/>
      </c>
      <c r="D23" s="30">
        <f>'Income Statement'!D37/'Income Statement'!D12</f>
        <v/>
      </c>
      <c r="E23" s="30">
        <f>'Income Statement'!E37/'Income Statement'!E12</f>
        <v/>
      </c>
      <c r="F23" s="30">
        <f>'Income Statement'!F37/'Income Statement'!F12</f>
        <v/>
      </c>
      <c r="G23" s="30">
        <f>'Income Statement'!G37/'Income Statement'!G12</f>
        <v/>
      </c>
      <c r="H23" s="30">
        <f>'Income Statement'!H37/'Income Statement'!H12</f>
        <v/>
      </c>
      <c r="I23" s="30">
        <f>'Income Statement'!I37/'Income Statement'!I12</f>
        <v/>
      </c>
      <c r="J23" s="30">
        <f>'Income Statement'!J37/'Income Statement'!J12</f>
        <v/>
      </c>
      <c r="K23" s="30">
        <f>'Income Statement'!K37/'Income Statement'!K12</f>
        <v/>
      </c>
      <c r="L23" s="30">
        <f>'Income Statement'!L37/'Income Statement'!L12</f>
        <v/>
      </c>
      <c r="M23" s="9" t="n"/>
      <c r="N23" s="9" t="n"/>
      <c r="O23" s="9" t="n"/>
      <c r="P23" s="30">
        <f>'Income Statement'!P37/'Income Statement'!P12</f>
        <v/>
      </c>
      <c r="Q23" s="30">
        <f>'Income Statement'!Q37/'Income Statement'!Q12</f>
        <v/>
      </c>
      <c r="R23" s="30">
        <f>'Income Statement'!R37/'Income Statement'!R12</f>
        <v/>
      </c>
      <c r="S23" s="30">
        <f>'Income Statement'!S37/'Income Statement'!S12</f>
        <v/>
      </c>
      <c r="T23" s="30">
        <f>'Income Statement'!T37/'Income Statement'!T12</f>
        <v/>
      </c>
      <c r="U23" s="30">
        <f>'Income Statement'!U37/'Income Statement'!U12</f>
        <v/>
      </c>
    </row>
    <row r="24">
      <c r="A24" s="5" t="inlineStr">
        <is>
          <t>Effective Tax Rate</t>
        </is>
      </c>
      <c r="C24" s="29">
        <f>'Income Statement'!C31</f>
        <v/>
      </c>
      <c r="D24" s="29">
        <f>'Income Statement'!D31</f>
        <v/>
      </c>
      <c r="E24" s="29">
        <f>'Income Statement'!E31</f>
        <v/>
      </c>
      <c r="F24" s="29">
        <f>'Income Statement'!F31</f>
        <v/>
      </c>
      <c r="G24" s="29">
        <f>'Income Statement'!G31</f>
        <v/>
      </c>
      <c r="H24" s="29">
        <f>'Income Statement'!H31</f>
        <v/>
      </c>
      <c r="I24" s="29">
        <f>'Income Statement'!I31</f>
        <v/>
      </c>
      <c r="J24" s="29">
        <f>'Income Statement'!J31</f>
        <v/>
      </c>
      <c r="K24" s="29">
        <f>'Income Statement'!K31</f>
        <v/>
      </c>
      <c r="L24" s="29">
        <f>'Income Statement'!L31</f>
        <v/>
      </c>
      <c r="M24" s="9" t="n"/>
      <c r="N24" s="9" t="n"/>
      <c r="O24" s="9" t="n"/>
      <c r="P24" s="29">
        <f>'Income Statement'!P31</f>
        <v/>
      </c>
      <c r="Q24" s="29">
        <f>'Income Statement'!Q31</f>
        <v/>
      </c>
      <c r="R24" s="29">
        <f>'Income Statement'!R31</f>
        <v/>
      </c>
      <c r="S24" s="29">
        <f>'Income Statement'!S31</f>
        <v/>
      </c>
      <c r="T24" s="29">
        <f>'Income Statement'!T31</f>
        <v/>
      </c>
      <c r="U24" s="29">
        <f>'Income Statement'!U31</f>
        <v/>
      </c>
    </row>
    <row r="25" ht="8" customHeight="1">
      <c r="M25" s="9" t="n"/>
      <c r="N25" s="9" t="n"/>
      <c r="O25" s="9" t="n"/>
    </row>
    <row r="26" ht="20" customHeight="1">
      <c r="A26" s="12" t="inlineStr">
        <is>
          <t>2. RETURNS</t>
        </is>
      </c>
      <c r="B26" s="2" t="n"/>
      <c r="C26" s="2" t="n"/>
      <c r="D26" s="2" t="n"/>
      <c r="E26" s="2" t="n"/>
      <c r="F26" s="2" t="n"/>
      <c r="G26" s="2" t="n"/>
      <c r="H26" s="2" t="n"/>
      <c r="I26" s="2" t="n"/>
      <c r="J26" s="2" t="n"/>
      <c r="K26" s="2" t="n"/>
      <c r="L26" s="2" t="n"/>
      <c r="M26" s="9" t="n"/>
      <c r="N26" s="9" t="n"/>
      <c r="O26" s="9" t="n"/>
      <c r="P26" s="2" t="n"/>
      <c r="Q26" s="2" t="n"/>
      <c r="R26" s="2" t="n"/>
      <c r="S26" s="2" t="n"/>
      <c r="T26" s="2" t="n"/>
      <c r="U26" s="2" t="n"/>
    </row>
    <row r="27">
      <c r="A27" s="14" t="inlineStr">
        <is>
          <t>Average Total Assets</t>
        </is>
      </c>
      <c r="C27" s="23">
        <f>('Balance Sheet'!C30+'Balance Sheet'!B30)/2</f>
        <v/>
      </c>
      <c r="D27" s="23">
        <f>('Balance Sheet'!D30+'Balance Sheet'!C30)/2</f>
        <v/>
      </c>
      <c r="E27" s="23">
        <f>('Balance Sheet'!E30+'Balance Sheet'!D30)/2</f>
        <v/>
      </c>
      <c r="F27" s="23">
        <f>('Balance Sheet'!F30+'Balance Sheet'!E30)/2</f>
        <v/>
      </c>
      <c r="G27" s="23">
        <f>('Balance Sheet'!G30+'Balance Sheet'!F30)/2</f>
        <v/>
      </c>
      <c r="H27" s="23">
        <f>('Balance Sheet'!H30+'Balance Sheet'!G30)/2</f>
        <v/>
      </c>
      <c r="I27" s="23">
        <f>('Balance Sheet'!I30+'Balance Sheet'!H30)/2</f>
        <v/>
      </c>
      <c r="J27" s="23">
        <f>('Balance Sheet'!J30+'Balance Sheet'!I30)/2</f>
        <v/>
      </c>
      <c r="K27" s="23">
        <f>('Balance Sheet'!K30+'Balance Sheet'!J30)/2</f>
        <v/>
      </c>
      <c r="L27" s="23">
        <f>('Balance Sheet'!L30+'Balance Sheet'!K30)/2</f>
        <v/>
      </c>
      <c r="M27" s="9" t="n"/>
      <c r="N27" s="9" t="n"/>
      <c r="O27" s="9" t="n"/>
      <c r="P27" s="23">
        <f>('Balance Sheet'!P30+'Balance Sheet'!O30)/2</f>
        <v/>
      </c>
      <c r="Q27" s="23">
        <f>('Balance Sheet'!Q30+'Balance Sheet'!P30)/2</f>
        <v/>
      </c>
      <c r="R27" s="23">
        <f>('Balance Sheet'!R30+'Balance Sheet'!Q30)/2</f>
        <v/>
      </c>
      <c r="S27" s="23">
        <f>('Balance Sheet'!S30+'Balance Sheet'!R30)/2</f>
        <v/>
      </c>
      <c r="T27" s="23">
        <f>('Balance Sheet'!T30+'Balance Sheet'!S30)/2</f>
        <v/>
      </c>
      <c r="U27" s="23">
        <f>('Balance Sheet'!U30+'Balance Sheet'!T30)/2</f>
        <v/>
      </c>
    </row>
    <row r="28">
      <c r="A28" s="14" t="inlineStr">
        <is>
          <t>Average Total Equity</t>
        </is>
      </c>
      <c r="C28" s="23">
        <f>('Balance Sheet'!C60+'Balance Sheet'!B60)/2</f>
        <v/>
      </c>
      <c r="D28" s="23">
        <f>('Balance Sheet'!D60+'Balance Sheet'!C60)/2</f>
        <v/>
      </c>
      <c r="E28" s="23">
        <f>('Balance Sheet'!E60+'Balance Sheet'!D60)/2</f>
        <v/>
      </c>
      <c r="F28" s="23">
        <f>('Balance Sheet'!F60+'Balance Sheet'!E60)/2</f>
        <v/>
      </c>
      <c r="G28" s="23">
        <f>('Balance Sheet'!G60+'Balance Sheet'!F60)/2</f>
        <v/>
      </c>
      <c r="H28" s="23">
        <f>('Balance Sheet'!H60+'Balance Sheet'!G60)/2</f>
        <v/>
      </c>
      <c r="I28" s="23">
        <f>('Balance Sheet'!I60+'Balance Sheet'!H60)/2</f>
        <v/>
      </c>
      <c r="J28" s="23">
        <f>('Balance Sheet'!J60+'Balance Sheet'!I60)/2</f>
        <v/>
      </c>
      <c r="K28" s="23">
        <f>('Balance Sheet'!K60+'Balance Sheet'!J60)/2</f>
        <v/>
      </c>
      <c r="L28" s="23">
        <f>('Balance Sheet'!L60+'Balance Sheet'!K60)/2</f>
        <v/>
      </c>
      <c r="M28" s="9" t="n"/>
      <c r="N28" s="9" t="n"/>
      <c r="O28" s="9" t="n"/>
      <c r="P28" s="23">
        <f>('Balance Sheet'!P60+'Balance Sheet'!O60)/2</f>
        <v/>
      </c>
      <c r="Q28" s="23">
        <f>('Balance Sheet'!Q60+'Balance Sheet'!P60)/2</f>
        <v/>
      </c>
      <c r="R28" s="23">
        <f>('Balance Sheet'!R60+'Balance Sheet'!Q60)/2</f>
        <v/>
      </c>
      <c r="S28" s="23">
        <f>('Balance Sheet'!S60+'Balance Sheet'!R60)/2</f>
        <v/>
      </c>
      <c r="T28" s="23">
        <f>('Balance Sheet'!T60+'Balance Sheet'!S60)/2</f>
        <v/>
      </c>
      <c r="U28" s="23">
        <f>('Balance Sheet'!U60+'Balance Sheet'!T60)/2</f>
        <v/>
      </c>
    </row>
    <row r="29">
      <c r="A29" s="5" t="inlineStr">
        <is>
          <t>Return on Assets (ROA)</t>
        </is>
      </c>
      <c r="C29" s="30">
        <f>'Income Statement'!C37/C27</f>
        <v/>
      </c>
      <c r="D29" s="30">
        <f>'Income Statement'!D37/D27</f>
        <v/>
      </c>
      <c r="E29" s="30">
        <f>'Income Statement'!E37/E27</f>
        <v/>
      </c>
      <c r="F29" s="30">
        <f>'Income Statement'!F37/F27</f>
        <v/>
      </c>
      <c r="G29" s="30">
        <f>'Income Statement'!G37/G27</f>
        <v/>
      </c>
      <c r="H29" s="30">
        <f>'Income Statement'!H37/H27</f>
        <v/>
      </c>
      <c r="I29" s="30">
        <f>'Income Statement'!I37/I27</f>
        <v/>
      </c>
      <c r="J29" s="30">
        <f>'Income Statement'!J37/J27</f>
        <v/>
      </c>
      <c r="K29" s="30">
        <f>'Income Statement'!K37/K27</f>
        <v/>
      </c>
      <c r="L29" s="30">
        <f>'Income Statement'!L37/L27</f>
        <v/>
      </c>
      <c r="M29" s="9" t="n"/>
      <c r="N29" s="9" t="n"/>
      <c r="O29" s="9" t="n"/>
      <c r="P29" s="30">
        <f>'Income Statement'!P37/P27</f>
        <v/>
      </c>
      <c r="Q29" s="30">
        <f>'Income Statement'!Q37/Q27</f>
        <v/>
      </c>
      <c r="R29" s="30">
        <f>'Income Statement'!R37/R27</f>
        <v/>
      </c>
      <c r="S29" s="30">
        <f>'Income Statement'!S37/S27</f>
        <v/>
      </c>
      <c r="T29" s="30">
        <f>'Income Statement'!T37/T27</f>
        <v/>
      </c>
      <c r="U29" s="30">
        <f>'Income Statement'!U37/U27</f>
        <v/>
      </c>
    </row>
    <row r="30">
      <c r="A30" s="5" t="inlineStr">
        <is>
          <t>Return on Equity (ROE)</t>
        </is>
      </c>
      <c r="C30" s="30">
        <f>'Income Statement'!C37/C28</f>
        <v/>
      </c>
      <c r="D30" s="30">
        <f>'Income Statement'!D37/D28</f>
        <v/>
      </c>
      <c r="E30" s="30">
        <f>'Income Statement'!E37/E28</f>
        <v/>
      </c>
      <c r="F30" s="30">
        <f>'Income Statement'!F37/F28</f>
        <v/>
      </c>
      <c r="G30" s="30">
        <f>'Income Statement'!G37/G28</f>
        <v/>
      </c>
      <c r="H30" s="30">
        <f>'Income Statement'!H37/H28</f>
        <v/>
      </c>
      <c r="I30" s="30">
        <f>'Income Statement'!I37/I28</f>
        <v/>
      </c>
      <c r="J30" s="30">
        <f>'Income Statement'!J37/J28</f>
        <v/>
      </c>
      <c r="K30" s="30">
        <f>'Income Statement'!K37/K28</f>
        <v/>
      </c>
      <c r="L30" s="30">
        <f>'Income Statement'!L37/L28</f>
        <v/>
      </c>
      <c r="M30" s="9" t="n"/>
      <c r="N30" s="9" t="n"/>
      <c r="O30" s="9" t="n"/>
      <c r="P30" s="30">
        <f>'Income Statement'!P37/P28</f>
        <v/>
      </c>
      <c r="Q30" s="30">
        <f>'Income Statement'!Q37/Q28</f>
        <v/>
      </c>
      <c r="R30" s="30">
        <f>'Income Statement'!R37/R28</f>
        <v/>
      </c>
      <c r="S30" s="30">
        <f>'Income Statement'!S37/S28</f>
        <v/>
      </c>
      <c r="T30" s="30">
        <f>'Income Statement'!T37/T28</f>
        <v/>
      </c>
      <c r="U30" s="30">
        <f>'Income Statement'!U37/U28</f>
        <v/>
      </c>
    </row>
    <row r="31">
      <c r="A31" s="5" t="inlineStr">
        <is>
          <t>Return on Invested Capital (ROIC, approx.)</t>
        </is>
      </c>
      <c r="C31" s="30">
        <f>'Income Statement'!C22*(1-'Income Statement'!C31)/('Balance Sheet'!C60+'Balance Sheet'!C43+'Balance Sheet'!C35+'Balance Sheet'!C34-'Balance Sheet'!C14)</f>
        <v/>
      </c>
      <c r="D31" s="30">
        <f>'Income Statement'!D22*(1-'Income Statement'!D31)/('Balance Sheet'!D60+'Balance Sheet'!D43+'Balance Sheet'!D35+'Balance Sheet'!D34-'Balance Sheet'!D14)</f>
        <v/>
      </c>
      <c r="E31" s="30">
        <f>'Income Statement'!E22*(1-'Income Statement'!E31)/('Balance Sheet'!E60+'Balance Sheet'!E43+'Balance Sheet'!E35+'Balance Sheet'!E34-'Balance Sheet'!E14)</f>
        <v/>
      </c>
      <c r="F31" s="30">
        <f>'Income Statement'!F22*(1-'Income Statement'!F31)/('Balance Sheet'!F60+'Balance Sheet'!F43+'Balance Sheet'!F35+'Balance Sheet'!F34-'Balance Sheet'!F14)</f>
        <v/>
      </c>
      <c r="G31" s="30">
        <f>'Income Statement'!G22*(1-'Income Statement'!G31)/('Balance Sheet'!G60+'Balance Sheet'!G43+'Balance Sheet'!G35+'Balance Sheet'!G34-'Balance Sheet'!G14)</f>
        <v/>
      </c>
      <c r="H31" s="30">
        <f>'Income Statement'!H22*(1-'Income Statement'!H31)/('Balance Sheet'!H60+'Balance Sheet'!H43+'Balance Sheet'!H35+'Balance Sheet'!H34-'Balance Sheet'!H14)</f>
        <v/>
      </c>
      <c r="I31" s="30">
        <f>'Income Statement'!I22*(1-'Income Statement'!I31)/('Balance Sheet'!I60+'Balance Sheet'!I43+'Balance Sheet'!I35+'Balance Sheet'!I34-'Balance Sheet'!I14)</f>
        <v/>
      </c>
      <c r="J31" s="30">
        <f>'Income Statement'!J22*(1-'Income Statement'!J31)/('Balance Sheet'!J60+'Balance Sheet'!J43+'Balance Sheet'!J35+'Balance Sheet'!J34-'Balance Sheet'!J14)</f>
        <v/>
      </c>
      <c r="K31" s="30">
        <f>'Income Statement'!K22*(1-'Income Statement'!K31)/('Balance Sheet'!K60+'Balance Sheet'!K43+'Balance Sheet'!K35+'Balance Sheet'!K34-'Balance Sheet'!K14)</f>
        <v/>
      </c>
      <c r="L31" s="30">
        <f>'Income Statement'!L22*(1-'Income Statement'!L31)/('Balance Sheet'!L60+'Balance Sheet'!L43+'Balance Sheet'!L35+'Balance Sheet'!L34-'Balance Sheet'!L14)</f>
        <v/>
      </c>
      <c r="M31" s="9" t="n"/>
      <c r="N31" s="9" t="n"/>
      <c r="O31" s="9" t="n"/>
      <c r="P31" s="30">
        <f>'Income Statement'!P22*(1-'Income Statement'!P31)/('Balance Sheet'!P60+'Balance Sheet'!P43+'Balance Sheet'!P35+'Balance Sheet'!P34-'Balance Sheet'!P14)</f>
        <v/>
      </c>
      <c r="Q31" s="30">
        <f>'Income Statement'!Q22*(1-'Income Statement'!Q31)/('Balance Sheet'!Q60+'Balance Sheet'!Q43+'Balance Sheet'!Q35+'Balance Sheet'!Q34-'Balance Sheet'!Q14)</f>
        <v/>
      </c>
      <c r="R31" s="30">
        <f>'Income Statement'!R22*(1-'Income Statement'!R31)/('Balance Sheet'!R60+'Balance Sheet'!R43+'Balance Sheet'!R35+'Balance Sheet'!R34-'Balance Sheet'!R14)</f>
        <v/>
      </c>
      <c r="S31" s="30">
        <f>'Income Statement'!S22*(1-'Income Statement'!S31)/('Balance Sheet'!S60+'Balance Sheet'!S43+'Balance Sheet'!S35+'Balance Sheet'!S34-'Balance Sheet'!S14)</f>
        <v/>
      </c>
      <c r="T31" s="30">
        <f>'Income Statement'!T22*(1-'Income Statement'!T31)/('Balance Sheet'!T60+'Balance Sheet'!T43+'Balance Sheet'!T35+'Balance Sheet'!T34-'Balance Sheet'!T14)</f>
        <v/>
      </c>
      <c r="U31" s="30">
        <f>'Income Statement'!U22*(1-'Income Statement'!U31)/('Balance Sheet'!U60+'Balance Sheet'!U43+'Balance Sheet'!U35+'Balance Sheet'!U34-'Balance Sheet'!U14)</f>
        <v/>
      </c>
    </row>
    <row r="32">
      <c r="A32" s="5" t="inlineStr">
        <is>
          <t>Asset Turnover</t>
        </is>
      </c>
      <c r="C32" s="31">
        <f>'Income Statement'!C12/C27</f>
        <v/>
      </c>
      <c r="D32" s="31">
        <f>'Income Statement'!D12/D27</f>
        <v/>
      </c>
      <c r="E32" s="31">
        <f>'Income Statement'!E12/E27</f>
        <v/>
      </c>
      <c r="F32" s="31">
        <f>'Income Statement'!F12/F27</f>
        <v/>
      </c>
      <c r="G32" s="31">
        <f>'Income Statement'!G12/G27</f>
        <v/>
      </c>
      <c r="H32" s="31">
        <f>'Income Statement'!H12/H27</f>
        <v/>
      </c>
      <c r="I32" s="31">
        <f>'Income Statement'!I12/I27</f>
        <v/>
      </c>
      <c r="J32" s="31">
        <f>'Income Statement'!J12/J27</f>
        <v/>
      </c>
      <c r="K32" s="31">
        <f>'Income Statement'!K12/K27</f>
        <v/>
      </c>
      <c r="L32" s="31">
        <f>'Income Statement'!L12/L27</f>
        <v/>
      </c>
      <c r="M32" s="9" t="n"/>
      <c r="N32" s="9" t="n"/>
      <c r="O32" s="9" t="n"/>
      <c r="P32" s="31">
        <f>'Income Statement'!P12/P27</f>
        <v/>
      </c>
      <c r="Q32" s="31">
        <f>'Income Statement'!Q12/Q27</f>
        <v/>
      </c>
      <c r="R32" s="31">
        <f>'Income Statement'!R12/R27</f>
        <v/>
      </c>
      <c r="S32" s="31">
        <f>'Income Statement'!S12/S27</f>
        <v/>
      </c>
      <c r="T32" s="31">
        <f>'Income Statement'!T12/T27</f>
        <v/>
      </c>
      <c r="U32" s="31">
        <f>'Income Statement'!U12/U27</f>
        <v/>
      </c>
    </row>
    <row r="33" ht="8" customHeight="1">
      <c r="M33" s="9" t="n"/>
      <c r="N33" s="9" t="n"/>
      <c r="O33" s="9" t="n"/>
    </row>
    <row r="34" ht="20" customHeight="1">
      <c r="A34" s="12" t="inlineStr">
        <is>
          <t>3. LEVERAGE</t>
        </is>
      </c>
      <c r="B34" s="2" t="n"/>
      <c r="C34" s="2" t="n"/>
      <c r="D34" s="2" t="n"/>
      <c r="E34" s="2" t="n"/>
      <c r="F34" s="2" t="n"/>
      <c r="G34" s="2" t="n"/>
      <c r="H34" s="2" t="n"/>
      <c r="I34" s="2" t="n"/>
      <c r="J34" s="2" t="n"/>
      <c r="K34" s="2" t="n"/>
      <c r="L34" s="2" t="n"/>
      <c r="M34" s="9" t="n"/>
      <c r="N34" s="9" t="n"/>
      <c r="O34" s="9" t="n"/>
      <c r="P34" s="2" t="n"/>
      <c r="Q34" s="2" t="n"/>
      <c r="R34" s="2" t="n"/>
      <c r="S34" s="2" t="n"/>
      <c r="T34" s="2" t="n"/>
      <c r="U34" s="2" t="n"/>
    </row>
    <row r="35">
      <c r="A35" s="5" t="inlineStr">
        <is>
          <t>Total Debt (ST borrowings + Current LTD + LT debt)</t>
        </is>
      </c>
      <c r="C35" s="32">
        <f>'Balance Sheet'!C34+'Balance Sheet'!C35+'Balance Sheet'!C43</f>
        <v/>
      </c>
      <c r="D35" s="32">
        <f>'Balance Sheet'!D34+'Balance Sheet'!D35+'Balance Sheet'!D43</f>
        <v/>
      </c>
      <c r="E35" s="32">
        <f>'Balance Sheet'!E34+'Balance Sheet'!E35+'Balance Sheet'!E43</f>
        <v/>
      </c>
      <c r="F35" s="32">
        <f>'Balance Sheet'!F34+'Balance Sheet'!F35+'Balance Sheet'!F43</f>
        <v/>
      </c>
      <c r="G35" s="32">
        <f>'Balance Sheet'!G34+'Balance Sheet'!G35+'Balance Sheet'!G43</f>
        <v/>
      </c>
      <c r="H35" s="32">
        <f>'Balance Sheet'!H34+'Balance Sheet'!H35+'Balance Sheet'!H43</f>
        <v/>
      </c>
      <c r="I35" s="32">
        <f>'Balance Sheet'!I34+'Balance Sheet'!I35+'Balance Sheet'!I43</f>
        <v/>
      </c>
      <c r="J35" s="32">
        <f>'Balance Sheet'!J34+'Balance Sheet'!J35+'Balance Sheet'!J43</f>
        <v/>
      </c>
      <c r="K35" s="32">
        <f>'Balance Sheet'!K34+'Balance Sheet'!K35+'Balance Sheet'!K43</f>
        <v/>
      </c>
      <c r="L35" s="32">
        <f>'Balance Sheet'!L34+'Balance Sheet'!L35+'Balance Sheet'!L43</f>
        <v/>
      </c>
      <c r="M35" s="9" t="n"/>
      <c r="N35" s="9" t="n"/>
      <c r="O35" s="9" t="n"/>
      <c r="P35" s="32">
        <f>'Balance Sheet'!P34+'Balance Sheet'!P35+'Balance Sheet'!P43</f>
        <v/>
      </c>
      <c r="Q35" s="32">
        <f>'Balance Sheet'!Q34+'Balance Sheet'!Q35+'Balance Sheet'!Q43</f>
        <v/>
      </c>
      <c r="R35" s="32">
        <f>'Balance Sheet'!R34+'Balance Sheet'!R35+'Balance Sheet'!R43</f>
        <v/>
      </c>
      <c r="S35" s="32">
        <f>'Balance Sheet'!S34+'Balance Sheet'!S35+'Balance Sheet'!S43</f>
        <v/>
      </c>
      <c r="T35" s="32">
        <f>'Balance Sheet'!T34+'Balance Sheet'!T35+'Balance Sheet'!T43</f>
        <v/>
      </c>
      <c r="U35" s="32">
        <f>'Balance Sheet'!U34+'Balance Sheet'!U35+'Balance Sheet'!U43</f>
        <v/>
      </c>
    </row>
    <row r="36">
      <c r="A36" s="10" t="inlineStr">
        <is>
          <t>Net Debt</t>
        </is>
      </c>
      <c r="C36" s="24">
        <f>C35-'Balance Sheet'!C14</f>
        <v/>
      </c>
      <c r="D36" s="24">
        <f>D35-'Balance Sheet'!D14</f>
        <v/>
      </c>
      <c r="E36" s="24">
        <f>E35-'Balance Sheet'!E14</f>
        <v/>
      </c>
      <c r="F36" s="24">
        <f>F35-'Balance Sheet'!F14</f>
        <v/>
      </c>
      <c r="G36" s="24">
        <f>G35-'Balance Sheet'!G14</f>
        <v/>
      </c>
      <c r="H36" s="24">
        <f>H35-'Balance Sheet'!H14</f>
        <v/>
      </c>
      <c r="I36" s="24">
        <f>I35-'Balance Sheet'!I14</f>
        <v/>
      </c>
      <c r="J36" s="24">
        <f>J35-'Balance Sheet'!J14</f>
        <v/>
      </c>
      <c r="K36" s="24">
        <f>K35-'Balance Sheet'!K14</f>
        <v/>
      </c>
      <c r="L36" s="24">
        <f>L35-'Balance Sheet'!L14</f>
        <v/>
      </c>
      <c r="M36" s="9" t="n"/>
      <c r="N36" s="9" t="n"/>
      <c r="O36" s="9" t="n"/>
      <c r="P36" s="24">
        <f>P35-'Balance Sheet'!P14</f>
        <v/>
      </c>
      <c r="Q36" s="24">
        <f>Q35-'Balance Sheet'!Q14</f>
        <v/>
      </c>
      <c r="R36" s="24">
        <f>R35-'Balance Sheet'!R14</f>
        <v/>
      </c>
      <c r="S36" s="24">
        <f>S35-'Balance Sheet'!S14</f>
        <v/>
      </c>
      <c r="T36" s="24">
        <f>T35-'Balance Sheet'!T14</f>
        <v/>
      </c>
      <c r="U36" s="24">
        <f>U35-'Balance Sheet'!U14</f>
        <v/>
      </c>
    </row>
    <row r="37">
      <c r="A37" s="5" t="inlineStr">
        <is>
          <t>Net Debt / EBITDA</t>
        </is>
      </c>
      <c r="C37" s="31">
        <f>C36/C21</f>
        <v/>
      </c>
      <c r="D37" s="31">
        <f>D36/D21</f>
        <v/>
      </c>
      <c r="E37" s="31">
        <f>E36/E21</f>
        <v/>
      </c>
      <c r="F37" s="31">
        <f>F36/F21</f>
        <v/>
      </c>
      <c r="G37" s="31">
        <f>G36/G21</f>
        <v/>
      </c>
      <c r="H37" s="31">
        <f>H36/H21</f>
        <v/>
      </c>
      <c r="I37" s="31">
        <f>I36/I21</f>
        <v/>
      </c>
      <c r="J37" s="31">
        <f>J36/J21</f>
        <v/>
      </c>
      <c r="K37" s="31">
        <f>K36/K21</f>
        <v/>
      </c>
      <c r="L37" s="31">
        <f>L36/L21</f>
        <v/>
      </c>
      <c r="M37" s="9" t="n"/>
      <c r="N37" s="9" t="n"/>
      <c r="O37" s="9" t="n"/>
      <c r="P37" s="31">
        <f>P36/P21</f>
        <v/>
      </c>
      <c r="Q37" s="31">
        <f>Q36/Q21</f>
        <v/>
      </c>
      <c r="R37" s="31">
        <f>R36/R21</f>
        <v/>
      </c>
      <c r="S37" s="31">
        <f>S36/S21</f>
        <v/>
      </c>
      <c r="T37" s="31">
        <f>T36/T21</f>
        <v/>
      </c>
      <c r="U37" s="31">
        <f>U36/U21</f>
        <v/>
      </c>
    </row>
    <row r="38">
      <c r="A38" s="5" t="inlineStr">
        <is>
          <t>Debt / Equity</t>
        </is>
      </c>
      <c r="C38" s="31">
        <f>C35/'Balance Sheet'!C60</f>
        <v/>
      </c>
      <c r="D38" s="31">
        <f>D35/'Balance Sheet'!D60</f>
        <v/>
      </c>
      <c r="E38" s="31">
        <f>E35/'Balance Sheet'!E60</f>
        <v/>
      </c>
      <c r="F38" s="31">
        <f>F35/'Balance Sheet'!F60</f>
        <v/>
      </c>
      <c r="G38" s="31">
        <f>G35/'Balance Sheet'!G60</f>
        <v/>
      </c>
      <c r="H38" s="31">
        <f>H35/'Balance Sheet'!H60</f>
        <v/>
      </c>
      <c r="I38" s="31">
        <f>I35/'Balance Sheet'!I60</f>
        <v/>
      </c>
      <c r="J38" s="31">
        <f>J35/'Balance Sheet'!J60</f>
        <v/>
      </c>
      <c r="K38" s="31">
        <f>K35/'Balance Sheet'!K60</f>
        <v/>
      </c>
      <c r="L38" s="31">
        <f>L35/'Balance Sheet'!L60</f>
        <v/>
      </c>
      <c r="M38" s="9" t="n"/>
      <c r="N38" s="9" t="n"/>
      <c r="O38" s="9" t="n"/>
      <c r="P38" s="31">
        <f>P35/'Balance Sheet'!P60</f>
        <v/>
      </c>
      <c r="Q38" s="31">
        <f>Q35/'Balance Sheet'!Q60</f>
        <v/>
      </c>
      <c r="R38" s="31">
        <f>R35/'Balance Sheet'!R60</f>
        <v/>
      </c>
      <c r="S38" s="31">
        <f>S35/'Balance Sheet'!S60</f>
        <v/>
      </c>
      <c r="T38" s="31">
        <f>T35/'Balance Sheet'!T60</f>
        <v/>
      </c>
      <c r="U38" s="31">
        <f>U35/'Balance Sheet'!U60</f>
        <v/>
      </c>
    </row>
    <row r="39" ht="8" customHeight="1">
      <c r="M39" s="9" t="n"/>
      <c r="N39" s="9" t="n"/>
      <c r="O39" s="9" t="n"/>
    </row>
    <row r="40" ht="20" customHeight="1">
      <c r="A40" s="12" t="inlineStr">
        <is>
          <t>4. SOLVENCY</t>
        </is>
      </c>
      <c r="B40" s="2" t="n"/>
      <c r="C40" s="2" t="n"/>
      <c r="D40" s="2" t="n"/>
      <c r="E40" s="2" t="n"/>
      <c r="F40" s="2" t="n"/>
      <c r="G40" s="2" t="n"/>
      <c r="H40" s="2" t="n"/>
      <c r="I40" s="2" t="n"/>
      <c r="J40" s="2" t="n"/>
      <c r="K40" s="2" t="n"/>
      <c r="L40" s="2" t="n"/>
      <c r="M40" s="9" t="n"/>
      <c r="N40" s="9" t="n"/>
      <c r="O40" s="9" t="n"/>
      <c r="P40" s="2" t="n"/>
      <c r="Q40" s="2" t="n"/>
      <c r="R40" s="2" t="n"/>
      <c r="S40" s="2" t="n"/>
      <c r="T40" s="2" t="n"/>
      <c r="U40" s="2" t="n"/>
    </row>
    <row r="41">
      <c r="A41" s="5" t="inlineStr">
        <is>
          <t>Equity Ratio (Equity / Assets)</t>
        </is>
      </c>
      <c r="C41" s="30">
        <f>'Balance Sheet'!C60/'Balance Sheet'!C30</f>
        <v/>
      </c>
      <c r="D41" s="30">
        <f>'Balance Sheet'!D60/'Balance Sheet'!D30</f>
        <v/>
      </c>
      <c r="E41" s="30">
        <f>'Balance Sheet'!E60/'Balance Sheet'!E30</f>
        <v/>
      </c>
      <c r="F41" s="30">
        <f>'Balance Sheet'!F60/'Balance Sheet'!F30</f>
        <v/>
      </c>
      <c r="G41" s="30">
        <f>'Balance Sheet'!G60/'Balance Sheet'!G30</f>
        <v/>
      </c>
      <c r="H41" s="30">
        <f>'Balance Sheet'!H60/'Balance Sheet'!H30</f>
        <v/>
      </c>
      <c r="I41" s="30">
        <f>'Balance Sheet'!I60/'Balance Sheet'!I30</f>
        <v/>
      </c>
      <c r="J41" s="30">
        <f>'Balance Sheet'!J60/'Balance Sheet'!J30</f>
        <v/>
      </c>
      <c r="K41" s="30">
        <f>'Balance Sheet'!K60/'Balance Sheet'!K30</f>
        <v/>
      </c>
      <c r="L41" s="30">
        <f>'Balance Sheet'!L60/'Balance Sheet'!L30</f>
        <v/>
      </c>
      <c r="M41" s="9" t="n"/>
      <c r="N41" s="9" t="n"/>
      <c r="O41" s="9" t="n"/>
      <c r="P41" s="30">
        <f>'Balance Sheet'!P60/'Balance Sheet'!P30</f>
        <v/>
      </c>
      <c r="Q41" s="30">
        <f>'Balance Sheet'!Q60/'Balance Sheet'!Q30</f>
        <v/>
      </c>
      <c r="R41" s="30">
        <f>'Balance Sheet'!R60/'Balance Sheet'!R30</f>
        <v/>
      </c>
      <c r="S41" s="30">
        <f>'Balance Sheet'!S60/'Balance Sheet'!S30</f>
        <v/>
      </c>
      <c r="T41" s="30">
        <f>'Balance Sheet'!T60/'Balance Sheet'!T30</f>
        <v/>
      </c>
      <c r="U41" s="30">
        <f>'Balance Sheet'!U60/'Balance Sheet'!U30</f>
        <v/>
      </c>
    </row>
    <row r="42">
      <c r="A42" s="5" t="inlineStr">
        <is>
          <t>Debt / Assets</t>
        </is>
      </c>
      <c r="C42" s="30">
        <f>C35/'Balance Sheet'!C30</f>
        <v/>
      </c>
      <c r="D42" s="30">
        <f>D35/'Balance Sheet'!D30</f>
        <v/>
      </c>
      <c r="E42" s="30">
        <f>E35/'Balance Sheet'!E30</f>
        <v/>
      </c>
      <c r="F42" s="30">
        <f>F35/'Balance Sheet'!F30</f>
        <v/>
      </c>
      <c r="G42" s="30">
        <f>G35/'Balance Sheet'!G30</f>
        <v/>
      </c>
      <c r="H42" s="30">
        <f>H35/'Balance Sheet'!H30</f>
        <v/>
      </c>
      <c r="I42" s="30">
        <f>I35/'Balance Sheet'!I30</f>
        <v/>
      </c>
      <c r="J42" s="30">
        <f>J35/'Balance Sheet'!J30</f>
        <v/>
      </c>
      <c r="K42" s="30">
        <f>K35/'Balance Sheet'!K30</f>
        <v/>
      </c>
      <c r="L42" s="30">
        <f>L35/'Balance Sheet'!L30</f>
        <v/>
      </c>
      <c r="M42" s="9" t="n"/>
      <c r="N42" s="9" t="n"/>
      <c r="O42" s="9" t="n"/>
      <c r="P42" s="30">
        <f>P35/'Balance Sheet'!P30</f>
        <v/>
      </c>
      <c r="Q42" s="30">
        <f>Q35/'Balance Sheet'!Q30</f>
        <v/>
      </c>
      <c r="R42" s="30">
        <f>R35/'Balance Sheet'!R30</f>
        <v/>
      </c>
      <c r="S42" s="30">
        <f>S35/'Balance Sheet'!S30</f>
        <v/>
      </c>
      <c r="T42" s="30">
        <f>T35/'Balance Sheet'!T30</f>
        <v/>
      </c>
      <c r="U42" s="30">
        <f>U35/'Balance Sheet'!U30</f>
        <v/>
      </c>
    </row>
    <row r="43" ht="8" customHeight="1">
      <c r="M43" s="9" t="n"/>
      <c r="N43" s="9" t="n"/>
      <c r="O43" s="9" t="n"/>
    </row>
    <row r="44" ht="20" customHeight="1">
      <c r="A44" s="12" t="inlineStr">
        <is>
          <t>5. LIQUIDITY</t>
        </is>
      </c>
      <c r="B44" s="2" t="n"/>
      <c r="C44" s="2" t="n"/>
      <c r="D44" s="2" t="n"/>
      <c r="E44" s="2" t="n"/>
      <c r="F44" s="2" t="n"/>
      <c r="G44" s="2" t="n"/>
      <c r="H44" s="2" t="n"/>
      <c r="I44" s="2" t="n"/>
      <c r="J44" s="2" t="n"/>
      <c r="K44" s="2" t="n"/>
      <c r="L44" s="2" t="n"/>
      <c r="M44" s="9" t="n"/>
      <c r="N44" s="9" t="n"/>
      <c r="O44" s="9" t="n"/>
      <c r="P44" s="2" t="n"/>
      <c r="Q44" s="2" t="n"/>
      <c r="R44" s="2" t="n"/>
      <c r="S44" s="2" t="n"/>
      <c r="T44" s="2" t="n"/>
      <c r="U44" s="2" t="n"/>
    </row>
    <row r="45">
      <c r="A45" s="5" t="inlineStr">
        <is>
          <t>Current Ratio</t>
        </is>
      </c>
      <c r="C45" s="31">
        <f>'Balance Sheet'!C19/'Balance Sheet'!C40</f>
        <v/>
      </c>
      <c r="D45" s="31">
        <f>'Balance Sheet'!D19/'Balance Sheet'!D40</f>
        <v/>
      </c>
      <c r="E45" s="31">
        <f>'Balance Sheet'!E19/'Balance Sheet'!E40</f>
        <v/>
      </c>
      <c r="F45" s="31">
        <f>'Balance Sheet'!F19/'Balance Sheet'!F40</f>
        <v/>
      </c>
      <c r="G45" s="31">
        <f>'Balance Sheet'!G19/'Balance Sheet'!G40</f>
        <v/>
      </c>
      <c r="H45" s="31">
        <f>'Balance Sheet'!H19/'Balance Sheet'!H40</f>
        <v/>
      </c>
      <c r="I45" s="31">
        <f>'Balance Sheet'!I19/'Balance Sheet'!I40</f>
        <v/>
      </c>
      <c r="J45" s="31">
        <f>'Balance Sheet'!J19/'Balance Sheet'!J40</f>
        <v/>
      </c>
      <c r="K45" s="31">
        <f>'Balance Sheet'!K19/'Balance Sheet'!K40</f>
        <v/>
      </c>
      <c r="L45" s="31">
        <f>'Balance Sheet'!L19/'Balance Sheet'!L40</f>
        <v/>
      </c>
      <c r="M45" s="9" t="n"/>
      <c r="N45" s="9" t="n"/>
      <c r="O45" s="9" t="n"/>
      <c r="P45" s="31">
        <f>'Balance Sheet'!P19/'Balance Sheet'!P40</f>
        <v/>
      </c>
      <c r="Q45" s="31">
        <f>'Balance Sheet'!Q19/'Balance Sheet'!Q40</f>
        <v/>
      </c>
      <c r="R45" s="31">
        <f>'Balance Sheet'!R19/'Balance Sheet'!R40</f>
        <v/>
      </c>
      <c r="S45" s="31">
        <f>'Balance Sheet'!S19/'Balance Sheet'!S40</f>
        <v/>
      </c>
      <c r="T45" s="31">
        <f>'Balance Sheet'!T19/'Balance Sheet'!T40</f>
        <v/>
      </c>
      <c r="U45" s="31">
        <f>'Balance Sheet'!U19/'Balance Sheet'!U40</f>
        <v/>
      </c>
    </row>
    <row r="46">
      <c r="A46" s="5" t="inlineStr">
        <is>
          <t>Quick Ratio</t>
        </is>
      </c>
      <c r="C46" s="31">
        <f>('Balance Sheet'!C14+'Balance Sheet'!C15+'Balance Sheet'!C16)/'Balance Sheet'!C40</f>
        <v/>
      </c>
      <c r="D46" s="31">
        <f>('Balance Sheet'!D14+'Balance Sheet'!D15+'Balance Sheet'!D16)/'Balance Sheet'!D40</f>
        <v/>
      </c>
      <c r="E46" s="31">
        <f>('Balance Sheet'!E14+'Balance Sheet'!E15+'Balance Sheet'!E16)/'Balance Sheet'!E40</f>
        <v/>
      </c>
      <c r="F46" s="31">
        <f>('Balance Sheet'!F14+'Balance Sheet'!F15+'Balance Sheet'!F16)/'Balance Sheet'!F40</f>
        <v/>
      </c>
      <c r="G46" s="31">
        <f>('Balance Sheet'!G14+'Balance Sheet'!G15+'Balance Sheet'!G16)/'Balance Sheet'!G40</f>
        <v/>
      </c>
      <c r="H46" s="31">
        <f>('Balance Sheet'!H14+'Balance Sheet'!H15+'Balance Sheet'!H16)/'Balance Sheet'!H40</f>
        <v/>
      </c>
      <c r="I46" s="31">
        <f>('Balance Sheet'!I14+'Balance Sheet'!I15+'Balance Sheet'!I16)/'Balance Sheet'!I40</f>
        <v/>
      </c>
      <c r="J46" s="31">
        <f>('Balance Sheet'!J14+'Balance Sheet'!J15+'Balance Sheet'!J16)/'Balance Sheet'!J40</f>
        <v/>
      </c>
      <c r="K46" s="31">
        <f>('Balance Sheet'!K14+'Balance Sheet'!K15+'Balance Sheet'!K16)/'Balance Sheet'!K40</f>
        <v/>
      </c>
      <c r="L46" s="31">
        <f>('Balance Sheet'!L14+'Balance Sheet'!L15+'Balance Sheet'!L16)/'Balance Sheet'!L40</f>
        <v/>
      </c>
      <c r="M46" s="9" t="n"/>
      <c r="N46" s="9" t="n"/>
      <c r="O46" s="9" t="n"/>
      <c r="P46" s="31">
        <f>('Balance Sheet'!P14+'Balance Sheet'!P15+'Balance Sheet'!P16)/'Balance Sheet'!P40</f>
        <v/>
      </c>
      <c r="Q46" s="31">
        <f>('Balance Sheet'!Q14+'Balance Sheet'!Q15+'Balance Sheet'!Q16)/'Balance Sheet'!Q40</f>
        <v/>
      </c>
      <c r="R46" s="31">
        <f>('Balance Sheet'!R14+'Balance Sheet'!R15+'Balance Sheet'!R16)/'Balance Sheet'!R40</f>
        <v/>
      </c>
      <c r="S46" s="31">
        <f>('Balance Sheet'!S14+'Balance Sheet'!S15+'Balance Sheet'!S16)/'Balance Sheet'!S40</f>
        <v/>
      </c>
      <c r="T46" s="31">
        <f>('Balance Sheet'!T14+'Balance Sheet'!T15+'Balance Sheet'!T16)/'Balance Sheet'!T40</f>
        <v/>
      </c>
      <c r="U46" s="31">
        <f>('Balance Sheet'!U14+'Balance Sheet'!U15+'Balance Sheet'!U16)/'Balance Sheet'!U40</f>
        <v/>
      </c>
    </row>
    <row r="47">
      <c r="A47" s="5" t="inlineStr">
        <is>
          <t>Cash Ratio</t>
        </is>
      </c>
      <c r="C47" s="31">
        <f>'Balance Sheet'!C14/'Balance Sheet'!C40</f>
        <v/>
      </c>
      <c r="D47" s="31">
        <f>'Balance Sheet'!D14/'Balance Sheet'!D40</f>
        <v/>
      </c>
      <c r="E47" s="31">
        <f>'Balance Sheet'!E14/'Balance Sheet'!E40</f>
        <v/>
      </c>
      <c r="F47" s="31">
        <f>'Balance Sheet'!F14/'Balance Sheet'!F40</f>
        <v/>
      </c>
      <c r="G47" s="31">
        <f>'Balance Sheet'!G14/'Balance Sheet'!G40</f>
        <v/>
      </c>
      <c r="H47" s="31">
        <f>'Balance Sheet'!H14/'Balance Sheet'!H40</f>
        <v/>
      </c>
      <c r="I47" s="31">
        <f>'Balance Sheet'!I14/'Balance Sheet'!I40</f>
        <v/>
      </c>
      <c r="J47" s="31">
        <f>'Balance Sheet'!J14/'Balance Sheet'!J40</f>
        <v/>
      </c>
      <c r="K47" s="31">
        <f>'Balance Sheet'!K14/'Balance Sheet'!K40</f>
        <v/>
      </c>
      <c r="L47" s="31">
        <f>'Balance Sheet'!L14/'Balance Sheet'!L40</f>
        <v/>
      </c>
      <c r="M47" s="9" t="n"/>
      <c r="N47" s="9" t="n"/>
      <c r="O47" s="9" t="n"/>
      <c r="P47" s="31">
        <f>'Balance Sheet'!P14/'Balance Sheet'!P40</f>
        <v/>
      </c>
      <c r="Q47" s="31">
        <f>'Balance Sheet'!Q14/'Balance Sheet'!Q40</f>
        <v/>
      </c>
      <c r="R47" s="31">
        <f>'Balance Sheet'!R14/'Balance Sheet'!R40</f>
        <v/>
      </c>
      <c r="S47" s="31">
        <f>'Balance Sheet'!S14/'Balance Sheet'!S40</f>
        <v/>
      </c>
      <c r="T47" s="31">
        <f>'Balance Sheet'!T14/'Balance Sheet'!T40</f>
        <v/>
      </c>
      <c r="U47" s="31">
        <f>'Balance Sheet'!U14/'Balance Sheet'!U40</f>
        <v/>
      </c>
    </row>
    <row r="48" ht="8" customHeight="1">
      <c r="M48" s="9" t="n"/>
      <c r="N48" s="9" t="n"/>
      <c r="O48" s="9" t="n"/>
    </row>
    <row r="49" ht="20" customHeight="1">
      <c r="A49" s="12" t="inlineStr">
        <is>
          <t>6. COVERAGE</t>
        </is>
      </c>
      <c r="B49" s="2" t="n"/>
      <c r="C49" s="2" t="n"/>
      <c r="D49" s="2" t="n"/>
      <c r="E49" s="2" t="n"/>
      <c r="F49" s="2" t="n"/>
      <c r="G49" s="2" t="n"/>
      <c r="H49" s="2" t="n"/>
      <c r="I49" s="2" t="n"/>
      <c r="J49" s="2" t="n"/>
      <c r="K49" s="2" t="n"/>
      <c r="L49" s="2" t="n"/>
      <c r="M49" s="9" t="n"/>
      <c r="N49" s="9" t="n"/>
      <c r="O49" s="9" t="n"/>
      <c r="P49" s="2" t="n"/>
      <c r="Q49" s="2" t="n"/>
      <c r="R49" s="2" t="n"/>
      <c r="S49" s="2" t="n"/>
      <c r="T49" s="2" t="n"/>
      <c r="U49" s="2" t="n"/>
    </row>
    <row r="50">
      <c r="A50" s="5" t="inlineStr">
        <is>
          <t>Interest Coverage (EBIT / Interest)</t>
        </is>
      </c>
      <c r="C50" s="31">
        <f>'Income Statement'!C22/(0-'Income Statement'!C27)</f>
        <v/>
      </c>
      <c r="D50" s="31">
        <f>'Income Statement'!D22/(0-'Income Statement'!D27)</f>
        <v/>
      </c>
      <c r="E50" s="31">
        <f>'Income Statement'!E22/(0-'Income Statement'!E27)</f>
        <v/>
      </c>
      <c r="F50" s="31">
        <f>'Income Statement'!F22/(0-'Income Statement'!F27)</f>
        <v/>
      </c>
      <c r="G50" s="31">
        <f>'Income Statement'!G22/(0-'Income Statement'!G27)</f>
        <v/>
      </c>
      <c r="H50" s="31">
        <f>'Income Statement'!H22/(0-'Income Statement'!H27)</f>
        <v/>
      </c>
      <c r="I50" s="31">
        <f>'Income Statement'!I22/(0-'Income Statement'!I27)</f>
        <v/>
      </c>
      <c r="J50" s="31">
        <f>'Income Statement'!J22/(0-'Income Statement'!J27)</f>
        <v/>
      </c>
      <c r="K50" s="31">
        <f>'Income Statement'!K22/(0-'Income Statement'!K27)</f>
        <v/>
      </c>
      <c r="L50" s="31">
        <f>'Income Statement'!L22/(0-'Income Statement'!L27)</f>
        <v/>
      </c>
      <c r="M50" s="9" t="n"/>
      <c r="N50" s="9" t="n"/>
      <c r="O50" s="9" t="n"/>
      <c r="P50" s="31">
        <f>'Income Statement'!P22/(0-'Income Statement'!P27)</f>
        <v/>
      </c>
      <c r="Q50" s="31">
        <f>'Income Statement'!Q22/(0-'Income Statement'!Q27)</f>
        <v/>
      </c>
      <c r="R50" s="31">
        <f>'Income Statement'!R22/(0-'Income Statement'!R27)</f>
        <v/>
      </c>
      <c r="S50" s="31">
        <f>'Income Statement'!S22/(0-'Income Statement'!S27)</f>
        <v/>
      </c>
      <c r="T50" s="31">
        <f>'Income Statement'!T22/(0-'Income Statement'!T27)</f>
        <v/>
      </c>
      <c r="U50" s="31">
        <f>'Income Statement'!U22/(0-'Income Statement'!U27)</f>
        <v/>
      </c>
    </row>
    <row r="51">
      <c r="A51" s="5" t="inlineStr">
        <is>
          <t>CFO / Interest Paid</t>
        </is>
      </c>
      <c r="C51" s="31">
        <f>'Cash Flow'!C35/'Cash Flow'!C75</f>
        <v/>
      </c>
      <c r="D51" s="31">
        <f>'Cash Flow'!D35/'Cash Flow'!D75</f>
        <v/>
      </c>
      <c r="E51" s="31">
        <f>'Cash Flow'!E35/'Cash Flow'!E75</f>
        <v/>
      </c>
      <c r="F51" s="31">
        <f>'Cash Flow'!F35/'Cash Flow'!F75</f>
        <v/>
      </c>
      <c r="G51" s="31">
        <f>'Cash Flow'!G35/'Cash Flow'!G75</f>
        <v/>
      </c>
      <c r="H51" s="31">
        <f>'Cash Flow'!H35/'Cash Flow'!H75</f>
        <v/>
      </c>
      <c r="I51" s="31">
        <f>'Cash Flow'!I35/'Cash Flow'!I75</f>
        <v/>
      </c>
      <c r="J51" s="31">
        <f>'Cash Flow'!J35/'Cash Flow'!J75</f>
        <v/>
      </c>
      <c r="K51" s="31">
        <f>'Cash Flow'!K35/'Cash Flow'!K75</f>
        <v/>
      </c>
      <c r="L51" s="31">
        <f>'Cash Flow'!L35/'Cash Flow'!L75</f>
        <v/>
      </c>
      <c r="M51" s="9" t="n"/>
      <c r="N51" s="9" t="n"/>
      <c r="O51" s="9" t="n"/>
      <c r="P51" s="31">
        <f>'Cash Flow'!P35/'Cash Flow'!P75</f>
        <v/>
      </c>
      <c r="Q51" s="31">
        <f>'Cash Flow'!Q35/'Cash Flow'!Q75</f>
        <v/>
      </c>
      <c r="R51" s="31">
        <f>'Cash Flow'!R35/'Cash Flow'!R75</f>
        <v/>
      </c>
      <c r="S51" s="31">
        <f>'Cash Flow'!S35/'Cash Flow'!S75</f>
        <v/>
      </c>
      <c r="T51" s="31">
        <f>'Cash Flow'!T35/'Cash Flow'!T75</f>
        <v/>
      </c>
      <c r="U51" s="31">
        <f>'Cash Flow'!U35/'Cash Flow'!U75</f>
        <v/>
      </c>
    </row>
    <row r="52" ht="8" customHeight="1">
      <c r="M52" s="9" t="n"/>
      <c r="N52" s="9" t="n"/>
      <c r="O52" s="9" t="n"/>
    </row>
    <row r="53" ht="20" customHeight="1">
      <c r="A53" s="12" t="inlineStr">
        <is>
          <t>7. CASH CONVERSION</t>
        </is>
      </c>
      <c r="B53" s="2" t="n"/>
      <c r="C53" s="2" t="n"/>
      <c r="D53" s="2" t="n"/>
      <c r="E53" s="2" t="n"/>
      <c r="F53" s="2" t="n"/>
      <c r="G53" s="2" t="n"/>
      <c r="H53" s="2" t="n"/>
      <c r="I53" s="2" t="n"/>
      <c r="J53" s="2" t="n"/>
      <c r="K53" s="2" t="n"/>
      <c r="L53" s="2" t="n"/>
      <c r="M53" s="9" t="n"/>
      <c r="N53" s="9" t="n"/>
      <c r="O53" s="9" t="n"/>
      <c r="P53" s="2" t="n"/>
      <c r="Q53" s="2" t="n"/>
      <c r="R53" s="2" t="n"/>
      <c r="S53" s="2" t="n"/>
      <c r="T53" s="2" t="n"/>
      <c r="U53" s="2" t="n"/>
    </row>
    <row r="54">
      <c r="A54" s="5" t="inlineStr">
        <is>
          <t>CFO Margin</t>
        </is>
      </c>
      <c r="C54" s="30">
        <f>'Cash Flow'!C35/'Income Statement'!C12</f>
        <v/>
      </c>
      <c r="D54" s="30">
        <f>'Cash Flow'!D35/'Income Statement'!D12</f>
        <v/>
      </c>
      <c r="E54" s="30">
        <f>'Cash Flow'!E35/'Income Statement'!E12</f>
        <v/>
      </c>
      <c r="F54" s="30">
        <f>'Cash Flow'!F35/'Income Statement'!F12</f>
        <v/>
      </c>
      <c r="G54" s="30">
        <f>'Cash Flow'!G35/'Income Statement'!G12</f>
        <v/>
      </c>
      <c r="H54" s="30">
        <f>'Cash Flow'!H35/'Income Statement'!H12</f>
        <v/>
      </c>
      <c r="I54" s="30">
        <f>'Cash Flow'!I35/'Income Statement'!I12</f>
        <v/>
      </c>
      <c r="J54" s="30">
        <f>'Cash Flow'!J35/'Income Statement'!J12</f>
        <v/>
      </c>
      <c r="K54" s="30">
        <f>'Cash Flow'!K35/'Income Statement'!K12</f>
        <v/>
      </c>
      <c r="L54" s="30">
        <f>'Cash Flow'!L35/'Income Statement'!L12</f>
        <v/>
      </c>
      <c r="M54" s="9" t="n"/>
      <c r="N54" s="9" t="n"/>
      <c r="O54" s="9" t="n"/>
      <c r="P54" s="30">
        <f>'Cash Flow'!P35/'Income Statement'!P12</f>
        <v/>
      </c>
      <c r="Q54" s="30">
        <f>'Cash Flow'!Q35/'Income Statement'!Q12</f>
        <v/>
      </c>
      <c r="R54" s="30">
        <f>'Cash Flow'!R35/'Income Statement'!R12</f>
        <v/>
      </c>
      <c r="S54" s="30">
        <f>'Cash Flow'!S35/'Income Statement'!S12</f>
        <v/>
      </c>
      <c r="T54" s="30">
        <f>'Cash Flow'!T35/'Income Statement'!T12</f>
        <v/>
      </c>
      <c r="U54" s="30">
        <f>'Cash Flow'!U35/'Income Statement'!U12</f>
        <v/>
      </c>
    </row>
    <row r="55">
      <c r="A55" s="5" t="inlineStr">
        <is>
          <t>CFO / EBITDA</t>
        </is>
      </c>
      <c r="C55" s="30">
        <f>'Cash Flow'!C35/C21</f>
        <v/>
      </c>
      <c r="D55" s="30">
        <f>'Cash Flow'!D35/D21</f>
        <v/>
      </c>
      <c r="E55" s="30">
        <f>'Cash Flow'!E35/E21</f>
        <v/>
      </c>
      <c r="F55" s="30">
        <f>'Cash Flow'!F35/F21</f>
        <v/>
      </c>
      <c r="G55" s="30">
        <f>'Cash Flow'!G35/G21</f>
        <v/>
      </c>
      <c r="H55" s="30">
        <f>'Cash Flow'!H35/H21</f>
        <v/>
      </c>
      <c r="I55" s="30">
        <f>'Cash Flow'!I35/I21</f>
        <v/>
      </c>
      <c r="J55" s="30">
        <f>'Cash Flow'!J35/J21</f>
        <v/>
      </c>
      <c r="K55" s="30">
        <f>'Cash Flow'!K35/K21</f>
        <v/>
      </c>
      <c r="L55" s="30">
        <f>'Cash Flow'!L35/L21</f>
        <v/>
      </c>
      <c r="M55" s="9" t="n"/>
      <c r="N55" s="9" t="n"/>
      <c r="O55" s="9" t="n"/>
      <c r="P55" s="30">
        <f>'Cash Flow'!P35/P21</f>
        <v/>
      </c>
      <c r="Q55" s="30">
        <f>'Cash Flow'!Q35/Q21</f>
        <v/>
      </c>
      <c r="R55" s="30">
        <f>'Cash Flow'!R35/R21</f>
        <v/>
      </c>
      <c r="S55" s="30">
        <f>'Cash Flow'!S35/S21</f>
        <v/>
      </c>
      <c r="T55" s="30">
        <f>'Cash Flow'!T35/T21</f>
        <v/>
      </c>
      <c r="U55" s="30">
        <f>'Cash Flow'!U35/U21</f>
        <v/>
      </c>
    </row>
    <row r="56">
      <c r="A56" s="5" t="inlineStr">
        <is>
          <t>Capex Intensity (Capex / Revenue)</t>
        </is>
      </c>
      <c r="C56" s="29">
        <f>'Cash Flow'!C71</f>
        <v/>
      </c>
      <c r="D56" s="29">
        <f>'Cash Flow'!D71</f>
        <v/>
      </c>
      <c r="E56" s="29">
        <f>'Cash Flow'!E71</f>
        <v/>
      </c>
      <c r="F56" s="29">
        <f>'Cash Flow'!F71</f>
        <v/>
      </c>
      <c r="G56" s="29">
        <f>'Cash Flow'!G71</f>
        <v/>
      </c>
      <c r="H56" s="29">
        <f>'Cash Flow'!H71</f>
        <v/>
      </c>
      <c r="I56" s="29">
        <f>'Cash Flow'!I71</f>
        <v/>
      </c>
      <c r="J56" s="29">
        <f>'Cash Flow'!J71</f>
        <v/>
      </c>
      <c r="K56" s="29">
        <f>'Cash Flow'!K71</f>
        <v/>
      </c>
      <c r="L56" s="29">
        <f>'Cash Flow'!L71</f>
        <v/>
      </c>
      <c r="M56" s="9" t="n"/>
      <c r="N56" s="9" t="n"/>
      <c r="O56" s="9" t="n"/>
      <c r="P56" s="29">
        <f>'Cash Flow'!P71</f>
        <v/>
      </c>
      <c r="Q56" s="29">
        <f>'Cash Flow'!Q71</f>
        <v/>
      </c>
      <c r="R56" s="29">
        <f>'Cash Flow'!R71</f>
        <v/>
      </c>
      <c r="S56" s="29">
        <f>'Cash Flow'!S71</f>
        <v/>
      </c>
      <c r="T56" s="29">
        <f>'Cash Flow'!T71</f>
        <v/>
      </c>
      <c r="U56" s="29">
        <f>'Cash Flow'!U71</f>
        <v/>
      </c>
    </row>
    <row r="57">
      <c r="A57" s="5" t="inlineStr">
        <is>
          <t>FCF Margin</t>
        </is>
      </c>
      <c r="C57" s="29">
        <f>'Cash Flow'!C72</f>
        <v/>
      </c>
      <c r="D57" s="29">
        <f>'Cash Flow'!D72</f>
        <v/>
      </c>
      <c r="E57" s="29">
        <f>'Cash Flow'!E72</f>
        <v/>
      </c>
      <c r="F57" s="29">
        <f>'Cash Flow'!F72</f>
        <v/>
      </c>
      <c r="G57" s="29">
        <f>'Cash Flow'!G72</f>
        <v/>
      </c>
      <c r="H57" s="29">
        <f>'Cash Flow'!H72</f>
        <v/>
      </c>
      <c r="I57" s="29">
        <f>'Cash Flow'!I72</f>
        <v/>
      </c>
      <c r="J57" s="29">
        <f>'Cash Flow'!J72</f>
        <v/>
      </c>
      <c r="K57" s="29">
        <f>'Cash Flow'!K72</f>
        <v/>
      </c>
      <c r="L57" s="29">
        <f>'Cash Flow'!L72</f>
        <v/>
      </c>
      <c r="M57" s="9" t="n"/>
      <c r="N57" s="9" t="n"/>
      <c r="O57" s="9" t="n"/>
      <c r="P57" s="29">
        <f>'Cash Flow'!P72</f>
        <v/>
      </c>
      <c r="Q57" s="29">
        <f>'Cash Flow'!Q72</f>
        <v/>
      </c>
      <c r="R57" s="29">
        <f>'Cash Flow'!R72</f>
        <v/>
      </c>
      <c r="S57" s="29">
        <f>'Cash Flow'!S72</f>
        <v/>
      </c>
      <c r="T57" s="29">
        <f>'Cash Flow'!T72</f>
        <v/>
      </c>
      <c r="U57" s="29">
        <f>'Cash Flow'!U72</f>
        <v/>
      </c>
    </row>
    <row r="58">
      <c r="A58" s="5" t="inlineStr">
        <is>
          <t>FCF Conversion</t>
        </is>
      </c>
      <c r="C58" s="29">
        <f>'Cash Flow'!C73</f>
        <v/>
      </c>
      <c r="D58" s="29">
        <f>'Cash Flow'!D73</f>
        <v/>
      </c>
      <c r="E58" s="29">
        <f>'Cash Flow'!E73</f>
        <v/>
      </c>
      <c r="F58" s="29">
        <f>'Cash Flow'!F73</f>
        <v/>
      </c>
      <c r="G58" s="29">
        <f>'Cash Flow'!G73</f>
        <v/>
      </c>
      <c r="H58" s="29">
        <f>'Cash Flow'!H73</f>
        <v/>
      </c>
      <c r="I58" s="29">
        <f>'Cash Flow'!I73</f>
        <v/>
      </c>
      <c r="J58" s="29">
        <f>'Cash Flow'!J73</f>
        <v/>
      </c>
      <c r="K58" s="29">
        <f>'Cash Flow'!K73</f>
        <v/>
      </c>
      <c r="L58" s="29">
        <f>'Cash Flow'!L73</f>
        <v/>
      </c>
      <c r="M58" s="9" t="n"/>
      <c r="N58" s="9" t="n"/>
      <c r="O58" s="9" t="n"/>
      <c r="P58" s="29">
        <f>'Cash Flow'!P73</f>
        <v/>
      </c>
      <c r="Q58" s="29">
        <f>'Cash Flow'!Q73</f>
        <v/>
      </c>
      <c r="R58" s="29">
        <f>'Cash Flow'!R73</f>
        <v/>
      </c>
      <c r="S58" s="29">
        <f>'Cash Flow'!S73</f>
        <v/>
      </c>
      <c r="T58" s="29">
        <f>'Cash Flow'!T73</f>
        <v/>
      </c>
      <c r="U58" s="29">
        <f>'Cash Flow'!U73</f>
        <v/>
      </c>
    </row>
    <row r="59">
      <c r="A59" s="5" t="inlineStr">
        <is>
          <t>D&amp;A / Capex</t>
        </is>
      </c>
      <c r="C59" s="31">
        <f>'Cash Flow'!C14/(0-'Cash Flow'!C39)</f>
        <v/>
      </c>
      <c r="D59" s="31">
        <f>'Cash Flow'!D14/(0-'Cash Flow'!D39)</f>
        <v/>
      </c>
      <c r="E59" s="31">
        <f>'Cash Flow'!E14/(0-'Cash Flow'!E39)</f>
        <v/>
      </c>
      <c r="F59" s="31">
        <f>'Cash Flow'!F14/(0-'Cash Flow'!F39)</f>
        <v/>
      </c>
      <c r="G59" s="31">
        <f>'Cash Flow'!G14/(0-'Cash Flow'!G39)</f>
        <v/>
      </c>
      <c r="H59" s="31">
        <f>'Cash Flow'!H14/(0-'Cash Flow'!H39)</f>
        <v/>
      </c>
      <c r="I59" s="31">
        <f>'Cash Flow'!I14/(0-'Cash Flow'!I39)</f>
        <v/>
      </c>
      <c r="J59" s="31">
        <f>'Cash Flow'!J14/(0-'Cash Flow'!J39)</f>
        <v/>
      </c>
      <c r="K59" s="31">
        <f>'Cash Flow'!K14/(0-'Cash Flow'!K39)</f>
        <v/>
      </c>
      <c r="L59" s="31">
        <f>'Cash Flow'!L14/(0-'Cash Flow'!L39)</f>
        <v/>
      </c>
      <c r="M59" s="9" t="n"/>
      <c r="N59" s="9" t="n"/>
      <c r="O59" s="9" t="n"/>
      <c r="P59" s="31">
        <f>'Cash Flow'!P14/(0-'Cash Flow'!P39)</f>
        <v/>
      </c>
      <c r="Q59" s="31">
        <f>'Cash Flow'!Q14/(0-'Cash Flow'!Q39)</f>
        <v/>
      </c>
      <c r="R59" s="31">
        <f>'Cash Flow'!R14/(0-'Cash Flow'!R39)</f>
        <v/>
      </c>
      <c r="S59" s="31">
        <f>'Cash Flow'!S14/(0-'Cash Flow'!S39)</f>
        <v/>
      </c>
      <c r="T59" s="31">
        <f>'Cash Flow'!T14/(0-'Cash Flow'!T39)</f>
        <v/>
      </c>
      <c r="U59" s="31">
        <f>'Cash Flow'!U14/(0-'Cash Flow'!U39)</f>
        <v/>
      </c>
    </row>
    <row r="60" ht="8" customHeight="1">
      <c r="M60" s="9" t="n"/>
      <c r="N60" s="9" t="n"/>
      <c r="O60" s="9" t="n"/>
    </row>
    <row r="61" ht="20" customHeight="1">
      <c r="A61" s="12" t="inlineStr">
        <is>
          <t>8. EARNINGS QUALITY</t>
        </is>
      </c>
      <c r="B61" s="2" t="n"/>
      <c r="C61" s="2" t="n"/>
      <c r="D61" s="2" t="n"/>
      <c r="E61" s="2" t="n"/>
      <c r="F61" s="2" t="n"/>
      <c r="G61" s="2" t="n"/>
      <c r="H61" s="2" t="n"/>
      <c r="I61" s="2" t="n"/>
      <c r="J61" s="2" t="n"/>
      <c r="K61" s="2" t="n"/>
      <c r="L61" s="2" t="n"/>
      <c r="M61" s="9" t="n"/>
      <c r="N61" s="9" t="n"/>
      <c r="O61" s="9" t="n"/>
      <c r="P61" s="2" t="n"/>
      <c r="Q61" s="2" t="n"/>
      <c r="R61" s="2" t="n"/>
      <c r="S61" s="2" t="n"/>
      <c r="T61" s="2" t="n"/>
      <c r="U61" s="2" t="n"/>
    </row>
    <row r="62">
      <c r="A62" s="5" t="inlineStr">
        <is>
          <t>CFO / Net Earnings</t>
        </is>
      </c>
      <c r="C62" s="31">
        <f>'Cash Flow'!C35/'Income Statement'!C34</f>
        <v/>
      </c>
      <c r="D62" s="31">
        <f>'Cash Flow'!D35/'Income Statement'!D34</f>
        <v/>
      </c>
      <c r="E62" s="31">
        <f>'Cash Flow'!E35/'Income Statement'!E34</f>
        <v/>
      </c>
      <c r="F62" s="31">
        <f>'Cash Flow'!F35/'Income Statement'!F34</f>
        <v/>
      </c>
      <c r="G62" s="31">
        <f>'Cash Flow'!G35/'Income Statement'!G34</f>
        <v/>
      </c>
      <c r="H62" s="31">
        <f>'Cash Flow'!H35/'Income Statement'!H34</f>
        <v/>
      </c>
      <c r="I62" s="31">
        <f>'Cash Flow'!I35/'Income Statement'!I34</f>
        <v/>
      </c>
      <c r="J62" s="31">
        <f>'Cash Flow'!J35/'Income Statement'!J34</f>
        <v/>
      </c>
      <c r="K62" s="31">
        <f>'Cash Flow'!K35/'Income Statement'!K34</f>
        <v/>
      </c>
      <c r="L62" s="31">
        <f>'Cash Flow'!L35/'Income Statement'!L34</f>
        <v/>
      </c>
      <c r="M62" s="9" t="n"/>
      <c r="N62" s="9" t="n"/>
      <c r="O62" s="9" t="n"/>
      <c r="P62" s="31">
        <f>'Cash Flow'!P35/'Income Statement'!P34</f>
        <v/>
      </c>
      <c r="Q62" s="31">
        <f>'Cash Flow'!Q35/'Income Statement'!Q34</f>
        <v/>
      </c>
      <c r="R62" s="31">
        <f>'Cash Flow'!R35/'Income Statement'!R34</f>
        <v/>
      </c>
      <c r="S62" s="31">
        <f>'Cash Flow'!S35/'Income Statement'!S34</f>
        <v/>
      </c>
      <c r="T62" s="31">
        <f>'Cash Flow'!T35/'Income Statement'!T34</f>
        <v/>
      </c>
      <c r="U62" s="31">
        <f>'Cash Flow'!U35/'Income Statement'!U34</f>
        <v/>
      </c>
    </row>
    <row r="63">
      <c r="A63" s="5" t="inlineStr">
        <is>
          <t>Accrual Ratio ((NI - CFO) / Avg Assets)</t>
        </is>
      </c>
      <c r="C63" s="30">
        <f>('Income Statement'!C34-'Cash Flow'!C35)/C27</f>
        <v/>
      </c>
      <c r="D63" s="30">
        <f>('Income Statement'!D34-'Cash Flow'!D35)/D27</f>
        <v/>
      </c>
      <c r="E63" s="30">
        <f>('Income Statement'!E34-'Cash Flow'!E35)/E27</f>
        <v/>
      </c>
      <c r="F63" s="30">
        <f>('Income Statement'!F34-'Cash Flow'!F35)/F27</f>
        <v/>
      </c>
      <c r="G63" s="30">
        <f>('Income Statement'!G34-'Cash Flow'!G35)/G27</f>
        <v/>
      </c>
      <c r="H63" s="30">
        <f>('Income Statement'!H34-'Cash Flow'!H35)/H27</f>
        <v/>
      </c>
      <c r="I63" s="30">
        <f>('Income Statement'!I34-'Cash Flow'!I35)/I27</f>
        <v/>
      </c>
      <c r="J63" s="30">
        <f>('Income Statement'!J34-'Cash Flow'!J35)/J27</f>
        <v/>
      </c>
      <c r="K63" s="30">
        <f>('Income Statement'!K34-'Cash Flow'!K35)/K27</f>
        <v/>
      </c>
      <c r="L63" s="30">
        <f>('Income Statement'!L34-'Cash Flow'!L35)/L27</f>
        <v/>
      </c>
      <c r="M63" s="9" t="n"/>
      <c r="N63" s="9" t="n"/>
      <c r="O63" s="9" t="n"/>
      <c r="P63" s="30">
        <f>('Income Statement'!P34-'Cash Flow'!P35)/P27</f>
        <v/>
      </c>
      <c r="Q63" s="30">
        <f>('Income Statement'!Q34-'Cash Flow'!Q35)/Q27</f>
        <v/>
      </c>
      <c r="R63" s="30">
        <f>('Income Statement'!R34-'Cash Flow'!R35)/R27</f>
        <v/>
      </c>
      <c r="S63" s="30">
        <f>('Income Statement'!S34-'Cash Flow'!S35)/S27</f>
        <v/>
      </c>
      <c r="T63" s="30">
        <f>('Income Statement'!T34-'Cash Flow'!T35)/T27</f>
        <v/>
      </c>
      <c r="U63" s="30">
        <f>('Income Statement'!U34-'Cash Flow'!U35)/U27</f>
        <v/>
      </c>
    </row>
    <row r="64" ht="8" customHeight="1">
      <c r="M64" s="9" t="n"/>
      <c r="N64" s="9" t="n"/>
      <c r="O64" s="9" t="n"/>
    </row>
    <row r="65" ht="20" customHeight="1">
      <c r="A65" s="12" t="inlineStr">
        <is>
          <t>9. GROWTH</t>
        </is>
      </c>
      <c r="B65" s="2" t="n"/>
      <c r="C65" s="2" t="n"/>
      <c r="D65" s="2" t="n"/>
      <c r="E65" s="2" t="n"/>
      <c r="F65" s="2" t="n"/>
      <c r="G65" s="2" t="n"/>
      <c r="H65" s="2" t="n"/>
      <c r="I65" s="2" t="n"/>
      <c r="J65" s="2" t="n"/>
      <c r="K65" s="2" t="n"/>
      <c r="L65" s="2" t="n"/>
      <c r="M65" s="9" t="n"/>
      <c r="N65" s="9" t="n"/>
      <c r="O65" s="9" t="n"/>
      <c r="P65" s="2" t="n"/>
      <c r="Q65" s="2" t="n"/>
      <c r="R65" s="2" t="n"/>
      <c r="S65" s="2" t="n"/>
      <c r="T65" s="2" t="n"/>
      <c r="U65" s="2" t="n"/>
    </row>
    <row r="66">
      <c r="A66" s="5" t="inlineStr">
        <is>
          <t>Revenue Growth</t>
        </is>
      </c>
      <c r="D66" s="30">
        <f>IF(N(C67)=0,"",D67/C67-1)</f>
        <v/>
      </c>
      <c r="E66" s="30">
        <f>IF(N(D67)=0,"",E67/D67-1)</f>
        <v/>
      </c>
      <c r="F66" s="30">
        <f>IF(N(E67)=0,"",F67/E67-1)</f>
        <v/>
      </c>
      <c r="G66" s="30">
        <f>IF(N(F67)=0,"",G67/F67-1)</f>
        <v/>
      </c>
      <c r="H66" s="30">
        <f>IF(N(G67)=0,"",H67/G67-1)</f>
        <v/>
      </c>
      <c r="I66" s="30">
        <f>IF(N(H67)=0,"",I67/H67-1)</f>
        <v/>
      </c>
      <c r="J66" s="30">
        <f>IF(N(I67)=0,"",J67/I67-1)</f>
        <v/>
      </c>
      <c r="K66" s="30">
        <f>IF(N(J67)=0,"",K67/J67-1)</f>
        <v/>
      </c>
      <c r="L66" s="30">
        <f>IF(N(K67)=0,"",L67/K67-1)</f>
        <v/>
      </c>
      <c r="M66" s="9" t="n"/>
      <c r="N66" s="9" t="n"/>
      <c r="O66" s="9" t="n"/>
      <c r="T66" s="30">
        <f>IF(N(P67)=0,"",T67/P67-1)</f>
        <v/>
      </c>
      <c r="U66" s="30">
        <f>IF(N(Q67)=0,"",U67/Q67-1)</f>
        <v/>
      </c>
    </row>
    <row r="67">
      <c r="A67" s="14" t="inlineStr">
        <is>
          <t xml:space="preserve">  (Revenue, memo)</t>
        </is>
      </c>
      <c r="C67" s="23">
        <f>'Income Statement'!C12</f>
        <v/>
      </c>
      <c r="D67" s="23">
        <f>'Income Statement'!D12</f>
        <v/>
      </c>
      <c r="E67" s="23">
        <f>'Income Statement'!E12</f>
        <v/>
      </c>
      <c r="F67" s="23">
        <f>'Income Statement'!F12</f>
        <v/>
      </c>
      <c r="G67" s="23">
        <f>'Income Statement'!G12</f>
        <v/>
      </c>
      <c r="H67" s="23">
        <f>'Income Statement'!H12</f>
        <v/>
      </c>
      <c r="I67" s="23">
        <f>'Income Statement'!I12</f>
        <v/>
      </c>
      <c r="J67" s="23">
        <f>'Income Statement'!J12</f>
        <v/>
      </c>
      <c r="K67" s="23">
        <f>'Income Statement'!K12</f>
        <v/>
      </c>
      <c r="L67" s="23">
        <f>'Income Statement'!L12</f>
        <v/>
      </c>
      <c r="M67" s="9" t="n"/>
      <c r="N67" s="9" t="n"/>
      <c r="O67" s="9" t="n"/>
      <c r="P67" s="23">
        <f>'Income Statement'!P12</f>
        <v/>
      </c>
      <c r="Q67" s="23">
        <f>'Income Statement'!Q12</f>
        <v/>
      </c>
      <c r="R67" s="23">
        <f>'Income Statement'!R12</f>
        <v/>
      </c>
      <c r="S67" s="23">
        <f>'Income Statement'!S12</f>
        <v/>
      </c>
      <c r="T67" s="23">
        <f>'Income Statement'!T12</f>
        <v/>
      </c>
      <c r="U67" s="23">
        <f>'Income Statement'!U12</f>
        <v/>
      </c>
    </row>
    <row r="68">
      <c r="A68" s="5" t="inlineStr">
        <is>
          <t>Net Earnings Growth</t>
        </is>
      </c>
      <c r="D68" s="30">
        <f>IF(N(C69)=0,"",D69/C69-1)</f>
        <v/>
      </c>
      <c r="E68" s="30">
        <f>IF(N(D69)=0,"",E69/D69-1)</f>
        <v/>
      </c>
      <c r="F68" s="30">
        <f>IF(N(E69)=0,"",F69/E69-1)</f>
        <v/>
      </c>
      <c r="G68" s="30">
        <f>IF(N(F69)=0,"",G69/F69-1)</f>
        <v/>
      </c>
      <c r="H68" s="30">
        <f>IF(N(G69)=0,"",H69/G69-1)</f>
        <v/>
      </c>
      <c r="I68" s="30">
        <f>IF(N(H69)=0,"",I69/H69-1)</f>
        <v/>
      </c>
      <c r="J68" s="30">
        <f>IF(N(I69)=0,"",J69/I69-1)</f>
        <v/>
      </c>
      <c r="K68" s="30">
        <f>IF(N(J69)=0,"",K69/J69-1)</f>
        <v/>
      </c>
      <c r="L68" s="30">
        <f>IF(N(K69)=0,"",L69/K69-1)</f>
        <v/>
      </c>
      <c r="M68" s="9" t="n"/>
      <c r="N68" s="9" t="n"/>
      <c r="O68" s="9" t="n"/>
      <c r="T68" s="30">
        <f>IF(N(P69)=0,"",T69/P69-1)</f>
        <v/>
      </c>
      <c r="U68" s="30">
        <f>IF(N(Q69)=0,"",U69/Q69-1)</f>
        <v/>
      </c>
    </row>
    <row r="69">
      <c r="A69" s="14" t="inlineStr">
        <is>
          <t xml:space="preserve">  (Net Earnings, memo)</t>
        </is>
      </c>
      <c r="C69" s="23">
        <f>'Income Statement'!C37</f>
        <v/>
      </c>
      <c r="D69" s="23">
        <f>'Income Statement'!D37</f>
        <v/>
      </c>
      <c r="E69" s="23">
        <f>'Income Statement'!E37</f>
        <v/>
      </c>
      <c r="F69" s="23">
        <f>'Income Statement'!F37</f>
        <v/>
      </c>
      <c r="G69" s="23">
        <f>'Income Statement'!G37</f>
        <v/>
      </c>
      <c r="H69" s="23">
        <f>'Income Statement'!H37</f>
        <v/>
      </c>
      <c r="I69" s="23">
        <f>'Income Statement'!I37</f>
        <v/>
      </c>
      <c r="J69" s="23">
        <f>'Income Statement'!J37</f>
        <v/>
      </c>
      <c r="K69" s="23">
        <f>'Income Statement'!K37</f>
        <v/>
      </c>
      <c r="L69" s="23">
        <f>'Income Statement'!L37</f>
        <v/>
      </c>
      <c r="M69" s="9" t="n"/>
      <c r="N69" s="9" t="n"/>
      <c r="O69" s="9" t="n"/>
      <c r="P69" s="23">
        <f>'Income Statement'!P37</f>
        <v/>
      </c>
      <c r="Q69" s="23">
        <f>'Income Statement'!Q37</f>
        <v/>
      </c>
      <c r="R69" s="23">
        <f>'Income Statement'!R37</f>
        <v/>
      </c>
      <c r="S69" s="23">
        <f>'Income Statement'!S37</f>
        <v/>
      </c>
      <c r="T69" s="23">
        <f>'Income Statement'!T37</f>
        <v/>
      </c>
      <c r="U69" s="23">
        <f>'Income Statement'!U37</f>
        <v/>
      </c>
    </row>
    <row r="70">
      <c r="A70" s="5" t="inlineStr">
        <is>
          <t>CFO Growth</t>
        </is>
      </c>
      <c r="D70" s="30">
        <f>IF(N(C71)=0,"",D71/C71-1)</f>
        <v/>
      </c>
      <c r="E70" s="30">
        <f>IF(N(D71)=0,"",E71/D71-1)</f>
        <v/>
      </c>
      <c r="F70" s="30">
        <f>IF(N(E71)=0,"",F71/E71-1)</f>
        <v/>
      </c>
      <c r="G70" s="30">
        <f>IF(N(F71)=0,"",G71/F71-1)</f>
        <v/>
      </c>
      <c r="H70" s="30">
        <f>IF(N(G71)=0,"",H71/G71-1)</f>
        <v/>
      </c>
      <c r="I70" s="30">
        <f>IF(N(H71)=0,"",I71/H71-1)</f>
        <v/>
      </c>
      <c r="J70" s="30">
        <f>IF(N(I71)=0,"",J71/I71-1)</f>
        <v/>
      </c>
      <c r="K70" s="30">
        <f>IF(N(J71)=0,"",K71/J71-1)</f>
        <v/>
      </c>
      <c r="L70" s="30">
        <f>IF(N(K71)=0,"",L71/K71-1)</f>
        <v/>
      </c>
      <c r="M70" s="9" t="n"/>
      <c r="N70" s="9" t="n"/>
      <c r="O70" s="9" t="n"/>
      <c r="T70" s="30">
        <f>IF(N(P71)=0,"",T71/P71-1)</f>
        <v/>
      </c>
      <c r="U70" s="30">
        <f>IF(N(Q71)=0,"",U71/Q71-1)</f>
        <v/>
      </c>
    </row>
    <row r="71">
      <c r="A71" s="14" t="inlineStr">
        <is>
          <t xml:space="preserve">  (CFO, memo)</t>
        </is>
      </c>
      <c r="C71" s="23">
        <f>'Cash Flow'!C35</f>
        <v/>
      </c>
      <c r="D71" s="23">
        <f>'Cash Flow'!D35</f>
        <v/>
      </c>
      <c r="E71" s="23">
        <f>'Cash Flow'!E35</f>
        <v/>
      </c>
      <c r="F71" s="23">
        <f>'Cash Flow'!F35</f>
        <v/>
      </c>
      <c r="G71" s="23">
        <f>'Cash Flow'!G35</f>
        <v/>
      </c>
      <c r="H71" s="23">
        <f>'Cash Flow'!H35</f>
        <v/>
      </c>
      <c r="I71" s="23">
        <f>'Cash Flow'!I35</f>
        <v/>
      </c>
      <c r="J71" s="23">
        <f>'Cash Flow'!J35</f>
        <v/>
      </c>
      <c r="K71" s="23">
        <f>'Cash Flow'!K35</f>
        <v/>
      </c>
      <c r="L71" s="23">
        <f>'Cash Flow'!L35</f>
        <v/>
      </c>
      <c r="M71" s="9" t="n"/>
      <c r="N71" s="9" t="n"/>
      <c r="O71" s="9" t="n"/>
      <c r="P71" s="23">
        <f>'Cash Flow'!P35</f>
        <v/>
      </c>
      <c r="Q71" s="23">
        <f>'Cash Flow'!Q35</f>
        <v/>
      </c>
      <c r="R71" s="23">
        <f>'Cash Flow'!R35</f>
        <v/>
      </c>
      <c r="S71" s="23">
        <f>'Cash Flow'!S35</f>
        <v/>
      </c>
      <c r="T71" s="23">
        <f>'Cash Flow'!T35</f>
        <v/>
      </c>
      <c r="U71" s="23">
        <f>'Cash Flow'!U35</f>
        <v/>
      </c>
    </row>
    <row r="72" ht="8" customHeight="1">
      <c r="M72" s="9" t="n"/>
      <c r="N72" s="9" t="n"/>
      <c r="O72" s="9" t="n"/>
    </row>
    <row r="73" ht="20" customHeight="1">
      <c r="A73" s="12" t="inlineStr">
        <is>
          <t>10. WORKING CAPITAL</t>
        </is>
      </c>
      <c r="B73" s="2" t="n"/>
      <c r="C73" s="2" t="n"/>
      <c r="D73" s="2" t="n"/>
      <c r="E73" s="2" t="n"/>
      <c r="F73" s="2" t="n"/>
      <c r="G73" s="2" t="n"/>
      <c r="H73" s="2" t="n"/>
      <c r="I73" s="2" t="n"/>
      <c r="J73" s="2" t="n"/>
      <c r="K73" s="2" t="n"/>
      <c r="L73" s="2" t="n"/>
      <c r="M73" s="9" t="n"/>
      <c r="N73" s="9" t="n"/>
      <c r="O73" s="9" t="n"/>
      <c r="P73" s="2" t="n"/>
      <c r="Q73" s="2" t="n"/>
      <c r="R73" s="2" t="n"/>
      <c r="S73" s="2" t="n"/>
      <c r="T73" s="2" t="n"/>
      <c r="U73" s="2" t="n"/>
    </row>
    <row r="74">
      <c r="A74" s="5" t="inlineStr">
        <is>
          <t>Days Sales Outstanding</t>
        </is>
      </c>
      <c r="C74" s="33">
        <f>'Balance Sheet'!C67</f>
        <v/>
      </c>
      <c r="D74" s="33">
        <f>'Balance Sheet'!D67</f>
        <v/>
      </c>
      <c r="E74" s="33">
        <f>'Balance Sheet'!E67</f>
        <v/>
      </c>
      <c r="F74" s="33">
        <f>'Balance Sheet'!F67</f>
        <v/>
      </c>
      <c r="G74" s="33">
        <f>'Balance Sheet'!G67</f>
        <v/>
      </c>
      <c r="H74" s="33">
        <f>'Balance Sheet'!H67</f>
        <v/>
      </c>
      <c r="I74" s="33">
        <f>'Balance Sheet'!I67</f>
        <v/>
      </c>
      <c r="J74" s="33">
        <f>'Balance Sheet'!J67</f>
        <v/>
      </c>
      <c r="K74" s="33">
        <f>'Balance Sheet'!K67</f>
        <v/>
      </c>
      <c r="L74" s="33">
        <f>'Balance Sheet'!L67</f>
        <v/>
      </c>
      <c r="M74" s="9" t="n"/>
      <c r="N74" s="9" t="n"/>
      <c r="O74" s="9" t="n"/>
      <c r="P74" s="33">
        <f>'Balance Sheet'!P67</f>
        <v/>
      </c>
      <c r="Q74" s="33">
        <f>'Balance Sheet'!Q67</f>
        <v/>
      </c>
      <c r="R74" s="33">
        <f>'Balance Sheet'!R67</f>
        <v/>
      </c>
      <c r="S74" s="33">
        <f>'Balance Sheet'!S67</f>
        <v/>
      </c>
      <c r="T74" s="33">
        <f>'Balance Sheet'!T67</f>
        <v/>
      </c>
      <c r="U74" s="33">
        <f>'Balance Sheet'!U67</f>
        <v/>
      </c>
    </row>
    <row r="75">
      <c r="A75" s="5" t="inlineStr">
        <is>
          <t>Days Inventory Outstanding</t>
        </is>
      </c>
      <c r="C75" s="33">
        <f>'Balance Sheet'!C68</f>
        <v/>
      </c>
      <c r="D75" s="33">
        <f>'Balance Sheet'!D68</f>
        <v/>
      </c>
      <c r="E75" s="33">
        <f>'Balance Sheet'!E68</f>
        <v/>
      </c>
      <c r="F75" s="33">
        <f>'Balance Sheet'!F68</f>
        <v/>
      </c>
      <c r="G75" s="33">
        <f>'Balance Sheet'!G68</f>
        <v/>
      </c>
      <c r="H75" s="33">
        <f>'Balance Sheet'!H68</f>
        <v/>
      </c>
      <c r="I75" s="33">
        <f>'Balance Sheet'!I68</f>
        <v/>
      </c>
      <c r="J75" s="33">
        <f>'Balance Sheet'!J68</f>
        <v/>
      </c>
      <c r="K75" s="33">
        <f>'Balance Sheet'!K68</f>
        <v/>
      </c>
      <c r="L75" s="33">
        <f>'Balance Sheet'!L68</f>
        <v/>
      </c>
      <c r="M75" s="9" t="n"/>
      <c r="N75" s="9" t="n"/>
      <c r="O75" s="9" t="n"/>
      <c r="P75" s="33">
        <f>'Balance Sheet'!P68</f>
        <v/>
      </c>
      <c r="Q75" s="33">
        <f>'Balance Sheet'!Q68</f>
        <v/>
      </c>
      <c r="R75" s="33">
        <f>'Balance Sheet'!R68</f>
        <v/>
      </c>
      <c r="S75" s="33">
        <f>'Balance Sheet'!S68</f>
        <v/>
      </c>
      <c r="T75" s="33">
        <f>'Balance Sheet'!T68</f>
        <v/>
      </c>
      <c r="U75" s="33">
        <f>'Balance Sheet'!U68</f>
        <v/>
      </c>
    </row>
    <row r="76">
      <c r="A76" s="5" t="inlineStr">
        <is>
          <t>Days Payable Outstanding</t>
        </is>
      </c>
      <c r="C76" s="33">
        <f>'Balance Sheet'!C69</f>
        <v/>
      </c>
      <c r="D76" s="33">
        <f>'Balance Sheet'!D69</f>
        <v/>
      </c>
      <c r="E76" s="33">
        <f>'Balance Sheet'!E69</f>
        <v/>
      </c>
      <c r="F76" s="33">
        <f>'Balance Sheet'!F69</f>
        <v/>
      </c>
      <c r="G76" s="33">
        <f>'Balance Sheet'!G69</f>
        <v/>
      </c>
      <c r="H76" s="33">
        <f>'Balance Sheet'!H69</f>
        <v/>
      </c>
      <c r="I76" s="33">
        <f>'Balance Sheet'!I69</f>
        <v/>
      </c>
      <c r="J76" s="33">
        <f>'Balance Sheet'!J69</f>
        <v/>
      </c>
      <c r="K76" s="33">
        <f>'Balance Sheet'!K69</f>
        <v/>
      </c>
      <c r="L76" s="33">
        <f>'Balance Sheet'!L69</f>
        <v/>
      </c>
      <c r="M76" s="9" t="n"/>
      <c r="N76" s="9" t="n"/>
      <c r="O76" s="9" t="n"/>
      <c r="P76" s="33">
        <f>'Balance Sheet'!P69</f>
        <v/>
      </c>
      <c r="Q76" s="33">
        <f>'Balance Sheet'!Q69</f>
        <v/>
      </c>
      <c r="R76" s="33">
        <f>'Balance Sheet'!R69</f>
        <v/>
      </c>
      <c r="S76" s="33">
        <f>'Balance Sheet'!S69</f>
        <v/>
      </c>
      <c r="T76" s="33">
        <f>'Balance Sheet'!T69</f>
        <v/>
      </c>
      <c r="U76" s="33">
        <f>'Balance Sheet'!U69</f>
        <v/>
      </c>
    </row>
    <row r="77">
      <c r="A77" s="10" t="inlineStr">
        <is>
          <t>Cash Conversion Cycle</t>
        </is>
      </c>
      <c r="C77" s="34">
        <f>'Balance Sheet'!C70</f>
        <v/>
      </c>
      <c r="D77" s="34">
        <f>'Balance Sheet'!D70</f>
        <v/>
      </c>
      <c r="E77" s="34">
        <f>'Balance Sheet'!E70</f>
        <v/>
      </c>
      <c r="F77" s="34">
        <f>'Balance Sheet'!F70</f>
        <v/>
      </c>
      <c r="G77" s="34">
        <f>'Balance Sheet'!G70</f>
        <v/>
      </c>
      <c r="H77" s="34">
        <f>'Balance Sheet'!H70</f>
        <v/>
      </c>
      <c r="I77" s="34">
        <f>'Balance Sheet'!I70</f>
        <v/>
      </c>
      <c r="J77" s="34">
        <f>'Balance Sheet'!J70</f>
        <v/>
      </c>
      <c r="K77" s="34">
        <f>'Balance Sheet'!K70</f>
        <v/>
      </c>
      <c r="L77" s="34">
        <f>'Balance Sheet'!L70</f>
        <v/>
      </c>
      <c r="M77" s="9" t="n"/>
      <c r="N77" s="9" t="n"/>
      <c r="O77" s="9" t="n"/>
      <c r="P77" s="34">
        <f>'Balance Sheet'!P70</f>
        <v/>
      </c>
      <c r="Q77" s="34">
        <f>'Balance Sheet'!Q70</f>
        <v/>
      </c>
      <c r="R77" s="34">
        <f>'Balance Sheet'!R70</f>
        <v/>
      </c>
      <c r="S77" s="34">
        <f>'Balance Sheet'!S70</f>
        <v/>
      </c>
      <c r="T77" s="34">
        <f>'Balance Sheet'!T70</f>
        <v/>
      </c>
      <c r="U77" s="34">
        <f>'Balance Sheet'!U70</f>
        <v/>
      </c>
    </row>
    <row r="78">
      <c r="M78" s="9" t="n"/>
      <c r="N78" s="9" t="n"/>
      <c r="O78" s="9" t="n"/>
    </row>
  </sheetData>
  <pageMargins left="0.75" right="0.75" top="1" bottom="1" header="0.5" footer="0.5"/>
</worksheet>
</file>

<file path=xl/worksheets/sheet8.xml><?xml version="1.0" encoding="utf-8"?>
<worksheet xmlns="http://schemas.openxmlformats.org/spreadsheetml/2006/main">
  <sheetPr>
    <tabColor rgb="001F4E79"/>
    <outlinePr summaryBelow="1" summaryRight="1"/>
    <pageSetUpPr/>
  </sheetPr>
  <dimension ref="A1:H52"/>
  <sheetViews>
    <sheetView showGridLines="0" zoomScale="85" workbookViewId="0">
      <pane ySplit="3" topLeftCell="A4" activePane="bottomLeft" state="frozen"/>
      <selection pane="bottomLeft" activeCell="A1" sqref="A1"/>
    </sheetView>
  </sheetViews>
  <sheetFormatPr baseColWidth="8" defaultRowHeight="15"/>
  <cols>
    <col width="100" customWidth="1" min="1" max="1"/>
  </cols>
  <sheetData>
    <row r="1" ht="28" customHeight="1">
      <c r="A1" s="1" t="inlineStr">
        <is>
          <t>Mondelez International, Inc. — Sources</t>
        </is>
      </c>
      <c r="B1" s="2" t="n"/>
      <c r="C1" s="2" t="n"/>
      <c r="D1" s="2" t="n"/>
      <c r="E1" s="2" t="n"/>
      <c r="F1" s="2" t="n"/>
      <c r="G1" s="2" t="n"/>
      <c r="H1" s="2" t="n"/>
    </row>
    <row r="2" ht="16" customHeight="1">
      <c r="A2" s="3" t="inlineStr">
        <is>
          <t>$ in millions except per-share data  |  USD  |  as of 2026-09-15</t>
        </is>
      </c>
    </row>
    <row r="4">
      <c r="A4" s="4" t="inlineStr">
        <is>
          <t>Sources &amp; Methodology</t>
        </is>
      </c>
    </row>
    <row r="6">
      <c r="A6" s="4" t="inlineStr">
        <is>
          <t>Data provenance</t>
        </is>
      </c>
    </row>
    <row r="7">
      <c r="A7" s="5" t="inlineStr">
        <is>
          <t>All figures extracted from SEC EDGAR filings (10-K / 10-Q primary financial statement HTML tables) collected under research/companies/US/MDLZ-mondelez/outputs/company-research-to-excel-20260915/tables.json (1,598 tables). No financial_input.json existed for this company; the model was built in bundle-only mode directly from the collector output.</t>
        </is>
      </c>
    </row>
    <row r="9">
      <c r="A9" s="4" t="inlineStr">
        <is>
          <t>Filings used</t>
        </is>
      </c>
    </row>
    <row r="10">
      <c r="A10" s="5" t="inlineStr">
        <is>
          <t>10-K FY2016 (period end 2016-12-31)</t>
        </is>
      </c>
    </row>
    <row r="11">
      <c r="A11" s="5" t="inlineStr">
        <is>
          <t>10-K FY2017 (2017-12-31)</t>
        </is>
      </c>
    </row>
    <row r="12">
      <c r="A12" s="5" t="inlineStr">
        <is>
          <t>10-K FY2018 (2018-12-31)</t>
        </is>
      </c>
    </row>
    <row r="13">
      <c r="A13" s="5" t="inlineStr">
        <is>
          <t>10-K FY2019 (2019-12-31)</t>
        </is>
      </c>
    </row>
    <row r="14">
      <c r="A14" s="5" t="inlineStr">
        <is>
          <t>10-K FY2020 (2020-12-31)</t>
        </is>
      </c>
    </row>
    <row r="15">
      <c r="A15" s="5" t="inlineStr">
        <is>
          <t>10-K FY2021 (2021-12-31)</t>
        </is>
      </c>
    </row>
    <row r="16">
      <c r="A16" s="5" t="inlineStr">
        <is>
          <t>10-K FY2022 (2022-12-31)</t>
        </is>
      </c>
    </row>
    <row r="17">
      <c r="A17" s="5" t="inlineStr">
        <is>
          <t>10-K FY2023 (2023-12-31)</t>
        </is>
      </c>
    </row>
    <row r="18">
      <c r="A18" s="5" t="inlineStr">
        <is>
          <t>10-K FY2024 (2024-12-31)</t>
        </is>
      </c>
    </row>
    <row r="19">
      <c r="A19" s="5" t="inlineStr">
        <is>
          <t>10-K FY2025 (2025-12-31)</t>
        </is>
      </c>
    </row>
    <row r="20">
      <c r="A20" s="5" t="inlineStr">
        <is>
          <t>10-Q 3Q2024 (period end 2024-09-30, accession 0001103982-24-000104)</t>
        </is>
      </c>
    </row>
    <row r="21">
      <c r="A21" s="5" t="inlineStr">
        <is>
          <t>10-Q 1Q2025 (2025-03-31, accession 0001103982-25-000127)</t>
        </is>
      </c>
    </row>
    <row r="22">
      <c r="A22" s="5" t="inlineStr">
        <is>
          <t>10-Q 2Q2025 (2025-06-30, accession 0001103982-25-000188)</t>
        </is>
      </c>
    </row>
    <row r="23">
      <c r="A23" s="5" t="inlineStr">
        <is>
          <t>10-Q 3Q2025 (2025-09-30, accession 0001628280-25-046773)</t>
        </is>
      </c>
    </row>
    <row r="24">
      <c r="A24" s="5" t="inlineStr">
        <is>
          <t>10-Q 1Q2026 (2026-03-31, accession 0001628280-26-027937)</t>
        </is>
      </c>
    </row>
    <row r="25">
      <c r="A25" s="5" t="inlineStr">
        <is>
          <t>10-Q 2Q2026 (2026-06-30, accession 0001628280-26-050179)</t>
        </is>
      </c>
    </row>
    <row r="27">
      <c r="A27" s="4" t="inlineStr">
        <is>
          <t>Own-year sourcing convention</t>
        </is>
      </c>
    </row>
    <row r="28">
      <c r="A28" s="5" t="inlineStr">
        <is>
          <t>Every figure is sourced from each fiscal period's own primary filing (its own-year / own-quarter column), never from a later filing's comparative column. This was necessary because MDLZ has retrospectively restated multiple historical line items (e.g., FY2016-2018 Net earnings under ASU 2017-07 pension cost presentation; FY2019 'Equity method investment net earnings' reported as $442M in the FY2019 10-K vs. $501M as a comparative in the FY2020 10-K). Using each year's own-year column avoids contaminating the historical series with retroactive restatements.</t>
        </is>
      </c>
    </row>
    <row r="30">
      <c r="A30" s="4" t="inlineStr">
        <is>
          <t>Income Statement sign-convention normalization</t>
        </is>
      </c>
    </row>
    <row r="31">
      <c r="A31" s="5" t="inlineStr">
        <is>
          <t>MDLZ changed its Income Statement sign presentation between the FY2022 and FY2023 10-Ks. FY2016-2022 filings store Cost of sales, SG&amp;A, Asset impairment and exit costs, Amortization of intangibles, and Interest and other expense net as POSITIVE magnitudes meant to be subtracted, and store the divestiture/acquisition gain and Benefit plan non-service income lines as NEGATIVE values also meant to be subtracted (double-negative = addback). FY2023-2025 filings and all six 10-Q filings present these same lines with their true economic sign directly (expenses negative, gains/income positive), added rather than subtracted. This model normalizes ALL periods to the true-economic-sign / additive convention: FY2016-2022 Cost of sales, SG&amp;A, Asset impairment, Amortization, and Interest expense are sign-flipped to negative; the divestiture gain/loss line and Benefit plan non-service income (FY2018-2022 only) are sign-flipped to positive. Provision for income taxes, Noncontrolling interest earnings, and both equity-method lines were confirmed already additive in every year (no flip applied). This normalization was independently verified by reconstructing the full filed arithmetic chain (Gross profit -&gt; Operating income -&gt; EBT -&gt; Net earnings -&gt; Net earnings attributable) for FY2016, FY2023, FY2025 and 3Q2024, all of which tie exactly to the reported bottom line.</t>
        </is>
      </c>
    </row>
    <row r="33">
      <c r="A33" s="4" t="inlineStr">
        <is>
          <t>FY2024 data-recovery note</t>
        </is>
      </c>
    </row>
    <row r="34">
      <c r="A34" s="5" t="inlineStr">
        <is>
          <t>In the FY2024 10-K's Income Statement table, the row 'Gain/(loss) on equity method investment transactions' had its FY2024 numeric value accidentally concatenated into the row's label text during table extraction. The correct FY2024 value (-337) was recovered by cross-referencing the FY2025 10-K's comparative column for FY2024 in the same row, which independently confirms -337.</t>
        </is>
      </c>
    </row>
    <row r="36">
      <c r="A36" s="4" t="inlineStr">
        <is>
          <t>Quarterly Cash Flow Statement — fiscal-year-to-date (YTD) basis</t>
        </is>
      </c>
    </row>
    <row r="37">
      <c r="A37" s="5" t="inlineStr">
        <is>
          <t>MDLZ presents its Condensed Consolidated Statement of Cash Flows in each 10-Q on a fiscal-year-to-date cumulative basis, not a discrete-quarter basis. For example, the 3Q2025 CF column reflects 9 months of activity (Jan-Sep 2025), not just Q3 alone. This was confirmed by reconciling CF 'Net earnings' to the sum of the corresponding discrete-quarter IS 'Net earnings' figures (e.g., 2Q2025 CF Net earnings of $1,051M = Q1 2025 IS Net earnings $407M + Q2 2025 IS Net earnings $644M). As a result, quarterly CF columns in this model are NOT directly comparable to the quarterly IS/BS columns on a discrete-quarter basis; 1Q columns (1Q2025, 1Q2026) are the exception since Q1 YTD equals the discrete quarter.</t>
        </is>
      </c>
    </row>
    <row r="39">
      <c r="A39" s="4" t="inlineStr">
        <is>
          <t>Non-GAAP reconciliation — intentionally not modeled</t>
        </is>
      </c>
    </row>
    <row r="40">
      <c r="A40" s="5" t="inlineStr">
        <is>
          <t>MDLZ discloses non-GAAP measures narratively in its MD&amp;A (Adjusted Operating Income, Adjusted EPS, Organic Net Revenue growth) but does not present a single consistent multi-year Adjusted EBITDA-style bridge table. A search of the full tables.json dataset (1,598 tables) found zero tables containing 'EBITDA' and only one fragmented 'Adjusted Operating Income' bridge (FY2016 10-K only, T033), containing 15+ one-off reconciling items (legacy restructuring programs, Venezuela deconsolidation, JDE coffee transaction, divestiture/acquisition items, intangible impairments) whose composition changes materially every year. Building a reliable 10-year Non-GAAP bridge from this fragmented disclosure would require re-verifying a different, evolving set of one-off items each year, with high risk of inconsistency or fabrication. This model therefore presents only a computed EBITDA proxy (Operating income + D&amp;A) on the Derived Metrics sheet, not a GAAP-to-non-GAAP bridge matching MDLZ's own reported Adjusted metrics.</t>
        </is>
      </c>
    </row>
    <row r="42">
      <c r="A42" s="4" t="inlineStr">
        <is>
          <t>BS Detail sheet — not built</t>
        </is>
      </c>
    </row>
    <row r="43">
      <c r="A43" s="5" t="inlineStr">
        <is>
          <t>An optional BS Detail (footnote disaggregation) sheet was considered per the skill's Phase 4e pattern (goodwill by segment, intangibles by class, debt maturity schedule) but was not built in this pass given the scope of the 10-year + 6-quarter core statement build; the as-reported Balance Sheet face captures all consolidated line items needed for the balance and working-capital checks.</t>
        </is>
      </c>
    </row>
    <row r="45">
      <c r="A45" s="4" t="inlineStr">
        <is>
          <t>Segments</t>
        </is>
      </c>
    </row>
    <row r="46">
      <c r="A46" s="5" t="inlineStr">
        <is>
          <t>MDLZ reports four geographic operating segments — Latin America, AMEA (Asia, Middle East &amp; Africa), Europe, and North America — unchanged throughout FY2016-2025. Segment revenue ties exactly to consolidated Net revenues; the reconciliation to consolidated Operating income and Earnings before tax uses MDLZ's own reported bridge items (mark-to-market gains/losses on hedging, general corporate expenses, amortization of intangibles, gain on divestitures, acquisition-related costs).</t>
        </is>
      </c>
    </row>
    <row r="48">
      <c r="A48" s="4" t="inlineStr">
        <is>
          <t>Product categories</t>
        </is>
      </c>
    </row>
    <row r="49">
      <c r="A49" s="5" t="inlineStr">
        <is>
          <t>Product-category revenue by segment is presented for FY2023-FY2025 and 3Q2024 only. Prior years (FY2016-FY2022) use an incompatible product taxonomy in MDLZ's filings (no separate Gum &amp; Candy category, and only percentage-of-revenue breakdowns disclosed rather than dollar figures), so they are excluded rather than approximated.</t>
        </is>
      </c>
    </row>
    <row r="51">
      <c r="A51" s="4" t="inlineStr">
        <is>
          <t>Scope</t>
        </is>
      </c>
    </row>
    <row r="52">
      <c r="A52" s="5" t="inlineStr">
        <is>
          <t>This workbook is a mechanical financial-model / data-preparation artifact only. It contains no investment thesis, valuation opinion, price target, or buy/sell/hold recommendation.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2026-09-15T06:29:05Z</dcterms:created>
  <dcterms:modified xmlns:dcterms="http://purl.org/dc/terms/" xmlns:xsi="http://www.w3.org/2001/XMLSchema-instance" xsi:type="dcterms:W3CDTF">2026-09-15T06:29:05Z</dcterms:modified>
</cp:coreProperties>
</file>