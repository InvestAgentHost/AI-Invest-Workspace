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tccc/Desktop/AI Invest/Workspace/research/companies/US/LIN-linde/outputs/valuation-snapshots/2026-10-13/"/>
    </mc:Choice>
  </mc:AlternateContent>
  <xr:revisionPtr revIDLastSave="0" documentId="8_{E293A9EE-C0DB-BA46-816B-77795F638F87}" xr6:coauthVersionLast="47" xr6:coauthVersionMax="47" xr10:uidLastSave="{00000000-0000-0000-0000-000000000000}"/>
  <bookViews>
    <workbookView xWindow="0" yWindow="600" windowWidth="38400" windowHeight="19500" xr2:uid="{00000000-000D-0000-FFFF-FFFF00000000}"/>
  </bookViews>
  <sheets>
    <sheet name="Cover" sheetId="1" r:id="rId1"/>
    <sheet name="Income Statement" sheetId="2" r:id="rId2"/>
    <sheet name="Balance Sheet" sheetId="3" r:id="rId3"/>
    <sheet name="Cash Flow Statement" sheetId="4" r:id="rId4"/>
    <sheet name="Segments" sheetId="5" r:id="rId5"/>
    <sheet name="Operating Metrics" sheetId="6" r:id="rId6"/>
    <sheet name="Derived Metrics" sheetId="7" r:id="rId7"/>
    <sheet name="Consolidated" sheetId="11" r:id="rId8"/>
    <sheet name="End Markets" sheetId="12" r:id="rId9"/>
    <sheet name="Regional Segments" sheetId="13" r:id="rId10"/>
    <sheet name="Engineering &amp; Other" sheetId="14" r:id="rId11"/>
    <sheet name="Backlog &amp; Capital" sheetId="15" r:id="rId12"/>
    <sheet name="Guidance" sheetId="16" r:id="rId13"/>
    <sheet name="Electronics Deep Dive" sheetId="17" r:id="rId14"/>
    <sheet name="Sources" sheetId="8" r:id="rId15"/>
    <sheet name="Valuation Driver Build" sheetId="18" r:id="rId16"/>
    <sheet name="Year-End Valuation" sheetId="19" r:id="rId17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2" i="19" l="1"/>
  <c r="B41" i="19"/>
  <c r="C36" i="19"/>
  <c r="B36" i="19"/>
  <c r="C35" i="19"/>
  <c r="B35" i="19"/>
  <c r="G22" i="19"/>
  <c r="F22" i="19"/>
  <c r="E22" i="19"/>
  <c r="D22" i="19"/>
  <c r="C22" i="19"/>
  <c r="B22" i="19"/>
  <c r="G20" i="19"/>
  <c r="C31" i="19" s="1"/>
  <c r="F20" i="19"/>
  <c r="E20" i="19"/>
  <c r="D20" i="19"/>
  <c r="B31" i="19" s="1"/>
  <c r="C20" i="19"/>
  <c r="B20" i="19"/>
  <c r="G18" i="19"/>
  <c r="F18" i="19"/>
  <c r="E18" i="19"/>
  <c r="D18" i="19"/>
  <c r="C18" i="19"/>
  <c r="B18" i="19"/>
  <c r="C17" i="19"/>
  <c r="B17" i="19"/>
  <c r="G16" i="19"/>
  <c r="F16" i="19"/>
  <c r="E16" i="19"/>
  <c r="D16" i="19"/>
  <c r="C16" i="19"/>
  <c r="B16" i="19"/>
  <c r="B15" i="19"/>
  <c r="B21" i="19" s="1"/>
  <c r="B11" i="19"/>
  <c r="B8" i="19"/>
  <c r="Y20" i="18"/>
  <c r="X20" i="18"/>
  <c r="W20" i="18"/>
  <c r="V20" i="18"/>
  <c r="G20" i="18"/>
  <c r="Y19" i="18"/>
  <c r="X19" i="18"/>
  <c r="W19" i="18"/>
  <c r="V19" i="18"/>
  <c r="Y18" i="18"/>
  <c r="X18" i="18"/>
  <c r="W18" i="18"/>
  <c r="V18" i="18"/>
  <c r="D18" i="18"/>
  <c r="C18" i="18"/>
  <c r="Y17" i="18"/>
  <c r="X17" i="18"/>
  <c r="W17" i="18"/>
  <c r="V17" i="18"/>
  <c r="D17" i="18"/>
  <c r="C17" i="18"/>
  <c r="Y16" i="18"/>
  <c r="X16" i="18"/>
  <c r="W16" i="18"/>
  <c r="V16" i="18"/>
  <c r="U16" i="18"/>
  <c r="T16" i="18"/>
  <c r="S16" i="18"/>
  <c r="R16" i="18"/>
  <c r="Q16" i="18"/>
  <c r="P16" i="18"/>
  <c r="O16" i="18"/>
  <c r="N16" i="18"/>
  <c r="Y15" i="18"/>
  <c r="X15" i="18"/>
  <c r="W15" i="18"/>
  <c r="V15" i="18"/>
  <c r="U15" i="18"/>
  <c r="T15" i="18"/>
  <c r="S15" i="18"/>
  <c r="R15" i="18"/>
  <c r="Q15" i="18"/>
  <c r="P15" i="18"/>
  <c r="O15" i="18"/>
  <c r="N15" i="18"/>
  <c r="D15" i="18"/>
  <c r="C15" i="18"/>
  <c r="Y14" i="18"/>
  <c r="X14" i="18"/>
  <c r="W14" i="18"/>
  <c r="V14" i="18"/>
  <c r="S14" i="18"/>
  <c r="R14" i="18"/>
  <c r="Y13" i="18"/>
  <c r="X13" i="18"/>
  <c r="W13" i="18"/>
  <c r="V13" i="18"/>
  <c r="U13" i="18"/>
  <c r="T13" i="18"/>
  <c r="S13" i="18"/>
  <c r="R13" i="18"/>
  <c r="Q13" i="18"/>
  <c r="P13" i="18"/>
  <c r="O13" i="18"/>
  <c r="N13" i="18"/>
  <c r="D13" i="18"/>
  <c r="C13" i="18"/>
  <c r="F13" i="18" s="1"/>
  <c r="Y12" i="18"/>
  <c r="X12" i="18"/>
  <c r="W12" i="18"/>
  <c r="V12" i="18"/>
  <c r="U12" i="18"/>
  <c r="U14" i="18" s="1"/>
  <c r="T12" i="18"/>
  <c r="T14" i="18" s="1"/>
  <c r="S12" i="18"/>
  <c r="R12" i="18"/>
  <c r="Q12" i="18"/>
  <c r="P12" i="18"/>
  <c r="P14" i="18" s="1"/>
  <c r="O12" i="18"/>
  <c r="N12" i="18"/>
  <c r="G12" i="18"/>
  <c r="B7" i="19" s="1"/>
  <c r="D12" i="18"/>
  <c r="C12" i="18"/>
  <c r="Y10" i="18"/>
  <c r="Y11" i="18" s="1"/>
  <c r="X10" i="18"/>
  <c r="W10" i="18"/>
  <c r="V10" i="18"/>
  <c r="D10" i="18"/>
  <c r="D11" i="18" s="1"/>
  <c r="C10" i="18"/>
  <c r="Y9" i="18"/>
  <c r="X9" i="18"/>
  <c r="W9" i="18"/>
  <c r="V9" i="18"/>
  <c r="D9" i="18"/>
  <c r="C9" i="18"/>
  <c r="Y8" i="18"/>
  <c r="X8" i="18"/>
  <c r="W8" i="18"/>
  <c r="V8" i="18"/>
  <c r="F8" i="18"/>
  <c r="E8" i="18"/>
  <c r="D8" i="18"/>
  <c r="C8" i="18"/>
  <c r="Y7" i="18"/>
  <c r="X7" i="18"/>
  <c r="W7" i="18"/>
  <c r="W11" i="18" s="1"/>
  <c r="V7" i="18"/>
  <c r="U7" i="18"/>
  <c r="T7" i="18"/>
  <c r="S7" i="18"/>
  <c r="R7" i="18"/>
  <c r="Q7" i="18"/>
  <c r="P7" i="18"/>
  <c r="O7" i="18"/>
  <c r="N7" i="18"/>
  <c r="F7" i="18"/>
  <c r="E7" i="18"/>
  <c r="E16" i="18" s="1"/>
  <c r="D7" i="18"/>
  <c r="C7" i="18"/>
  <c r="G7" i="18" s="1"/>
  <c r="G16" i="18" s="1"/>
  <c r="N6" i="18"/>
  <c r="I61" i="7"/>
  <c r="C60" i="7"/>
  <c r="J54" i="7"/>
  <c r="I54" i="7"/>
  <c r="H54" i="7"/>
  <c r="G54" i="7"/>
  <c r="F54" i="7"/>
  <c r="E54" i="7"/>
  <c r="D54" i="7"/>
  <c r="C54" i="7"/>
  <c r="J47" i="7"/>
  <c r="I47" i="7"/>
  <c r="H47" i="7"/>
  <c r="G47" i="7"/>
  <c r="F47" i="7"/>
  <c r="E47" i="7"/>
  <c r="D47" i="7"/>
  <c r="C47" i="7"/>
  <c r="J44" i="7"/>
  <c r="I44" i="7"/>
  <c r="H44" i="7"/>
  <c r="G44" i="7"/>
  <c r="F44" i="7"/>
  <c r="E44" i="7"/>
  <c r="D44" i="7"/>
  <c r="C44" i="7"/>
  <c r="G34" i="7"/>
  <c r="J26" i="7"/>
  <c r="J24" i="7"/>
  <c r="I24" i="7"/>
  <c r="H24" i="7"/>
  <c r="G24" i="7"/>
  <c r="F24" i="7"/>
  <c r="E24" i="7"/>
  <c r="D24" i="7"/>
  <c r="C24" i="7"/>
  <c r="J11" i="7"/>
  <c r="A7" i="7"/>
  <c r="J24" i="6"/>
  <c r="I24" i="6"/>
  <c r="H24" i="6"/>
  <c r="G24" i="6"/>
  <c r="F24" i="6"/>
  <c r="E24" i="6"/>
  <c r="D24" i="6"/>
  <c r="J23" i="6"/>
  <c r="I23" i="6"/>
  <c r="H23" i="6"/>
  <c r="G23" i="6"/>
  <c r="F23" i="6"/>
  <c r="E23" i="6"/>
  <c r="D23" i="6"/>
  <c r="J22" i="6"/>
  <c r="I22" i="6"/>
  <c r="H22" i="6"/>
  <c r="G22" i="6"/>
  <c r="F22" i="6"/>
  <c r="E22" i="6"/>
  <c r="D22" i="6"/>
  <c r="J21" i="6"/>
  <c r="I21" i="6"/>
  <c r="H21" i="6"/>
  <c r="G21" i="6"/>
  <c r="F21" i="6"/>
  <c r="E21" i="6"/>
  <c r="D21" i="6"/>
  <c r="J18" i="6"/>
  <c r="I18" i="6"/>
  <c r="H18" i="6"/>
  <c r="G18" i="6"/>
  <c r="F18" i="6"/>
  <c r="E18" i="6"/>
  <c r="D18" i="6"/>
  <c r="J17" i="6"/>
  <c r="I17" i="6"/>
  <c r="H17" i="6"/>
  <c r="G17" i="6"/>
  <c r="F17" i="6"/>
  <c r="E17" i="6"/>
  <c r="D17" i="6"/>
  <c r="J16" i="6"/>
  <c r="I16" i="6"/>
  <c r="H16" i="6"/>
  <c r="G16" i="6"/>
  <c r="F16" i="6"/>
  <c r="E16" i="6"/>
  <c r="D16" i="6"/>
  <c r="J15" i="6"/>
  <c r="I15" i="6"/>
  <c r="H15" i="6"/>
  <c r="G15" i="6"/>
  <c r="F15" i="6"/>
  <c r="E15" i="6"/>
  <c r="D15" i="6"/>
  <c r="J14" i="6"/>
  <c r="I14" i="6"/>
  <c r="H14" i="6"/>
  <c r="G14" i="6"/>
  <c r="F14" i="6"/>
  <c r="E14" i="6"/>
  <c r="D14" i="6"/>
  <c r="D10" i="6"/>
  <c r="D11" i="6" s="1"/>
  <c r="C10" i="6"/>
  <c r="C11" i="6" s="1"/>
  <c r="A7" i="6"/>
  <c r="J67" i="5"/>
  <c r="I67" i="5"/>
  <c r="H67" i="5"/>
  <c r="G67" i="5"/>
  <c r="F67" i="5"/>
  <c r="E67" i="5"/>
  <c r="D67" i="5"/>
  <c r="C67" i="5"/>
  <c r="H58" i="5"/>
  <c r="H59" i="5" s="1"/>
  <c r="C58" i="5"/>
  <c r="C59" i="5" s="1"/>
  <c r="J56" i="5"/>
  <c r="J58" i="5" s="1"/>
  <c r="J59" i="5" s="1"/>
  <c r="I56" i="5"/>
  <c r="I58" i="5" s="1"/>
  <c r="I59" i="5" s="1"/>
  <c r="H56" i="5"/>
  <c r="G56" i="5"/>
  <c r="G58" i="5" s="1"/>
  <c r="G59" i="5" s="1"/>
  <c r="F56" i="5"/>
  <c r="F58" i="5" s="1"/>
  <c r="F59" i="5" s="1"/>
  <c r="E56" i="5"/>
  <c r="E58" i="5" s="1"/>
  <c r="E59" i="5" s="1"/>
  <c r="D56" i="5"/>
  <c r="D58" i="5" s="1"/>
  <c r="D59" i="5" s="1"/>
  <c r="C56" i="5"/>
  <c r="F41" i="5"/>
  <c r="E41" i="5"/>
  <c r="C41" i="5"/>
  <c r="J37" i="5"/>
  <c r="J10" i="6" s="1"/>
  <c r="J11" i="6" s="1"/>
  <c r="I37" i="5"/>
  <c r="I41" i="5" s="1"/>
  <c r="H37" i="5"/>
  <c r="H10" i="6" s="1"/>
  <c r="H11" i="6" s="1"/>
  <c r="G37" i="5"/>
  <c r="G10" i="6" s="1"/>
  <c r="G11" i="6" s="1"/>
  <c r="F37" i="5"/>
  <c r="F10" i="6" s="1"/>
  <c r="F11" i="6" s="1"/>
  <c r="E37" i="5"/>
  <c r="E10" i="6" s="1"/>
  <c r="E11" i="6" s="1"/>
  <c r="D37" i="5"/>
  <c r="D41" i="5" s="1"/>
  <c r="C37" i="5"/>
  <c r="G23" i="5"/>
  <c r="E23" i="5"/>
  <c r="D23" i="5"/>
  <c r="J22" i="5"/>
  <c r="J23" i="5" s="1"/>
  <c r="I22" i="5"/>
  <c r="I23" i="5" s="1"/>
  <c r="H22" i="5"/>
  <c r="H23" i="5" s="1"/>
  <c r="G22" i="5"/>
  <c r="F22" i="5"/>
  <c r="F23" i="5" s="1"/>
  <c r="E22" i="5"/>
  <c r="D22" i="5"/>
  <c r="C22" i="5"/>
  <c r="C23" i="5" s="1"/>
  <c r="A7" i="5"/>
  <c r="J64" i="4"/>
  <c r="I64" i="4"/>
  <c r="H64" i="4"/>
  <c r="G64" i="4"/>
  <c r="F64" i="4"/>
  <c r="E64" i="4"/>
  <c r="D64" i="4"/>
  <c r="C64" i="4"/>
  <c r="J52" i="4"/>
  <c r="I52" i="4"/>
  <c r="H52" i="4"/>
  <c r="G52" i="4"/>
  <c r="F52" i="4"/>
  <c r="E52" i="4"/>
  <c r="D52" i="4"/>
  <c r="C52" i="4"/>
  <c r="J47" i="4"/>
  <c r="I47" i="4"/>
  <c r="H47" i="4"/>
  <c r="G47" i="4"/>
  <c r="F47" i="4"/>
  <c r="E47" i="4"/>
  <c r="D47" i="4"/>
  <c r="C47" i="4"/>
  <c r="J38" i="4"/>
  <c r="I38" i="4"/>
  <c r="H38" i="4"/>
  <c r="G38" i="4"/>
  <c r="F38" i="4"/>
  <c r="E38" i="4"/>
  <c r="D38" i="4"/>
  <c r="C38" i="4"/>
  <c r="J18" i="4"/>
  <c r="I18" i="4"/>
  <c r="H18" i="4"/>
  <c r="G18" i="4"/>
  <c r="F18" i="4"/>
  <c r="E18" i="4"/>
  <c r="D18" i="4"/>
  <c r="C18" i="4"/>
  <c r="A7" i="4"/>
  <c r="J54" i="3"/>
  <c r="J61" i="7" s="1"/>
  <c r="I54" i="3"/>
  <c r="H54" i="3"/>
  <c r="H61" i="7" s="1"/>
  <c r="G54" i="3"/>
  <c r="G61" i="7" s="1"/>
  <c r="F54" i="3"/>
  <c r="F61" i="7" s="1"/>
  <c r="E54" i="3"/>
  <c r="E61" i="7" s="1"/>
  <c r="D54" i="3"/>
  <c r="D61" i="7" s="1"/>
  <c r="C54" i="3"/>
  <c r="C61" i="7" s="1"/>
  <c r="J53" i="3"/>
  <c r="J60" i="7" s="1"/>
  <c r="I53" i="3"/>
  <c r="I60" i="7" s="1"/>
  <c r="H53" i="3"/>
  <c r="H60" i="7" s="1"/>
  <c r="G53" i="3"/>
  <c r="G60" i="7" s="1"/>
  <c r="F53" i="3"/>
  <c r="F60" i="7" s="1"/>
  <c r="E53" i="3"/>
  <c r="E60" i="7" s="1"/>
  <c r="D53" i="3"/>
  <c r="D60" i="7" s="1"/>
  <c r="C53" i="3"/>
  <c r="J52" i="3"/>
  <c r="J59" i="7" s="1"/>
  <c r="I52" i="3"/>
  <c r="I59" i="7" s="1"/>
  <c r="H52" i="3"/>
  <c r="H55" i="3" s="1"/>
  <c r="H62" i="7" s="1"/>
  <c r="G52" i="3"/>
  <c r="G55" i="3" s="1"/>
  <c r="G62" i="7" s="1"/>
  <c r="F52" i="3"/>
  <c r="F59" i="7" s="1"/>
  <c r="E52" i="3"/>
  <c r="D52" i="3"/>
  <c r="C52" i="3"/>
  <c r="C59" i="7" s="1"/>
  <c r="D48" i="3"/>
  <c r="J46" i="3"/>
  <c r="J48" i="3" s="1"/>
  <c r="J29" i="7" s="1"/>
  <c r="I46" i="3"/>
  <c r="I48" i="3" s="1"/>
  <c r="H46" i="3"/>
  <c r="H26" i="7" s="1"/>
  <c r="G46" i="3"/>
  <c r="G26" i="7" s="1"/>
  <c r="F46" i="3"/>
  <c r="F48" i="3" s="1"/>
  <c r="F29" i="7" s="1"/>
  <c r="E46" i="3"/>
  <c r="E48" i="3" s="1"/>
  <c r="D46" i="3"/>
  <c r="D26" i="7" s="1"/>
  <c r="C46" i="3"/>
  <c r="C48" i="3" s="1"/>
  <c r="C29" i="7" s="1"/>
  <c r="J37" i="3"/>
  <c r="J32" i="3"/>
  <c r="J34" i="7" s="1"/>
  <c r="I32" i="3"/>
  <c r="I34" i="7" s="1"/>
  <c r="H32" i="3"/>
  <c r="H34" i="7" s="1"/>
  <c r="G32" i="3"/>
  <c r="G37" i="3" s="1"/>
  <c r="F32" i="3"/>
  <c r="F34" i="7" s="1"/>
  <c r="E32" i="3"/>
  <c r="E34" i="7" s="1"/>
  <c r="D32" i="3"/>
  <c r="D34" i="7" s="1"/>
  <c r="C32" i="3"/>
  <c r="C35" i="7" s="1"/>
  <c r="H23" i="3"/>
  <c r="C23" i="3"/>
  <c r="C21" i="7" s="1"/>
  <c r="J16" i="3"/>
  <c r="J23" i="3" s="1"/>
  <c r="I16" i="3"/>
  <c r="I23" i="3" s="1"/>
  <c r="H16" i="3"/>
  <c r="G16" i="3"/>
  <c r="G23" i="3" s="1"/>
  <c r="F16" i="3"/>
  <c r="F23" i="3" s="1"/>
  <c r="E16" i="3"/>
  <c r="D16" i="3"/>
  <c r="D33" i="7" s="1"/>
  <c r="C16" i="3"/>
  <c r="A7" i="3"/>
  <c r="K48" i="2"/>
  <c r="K47" i="2"/>
  <c r="J46" i="2"/>
  <c r="I46" i="2"/>
  <c r="H46" i="2"/>
  <c r="G46" i="2"/>
  <c r="F46" i="2"/>
  <c r="E46" i="2"/>
  <c r="D46" i="2"/>
  <c r="K45" i="2"/>
  <c r="J44" i="2"/>
  <c r="I44" i="2"/>
  <c r="H44" i="2"/>
  <c r="G44" i="2"/>
  <c r="F44" i="2"/>
  <c r="E44" i="2"/>
  <c r="D44" i="2"/>
  <c r="K43" i="2"/>
  <c r="K29" i="2"/>
  <c r="F23" i="2"/>
  <c r="F38" i="7" s="1"/>
  <c r="K19" i="2"/>
  <c r="K17" i="2"/>
  <c r="J15" i="2"/>
  <c r="H15" i="2"/>
  <c r="F15" i="2"/>
  <c r="J14" i="2"/>
  <c r="J23" i="2" s="1"/>
  <c r="J28" i="2" s="1"/>
  <c r="I14" i="2"/>
  <c r="I15" i="2" s="1"/>
  <c r="H14" i="2"/>
  <c r="H11" i="7" s="1"/>
  <c r="G14" i="2"/>
  <c r="G15" i="2" s="1"/>
  <c r="F14" i="2"/>
  <c r="F11" i="7" s="1"/>
  <c r="E14" i="2"/>
  <c r="E11" i="7" s="1"/>
  <c r="D14" i="2"/>
  <c r="D11" i="7" s="1"/>
  <c r="C14" i="2"/>
  <c r="C11" i="7" s="1"/>
  <c r="K13" i="2"/>
  <c r="J11" i="2"/>
  <c r="U6" i="18" s="1"/>
  <c r="I11" i="2"/>
  <c r="T6" i="18" s="1"/>
  <c r="H11" i="2"/>
  <c r="S6" i="18" s="1"/>
  <c r="G11" i="2"/>
  <c r="R6" i="18" s="1"/>
  <c r="F11" i="2"/>
  <c r="Q6" i="18" s="1"/>
  <c r="E11" i="2"/>
  <c r="P6" i="18" s="1"/>
  <c r="D11" i="2"/>
  <c r="O6" i="18" s="1"/>
  <c r="K10" i="2"/>
  <c r="A7" i="2"/>
  <c r="D15" i="2" l="1"/>
  <c r="F28" i="2"/>
  <c r="F31" i="2" s="1"/>
  <c r="F34" i="2" s="1"/>
  <c r="F37" i="2" s="1"/>
  <c r="D55" i="3"/>
  <c r="D62" i="7" s="1"/>
  <c r="E15" i="2"/>
  <c r="E55" i="3"/>
  <c r="E62" i="7" s="1"/>
  <c r="F15" i="18"/>
  <c r="F16" i="18" s="1"/>
  <c r="X11" i="18"/>
  <c r="D16" i="18"/>
  <c r="J25" i="7"/>
  <c r="I26" i="7"/>
  <c r="C11" i="18"/>
  <c r="D23" i="2"/>
  <c r="C33" i="7"/>
  <c r="V11" i="18"/>
  <c r="B19" i="19"/>
  <c r="F55" i="3"/>
  <c r="F62" i="7" s="1"/>
  <c r="F42" i="5"/>
  <c r="H23" i="2"/>
  <c r="I55" i="3"/>
  <c r="I62" i="7" s="1"/>
  <c r="H41" i="5"/>
  <c r="H42" i="5" s="1"/>
  <c r="H48" i="3"/>
  <c r="H29" i="7" s="1"/>
  <c r="I23" i="2"/>
  <c r="I38" i="7" s="1"/>
  <c r="O14" i="18"/>
  <c r="D17" i="19"/>
  <c r="E17" i="19" s="1"/>
  <c r="F17" i="19" s="1"/>
  <c r="G17" i="19" s="1"/>
  <c r="G23" i="2"/>
  <c r="G28" i="2" s="1"/>
  <c r="E33" i="7"/>
  <c r="G48" i="3"/>
  <c r="G29" i="7" s="1"/>
  <c r="F37" i="3"/>
  <c r="K14" i="2"/>
  <c r="H33" i="7"/>
  <c r="I37" i="3"/>
  <c r="I10" i="6"/>
  <c r="I11" i="6" s="1"/>
  <c r="G8" i="18"/>
  <c r="G9" i="18" s="1"/>
  <c r="C15" i="2"/>
  <c r="G31" i="2"/>
  <c r="G34" i="2" s="1"/>
  <c r="G37" i="2" s="1"/>
  <c r="G39" i="2" s="1"/>
  <c r="G15" i="7"/>
  <c r="G30" i="2"/>
  <c r="G20" i="7" s="1"/>
  <c r="J15" i="7"/>
  <c r="J30" i="2"/>
  <c r="J31" i="2"/>
  <c r="J34" i="2" s="1"/>
  <c r="J37" i="2" s="1"/>
  <c r="Q19" i="18"/>
  <c r="F10" i="4"/>
  <c r="F13" i="4" s="1"/>
  <c r="F30" i="4" s="1"/>
  <c r="F51" i="7" s="1"/>
  <c r="F18" i="7"/>
  <c r="F14" i="7"/>
  <c r="F41" i="2"/>
  <c r="F38" i="2"/>
  <c r="F19" i="7"/>
  <c r="Q20" i="18"/>
  <c r="Q10" i="18"/>
  <c r="Q11" i="18" s="1"/>
  <c r="J21" i="7"/>
  <c r="J30" i="7"/>
  <c r="J50" i="3"/>
  <c r="H21" i="7"/>
  <c r="I21" i="7"/>
  <c r="I30" i="7"/>
  <c r="I50" i="3"/>
  <c r="F21" i="7"/>
  <c r="F30" i="7"/>
  <c r="F50" i="3"/>
  <c r="G21" i="7"/>
  <c r="G30" i="7"/>
  <c r="G50" i="3"/>
  <c r="I29" i="7"/>
  <c r="D13" i="7"/>
  <c r="F33" i="7"/>
  <c r="D35" i="7"/>
  <c r="J38" i="7"/>
  <c r="D59" i="7"/>
  <c r="E12" i="18"/>
  <c r="E10" i="18" s="1"/>
  <c r="E11" i="18" s="1"/>
  <c r="Q14" i="18"/>
  <c r="G41" i="5"/>
  <c r="G42" i="5" s="1"/>
  <c r="D23" i="3"/>
  <c r="F24" i="2"/>
  <c r="Q9" i="18" s="1"/>
  <c r="E23" i="3"/>
  <c r="E29" i="7" s="1"/>
  <c r="C37" i="3"/>
  <c r="C50" i="3" s="1"/>
  <c r="C55" i="3"/>
  <c r="C62" i="7" s="1"/>
  <c r="J41" i="5"/>
  <c r="J42" i="5" s="1"/>
  <c r="G11" i="7"/>
  <c r="C26" i="7"/>
  <c r="G33" i="7"/>
  <c r="E35" i="7"/>
  <c r="E59" i="7"/>
  <c r="F12" i="18"/>
  <c r="F10" i="18" s="1"/>
  <c r="F11" i="18" s="1"/>
  <c r="C16" i="18"/>
  <c r="G24" i="2"/>
  <c r="R9" i="18" s="1"/>
  <c r="D37" i="3"/>
  <c r="F13" i="7"/>
  <c r="F35" i="7"/>
  <c r="C23" i="2"/>
  <c r="C42" i="5" s="1"/>
  <c r="H24" i="2"/>
  <c r="S9" i="18" s="1"/>
  <c r="E37" i="3"/>
  <c r="I11" i="7"/>
  <c r="E26" i="7"/>
  <c r="C30" i="7"/>
  <c r="I33" i="7"/>
  <c r="G35" i="7"/>
  <c r="G59" i="7"/>
  <c r="G6" i="18"/>
  <c r="H7" i="18"/>
  <c r="O8" i="18"/>
  <c r="H12" i="18"/>
  <c r="I12" i="18" s="1"/>
  <c r="J12" i="18" s="1"/>
  <c r="K12" i="18" s="1"/>
  <c r="L12" i="18" s="1"/>
  <c r="H13" i="7"/>
  <c r="F15" i="7"/>
  <c r="J20" i="7"/>
  <c r="F26" i="7"/>
  <c r="J33" i="7"/>
  <c r="H35" i="7"/>
  <c r="H59" i="7"/>
  <c r="E23" i="2"/>
  <c r="J24" i="2"/>
  <c r="U9" i="18" s="1"/>
  <c r="I13" i="7"/>
  <c r="C34" i="7"/>
  <c r="I35" i="7"/>
  <c r="Q8" i="18"/>
  <c r="I24" i="2"/>
  <c r="T9" i="18" s="1"/>
  <c r="F30" i="2"/>
  <c r="F20" i="7" s="1"/>
  <c r="H37" i="3"/>
  <c r="H50" i="3" s="1"/>
  <c r="D12" i="7"/>
  <c r="J13" i="7"/>
  <c r="J35" i="7"/>
  <c r="R8" i="18"/>
  <c r="J55" i="3"/>
  <c r="J62" i="7" s="1"/>
  <c r="F12" i="7"/>
  <c r="D25" i="7"/>
  <c r="H30" i="7"/>
  <c r="D38" i="7"/>
  <c r="T8" i="18"/>
  <c r="G12" i="7"/>
  <c r="U8" i="18"/>
  <c r="F25" i="7"/>
  <c r="H12" i="7"/>
  <c r="K23" i="2"/>
  <c r="H28" i="2"/>
  <c r="G38" i="7"/>
  <c r="J12" i="7"/>
  <c r="I42" i="5" l="1"/>
  <c r="I25" i="7"/>
  <c r="H38" i="7"/>
  <c r="S8" i="18"/>
  <c r="H25" i="7"/>
  <c r="G25" i="7"/>
  <c r="I28" i="2"/>
  <c r="I15" i="7" s="1"/>
  <c r="D24" i="2"/>
  <c r="O9" i="18" s="1"/>
  <c r="D28" i="2"/>
  <c r="I12" i="7"/>
  <c r="G13" i="7"/>
  <c r="D42" i="5"/>
  <c r="D29" i="7"/>
  <c r="H15" i="7"/>
  <c r="H30" i="2"/>
  <c r="H20" i="7" s="1"/>
  <c r="H31" i="2"/>
  <c r="H34" i="2" s="1"/>
  <c r="H37" i="2" s="1"/>
  <c r="G10" i="18"/>
  <c r="F42" i="7"/>
  <c r="F43" i="7"/>
  <c r="F55" i="4"/>
  <c r="F58" i="4" s="1"/>
  <c r="F60" i="4" s="1"/>
  <c r="F50" i="7"/>
  <c r="F39" i="7"/>
  <c r="F62" i="4"/>
  <c r="F31" i="4"/>
  <c r="J41" i="2"/>
  <c r="J38" i="2"/>
  <c r="J19" i="7"/>
  <c r="U20" i="18"/>
  <c r="U10" i="18"/>
  <c r="U11" i="18" s="1"/>
  <c r="U19" i="18"/>
  <c r="J10" i="4"/>
  <c r="J13" i="4" s="1"/>
  <c r="J30" i="4" s="1"/>
  <c r="J51" i="7" s="1"/>
  <c r="J18" i="7"/>
  <c r="J14" i="7"/>
  <c r="H15" i="18"/>
  <c r="H8" i="18"/>
  <c r="H10" i="18"/>
  <c r="I7" i="18"/>
  <c r="E38" i="7"/>
  <c r="E25" i="7"/>
  <c r="E28" i="2"/>
  <c r="E12" i="7"/>
  <c r="P8" i="18"/>
  <c r="E42" i="5"/>
  <c r="E13" i="7"/>
  <c r="E24" i="2"/>
  <c r="P9" i="18" s="1"/>
  <c r="E50" i="3"/>
  <c r="E21" i="7"/>
  <c r="E30" i="7"/>
  <c r="C13" i="7"/>
  <c r="C24" i="2"/>
  <c r="N9" i="18" s="1"/>
  <c r="C38" i="7"/>
  <c r="C25" i="7"/>
  <c r="C28" i="2"/>
  <c r="C12" i="7"/>
  <c r="N8" i="18"/>
  <c r="D50" i="3"/>
  <c r="D21" i="7"/>
  <c r="D30" i="7"/>
  <c r="G18" i="7"/>
  <c r="G41" i="2"/>
  <c r="G14" i="7"/>
  <c r="G19" i="7"/>
  <c r="G38" i="2"/>
  <c r="R20" i="18"/>
  <c r="R10" i="18"/>
  <c r="R11" i="18" s="1"/>
  <c r="G55" i="7"/>
  <c r="G10" i="4"/>
  <c r="G13" i="4" s="1"/>
  <c r="G30" i="4" s="1"/>
  <c r="G51" i="7" s="1"/>
  <c r="R19" i="18"/>
  <c r="D31" i="2" l="1"/>
  <c r="D34" i="2" s="1"/>
  <c r="D37" i="2" s="1"/>
  <c r="D30" i="2"/>
  <c r="D20" i="7" s="1"/>
  <c r="D15" i="7"/>
  <c r="I31" i="2"/>
  <c r="I34" i="2" s="1"/>
  <c r="I37" i="2" s="1"/>
  <c r="J55" i="7" s="1"/>
  <c r="I30" i="2"/>
  <c r="I20" i="7" s="1"/>
  <c r="E31" i="2"/>
  <c r="E34" i="2" s="1"/>
  <c r="E37" i="2" s="1"/>
  <c r="E15" i="7"/>
  <c r="E30" i="2"/>
  <c r="E20" i="7" s="1"/>
  <c r="I14" i="7"/>
  <c r="I41" i="2"/>
  <c r="I38" i="2"/>
  <c r="I19" i="7"/>
  <c r="T20" i="18"/>
  <c r="J39" i="2"/>
  <c r="I10" i="4"/>
  <c r="I13" i="4" s="1"/>
  <c r="I30" i="4" s="1"/>
  <c r="I51" i="7" s="1"/>
  <c r="I18" i="7"/>
  <c r="I15" i="18"/>
  <c r="I8" i="18"/>
  <c r="I10" i="18"/>
  <c r="J7" i="18"/>
  <c r="B24" i="19"/>
  <c r="G11" i="18"/>
  <c r="G18" i="18"/>
  <c r="B23" i="19" s="1"/>
  <c r="H14" i="7"/>
  <c r="H38" i="2"/>
  <c r="H41" i="2"/>
  <c r="H19" i="7"/>
  <c r="I39" i="2"/>
  <c r="S20" i="18"/>
  <c r="S10" i="18"/>
  <c r="S11" i="18" s="1"/>
  <c r="H55" i="7"/>
  <c r="S19" i="18"/>
  <c r="H10" i="4"/>
  <c r="H13" i="4" s="1"/>
  <c r="H30" i="4" s="1"/>
  <c r="H51" i="7" s="1"/>
  <c r="H18" i="7"/>
  <c r="F45" i="7"/>
  <c r="F66" i="4"/>
  <c r="Q17" i="18" s="1"/>
  <c r="F65" i="4"/>
  <c r="F46" i="7"/>
  <c r="Q18" i="18"/>
  <c r="G42" i="7"/>
  <c r="G56" i="7"/>
  <c r="G55" i="4"/>
  <c r="G58" i="4" s="1"/>
  <c r="G60" i="4" s="1"/>
  <c r="G43" i="7"/>
  <c r="G50" i="7"/>
  <c r="G39" i="7"/>
  <c r="G62" i="4"/>
  <c r="G63" i="4" s="1"/>
  <c r="G31" i="4"/>
  <c r="H13" i="18"/>
  <c r="H18" i="18"/>
  <c r="C23" i="19" s="1"/>
  <c r="C24" i="19"/>
  <c r="C31" i="2"/>
  <c r="C34" i="2" s="1"/>
  <c r="C37" i="2" s="1"/>
  <c r="C15" i="7"/>
  <c r="C30" i="2"/>
  <c r="C20" i="7" s="1"/>
  <c r="J55" i="4"/>
  <c r="J58" i="4" s="1"/>
  <c r="J60" i="4" s="1"/>
  <c r="J43" i="7"/>
  <c r="J50" i="7"/>
  <c r="J39" i="7"/>
  <c r="J62" i="4"/>
  <c r="J31" i="4"/>
  <c r="J42" i="7"/>
  <c r="H39" i="2"/>
  <c r="T19" i="18" l="1"/>
  <c r="I55" i="7"/>
  <c r="T10" i="18"/>
  <c r="T11" i="18" s="1"/>
  <c r="O10" i="18"/>
  <c r="O11" i="18" s="1"/>
  <c r="O19" i="18"/>
  <c r="D10" i="4"/>
  <c r="D13" i="4" s="1"/>
  <c r="D30" i="4" s="1"/>
  <c r="D14" i="7"/>
  <c r="D38" i="2"/>
  <c r="D41" i="2"/>
  <c r="D19" i="7"/>
  <c r="O20" i="18"/>
  <c r="D18" i="7"/>
  <c r="D51" i="7"/>
  <c r="J45" i="7"/>
  <c r="J66" i="4"/>
  <c r="U17" i="18" s="1"/>
  <c r="J46" i="7"/>
  <c r="U18" i="18"/>
  <c r="J65" i="4"/>
  <c r="H20" i="18"/>
  <c r="C15" i="19"/>
  <c r="J8" i="18"/>
  <c r="J10" i="18"/>
  <c r="K7" i="18"/>
  <c r="J15" i="18"/>
  <c r="I56" i="7"/>
  <c r="I55" i="4"/>
  <c r="I58" i="4" s="1"/>
  <c r="I60" i="4" s="1"/>
  <c r="I43" i="7"/>
  <c r="I50" i="7"/>
  <c r="I39" i="7"/>
  <c r="I62" i="4"/>
  <c r="I31" i="4"/>
  <c r="I42" i="7"/>
  <c r="G65" i="4"/>
  <c r="G45" i="7"/>
  <c r="G66" i="4"/>
  <c r="R17" i="18" s="1"/>
  <c r="G46" i="7"/>
  <c r="R18" i="18"/>
  <c r="J56" i="7"/>
  <c r="I13" i="18"/>
  <c r="I18" i="18"/>
  <c r="D23" i="19" s="1"/>
  <c r="D24" i="19"/>
  <c r="D39" i="2"/>
  <c r="N10" i="18"/>
  <c r="N11" i="18" s="1"/>
  <c r="C55" i="7"/>
  <c r="N19" i="18"/>
  <c r="C10" i="4"/>
  <c r="C13" i="4" s="1"/>
  <c r="C30" i="4" s="1"/>
  <c r="C18" i="7"/>
  <c r="C14" i="7"/>
  <c r="C41" i="2"/>
  <c r="C38" i="2"/>
  <c r="C19" i="7"/>
  <c r="N20" i="18"/>
  <c r="C51" i="7"/>
  <c r="D55" i="7"/>
  <c r="H55" i="4"/>
  <c r="H58" i="4" s="1"/>
  <c r="H60" i="4" s="1"/>
  <c r="H56" i="7"/>
  <c r="H43" i="7"/>
  <c r="H50" i="7"/>
  <c r="H39" i="7"/>
  <c r="H62" i="4"/>
  <c r="H63" i="4" s="1"/>
  <c r="H31" i="4"/>
  <c r="H42" i="7"/>
  <c r="P10" i="18"/>
  <c r="P11" i="18" s="1"/>
  <c r="E55" i="7"/>
  <c r="P19" i="18"/>
  <c r="E18" i="7"/>
  <c r="E14" i="7"/>
  <c r="E41" i="2"/>
  <c r="E19" i="7"/>
  <c r="E10" i="4"/>
  <c r="E13" i="4" s="1"/>
  <c r="E30" i="4" s="1"/>
  <c r="E51" i="7" s="1"/>
  <c r="P20" i="18"/>
  <c r="F39" i="2"/>
  <c r="E38" i="2"/>
  <c r="F55" i="7"/>
  <c r="E39" i="2"/>
  <c r="D42" i="7" l="1"/>
  <c r="D55" i="4"/>
  <c r="D58" i="4" s="1"/>
  <c r="D60" i="4" s="1"/>
  <c r="D39" i="7"/>
  <c r="D31" i="4"/>
  <c r="D43" i="7"/>
  <c r="D50" i="7"/>
  <c r="D62" i="4"/>
  <c r="K10" i="18"/>
  <c r="L7" i="18"/>
  <c r="K15" i="18"/>
  <c r="K8" i="18"/>
  <c r="I20" i="18"/>
  <c r="D15" i="19"/>
  <c r="J13" i="18"/>
  <c r="J18" i="18"/>
  <c r="E23" i="19" s="1"/>
  <c r="E24" i="19"/>
  <c r="C19" i="19"/>
  <c r="C21" i="19"/>
  <c r="I63" i="4"/>
  <c r="H45" i="7"/>
  <c r="H66" i="4"/>
  <c r="S17" i="18" s="1"/>
  <c r="H46" i="7"/>
  <c r="S18" i="18"/>
  <c r="H65" i="4"/>
  <c r="I45" i="7"/>
  <c r="I66" i="4"/>
  <c r="T17" i="18" s="1"/>
  <c r="I46" i="7"/>
  <c r="T18" i="18"/>
  <c r="I65" i="4"/>
  <c r="J63" i="4"/>
  <c r="C42" i="7"/>
  <c r="C56" i="7"/>
  <c r="C55" i="4"/>
  <c r="C58" i="4" s="1"/>
  <c r="C60" i="4" s="1"/>
  <c r="C43" i="7"/>
  <c r="C50" i="7"/>
  <c r="C39" i="7"/>
  <c r="C62" i="4"/>
  <c r="C31" i="4"/>
  <c r="D56" i="7"/>
  <c r="E42" i="7"/>
  <c r="E56" i="7"/>
  <c r="E55" i="4"/>
  <c r="E58" i="4" s="1"/>
  <c r="E60" i="4" s="1"/>
  <c r="E43" i="7"/>
  <c r="E50" i="7"/>
  <c r="E39" i="7"/>
  <c r="E62" i="4"/>
  <c r="E31" i="4"/>
  <c r="F56" i="7"/>
  <c r="D45" i="7" l="1"/>
  <c r="D66" i="4"/>
  <c r="O17" i="18" s="1"/>
  <c r="D46" i="7"/>
  <c r="D65" i="4"/>
  <c r="O18" i="18"/>
  <c r="C42" i="19"/>
  <c r="C41" i="19"/>
  <c r="J20" i="18"/>
  <c r="E15" i="19"/>
  <c r="E65" i="4"/>
  <c r="F63" i="4"/>
  <c r="E45" i="7"/>
  <c r="E66" i="4"/>
  <c r="P17" i="18" s="1"/>
  <c r="E46" i="7"/>
  <c r="P18" i="18"/>
  <c r="E63" i="4"/>
  <c r="D19" i="19"/>
  <c r="B33" i="19" s="1"/>
  <c r="D21" i="19"/>
  <c r="B32" i="19" s="1"/>
  <c r="B30" i="19"/>
  <c r="C46" i="7"/>
  <c r="N18" i="18"/>
  <c r="C65" i="4"/>
  <c r="D63" i="4"/>
  <c r="C45" i="7"/>
  <c r="C66" i="4"/>
  <c r="N17" i="18" s="1"/>
  <c r="L10" i="18"/>
  <c r="L15" i="18"/>
  <c r="L8" i="18"/>
  <c r="K13" i="18"/>
  <c r="K18" i="18"/>
  <c r="F23" i="19" s="1"/>
  <c r="F24" i="19"/>
  <c r="K20" i="18" l="1"/>
  <c r="F15" i="19"/>
  <c r="L13" i="18"/>
  <c r="L18" i="18"/>
  <c r="G23" i="19" s="1"/>
  <c r="G24" i="19"/>
  <c r="D42" i="19"/>
  <c r="D41" i="19"/>
  <c r="E21" i="19"/>
  <c r="E19" i="19"/>
  <c r="B34" i="19"/>
  <c r="E41" i="19" l="1"/>
  <c r="F21" i="19"/>
  <c r="F19" i="19"/>
  <c r="F41" i="19" s="1"/>
  <c r="L20" i="18"/>
  <c r="G15" i="19"/>
  <c r="C30" i="19" l="1"/>
  <c r="G19" i="19"/>
  <c r="G21" i="19"/>
  <c r="C32" i="19" s="1"/>
  <c r="C34" i="19"/>
  <c r="G41" i="19" l="1"/>
  <c r="C33" i="19"/>
</calcChain>
</file>

<file path=xl/sharedStrings.xml><?xml version="1.0" encoding="utf-8"?>
<sst xmlns="http://schemas.openxmlformats.org/spreadsheetml/2006/main" count="1043" uniqueCount="605">
  <si>
    <t>Linde plc — Cover</t>
  </si>
  <si>
    <t>$ in millions except per-share data  |  USD  |  as of 2026-09-15</t>
  </si>
  <si>
    <t>Linde plc (NYSE: LIN) - Financial Model</t>
  </si>
  <si>
    <t>Company information</t>
  </si>
  <si>
    <t>Ticker</t>
  </si>
  <si>
    <t>LIN</t>
  </si>
  <si>
    <t>Exchange</t>
  </si>
  <si>
    <t>NYSE</t>
  </si>
  <si>
    <t>CIK</t>
  </si>
  <si>
    <t>0001707925</t>
  </si>
  <si>
    <t>Sector / Industry</t>
  </si>
  <si>
    <t>Materials / Industrial Gases</t>
  </si>
  <si>
    <t>Reporting currency</t>
  </si>
  <si>
    <t>USD</t>
  </si>
  <si>
    <t>Units</t>
  </si>
  <si>
    <t>$ in millions, except per-share data</t>
  </si>
  <si>
    <t>Reporting framework</t>
  </si>
  <si>
    <t>US GAAP</t>
  </si>
  <si>
    <t>Consolidation scope</t>
  </si>
  <si>
    <t>Consolidated (Linde plc and subsidiaries)</t>
  </si>
  <si>
    <t>Fiscal year end</t>
  </si>
  <si>
    <t>December 31</t>
  </si>
  <si>
    <t>Periods covered</t>
  </si>
  <si>
    <t>FY2018 - FY2025 (annual, 8 fiscal years)</t>
  </si>
  <si>
    <t>Model date</t>
  </si>
  <si>
    <t>2026-09-15</t>
  </si>
  <si>
    <t>Data source</t>
  </si>
  <si>
    <t>SEC Form 10-K filings, Tier 2 primary source (source.html / prepared/document.md)</t>
  </si>
  <si>
    <t>Color legend</t>
  </si>
  <si>
    <t>Blue</t>
  </si>
  <si>
    <t>Hardcoded reported value (input, traces to a 10-K)</t>
  </si>
  <si>
    <t>Black</t>
  </si>
  <si>
    <t>Formula / calculation (subtotal, calc, check)</t>
  </si>
  <si>
    <t>Green</t>
  </si>
  <si>
    <t>Cross-sheet link</t>
  </si>
  <si>
    <t>Grey italic</t>
  </si>
  <si>
    <t>Memo / commentary (margins, ratios, growth rates)</t>
  </si>
  <si>
    <t>Sheet directory</t>
  </si>
  <si>
    <t>Income Statement</t>
  </si>
  <si>
    <t>IS tab</t>
  </si>
  <si>
    <t>Balance Sheet</t>
  </si>
  <si>
    <t>BS tab</t>
  </si>
  <si>
    <t>Cash Flow Statement</t>
  </si>
  <si>
    <t>CF tab</t>
  </si>
  <si>
    <t>Segments</t>
  </si>
  <si>
    <t>SEG tab</t>
  </si>
  <si>
    <t>Operating Metrics</t>
  </si>
  <si>
    <t>OM tab</t>
  </si>
  <si>
    <t>Derived Metrics</t>
  </si>
  <si>
    <t>DM tab</t>
  </si>
  <si>
    <t>Sources</t>
  </si>
  <si>
    <t>Sources tab</t>
  </si>
  <si>
    <t>Comparability notes</t>
  </si>
  <si>
    <t>1. Segment redefinition (FY2018 -&gt; FY2019)</t>
  </si>
  <si>
    <t>FY2018 reflects legacy Praxair geographic segments (North America / Europe / South America / Asia / Surface Technologies) plus a separate Linde AG stub, because a 2018 FTC hold-separate order delayed full merger integration. From FY2019, Linde reports on the Americas / EMEA / APAC / Engineering / Other framework, retrospectively recast. The Segments sheet models both structures with min/max period tags; segment totals tie exactly to consolidated Sales and Operating Profit in every year (see SEG tab checks).</t>
  </si>
  <si>
    <t>2. Retained earnings / treasury stock discontinuity (FY2022 -&gt; FY2023)</t>
  </si>
  <si>
    <t>Retained earnings fell from $20,541mm (FY2022) to $8,845mm (FY2023) and treasury stock fell from $(14,737)mm to $(3,133)mm. This is not a restatement or error: the FY2023 Statement of Equity (as shown comparatively in the FY2024 and FY2025 10-Ks) discloses an 'Intercompany reorganization (Note 14)' retiring 61.2 million treasury shares (cost basis $15,300mm) against retained earnings. Total balance sheet equity and Total Assets = Total Liabilities + Equity tie out in every year.</t>
  </si>
  <si>
    <t>3. Scope: Geography, Note Schedules, and BS Detail sheets not built separately</t>
  </si>
  <si>
    <t>The bundle-only collector output classified most non-statement source tables (planned Geography, Note Schedules, and Balance Sheet Detail content) under generic, uninformative block titles that could not be reliably attributed to a specific disclosure without extensive per-table manual inspection. Rather than populate these sheets with low-confidence or unlabeled data, geography content was folded into the Segments sheet (Linde's segments are themselves geographic) and Note Schedules / Balance Sheet Detail were omitted. Segment capital expenditures ('expenditures for long-lived assets') are disclosed on a consistent basis only for FY2023-FY2025 in the companies' own 10-Ks (FY2018-FY2019 used a different, combined 'capex and acquisitions' basis; FY2020-FY2022 10-Ks did not disclose segment capex at all) - the Segments tab shows only the three consistent years rather than mixing bases or estimating. Sales-by-major-country is disclosed for FY2018-FY2019 and FY2023-FY2025 (6 of 8 years, with a FY2020-FY2022 gap in that specific disclosure) and was not incorporated as a separate block given the gap and the already-broad scope of the Segments sheet.</t>
  </si>
  <si>
    <t>Linde plc — Income Statement</t>
  </si>
  <si>
    <t>FY2018</t>
  </si>
  <si>
    <t>FY2019</t>
  </si>
  <si>
    <t>FY2020</t>
  </si>
  <si>
    <t>FY2021</t>
  </si>
  <si>
    <t>FY2022</t>
  </si>
  <si>
    <t>FY2023</t>
  </si>
  <si>
    <t>FY2024</t>
  </si>
  <si>
    <t>FY2025</t>
  </si>
  <si>
    <t>CONTENTS</t>
  </si>
  <si>
    <t>1. Consolidated Income Statement</t>
  </si>
  <si>
    <t>19-25 cagr</t>
  </si>
  <si>
    <t>Sales</t>
  </si>
  <si>
    <t>Sales growth %</t>
  </si>
  <si>
    <t>Cost of sales (excl. D&amp;A)</t>
  </si>
  <si>
    <t>Gross Profit</t>
  </si>
  <si>
    <t>Gross margin %</t>
  </si>
  <si>
    <t>Selling, general and administrative expenses</t>
  </si>
  <si>
    <t>Research and development</t>
  </si>
  <si>
    <t>Depreciation and amortization</t>
  </si>
  <si>
    <t>Cost reduction / restructuring / transaction charges (Note 3)</t>
  </si>
  <si>
    <t>Label varies by year: Transaction/merger costs (2018), Cost reduction programs and other charges (2019-2021, 2023-2025), Russia-Ukraine related charges (2022).</t>
  </si>
  <si>
    <t>Net gain on sale of businesses</t>
  </si>
  <si>
    <t>Gains from divestitures required by FTC merger-clearance order; material only FY2018-FY2019.</t>
  </si>
  <si>
    <t>Other (income) expense - net</t>
  </si>
  <si>
    <t>Operating Profit</t>
  </si>
  <si>
    <t>Operating margin %</t>
  </si>
  <si>
    <t>Interest expense - net</t>
  </si>
  <si>
    <t>Net pension/OPEB (benefit) cost, excl. service cost</t>
  </si>
  <si>
    <t>Income Before Income Taxes and Equity Investments</t>
  </si>
  <si>
    <t>Income taxes</t>
  </si>
  <si>
    <t>Effective tax rate %</t>
  </si>
  <si>
    <t>Income Before Equity Investments</t>
  </si>
  <si>
    <t>Income from equity investments</t>
  </si>
  <si>
    <t>Income from discontinued operations, net of tax</t>
  </si>
  <si>
    <t>Material only FY2018-FY2021; nil/not presented thereafter.</t>
  </si>
  <si>
    <t>Net Income (Including Noncontrolling Interests)</t>
  </si>
  <si>
    <t>Less: noncontrolling interests</t>
  </si>
  <si>
    <t>Less: noncontrolling interests from discontinued operations</t>
  </si>
  <si>
    <t>Net Income - Linde plc</t>
  </si>
  <si>
    <t>Net margin %</t>
  </si>
  <si>
    <t>Net income growth %</t>
  </si>
  <si>
    <t>Check: computed Net Income - Linde plc vs. reported</t>
  </si>
  <si>
    <t>Basic earnings per share</t>
  </si>
  <si>
    <t>Basic EPS growth %</t>
  </si>
  <si>
    <t>Diluted earnings per share</t>
  </si>
  <si>
    <t>Diluted EPS growth %</t>
  </si>
  <si>
    <t>Weighted average shares - basic (thousands)</t>
  </si>
  <si>
    <t>Weighted average shares - diluted (thousands)</t>
  </si>
  <si>
    <t>Linde plc — Balance Sheet</t>
  </si>
  <si>
    <t>1. Consolidated Balance Sheet</t>
  </si>
  <si>
    <t>Cash and cash equivalents</t>
  </si>
  <si>
    <t>Trade accounts receivable - net</t>
  </si>
  <si>
    <t>Contract assets</t>
  </si>
  <si>
    <t>Inventories</t>
  </si>
  <si>
    <t>Assets held for sale</t>
  </si>
  <si>
    <t>Businesses divested to satisfy FTC merger-clearance order; resolved by FY2020.</t>
  </si>
  <si>
    <t>Prepaid and other current assets</t>
  </si>
  <si>
    <t>Total Current Assets</t>
  </si>
  <si>
    <t>Property, plant and equipment - net</t>
  </si>
  <si>
    <t>Equity investments</t>
  </si>
  <si>
    <t>Goodwill</t>
  </si>
  <si>
    <t>Other intangible assets - net</t>
  </si>
  <si>
    <t>Other long-term assets</t>
  </si>
  <si>
    <t>Total Assets</t>
  </si>
  <si>
    <t>Trade accounts payable</t>
  </si>
  <si>
    <t>Short-term debt</t>
  </si>
  <si>
    <t>Current portion of long-term debt</t>
  </si>
  <si>
    <t>Contract liabilities</t>
  </si>
  <si>
    <t>Accrued taxes</t>
  </si>
  <si>
    <t>Liabilities held for sale</t>
  </si>
  <si>
    <t>Other current liabilities</t>
  </si>
  <si>
    <t>Total Current Liabilities</t>
  </si>
  <si>
    <t>Long-term debt</t>
  </si>
  <si>
    <t>Other long-term liabilities</t>
  </si>
  <si>
    <t>Deferred credits</t>
  </si>
  <si>
    <t>Total Liabilities</t>
  </si>
  <si>
    <t>Redeemable noncontrolling interests</t>
  </si>
  <si>
    <t>Ordinary shares (par value)</t>
  </si>
  <si>
    <t>Additional paid-in capital</t>
  </si>
  <si>
    <t>Retained earnings</t>
  </si>
  <si>
    <t>FY2023 drop vs FY2022 reflects an intercompany reorganization (Note 14): retirement of treasury shares against retained earnings, not a restatement or error.</t>
  </si>
  <si>
    <t>Accumulated other comprehensive income (loss)</t>
  </si>
  <si>
    <t>Treasury stock, at cost</t>
  </si>
  <si>
    <t>FY2023 drop vs FY2022 reflects the same intercompany reorganization (Note 14) treasury-share retirement.</t>
  </si>
  <si>
    <t>Total Linde plc Shareholders' Equity</t>
  </si>
  <si>
    <t>Noncontrolling interests</t>
  </si>
  <si>
    <t>Total Equity</t>
  </si>
  <si>
    <t>Check: Total Assets - Total Liabilities - Redeemable NCI - Total Equity</t>
  </si>
  <si>
    <t>Days Sales Outstanding (DSO)</t>
  </si>
  <si>
    <t>Days Inventory Outstanding (DIO)</t>
  </si>
  <si>
    <t>Days Payable Outstanding (DPO)</t>
  </si>
  <si>
    <t>Cash Conversion Cycle (CCC)</t>
  </si>
  <si>
    <t>Linde plc — Cash Flow Statement</t>
  </si>
  <si>
    <t>1. Consolidated Statement of Cash Flows</t>
  </si>
  <si>
    <t>Net income - Linde plc</t>
  </si>
  <si>
    <t>Less: income from discontinued operations, net of tax and NCI</t>
  </si>
  <si>
    <t>Add: noncontrolling interests</t>
  </si>
  <si>
    <t>Cost reduction / restructuring / geopolitical charges, net of payments</t>
  </si>
  <si>
    <t>Amortization of inventory step-up</t>
  </si>
  <si>
    <t>U.S. Tax Act re-measurement charge</t>
  </si>
  <si>
    <t>Deferred income taxes</t>
  </si>
  <si>
    <t>Share-based compensation</t>
  </si>
  <si>
    <t>Net gain on sale of businesses, net of tax</t>
  </si>
  <si>
    <t>Other non-cash items</t>
  </si>
  <si>
    <t>(Increase) decrease in accounts receivable</t>
  </si>
  <si>
    <t>Contract assets and liabilities, net</t>
  </si>
  <si>
    <t>(Increase) decrease in inventories</t>
  </si>
  <si>
    <t>(Increase) decrease in prepaid and other current assets</t>
  </si>
  <si>
    <t>Increase (decrease) in accounts payable</t>
  </si>
  <si>
    <t>Pension and OPEB contributions</t>
  </si>
  <si>
    <t>Other long-term assets and liabilities, net</t>
  </si>
  <si>
    <t>Net Cash Provided by Operating Activities</t>
  </si>
  <si>
    <t>CFO margin %</t>
  </si>
  <si>
    <t>Capital expenditures</t>
  </si>
  <si>
    <t>Acquisitions, net of cash acquired</t>
  </si>
  <si>
    <t>Divestitures / proceeds from sale of assets</t>
  </si>
  <si>
    <t>Cash acquired in Linde AG / Praxair merger</t>
  </si>
  <si>
    <t>Other investing activities, net</t>
  </si>
  <si>
    <t>Net Cash (Used in) Provided by Investing Activities</t>
  </si>
  <si>
    <t>Net change in short-term debt</t>
  </si>
  <si>
    <t>Long-term debt borrowings</t>
  </si>
  <si>
    <t>Long-term debt repayments</t>
  </si>
  <si>
    <t>Proceeds from issuance of ordinary shares</t>
  </si>
  <si>
    <t>Purchases of ordinary shares (buybacks)</t>
  </si>
  <si>
    <t>Cash dividends paid</t>
  </si>
  <si>
    <t>NCI transactions and other financing activities, net</t>
  </si>
  <si>
    <t>Net Cash Used in Financing Activities</t>
  </si>
  <si>
    <t>Discontinued operations - operating activities</t>
  </si>
  <si>
    <t>Discontinued operations - investing activities</t>
  </si>
  <si>
    <t>Discontinued operations - financing activities</t>
  </si>
  <si>
    <t>Net Cash Flows of Discontinued Operations</t>
  </si>
  <si>
    <t>Effect of exchange rate changes on cash</t>
  </si>
  <si>
    <t>Change in Cash and Cash Equivalents</t>
  </si>
  <si>
    <t>Cash of discontinued operations, reclassification</t>
  </si>
  <si>
    <t>Cash and cash equivalents, beginning of period</t>
  </si>
  <si>
    <t>Cash and Cash Equivalents, End of Period</t>
  </si>
  <si>
    <t>Check: CF-derived ending cash vs. Balance Sheet cash</t>
  </si>
  <si>
    <t>Free Cash Flow (CFO + Capex)</t>
  </si>
  <si>
    <t>FCF growth %</t>
  </si>
  <si>
    <t>Capex % of sales</t>
  </si>
  <si>
    <t>FCF margin %</t>
  </si>
  <si>
    <t>FCF conversion (FCF / Net Income)</t>
  </si>
  <si>
    <t>Supplemental: income taxes paid</t>
  </si>
  <si>
    <t>Supplemental: interest paid, net of capitalized interest</t>
  </si>
  <si>
    <t>Linde plc — Segments</t>
  </si>
  <si>
    <t>1. Segment Information (Note - Segment Reporting)</t>
  </si>
  <si>
    <t>North America</t>
  </si>
  <si>
    <t>Europe (legacy)</t>
  </si>
  <si>
    <t>South America (legacy)</t>
  </si>
  <si>
    <t>Asia (legacy)</t>
  </si>
  <si>
    <t>Surface Technologies (legacy)</t>
  </si>
  <si>
    <t>Linde AG (legacy stub)</t>
  </si>
  <si>
    <t>Americas</t>
  </si>
  <si>
    <t>EMEA</t>
  </si>
  <si>
    <t>APAC</t>
  </si>
  <si>
    <t>Engineering</t>
  </si>
  <si>
    <t>Other</t>
  </si>
  <si>
    <t>Total Segment Sales</t>
  </si>
  <si>
    <t>Check: Total Segment Sales vs. IS Sales</t>
  </si>
  <si>
    <t>Other / corporate</t>
  </si>
  <si>
    <t>Total Segment Operating Profit</t>
  </si>
  <si>
    <t>Less: special / restructuring / transaction charges (Note 3)</t>
  </si>
  <si>
    <t>Add: net gain on sale of businesses</t>
  </si>
  <si>
    <t>Less: purchase accounting impacts - Linde AG merger</t>
  </si>
  <si>
    <t>Total Operating Profit (reconciled)</t>
  </si>
  <si>
    <t>Check: Segment Operating Profit (reconciled) vs. IS Operating Profit</t>
  </si>
  <si>
    <t>EMEA (legacy: Europe)</t>
  </si>
  <si>
    <t>Asia/South Pacific (legacy)</t>
  </si>
  <si>
    <t>Total Segment D&amp;A</t>
  </si>
  <si>
    <t>Add: purchase accounting impacts - Linde AG merger (D&amp;A)</t>
  </si>
  <si>
    <t>Total D&amp;A (reconciled)</t>
  </si>
  <si>
    <t>Check: Segment D&amp;A (reconciled) vs. IS D&amp;A</t>
  </si>
  <si>
    <t>Only FY2023-FY2025 shown: those years' 10-Ks disclose pure 'expenditures for long-lived assets' by segment. FY2018-FY2019 10-Ks disclosed a 'Capital Expenditures and Acquisitions' combined figure on a different basis and are excluded here to avoid mixing bases; FY2020-FY2022 10-Ks did not disclose segment capex at all.</t>
  </si>
  <si>
    <t>Total Segment Capex (FY2023-FY2025 only)</t>
  </si>
  <si>
    <t>Linde plc — Operating Metrics</t>
  </si>
  <si>
    <t>1. Segment-Based Operating Metrics</t>
  </si>
  <si>
    <t>Segment operating margin %</t>
  </si>
  <si>
    <t>Americas % of sales</t>
  </si>
  <si>
    <t>EMEA % of sales</t>
  </si>
  <si>
    <t>APAC % of sales</t>
  </si>
  <si>
    <t>Engineering % of sales</t>
  </si>
  <si>
    <t>Other % of sales</t>
  </si>
  <si>
    <t>Americas operating margin %</t>
  </si>
  <si>
    <t>EMEA operating margin %</t>
  </si>
  <si>
    <t>APAC operating margin %</t>
  </si>
  <si>
    <t>Engineering operating margin %</t>
  </si>
  <si>
    <t>Linde plc — Derived Metrics</t>
  </si>
  <si>
    <t>1. Derived / Ratio Analysis</t>
  </si>
  <si>
    <t>EBITDA margin %</t>
  </si>
  <si>
    <t>Return on Assets (avg)</t>
  </si>
  <si>
    <t>Return on Equity (avg)</t>
  </si>
  <si>
    <t>Return on Invested Capital (avg)</t>
  </si>
  <si>
    <t>Asset turnover (x, avg)</t>
  </si>
  <si>
    <t>Net debt ($mm)</t>
  </si>
  <si>
    <t>Net debt / EBITDA (x)</t>
  </si>
  <si>
    <t>Debt / Equity (x)</t>
  </si>
  <si>
    <t>Equity ratio (Equity / Assets)</t>
  </si>
  <si>
    <t>Debt / Assets</t>
  </si>
  <si>
    <t>Current ratio (x)</t>
  </si>
  <si>
    <t>Quick ratio (x)</t>
  </si>
  <si>
    <t>Cash ratio (x)</t>
  </si>
  <si>
    <t>Interest coverage (EBIT / Interest, x)</t>
  </si>
  <si>
    <t>CFO / Interest expense (x)</t>
  </si>
  <si>
    <t>CFO / EBITDA (x)</t>
  </si>
  <si>
    <t>Capex intensity (Capex / Sales)</t>
  </si>
  <si>
    <t>FCF / Net Income (x)</t>
  </si>
  <si>
    <t>D&amp;A / Capex (x)</t>
  </si>
  <si>
    <t>CFO / Net Income (x)</t>
  </si>
  <si>
    <t>Accrual ratio ((NI - CFO) / Assets)</t>
  </si>
  <si>
    <t>Revenue growth %</t>
  </si>
  <si>
    <t>CFO growth %</t>
  </si>
  <si>
    <t>Days Sales Outstanding</t>
  </si>
  <si>
    <t>Days Inventory Outstanding</t>
  </si>
  <si>
    <t>Days Payable Outstanding</t>
  </si>
  <si>
    <t>Cash Conversion Cycle</t>
  </si>
  <si>
    <t>Linde plc — Quarterly Consolidated Results</t>
  </si>
  <si>
    <t>Metric ($MM)</t>
  </si>
  <si>
    <t>3Q 2025</t>
  </si>
  <si>
    <t>4Q 2025</t>
  </si>
  <si>
    <t>1Q 2026</t>
  </si>
  <si>
    <t>2Q 2026</t>
  </si>
  <si>
    <t>FY 2025</t>
  </si>
  <si>
    <t xml:space="preserve">  YoY Growth</t>
  </si>
  <si>
    <t>+3%</t>
  </si>
  <si>
    <t>+6%</t>
  </si>
  <si>
    <t>+8%</t>
  </si>
  <si>
    <t>+9%</t>
  </si>
  <si>
    <t xml:space="preserve">  Seq. Growth</t>
  </si>
  <si>
    <t>+1%</t>
  </si>
  <si>
    <t>+2%</t>
  </si>
  <si>
    <t>0%</t>
  </si>
  <si>
    <t>—</t>
  </si>
  <si>
    <t xml:space="preserve">  OP Margin</t>
  </si>
  <si>
    <t>29.7%</t>
  </si>
  <si>
    <t>29.5%</t>
  </si>
  <si>
    <t>30.0%</t>
  </si>
  <si>
    <t>29.8%</t>
  </si>
  <si>
    <t>Net Income</t>
  </si>
  <si>
    <t>Diluted EPS</t>
  </si>
  <si>
    <t xml:space="preserve">  EPS YoY</t>
  </si>
  <si>
    <t>+7%</t>
  </si>
  <si>
    <t>+10%</t>
  </si>
  <si>
    <t>Op. Cash Flow</t>
  </si>
  <si>
    <t xml:space="preserve">  OCF YoY</t>
  </si>
  <si>
    <t>+4%</t>
  </si>
  <si>
    <t>Capex</t>
  </si>
  <si>
    <t xml:space="preserve">  Base Capex</t>
  </si>
  <si>
    <t xml:space="preserve">  Project Capex</t>
  </si>
  <si>
    <t>After-Tax ROC</t>
  </si>
  <si>
    <t>24.6%</t>
  </si>
  <si>
    <t>24.2%</t>
  </si>
  <si>
    <t>23.8%</t>
  </si>
  <si>
    <t>23.5%</t>
  </si>
  <si>
    <t>Sales Growth Bridge (YoY)</t>
  </si>
  <si>
    <t>Component</t>
  </si>
  <si>
    <t>Volume</t>
  </si>
  <si>
    <t>Price / Mix</t>
  </si>
  <si>
    <t>Cost Pass-thru</t>
  </si>
  <si>
    <t>Currency</t>
  </si>
  <si>
    <t>+5%</t>
  </si>
  <si>
    <t>Acq / Div</t>
  </si>
  <si>
    <t>-1%</t>
  </si>
  <si>
    <t>Total</t>
  </si>
  <si>
    <t>Global End Market Trends — % of Sales &amp; YoY Growth</t>
  </si>
  <si>
    <t>Excludes currency, cost pass-through, acquisitions/divestitures, non-recurring equipment sales</t>
  </si>
  <si>
    <t>End Market</t>
  </si>
  <si>
    <t>3Q'25 Share</t>
  </si>
  <si>
    <t>4Q'25 Share</t>
  </si>
  <si>
    <t>1Q'26 Share</t>
  </si>
  <si>
    <t>2Q'26 Share</t>
  </si>
  <si>
    <t>3Q'25 YoY</t>
  </si>
  <si>
    <t>4Q'25 YoY</t>
  </si>
  <si>
    <t>1Q'26 YoY</t>
  </si>
  <si>
    <t>2Q'26 YoY</t>
  </si>
  <si>
    <t>Consumer Related (~1/3, More Resilient)</t>
  </si>
  <si>
    <t>Healthcare</t>
  </si>
  <si>
    <t>16%</t>
  </si>
  <si>
    <t>Food &amp; Beverage</t>
  </si>
  <si>
    <t>10%</t>
  </si>
  <si>
    <t>9%</t>
  </si>
  <si>
    <t>Electronics</t>
  </si>
  <si>
    <t>+18%</t>
  </si>
  <si>
    <t>Industrial Related (~2/3, More Cyclical)</t>
  </si>
  <si>
    <t>Manufacturing</t>
  </si>
  <si>
    <t>21%</t>
  </si>
  <si>
    <t>Chemicals &amp; Energy</t>
  </si>
  <si>
    <t>20%</t>
  </si>
  <si>
    <t>22%</t>
  </si>
  <si>
    <t>Metals &amp; Mining</t>
  </si>
  <si>
    <t>13%</t>
  </si>
  <si>
    <t>Sequential Sales Growth by End Market</t>
  </si>
  <si>
    <t>3Q'25 Seq.</t>
  </si>
  <si>
    <t>4Q'25 Seq.</t>
  </si>
  <si>
    <t>1Q'26 Seq.</t>
  </si>
  <si>
    <t>2Q'26 Seq.</t>
  </si>
  <si>
    <t>-3%</t>
  </si>
  <si>
    <t>-5%</t>
  </si>
  <si>
    <t>-2%</t>
  </si>
  <si>
    <t>Regional Segment Performance</t>
  </si>
  <si>
    <t>Metric</t>
  </si>
  <si>
    <t>Sales ($MM)</t>
  </si>
  <si>
    <t>Operating Profit ($MM)</t>
  </si>
  <si>
    <t>OP Margin</t>
  </si>
  <si>
    <t>31.2%</t>
  </si>
  <si>
    <t>30.9%</t>
  </si>
  <si>
    <t>31.6%</t>
  </si>
  <si>
    <t>Sales YoY</t>
  </si>
  <si>
    <t xml:space="preserve">  Volume</t>
  </si>
  <si>
    <t xml:space="preserve">  Price / Mix</t>
  </si>
  <si>
    <t xml:space="preserve">  Cost Pass-thru</t>
  </si>
  <si>
    <t xml:space="preserve">  Currency</t>
  </si>
  <si>
    <t xml:space="preserve">  Acq / Div</t>
  </si>
  <si>
    <t>End Market Mix (Q4'25): Healthcare 24%, Manufacturing 19%, C&amp;E 23%, M&amp;M 11%, F&amp;B 11%, Electronics 5%, Others 7%</t>
  </si>
  <si>
    <t>28.1%</t>
  </si>
  <si>
    <t>29.1%</t>
  </si>
  <si>
    <t>28.0%</t>
  </si>
  <si>
    <t>28.4%</t>
  </si>
  <si>
    <t>+11%</t>
  </si>
  <si>
    <t>+13%</t>
  </si>
  <si>
    <t>End Market Mix (Q4'25): C&amp;E 28%, Electronics 23%, Manufacturing 16%, Healthcare 14%, M&amp;M 10%, F&amp;B 5%, Others 4%</t>
  </si>
  <si>
    <t>35.9%</t>
  </si>
  <si>
    <t>35.4%</t>
  </si>
  <si>
    <t>36.1%</t>
  </si>
  <si>
    <t>35.7%</t>
  </si>
  <si>
    <t>End Market Mix (Q4'25): C&amp;E 25%, Manufacturing 23%, Healthcare 18%, M&amp;M 17%, F&amp;B 12%, Electronics 3%, Others 2%</t>
  </si>
  <si>
    <t>Engineering Segment &amp; Global Other</t>
  </si>
  <si>
    <t>19.5%</t>
  </si>
  <si>
    <t>16.7%</t>
  </si>
  <si>
    <t>16.0%</t>
  </si>
  <si>
    <t>Order Intake ($MM)</t>
  </si>
  <si>
    <t>SOP Backlog ($MM)</t>
  </si>
  <si>
    <t>Global Other</t>
  </si>
  <si>
    <t>-3.9%</t>
  </si>
  <si>
    <t>1.7%</t>
  </si>
  <si>
    <t>-1.1%</t>
  </si>
  <si>
    <t>4.4%</t>
  </si>
  <si>
    <t>Key Driver</t>
  </si>
  <si>
    <t>Helium drag</t>
  </si>
  <si>
    <t>Coatings growth</t>
  </si>
  <si>
    <t>Adv. materials↑</t>
  </si>
  <si>
    <t>Project Backlog &amp; Capital Management</t>
  </si>
  <si>
    <t>Project Backlog</t>
  </si>
  <si>
    <t>Total Backlog ($B)</t>
  </si>
  <si>
    <t xml:space="preserve">  SOG Backlog ($B)</t>
  </si>
  <si>
    <t xml:space="preserve">  SOP Backlog ($B)</t>
  </si>
  <si>
    <t>SOG Clean Energy %</t>
  </si>
  <si>
    <t>~65%</t>
  </si>
  <si>
    <t>Capital Allocation (Cumulative YTD)</t>
  </si>
  <si>
    <t>YTD Q3'25</t>
  </si>
  <si>
    <t>YTD Q1'26</t>
  </si>
  <si>
    <t>YTD H1'26</t>
  </si>
  <si>
    <t>Business Investments ($B)</t>
  </si>
  <si>
    <t xml:space="preserve">  Secured Growth ($B)</t>
  </si>
  <si>
    <t xml:space="preserve">  Base Capex ($B)</t>
  </si>
  <si>
    <t>Return to Shareholders ($B)</t>
  </si>
  <si>
    <t xml:space="preserve">  Net Share Buybacks ($B)</t>
  </si>
  <si>
    <t xml:space="preserve">  Dividends ($B)</t>
  </si>
  <si>
    <t>Quarterly Operating Cash Flow ($B)</t>
  </si>
  <si>
    <t>Base Capex</t>
  </si>
  <si>
    <t>Available OCF</t>
  </si>
  <si>
    <t>EPS Guidance Evolution</t>
  </si>
  <si>
    <t>Guidance Given At</t>
  </si>
  <si>
    <t>Next-Q EPS Range</t>
  </si>
  <si>
    <t>Next-Q YoY</t>
  </si>
  <si>
    <t>Full-Year EPS Range</t>
  </si>
  <si>
    <t>Full-Year YoY</t>
  </si>
  <si>
    <t>FX Assumption</t>
  </si>
  <si>
    <t>Q3'25 (Oct 31, 2025)</t>
  </si>
  <si>
    <t>$4.10–$4.20</t>
  </si>
  <si>
    <t>+3% to +6%</t>
  </si>
  <si>
    <t>$16.35–$16.45</t>
  </si>
  <si>
    <t>+5% to +6%</t>
  </si>
  <si>
    <t>FY: flat</t>
  </si>
  <si>
    <t>Q4'25 (Feb 5, 2026)</t>
  </si>
  <si>
    <t>$4.20–$4.30</t>
  </si>
  <si>
    <t>+6% to +9%</t>
  </si>
  <si>
    <t>$17.40–$17.90</t>
  </si>
  <si>
    <t>FY: +1%</t>
  </si>
  <si>
    <t>Q1'26 (May 1, 2026)</t>
  </si>
  <si>
    <t>$4.40–$4.50</t>
  </si>
  <si>
    <t>+8% to +10%</t>
  </si>
  <si>
    <t>$17.60–$17.90</t>
  </si>
  <si>
    <t>+7% to +9%</t>
  </si>
  <si>
    <t>Q2'26 (Jul 31, 2026)</t>
  </si>
  <si>
    <t>$4.45–$4.55</t>
  </si>
  <si>
    <t>+6% to +8%</t>
  </si>
  <si>
    <t>$17.70–$17.90</t>
  </si>
  <si>
    <t>+8% to +9%</t>
  </si>
  <si>
    <t>Actual EPS vs. Guidance</t>
  </si>
  <si>
    <t>Quarter</t>
  </si>
  <si>
    <t>Guidance Range</t>
  </si>
  <si>
    <t>Actual EPS</t>
  </si>
  <si>
    <t>vs. Midpoint</t>
  </si>
  <si>
    <t>Beat/Miss</t>
  </si>
  <si>
    <t>$4.07–$4.17 (prev.)</t>
  </si>
  <si>
    <t>$4.21</t>
  </si>
  <si>
    <t>+$0.09</t>
  </si>
  <si>
    <t>Beat</t>
  </si>
  <si>
    <t>$4.20</t>
  </si>
  <si>
    <t>+$0.05</t>
  </si>
  <si>
    <t>Beat (top)</t>
  </si>
  <si>
    <t>$4.33</t>
  </si>
  <si>
    <t>+$0.08</t>
  </si>
  <si>
    <t>$4.50</t>
  </si>
  <si>
    <t>Capex Guidance Evolution</t>
  </si>
  <si>
    <t>Given At</t>
  </si>
  <si>
    <t>Full-Year Capex Guidance</t>
  </si>
  <si>
    <t>Q3'25 (FY2025)</t>
  </si>
  <si>
    <t>$5.0B–$5.5B</t>
  </si>
  <si>
    <t>Q4'25 (FY2026)</t>
  </si>
  <si>
    <t>Q1'26 (FY2026)</t>
  </si>
  <si>
    <t>Q2'26 (FY2026)</t>
  </si>
  <si>
    <t>$5.5B–$6.0B ↑</t>
  </si>
  <si>
    <t>Electronics End Market — Revenue Derivation</t>
  </si>
  <si>
    <t>Based on % of Sales from official Linde investor slides + total reported revenue</t>
  </si>
  <si>
    <t>Total Revenue ($MM)</t>
  </si>
  <si>
    <t>Electronics % of Sales</t>
  </si>
  <si>
    <t>Est. Electronics Rev ($MM)</t>
  </si>
  <si>
    <t>YoY Growth</t>
  </si>
  <si>
    <t>Seq. Growth</t>
  </si>
  <si>
    <t>Taiwan JV (non-consol.)</t>
  </si>
  <si>
    <t>~+2% add'l</t>
  </si>
  <si>
    <t>Adj. Electronics Exposure</t>
  </si>
  <si>
    <t>~11%</t>
  </si>
  <si>
    <t>~12%</t>
  </si>
  <si>
    <t>SOG Backlog ($B)</t>
  </si>
  <si>
    <t xml:space="preserve">  QoQ Change</t>
  </si>
  <si>
    <t>+$0.2B</t>
  </si>
  <si>
    <t>-$0.2B</t>
  </si>
  <si>
    <t>+$1.0B</t>
  </si>
  <si>
    <t xml:space="preserve">  Key Events</t>
  </si>
  <si>
    <t>Backlog $10B total</t>
  </si>
  <si>
    <t>Record backlog</t>
  </si>
  <si>
    <t>10 projects started</t>
  </si>
  <si>
    <t>+$1B US electronics</t>
  </si>
  <si>
    <t>Linde plc — Sources</t>
  </si>
  <si>
    <t>Sources and data provenance</t>
  </si>
  <si>
    <t>Period</t>
  </si>
  <si>
    <t>Source document</t>
  </si>
  <si>
    <t>Path</t>
  </si>
  <si>
    <t>Linde plc Form 10-K (FY2018)</t>
  </si>
  <si>
    <t>sources/companies/US/LIN-linde/artifacts/ten_k/LIN-linde/FY2018/psp_2ebae6876662453e850a71097e970a0c/</t>
  </si>
  <si>
    <t>Linde plc Form 10-K (FY2019)</t>
  </si>
  <si>
    <t>sources/companies/US/LIN-linde/artifacts/ten_k/LIN-linde/FY2019/psp_17c00f60b08b453fae28219102907da2/</t>
  </si>
  <si>
    <t>Linde plc Form 10-K (FY2020)</t>
  </si>
  <si>
    <t>sources/companies/US/LIN-linde/artifacts/ten_k/LIN-linde/FY2020/psp_26319e151ba249dea1137948aedfa245/</t>
  </si>
  <si>
    <t>Linde plc Form 10-K (FY2021)</t>
  </si>
  <si>
    <t>sources/companies/US/LIN-linde/artifacts/ten_k/LIN-linde/FY2021/psp_b2b8c0f9a8374dca86d6ba61612f5ea8/</t>
  </si>
  <si>
    <t>Linde plc Form 10-K (FY2022)</t>
  </si>
  <si>
    <t>sources/companies/US/LIN-linde/artifacts/ten_k/LIN-linde/FY2022/psp_12a4ea550bc340fa82af491fa19c65cc/</t>
  </si>
  <si>
    <t>Linde plc Form 10-K (FY2023)</t>
  </si>
  <si>
    <t>sources/companies/US/LIN-linde/artifacts/ten_k/LIN-linde/FY2023/psp_962cb7e58b0a4448ae507427a5c3a749/</t>
  </si>
  <si>
    <t>Linde plc Form 10-K (FY2024)</t>
  </si>
  <si>
    <t>sources/companies/US/LIN-linde/artifacts/ten_k/LIN-linde/FY2024/psp_871627ce04e94c8897932a75dbc7c38b/</t>
  </si>
  <si>
    <t>Linde plc Form 10-K (FY2025)</t>
  </si>
  <si>
    <t>sources/companies/US/LIN-linde/artifacts/ten_k/LIN-linde/FY2025/psp_ddce53d5cc49476d894d1511e805bb4a/</t>
  </si>
  <si>
    <t>Note</t>
  </si>
  <si>
    <t>All figures hand-extracted and cross-checked from each fiscal year's own 10-K (prepared/document.md), not from tables.json (which misclassified statement tables under unrelated topic_hints and mis-parsed parenthesized negative values) and not from any deep-research markdown report.</t>
  </si>
  <si>
    <t>Linde plc — Valuation Driver Build</t>
  </si>
  <si>
    <t>年结日估值口径：FY2026 Q1/Q2 为已披露实际，Q3/Q4 为估计；预测区在左，完整年度与近期季度历史在右。单位：$ in millions except per-share data.</t>
  </si>
  <si>
    <t>经营驱动与现金股东回报推导</t>
  </si>
  <si>
    <t>指标</t>
  </si>
  <si>
    <t>单位</t>
  </si>
  <si>
    <t>2026 Q1A</t>
  </si>
  <si>
    <t>2026 Q2A</t>
  </si>
  <si>
    <t>2026 Q3E</t>
  </si>
  <si>
    <t>2026 Q4E</t>
  </si>
  <si>
    <t>FY2026E</t>
  </si>
  <si>
    <t>FY2027E</t>
  </si>
  <si>
    <t>FY2028E</t>
  </si>
  <si>
    <t>FY2029E</t>
  </si>
  <si>
    <t>FY2030E</t>
  </si>
  <si>
    <t>FY2031E</t>
  </si>
  <si>
    <t>销售增速</t>
  </si>
  <si>
    <t>%</t>
  </si>
  <si>
    <t>销售额</t>
  </si>
  <si>
    <t>$mm</t>
  </si>
  <si>
    <t>经营利润</t>
  </si>
  <si>
    <t>经营利润率</t>
  </si>
  <si>
    <t>调整后净利润 / 管理层净利润</t>
  </si>
  <si>
    <t>净利润率</t>
  </si>
  <si>
    <t>稀释后股数</t>
  </si>
  <si>
    <t>mm</t>
  </si>
  <si>
    <t>调整后稀释 EPS</t>
  </si>
  <si>
    <t>$ / share</t>
  </si>
  <si>
    <t>净缩股速率</t>
  </si>
  <si>
    <t>资本开支</t>
  </si>
  <si>
    <t>资本开支 / 销售额</t>
  </si>
  <si>
    <t>FCF 转换率</t>
  </si>
  <si>
    <t>FCF</t>
  </si>
  <si>
    <t>现金分红支付率</t>
  </si>
  <si>
    <t>每股现金分红</t>
  </si>
  <si>
    <t>口径与推导说明</t>
  </si>
  <si>
    <t>1. FY2026 基期采用年结日口径：Q1/Q2 为当前底稿已披露实际，Q3 采用最新季度指引 EPS 中值 $4.50，Q4 为全年指引中值 $17.80 减前三季度实际/预测。</t>
  </si>
  <si>
    <t>2. FY2026 销售额按 Q3/Q4 同比 +6% 估计；资本开支采用管理层 Q2 纪要给出的 FY2026 $5.5–6.0B 中值 $5.75B。</t>
  </si>
  <si>
    <t>3. FY2027–FY2031 销售增速、利润率、缩股、FCF 转换率和分红支付率为可编辑基准假设，均应在新财报发布后与实际和指引逐项复核。</t>
  </si>
  <si>
    <t>4. FY2018–FY2025 右侧历史主要为 10-K GAAP 数据；FY2025及近期季度的 EPS/净利润历史区块同时参考管理层调整后口径，已在标签中明确，不能与 GAAP 直接混比。</t>
  </si>
  <si>
    <t>5. 预测区右侧强制保留完整年度与连续近期季度历史，更新时先以新披露替换预测，再重算全年、现金流、股数与估值。</t>
  </si>
  <si>
    <t>Linde plc — Year-End Valuation</t>
  </si>
  <si>
    <t>直接退出 PE + 现金分红 + 净缩股；以 FY2026E 完整财年为估值基期，预测至 FY2031E。</t>
  </si>
  <si>
    <t>估值起点与控制项</t>
  </si>
  <si>
    <t>估值日期</t>
  </si>
  <si>
    <t>说明</t>
  </si>
  <si>
    <t>当前股价（输入）</t>
  </si>
  <si>
    <t>需由用户按估值日补充；未填时 IRR 保持空白</t>
  </si>
  <si>
    <t>当前稀释后股数</t>
  </si>
  <si>
    <t>链接 FY2026E 估计；用于市值换算</t>
  </si>
  <si>
    <t>当前总市值</t>
  </si>
  <si>
    <t>当前股价 × 当前稀释后股数</t>
  </si>
  <si>
    <t>要求年化股东回报率</t>
  </si>
  <si>
    <t>可编辑目标回报率</t>
  </si>
  <si>
    <t>退出 PE</t>
  </si>
  <si>
    <t>倍</t>
  </si>
  <si>
    <t>直接输入；净缩股通过 EPS/股数路径单独体现</t>
  </si>
  <si>
    <t>模型状态</t>
  </si>
  <si>
    <t>需要当前股价后才可计算 IRR</t>
  </si>
  <si>
    <t>年结日预测与每股价值路径</t>
  </si>
  <si>
    <t>股数指数</t>
  </si>
  <si>
    <t>退出价值 / 每股</t>
  </si>
  <si>
    <t>调整后净利润</t>
  </si>
  <si>
    <t>估值结果</t>
  </si>
  <si>
    <t>2 年持有</t>
  </si>
  <si>
    <t>5 年持有</t>
  </si>
  <si>
    <t>退出年度</t>
  </si>
  <si>
    <t>估值基期为 FY2026E 年结日</t>
  </si>
  <si>
    <t>退出 EPS</t>
  </si>
  <si>
    <t>直接输入</t>
  </si>
  <si>
    <t>持有期现金分红 / 每股</t>
  </si>
  <si>
    <t>仅含 FY2027E 起的现金分红</t>
  </si>
  <si>
    <t>目标买入价 / 每股</t>
  </si>
  <si>
    <t>按要求回报率折现终值和分红</t>
  </si>
  <si>
    <t>当前股价</t>
  </si>
  <si>
    <t>链接估值输入</t>
  </si>
  <si>
    <t>股东回报 IRR</t>
  </si>
  <si>
    <t>当前股价填入后自动计算</t>
  </si>
  <si>
    <t>IRR 现金流核对</t>
  </si>
  <si>
    <t>期间</t>
  </si>
  <si>
    <t>起点</t>
  </si>
  <si>
    <t>5 年</t>
  </si>
  <si>
    <t>2 年</t>
  </si>
  <si>
    <t>使用说明与限制</t>
  </si>
  <si>
    <t>1. 该模型采用直接退出 PE 的股东回报方法。退出 PE 是直接输入值，不再乘以缩股参数；缩股通过稀释后股数和 EPS 路径单独体现。</t>
  </si>
  <si>
    <t>2. FCF = OCF - Capex。FY2026 资本开支使用管理层 $5.5–6.0B 指引中值；FCF 转换率为预测参数，需在实际现金流披露后复核。</t>
  </si>
  <si>
    <t>3. FY2025及近期季度的 EPS/净利润为管理层调整后口径；历史 GAAP 指标保留在 Valuation Driver Build 右侧作为校准，不得混用。</t>
  </si>
  <si>
    <t>4. 当前股价为唯一必须由用户按估值日补充的外部市场输入；未填时目标买入价仍可计算，但 IRR 和当前市值状态显示为待补充。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</si>
</sst>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#,##0;\(#,##0\);&quot;-&quot;"/>
    <numFmt numFmtId="177" formatCode="0.0%;\(0.0%\);&quot;-&quot;"/>
    <numFmt numFmtId="178" formatCode="#,##0.00;\(#,##0.00\);&quot;-&quot;"/>
    <numFmt numFmtId="179" formatCode="0.0&quot;x&quot;;\(0.0&quot;x&quot;\);&quot;-&quot;"/>
    <numFmt numFmtId="180" formatCode="0.0%"/>
    <numFmt numFmtId="181" formatCode="0.0%;\(0.0%\);\-"/>
    <numFmt numFmtId="182" formatCode="0.00;\(0.00\);\-"/>
    <numFmt numFmtId="183" formatCode="#,##0.0;\(#,##0.0\);\-"/>
    <numFmt numFmtId="184" formatCode="0.000\x"/>
    <numFmt numFmtId="185" formatCode="0.0\x"/>
  </numFmts>
  <fonts count="31">
    <font>
      <sz val="11"/>
      <color theme="1"/>
      <name val="宋体"/>
      <family val="2"/>
      <scheme val="minor"/>
    </font>
    <font>
      <b/>
      <sz val="14"/>
      <color rgb="FFFFFFFF"/>
      <name val="Arial"/>
      <family val="2"/>
    </font>
    <font>
      <i/>
      <sz val="9"/>
      <color rgb="FF808080"/>
      <name val="Arial"/>
      <family val="2"/>
    </font>
    <font>
      <b/>
      <sz val="10"/>
      <name val="Arial"/>
      <family val="2"/>
    </font>
    <font>
      <sz val="10"/>
      <color rgb="FF333333"/>
      <name val="Arial"/>
      <family val="2"/>
    </font>
    <font>
      <b/>
      <sz val="10"/>
      <color rgb="FF333333"/>
      <name val="Arial"/>
      <family val="2"/>
    </font>
    <font>
      <i/>
      <sz val="8"/>
      <color rgb="FF808080"/>
      <name val="Arial"/>
      <family val="2"/>
    </font>
    <font>
      <u/>
      <sz val="9"/>
      <color rgb="FF0563C1"/>
      <name val="Arial"/>
      <family val="2"/>
    </font>
    <font>
      <b/>
      <sz val="10"/>
      <color rgb="FFFFFFFF"/>
      <name val="Arial"/>
      <family val="2"/>
    </font>
    <font>
      <b/>
      <sz val="10"/>
      <color rgb="FF0000CC"/>
      <name val="Arial"/>
      <family val="2"/>
    </font>
    <font>
      <i/>
      <sz val="9"/>
      <color rgb="FF999999"/>
      <name val="Arial"/>
      <family val="2"/>
    </font>
    <font>
      <sz val="10"/>
      <color rgb="FF0000CC"/>
      <name val="Arial"/>
      <family val="2"/>
    </font>
    <font>
      <b/>
      <sz val="10"/>
      <color rgb="FF008000"/>
      <name val="Arial"/>
      <family val="2"/>
    </font>
    <font>
      <sz val="10"/>
      <color rgb="FF008000"/>
      <name val="Arial"/>
      <family val="2"/>
    </font>
    <font>
      <sz val="11"/>
      <color theme="1"/>
      <name val="宋体"/>
      <family val="2"/>
      <scheme val="minor"/>
    </font>
    <font>
      <sz val="10"/>
      <name val="Arial"/>
      <family val="2"/>
    </font>
    <font>
      <b/>
      <sz val="11"/>
      <color rgb="FFFFFFFF"/>
      <name val="Arial"/>
      <family val="2"/>
    </font>
    <font>
      <i/>
      <sz val="10"/>
      <color rgb="FF404040"/>
      <name val="Arial"/>
      <family val="2"/>
    </font>
    <font>
      <b/>
      <sz val="14"/>
      <color rgb="FF1F4E79"/>
      <name val="Arial"/>
      <family val="2"/>
    </font>
    <font>
      <b/>
      <sz val="10"/>
      <color rgb="FF006100"/>
      <name val="Arial"/>
      <family val="2"/>
    </font>
    <font>
      <b/>
      <sz val="10"/>
      <color rgb="FFC00000"/>
      <name val="Arial"/>
      <family val="2"/>
    </font>
    <font>
      <b/>
      <sz val="15"/>
      <color rgb="FF1F4E78"/>
      <name val="宋体"/>
      <family val="2"/>
      <scheme val="minor"/>
    </font>
    <font>
      <i/>
      <sz val="9"/>
      <color rgb="FF666666"/>
      <name val="宋体"/>
      <family val="2"/>
      <scheme val="minor"/>
    </font>
    <font>
      <b/>
      <sz val="10"/>
      <color rgb="FFFFFFFF"/>
      <name val="宋体"/>
      <family val="2"/>
      <scheme val="minor"/>
    </font>
    <font>
      <sz val="10"/>
      <color rgb="FF222222"/>
      <name val="宋体"/>
      <family val="2"/>
      <scheme val="minor"/>
    </font>
    <font>
      <sz val="10"/>
      <color rgb="FF008000"/>
      <name val="宋体"/>
      <family val="2"/>
      <scheme val="minor"/>
    </font>
    <font>
      <b/>
      <sz val="10"/>
      <color rgb="FF1F4E78"/>
      <name val="宋体"/>
      <family val="2"/>
      <scheme val="minor"/>
    </font>
    <font>
      <b/>
      <sz val="10"/>
      <color rgb="FF555555"/>
      <name val="宋体"/>
      <family val="2"/>
      <scheme val="minor"/>
    </font>
    <font>
      <sz val="10"/>
      <color rgb="FF0000FF"/>
      <name val="宋体"/>
      <family val="2"/>
      <scheme val="minor"/>
    </font>
    <font>
      <b/>
      <sz val="10"/>
      <color rgb="FF9C0006"/>
      <name val="宋体"/>
      <family val="2"/>
      <scheme val="minor"/>
    </font>
    <font>
      <sz val="9"/>
      <name val="宋体"/>
      <family val="3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E2EFDA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2F2F2"/>
      </patternFill>
    </fill>
    <fill>
      <patternFill patternType="solid">
        <fgColor rgb="FFFFF2CC"/>
      </patternFill>
    </fill>
  </fills>
  <borders count="6">
    <border>
      <left/>
      <right/>
      <top/>
      <bottom/>
      <diagonal/>
    </border>
    <border>
      <left/>
      <right/>
      <top/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9D9D9"/>
      </bottom>
      <diagonal/>
    </border>
  </borders>
  <cellStyleXfs count="2">
    <xf numFmtId="0" fontId="0" fillId="0" borderId="0"/>
    <xf numFmtId="9" fontId="14" fillId="0" borderId="0" applyFont="0" applyFill="0" applyBorder="0" applyAlignment="0" applyProtection="0">
      <alignment vertical="center"/>
    </xf>
  </cellStyleXfs>
  <cellXfs count="85">
    <xf numFmtId="0" fontId="0" fillId="0" borderId="0" xfId="0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3" borderId="0" xfId="0" applyFill="1"/>
    <xf numFmtId="0" fontId="0" fillId="4" borderId="0" xfId="0" applyFill="1"/>
    <xf numFmtId="0" fontId="5" fillId="3" borderId="1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0" applyFont="1"/>
    <xf numFmtId="0" fontId="7" fillId="0" borderId="0" xfId="0" applyFont="1"/>
    <xf numFmtId="0" fontId="8" fillId="2" borderId="0" xfId="0" applyFont="1" applyFill="1"/>
    <xf numFmtId="176" fontId="9" fillId="0" borderId="0" xfId="0" applyNumberFormat="1" applyFont="1" applyAlignment="1">
      <alignment horizontal="right"/>
    </xf>
    <xf numFmtId="0" fontId="10" fillId="0" borderId="0" xfId="0" applyFont="1"/>
    <xf numFmtId="177" fontId="10" fillId="0" borderId="0" xfId="0" applyNumberFormat="1" applyFont="1" applyAlignment="1">
      <alignment horizontal="right"/>
    </xf>
    <xf numFmtId="176" fontId="11" fillId="0" borderId="0" xfId="0" applyNumberFormat="1" applyFont="1" applyAlignment="1">
      <alignment horizontal="right"/>
    </xf>
    <xf numFmtId="176" fontId="5" fillId="0" borderId="0" xfId="0" applyNumberFormat="1" applyFont="1" applyAlignment="1">
      <alignment horizontal="right"/>
    </xf>
    <xf numFmtId="0" fontId="6" fillId="0" borderId="0" xfId="0" applyFont="1" applyAlignment="1">
      <alignment vertical="top" wrapText="1"/>
    </xf>
    <xf numFmtId="176" fontId="5" fillId="0" borderId="2" xfId="0" applyNumberFormat="1" applyFont="1" applyBorder="1" applyAlignment="1">
      <alignment horizontal="right"/>
    </xf>
    <xf numFmtId="176" fontId="4" fillId="0" borderId="0" xfId="0" applyNumberFormat="1" applyFont="1" applyAlignment="1">
      <alignment horizontal="right"/>
    </xf>
    <xf numFmtId="178" fontId="9" fillId="0" borderId="0" xfId="0" applyNumberFormat="1" applyFont="1" applyAlignment="1">
      <alignment horizontal="right"/>
    </xf>
    <xf numFmtId="176" fontId="10" fillId="0" borderId="0" xfId="0" applyNumberFormat="1" applyFont="1" applyAlignment="1">
      <alignment horizontal="right"/>
    </xf>
    <xf numFmtId="176" fontId="12" fillId="0" borderId="0" xfId="0" applyNumberFormat="1" applyFont="1" applyAlignment="1">
      <alignment horizontal="right"/>
    </xf>
    <xf numFmtId="176" fontId="13" fillId="0" borderId="0" xfId="0" applyNumberFormat="1" applyFont="1" applyAlignment="1">
      <alignment horizontal="right"/>
    </xf>
    <xf numFmtId="176" fontId="4" fillId="0" borderId="2" xfId="0" applyNumberFormat="1" applyFont="1" applyBorder="1" applyAlignment="1">
      <alignment horizontal="right"/>
    </xf>
    <xf numFmtId="179" fontId="10" fillId="0" borderId="0" xfId="0" applyNumberFormat="1" applyFont="1" applyAlignment="1">
      <alignment horizontal="right"/>
    </xf>
    <xf numFmtId="177" fontId="4" fillId="0" borderId="0" xfId="0" applyNumberFormat="1" applyFont="1" applyAlignment="1">
      <alignment horizontal="right"/>
    </xf>
    <xf numFmtId="0" fontId="3" fillId="0" borderId="3" xfId="0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15" fillId="0" borderId="3" xfId="0" applyFont="1" applyBorder="1" applyAlignment="1">
      <alignment horizontal="center"/>
    </xf>
    <xf numFmtId="0" fontId="15" fillId="0" borderId="3" xfId="0" applyFont="1" applyBorder="1" applyAlignment="1">
      <alignment horizontal="left"/>
    </xf>
    <xf numFmtId="0" fontId="16" fillId="5" borderId="0" xfId="0" applyFont="1" applyFill="1" applyAlignment="1">
      <alignment horizontal="center" vertical="center" wrapText="1"/>
    </xf>
    <xf numFmtId="0" fontId="15" fillId="0" borderId="3" xfId="0" applyFont="1" applyBorder="1" applyAlignment="1">
      <alignment horizontal="center" vertical="center"/>
    </xf>
    <xf numFmtId="0" fontId="15" fillId="0" borderId="3" xfId="0" applyFont="1" applyBorder="1" applyAlignment="1">
      <alignment horizontal="left" vertical="center"/>
    </xf>
    <xf numFmtId="0" fontId="17" fillId="0" borderId="3" xfId="0" applyFont="1" applyBorder="1" applyAlignment="1">
      <alignment horizontal="left" vertical="center"/>
    </xf>
    <xf numFmtId="0" fontId="3" fillId="6" borderId="0" xfId="0" applyFont="1" applyFill="1" applyAlignment="1">
      <alignment horizontal="center" vertical="center"/>
    </xf>
    <xf numFmtId="0" fontId="19" fillId="0" borderId="3" xfId="0" applyFont="1" applyBorder="1" applyAlignment="1">
      <alignment horizontal="center"/>
    </xf>
    <xf numFmtId="0" fontId="17" fillId="0" borderId="3" xfId="0" applyFont="1" applyBorder="1"/>
    <xf numFmtId="0" fontId="15" fillId="0" borderId="3" xfId="0" applyFont="1" applyBorder="1"/>
    <xf numFmtId="0" fontId="17" fillId="0" borderId="3" xfId="0" applyFont="1" applyBorder="1" applyAlignment="1">
      <alignment horizontal="left"/>
    </xf>
    <xf numFmtId="0" fontId="20" fillId="0" borderId="3" xfId="0" applyFont="1" applyBorder="1" applyAlignment="1">
      <alignment horizontal="center"/>
    </xf>
    <xf numFmtId="0" fontId="19" fillId="0" borderId="3" xfId="0" applyFont="1" applyBorder="1" applyAlignment="1">
      <alignment horizontal="left"/>
    </xf>
    <xf numFmtId="180" fontId="0" fillId="0" borderId="0" xfId="1" applyNumberFormat="1" applyFont="1" applyAlignment="1"/>
    <xf numFmtId="0" fontId="21" fillId="0" borderId="0" xfId="0" applyFont="1"/>
    <xf numFmtId="0" fontId="22" fillId="0" borderId="0" xfId="0" applyFont="1"/>
    <xf numFmtId="0" fontId="23" fillId="7" borderId="0" xfId="0" applyFont="1" applyFill="1"/>
    <xf numFmtId="0" fontId="23" fillId="7" borderId="4" xfId="0" applyFont="1" applyFill="1" applyBorder="1" applyAlignment="1">
      <alignment horizontal="center" vertical="center" wrapText="1"/>
    </xf>
    <xf numFmtId="0" fontId="24" fillId="0" borderId="0" xfId="0" applyFont="1"/>
    <xf numFmtId="0" fontId="24" fillId="0" borderId="0" xfId="0" applyFont="1" applyAlignment="1">
      <alignment vertical="center"/>
    </xf>
    <xf numFmtId="0" fontId="24" fillId="0" borderId="0" xfId="0" applyFont="1" applyAlignment="1">
      <alignment horizontal="right"/>
    </xf>
    <xf numFmtId="0" fontId="25" fillId="0" borderId="0" xfId="0" applyFont="1"/>
    <xf numFmtId="0" fontId="26" fillId="8" borderId="4" xfId="0" applyFont="1" applyFill="1" applyBorder="1" applyAlignment="1">
      <alignment horizontal="center" vertical="center" wrapText="1"/>
    </xf>
    <xf numFmtId="0" fontId="27" fillId="9" borderId="4" xfId="0" applyFont="1" applyFill="1" applyBorder="1" applyAlignment="1">
      <alignment horizontal="center" vertical="center" wrapText="1"/>
    </xf>
    <xf numFmtId="0" fontId="24" fillId="0" borderId="5" xfId="0" applyFont="1" applyBorder="1" applyAlignment="1">
      <alignment vertical="center"/>
    </xf>
    <xf numFmtId="0" fontId="26" fillId="9" borderId="0" xfId="0" applyFont="1" applyFill="1"/>
    <xf numFmtId="181" fontId="28" fillId="10" borderId="0" xfId="0" applyNumberFormat="1" applyFont="1" applyFill="1" applyAlignment="1">
      <alignment horizontal="right" vertical="center"/>
    </xf>
    <xf numFmtId="181" fontId="24" fillId="0" borderId="0" xfId="0" applyNumberFormat="1" applyFont="1" applyAlignment="1">
      <alignment horizontal="right" vertical="center"/>
    </xf>
    <xf numFmtId="181" fontId="0" fillId="0" borderId="0" xfId="0" applyNumberFormat="1"/>
    <xf numFmtId="181" fontId="25" fillId="0" borderId="0" xfId="0" applyNumberFormat="1" applyFont="1" applyAlignment="1">
      <alignment horizontal="right" vertical="center"/>
    </xf>
    <xf numFmtId="182" fontId="24" fillId="0" borderId="5" xfId="0" applyNumberFormat="1" applyFont="1" applyBorder="1" applyAlignment="1">
      <alignment horizontal="right" vertical="center"/>
    </xf>
    <xf numFmtId="182" fontId="28" fillId="10" borderId="5" xfId="0" applyNumberFormat="1" applyFont="1" applyFill="1" applyBorder="1" applyAlignment="1">
      <alignment horizontal="right" vertical="center"/>
    </xf>
    <xf numFmtId="182" fontId="0" fillId="0" borderId="5" xfId="0" applyNumberFormat="1" applyBorder="1"/>
    <xf numFmtId="182" fontId="25" fillId="0" borderId="5" xfId="0" applyNumberFormat="1" applyFont="1" applyBorder="1" applyAlignment="1">
      <alignment horizontal="right" vertical="center"/>
    </xf>
    <xf numFmtId="183" fontId="24" fillId="0" borderId="5" xfId="0" applyNumberFormat="1" applyFont="1" applyBorder="1" applyAlignment="1">
      <alignment horizontal="right" vertical="center"/>
    </xf>
    <xf numFmtId="183" fontId="0" fillId="0" borderId="5" xfId="0" applyNumberFormat="1" applyBorder="1"/>
    <xf numFmtId="183" fontId="25" fillId="0" borderId="5" xfId="0" applyNumberFormat="1" applyFont="1" applyBorder="1" applyAlignment="1">
      <alignment horizontal="right" vertical="center"/>
    </xf>
    <xf numFmtId="183" fontId="24" fillId="0" borderId="0" xfId="0" applyNumberFormat="1" applyFont="1" applyAlignment="1">
      <alignment horizontal="right" vertical="center"/>
    </xf>
    <xf numFmtId="183" fontId="0" fillId="0" borderId="0" xfId="0" applyNumberFormat="1"/>
    <xf numFmtId="183" fontId="25" fillId="0" borderId="0" xfId="0" applyNumberFormat="1" applyFont="1" applyAlignment="1">
      <alignment horizontal="right" vertical="center"/>
    </xf>
    <xf numFmtId="183" fontId="28" fillId="10" borderId="5" xfId="0" applyNumberFormat="1" applyFont="1" applyFill="1" applyBorder="1" applyAlignment="1">
      <alignment horizontal="right" vertical="center"/>
    </xf>
    <xf numFmtId="0" fontId="23" fillId="7" borderId="4" xfId="0" applyFont="1" applyFill="1" applyBorder="1" applyAlignment="1">
      <alignment horizontal="center"/>
    </xf>
    <xf numFmtId="0" fontId="23" fillId="7" borderId="4" xfId="0" applyFont="1" applyFill="1" applyBorder="1" applyAlignment="1">
      <alignment horizontal="center" vertical="center"/>
    </xf>
    <xf numFmtId="0" fontId="26" fillId="9" borderId="0" xfId="0" applyFont="1" applyFill="1" applyAlignment="1">
      <alignment horizontal="center"/>
    </xf>
    <xf numFmtId="0" fontId="28" fillId="10" borderId="0" xfId="0" applyFont="1" applyFill="1"/>
    <xf numFmtId="0" fontId="29" fillId="9" borderId="0" xfId="0" applyFont="1" applyFill="1"/>
    <xf numFmtId="182" fontId="24" fillId="0" borderId="0" xfId="0" applyNumberFormat="1" applyFont="1" applyAlignment="1">
      <alignment horizontal="right"/>
    </xf>
    <xf numFmtId="181" fontId="24" fillId="0" borderId="0" xfId="0" applyNumberFormat="1" applyFont="1" applyAlignment="1">
      <alignment horizontal="right"/>
    </xf>
    <xf numFmtId="181" fontId="28" fillId="10" borderId="0" xfId="0" applyNumberFormat="1" applyFont="1" applyFill="1"/>
    <xf numFmtId="184" fontId="24" fillId="0" borderId="0" xfId="0" applyNumberFormat="1" applyFont="1" applyAlignment="1">
      <alignment horizontal="right"/>
    </xf>
    <xf numFmtId="185" fontId="24" fillId="0" borderId="0" xfId="0" applyNumberFormat="1" applyFont="1" applyAlignment="1">
      <alignment horizontal="right"/>
    </xf>
    <xf numFmtId="183" fontId="24" fillId="0" borderId="0" xfId="0" applyNumberFormat="1" applyFont="1" applyAlignment="1">
      <alignment horizontal="right"/>
    </xf>
    <xf numFmtId="0" fontId="18" fillId="0" borderId="0" xfId="0" applyFont="1"/>
    <xf numFmtId="0" fontId="0" fillId="0" borderId="0" xfId="0"/>
    <xf numFmtId="0" fontId="2" fillId="0" borderId="0" xfId="0" applyFont="1"/>
  </cellXfs>
  <cellStyles count="2">
    <cellStyle name="百分比" xfId="1" xr:uid="{00000000-0005-0000-0000-000000000000}"/>
    <cellStyle name="常规" xfId="0" builtinId="0"/>
  </cellStyles>
  <dxfs count="6">
    <dxf>
      <font>
        <b/>
        <sz val="10"/>
        <color rgb="FFFF0000"/>
        <name val="Arial"/>
      </font>
    </dxf>
    <dxf>
      <font>
        <b/>
        <sz val="10"/>
        <color rgb="FFFF0000"/>
        <name val="Arial"/>
      </font>
    </dxf>
    <dxf>
      <font>
        <b/>
        <sz val="10"/>
        <color rgb="FFFF0000"/>
        <name val="Arial"/>
      </font>
    </dxf>
    <dxf>
      <font>
        <b/>
        <sz val="10"/>
        <color rgb="FFFF0000"/>
        <name val="Arial"/>
      </font>
    </dxf>
    <dxf>
      <font>
        <b/>
        <sz val="10"/>
        <color rgb="FFFF0000"/>
        <name val="Arial"/>
      </font>
    </dxf>
    <dxf>
      <font>
        <b/>
        <sz val="10"/>
        <color rgb="FFFF0000"/>
        <name val="Arial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9"/>
  </sheetPr>
  <dimension ref="A1:H38"/>
  <sheetViews>
    <sheetView showGridLines="0" tabSelected="1" workbookViewId="0">
      <pane ySplit="3" topLeftCell="A4" activePane="bottomLeft" state="frozen"/>
      <selection pane="bottomLeft"/>
    </sheetView>
  </sheetViews>
  <sheetFormatPr baseColWidth="10" defaultColWidth="8.83203125" defaultRowHeight="14"/>
  <cols>
    <col min="1" max="1" width="34" customWidth="1"/>
    <col min="2" max="2" width="70" customWidth="1"/>
  </cols>
  <sheetData>
    <row r="1" spans="1:8" ht="28" customHeight="1">
      <c r="A1" s="1" t="s">
        <v>0</v>
      </c>
      <c r="B1" s="2"/>
      <c r="C1" s="2"/>
      <c r="D1" s="2"/>
      <c r="E1" s="2"/>
      <c r="F1" s="2"/>
      <c r="G1" s="2"/>
      <c r="H1" s="2"/>
    </row>
    <row r="2" spans="1:8" ht="16" customHeight="1">
      <c r="A2" s="3" t="s">
        <v>1</v>
      </c>
    </row>
    <row r="4" spans="1:8">
      <c r="A4" s="4" t="s">
        <v>2</v>
      </c>
    </row>
    <row r="6" spans="1:8">
      <c r="A6" s="4" t="s">
        <v>3</v>
      </c>
    </row>
    <row r="7" spans="1:8">
      <c r="A7" s="5" t="s">
        <v>4</v>
      </c>
      <c r="B7" s="5" t="s">
        <v>5</v>
      </c>
    </row>
    <row r="8" spans="1:8">
      <c r="A8" s="5" t="s">
        <v>6</v>
      </c>
      <c r="B8" s="5" t="s">
        <v>7</v>
      </c>
    </row>
    <row r="9" spans="1:8">
      <c r="A9" s="5" t="s">
        <v>8</v>
      </c>
      <c r="B9" s="5" t="s">
        <v>9</v>
      </c>
    </row>
    <row r="10" spans="1:8">
      <c r="A10" s="5" t="s">
        <v>10</v>
      </c>
      <c r="B10" s="5" t="s">
        <v>11</v>
      </c>
    </row>
    <row r="11" spans="1:8">
      <c r="A11" s="5" t="s">
        <v>12</v>
      </c>
      <c r="B11" s="5" t="s">
        <v>13</v>
      </c>
    </row>
    <row r="12" spans="1:8">
      <c r="A12" s="5" t="s">
        <v>14</v>
      </c>
      <c r="B12" s="5" t="s">
        <v>15</v>
      </c>
    </row>
    <row r="13" spans="1:8">
      <c r="A13" s="5" t="s">
        <v>16</v>
      </c>
      <c r="B13" s="5" t="s">
        <v>17</v>
      </c>
    </row>
    <row r="14" spans="1:8">
      <c r="A14" s="5" t="s">
        <v>18</v>
      </c>
      <c r="B14" s="5" t="s">
        <v>19</v>
      </c>
    </row>
    <row r="15" spans="1:8">
      <c r="A15" s="5" t="s">
        <v>20</v>
      </c>
      <c r="B15" s="5" t="s">
        <v>21</v>
      </c>
    </row>
    <row r="16" spans="1:8">
      <c r="A16" s="5" t="s">
        <v>22</v>
      </c>
      <c r="B16" s="5" t="s">
        <v>23</v>
      </c>
    </row>
    <row r="17" spans="1:2">
      <c r="A17" s="5" t="s">
        <v>24</v>
      </c>
      <c r="B17" s="5" t="s">
        <v>25</v>
      </c>
    </row>
    <row r="18" spans="1:2">
      <c r="A18" s="5" t="s">
        <v>26</v>
      </c>
      <c r="B18" s="5" t="s">
        <v>27</v>
      </c>
    </row>
    <row r="20" spans="1:2">
      <c r="A20" s="4" t="s">
        <v>28</v>
      </c>
    </row>
    <row r="21" spans="1:2">
      <c r="A21" s="6" t="s">
        <v>29</v>
      </c>
      <c r="B21" s="5" t="s">
        <v>30</v>
      </c>
    </row>
    <row r="22" spans="1:2">
      <c r="A22" t="s">
        <v>31</v>
      </c>
      <c r="B22" s="5" t="s">
        <v>32</v>
      </c>
    </row>
    <row r="23" spans="1:2">
      <c r="A23" s="7" t="s">
        <v>33</v>
      </c>
      <c r="B23" s="5" t="s">
        <v>34</v>
      </c>
    </row>
    <row r="24" spans="1:2">
      <c r="A24" t="s">
        <v>35</v>
      </c>
      <c r="B24" s="5" t="s">
        <v>36</v>
      </c>
    </row>
    <row r="26" spans="1:2">
      <c r="A26" s="4" t="s">
        <v>37</v>
      </c>
    </row>
    <row r="27" spans="1:2">
      <c r="A27" s="5" t="s">
        <v>38</v>
      </c>
      <c r="B27" s="5" t="s">
        <v>39</v>
      </c>
    </row>
    <row r="28" spans="1:2">
      <c r="A28" s="5" t="s">
        <v>40</v>
      </c>
      <c r="B28" s="5" t="s">
        <v>41</v>
      </c>
    </row>
    <row r="29" spans="1:2">
      <c r="A29" s="5" t="s">
        <v>42</v>
      </c>
      <c r="B29" s="5" t="s">
        <v>43</v>
      </c>
    </row>
    <row r="30" spans="1:2">
      <c r="A30" s="5" t="s">
        <v>44</v>
      </c>
      <c r="B30" s="5" t="s">
        <v>45</v>
      </c>
    </row>
    <row r="31" spans="1:2">
      <c r="A31" s="5" t="s">
        <v>46</v>
      </c>
      <c r="B31" s="5" t="s">
        <v>47</v>
      </c>
    </row>
    <row r="32" spans="1:2">
      <c r="A32" s="5" t="s">
        <v>48</v>
      </c>
      <c r="B32" s="5" t="s">
        <v>49</v>
      </c>
    </row>
    <row r="33" spans="1:2">
      <c r="A33" s="5" t="s">
        <v>50</v>
      </c>
      <c r="B33" s="5" t="s">
        <v>51</v>
      </c>
    </row>
    <row r="35" spans="1:2">
      <c r="A35" s="4" t="s">
        <v>52</v>
      </c>
    </row>
    <row r="36" spans="1:2">
      <c r="A36" s="5" t="s">
        <v>53</v>
      </c>
      <c r="B36" s="5" t="s">
        <v>54</v>
      </c>
    </row>
    <row r="37" spans="1:2">
      <c r="A37" s="5" t="s">
        <v>55</v>
      </c>
      <c r="B37" s="5" t="s">
        <v>56</v>
      </c>
    </row>
    <row r="38" spans="1:2">
      <c r="A38" s="5" t="s">
        <v>57</v>
      </c>
      <c r="B38" s="5" t="s">
        <v>58</v>
      </c>
    </row>
  </sheetData>
  <phoneticPr fontId="3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4E79"/>
  </sheetPr>
  <dimension ref="A1:K4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baseColWidth="10" defaultColWidth="8.83203125" defaultRowHeight="14"/>
  <cols>
    <col min="1" max="1" width="46" customWidth="1"/>
    <col min="2" max="2" width="34" hidden="1" customWidth="1"/>
    <col min="3" max="10" width="12" customWidth="1"/>
  </cols>
  <sheetData>
    <row r="1" spans="1:11" ht="28" customHeight="1">
      <c r="A1" s="1" t="s">
        <v>59</v>
      </c>
      <c r="B1" s="2"/>
      <c r="C1" s="2"/>
      <c r="D1" s="2"/>
      <c r="E1" s="2"/>
      <c r="F1" s="2"/>
      <c r="G1" s="2"/>
      <c r="H1" s="2"/>
      <c r="I1" s="2"/>
      <c r="J1" s="2"/>
    </row>
    <row r="2" spans="1:11" ht="16" customHeight="1">
      <c r="A2" s="3" t="s">
        <v>1</v>
      </c>
    </row>
    <row r="3" spans="1:11">
      <c r="C3" s="8" t="s">
        <v>60</v>
      </c>
      <c r="D3" s="8" t="s">
        <v>61</v>
      </c>
      <c r="E3" s="8" t="s">
        <v>62</v>
      </c>
      <c r="F3" s="8" t="s">
        <v>63</v>
      </c>
      <c r="G3" s="8" t="s">
        <v>64</v>
      </c>
      <c r="H3" s="8" t="s">
        <v>65</v>
      </c>
      <c r="I3" s="8" t="s">
        <v>66</v>
      </c>
      <c r="J3" s="8" t="s">
        <v>67</v>
      </c>
    </row>
    <row r="4" spans="1:11">
      <c r="C4" s="9"/>
      <c r="D4" s="9"/>
      <c r="E4" s="9"/>
      <c r="F4" s="9"/>
      <c r="G4" s="9"/>
      <c r="H4" s="9"/>
      <c r="I4" s="9"/>
      <c r="J4" s="9"/>
    </row>
    <row r="6" spans="1:11">
      <c r="A6" s="10" t="s">
        <v>68</v>
      </c>
    </row>
    <row r="7" spans="1:11">
      <c r="A7" s="11" t="str">
        <f>HYPERLINK("#'Income Statement'!A9","1. Consolidated Income Statement")</f>
        <v>1. Consolidated Income Statement</v>
      </c>
    </row>
    <row r="8" spans="1:11" ht="8" customHeight="1"/>
    <row r="9" spans="1:11" ht="20" customHeight="1">
      <c r="A9" s="12" t="s">
        <v>69</v>
      </c>
      <c r="B9" s="2"/>
      <c r="C9" s="2"/>
      <c r="D9" s="2"/>
      <c r="E9" s="2"/>
      <c r="F9" s="2"/>
      <c r="G9" s="2"/>
      <c r="H9" s="2"/>
      <c r="I9" s="2"/>
      <c r="J9" s="2"/>
      <c r="K9" t="s">
        <v>70</v>
      </c>
    </row>
    <row r="10" spans="1:11">
      <c r="A10" s="10" t="s">
        <v>71</v>
      </c>
      <c r="C10" s="13">
        <v>14900</v>
      </c>
      <c r="D10" s="13">
        <v>28228</v>
      </c>
      <c r="E10" s="13">
        <v>27243</v>
      </c>
      <c r="F10" s="13">
        <v>30793</v>
      </c>
      <c r="G10" s="13">
        <v>33364</v>
      </c>
      <c r="H10" s="13">
        <v>32854</v>
      </c>
      <c r="I10" s="13">
        <v>33005</v>
      </c>
      <c r="J10" s="13">
        <v>33986</v>
      </c>
      <c r="K10" s="43">
        <f>POWER(J10/D10,1/6)-1</f>
        <v>3.1422633662103294E-2</v>
      </c>
    </row>
    <row r="11" spans="1:11">
      <c r="A11" s="14" t="s">
        <v>72</v>
      </c>
      <c r="D11" s="15">
        <f t="shared" ref="D11:J11" si="0">IF(N(C10)=0,"",D10/C10-1)</f>
        <v>0.89449664429530196</v>
      </c>
      <c r="E11" s="15">
        <f t="shared" si="0"/>
        <v>-3.4894431061357478E-2</v>
      </c>
      <c r="F11" s="15">
        <f t="shared" si="0"/>
        <v>0.13030870315310361</v>
      </c>
      <c r="G11" s="15">
        <f t="shared" si="0"/>
        <v>8.3493001656220533E-2</v>
      </c>
      <c r="H11" s="15">
        <f t="shared" si="0"/>
        <v>-1.5285936938017053E-2</v>
      </c>
      <c r="I11" s="15">
        <f t="shared" si="0"/>
        <v>4.5960918000851336E-3</v>
      </c>
      <c r="J11" s="15">
        <f t="shared" si="0"/>
        <v>2.9722769277382266E-2</v>
      </c>
    </row>
    <row r="13" spans="1:11">
      <c r="A13" s="5" t="s">
        <v>73</v>
      </c>
      <c r="C13" s="16">
        <v>9084</v>
      </c>
      <c r="D13" s="16">
        <v>16644</v>
      </c>
      <c r="E13" s="16">
        <v>15383</v>
      </c>
      <c r="F13" s="16">
        <v>17543</v>
      </c>
      <c r="G13" s="16">
        <v>19450</v>
      </c>
      <c r="H13" s="16">
        <v>17492</v>
      </c>
      <c r="I13" s="16">
        <v>17143</v>
      </c>
      <c r="J13" s="16">
        <v>17389</v>
      </c>
      <c r="K13" s="43">
        <f>POWER(J13/D13,1/6)-1</f>
        <v>7.3247005546517308E-3</v>
      </c>
    </row>
    <row r="14" spans="1:11">
      <c r="A14" s="10" t="s">
        <v>74</v>
      </c>
      <c r="C14" s="17">
        <f t="shared" ref="C14:J14" si="1">C10-C13</f>
        <v>5816</v>
      </c>
      <c r="D14" s="17">
        <f t="shared" si="1"/>
        <v>11584</v>
      </c>
      <c r="E14" s="17">
        <f t="shared" si="1"/>
        <v>11860</v>
      </c>
      <c r="F14" s="17">
        <f t="shared" si="1"/>
        <v>13250</v>
      </c>
      <c r="G14" s="17">
        <f t="shared" si="1"/>
        <v>13914</v>
      </c>
      <c r="H14" s="17">
        <f t="shared" si="1"/>
        <v>15362</v>
      </c>
      <c r="I14" s="17">
        <f t="shared" si="1"/>
        <v>15862</v>
      </c>
      <c r="J14" s="17">
        <f t="shared" si="1"/>
        <v>16597</v>
      </c>
      <c r="K14" s="43">
        <f>POWER(J14/D14,1/6)-1</f>
        <v>6.1765250242033387E-2</v>
      </c>
    </row>
    <row r="15" spans="1:11">
      <c r="A15" s="14" t="s">
        <v>75</v>
      </c>
      <c r="C15" s="15">
        <f t="shared" ref="C15:J15" si="2">C14/C10</f>
        <v>0.39033557046979867</v>
      </c>
      <c r="D15" s="15">
        <f t="shared" si="2"/>
        <v>0.41037267960889895</v>
      </c>
      <c r="E15" s="15">
        <f t="shared" si="2"/>
        <v>0.43534118856219944</v>
      </c>
      <c r="F15" s="15">
        <f t="shared" si="2"/>
        <v>0.43029259896729777</v>
      </c>
      <c r="G15" s="15">
        <f t="shared" si="2"/>
        <v>0.41703632657954681</v>
      </c>
      <c r="H15" s="15">
        <f t="shared" si="2"/>
        <v>0.46758385584708101</v>
      </c>
      <c r="I15" s="15">
        <f t="shared" si="2"/>
        <v>0.48059384941675504</v>
      </c>
      <c r="J15" s="15">
        <f t="shared" si="2"/>
        <v>0.48834814335314541</v>
      </c>
    </row>
    <row r="17" spans="1:11">
      <c r="A17" s="5" t="s">
        <v>76</v>
      </c>
      <c r="C17" s="16">
        <v>1629</v>
      </c>
      <c r="D17" s="16">
        <v>3457</v>
      </c>
      <c r="E17" s="16">
        <v>3193</v>
      </c>
      <c r="F17" s="16">
        <v>3189</v>
      </c>
      <c r="G17" s="16">
        <v>3107</v>
      </c>
      <c r="H17" s="16">
        <v>3295</v>
      </c>
      <c r="I17" s="16">
        <v>3337</v>
      </c>
      <c r="J17" s="16">
        <v>3433</v>
      </c>
      <c r="K17" s="43">
        <f>POWER(J17/D17,1/6)-1</f>
        <v>-1.160433919211834E-3</v>
      </c>
    </row>
    <row r="18" spans="1:11">
      <c r="A18" s="5" t="s">
        <v>77</v>
      </c>
      <c r="C18" s="16">
        <v>113</v>
      </c>
      <c r="D18" s="16">
        <v>184</v>
      </c>
      <c r="E18" s="16">
        <v>152</v>
      </c>
      <c r="F18" s="16">
        <v>143</v>
      </c>
      <c r="G18" s="16">
        <v>143</v>
      </c>
      <c r="H18" s="16">
        <v>146</v>
      </c>
      <c r="I18" s="16">
        <v>150</v>
      </c>
      <c r="J18" s="16">
        <v>147</v>
      </c>
    </row>
    <row r="19" spans="1:11">
      <c r="A19" s="5" t="s">
        <v>78</v>
      </c>
      <c r="C19" s="16">
        <v>1830</v>
      </c>
      <c r="D19" s="16">
        <v>4675</v>
      </c>
      <c r="E19" s="16">
        <v>4626</v>
      </c>
      <c r="F19" s="16">
        <v>4635</v>
      </c>
      <c r="G19" s="16">
        <v>4204</v>
      </c>
      <c r="H19" s="16">
        <v>3816</v>
      </c>
      <c r="I19" s="16">
        <v>3780</v>
      </c>
      <c r="J19" s="16">
        <v>3763</v>
      </c>
      <c r="K19" s="43">
        <f>POWER(J19/D19,1/6)-1</f>
        <v>-3.552250012583158E-2</v>
      </c>
    </row>
    <row r="20" spans="1:11" ht="36">
      <c r="A20" s="5" t="s">
        <v>79</v>
      </c>
      <c r="B20" s="18" t="s">
        <v>80</v>
      </c>
      <c r="C20" s="16">
        <v>309</v>
      </c>
      <c r="D20" s="16">
        <v>567</v>
      </c>
      <c r="E20" s="16">
        <v>506</v>
      </c>
      <c r="F20" s="16">
        <v>273</v>
      </c>
      <c r="G20" s="16">
        <v>1029</v>
      </c>
      <c r="H20" s="16">
        <v>40</v>
      </c>
      <c r="I20" s="16">
        <v>145</v>
      </c>
      <c r="J20" s="16">
        <v>273</v>
      </c>
    </row>
    <row r="21" spans="1:11" ht="24">
      <c r="A21" s="5" t="s">
        <v>81</v>
      </c>
      <c r="B21" s="18" t="s">
        <v>82</v>
      </c>
      <c r="C21" s="16">
        <v>-3294</v>
      </c>
      <c r="D21" s="16">
        <v>-164</v>
      </c>
    </row>
    <row r="22" spans="1:11">
      <c r="A22" s="5" t="s">
        <v>83</v>
      </c>
      <c r="C22" s="16">
        <v>-18</v>
      </c>
      <c r="D22" s="16">
        <v>-68</v>
      </c>
      <c r="E22" s="16">
        <v>61</v>
      </c>
      <c r="F22" s="16">
        <v>26</v>
      </c>
      <c r="G22" s="16">
        <v>62</v>
      </c>
      <c r="H22" s="16">
        <v>41</v>
      </c>
      <c r="I22" s="16">
        <v>-185</v>
      </c>
      <c r="J22" s="16">
        <v>58</v>
      </c>
    </row>
    <row r="23" spans="1:11">
      <c r="A23" s="10" t="s">
        <v>84</v>
      </c>
      <c r="C23" s="19">
        <f t="shared" ref="C23:J23" si="3">C14-C17-C18-C19-C20-C21-C22</f>
        <v>5247</v>
      </c>
      <c r="D23" s="19">
        <f t="shared" si="3"/>
        <v>2933</v>
      </c>
      <c r="E23" s="19">
        <f t="shared" si="3"/>
        <v>3322</v>
      </c>
      <c r="F23" s="19">
        <f t="shared" si="3"/>
        <v>4984</v>
      </c>
      <c r="G23" s="19">
        <f t="shared" si="3"/>
        <v>5369</v>
      </c>
      <c r="H23" s="19">
        <f t="shared" si="3"/>
        <v>8024</v>
      </c>
      <c r="I23" s="19">
        <f t="shared" si="3"/>
        <v>8635</v>
      </c>
      <c r="J23" s="19">
        <f t="shared" si="3"/>
        <v>8923</v>
      </c>
      <c r="K23" s="43">
        <f>POWER(J23/D23,1/6)-1</f>
        <v>0.20374123635904162</v>
      </c>
    </row>
    <row r="24" spans="1:11">
      <c r="A24" s="14" t="s">
        <v>85</v>
      </c>
      <c r="C24" s="15">
        <f t="shared" ref="C24:J24" si="4">C23/C10</f>
        <v>0.35214765100671142</v>
      </c>
      <c r="D24" s="15">
        <f t="shared" si="4"/>
        <v>0.10390392518067168</v>
      </c>
      <c r="E24" s="15">
        <f t="shared" si="4"/>
        <v>0.12193958080974929</v>
      </c>
      <c r="F24" s="15">
        <f t="shared" si="4"/>
        <v>0.16185496703796318</v>
      </c>
      <c r="G24" s="15">
        <f t="shared" si="4"/>
        <v>0.16092195180434002</v>
      </c>
      <c r="H24" s="15">
        <f t="shared" si="4"/>
        <v>0.24423205697936323</v>
      </c>
      <c r="I24" s="15">
        <f t="shared" si="4"/>
        <v>0.26162702620815026</v>
      </c>
      <c r="J24" s="15">
        <f t="shared" si="4"/>
        <v>0.26254928499970576</v>
      </c>
    </row>
    <row r="26" spans="1:11">
      <c r="A26" s="5" t="s">
        <v>86</v>
      </c>
      <c r="C26" s="16">
        <v>202</v>
      </c>
      <c r="D26" s="16">
        <v>38</v>
      </c>
      <c r="E26" s="16">
        <v>115</v>
      </c>
      <c r="F26" s="16">
        <v>77</v>
      </c>
      <c r="G26" s="16">
        <v>63</v>
      </c>
      <c r="H26" s="16">
        <v>200</v>
      </c>
      <c r="I26" s="16">
        <v>256</v>
      </c>
      <c r="J26" s="16">
        <v>255</v>
      </c>
    </row>
    <row r="27" spans="1:11">
      <c r="A27" s="5" t="s">
        <v>87</v>
      </c>
      <c r="C27" s="16">
        <v>-4</v>
      </c>
      <c r="D27" s="16">
        <v>-32</v>
      </c>
      <c r="E27" s="16">
        <v>-177</v>
      </c>
      <c r="F27" s="16">
        <v>-192</v>
      </c>
      <c r="G27" s="16">
        <v>-237</v>
      </c>
      <c r="H27" s="16">
        <v>-164</v>
      </c>
      <c r="I27" s="16">
        <v>-190</v>
      </c>
      <c r="J27" s="16">
        <v>-229</v>
      </c>
    </row>
    <row r="28" spans="1:11">
      <c r="A28" s="10" t="s">
        <v>88</v>
      </c>
      <c r="C28" s="17">
        <f t="shared" ref="C28:J28" si="5">C23-C26-C27</f>
        <v>5049</v>
      </c>
      <c r="D28" s="17">
        <f t="shared" si="5"/>
        <v>2927</v>
      </c>
      <c r="E28" s="17">
        <f t="shared" si="5"/>
        <v>3384</v>
      </c>
      <c r="F28" s="17">
        <f t="shared" si="5"/>
        <v>5099</v>
      </c>
      <c r="G28" s="17">
        <f t="shared" si="5"/>
        <v>5543</v>
      </c>
      <c r="H28" s="17">
        <f t="shared" si="5"/>
        <v>7988</v>
      </c>
      <c r="I28" s="17">
        <f t="shared" si="5"/>
        <v>8569</v>
      </c>
      <c r="J28" s="17">
        <f t="shared" si="5"/>
        <v>8897</v>
      </c>
    </row>
    <row r="29" spans="1:11">
      <c r="A29" s="5" t="s">
        <v>89</v>
      </c>
      <c r="C29" s="16">
        <v>817</v>
      </c>
      <c r="D29" s="16">
        <v>769</v>
      </c>
      <c r="E29" s="16">
        <v>847</v>
      </c>
      <c r="F29" s="16">
        <v>1262</v>
      </c>
      <c r="G29" s="16">
        <v>1434</v>
      </c>
      <c r="H29" s="16">
        <v>1814</v>
      </c>
      <c r="I29" s="16">
        <v>2002</v>
      </c>
      <c r="J29" s="16">
        <v>1989</v>
      </c>
      <c r="K29" s="43">
        <f>POWER(J29/D29,1/6)-1</f>
        <v>0.17161450713775817</v>
      </c>
    </row>
    <row r="30" spans="1:11">
      <c r="A30" s="14" t="s">
        <v>90</v>
      </c>
      <c r="C30" s="15">
        <f t="shared" ref="C30:J30" si="6">C29/C28</f>
        <v>0.16181422063775006</v>
      </c>
      <c r="D30" s="15">
        <f t="shared" si="6"/>
        <v>0.26272634096344377</v>
      </c>
      <c r="E30" s="15">
        <f t="shared" si="6"/>
        <v>0.25029550827423169</v>
      </c>
      <c r="F30" s="15">
        <f t="shared" si="6"/>
        <v>0.24749950970778584</v>
      </c>
      <c r="G30" s="15">
        <f t="shared" si="6"/>
        <v>0.25870467255998558</v>
      </c>
      <c r="H30" s="15">
        <f t="shared" si="6"/>
        <v>0.22709063595393089</v>
      </c>
      <c r="I30" s="15">
        <f t="shared" si="6"/>
        <v>0.23363286264441591</v>
      </c>
      <c r="J30" s="15">
        <f t="shared" si="6"/>
        <v>0.22355850286613466</v>
      </c>
    </row>
    <row r="31" spans="1:11">
      <c r="A31" s="5" t="s">
        <v>91</v>
      </c>
      <c r="C31" s="20">
        <f t="shared" ref="C31:J31" si="7">C28-C29</f>
        <v>4232</v>
      </c>
      <c r="D31" s="20">
        <f t="shared" si="7"/>
        <v>2158</v>
      </c>
      <c r="E31" s="20">
        <f t="shared" si="7"/>
        <v>2537</v>
      </c>
      <c r="F31" s="20">
        <f t="shared" si="7"/>
        <v>3837</v>
      </c>
      <c r="G31" s="20">
        <f t="shared" si="7"/>
        <v>4109</v>
      </c>
      <c r="H31" s="20">
        <f t="shared" si="7"/>
        <v>6174</v>
      </c>
      <c r="I31" s="20">
        <f t="shared" si="7"/>
        <v>6567</v>
      </c>
      <c r="J31" s="20">
        <f t="shared" si="7"/>
        <v>6908</v>
      </c>
    </row>
    <row r="32" spans="1:11">
      <c r="A32" s="5" t="s">
        <v>92</v>
      </c>
      <c r="C32" s="16">
        <v>56</v>
      </c>
      <c r="D32" s="16">
        <v>114</v>
      </c>
      <c r="E32" s="16">
        <v>85</v>
      </c>
      <c r="F32" s="16">
        <v>119</v>
      </c>
      <c r="G32" s="16">
        <v>172</v>
      </c>
      <c r="H32" s="16">
        <v>167</v>
      </c>
      <c r="I32" s="16">
        <v>170</v>
      </c>
      <c r="J32" s="16">
        <v>150</v>
      </c>
    </row>
    <row r="33" spans="1:11">
      <c r="A33" s="5" t="s">
        <v>93</v>
      </c>
      <c r="B33" s="18" t="s">
        <v>94</v>
      </c>
      <c r="C33" s="16">
        <v>117</v>
      </c>
      <c r="D33" s="16">
        <v>109</v>
      </c>
      <c r="E33" s="16">
        <v>4</v>
      </c>
      <c r="F33" s="16">
        <v>5</v>
      </c>
    </row>
    <row r="34" spans="1:11">
      <c r="A34" s="10" t="s">
        <v>95</v>
      </c>
      <c r="C34" s="17">
        <f t="shared" ref="C34:J34" si="8">C31+C32+C33</f>
        <v>4405</v>
      </c>
      <c r="D34" s="17">
        <f t="shared" si="8"/>
        <v>2381</v>
      </c>
      <c r="E34" s="17">
        <f t="shared" si="8"/>
        <v>2626</v>
      </c>
      <c r="F34" s="17">
        <f t="shared" si="8"/>
        <v>3961</v>
      </c>
      <c r="G34" s="17">
        <f t="shared" si="8"/>
        <v>4281</v>
      </c>
      <c r="H34" s="17">
        <f t="shared" si="8"/>
        <v>6341</v>
      </c>
      <c r="I34" s="17">
        <f t="shared" si="8"/>
        <v>6737</v>
      </c>
      <c r="J34" s="17">
        <f t="shared" si="8"/>
        <v>7058</v>
      </c>
    </row>
    <row r="35" spans="1:11">
      <c r="A35" s="5" t="s">
        <v>96</v>
      </c>
      <c r="C35" s="16">
        <v>-15</v>
      </c>
      <c r="D35" s="16">
        <v>-89</v>
      </c>
      <c r="E35" s="16">
        <v>-125</v>
      </c>
      <c r="F35" s="16">
        <v>-135</v>
      </c>
      <c r="G35" s="16">
        <v>-134</v>
      </c>
      <c r="H35" s="16">
        <v>-142</v>
      </c>
      <c r="I35" s="16">
        <v>-172</v>
      </c>
      <c r="J35" s="16">
        <v>-160</v>
      </c>
    </row>
    <row r="36" spans="1:11">
      <c r="A36" s="5" t="s">
        <v>97</v>
      </c>
      <c r="C36" s="16">
        <v>-9</v>
      </c>
      <c r="D36" s="16">
        <v>-7</v>
      </c>
    </row>
    <row r="37" spans="1:11">
      <c r="A37" s="10" t="s">
        <v>98</v>
      </c>
      <c r="C37" s="19">
        <f t="shared" ref="C37:J37" si="9">C34+C35+C36</f>
        <v>4381</v>
      </c>
      <c r="D37" s="19">
        <f t="shared" si="9"/>
        <v>2285</v>
      </c>
      <c r="E37" s="19">
        <f t="shared" si="9"/>
        <v>2501</v>
      </c>
      <c r="F37" s="19">
        <f t="shared" si="9"/>
        <v>3826</v>
      </c>
      <c r="G37" s="19">
        <f t="shared" si="9"/>
        <v>4147</v>
      </c>
      <c r="H37" s="19">
        <f t="shared" si="9"/>
        <v>6199</v>
      </c>
      <c r="I37" s="19">
        <f t="shared" si="9"/>
        <v>6565</v>
      </c>
      <c r="J37" s="19">
        <f t="shared" si="9"/>
        <v>6898</v>
      </c>
    </row>
    <row r="38" spans="1:11">
      <c r="A38" s="14" t="s">
        <v>99</v>
      </c>
      <c r="C38" s="15">
        <f t="shared" ref="C38:J38" si="10">C37/C10</f>
        <v>0.29402684563758391</v>
      </c>
      <c r="D38" s="15">
        <f t="shared" si="10"/>
        <v>8.0947994898682166E-2</v>
      </c>
      <c r="E38" s="15">
        <f t="shared" si="10"/>
        <v>9.1803399038285063E-2</v>
      </c>
      <c r="F38" s="15">
        <f t="shared" si="10"/>
        <v>0.12424901763387783</v>
      </c>
      <c r="G38" s="15">
        <f t="shared" si="10"/>
        <v>0.12429564800383647</v>
      </c>
      <c r="H38" s="15">
        <f t="shared" si="10"/>
        <v>0.18868326535581664</v>
      </c>
      <c r="I38" s="15">
        <f t="shared" si="10"/>
        <v>0.19890925617330707</v>
      </c>
      <c r="J38" s="15">
        <f t="shared" si="10"/>
        <v>0.20296592714647207</v>
      </c>
    </row>
    <row r="39" spans="1:11">
      <c r="A39" s="14" t="s">
        <v>100</v>
      </c>
      <c r="D39" s="15">
        <f t="shared" ref="D39:J39" si="11">IF(N(C37)=0,"",D37/C37-1)</f>
        <v>-0.47842958228714905</v>
      </c>
      <c r="E39" s="15">
        <f t="shared" si="11"/>
        <v>9.4529540481400387E-2</v>
      </c>
      <c r="F39" s="15">
        <f t="shared" si="11"/>
        <v>0.52978808476609363</v>
      </c>
      <c r="G39" s="15">
        <f t="shared" si="11"/>
        <v>8.3899634082592822E-2</v>
      </c>
      <c r="H39" s="15">
        <f t="shared" si="11"/>
        <v>0.49481552929828787</v>
      </c>
      <c r="I39" s="15">
        <f t="shared" si="11"/>
        <v>5.9041780932408416E-2</v>
      </c>
      <c r="J39" s="15">
        <f t="shared" si="11"/>
        <v>5.0723533891850803E-2</v>
      </c>
    </row>
    <row r="41" spans="1:11">
      <c r="A41" s="5" t="s">
        <v>101</v>
      </c>
      <c r="C41" s="20">
        <f t="shared" ref="C41:J41" si="12">C37-C37</f>
        <v>0</v>
      </c>
      <c r="D41" s="20">
        <f t="shared" si="12"/>
        <v>0</v>
      </c>
      <c r="E41" s="20">
        <f t="shared" si="12"/>
        <v>0</v>
      </c>
      <c r="F41" s="20">
        <f t="shared" si="12"/>
        <v>0</v>
      </c>
      <c r="G41" s="20">
        <f t="shared" si="12"/>
        <v>0</v>
      </c>
      <c r="H41" s="20">
        <f t="shared" si="12"/>
        <v>0</v>
      </c>
      <c r="I41" s="20">
        <f t="shared" si="12"/>
        <v>0</v>
      </c>
      <c r="J41" s="20">
        <f t="shared" si="12"/>
        <v>0</v>
      </c>
    </row>
    <row r="43" spans="1:11">
      <c r="A43" s="10" t="s">
        <v>102</v>
      </c>
      <c r="C43" s="21">
        <v>13.26</v>
      </c>
      <c r="D43" s="21">
        <v>4.22</v>
      </c>
      <c r="E43" s="21">
        <v>4.75</v>
      </c>
      <c r="F43" s="21">
        <v>7.4</v>
      </c>
      <c r="G43" s="21">
        <v>8.3000000000000007</v>
      </c>
      <c r="H43" s="21">
        <v>12.7</v>
      </c>
      <c r="I43" s="21">
        <v>13.71</v>
      </c>
      <c r="J43" s="21">
        <v>14.69</v>
      </c>
      <c r="K43" s="43">
        <f>POWER(J43/D43,1/6)-1</f>
        <v>0.23107607382642392</v>
      </c>
    </row>
    <row r="44" spans="1:11">
      <c r="A44" s="14" t="s">
        <v>103</v>
      </c>
      <c r="D44" s="15">
        <f t="shared" ref="D44:J44" si="13">IF(N(C43)=0,"",D43/C43-1)</f>
        <v>-0.68174962292609353</v>
      </c>
      <c r="E44" s="15">
        <f t="shared" si="13"/>
        <v>0.12559241706161139</v>
      </c>
      <c r="F44" s="15">
        <f t="shared" si="13"/>
        <v>0.55789473684210544</v>
      </c>
      <c r="G44" s="15">
        <f t="shared" si="13"/>
        <v>0.12162162162162171</v>
      </c>
      <c r="H44" s="15">
        <f t="shared" si="13"/>
        <v>0.53012048192771055</v>
      </c>
      <c r="I44" s="15">
        <f t="shared" si="13"/>
        <v>7.9527559055118324E-2</v>
      </c>
      <c r="J44" s="15">
        <f t="shared" si="13"/>
        <v>7.1480671043034238E-2</v>
      </c>
    </row>
    <row r="45" spans="1:11">
      <c r="A45" s="10" t="s">
        <v>104</v>
      </c>
      <c r="C45" s="21">
        <v>13.11</v>
      </c>
      <c r="D45" s="21">
        <v>4.1900000000000004</v>
      </c>
      <c r="E45" s="21">
        <v>4.71</v>
      </c>
      <c r="F45" s="21">
        <v>7.33</v>
      </c>
      <c r="G45" s="21">
        <v>8.23</v>
      </c>
      <c r="H45" s="21">
        <v>12.59</v>
      </c>
      <c r="I45" s="21">
        <v>13.62</v>
      </c>
      <c r="J45" s="21">
        <v>14.61</v>
      </c>
      <c r="K45" s="43">
        <f>POWER(J45/D45,1/6)-1</f>
        <v>0.23141951596855459</v>
      </c>
    </row>
    <row r="46" spans="1:11">
      <c r="A46" s="14" t="s">
        <v>105</v>
      </c>
      <c r="D46" s="15">
        <f t="shared" ref="D46:J46" si="14">IF(N(C45)=0,"",D45/C45-1)</f>
        <v>-0.6803966437833715</v>
      </c>
      <c r="E46" s="15">
        <f t="shared" si="14"/>
        <v>0.12410501193317414</v>
      </c>
      <c r="F46" s="15">
        <f t="shared" si="14"/>
        <v>0.55626326963906592</v>
      </c>
      <c r="G46" s="15">
        <f t="shared" si="14"/>
        <v>0.12278308321964526</v>
      </c>
      <c r="H46" s="15">
        <f t="shared" si="14"/>
        <v>0.52976913730255148</v>
      </c>
      <c r="I46" s="15">
        <f t="shared" si="14"/>
        <v>8.1810961080222455E-2</v>
      </c>
      <c r="J46" s="15">
        <f t="shared" si="14"/>
        <v>7.2687224669603534E-2</v>
      </c>
    </row>
    <row r="47" spans="1:11">
      <c r="A47" s="5" t="s">
        <v>106</v>
      </c>
      <c r="C47" s="16">
        <v>330401</v>
      </c>
      <c r="D47" s="16">
        <v>541094</v>
      </c>
      <c r="E47" s="16">
        <v>526736</v>
      </c>
      <c r="F47" s="16">
        <v>516896</v>
      </c>
      <c r="G47" s="16">
        <v>499736</v>
      </c>
      <c r="H47" s="16">
        <v>488191</v>
      </c>
      <c r="I47" s="16">
        <v>478773</v>
      </c>
      <c r="J47" s="16">
        <v>469488</v>
      </c>
      <c r="K47" s="43">
        <f>POWER(J47/D47,1/6)-1</f>
        <v>-2.3380714029984206E-2</v>
      </c>
    </row>
    <row r="48" spans="1:11">
      <c r="A48" s="5" t="s">
        <v>107</v>
      </c>
      <c r="C48" s="16">
        <v>334127</v>
      </c>
      <c r="D48" s="16">
        <v>545170</v>
      </c>
      <c r="E48" s="16">
        <v>531157</v>
      </c>
      <c r="F48" s="16">
        <v>521875</v>
      </c>
      <c r="G48" s="16">
        <v>504038</v>
      </c>
      <c r="H48" s="16">
        <v>492290</v>
      </c>
      <c r="I48" s="16">
        <v>482092</v>
      </c>
      <c r="J48" s="16">
        <v>472195</v>
      </c>
      <c r="K48" s="43">
        <f>POWER(J48/D48,1/6)-1</f>
        <v>-2.3666391964328626E-2</v>
      </c>
    </row>
  </sheetData>
  <phoneticPr fontId="30" type="noConversion"/>
  <conditionalFormatting sqref="C41:J41">
    <cfRule type="cellIs" dxfId="5" priority="1" operator="notBetween">
      <formula>-0.5</formula>
      <formula>0.5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4E79"/>
  </sheetPr>
  <dimension ref="A1:J5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baseColWidth="10" defaultColWidth="8.83203125" defaultRowHeight="14"/>
  <cols>
    <col min="1" max="1" width="46" customWidth="1"/>
    <col min="2" max="2" width="34" hidden="1" customWidth="1"/>
    <col min="3" max="10" width="12" customWidth="1"/>
  </cols>
  <sheetData>
    <row r="1" spans="1:10" ht="28" customHeight="1">
      <c r="A1" s="1" t="s">
        <v>108</v>
      </c>
      <c r="B1" s="2"/>
      <c r="C1" s="2"/>
      <c r="D1" s="2"/>
      <c r="E1" s="2"/>
      <c r="F1" s="2"/>
      <c r="G1" s="2"/>
      <c r="H1" s="2"/>
      <c r="I1" s="2"/>
      <c r="J1" s="2"/>
    </row>
    <row r="2" spans="1:10" ht="16" customHeight="1">
      <c r="A2" s="3" t="s">
        <v>1</v>
      </c>
    </row>
    <row r="3" spans="1:10">
      <c r="C3" s="8" t="s">
        <v>60</v>
      </c>
      <c r="D3" s="8" t="s">
        <v>61</v>
      </c>
      <c r="E3" s="8" t="s">
        <v>62</v>
      </c>
      <c r="F3" s="8" t="s">
        <v>63</v>
      </c>
      <c r="G3" s="8" t="s">
        <v>64</v>
      </c>
      <c r="H3" s="8" t="s">
        <v>65</v>
      </c>
      <c r="I3" s="8" t="s">
        <v>66</v>
      </c>
      <c r="J3" s="8" t="s">
        <v>67</v>
      </c>
    </row>
    <row r="4" spans="1:10">
      <c r="C4" s="9"/>
      <c r="D4" s="9"/>
      <c r="E4" s="9"/>
      <c r="F4" s="9"/>
      <c r="G4" s="9"/>
      <c r="H4" s="9"/>
      <c r="I4" s="9"/>
      <c r="J4" s="9"/>
    </row>
    <row r="6" spans="1:10">
      <c r="A6" s="10" t="s">
        <v>68</v>
      </c>
    </row>
    <row r="7" spans="1:10">
      <c r="A7" s="11" t="str">
        <f>HYPERLINK("#'Balance Sheet'!A9","1. Consolidated Balance Sheet")</f>
        <v>1. Consolidated Balance Sheet</v>
      </c>
    </row>
    <row r="8" spans="1:10" ht="8" customHeight="1"/>
    <row r="9" spans="1:10" ht="20" customHeight="1">
      <c r="A9" s="12" t="s">
        <v>109</v>
      </c>
      <c r="B9" s="2"/>
      <c r="C9" s="2"/>
      <c r="D9" s="2"/>
      <c r="E9" s="2"/>
      <c r="F9" s="2"/>
      <c r="G9" s="2"/>
      <c r="H9" s="2"/>
      <c r="I9" s="2"/>
      <c r="J9" s="2"/>
    </row>
    <row r="10" spans="1:10">
      <c r="A10" s="5" t="s">
        <v>110</v>
      </c>
      <c r="C10" s="16">
        <v>4466</v>
      </c>
      <c r="D10" s="16">
        <v>2700</v>
      </c>
      <c r="E10" s="16">
        <v>3754</v>
      </c>
      <c r="F10" s="16">
        <v>2823</v>
      </c>
      <c r="G10" s="16">
        <v>5436</v>
      </c>
      <c r="H10" s="16">
        <v>4664</v>
      </c>
      <c r="I10" s="16">
        <v>4850</v>
      </c>
      <c r="J10" s="16">
        <v>5056</v>
      </c>
    </row>
    <row r="11" spans="1:10">
      <c r="A11" s="5" t="s">
        <v>111</v>
      </c>
      <c r="C11" s="16">
        <v>4297</v>
      </c>
      <c r="D11" s="16">
        <v>4322</v>
      </c>
      <c r="E11" s="16">
        <v>4167</v>
      </c>
      <c r="F11" s="16">
        <v>4499</v>
      </c>
      <c r="G11" s="16">
        <v>4559</v>
      </c>
      <c r="H11" s="16">
        <v>4718</v>
      </c>
      <c r="I11" s="16">
        <v>4622</v>
      </c>
      <c r="J11" s="16">
        <v>4966</v>
      </c>
    </row>
    <row r="12" spans="1:10">
      <c r="A12" s="5" t="s">
        <v>112</v>
      </c>
      <c r="C12" s="16">
        <v>283</v>
      </c>
      <c r="D12" s="16">
        <v>368</v>
      </c>
      <c r="E12" s="16">
        <v>162</v>
      </c>
      <c r="F12" s="16">
        <v>134</v>
      </c>
      <c r="G12" s="16">
        <v>124</v>
      </c>
      <c r="H12" s="16">
        <v>196</v>
      </c>
      <c r="I12" s="16">
        <v>263</v>
      </c>
      <c r="J12" s="16">
        <v>269</v>
      </c>
    </row>
    <row r="13" spans="1:10">
      <c r="A13" s="5" t="s">
        <v>113</v>
      </c>
      <c r="C13" s="16">
        <v>1651</v>
      </c>
      <c r="D13" s="16">
        <v>1697</v>
      </c>
      <c r="E13" s="16">
        <v>1729</v>
      </c>
      <c r="F13" s="16">
        <v>1733</v>
      </c>
      <c r="G13" s="16">
        <v>1978</v>
      </c>
      <c r="H13" s="16">
        <v>2115</v>
      </c>
      <c r="I13" s="16">
        <v>1946</v>
      </c>
      <c r="J13" s="16">
        <v>2055</v>
      </c>
    </row>
    <row r="14" spans="1:10" ht="24">
      <c r="A14" s="5" t="s">
        <v>114</v>
      </c>
      <c r="B14" s="18" t="s">
        <v>115</v>
      </c>
      <c r="C14" s="16">
        <v>5498</v>
      </c>
      <c r="D14" s="16">
        <v>125</v>
      </c>
    </row>
    <row r="15" spans="1:10">
      <c r="A15" s="5" t="s">
        <v>116</v>
      </c>
      <c r="C15" s="16">
        <v>1077</v>
      </c>
      <c r="D15" s="16">
        <v>1140</v>
      </c>
      <c r="E15" s="16">
        <v>1112</v>
      </c>
      <c r="F15" s="16">
        <v>970</v>
      </c>
      <c r="G15" s="16">
        <v>950</v>
      </c>
      <c r="H15" s="16">
        <v>927</v>
      </c>
      <c r="I15" s="16">
        <v>1264</v>
      </c>
      <c r="J15" s="16">
        <v>979</v>
      </c>
    </row>
    <row r="16" spans="1:10">
      <c r="A16" s="10" t="s">
        <v>117</v>
      </c>
      <c r="C16" s="19">
        <f t="shared" ref="C16:J16" si="0">C10+C11+C12+C13+C14+C15</f>
        <v>17272</v>
      </c>
      <c r="D16" s="19">
        <f t="shared" si="0"/>
        <v>10352</v>
      </c>
      <c r="E16" s="19">
        <f t="shared" si="0"/>
        <v>10924</v>
      </c>
      <c r="F16" s="19">
        <f t="shared" si="0"/>
        <v>10159</v>
      </c>
      <c r="G16" s="19">
        <f t="shared" si="0"/>
        <v>13047</v>
      </c>
      <c r="H16" s="19">
        <f t="shared" si="0"/>
        <v>12620</v>
      </c>
      <c r="I16" s="19">
        <f t="shared" si="0"/>
        <v>12945</v>
      </c>
      <c r="J16" s="19">
        <f t="shared" si="0"/>
        <v>13325</v>
      </c>
    </row>
    <row r="18" spans="1:10">
      <c r="A18" s="5" t="s">
        <v>118</v>
      </c>
      <c r="C18" s="16">
        <v>29717</v>
      </c>
      <c r="D18" s="16">
        <v>29064</v>
      </c>
      <c r="E18" s="16">
        <v>28711</v>
      </c>
      <c r="F18" s="16">
        <v>26003</v>
      </c>
      <c r="G18" s="16">
        <v>23548</v>
      </c>
      <c r="H18" s="16">
        <v>24552</v>
      </c>
      <c r="I18" s="16">
        <v>24775</v>
      </c>
      <c r="J18" s="16">
        <v>28260</v>
      </c>
    </row>
    <row r="19" spans="1:10">
      <c r="A19" s="5" t="s">
        <v>119</v>
      </c>
      <c r="C19" s="16">
        <v>1838</v>
      </c>
      <c r="D19" s="16">
        <v>2027</v>
      </c>
      <c r="E19" s="16">
        <v>2061</v>
      </c>
      <c r="F19" s="16">
        <v>2619</v>
      </c>
      <c r="G19" s="16">
        <v>2350</v>
      </c>
      <c r="H19" s="16">
        <v>2190</v>
      </c>
      <c r="I19" s="16">
        <v>2130</v>
      </c>
      <c r="J19" s="16">
        <v>2015</v>
      </c>
    </row>
    <row r="20" spans="1:10">
      <c r="A20" s="5" t="s">
        <v>120</v>
      </c>
      <c r="C20" s="16">
        <v>26874</v>
      </c>
      <c r="D20" s="16">
        <v>27019</v>
      </c>
      <c r="E20" s="16">
        <v>28201</v>
      </c>
      <c r="F20" s="16">
        <v>27038</v>
      </c>
      <c r="G20" s="16">
        <v>25817</v>
      </c>
      <c r="H20" s="16">
        <v>26751</v>
      </c>
      <c r="I20" s="16">
        <v>25937</v>
      </c>
      <c r="J20" s="16">
        <v>27927</v>
      </c>
    </row>
    <row r="21" spans="1:10">
      <c r="A21" s="5" t="s">
        <v>121</v>
      </c>
      <c r="C21" s="16">
        <v>16223</v>
      </c>
      <c r="D21" s="16">
        <v>16137</v>
      </c>
      <c r="E21" s="16">
        <v>16184</v>
      </c>
      <c r="F21" s="16">
        <v>13802</v>
      </c>
      <c r="G21" s="16">
        <v>12420</v>
      </c>
      <c r="H21" s="16">
        <v>12399</v>
      </c>
      <c r="I21" s="16">
        <v>11330</v>
      </c>
      <c r="J21" s="16">
        <v>11871</v>
      </c>
    </row>
    <row r="22" spans="1:10">
      <c r="A22" s="5" t="s">
        <v>122</v>
      </c>
      <c r="C22" s="16">
        <v>1462</v>
      </c>
      <c r="D22" s="16">
        <v>2013</v>
      </c>
      <c r="E22" s="16">
        <v>2148</v>
      </c>
      <c r="F22" s="16">
        <v>1984</v>
      </c>
      <c r="G22" s="16">
        <v>2476</v>
      </c>
      <c r="H22" s="16">
        <v>2299</v>
      </c>
      <c r="I22" s="16">
        <v>3030</v>
      </c>
      <c r="J22" s="16">
        <v>3419</v>
      </c>
    </row>
    <row r="23" spans="1:10">
      <c r="A23" s="10" t="s">
        <v>123</v>
      </c>
      <c r="C23" s="19">
        <f t="shared" ref="C23:J23" si="1">C16+C18+C19+C20+C21+C22</f>
        <v>93386</v>
      </c>
      <c r="D23" s="19">
        <f t="shared" si="1"/>
        <v>86612</v>
      </c>
      <c r="E23" s="19">
        <f t="shared" si="1"/>
        <v>88229</v>
      </c>
      <c r="F23" s="19">
        <f t="shared" si="1"/>
        <v>81605</v>
      </c>
      <c r="G23" s="19">
        <f t="shared" si="1"/>
        <v>79658</v>
      </c>
      <c r="H23" s="19">
        <f t="shared" si="1"/>
        <v>80811</v>
      </c>
      <c r="I23" s="19">
        <f t="shared" si="1"/>
        <v>80147</v>
      </c>
      <c r="J23" s="19">
        <f t="shared" si="1"/>
        <v>86817</v>
      </c>
    </row>
    <row r="25" spans="1:10">
      <c r="A25" s="5" t="s">
        <v>124</v>
      </c>
      <c r="C25" s="16">
        <v>3219</v>
      </c>
      <c r="D25" s="16">
        <v>3266</v>
      </c>
      <c r="E25" s="16">
        <v>3095</v>
      </c>
      <c r="F25" s="16">
        <v>3503</v>
      </c>
      <c r="G25" s="16">
        <v>2995</v>
      </c>
      <c r="H25" s="16">
        <v>3020</v>
      </c>
      <c r="I25" s="16">
        <v>2507</v>
      </c>
      <c r="J25" s="16">
        <v>2810</v>
      </c>
    </row>
    <row r="26" spans="1:10">
      <c r="A26" s="5" t="s">
        <v>125</v>
      </c>
      <c r="C26" s="16">
        <v>1485</v>
      </c>
      <c r="D26" s="16">
        <v>1732</v>
      </c>
      <c r="E26" s="16">
        <v>3251</v>
      </c>
      <c r="F26" s="16">
        <v>1163</v>
      </c>
      <c r="G26" s="16">
        <v>4117</v>
      </c>
      <c r="H26" s="16">
        <v>4713</v>
      </c>
      <c r="I26" s="16">
        <v>4223</v>
      </c>
      <c r="J26" s="16">
        <v>4510</v>
      </c>
    </row>
    <row r="27" spans="1:10">
      <c r="A27" s="5" t="s">
        <v>126</v>
      </c>
      <c r="C27" s="16">
        <v>1523</v>
      </c>
      <c r="D27" s="16">
        <v>1531</v>
      </c>
      <c r="E27" s="16">
        <v>751</v>
      </c>
      <c r="F27" s="16">
        <v>1709</v>
      </c>
      <c r="G27" s="16">
        <v>1599</v>
      </c>
      <c r="H27" s="16">
        <v>1263</v>
      </c>
      <c r="I27" s="16">
        <v>2057</v>
      </c>
      <c r="J27" s="16">
        <v>1796</v>
      </c>
    </row>
    <row r="28" spans="1:10">
      <c r="A28" s="5" t="s">
        <v>127</v>
      </c>
      <c r="C28" s="16">
        <v>1546</v>
      </c>
      <c r="D28" s="16">
        <v>1758</v>
      </c>
      <c r="E28" s="16">
        <v>1769</v>
      </c>
      <c r="F28" s="16">
        <v>2940</v>
      </c>
      <c r="G28" s="16">
        <v>3073</v>
      </c>
      <c r="H28" s="16">
        <v>1901</v>
      </c>
      <c r="I28" s="16">
        <v>1194</v>
      </c>
      <c r="J28" s="16">
        <v>1231</v>
      </c>
    </row>
    <row r="29" spans="1:10">
      <c r="A29" s="5" t="s">
        <v>128</v>
      </c>
      <c r="C29" s="16">
        <v>657</v>
      </c>
      <c r="D29" s="16">
        <v>370</v>
      </c>
      <c r="E29" s="16">
        <v>542</v>
      </c>
      <c r="F29" s="16">
        <v>429</v>
      </c>
      <c r="G29" s="16">
        <v>613</v>
      </c>
      <c r="H29" s="16">
        <v>664</v>
      </c>
      <c r="I29" s="16">
        <v>637</v>
      </c>
      <c r="J29" s="16">
        <v>680</v>
      </c>
    </row>
    <row r="30" spans="1:10">
      <c r="A30" s="5" t="s">
        <v>129</v>
      </c>
      <c r="C30" s="16">
        <v>768</v>
      </c>
      <c r="D30" s="16">
        <v>2</v>
      </c>
    </row>
    <row r="31" spans="1:10">
      <c r="A31" s="5" t="s">
        <v>130</v>
      </c>
      <c r="C31" s="16">
        <v>3758</v>
      </c>
      <c r="D31" s="16">
        <v>3501</v>
      </c>
      <c r="E31" s="16">
        <v>4332</v>
      </c>
      <c r="F31" s="16">
        <v>3899</v>
      </c>
      <c r="G31" s="16">
        <v>4082</v>
      </c>
      <c r="H31" s="16">
        <v>4156</v>
      </c>
      <c r="I31" s="16">
        <v>3926</v>
      </c>
      <c r="J31" s="16">
        <v>4171</v>
      </c>
    </row>
    <row r="32" spans="1:10">
      <c r="A32" s="10" t="s">
        <v>131</v>
      </c>
      <c r="C32" s="19">
        <f t="shared" ref="C32:J32" si="2">C25+C26+C27+C28+C29+C30+C31</f>
        <v>12956</v>
      </c>
      <c r="D32" s="19">
        <f t="shared" si="2"/>
        <v>12160</v>
      </c>
      <c r="E32" s="19">
        <f t="shared" si="2"/>
        <v>13740</v>
      </c>
      <c r="F32" s="19">
        <f t="shared" si="2"/>
        <v>13643</v>
      </c>
      <c r="G32" s="19">
        <f t="shared" si="2"/>
        <v>16479</v>
      </c>
      <c r="H32" s="19">
        <f t="shared" si="2"/>
        <v>15717</v>
      </c>
      <c r="I32" s="19">
        <f t="shared" si="2"/>
        <v>14544</v>
      </c>
      <c r="J32" s="19">
        <f t="shared" si="2"/>
        <v>15198</v>
      </c>
    </row>
    <row r="34" spans="1:10">
      <c r="A34" s="5" t="s">
        <v>132</v>
      </c>
      <c r="C34" s="16">
        <v>12288</v>
      </c>
      <c r="D34" s="16">
        <v>10693</v>
      </c>
      <c r="E34" s="16">
        <v>12152</v>
      </c>
      <c r="F34" s="16">
        <v>11335</v>
      </c>
      <c r="G34" s="16">
        <v>12198</v>
      </c>
      <c r="H34" s="16">
        <v>13397</v>
      </c>
      <c r="I34" s="16">
        <v>15343</v>
      </c>
      <c r="J34" s="16">
        <v>20683</v>
      </c>
    </row>
    <row r="35" spans="1:10">
      <c r="A35" s="5" t="s">
        <v>133</v>
      </c>
      <c r="C35" s="16">
        <v>3435</v>
      </c>
      <c r="D35" s="16">
        <v>4888</v>
      </c>
      <c r="E35" s="16">
        <v>5519</v>
      </c>
      <c r="F35" s="16">
        <v>4188</v>
      </c>
      <c r="G35" s="16">
        <v>2795</v>
      </c>
      <c r="H35" s="16">
        <v>3804</v>
      </c>
      <c r="I35" s="16">
        <v>4015</v>
      </c>
      <c r="J35" s="16">
        <v>4355</v>
      </c>
    </row>
    <row r="36" spans="1:10">
      <c r="A36" s="5" t="s">
        <v>134</v>
      </c>
      <c r="C36" s="16">
        <v>7611</v>
      </c>
      <c r="D36" s="16">
        <v>7236</v>
      </c>
      <c r="E36" s="16">
        <v>7236</v>
      </c>
      <c r="F36" s="16">
        <v>6998</v>
      </c>
      <c r="G36" s="16">
        <v>6799</v>
      </c>
      <c r="H36" s="16">
        <v>6798</v>
      </c>
      <c r="I36" s="16">
        <v>6757</v>
      </c>
      <c r="J36" s="16">
        <v>6840</v>
      </c>
    </row>
    <row r="37" spans="1:10">
      <c r="A37" s="10" t="s">
        <v>135</v>
      </c>
      <c r="C37" s="19">
        <f t="shared" ref="C37:J37" si="3">C32+C34+C35+C36</f>
        <v>36290</v>
      </c>
      <c r="D37" s="19">
        <f t="shared" si="3"/>
        <v>34977</v>
      </c>
      <c r="E37" s="19">
        <f t="shared" si="3"/>
        <v>38647</v>
      </c>
      <c r="F37" s="19">
        <f t="shared" si="3"/>
        <v>36164</v>
      </c>
      <c r="G37" s="19">
        <f t="shared" si="3"/>
        <v>38271</v>
      </c>
      <c r="H37" s="19">
        <f t="shared" si="3"/>
        <v>39716</v>
      </c>
      <c r="I37" s="19">
        <f t="shared" si="3"/>
        <v>40659</v>
      </c>
      <c r="J37" s="19">
        <f t="shared" si="3"/>
        <v>47076</v>
      </c>
    </row>
    <row r="39" spans="1:10">
      <c r="A39" s="5" t="s">
        <v>136</v>
      </c>
      <c r="C39" s="16">
        <v>16</v>
      </c>
      <c r="D39" s="16">
        <v>113</v>
      </c>
      <c r="E39" s="16">
        <v>13</v>
      </c>
      <c r="F39" s="16">
        <v>13</v>
      </c>
      <c r="G39" s="16">
        <v>13</v>
      </c>
      <c r="H39" s="16">
        <v>13</v>
      </c>
      <c r="I39" s="16">
        <v>13</v>
      </c>
      <c r="J39" s="16">
        <v>13</v>
      </c>
    </row>
    <row r="41" spans="1:10">
      <c r="A41" s="5" t="s">
        <v>137</v>
      </c>
      <c r="C41" s="16">
        <v>1</v>
      </c>
      <c r="D41" s="16">
        <v>1</v>
      </c>
      <c r="E41" s="16">
        <v>1</v>
      </c>
      <c r="F41" s="16">
        <v>1</v>
      </c>
      <c r="G41" s="16">
        <v>1</v>
      </c>
      <c r="H41" s="16">
        <v>1</v>
      </c>
      <c r="I41" s="16">
        <v>1</v>
      </c>
      <c r="J41" s="16">
        <v>1</v>
      </c>
    </row>
    <row r="42" spans="1:10">
      <c r="A42" s="5" t="s">
        <v>138</v>
      </c>
      <c r="C42" s="16">
        <v>40151</v>
      </c>
      <c r="D42" s="16">
        <v>40201</v>
      </c>
      <c r="E42" s="16">
        <v>40202</v>
      </c>
      <c r="F42" s="16">
        <v>40180</v>
      </c>
      <c r="G42" s="16">
        <v>40005</v>
      </c>
      <c r="H42" s="16">
        <v>39812</v>
      </c>
      <c r="I42" s="16">
        <v>39603</v>
      </c>
      <c r="J42" s="16">
        <v>39430</v>
      </c>
    </row>
    <row r="43" spans="1:10" ht="36">
      <c r="A43" s="5" t="s">
        <v>139</v>
      </c>
      <c r="B43" s="18" t="s">
        <v>140</v>
      </c>
      <c r="C43" s="16">
        <v>16529</v>
      </c>
      <c r="D43" s="16">
        <v>16842</v>
      </c>
      <c r="E43" s="16">
        <v>17178</v>
      </c>
      <c r="F43" s="16">
        <v>18710</v>
      </c>
      <c r="G43" s="16">
        <v>20541</v>
      </c>
      <c r="H43" s="16">
        <v>8845</v>
      </c>
      <c r="I43" s="16">
        <v>12634</v>
      </c>
      <c r="J43" s="16">
        <v>16608</v>
      </c>
    </row>
    <row r="44" spans="1:10">
      <c r="A44" s="5" t="s">
        <v>141</v>
      </c>
      <c r="C44" s="16">
        <v>-4456</v>
      </c>
      <c r="D44" s="16">
        <v>-4814</v>
      </c>
      <c r="E44" s="16">
        <v>-4690</v>
      </c>
      <c r="F44" s="16">
        <v>-5048</v>
      </c>
      <c r="G44" s="16">
        <v>-5782</v>
      </c>
      <c r="H44" s="16">
        <v>-5805</v>
      </c>
      <c r="I44" s="16">
        <v>-6894</v>
      </c>
      <c r="J44" s="16">
        <v>-6233</v>
      </c>
    </row>
    <row r="45" spans="1:10" ht="24">
      <c r="A45" s="5" t="s">
        <v>142</v>
      </c>
      <c r="B45" s="18" t="s">
        <v>143</v>
      </c>
      <c r="C45" s="16">
        <v>-629</v>
      </c>
      <c r="D45" s="16">
        <v>-3156</v>
      </c>
      <c r="E45" s="16">
        <v>-5374</v>
      </c>
      <c r="F45" s="16">
        <v>-9808</v>
      </c>
      <c r="G45" s="16">
        <v>-14737</v>
      </c>
      <c r="H45" s="16">
        <v>-3133</v>
      </c>
      <c r="I45" s="16">
        <v>-7252</v>
      </c>
      <c r="J45" s="16">
        <v>-11561</v>
      </c>
    </row>
    <row r="46" spans="1:10">
      <c r="A46" s="10" t="s">
        <v>144</v>
      </c>
      <c r="C46" s="19">
        <f t="shared" ref="C46:J46" si="4">C41+C42+C43+C44+C45</f>
        <v>51596</v>
      </c>
      <c r="D46" s="19">
        <f t="shared" si="4"/>
        <v>49074</v>
      </c>
      <c r="E46" s="19">
        <f t="shared" si="4"/>
        <v>47317</v>
      </c>
      <c r="F46" s="19">
        <f t="shared" si="4"/>
        <v>44035</v>
      </c>
      <c r="G46" s="19">
        <f t="shared" si="4"/>
        <v>40028</v>
      </c>
      <c r="H46" s="19">
        <f t="shared" si="4"/>
        <v>39720</v>
      </c>
      <c r="I46" s="19">
        <f t="shared" si="4"/>
        <v>38092</v>
      </c>
      <c r="J46" s="19">
        <f t="shared" si="4"/>
        <v>38245</v>
      </c>
    </row>
    <row r="47" spans="1:10">
      <c r="A47" s="5" t="s">
        <v>145</v>
      </c>
      <c r="C47" s="16">
        <v>5484</v>
      </c>
      <c r="D47" s="16">
        <v>2448</v>
      </c>
      <c r="E47" s="16">
        <v>2252</v>
      </c>
      <c r="F47" s="16">
        <v>1393</v>
      </c>
      <c r="G47" s="16">
        <v>1346</v>
      </c>
      <c r="H47" s="16">
        <v>1362</v>
      </c>
      <c r="I47" s="16">
        <v>1383</v>
      </c>
      <c r="J47" s="16">
        <v>1483</v>
      </c>
    </row>
    <row r="48" spans="1:10">
      <c r="A48" s="10" t="s">
        <v>146</v>
      </c>
      <c r="C48" s="19">
        <f t="shared" ref="C48:J48" si="5">C46+C47</f>
        <v>57080</v>
      </c>
      <c r="D48" s="19">
        <f t="shared" si="5"/>
        <v>51522</v>
      </c>
      <c r="E48" s="19">
        <f t="shared" si="5"/>
        <v>49569</v>
      </c>
      <c r="F48" s="19">
        <f t="shared" si="5"/>
        <v>45428</v>
      </c>
      <c r="G48" s="19">
        <f t="shared" si="5"/>
        <v>41374</v>
      </c>
      <c r="H48" s="19">
        <f t="shared" si="5"/>
        <v>41082</v>
      </c>
      <c r="I48" s="19">
        <f t="shared" si="5"/>
        <v>39475</v>
      </c>
      <c r="J48" s="19">
        <f t="shared" si="5"/>
        <v>39728</v>
      </c>
    </row>
    <row r="50" spans="1:10">
      <c r="A50" s="5" t="s">
        <v>147</v>
      </c>
      <c r="C50" s="20">
        <f t="shared" ref="C50:J50" si="6">C23-C37-C39-C48</f>
        <v>0</v>
      </c>
      <c r="D50" s="20">
        <f t="shared" si="6"/>
        <v>0</v>
      </c>
      <c r="E50" s="20">
        <f t="shared" si="6"/>
        <v>0</v>
      </c>
      <c r="F50" s="20">
        <f t="shared" si="6"/>
        <v>0</v>
      </c>
      <c r="G50" s="20">
        <f t="shared" si="6"/>
        <v>0</v>
      </c>
      <c r="H50" s="20">
        <f t="shared" si="6"/>
        <v>0</v>
      </c>
      <c r="I50" s="20">
        <f t="shared" si="6"/>
        <v>0</v>
      </c>
      <c r="J50" s="20">
        <f t="shared" si="6"/>
        <v>0</v>
      </c>
    </row>
    <row r="52" spans="1:10">
      <c r="A52" s="14" t="s">
        <v>148</v>
      </c>
      <c r="C52" s="22">
        <f>C11/'Income Statement'!C10*365</f>
        <v>105.26208053691275</v>
      </c>
      <c r="D52" s="22">
        <f>D11/'Income Statement'!D10*365</f>
        <v>55.885291200226717</v>
      </c>
      <c r="E52" s="22">
        <f>E11/'Income Statement'!E10*365</f>
        <v>55.829203832177072</v>
      </c>
      <c r="F52" s="22">
        <f>F11/'Income Statement'!F10*365</f>
        <v>53.328191472087809</v>
      </c>
      <c r="G52" s="22">
        <f>G11/'Income Statement'!G10*365</f>
        <v>49.875164848339523</v>
      </c>
      <c r="H52" s="22">
        <f>H11/'Income Statement'!H10*365</f>
        <v>52.415839775978569</v>
      </c>
      <c r="I52" s="22">
        <f>I11/'Income Statement'!I10*365</f>
        <v>51.114376609604605</v>
      </c>
      <c r="J52" s="22">
        <f>J11/'Income Statement'!J10*365</f>
        <v>53.333431412934736</v>
      </c>
    </row>
    <row r="53" spans="1:10">
      <c r="A53" s="14" t="s">
        <v>149</v>
      </c>
      <c r="C53" s="22">
        <f>C13/'Income Statement'!C13*365</f>
        <v>66.33806693086747</v>
      </c>
      <c r="D53" s="22">
        <f>D13/'Income Statement'!D13*365</f>
        <v>37.214912280701753</v>
      </c>
      <c r="E53" s="22">
        <f>E13/'Income Statement'!E13*365</f>
        <v>41.024832607423775</v>
      </c>
      <c r="F53" s="22">
        <f>F13/'Income Statement'!F13*365</f>
        <v>36.056831784757456</v>
      </c>
      <c r="G53" s="22">
        <f>G13/'Income Statement'!G13*365</f>
        <v>37.119280205655528</v>
      </c>
      <c r="H53" s="22">
        <f>H13/'Income Statement'!H13*365</f>
        <v>44.133032243311227</v>
      </c>
      <c r="I53" s="22">
        <f>I13/'Income Statement'!I13*365</f>
        <v>41.433238056349531</v>
      </c>
      <c r="J53" s="22">
        <f>J13/'Income Statement'!J13*365</f>
        <v>43.135027891195584</v>
      </c>
    </row>
    <row r="54" spans="1:10">
      <c r="A54" s="14" t="s">
        <v>150</v>
      </c>
      <c r="C54" s="22">
        <f>C25/'Income Statement'!C13*365</f>
        <v>129.34114927344783</v>
      </c>
      <c r="D54" s="22">
        <f>D25/'Income Statement'!D13*365</f>
        <v>71.622807017543849</v>
      </c>
      <c r="E54" s="22">
        <f>E25/'Income Statement'!E13*365</f>
        <v>73.436585841513363</v>
      </c>
      <c r="F54" s="22">
        <f>F25/'Income Statement'!F13*365</f>
        <v>72.883486290828245</v>
      </c>
      <c r="G54" s="22">
        <f>G25/'Income Statement'!G13*365</f>
        <v>56.20437017994859</v>
      </c>
      <c r="H54" s="22">
        <f>H25/'Income Statement'!H13*365</f>
        <v>63.01737937342785</v>
      </c>
      <c r="I54" s="22">
        <f>I25/'Income Statement'!I13*365</f>
        <v>53.377763518637344</v>
      </c>
      <c r="J54" s="22">
        <f>J25/'Income Statement'!J13*365</f>
        <v>58.982690206452354</v>
      </c>
    </row>
    <row r="55" spans="1:10">
      <c r="A55" s="14" t="s">
        <v>151</v>
      </c>
      <c r="C55" s="22">
        <f t="shared" ref="C55:J55" si="7">C52+C53-C54</f>
        <v>42.258998194332406</v>
      </c>
      <c r="D55" s="22">
        <f t="shared" si="7"/>
        <v>21.477396463384622</v>
      </c>
      <c r="E55" s="22">
        <f t="shared" si="7"/>
        <v>23.417450598087484</v>
      </c>
      <c r="F55" s="22">
        <f t="shared" si="7"/>
        <v>16.501536966017028</v>
      </c>
      <c r="G55" s="22">
        <f t="shared" si="7"/>
        <v>30.790074874046461</v>
      </c>
      <c r="H55" s="22">
        <f t="shared" si="7"/>
        <v>33.531492645861952</v>
      </c>
      <c r="I55" s="22">
        <f t="shared" si="7"/>
        <v>39.169851147316798</v>
      </c>
      <c r="J55" s="22">
        <f t="shared" si="7"/>
        <v>37.485769097677966</v>
      </c>
    </row>
  </sheetData>
  <phoneticPr fontId="30" type="noConversion"/>
  <conditionalFormatting sqref="C50:J50">
    <cfRule type="cellIs" dxfId="4" priority="1" operator="notBetween">
      <formula>-0.5</formula>
      <formula>0.5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F4E79"/>
  </sheetPr>
  <dimension ref="A1:J6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baseColWidth="10" defaultColWidth="8.83203125" defaultRowHeight="14"/>
  <cols>
    <col min="1" max="1" width="46" customWidth="1"/>
    <col min="2" max="2" width="2" customWidth="1"/>
    <col min="3" max="10" width="12" customWidth="1"/>
  </cols>
  <sheetData>
    <row r="1" spans="1:10" ht="28" customHeight="1">
      <c r="A1" s="1" t="s">
        <v>152</v>
      </c>
      <c r="B1" s="2"/>
      <c r="C1" s="2"/>
      <c r="D1" s="2"/>
      <c r="E1" s="2"/>
      <c r="F1" s="2"/>
      <c r="G1" s="2"/>
      <c r="H1" s="2"/>
      <c r="I1" s="2"/>
      <c r="J1" s="2"/>
    </row>
    <row r="2" spans="1:10" ht="16" customHeight="1">
      <c r="A2" s="3" t="s">
        <v>1</v>
      </c>
    </row>
    <row r="3" spans="1:10">
      <c r="C3" s="8" t="s">
        <v>60</v>
      </c>
      <c r="D3" s="8" t="s">
        <v>61</v>
      </c>
      <c r="E3" s="8" t="s">
        <v>62</v>
      </c>
      <c r="F3" s="8" t="s">
        <v>63</v>
      </c>
      <c r="G3" s="8" t="s">
        <v>64</v>
      </c>
      <c r="H3" s="8" t="s">
        <v>65</v>
      </c>
      <c r="I3" s="8" t="s">
        <v>66</v>
      </c>
      <c r="J3" s="8" t="s">
        <v>67</v>
      </c>
    </row>
    <row r="4" spans="1:10">
      <c r="C4" s="9"/>
      <c r="D4" s="9"/>
      <c r="E4" s="9"/>
      <c r="F4" s="9"/>
      <c r="G4" s="9"/>
      <c r="H4" s="9"/>
      <c r="I4" s="9"/>
      <c r="J4" s="9"/>
    </row>
    <row r="6" spans="1:10">
      <c r="A6" s="10" t="s">
        <v>68</v>
      </c>
    </row>
    <row r="7" spans="1:10">
      <c r="A7" s="11" t="str">
        <f>HYPERLINK("#'Cash Flow Statement'!A9","1. Consolidated Statement of Cash Flows")</f>
        <v>1. Consolidated Statement of Cash Flows</v>
      </c>
    </row>
    <row r="8" spans="1:10" ht="8" customHeight="1"/>
    <row r="9" spans="1:10" ht="20" customHeight="1">
      <c r="A9" s="12" t="s">
        <v>153</v>
      </c>
      <c r="B9" s="2"/>
      <c r="C9" s="2"/>
      <c r="D9" s="2"/>
      <c r="E9" s="2"/>
      <c r="F9" s="2"/>
      <c r="G9" s="2"/>
      <c r="H9" s="2"/>
      <c r="I9" s="2"/>
      <c r="J9" s="2"/>
    </row>
    <row r="10" spans="1:10">
      <c r="A10" s="10" t="s">
        <v>154</v>
      </c>
      <c r="C10" s="23">
        <f>'Income Statement'!C37</f>
        <v>4381</v>
      </c>
      <c r="D10" s="23">
        <f>'Income Statement'!D37</f>
        <v>2285</v>
      </c>
      <c r="E10" s="23">
        <f>'Income Statement'!E37</f>
        <v>2501</v>
      </c>
      <c r="F10" s="23">
        <f>'Income Statement'!F37</f>
        <v>3826</v>
      </c>
      <c r="G10" s="23">
        <f>'Income Statement'!G37</f>
        <v>4147</v>
      </c>
      <c r="H10" s="23">
        <f>'Income Statement'!H37</f>
        <v>6199</v>
      </c>
      <c r="I10" s="23">
        <f>'Income Statement'!I37</f>
        <v>6565</v>
      </c>
      <c r="J10" s="23">
        <f>'Income Statement'!J37</f>
        <v>6898</v>
      </c>
    </row>
    <row r="11" spans="1:10">
      <c r="A11" s="5" t="s">
        <v>155</v>
      </c>
      <c r="C11" s="16">
        <v>-108</v>
      </c>
      <c r="D11" s="16">
        <v>-102</v>
      </c>
      <c r="E11" s="16">
        <v>-4</v>
      </c>
      <c r="F11" s="16">
        <v>-5</v>
      </c>
    </row>
    <row r="12" spans="1:10">
      <c r="A12" s="5" t="s">
        <v>156</v>
      </c>
      <c r="C12" s="16">
        <v>15</v>
      </c>
      <c r="D12" s="16">
        <v>89</v>
      </c>
      <c r="E12" s="16">
        <v>125</v>
      </c>
      <c r="F12" s="16">
        <v>135</v>
      </c>
      <c r="G12" s="16">
        <v>134</v>
      </c>
      <c r="H12" s="16">
        <v>142</v>
      </c>
      <c r="I12" s="16">
        <v>172</v>
      </c>
      <c r="J12" s="16">
        <v>160</v>
      </c>
    </row>
    <row r="13" spans="1:10">
      <c r="A13" s="10" t="s">
        <v>95</v>
      </c>
      <c r="C13" s="17">
        <f t="shared" ref="C13:J13" si="0">C10+C11+C12</f>
        <v>4288</v>
      </c>
      <c r="D13" s="17">
        <f t="shared" si="0"/>
        <v>2272</v>
      </c>
      <c r="E13" s="17">
        <f t="shared" si="0"/>
        <v>2622</v>
      </c>
      <c r="F13" s="17">
        <f t="shared" si="0"/>
        <v>3956</v>
      </c>
      <c r="G13" s="17">
        <f t="shared" si="0"/>
        <v>4281</v>
      </c>
      <c r="H13" s="17">
        <f t="shared" si="0"/>
        <v>6341</v>
      </c>
      <c r="I13" s="17">
        <f t="shared" si="0"/>
        <v>6737</v>
      </c>
      <c r="J13" s="17">
        <f t="shared" si="0"/>
        <v>7058</v>
      </c>
    </row>
    <row r="15" spans="1:10">
      <c r="A15" s="5" t="s">
        <v>157</v>
      </c>
      <c r="C15" s="16">
        <v>40</v>
      </c>
      <c r="D15" s="16">
        <v>-236</v>
      </c>
      <c r="E15" s="16">
        <v>258</v>
      </c>
      <c r="F15" s="16">
        <v>98</v>
      </c>
      <c r="G15" s="16">
        <v>902</v>
      </c>
      <c r="H15" s="16">
        <v>-118</v>
      </c>
      <c r="I15" s="16">
        <v>31</v>
      </c>
      <c r="J15" s="16">
        <v>139</v>
      </c>
    </row>
    <row r="16" spans="1:10">
      <c r="A16" s="5" t="s">
        <v>158</v>
      </c>
      <c r="C16" s="16">
        <v>368</v>
      </c>
      <c r="D16" s="16">
        <v>12</v>
      </c>
    </row>
    <row r="17" spans="1:10">
      <c r="A17" s="5" t="s">
        <v>159</v>
      </c>
      <c r="C17" s="16">
        <v>-61</v>
      </c>
    </row>
    <row r="18" spans="1:10">
      <c r="A18" s="5" t="s">
        <v>78</v>
      </c>
      <c r="C18" s="24">
        <f>'Income Statement'!C19</f>
        <v>1830</v>
      </c>
      <c r="D18" s="24">
        <f>'Income Statement'!D19</f>
        <v>4675</v>
      </c>
      <c r="E18" s="24">
        <f>'Income Statement'!E19</f>
        <v>4626</v>
      </c>
      <c r="F18" s="24">
        <f>'Income Statement'!F19</f>
        <v>4635</v>
      </c>
      <c r="G18" s="24">
        <f>'Income Statement'!G19</f>
        <v>4204</v>
      </c>
      <c r="H18" s="24">
        <f>'Income Statement'!H19</f>
        <v>3816</v>
      </c>
      <c r="I18" s="24">
        <f>'Income Statement'!I19</f>
        <v>3780</v>
      </c>
      <c r="J18" s="24">
        <f>'Income Statement'!J19</f>
        <v>3763</v>
      </c>
    </row>
    <row r="19" spans="1:10">
      <c r="A19" s="5" t="s">
        <v>160</v>
      </c>
      <c r="C19" s="16">
        <v>-187</v>
      </c>
      <c r="D19" s="16">
        <v>-303</v>
      </c>
      <c r="E19" s="16">
        <v>-369</v>
      </c>
      <c r="F19" s="16">
        <v>-254</v>
      </c>
      <c r="G19" s="16">
        <v>-383</v>
      </c>
      <c r="H19" s="16">
        <v>-84</v>
      </c>
      <c r="I19" s="16">
        <v>-142</v>
      </c>
      <c r="J19" s="16">
        <v>-465</v>
      </c>
    </row>
    <row r="20" spans="1:10">
      <c r="A20" s="5" t="s">
        <v>161</v>
      </c>
      <c r="C20" s="16">
        <v>62</v>
      </c>
      <c r="D20" s="16">
        <v>95</v>
      </c>
      <c r="E20" s="16">
        <v>133</v>
      </c>
      <c r="F20" s="16">
        <v>128</v>
      </c>
      <c r="G20" s="16">
        <v>107</v>
      </c>
      <c r="H20" s="16">
        <v>141</v>
      </c>
      <c r="I20" s="16">
        <v>160</v>
      </c>
      <c r="J20" s="16">
        <v>164</v>
      </c>
    </row>
    <row r="21" spans="1:10">
      <c r="A21" s="5" t="s">
        <v>162</v>
      </c>
      <c r="C21" s="16">
        <v>-2923</v>
      </c>
      <c r="D21" s="16">
        <v>-108</v>
      </c>
    </row>
    <row r="22" spans="1:10">
      <c r="A22" s="5" t="s">
        <v>163</v>
      </c>
      <c r="C22" s="16">
        <v>175</v>
      </c>
      <c r="D22" s="16">
        <v>-127</v>
      </c>
      <c r="E22" s="16">
        <v>152</v>
      </c>
      <c r="F22" s="16">
        <v>-19</v>
      </c>
      <c r="G22" s="16">
        <v>-49</v>
      </c>
      <c r="H22" s="16">
        <v>43</v>
      </c>
      <c r="I22" s="16">
        <v>-72</v>
      </c>
      <c r="J22" s="16">
        <v>23</v>
      </c>
    </row>
    <row r="23" spans="1:10">
      <c r="A23" s="5" t="s">
        <v>164</v>
      </c>
      <c r="C23" s="16">
        <v>-124</v>
      </c>
      <c r="D23" s="16">
        <v>80</v>
      </c>
      <c r="E23" s="16">
        <v>19</v>
      </c>
      <c r="F23" s="16">
        <v>-553</v>
      </c>
      <c r="G23" s="16">
        <v>-423</v>
      </c>
      <c r="H23" s="16">
        <v>-86</v>
      </c>
      <c r="I23" s="16">
        <v>-160</v>
      </c>
      <c r="J23" s="16">
        <v>-122</v>
      </c>
    </row>
    <row r="24" spans="1:10">
      <c r="A24" s="5" t="s">
        <v>165</v>
      </c>
      <c r="D24" s="16">
        <v>87</v>
      </c>
      <c r="E24" s="16">
        <v>90</v>
      </c>
      <c r="F24" s="16">
        <v>1307</v>
      </c>
      <c r="G24" s="16">
        <v>310</v>
      </c>
      <c r="H24" s="16">
        <v>-168</v>
      </c>
      <c r="I24" s="16">
        <v>-409</v>
      </c>
      <c r="J24" s="16">
        <v>-72</v>
      </c>
    </row>
    <row r="25" spans="1:10">
      <c r="A25" s="5" t="s">
        <v>166</v>
      </c>
      <c r="C25" s="16">
        <v>-4</v>
      </c>
      <c r="D25" s="16">
        <v>-81</v>
      </c>
      <c r="E25" s="16">
        <v>18</v>
      </c>
      <c r="F25" s="16">
        <v>-129</v>
      </c>
      <c r="G25" s="16">
        <v>-347</v>
      </c>
      <c r="H25" s="16">
        <v>-127</v>
      </c>
      <c r="I25" s="16">
        <v>56</v>
      </c>
      <c r="J25" s="16">
        <v>47</v>
      </c>
    </row>
    <row r="26" spans="1:10">
      <c r="A26" s="5" t="s">
        <v>167</v>
      </c>
      <c r="C26" s="16">
        <v>43</v>
      </c>
      <c r="D26" s="16">
        <v>-72</v>
      </c>
      <c r="E26" s="16">
        <v>128</v>
      </c>
      <c r="F26" s="16">
        <v>76</v>
      </c>
      <c r="G26" s="16">
        <v>-157</v>
      </c>
      <c r="H26" s="16">
        <v>66</v>
      </c>
      <c r="I26" s="16">
        <v>-55</v>
      </c>
      <c r="J26" s="16">
        <v>55</v>
      </c>
    </row>
    <row r="27" spans="1:10">
      <c r="A27" s="5" t="s">
        <v>168</v>
      </c>
      <c r="C27" s="16">
        <v>287</v>
      </c>
      <c r="D27" s="16">
        <v>-174</v>
      </c>
      <c r="E27" s="16">
        <v>109</v>
      </c>
      <c r="F27" s="16">
        <v>447</v>
      </c>
      <c r="G27" s="16">
        <v>307</v>
      </c>
      <c r="H27" s="16">
        <v>-168</v>
      </c>
      <c r="I27" s="16">
        <v>-277</v>
      </c>
      <c r="J27" s="16">
        <v>-148</v>
      </c>
    </row>
    <row r="28" spans="1:10">
      <c r="A28" s="5" t="s">
        <v>169</v>
      </c>
      <c r="C28" s="16">
        <v>-87</v>
      </c>
      <c r="D28" s="16">
        <v>-94</v>
      </c>
      <c r="E28" s="16">
        <v>-91</v>
      </c>
      <c r="F28" s="16">
        <v>-42</v>
      </c>
      <c r="G28" s="16">
        <v>-51</v>
      </c>
      <c r="H28" s="16">
        <v>-46</v>
      </c>
      <c r="I28" s="16">
        <v>-35</v>
      </c>
      <c r="J28" s="16">
        <v>-25</v>
      </c>
    </row>
    <row r="29" spans="1:10">
      <c r="A29" s="5" t="s">
        <v>170</v>
      </c>
      <c r="C29" s="16">
        <v>-53</v>
      </c>
      <c r="D29" s="16">
        <v>93</v>
      </c>
      <c r="E29" s="16">
        <v>-266</v>
      </c>
      <c r="F29" s="16">
        <v>75</v>
      </c>
      <c r="G29" s="16">
        <v>163</v>
      </c>
      <c r="H29" s="16">
        <v>-305</v>
      </c>
      <c r="I29" s="16">
        <v>-191</v>
      </c>
      <c r="J29" s="16">
        <v>-67</v>
      </c>
    </row>
    <row r="30" spans="1:10">
      <c r="A30" s="10" t="s">
        <v>171</v>
      </c>
      <c r="C30" s="19">
        <f t="shared" ref="C30:J30" si="1">C13+C15+C16+C17+C18+C19+C20+C21+C22+C23+C24+C25+C26+C27+C28+C29</f>
        <v>3654</v>
      </c>
      <c r="D30" s="19">
        <f t="shared" si="1"/>
        <v>6119</v>
      </c>
      <c r="E30" s="19">
        <f t="shared" si="1"/>
        <v>7429</v>
      </c>
      <c r="F30" s="19">
        <f t="shared" si="1"/>
        <v>9725</v>
      </c>
      <c r="G30" s="19">
        <f t="shared" si="1"/>
        <v>8864</v>
      </c>
      <c r="H30" s="19">
        <f t="shared" si="1"/>
        <v>9305</v>
      </c>
      <c r="I30" s="19">
        <f t="shared" si="1"/>
        <v>9423</v>
      </c>
      <c r="J30" s="19">
        <f t="shared" si="1"/>
        <v>10350</v>
      </c>
    </row>
    <row r="31" spans="1:10">
      <c r="A31" s="14" t="s">
        <v>172</v>
      </c>
      <c r="C31" s="15">
        <f>C30/'Income Statement'!C10</f>
        <v>0.24523489932885906</v>
      </c>
      <c r="D31" s="15">
        <f>D30/'Income Statement'!D10</f>
        <v>0.21677058240045344</v>
      </c>
      <c r="E31" s="15">
        <f>E30/'Income Statement'!E10</f>
        <v>0.27269390302095953</v>
      </c>
      <c r="F31" s="15">
        <f>F30/'Income Statement'!F10</f>
        <v>0.31581853018543177</v>
      </c>
      <c r="G31" s="15">
        <f>G30/'Income Statement'!G10</f>
        <v>0.26567557846780959</v>
      </c>
      <c r="H31" s="15">
        <f>H30/'Income Statement'!H10</f>
        <v>0.2832227430449869</v>
      </c>
      <c r="I31" s="15">
        <f>I30/'Income Statement'!I10</f>
        <v>0.28550219663687321</v>
      </c>
      <c r="J31" s="15">
        <f>J30/'Income Statement'!J10</f>
        <v>0.30453716236097217</v>
      </c>
    </row>
    <row r="33" spans="1:10">
      <c r="A33" s="5" t="s">
        <v>173</v>
      </c>
      <c r="C33" s="16">
        <v>-1883</v>
      </c>
      <c r="D33" s="16">
        <v>-3682</v>
      </c>
      <c r="E33" s="16">
        <v>-3400</v>
      </c>
      <c r="F33" s="16">
        <v>-3086</v>
      </c>
      <c r="G33" s="16">
        <v>-3173</v>
      </c>
      <c r="H33" s="16">
        <v>-3787</v>
      </c>
      <c r="I33" s="16">
        <v>-4497</v>
      </c>
      <c r="J33" s="16">
        <v>-5261</v>
      </c>
    </row>
    <row r="34" spans="1:10">
      <c r="A34" s="5" t="s">
        <v>174</v>
      </c>
      <c r="C34" s="16">
        <v>-25</v>
      </c>
      <c r="D34" s="16">
        <v>-225</v>
      </c>
      <c r="E34" s="16">
        <v>-68</v>
      </c>
      <c r="F34" s="16">
        <v>-88</v>
      </c>
      <c r="G34" s="16">
        <v>-110</v>
      </c>
      <c r="H34" s="16">
        <v>-953</v>
      </c>
      <c r="I34" s="16">
        <v>-317</v>
      </c>
      <c r="J34" s="16">
        <v>-412</v>
      </c>
    </row>
    <row r="35" spans="1:10">
      <c r="A35" s="5" t="s">
        <v>175</v>
      </c>
      <c r="C35" s="16">
        <v>5908</v>
      </c>
      <c r="D35" s="16">
        <v>5096</v>
      </c>
      <c r="E35" s="16">
        <v>482</v>
      </c>
      <c r="F35" s="16">
        <v>167</v>
      </c>
      <c r="G35" s="16">
        <v>195</v>
      </c>
      <c r="H35" s="16">
        <v>70</v>
      </c>
      <c r="I35" s="16">
        <v>170</v>
      </c>
      <c r="J35" s="16">
        <v>42</v>
      </c>
    </row>
    <row r="36" spans="1:10">
      <c r="A36" s="5" t="s">
        <v>176</v>
      </c>
      <c r="C36" s="16">
        <v>1363</v>
      </c>
    </row>
    <row r="37" spans="1:10">
      <c r="A37" s="5" t="s">
        <v>177</v>
      </c>
      <c r="J37" s="16">
        <v>-90</v>
      </c>
    </row>
    <row r="38" spans="1:10">
      <c r="A38" s="10" t="s">
        <v>178</v>
      </c>
      <c r="C38" s="19">
        <f t="shared" ref="C38:J38" si="2">C33+C34+C35+C36+C37</f>
        <v>5363</v>
      </c>
      <c r="D38" s="19">
        <f t="shared" si="2"/>
        <v>1189</v>
      </c>
      <c r="E38" s="19">
        <f t="shared" si="2"/>
        <v>-2986</v>
      </c>
      <c r="F38" s="19">
        <f t="shared" si="2"/>
        <v>-3007</v>
      </c>
      <c r="G38" s="19">
        <f t="shared" si="2"/>
        <v>-3088</v>
      </c>
      <c r="H38" s="19">
        <f t="shared" si="2"/>
        <v>-4670</v>
      </c>
      <c r="I38" s="19">
        <f t="shared" si="2"/>
        <v>-4644</v>
      </c>
      <c r="J38" s="19">
        <f t="shared" si="2"/>
        <v>-5721</v>
      </c>
    </row>
    <row r="40" spans="1:10">
      <c r="A40" s="5" t="s">
        <v>179</v>
      </c>
      <c r="C40" s="16">
        <v>208</v>
      </c>
      <c r="D40" s="16">
        <v>224</v>
      </c>
      <c r="E40" s="16">
        <v>1198</v>
      </c>
      <c r="F40" s="16">
        <v>-1329</v>
      </c>
      <c r="G40" s="16">
        <v>3050</v>
      </c>
      <c r="H40" s="16">
        <v>554</v>
      </c>
      <c r="I40" s="16">
        <v>-372</v>
      </c>
      <c r="J40" s="16">
        <v>41</v>
      </c>
    </row>
    <row r="41" spans="1:10">
      <c r="A41" s="5" t="s">
        <v>180</v>
      </c>
      <c r="C41" s="16">
        <v>8</v>
      </c>
      <c r="D41" s="16">
        <v>99</v>
      </c>
      <c r="E41" s="16">
        <v>2796</v>
      </c>
      <c r="F41" s="16">
        <v>2283</v>
      </c>
      <c r="G41" s="16">
        <v>3210</v>
      </c>
      <c r="H41" s="16">
        <v>2188</v>
      </c>
      <c r="I41" s="16">
        <v>4844</v>
      </c>
      <c r="J41" s="16">
        <v>5148</v>
      </c>
    </row>
    <row r="42" spans="1:10">
      <c r="A42" s="5" t="s">
        <v>181</v>
      </c>
      <c r="C42" s="16">
        <v>-3124</v>
      </c>
      <c r="D42" s="16">
        <v>-1583</v>
      </c>
      <c r="E42" s="16">
        <v>-2681</v>
      </c>
      <c r="F42" s="16">
        <v>-1468</v>
      </c>
      <c r="G42" s="16">
        <v>-1785</v>
      </c>
      <c r="H42" s="16">
        <v>-1682</v>
      </c>
      <c r="I42" s="16">
        <v>-1305</v>
      </c>
      <c r="J42" s="16">
        <v>-2278</v>
      </c>
    </row>
    <row r="43" spans="1:10">
      <c r="A43" s="5" t="s">
        <v>182</v>
      </c>
      <c r="C43" s="16">
        <v>77</v>
      </c>
      <c r="D43" s="16">
        <v>72</v>
      </c>
      <c r="E43" s="16">
        <v>47</v>
      </c>
      <c r="F43" s="16">
        <v>50</v>
      </c>
      <c r="G43" s="16">
        <v>36</v>
      </c>
      <c r="H43" s="16">
        <v>33</v>
      </c>
      <c r="I43" s="16">
        <v>31</v>
      </c>
      <c r="J43" s="16">
        <v>23</v>
      </c>
    </row>
    <row r="44" spans="1:10">
      <c r="A44" s="5" t="s">
        <v>183</v>
      </c>
      <c r="C44" s="16">
        <v>-599</v>
      </c>
      <c r="D44" s="16">
        <v>-2658</v>
      </c>
      <c r="E44" s="16">
        <v>-2457</v>
      </c>
      <c r="F44" s="16">
        <v>-4612</v>
      </c>
      <c r="G44" s="16">
        <v>-5168</v>
      </c>
      <c r="H44" s="16">
        <v>-3958</v>
      </c>
      <c r="I44" s="16">
        <v>-4482</v>
      </c>
      <c r="J44" s="16">
        <v>-4601</v>
      </c>
    </row>
    <row r="45" spans="1:10">
      <c r="A45" s="5" t="s">
        <v>184</v>
      </c>
      <c r="C45" s="16">
        <v>-1166</v>
      </c>
      <c r="D45" s="16">
        <v>-1891</v>
      </c>
      <c r="E45" s="16">
        <v>-2028</v>
      </c>
      <c r="F45" s="16">
        <v>-2189</v>
      </c>
      <c r="G45" s="16">
        <v>-2344</v>
      </c>
      <c r="H45" s="16">
        <v>-2482</v>
      </c>
      <c r="I45" s="16">
        <v>-2655</v>
      </c>
      <c r="J45" s="16">
        <v>-2811</v>
      </c>
    </row>
    <row r="46" spans="1:10">
      <c r="A46" s="5" t="s">
        <v>185</v>
      </c>
      <c r="C46" s="16">
        <v>-402</v>
      </c>
      <c r="D46" s="16">
        <v>-3260</v>
      </c>
      <c r="E46" s="16">
        <v>-220</v>
      </c>
      <c r="F46" s="16">
        <v>-323</v>
      </c>
      <c r="G46" s="16">
        <v>-88</v>
      </c>
      <c r="H46" s="16">
        <v>-53</v>
      </c>
      <c r="I46" s="16">
        <v>-420</v>
      </c>
      <c r="J46" s="16">
        <v>-76</v>
      </c>
    </row>
    <row r="47" spans="1:10">
      <c r="A47" s="10" t="s">
        <v>186</v>
      </c>
      <c r="C47" s="19">
        <f t="shared" ref="C47:J47" si="3">C40+C41+C42+C43+C44+C45+C46</f>
        <v>-4998</v>
      </c>
      <c r="D47" s="19">
        <f t="shared" si="3"/>
        <v>-8997</v>
      </c>
      <c r="E47" s="19">
        <f t="shared" si="3"/>
        <v>-3345</v>
      </c>
      <c r="F47" s="19">
        <f t="shared" si="3"/>
        <v>-7588</v>
      </c>
      <c r="G47" s="19">
        <f t="shared" si="3"/>
        <v>-3089</v>
      </c>
      <c r="H47" s="19">
        <f t="shared" si="3"/>
        <v>-5400</v>
      </c>
      <c r="I47" s="19">
        <f t="shared" si="3"/>
        <v>-4359</v>
      </c>
      <c r="J47" s="19">
        <f t="shared" si="3"/>
        <v>-4554</v>
      </c>
    </row>
    <row r="49" spans="1:10">
      <c r="A49" s="5" t="s">
        <v>187</v>
      </c>
      <c r="C49" s="16">
        <v>48</v>
      </c>
      <c r="D49" s="16">
        <v>69</v>
      </c>
    </row>
    <row r="50" spans="1:10">
      <c r="A50" s="5" t="s">
        <v>188</v>
      </c>
      <c r="C50" s="16">
        <v>-23</v>
      </c>
      <c r="D50" s="16">
        <v>-60</v>
      </c>
    </row>
    <row r="51" spans="1:10">
      <c r="A51" s="5" t="s">
        <v>189</v>
      </c>
      <c r="C51" s="16">
        <v>2</v>
      </c>
      <c r="D51" s="16">
        <v>5</v>
      </c>
    </row>
    <row r="52" spans="1:10">
      <c r="A52" s="5" t="s">
        <v>190</v>
      </c>
      <c r="C52" s="25">
        <f t="shared" ref="C52:J52" si="4">C49+C50+C51</f>
        <v>27</v>
      </c>
      <c r="D52" s="25">
        <f t="shared" si="4"/>
        <v>14</v>
      </c>
      <c r="E52" s="25">
        <f t="shared" si="4"/>
        <v>0</v>
      </c>
      <c r="F52" s="25">
        <f t="shared" si="4"/>
        <v>0</v>
      </c>
      <c r="G52" s="25">
        <f t="shared" si="4"/>
        <v>0</v>
      </c>
      <c r="H52" s="25">
        <f t="shared" si="4"/>
        <v>0</v>
      </c>
      <c r="I52" s="25">
        <f t="shared" si="4"/>
        <v>0</v>
      </c>
      <c r="J52" s="25">
        <f t="shared" si="4"/>
        <v>0</v>
      </c>
    </row>
    <row r="54" spans="1:10">
      <c r="A54" s="5" t="s">
        <v>191</v>
      </c>
      <c r="C54" s="16">
        <v>-60</v>
      </c>
      <c r="D54" s="16">
        <v>-77</v>
      </c>
      <c r="E54" s="16">
        <v>-44</v>
      </c>
      <c r="F54" s="16">
        <v>-61</v>
      </c>
      <c r="G54" s="16">
        <v>-74</v>
      </c>
      <c r="H54" s="16">
        <v>-7</v>
      </c>
      <c r="I54" s="16">
        <v>-234</v>
      </c>
      <c r="J54" s="16">
        <v>131</v>
      </c>
    </row>
    <row r="55" spans="1:10">
      <c r="A55" s="10" t="s">
        <v>192</v>
      </c>
      <c r="C55" s="19">
        <f t="shared" ref="C55:J55" si="5">C30+C38+C47+C52+C54</f>
        <v>3986</v>
      </c>
      <c r="D55" s="19">
        <f t="shared" si="5"/>
        <v>-1752</v>
      </c>
      <c r="E55" s="19">
        <f t="shared" si="5"/>
        <v>1054</v>
      </c>
      <c r="F55" s="19">
        <f t="shared" si="5"/>
        <v>-931</v>
      </c>
      <c r="G55" s="19">
        <f t="shared" si="5"/>
        <v>2613</v>
      </c>
      <c r="H55" s="19">
        <f t="shared" si="5"/>
        <v>-772</v>
      </c>
      <c r="I55" s="19">
        <f t="shared" si="5"/>
        <v>186</v>
      </c>
      <c r="J55" s="19">
        <f t="shared" si="5"/>
        <v>206</v>
      </c>
    </row>
    <row r="56" spans="1:10">
      <c r="A56" s="5" t="s">
        <v>193</v>
      </c>
      <c r="C56" s="16">
        <v>-137</v>
      </c>
      <c r="D56" s="16">
        <v>-14</v>
      </c>
    </row>
    <row r="57" spans="1:10">
      <c r="A57" s="5" t="s">
        <v>194</v>
      </c>
      <c r="C57" s="16">
        <v>617</v>
      </c>
      <c r="D57" s="16">
        <v>4466</v>
      </c>
      <c r="E57" s="16">
        <v>2700</v>
      </c>
      <c r="F57" s="16">
        <v>3754</v>
      </c>
      <c r="G57" s="16">
        <v>2823</v>
      </c>
      <c r="H57" s="16">
        <v>5436</v>
      </c>
      <c r="I57" s="16">
        <v>4664</v>
      </c>
      <c r="J57" s="16">
        <v>4850</v>
      </c>
    </row>
    <row r="58" spans="1:10">
      <c r="A58" s="10" t="s">
        <v>195</v>
      </c>
      <c r="C58" s="19">
        <f t="shared" ref="C58:J58" si="6">C57+C55+C56</f>
        <v>4466</v>
      </c>
      <c r="D58" s="19">
        <f t="shared" si="6"/>
        <v>2700</v>
      </c>
      <c r="E58" s="19">
        <f t="shared" si="6"/>
        <v>3754</v>
      </c>
      <c r="F58" s="19">
        <f t="shared" si="6"/>
        <v>2823</v>
      </c>
      <c r="G58" s="19">
        <f t="shared" si="6"/>
        <v>5436</v>
      </c>
      <c r="H58" s="19">
        <f t="shared" si="6"/>
        <v>4664</v>
      </c>
      <c r="I58" s="19">
        <f t="shared" si="6"/>
        <v>4850</v>
      </c>
      <c r="J58" s="19">
        <f t="shared" si="6"/>
        <v>5056</v>
      </c>
    </row>
    <row r="60" spans="1:10">
      <c r="A60" s="5" t="s">
        <v>196</v>
      </c>
      <c r="C60" s="20">
        <f>C58-'Balance Sheet'!C10</f>
        <v>0</v>
      </c>
      <c r="D60" s="20">
        <f>D58-'Balance Sheet'!D10</f>
        <v>0</v>
      </c>
      <c r="E60" s="20">
        <f>E58-'Balance Sheet'!E10</f>
        <v>0</v>
      </c>
      <c r="F60" s="20">
        <f>F58-'Balance Sheet'!F10</f>
        <v>0</v>
      </c>
      <c r="G60" s="20">
        <f>G58-'Balance Sheet'!G10</f>
        <v>0</v>
      </c>
      <c r="H60" s="20">
        <f>H58-'Balance Sheet'!H10</f>
        <v>0</v>
      </c>
      <c r="I60" s="20">
        <f>I58-'Balance Sheet'!I10</f>
        <v>0</v>
      </c>
      <c r="J60" s="20">
        <f>J58-'Balance Sheet'!J10</f>
        <v>0</v>
      </c>
    </row>
    <row r="62" spans="1:10">
      <c r="A62" s="10" t="s">
        <v>197</v>
      </c>
      <c r="C62" s="17">
        <f t="shared" ref="C62:J62" si="7">C30+C33</f>
        <v>1771</v>
      </c>
      <c r="D62" s="17">
        <f t="shared" si="7"/>
        <v>2437</v>
      </c>
      <c r="E62" s="17">
        <f t="shared" si="7"/>
        <v>4029</v>
      </c>
      <c r="F62" s="17">
        <f t="shared" si="7"/>
        <v>6639</v>
      </c>
      <c r="G62" s="17">
        <f t="shared" si="7"/>
        <v>5691</v>
      </c>
      <c r="H62" s="17">
        <f t="shared" si="7"/>
        <v>5518</v>
      </c>
      <c r="I62" s="17">
        <f t="shared" si="7"/>
        <v>4926</v>
      </c>
      <c r="J62" s="17">
        <f t="shared" si="7"/>
        <v>5089</v>
      </c>
    </row>
    <row r="63" spans="1:10">
      <c r="A63" s="14" t="s">
        <v>198</v>
      </c>
      <c r="D63" s="15">
        <f t="shared" ref="D63:J63" si="8">IF(N(C62)=0,"",D62/C62-1)</f>
        <v>0.37605872388481076</v>
      </c>
      <c r="E63" s="15">
        <f t="shared" si="8"/>
        <v>0.65326220763233489</v>
      </c>
      <c r="F63" s="15">
        <f t="shared" si="8"/>
        <v>0.64780342516753531</v>
      </c>
      <c r="G63" s="15">
        <f t="shared" si="8"/>
        <v>-0.14279258924536831</v>
      </c>
      <c r="H63" s="15">
        <f t="shared" si="8"/>
        <v>-3.0398875417325555E-2</v>
      </c>
      <c r="I63" s="15">
        <f t="shared" si="8"/>
        <v>-0.10728524827836172</v>
      </c>
      <c r="J63" s="15">
        <f t="shared" si="8"/>
        <v>3.3089727974015437E-2</v>
      </c>
    </row>
    <row r="64" spans="1:10">
      <c r="A64" s="14" t="s">
        <v>199</v>
      </c>
      <c r="C64" s="15">
        <f>0-C33/'Income Statement'!C10</f>
        <v>0.12637583892617449</v>
      </c>
      <c r="D64" s="15">
        <f>0-D33/'Income Statement'!D10</f>
        <v>0.13043786311463795</v>
      </c>
      <c r="E64" s="15">
        <f>0-E33/'Income Statement'!E10</f>
        <v>0.12480270161142312</v>
      </c>
      <c r="F64" s="15">
        <f>0-F33/'Income Statement'!F10</f>
        <v>0.10021758191796837</v>
      </c>
      <c r="G64" s="15">
        <f>0-G33/'Income Statement'!G10</f>
        <v>9.5102505694760822E-2</v>
      </c>
      <c r="H64" s="15">
        <f>0-H33/'Income Statement'!H10</f>
        <v>0.11526754733061423</v>
      </c>
      <c r="I64" s="15">
        <f>0-I33/'Income Statement'!I10</f>
        <v>0.1362520830177246</v>
      </c>
      <c r="J64" s="15">
        <f>0-J33/'Income Statement'!J10</f>
        <v>0.15479903489672217</v>
      </c>
    </row>
    <row r="65" spans="1:10">
      <c r="A65" s="14" t="s">
        <v>200</v>
      </c>
      <c r="C65" s="15">
        <f>C62/'Income Statement'!C10</f>
        <v>0.11885906040268457</v>
      </c>
      <c r="D65" s="15">
        <f>D62/'Income Statement'!D10</f>
        <v>8.6332719285815498E-2</v>
      </c>
      <c r="E65" s="15">
        <f>E62/'Income Statement'!E10</f>
        <v>0.1478912014095364</v>
      </c>
      <c r="F65" s="15">
        <f>F62/'Income Statement'!F10</f>
        <v>0.21560094826746337</v>
      </c>
      <c r="G65" s="15">
        <f>G62/'Income Statement'!G10</f>
        <v>0.17057307277304878</v>
      </c>
      <c r="H65" s="15">
        <f>H62/'Income Statement'!H10</f>
        <v>0.16795519571437267</v>
      </c>
      <c r="I65" s="15">
        <f>I62/'Income Statement'!I10</f>
        <v>0.14925011361914861</v>
      </c>
      <c r="J65" s="15">
        <f>J62/'Income Statement'!J10</f>
        <v>0.14973812746425</v>
      </c>
    </row>
    <row r="66" spans="1:10">
      <c r="A66" s="14" t="s">
        <v>201</v>
      </c>
      <c r="C66" s="26">
        <f>C62/'Income Statement'!C37</f>
        <v>0.40424560602602144</v>
      </c>
      <c r="D66" s="26">
        <f>D62/'Income Statement'!D37</f>
        <v>1.0665207877461707</v>
      </c>
      <c r="E66" s="26">
        <f>E62/'Income Statement'!E37</f>
        <v>1.6109556177528987</v>
      </c>
      <c r="F66" s="26">
        <f>F62/'Income Statement'!F37</f>
        <v>1.7352326189231573</v>
      </c>
      <c r="G66" s="26">
        <f>G62/'Income Statement'!G37</f>
        <v>1.3723173378345792</v>
      </c>
      <c r="H66" s="26">
        <f>H62/'Income Statement'!H37</f>
        <v>0.89014357154379742</v>
      </c>
      <c r="I66" s="26">
        <f>I62/'Income Statement'!I37</f>
        <v>0.75034272658035039</v>
      </c>
      <c r="J66" s="26">
        <f>J62/'Income Statement'!J37</f>
        <v>0.7377500724847782</v>
      </c>
    </row>
    <row r="68" spans="1:10">
      <c r="A68" s="5" t="s">
        <v>202</v>
      </c>
      <c r="C68" s="16">
        <v>757</v>
      </c>
      <c r="D68" s="16">
        <v>1357</v>
      </c>
      <c r="E68" s="16">
        <v>1066</v>
      </c>
      <c r="F68" s="16">
        <v>1710</v>
      </c>
      <c r="G68" s="16">
        <v>1735</v>
      </c>
      <c r="H68" s="16">
        <v>1955</v>
      </c>
      <c r="I68" s="16">
        <v>2216</v>
      </c>
    </row>
    <row r="69" spans="1:10">
      <c r="A69" s="5" t="s">
        <v>203</v>
      </c>
      <c r="C69" s="16">
        <v>214</v>
      </c>
      <c r="D69" s="16">
        <v>275</v>
      </c>
      <c r="E69" s="16">
        <v>322</v>
      </c>
      <c r="F69" s="16">
        <v>233</v>
      </c>
      <c r="G69" s="16">
        <v>170</v>
      </c>
      <c r="H69" s="16">
        <v>451</v>
      </c>
      <c r="I69" s="16">
        <v>443</v>
      </c>
      <c r="J69" s="16">
        <v>548</v>
      </c>
    </row>
  </sheetData>
  <phoneticPr fontId="30" type="noConversion"/>
  <conditionalFormatting sqref="C60:J60">
    <cfRule type="cellIs" dxfId="3" priority="1" operator="notBetween">
      <formula>-0.5</formula>
      <formula>0.5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548235"/>
  </sheetPr>
  <dimension ref="A1:J6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baseColWidth="10" defaultColWidth="8.83203125" defaultRowHeight="14"/>
  <cols>
    <col min="1" max="1" width="46" customWidth="1"/>
    <col min="2" max="2" width="34" hidden="1" customWidth="1"/>
    <col min="3" max="10" width="12" customWidth="1"/>
  </cols>
  <sheetData>
    <row r="1" spans="1:10" ht="28" customHeight="1">
      <c r="A1" s="1" t="s">
        <v>204</v>
      </c>
      <c r="B1" s="2"/>
      <c r="C1" s="2"/>
      <c r="D1" s="2"/>
      <c r="E1" s="2"/>
      <c r="F1" s="2"/>
      <c r="G1" s="2"/>
      <c r="H1" s="2"/>
      <c r="I1" s="2"/>
      <c r="J1" s="2"/>
    </row>
    <row r="2" spans="1:10" ht="16" customHeight="1">
      <c r="A2" s="3" t="s">
        <v>1</v>
      </c>
    </row>
    <row r="3" spans="1:10">
      <c r="C3" s="8" t="s">
        <v>60</v>
      </c>
      <c r="D3" s="8" t="s">
        <v>61</v>
      </c>
      <c r="E3" s="8" t="s">
        <v>62</v>
      </c>
      <c r="F3" s="8" t="s">
        <v>63</v>
      </c>
      <c r="G3" s="8" t="s">
        <v>64</v>
      </c>
      <c r="H3" s="8" t="s">
        <v>65</v>
      </c>
      <c r="I3" s="8" t="s">
        <v>66</v>
      </c>
      <c r="J3" s="8" t="s">
        <v>67</v>
      </c>
    </row>
    <row r="4" spans="1:10">
      <c r="C4" s="9"/>
      <c r="D4" s="9"/>
      <c r="E4" s="9"/>
      <c r="F4" s="9"/>
      <c r="G4" s="9"/>
      <c r="H4" s="9"/>
      <c r="I4" s="9"/>
      <c r="J4" s="9"/>
    </row>
    <row r="6" spans="1:10">
      <c r="A6" s="10" t="s">
        <v>68</v>
      </c>
    </row>
    <row r="7" spans="1:10">
      <c r="A7" s="11" t="str">
        <f>HYPERLINK("#'Segments'!A9","1. Segment Information (Note - Segment Reporting)")</f>
        <v>1. Segment Information (Note - Segment Reporting)</v>
      </c>
    </row>
    <row r="8" spans="1:10" ht="8" customHeight="1"/>
    <row r="9" spans="1:10" ht="20" customHeight="1">
      <c r="A9" s="12" t="s">
        <v>205</v>
      </c>
      <c r="B9" s="2"/>
      <c r="C9" s="2"/>
      <c r="D9" s="2"/>
      <c r="E9" s="2"/>
      <c r="F9" s="2"/>
      <c r="G9" s="2"/>
      <c r="H9" s="2"/>
      <c r="I9" s="2"/>
      <c r="J9" s="2"/>
    </row>
    <row r="11" spans="1:10">
      <c r="A11" s="5" t="s">
        <v>206</v>
      </c>
      <c r="C11" s="16">
        <v>6420</v>
      </c>
    </row>
    <row r="12" spans="1:10">
      <c r="A12" s="5" t="s">
        <v>207</v>
      </c>
      <c r="C12" s="16">
        <v>1592</v>
      </c>
    </row>
    <row r="13" spans="1:10">
      <c r="A13" s="5" t="s">
        <v>208</v>
      </c>
      <c r="C13" s="16">
        <v>1369</v>
      </c>
    </row>
    <row r="14" spans="1:10">
      <c r="A14" s="5" t="s">
        <v>209</v>
      </c>
      <c r="C14" s="16">
        <v>1964</v>
      </c>
    </row>
    <row r="15" spans="1:10">
      <c r="A15" s="5" t="s">
        <v>210</v>
      </c>
      <c r="C15" s="16">
        <v>682</v>
      </c>
    </row>
    <row r="16" spans="1:10">
      <c r="A16" s="5" t="s">
        <v>211</v>
      </c>
      <c r="C16" s="16">
        <v>2873</v>
      </c>
    </row>
    <row r="17" spans="1:10">
      <c r="A17" s="5" t="s">
        <v>212</v>
      </c>
      <c r="D17" s="16">
        <v>10993</v>
      </c>
      <c r="E17" s="16">
        <v>10459</v>
      </c>
      <c r="F17" s="16">
        <v>12103</v>
      </c>
      <c r="G17" s="16">
        <v>13874</v>
      </c>
      <c r="H17" s="16">
        <v>14304</v>
      </c>
      <c r="I17" s="16">
        <v>14442</v>
      </c>
      <c r="J17" s="16">
        <v>15208</v>
      </c>
    </row>
    <row r="18" spans="1:10">
      <c r="A18" s="5" t="s">
        <v>213</v>
      </c>
      <c r="D18" s="16">
        <v>6643</v>
      </c>
      <c r="E18" s="16">
        <v>6449</v>
      </c>
      <c r="F18" s="16">
        <v>7643</v>
      </c>
      <c r="G18" s="16">
        <v>8443</v>
      </c>
      <c r="H18" s="16">
        <v>8542</v>
      </c>
      <c r="I18" s="16">
        <v>8352</v>
      </c>
      <c r="J18" s="16">
        <v>8549</v>
      </c>
    </row>
    <row r="19" spans="1:10">
      <c r="A19" s="5" t="s">
        <v>214</v>
      </c>
      <c r="D19" s="16">
        <v>5839</v>
      </c>
      <c r="E19" s="16">
        <v>5687</v>
      </c>
      <c r="F19" s="16">
        <v>6133</v>
      </c>
      <c r="G19" s="16">
        <v>6480</v>
      </c>
      <c r="H19" s="16">
        <v>6559</v>
      </c>
      <c r="I19" s="16">
        <v>6632</v>
      </c>
      <c r="J19" s="16">
        <v>6661</v>
      </c>
    </row>
    <row r="20" spans="1:10">
      <c r="A20" s="5" t="s">
        <v>215</v>
      </c>
      <c r="D20" s="16">
        <v>2799</v>
      </c>
      <c r="E20" s="16">
        <v>2851</v>
      </c>
      <c r="F20" s="16">
        <v>2867</v>
      </c>
      <c r="G20" s="16">
        <v>2762</v>
      </c>
      <c r="H20" s="16">
        <v>2160</v>
      </c>
      <c r="I20" s="16">
        <v>2322</v>
      </c>
      <c r="J20" s="16">
        <v>2250</v>
      </c>
    </row>
    <row r="21" spans="1:10">
      <c r="A21" s="5" t="s">
        <v>216</v>
      </c>
      <c r="D21" s="16">
        <v>1954</v>
      </c>
      <c r="E21" s="16">
        <v>1797</v>
      </c>
      <c r="F21" s="16">
        <v>2047</v>
      </c>
      <c r="G21" s="16">
        <v>1805</v>
      </c>
      <c r="H21" s="16">
        <v>1289</v>
      </c>
      <c r="I21" s="16">
        <v>1257</v>
      </c>
      <c r="J21" s="16">
        <v>1318</v>
      </c>
    </row>
    <row r="22" spans="1:10">
      <c r="A22" s="10" t="s">
        <v>217</v>
      </c>
      <c r="C22" s="19">
        <f t="shared" ref="C22:J22" si="0">C11+C12+C13+C14+C15+C16+C17+C18+C19+C20+C21</f>
        <v>14900</v>
      </c>
      <c r="D22" s="19">
        <f t="shared" si="0"/>
        <v>28228</v>
      </c>
      <c r="E22" s="19">
        <f t="shared" si="0"/>
        <v>27243</v>
      </c>
      <c r="F22" s="19">
        <f t="shared" si="0"/>
        <v>30793</v>
      </c>
      <c r="G22" s="19">
        <f t="shared" si="0"/>
        <v>33364</v>
      </c>
      <c r="H22" s="19">
        <f t="shared" si="0"/>
        <v>32854</v>
      </c>
      <c r="I22" s="19">
        <f t="shared" si="0"/>
        <v>33005</v>
      </c>
      <c r="J22" s="19">
        <f t="shared" si="0"/>
        <v>33986</v>
      </c>
    </row>
    <row r="23" spans="1:10">
      <c r="A23" s="5" t="s">
        <v>218</v>
      </c>
      <c r="C23" s="20">
        <f>C22-'Income Statement'!C10</f>
        <v>0</v>
      </c>
      <c r="D23" s="20">
        <f>D22-'Income Statement'!D10</f>
        <v>0</v>
      </c>
      <c r="E23" s="20">
        <f>E22-'Income Statement'!E10</f>
        <v>0</v>
      </c>
      <c r="F23" s="20">
        <f>F22-'Income Statement'!F10</f>
        <v>0</v>
      </c>
      <c r="G23" s="20">
        <f>G22-'Income Statement'!G10</f>
        <v>0</v>
      </c>
      <c r="H23" s="20">
        <f>H22-'Income Statement'!H10</f>
        <v>0</v>
      </c>
      <c r="I23" s="20">
        <f>I22-'Income Statement'!I10</f>
        <v>0</v>
      </c>
      <c r="J23" s="20">
        <f>J22-'Income Statement'!J10</f>
        <v>0</v>
      </c>
    </row>
    <row r="26" spans="1:10">
      <c r="A26" s="5" t="s">
        <v>206</v>
      </c>
      <c r="C26" s="16">
        <v>1648</v>
      </c>
    </row>
    <row r="27" spans="1:10">
      <c r="A27" s="5" t="s">
        <v>207</v>
      </c>
      <c r="C27" s="16">
        <v>316</v>
      </c>
    </row>
    <row r="28" spans="1:10">
      <c r="A28" s="5" t="s">
        <v>208</v>
      </c>
      <c r="C28" s="16">
        <v>215</v>
      </c>
    </row>
    <row r="29" spans="1:10">
      <c r="A29" s="5" t="s">
        <v>209</v>
      </c>
      <c r="C29" s="16">
        <v>427</v>
      </c>
    </row>
    <row r="30" spans="1:10">
      <c r="A30" s="5" t="s">
        <v>210</v>
      </c>
      <c r="C30" s="16">
        <v>118</v>
      </c>
    </row>
    <row r="31" spans="1:10">
      <c r="A31" s="5" t="s">
        <v>211</v>
      </c>
      <c r="C31" s="16">
        <v>252</v>
      </c>
    </row>
    <row r="32" spans="1:10">
      <c r="A32" s="5" t="s">
        <v>212</v>
      </c>
      <c r="D32" s="16">
        <v>2578</v>
      </c>
      <c r="E32" s="16">
        <v>2773</v>
      </c>
      <c r="F32" s="16">
        <v>3368</v>
      </c>
      <c r="G32" s="16">
        <v>3732</v>
      </c>
      <c r="H32" s="16">
        <v>4244</v>
      </c>
      <c r="I32" s="16">
        <v>4550</v>
      </c>
      <c r="J32" s="16">
        <v>4747</v>
      </c>
    </row>
    <row r="33" spans="1:10">
      <c r="A33" s="5" t="s">
        <v>213</v>
      </c>
      <c r="D33" s="16">
        <v>1367</v>
      </c>
      <c r="E33" s="16">
        <v>1465</v>
      </c>
      <c r="F33" s="16">
        <v>1889</v>
      </c>
      <c r="G33" s="16">
        <v>2013</v>
      </c>
      <c r="H33" s="16">
        <v>2486</v>
      </c>
      <c r="I33" s="16">
        <v>2780</v>
      </c>
      <c r="J33" s="16">
        <v>3055</v>
      </c>
    </row>
    <row r="34" spans="1:10">
      <c r="A34" s="5" t="s">
        <v>214</v>
      </c>
      <c r="D34" s="16">
        <v>1198</v>
      </c>
      <c r="E34" s="16">
        <v>1277</v>
      </c>
      <c r="F34" s="16">
        <v>1502</v>
      </c>
      <c r="G34" s="16">
        <v>1670</v>
      </c>
      <c r="H34" s="16">
        <v>1806</v>
      </c>
      <c r="I34" s="16">
        <v>1918</v>
      </c>
      <c r="J34" s="16">
        <v>1933</v>
      </c>
    </row>
    <row r="35" spans="1:10">
      <c r="A35" s="5" t="s">
        <v>215</v>
      </c>
      <c r="D35" s="16">
        <v>390</v>
      </c>
      <c r="E35" s="16">
        <v>435</v>
      </c>
      <c r="F35" s="16">
        <v>473</v>
      </c>
      <c r="G35" s="16">
        <v>555</v>
      </c>
      <c r="H35" s="16">
        <v>491</v>
      </c>
      <c r="I35" s="16">
        <v>410</v>
      </c>
      <c r="J35" s="16">
        <v>408</v>
      </c>
    </row>
    <row r="36" spans="1:10">
      <c r="A36" s="5" t="s">
        <v>219</v>
      </c>
      <c r="D36" s="16">
        <v>-245</v>
      </c>
      <c r="E36" s="16">
        <v>-153</v>
      </c>
      <c r="F36" s="16">
        <v>-56</v>
      </c>
      <c r="G36" s="16">
        <v>-66</v>
      </c>
      <c r="H36" s="16">
        <v>43</v>
      </c>
      <c r="I36" s="16">
        <v>62</v>
      </c>
      <c r="J36" s="16">
        <v>-6</v>
      </c>
    </row>
    <row r="37" spans="1:10">
      <c r="A37" s="10" t="s">
        <v>220</v>
      </c>
      <c r="C37" s="19">
        <f t="shared" ref="C37:J37" si="1">C26+C27+C28+C29+C30+C31+C32+C33+C34+C35+C36</f>
        <v>2976</v>
      </c>
      <c r="D37" s="19">
        <f t="shared" si="1"/>
        <v>5288</v>
      </c>
      <c r="E37" s="19">
        <f t="shared" si="1"/>
        <v>5797</v>
      </c>
      <c r="F37" s="19">
        <f t="shared" si="1"/>
        <v>7176</v>
      </c>
      <c r="G37" s="19">
        <f t="shared" si="1"/>
        <v>7904</v>
      </c>
      <c r="H37" s="19">
        <f t="shared" si="1"/>
        <v>9070</v>
      </c>
      <c r="I37" s="19">
        <f t="shared" si="1"/>
        <v>9720</v>
      </c>
      <c r="J37" s="19">
        <f t="shared" si="1"/>
        <v>10137</v>
      </c>
    </row>
    <row r="38" spans="1:10">
      <c r="A38" s="5" t="s">
        <v>221</v>
      </c>
      <c r="C38" s="16">
        <v>-309</v>
      </c>
      <c r="D38" s="16">
        <v>-567</v>
      </c>
      <c r="E38" s="16">
        <v>-506</v>
      </c>
      <c r="F38" s="16">
        <v>-273</v>
      </c>
      <c r="G38" s="16">
        <v>-1029</v>
      </c>
      <c r="H38" s="16">
        <v>-40</v>
      </c>
      <c r="I38" s="16">
        <v>-145</v>
      </c>
      <c r="J38" s="16">
        <v>-273</v>
      </c>
    </row>
    <row r="39" spans="1:10">
      <c r="A39" s="5" t="s">
        <v>222</v>
      </c>
      <c r="C39" s="16">
        <v>3294</v>
      </c>
      <c r="D39" s="16">
        <v>164</v>
      </c>
    </row>
    <row r="40" spans="1:10">
      <c r="A40" s="5" t="s">
        <v>223</v>
      </c>
      <c r="C40" s="16">
        <v>-714</v>
      </c>
      <c r="D40" s="16">
        <v>-1952</v>
      </c>
      <c r="E40" s="16">
        <v>-1969</v>
      </c>
      <c r="F40" s="16">
        <v>-1919</v>
      </c>
      <c r="G40" s="16">
        <v>-1506</v>
      </c>
      <c r="H40" s="16">
        <v>-1006</v>
      </c>
      <c r="I40" s="16">
        <v>-940</v>
      </c>
      <c r="J40" s="16">
        <v>-941</v>
      </c>
    </row>
    <row r="41" spans="1:10">
      <c r="A41" s="10" t="s">
        <v>224</v>
      </c>
      <c r="C41" s="19">
        <f t="shared" ref="C41:J41" si="2">C37+C38+C39+C40</f>
        <v>5247</v>
      </c>
      <c r="D41" s="19">
        <f t="shared" si="2"/>
        <v>2933</v>
      </c>
      <c r="E41" s="19">
        <f t="shared" si="2"/>
        <v>3322</v>
      </c>
      <c r="F41" s="19">
        <f t="shared" si="2"/>
        <v>4984</v>
      </c>
      <c r="G41" s="19">
        <f t="shared" si="2"/>
        <v>5369</v>
      </c>
      <c r="H41" s="19">
        <f t="shared" si="2"/>
        <v>8024</v>
      </c>
      <c r="I41" s="19">
        <f t="shared" si="2"/>
        <v>8635</v>
      </c>
      <c r="J41" s="19">
        <f t="shared" si="2"/>
        <v>8923</v>
      </c>
    </row>
    <row r="42" spans="1:10">
      <c r="A42" s="5" t="s">
        <v>225</v>
      </c>
      <c r="C42" s="20">
        <f>C41-'Income Statement'!C23</f>
        <v>0</v>
      </c>
      <c r="D42" s="20">
        <f>D41-'Income Statement'!D23</f>
        <v>0</v>
      </c>
      <c r="E42" s="20">
        <f>E41-'Income Statement'!E23</f>
        <v>0</v>
      </c>
      <c r="F42" s="20">
        <f>F41-'Income Statement'!F23</f>
        <v>0</v>
      </c>
      <c r="G42" s="20">
        <f>G41-'Income Statement'!G23</f>
        <v>0</v>
      </c>
      <c r="H42" s="20">
        <f>H41-'Income Statement'!H23</f>
        <v>0</v>
      </c>
      <c r="I42" s="20">
        <f>I41-'Income Statement'!I23</f>
        <v>0</v>
      </c>
      <c r="J42" s="20">
        <f>J41-'Income Statement'!J23</f>
        <v>0</v>
      </c>
    </row>
    <row r="45" spans="1:10">
      <c r="A45" s="5" t="s">
        <v>206</v>
      </c>
      <c r="C45" s="16">
        <v>660</v>
      </c>
    </row>
    <row r="46" spans="1:10">
      <c r="A46" s="5" t="s">
        <v>226</v>
      </c>
      <c r="C46" s="16">
        <v>146</v>
      </c>
    </row>
    <row r="47" spans="1:10">
      <c r="A47" s="5" t="s">
        <v>208</v>
      </c>
      <c r="C47" s="16">
        <v>148</v>
      </c>
    </row>
    <row r="48" spans="1:10">
      <c r="A48" s="5" t="s">
        <v>227</v>
      </c>
      <c r="C48" s="16">
        <v>204</v>
      </c>
    </row>
    <row r="49" spans="1:10">
      <c r="A49" s="5" t="s">
        <v>210</v>
      </c>
      <c r="C49" s="16">
        <v>44</v>
      </c>
    </row>
    <row r="50" spans="1:10">
      <c r="A50" s="5" t="s">
        <v>211</v>
      </c>
      <c r="C50" s="16">
        <v>282</v>
      </c>
    </row>
    <row r="51" spans="1:10">
      <c r="A51" s="5" t="s">
        <v>212</v>
      </c>
      <c r="D51" s="16">
        <v>1195</v>
      </c>
      <c r="E51" s="16">
        <v>1196</v>
      </c>
      <c r="F51" s="16">
        <v>1243</v>
      </c>
      <c r="G51" s="16">
        <v>1320</v>
      </c>
      <c r="H51" s="16">
        <v>1423</v>
      </c>
      <c r="I51" s="16">
        <v>1450</v>
      </c>
      <c r="J51" s="16">
        <v>1504</v>
      </c>
    </row>
    <row r="52" spans="1:10">
      <c r="A52" s="5" t="s">
        <v>213</v>
      </c>
      <c r="D52" s="16">
        <v>749</v>
      </c>
      <c r="E52" s="16">
        <v>723</v>
      </c>
      <c r="F52" s="16">
        <v>752</v>
      </c>
      <c r="G52" s="16">
        <v>661</v>
      </c>
      <c r="H52" s="16">
        <v>640</v>
      </c>
      <c r="I52" s="16">
        <v>640</v>
      </c>
      <c r="J52" s="16">
        <v>681</v>
      </c>
    </row>
    <row r="53" spans="1:10">
      <c r="A53" s="5" t="s">
        <v>214</v>
      </c>
      <c r="D53" s="16">
        <v>613</v>
      </c>
      <c r="E53" s="16">
        <v>619</v>
      </c>
      <c r="F53" s="16">
        <v>611</v>
      </c>
      <c r="G53" s="16">
        <v>593</v>
      </c>
      <c r="H53" s="16">
        <v>633</v>
      </c>
      <c r="I53" s="16">
        <v>641</v>
      </c>
      <c r="J53" s="16">
        <v>674</v>
      </c>
    </row>
    <row r="54" spans="1:10">
      <c r="A54" s="5" t="s">
        <v>215</v>
      </c>
      <c r="D54" s="16">
        <v>35</v>
      </c>
      <c r="E54" s="16">
        <v>36</v>
      </c>
      <c r="F54" s="16">
        <v>39</v>
      </c>
      <c r="G54" s="16">
        <v>33</v>
      </c>
      <c r="H54" s="16">
        <v>33</v>
      </c>
      <c r="I54" s="16">
        <v>33</v>
      </c>
      <c r="J54" s="16">
        <v>32</v>
      </c>
    </row>
    <row r="55" spans="1:10">
      <c r="A55" s="5" t="s">
        <v>216</v>
      </c>
      <c r="D55" s="16">
        <v>143</v>
      </c>
      <c r="E55" s="16">
        <v>132</v>
      </c>
      <c r="F55" s="16">
        <v>127</v>
      </c>
      <c r="G55" s="16">
        <v>116</v>
      </c>
      <c r="H55" s="16">
        <v>96</v>
      </c>
      <c r="I55" s="16">
        <v>93</v>
      </c>
      <c r="J55" s="16">
        <v>95</v>
      </c>
    </row>
    <row r="56" spans="1:10">
      <c r="A56" s="10" t="s">
        <v>228</v>
      </c>
      <c r="C56" s="19">
        <f t="shared" ref="C56:J56" si="3">C45+C46+C47+C48+C49+C50+C51+C52+C53+C54+C55</f>
        <v>1484</v>
      </c>
      <c r="D56" s="19">
        <f t="shared" si="3"/>
        <v>2735</v>
      </c>
      <c r="E56" s="19">
        <f t="shared" si="3"/>
        <v>2706</v>
      </c>
      <c r="F56" s="19">
        <f t="shared" si="3"/>
        <v>2772</v>
      </c>
      <c r="G56" s="19">
        <f t="shared" si="3"/>
        <v>2723</v>
      </c>
      <c r="H56" s="19">
        <f t="shared" si="3"/>
        <v>2825</v>
      </c>
      <c r="I56" s="19">
        <f t="shared" si="3"/>
        <v>2857</v>
      </c>
      <c r="J56" s="19">
        <f t="shared" si="3"/>
        <v>2986</v>
      </c>
    </row>
    <row r="57" spans="1:10">
      <c r="A57" s="5" t="s">
        <v>229</v>
      </c>
      <c r="C57" s="16">
        <v>346</v>
      </c>
      <c r="D57" s="16">
        <v>1940</v>
      </c>
      <c r="E57" s="16">
        <v>1920</v>
      </c>
      <c r="F57" s="16">
        <v>1863</v>
      </c>
      <c r="G57" s="16">
        <v>1481</v>
      </c>
      <c r="H57" s="16">
        <v>991</v>
      </c>
      <c r="I57" s="16">
        <v>923</v>
      </c>
      <c r="J57" s="16">
        <v>777</v>
      </c>
    </row>
    <row r="58" spans="1:10">
      <c r="A58" s="10" t="s">
        <v>230</v>
      </c>
      <c r="C58" s="19">
        <f t="shared" ref="C58:J58" si="4">C56+C57</f>
        <v>1830</v>
      </c>
      <c r="D58" s="19">
        <f t="shared" si="4"/>
        <v>4675</v>
      </c>
      <c r="E58" s="19">
        <f t="shared" si="4"/>
        <v>4626</v>
      </c>
      <c r="F58" s="19">
        <f t="shared" si="4"/>
        <v>4635</v>
      </c>
      <c r="G58" s="19">
        <f t="shared" si="4"/>
        <v>4204</v>
      </c>
      <c r="H58" s="19">
        <f t="shared" si="4"/>
        <v>3816</v>
      </c>
      <c r="I58" s="19">
        <f t="shared" si="4"/>
        <v>3780</v>
      </c>
      <c r="J58" s="19">
        <f t="shared" si="4"/>
        <v>3763</v>
      </c>
    </row>
    <row r="59" spans="1:10">
      <c r="A59" s="5" t="s">
        <v>231</v>
      </c>
      <c r="C59" s="20">
        <f>C58-'Income Statement'!C19</f>
        <v>0</v>
      </c>
      <c r="D59" s="20">
        <f>D58-'Income Statement'!D19</f>
        <v>0</v>
      </c>
      <c r="E59" s="20">
        <f>E58-'Income Statement'!E19</f>
        <v>0</v>
      </c>
      <c r="F59" s="20">
        <f>F58-'Income Statement'!F19</f>
        <v>0</v>
      </c>
      <c r="G59" s="20">
        <f>G58-'Income Statement'!G19</f>
        <v>0</v>
      </c>
      <c r="H59" s="20">
        <f>H58-'Income Statement'!H19</f>
        <v>0</v>
      </c>
      <c r="I59" s="20">
        <f>I58-'Income Statement'!I19</f>
        <v>0</v>
      </c>
      <c r="J59" s="20">
        <f>J58-'Income Statement'!J19</f>
        <v>0</v>
      </c>
    </row>
    <row r="62" spans="1:10" ht="72">
      <c r="A62" s="5" t="s">
        <v>212</v>
      </c>
      <c r="B62" s="18" t="s">
        <v>232</v>
      </c>
      <c r="H62" s="16">
        <v>2999</v>
      </c>
      <c r="I62" s="16">
        <v>2805</v>
      </c>
      <c r="J62" s="16">
        <v>3428</v>
      </c>
    </row>
    <row r="63" spans="1:10">
      <c r="A63" s="5" t="s">
        <v>213</v>
      </c>
      <c r="H63" s="16">
        <v>635</v>
      </c>
      <c r="I63" s="16">
        <v>702</v>
      </c>
      <c r="J63" s="16">
        <v>729</v>
      </c>
    </row>
    <row r="64" spans="1:10">
      <c r="A64" s="5" t="s">
        <v>214</v>
      </c>
      <c r="H64" s="16">
        <v>975</v>
      </c>
      <c r="I64" s="16">
        <v>1059</v>
      </c>
      <c r="J64" s="16">
        <v>1177</v>
      </c>
    </row>
    <row r="65" spans="1:10">
      <c r="A65" s="5" t="s">
        <v>215</v>
      </c>
      <c r="H65" s="16">
        <v>24</v>
      </c>
      <c r="I65" s="16">
        <v>25</v>
      </c>
      <c r="J65" s="16">
        <v>35</v>
      </c>
    </row>
    <row r="66" spans="1:10">
      <c r="A66" s="5" t="s">
        <v>216</v>
      </c>
      <c r="H66" s="16">
        <v>107</v>
      </c>
      <c r="I66" s="16">
        <v>223</v>
      </c>
      <c r="J66" s="16">
        <v>304</v>
      </c>
    </row>
    <row r="67" spans="1:10">
      <c r="A67" s="10" t="s">
        <v>233</v>
      </c>
      <c r="C67" s="19">
        <f t="shared" ref="C67:J67" si="5">C62+C63+C64+C65+C66</f>
        <v>0</v>
      </c>
      <c r="D67" s="19">
        <f t="shared" si="5"/>
        <v>0</v>
      </c>
      <c r="E67" s="19">
        <f t="shared" si="5"/>
        <v>0</v>
      </c>
      <c r="F67" s="19">
        <f t="shared" si="5"/>
        <v>0</v>
      </c>
      <c r="G67" s="19">
        <f t="shared" si="5"/>
        <v>0</v>
      </c>
      <c r="H67" s="19">
        <f t="shared" si="5"/>
        <v>4740</v>
      </c>
      <c r="I67" s="19">
        <f t="shared" si="5"/>
        <v>4814</v>
      </c>
      <c r="J67" s="19">
        <f t="shared" si="5"/>
        <v>5673</v>
      </c>
    </row>
  </sheetData>
  <phoneticPr fontId="30" type="noConversion"/>
  <conditionalFormatting sqref="C23:J23">
    <cfRule type="cellIs" dxfId="2" priority="1" operator="notBetween">
      <formula>-0.5</formula>
      <formula>0.5</formula>
    </cfRule>
  </conditionalFormatting>
  <conditionalFormatting sqref="C42:J42">
    <cfRule type="cellIs" dxfId="1" priority="2" operator="notBetween">
      <formula>-0.5</formula>
      <formula>0.5</formula>
    </cfRule>
  </conditionalFormatting>
  <conditionalFormatting sqref="C59:J59">
    <cfRule type="cellIs" dxfId="0" priority="3" operator="notBetween">
      <formula>-0.5</formula>
      <formula>0.5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548235"/>
  </sheetPr>
  <dimension ref="A1:J2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baseColWidth="10" defaultColWidth="8.83203125" defaultRowHeight="14"/>
  <cols>
    <col min="1" max="1" width="46" customWidth="1"/>
    <col min="2" max="2" width="2" customWidth="1"/>
    <col min="3" max="10" width="12" customWidth="1"/>
  </cols>
  <sheetData>
    <row r="1" spans="1:10" ht="28" customHeight="1">
      <c r="A1" s="1" t="s">
        <v>234</v>
      </c>
      <c r="B1" s="2"/>
      <c r="C1" s="2"/>
      <c r="D1" s="2"/>
      <c r="E1" s="2"/>
      <c r="F1" s="2"/>
      <c r="G1" s="2"/>
      <c r="H1" s="2"/>
      <c r="I1" s="2"/>
      <c r="J1" s="2"/>
    </row>
    <row r="2" spans="1:10" ht="16" customHeight="1">
      <c r="A2" s="3" t="s">
        <v>1</v>
      </c>
    </row>
    <row r="3" spans="1:10">
      <c r="C3" s="8" t="s">
        <v>60</v>
      </c>
      <c r="D3" s="8" t="s">
        <v>61</v>
      </c>
      <c r="E3" s="8" t="s">
        <v>62</v>
      </c>
      <c r="F3" s="8" t="s">
        <v>63</v>
      </c>
      <c r="G3" s="8" t="s">
        <v>64</v>
      </c>
      <c r="H3" s="8" t="s">
        <v>65</v>
      </c>
      <c r="I3" s="8" t="s">
        <v>66</v>
      </c>
      <c r="J3" s="8" t="s">
        <v>67</v>
      </c>
    </row>
    <row r="4" spans="1:10">
      <c r="C4" s="9"/>
      <c r="D4" s="9"/>
      <c r="E4" s="9"/>
      <c r="F4" s="9"/>
      <c r="G4" s="9"/>
      <c r="H4" s="9"/>
      <c r="I4" s="9"/>
      <c r="J4" s="9"/>
    </row>
    <row r="6" spans="1:10">
      <c r="A6" s="10" t="s">
        <v>68</v>
      </c>
    </row>
    <row r="7" spans="1:10">
      <c r="A7" s="11" t="str">
        <f>HYPERLINK("#'Operating Metrics'!A9","1. Segment-Based Operating Metrics")</f>
        <v>1. Segment-Based Operating Metrics</v>
      </c>
    </row>
    <row r="8" spans="1:10" ht="8" customHeight="1"/>
    <row r="9" spans="1:10" ht="20" customHeight="1">
      <c r="A9" s="12" t="s">
        <v>235</v>
      </c>
      <c r="B9" s="2"/>
      <c r="C9" s="2"/>
      <c r="D9" s="2"/>
      <c r="E9" s="2"/>
      <c r="F9" s="2"/>
      <c r="G9" s="2"/>
      <c r="H9" s="2"/>
      <c r="I9" s="2"/>
      <c r="J9" s="2"/>
    </row>
    <row r="10" spans="1:10">
      <c r="A10" s="10" t="s">
        <v>220</v>
      </c>
      <c r="C10" s="23">
        <f>Segments!C37</f>
        <v>2976</v>
      </c>
      <c r="D10" s="23">
        <f>Segments!D37</f>
        <v>5288</v>
      </c>
      <c r="E10" s="23">
        <f>Segments!E37</f>
        <v>5797</v>
      </c>
      <c r="F10" s="23">
        <f>Segments!F37</f>
        <v>7176</v>
      </c>
      <c r="G10" s="23">
        <f>Segments!G37</f>
        <v>7904</v>
      </c>
      <c r="H10" s="23">
        <f>Segments!H37</f>
        <v>9070</v>
      </c>
      <c r="I10" s="23">
        <f>Segments!I37</f>
        <v>9720</v>
      </c>
      <c r="J10" s="23">
        <f>Segments!J37</f>
        <v>10137</v>
      </c>
    </row>
    <row r="11" spans="1:10">
      <c r="A11" s="14" t="s">
        <v>236</v>
      </c>
      <c r="C11" s="15">
        <f>C10/'Income Statement'!C10</f>
        <v>0.19973154362416107</v>
      </c>
      <c r="D11" s="15">
        <f>D10/'Income Statement'!D10</f>
        <v>0.18733172736290207</v>
      </c>
      <c r="E11" s="15">
        <f>E10/'Income Statement'!E10</f>
        <v>0.21278860624747642</v>
      </c>
      <c r="F11" s="15">
        <f>F10/'Income Statement'!F10</f>
        <v>0.23303997661806256</v>
      </c>
      <c r="G11" s="15">
        <f>G10/'Income Statement'!G10</f>
        <v>0.23690205011389523</v>
      </c>
      <c r="H11" s="15">
        <f>H10/'Income Statement'!H10</f>
        <v>0.27606988494551654</v>
      </c>
      <c r="I11" s="15">
        <f>I10/'Income Statement'!I10</f>
        <v>0.29450083320708981</v>
      </c>
      <c r="J11" s="15">
        <f>J10/'Income Statement'!J10</f>
        <v>0.29826987583122461</v>
      </c>
    </row>
    <row r="14" spans="1:10">
      <c r="A14" s="5" t="s">
        <v>237</v>
      </c>
      <c r="D14" s="27">
        <f>Segments!D17/'Income Statement'!D10</f>
        <v>0.38943602097208446</v>
      </c>
      <c r="E14" s="27">
        <f>Segments!E17/'Income Statement'!E10</f>
        <v>0.38391513416290424</v>
      </c>
      <c r="F14" s="27">
        <f>Segments!F17/'Income Statement'!F10</f>
        <v>0.39304387360763809</v>
      </c>
      <c r="G14" s="27">
        <f>Segments!G17/'Income Statement'!G10</f>
        <v>0.41583742956480041</v>
      </c>
      <c r="H14" s="27">
        <f>Segments!H17/'Income Statement'!H10</f>
        <v>0.43538077555244414</v>
      </c>
      <c r="I14" s="27">
        <f>Segments!I17/'Income Statement'!I10</f>
        <v>0.4375700651416452</v>
      </c>
      <c r="J14" s="27">
        <f>Segments!J17/'Income Statement'!J10</f>
        <v>0.44747837344789032</v>
      </c>
    </row>
    <row r="15" spans="1:10">
      <c r="A15" s="5" t="s">
        <v>238</v>
      </c>
      <c r="D15" s="27">
        <f>Segments!D18/'Income Statement'!D10</f>
        <v>0.23533371120872892</v>
      </c>
      <c r="E15" s="27">
        <f>Segments!E18/'Income Statement'!E10</f>
        <v>0.23672135961531401</v>
      </c>
      <c r="F15" s="27">
        <f>Segments!F18/'Income Statement'!F10</f>
        <v>0.24820576104958919</v>
      </c>
      <c r="G15" s="27">
        <f>Segments!G18/'Income Statement'!G10</f>
        <v>0.25305718738760341</v>
      </c>
      <c r="H15" s="27">
        <f>Segments!H18/'Income Statement'!H10</f>
        <v>0.2599987824922384</v>
      </c>
      <c r="I15" s="27">
        <f>Segments!I18/'Income Statement'!I10</f>
        <v>0.2530525677927587</v>
      </c>
      <c r="J15" s="27">
        <f>Segments!J18/'Income Statement'!J10</f>
        <v>0.25154475372212087</v>
      </c>
    </row>
    <row r="16" spans="1:10">
      <c r="A16" s="5" t="s">
        <v>239</v>
      </c>
      <c r="D16" s="27">
        <f>Segments!D19/'Income Statement'!D10</f>
        <v>0.20685135326626045</v>
      </c>
      <c r="E16" s="27">
        <f>Segments!E19/'Income Statement'!E10</f>
        <v>0.20875087178357743</v>
      </c>
      <c r="F16" s="27">
        <f>Segments!F19/'Income Statement'!F10</f>
        <v>0.19916864222388206</v>
      </c>
      <c r="G16" s="27">
        <f>Segments!G19/'Income Statement'!G10</f>
        <v>0.1942213163889222</v>
      </c>
      <c r="H16" s="27">
        <f>Segments!H19/'Income Statement'!H10</f>
        <v>0.19964083521032447</v>
      </c>
      <c r="I16" s="27">
        <f>Segments!I19/'Income Statement'!I10</f>
        <v>0.20093925162854112</v>
      </c>
      <c r="J16" s="27">
        <f>Segments!J19/'Income Statement'!J10</f>
        <v>0.19599246748661214</v>
      </c>
    </row>
    <row r="17" spans="1:10">
      <c r="A17" s="5" t="s">
        <v>240</v>
      </c>
      <c r="D17" s="27">
        <f>Segments!D20/'Income Statement'!D10</f>
        <v>9.9156865523593596E-2</v>
      </c>
      <c r="E17" s="27">
        <f>Segments!E20/'Income Statement'!E10</f>
        <v>0.10465073596887274</v>
      </c>
      <c r="F17" s="27">
        <f>Segments!F20/'Income Statement'!F10</f>
        <v>9.3105575942584354E-2</v>
      </c>
      <c r="G17" s="27">
        <f>Segments!G20/'Income Statement'!G10</f>
        <v>8.2783838868241214E-2</v>
      </c>
      <c r="H17" s="27">
        <f>Segments!H20/'Income Statement'!H10</f>
        <v>6.5745419127046942E-2</v>
      </c>
      <c r="I17" s="27">
        <f>Segments!I20/'Income Statement'!I10</f>
        <v>7.0352976821693683E-2</v>
      </c>
      <c r="J17" s="27">
        <f>Segments!J20/'Income Statement'!J10</f>
        <v>6.6203730948037429E-2</v>
      </c>
    </row>
    <row r="18" spans="1:10">
      <c r="A18" s="5" t="s">
        <v>241</v>
      </c>
      <c r="D18" s="27">
        <f>Segments!D21/'Income Statement'!D10</f>
        <v>6.9222049029332572E-2</v>
      </c>
      <c r="E18" s="27">
        <f>Segments!E21/'Income Statement'!E10</f>
        <v>6.5961898469331565E-2</v>
      </c>
      <c r="F18" s="27">
        <f>Segments!F21/'Income Statement'!F10</f>
        <v>6.6476147176306302E-2</v>
      </c>
      <c r="G18" s="27">
        <f>Segments!G21/'Income Statement'!G10</f>
        <v>5.4100227790432803E-2</v>
      </c>
      <c r="H18" s="27">
        <f>Segments!H21/'Income Statement'!H10</f>
        <v>3.9234187617946066E-2</v>
      </c>
      <c r="I18" s="27">
        <f>Segments!I21/'Income Statement'!I10</f>
        <v>3.8085138615361308E-2</v>
      </c>
      <c r="J18" s="27">
        <f>Segments!J21/'Income Statement'!J10</f>
        <v>3.8780674395339255E-2</v>
      </c>
    </row>
    <row r="21" spans="1:10">
      <c r="A21" s="5" t="s">
        <v>242</v>
      </c>
      <c r="D21" s="27">
        <f>Segments!D32/Segments!D17</f>
        <v>0.23451287182752661</v>
      </c>
      <c r="E21" s="27">
        <f>Segments!E32/Segments!E17</f>
        <v>0.26513050960894924</v>
      </c>
      <c r="F21" s="27">
        <f>Segments!F32/Segments!F17</f>
        <v>0.27827811286457904</v>
      </c>
      <c r="G21" s="27">
        <f>Segments!G32/Segments!G17</f>
        <v>0.26899235980971603</v>
      </c>
      <c r="H21" s="27">
        <f>Segments!H32/Segments!H17</f>
        <v>0.29670022371364652</v>
      </c>
      <c r="I21" s="27">
        <f>Segments!I32/Segments!I17</f>
        <v>0.31505331671513642</v>
      </c>
      <c r="J21" s="27">
        <f>Segments!J32/Segments!J17</f>
        <v>0.31213834823776959</v>
      </c>
    </row>
    <row r="22" spans="1:10">
      <c r="A22" s="5" t="s">
        <v>243</v>
      </c>
      <c r="D22" s="27">
        <f>Segments!D33/Segments!D18</f>
        <v>0.20578052084901399</v>
      </c>
      <c r="E22" s="27">
        <f>Segments!E33/Segments!E18</f>
        <v>0.22716700263606759</v>
      </c>
      <c r="F22" s="27">
        <f>Segments!F33/Segments!F18</f>
        <v>0.24715425879890096</v>
      </c>
      <c r="G22" s="27">
        <f>Segments!G33/Segments!G18</f>
        <v>0.23842236171976786</v>
      </c>
      <c r="H22" s="27">
        <f>Segments!H33/Segments!H18</f>
        <v>0.29103254507141185</v>
      </c>
      <c r="I22" s="27">
        <f>Segments!I33/Segments!I18</f>
        <v>0.33285440613026818</v>
      </c>
      <c r="J22" s="27">
        <f>Segments!J33/Segments!J18</f>
        <v>0.35735173704526846</v>
      </c>
    </row>
    <row r="23" spans="1:10">
      <c r="A23" s="5" t="s">
        <v>244</v>
      </c>
      <c r="D23" s="27">
        <f>Segments!D34/Segments!D19</f>
        <v>0.20517211851344408</v>
      </c>
      <c r="E23" s="27">
        <f>Segments!E34/Segments!E19</f>
        <v>0.22454721294179708</v>
      </c>
      <c r="F23" s="27">
        <f>Segments!F34/Segments!F19</f>
        <v>0.24490461438121636</v>
      </c>
      <c r="G23" s="27">
        <f>Segments!G34/Segments!G19</f>
        <v>0.25771604938271603</v>
      </c>
      <c r="H23" s="27">
        <f>Segments!H34/Segments!H19</f>
        <v>0.27534685165421557</v>
      </c>
      <c r="I23" s="27">
        <f>Segments!I34/Segments!I19</f>
        <v>0.28920386007237636</v>
      </c>
      <c r="J23" s="27">
        <f>Segments!J34/Segments!J19</f>
        <v>0.29019666716709203</v>
      </c>
    </row>
    <row r="24" spans="1:10">
      <c r="A24" s="5" t="s">
        <v>245</v>
      </c>
      <c r="D24" s="27">
        <f>Segments!D35/Segments!D20</f>
        <v>0.13933547695605572</v>
      </c>
      <c r="E24" s="27">
        <f>Segments!E35/Segments!E20</f>
        <v>0.15257804279200279</v>
      </c>
      <c r="F24" s="27">
        <f>Segments!F35/Segments!F20</f>
        <v>0.16498081618416463</v>
      </c>
      <c r="G24" s="27">
        <f>Segments!G35/Segments!G20</f>
        <v>0.20094134685010862</v>
      </c>
      <c r="H24" s="27">
        <f>Segments!H35/Segments!H20</f>
        <v>0.2273148148148148</v>
      </c>
      <c r="I24" s="27">
        <f>Segments!I35/Segments!I20</f>
        <v>0.17657192075796727</v>
      </c>
      <c r="J24" s="27">
        <f>Segments!J35/Segments!J20</f>
        <v>0.18133333333333335</v>
      </c>
    </row>
  </sheetData>
  <phoneticPr fontId="3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30A0"/>
  </sheetPr>
  <dimension ref="A1:J6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baseColWidth="10" defaultColWidth="8.83203125" defaultRowHeight="14"/>
  <cols>
    <col min="1" max="1" width="46" customWidth="1"/>
    <col min="2" max="2" width="2" customWidth="1"/>
    <col min="3" max="10" width="12" customWidth="1"/>
  </cols>
  <sheetData>
    <row r="1" spans="1:10" ht="28" customHeight="1">
      <c r="A1" s="1" t="s">
        <v>246</v>
      </c>
      <c r="B1" s="2"/>
      <c r="C1" s="2"/>
      <c r="D1" s="2"/>
      <c r="E1" s="2"/>
      <c r="F1" s="2"/>
      <c r="G1" s="2"/>
      <c r="H1" s="2"/>
      <c r="I1" s="2"/>
      <c r="J1" s="2"/>
    </row>
    <row r="2" spans="1:10" ht="16" customHeight="1">
      <c r="A2" s="3" t="s">
        <v>1</v>
      </c>
    </row>
    <row r="3" spans="1:10">
      <c r="C3" s="8" t="s">
        <v>60</v>
      </c>
      <c r="D3" s="8" t="s">
        <v>61</v>
      </c>
      <c r="E3" s="8" t="s">
        <v>62</v>
      </c>
      <c r="F3" s="8" t="s">
        <v>63</v>
      </c>
      <c r="G3" s="8" t="s">
        <v>64</v>
      </c>
      <c r="H3" s="8" t="s">
        <v>65</v>
      </c>
      <c r="I3" s="8" t="s">
        <v>66</v>
      </c>
      <c r="J3" s="8" t="s">
        <v>67</v>
      </c>
    </row>
    <row r="4" spans="1:10">
      <c r="C4" s="9"/>
      <c r="D4" s="9"/>
      <c r="E4" s="9"/>
      <c r="F4" s="9"/>
      <c r="G4" s="9"/>
      <c r="H4" s="9"/>
      <c r="I4" s="9"/>
      <c r="J4" s="9"/>
    </row>
    <row r="6" spans="1:10">
      <c r="A6" s="10" t="s">
        <v>68</v>
      </c>
    </row>
    <row r="7" spans="1:10">
      <c r="A7" s="11" t="str">
        <f>HYPERLINK("#'Derived Metrics'!A9","1. Derived / Ratio Analysis")</f>
        <v>1. Derived / Ratio Analysis</v>
      </c>
    </row>
    <row r="8" spans="1:10" ht="8" customHeight="1"/>
    <row r="9" spans="1:10" ht="20" customHeight="1">
      <c r="A9" s="12" t="s">
        <v>247</v>
      </c>
      <c r="B9" s="2"/>
      <c r="C9" s="2"/>
      <c r="D9" s="2"/>
      <c r="E9" s="2"/>
      <c r="F9" s="2"/>
      <c r="G9" s="2"/>
      <c r="H9" s="2"/>
      <c r="I9" s="2"/>
      <c r="J9" s="2"/>
    </row>
    <row r="11" spans="1:10">
      <c r="A11" s="14" t="s">
        <v>75</v>
      </c>
      <c r="C11" s="15">
        <f>'Income Statement'!C14/'Income Statement'!C10</f>
        <v>0.39033557046979867</v>
      </c>
      <c r="D11" s="15">
        <f>'Income Statement'!D14/'Income Statement'!D10</f>
        <v>0.41037267960889895</v>
      </c>
      <c r="E11" s="15">
        <f>'Income Statement'!E14/'Income Statement'!E10</f>
        <v>0.43534118856219944</v>
      </c>
      <c r="F11" s="15">
        <f>'Income Statement'!F14/'Income Statement'!F10</f>
        <v>0.43029259896729777</v>
      </c>
      <c r="G11" s="15">
        <f>'Income Statement'!G14/'Income Statement'!G10</f>
        <v>0.41703632657954681</v>
      </c>
      <c r="H11" s="15">
        <f>'Income Statement'!H14/'Income Statement'!H10</f>
        <v>0.46758385584708101</v>
      </c>
      <c r="I11" s="15">
        <f>'Income Statement'!I14/'Income Statement'!I10</f>
        <v>0.48059384941675504</v>
      </c>
      <c r="J11" s="15">
        <f>'Income Statement'!J14/'Income Statement'!J10</f>
        <v>0.48834814335314541</v>
      </c>
    </row>
    <row r="12" spans="1:10">
      <c r="A12" s="14" t="s">
        <v>85</v>
      </c>
      <c r="C12" s="15">
        <f>'Income Statement'!C23/'Income Statement'!C10</f>
        <v>0.35214765100671142</v>
      </c>
      <c r="D12" s="15">
        <f>'Income Statement'!D23/'Income Statement'!D10</f>
        <v>0.10390392518067168</v>
      </c>
      <c r="E12" s="15">
        <f>'Income Statement'!E23/'Income Statement'!E10</f>
        <v>0.12193958080974929</v>
      </c>
      <c r="F12" s="15">
        <f>'Income Statement'!F23/'Income Statement'!F10</f>
        <v>0.16185496703796318</v>
      </c>
      <c r="G12" s="15">
        <f>'Income Statement'!G23/'Income Statement'!G10</f>
        <v>0.16092195180434002</v>
      </c>
      <c r="H12" s="15">
        <f>'Income Statement'!H23/'Income Statement'!H10</f>
        <v>0.24423205697936323</v>
      </c>
      <c r="I12" s="15">
        <f>'Income Statement'!I23/'Income Statement'!I10</f>
        <v>0.26162702620815026</v>
      </c>
      <c r="J12" s="15">
        <f>'Income Statement'!J23/'Income Statement'!J10</f>
        <v>0.26254928499970576</v>
      </c>
    </row>
    <row r="13" spans="1:10">
      <c r="A13" s="14" t="s">
        <v>248</v>
      </c>
      <c r="C13" s="15">
        <f>('Income Statement'!C23+'Income Statement'!C19)/'Income Statement'!C10</f>
        <v>0.47496644295302015</v>
      </c>
      <c r="D13" s="15">
        <f>('Income Statement'!D23+'Income Statement'!D19)/'Income Statement'!D10</f>
        <v>0.26951962590335837</v>
      </c>
      <c r="E13" s="15">
        <f>('Income Statement'!E23+'Income Statement'!E19)/'Income Statement'!E10</f>
        <v>0.29174466835517382</v>
      </c>
      <c r="F13" s="15">
        <f>('Income Statement'!F23+'Income Statement'!F19)/'Income Statement'!F10</f>
        <v>0.31237618939369338</v>
      </c>
      <c r="G13" s="15">
        <f>('Income Statement'!G23+'Income Statement'!G19)/'Income Statement'!G10</f>
        <v>0.28692602805419015</v>
      </c>
      <c r="H13" s="15">
        <f>('Income Statement'!H23+'Income Statement'!H19)/'Income Statement'!H10</f>
        <v>0.36038229743714617</v>
      </c>
      <c r="I13" s="15">
        <f>('Income Statement'!I23+'Income Statement'!I19)/'Income Statement'!I10</f>
        <v>0.37615512801090745</v>
      </c>
      <c r="J13" s="15">
        <f>('Income Statement'!J23+'Income Statement'!J19)/'Income Statement'!J10</f>
        <v>0.37327134702524567</v>
      </c>
    </row>
    <row r="14" spans="1:10">
      <c r="A14" s="14" t="s">
        <v>99</v>
      </c>
      <c r="C14" s="15">
        <f>'Income Statement'!C37/'Income Statement'!C10</f>
        <v>0.29402684563758391</v>
      </c>
      <c r="D14" s="15">
        <f>'Income Statement'!D37/'Income Statement'!D10</f>
        <v>8.0947994898682166E-2</v>
      </c>
      <c r="E14" s="15">
        <f>'Income Statement'!E37/'Income Statement'!E10</f>
        <v>9.1803399038285063E-2</v>
      </c>
      <c r="F14" s="15">
        <f>'Income Statement'!F37/'Income Statement'!F10</f>
        <v>0.12424901763387783</v>
      </c>
      <c r="G14" s="15">
        <f>'Income Statement'!G37/'Income Statement'!G10</f>
        <v>0.12429564800383647</v>
      </c>
      <c r="H14" s="15">
        <f>'Income Statement'!H37/'Income Statement'!H10</f>
        <v>0.18868326535581664</v>
      </c>
      <c r="I14" s="15">
        <f>'Income Statement'!I37/'Income Statement'!I10</f>
        <v>0.19890925617330707</v>
      </c>
      <c r="J14" s="15">
        <f>'Income Statement'!J37/'Income Statement'!J10</f>
        <v>0.20296592714647207</v>
      </c>
    </row>
    <row r="15" spans="1:10">
      <c r="A15" s="14" t="s">
        <v>90</v>
      </c>
      <c r="C15" s="15">
        <f>'Income Statement'!C29/'Income Statement'!C28</f>
        <v>0.16181422063775006</v>
      </c>
      <c r="D15" s="15">
        <f>'Income Statement'!D29/'Income Statement'!D28</f>
        <v>0.26272634096344377</v>
      </c>
      <c r="E15" s="15">
        <f>'Income Statement'!E29/'Income Statement'!E28</f>
        <v>0.25029550827423169</v>
      </c>
      <c r="F15" s="15">
        <f>'Income Statement'!F29/'Income Statement'!F28</f>
        <v>0.24749950970778584</v>
      </c>
      <c r="G15" s="15">
        <f>'Income Statement'!G29/'Income Statement'!G28</f>
        <v>0.25870467255998558</v>
      </c>
      <c r="H15" s="15">
        <f>'Income Statement'!H29/'Income Statement'!H28</f>
        <v>0.22709063595393089</v>
      </c>
      <c r="I15" s="15">
        <f>'Income Statement'!I29/'Income Statement'!I28</f>
        <v>0.23363286264441591</v>
      </c>
      <c r="J15" s="15">
        <f>'Income Statement'!J29/'Income Statement'!J28</f>
        <v>0.22355850286613466</v>
      </c>
    </row>
    <row r="18" spans="1:10">
      <c r="A18" s="14" t="s">
        <v>249</v>
      </c>
      <c r="C18" s="15">
        <f>'Income Statement'!C37/(('Balance Sheet'!C23+'Balance Sheet'!B23)/2)</f>
        <v>9.3825626967639686E-2</v>
      </c>
      <c r="D18" s="15">
        <f>'Income Statement'!D37/(('Balance Sheet'!D23+'Balance Sheet'!C23)/2)</f>
        <v>2.5389170990788787E-2</v>
      </c>
      <c r="E18" s="15">
        <f>'Income Statement'!E37/(('Balance Sheet'!E23+'Balance Sheet'!D23)/2)</f>
        <v>2.8608850326868412E-2</v>
      </c>
      <c r="F18" s="15">
        <f>'Income Statement'!F37/(('Balance Sheet'!F23+'Balance Sheet'!E23)/2)</f>
        <v>4.5055760330675834E-2</v>
      </c>
      <c r="G18" s="15">
        <f>'Income Statement'!G37/(('Balance Sheet'!G23+'Balance Sheet'!F23)/2)</f>
        <v>5.1431512498217195E-2</v>
      </c>
      <c r="H18" s="15">
        <f>'Income Statement'!H37/(('Balance Sheet'!H23+'Balance Sheet'!G23)/2)</f>
        <v>7.7261028609887261E-2</v>
      </c>
      <c r="I18" s="15">
        <f>'Income Statement'!I37/(('Balance Sheet'!I23+'Balance Sheet'!H23)/2)</f>
        <v>8.1574075224592757E-2</v>
      </c>
      <c r="J18" s="15">
        <f>'Income Statement'!J37/(('Balance Sheet'!J23+'Balance Sheet'!I23)/2)</f>
        <v>8.2628590594379631E-2</v>
      </c>
    </row>
    <row r="19" spans="1:10">
      <c r="A19" s="14" t="s">
        <v>250</v>
      </c>
      <c r="C19" s="15">
        <f>'Income Statement'!C37/(('Balance Sheet'!C46+'Balance Sheet'!B46)/2)</f>
        <v>0.16981936584231336</v>
      </c>
      <c r="D19" s="15">
        <f>'Income Statement'!D37/(('Balance Sheet'!D46+'Balance Sheet'!C46)/2)</f>
        <v>4.539584781960862E-2</v>
      </c>
      <c r="E19" s="15">
        <f>'Income Statement'!E37/(('Balance Sheet'!E46+'Balance Sheet'!D46)/2)</f>
        <v>5.1892811569544874E-2</v>
      </c>
      <c r="F19" s="15">
        <f>'Income Statement'!F37/(('Balance Sheet'!F46+'Balance Sheet'!E46)/2)</f>
        <v>8.3763902268149573E-2</v>
      </c>
      <c r="G19" s="15">
        <f>'Income Statement'!G37/(('Balance Sheet'!G46+'Balance Sheet'!F46)/2)</f>
        <v>9.8664097165221329E-2</v>
      </c>
      <c r="H19" s="15">
        <f>'Income Statement'!H37/(('Balance Sheet'!H46+'Balance Sheet'!G46)/2)</f>
        <v>0.15546471384862318</v>
      </c>
      <c r="I19" s="15">
        <f>'Income Statement'!I37/(('Balance Sheet'!I46+'Balance Sheet'!H46)/2)</f>
        <v>0.1687400400966432</v>
      </c>
      <c r="J19" s="15">
        <f>'Income Statement'!J37/(('Balance Sheet'!J46+'Balance Sheet'!I46)/2)</f>
        <v>0.18072494334333286</v>
      </c>
    </row>
    <row r="20" spans="1:10">
      <c r="A20" s="14" t="s">
        <v>251</v>
      </c>
      <c r="C20" s="15">
        <f>'Income Statement'!C23*(1-'Income Statement'!C30)/(('Balance Sheet'!C46+'Balance Sheet'!C34+'Balance Sheet'!B46+'Balance Sheet'!B34)/2)</f>
        <v>0.13768583007681814</v>
      </c>
      <c r="D20" s="15">
        <f>'Income Statement'!D23*(1-'Income Statement'!D30)/(('Balance Sheet'!D46+'Balance Sheet'!D34+'Balance Sheet'!C46+'Balance Sheet'!C34)/2)</f>
        <v>3.4976241873567043E-2</v>
      </c>
      <c r="E20" s="15">
        <f>'Income Statement'!E23*(1-'Income Statement'!E30)/(('Balance Sheet'!E46+'Balance Sheet'!E34+'Balance Sheet'!D46+'Balance Sheet'!D34)/2)</f>
        <v>4.1774603668573287E-2</v>
      </c>
      <c r="F20" s="15">
        <f>'Income Statement'!F23*(1-'Income Statement'!F30)/(('Balance Sheet'!F46+'Balance Sheet'!F34+'Balance Sheet'!E46+'Balance Sheet'!E34)/2)</f>
        <v>6.5316877430426856E-2</v>
      </c>
      <c r="G20" s="15">
        <f>'Income Statement'!G23*(1-'Income Statement'!G30)/(('Balance Sheet'!G46+'Balance Sheet'!G34+'Balance Sheet'!F46+'Balance Sheet'!F34)/2)</f>
        <v>7.3980716997387216E-2</v>
      </c>
      <c r="H20" s="15">
        <f>'Income Statement'!H23*(1-'Income Statement'!H30)/(('Balance Sheet'!H46+'Balance Sheet'!H34+'Balance Sheet'!G46+'Balance Sheet'!G34)/2)</f>
        <v>0.11774536014933425</v>
      </c>
      <c r="I20" s="15">
        <f>'Income Statement'!I23*(1-'Income Statement'!I30)/(('Balance Sheet'!I46+'Balance Sheet'!I34+'Balance Sheet'!H46+'Balance Sheet'!H34)/2)</f>
        <v>0.1242131584778412</v>
      </c>
      <c r="J20" s="15">
        <f>'Income Statement'!J23*(1-'Income Statement'!J30)/(('Balance Sheet'!J46+'Balance Sheet'!J34+'Balance Sheet'!I46+'Balance Sheet'!I34)/2)</f>
        <v>0.12331795126376977</v>
      </c>
    </row>
    <row r="21" spans="1:10">
      <c r="A21" s="14" t="s">
        <v>252</v>
      </c>
      <c r="C21" s="26">
        <f>'Income Statement'!C10/(('Balance Sheet'!C23+'Balance Sheet'!B23)/2)</f>
        <v>0.31910564752746662</v>
      </c>
      <c r="D21" s="26">
        <f>'Income Statement'!D10/(('Balance Sheet'!D23+'Balance Sheet'!C23)/2)</f>
        <v>0.31364792942143804</v>
      </c>
      <c r="E21" s="26">
        <f>'Income Statement'!E10/(('Balance Sheet'!E23+'Balance Sheet'!D23)/2)</f>
        <v>0.31163171109751148</v>
      </c>
      <c r="F21" s="26">
        <f>'Income Statement'!F10/(('Balance Sheet'!F23+'Balance Sheet'!E23)/2)</f>
        <v>0.36262468057043939</v>
      </c>
      <c r="G21" s="26">
        <f>'Income Statement'!G10/(('Balance Sheet'!G23+'Balance Sheet'!F23)/2)</f>
        <v>0.41378369495792588</v>
      </c>
      <c r="H21" s="26">
        <f>'Income Statement'!H10/(('Balance Sheet'!H23+'Balance Sheet'!G23)/2)</f>
        <v>0.4094747272058778</v>
      </c>
      <c r="I21" s="26">
        <f>'Income Statement'!I10/(('Balance Sheet'!I23+'Balance Sheet'!H23)/2)</f>
        <v>0.41010698443072108</v>
      </c>
      <c r="J21" s="26">
        <f>'Income Statement'!J10/(('Balance Sheet'!J23+'Balance Sheet'!I23)/2)</f>
        <v>0.40710572338947321</v>
      </c>
    </row>
    <row r="24" spans="1:10">
      <c r="A24" s="14" t="s">
        <v>253</v>
      </c>
      <c r="C24" s="22">
        <f>'Balance Sheet'!C34+'Balance Sheet'!C26+'Balance Sheet'!C27-'Balance Sheet'!C10</f>
        <v>10830</v>
      </c>
      <c r="D24" s="22">
        <f>'Balance Sheet'!D34+'Balance Sheet'!D26+'Balance Sheet'!D27-'Balance Sheet'!D10</f>
        <v>11256</v>
      </c>
      <c r="E24" s="22">
        <f>'Balance Sheet'!E34+'Balance Sheet'!E26+'Balance Sheet'!E27-'Balance Sheet'!E10</f>
        <v>12400</v>
      </c>
      <c r="F24" s="22">
        <f>'Balance Sheet'!F34+'Balance Sheet'!F26+'Balance Sheet'!F27-'Balance Sheet'!F10</f>
        <v>11384</v>
      </c>
      <c r="G24" s="22">
        <f>'Balance Sheet'!G34+'Balance Sheet'!G26+'Balance Sheet'!G27-'Balance Sheet'!G10</f>
        <v>12478</v>
      </c>
      <c r="H24" s="22">
        <f>'Balance Sheet'!H34+'Balance Sheet'!H26+'Balance Sheet'!H27-'Balance Sheet'!H10</f>
        <v>14709</v>
      </c>
      <c r="I24" s="22">
        <f>'Balance Sheet'!I34+'Balance Sheet'!I26+'Balance Sheet'!I27-'Balance Sheet'!I10</f>
        <v>16773</v>
      </c>
      <c r="J24" s="22">
        <f>'Balance Sheet'!J34+'Balance Sheet'!J26+'Balance Sheet'!J27-'Balance Sheet'!J10</f>
        <v>21933</v>
      </c>
    </row>
    <row r="25" spans="1:10">
      <c r="A25" s="14" t="s">
        <v>254</v>
      </c>
      <c r="C25" s="26">
        <f>C24/('Income Statement'!C23+'Income Statement'!C19)</f>
        <v>1.5303094531581178</v>
      </c>
      <c r="D25" s="26">
        <f>D24/('Income Statement'!D23+'Income Statement'!D19)</f>
        <v>1.4794952681388012</v>
      </c>
      <c r="E25" s="26">
        <f>E24/('Income Statement'!E23+'Income Statement'!E19)</f>
        <v>1.560140915953699</v>
      </c>
      <c r="F25" s="26">
        <f>F24/('Income Statement'!F23+'Income Statement'!F19)</f>
        <v>1.1834910073812246</v>
      </c>
      <c r="G25" s="26">
        <f>G24/('Income Statement'!G23+'Income Statement'!G19)</f>
        <v>1.3034576412827745</v>
      </c>
      <c r="H25" s="26">
        <f>H24/('Income Statement'!H23+'Income Statement'!H19)</f>
        <v>1.2423141891891891</v>
      </c>
      <c r="I25" s="26">
        <f>I24/('Income Statement'!I23+'Income Statement'!I19)</f>
        <v>1.3510269834877164</v>
      </c>
      <c r="J25" s="26">
        <f>J24/('Income Statement'!J23+'Income Statement'!J19)</f>
        <v>1.7289137632035314</v>
      </c>
    </row>
    <row r="26" spans="1:10">
      <c r="A26" s="14" t="s">
        <v>255</v>
      </c>
      <c r="C26" s="26">
        <f>('Balance Sheet'!C34+'Balance Sheet'!C26+'Balance Sheet'!C27)/'Balance Sheet'!C46</f>
        <v>0.29645708969687573</v>
      </c>
      <c r="D26" s="26">
        <f>('Balance Sheet'!D34+'Balance Sheet'!D26+'Balance Sheet'!D27)/'Balance Sheet'!D46</f>
        <v>0.28438684435750089</v>
      </c>
      <c r="E26" s="26">
        <f>('Balance Sheet'!E34+'Balance Sheet'!E26+'Balance Sheet'!E27)/'Balance Sheet'!E46</f>
        <v>0.34139949700953148</v>
      </c>
      <c r="F26" s="26">
        <f>('Balance Sheet'!F34+'Balance Sheet'!F26+'Balance Sheet'!F27)/'Balance Sheet'!F46</f>
        <v>0.32262972635403658</v>
      </c>
      <c r="G26" s="26">
        <f>('Balance Sheet'!G34+'Balance Sheet'!G26+'Balance Sheet'!G27)/'Balance Sheet'!G46</f>
        <v>0.4475367242929949</v>
      </c>
      <c r="H26" s="26">
        <f>('Balance Sheet'!H34+'Balance Sheet'!H26+'Balance Sheet'!H27)/'Balance Sheet'!H46</f>
        <v>0.48773917421953678</v>
      </c>
      <c r="I26" s="26">
        <f>('Balance Sheet'!I34+'Balance Sheet'!I26+'Balance Sheet'!I27)/'Balance Sheet'!I46</f>
        <v>0.56765200042003572</v>
      </c>
      <c r="J26" s="26">
        <f>('Balance Sheet'!J34+'Balance Sheet'!J26+'Balance Sheet'!J27)/'Balance Sheet'!J46</f>
        <v>0.70568701791083799</v>
      </c>
    </row>
    <row r="29" spans="1:10">
      <c r="A29" s="14" t="s">
        <v>256</v>
      </c>
      <c r="C29" s="15">
        <f>'Balance Sheet'!C48/'Balance Sheet'!C23</f>
        <v>0.61122652217677165</v>
      </c>
      <c r="D29" s="15">
        <f>'Balance Sheet'!D48/'Balance Sheet'!D23</f>
        <v>0.59485983466494252</v>
      </c>
      <c r="E29" s="15">
        <f>'Balance Sheet'!E48/'Balance Sheet'!E23</f>
        <v>0.56182207664146711</v>
      </c>
      <c r="F29" s="15">
        <f>'Balance Sheet'!F48/'Balance Sheet'!F23</f>
        <v>0.5566815758838306</v>
      </c>
      <c r="G29" s="15">
        <f>'Balance Sheet'!G48/'Balance Sheet'!G23</f>
        <v>0.51939541540083856</v>
      </c>
      <c r="H29" s="15">
        <f>'Balance Sheet'!H48/'Balance Sheet'!H23</f>
        <v>0.50837138508371382</v>
      </c>
      <c r="I29" s="15">
        <f>'Balance Sheet'!I48/'Balance Sheet'!I23</f>
        <v>0.49253247158346536</v>
      </c>
      <c r="J29" s="15">
        <f>'Balance Sheet'!J48/'Balance Sheet'!J23</f>
        <v>0.45760622919474297</v>
      </c>
    </row>
    <row r="30" spans="1:10">
      <c r="A30" s="14" t="s">
        <v>257</v>
      </c>
      <c r="C30" s="15">
        <f>('Balance Sheet'!C34+'Balance Sheet'!C26+'Balance Sheet'!C27)/'Balance Sheet'!C23</f>
        <v>0.16379328807315871</v>
      </c>
      <c r="D30" s="15">
        <f>('Balance Sheet'!D34+'Balance Sheet'!D26+'Balance Sheet'!D27)/'Balance Sheet'!D23</f>
        <v>0.16113240659492911</v>
      </c>
      <c r="E30" s="15">
        <f>('Balance Sheet'!E34+'Balance Sheet'!E26+'Balance Sheet'!E27)/'Balance Sheet'!E23</f>
        <v>0.18309172720987429</v>
      </c>
      <c r="F30" s="15">
        <f>('Balance Sheet'!F34+'Balance Sheet'!F26+'Balance Sheet'!F27)/'Balance Sheet'!F23</f>
        <v>0.17409472458795416</v>
      </c>
      <c r="G30" s="15">
        <f>('Balance Sheet'!G34+'Balance Sheet'!G26+'Balance Sheet'!G27)/'Balance Sheet'!G23</f>
        <v>0.2248863893143187</v>
      </c>
      <c r="H30" s="15">
        <f>('Balance Sheet'!H34+'Balance Sheet'!H26+'Balance Sheet'!H27)/'Balance Sheet'!H23</f>
        <v>0.23973221467374492</v>
      </c>
      <c r="I30" s="15">
        <f>('Balance Sheet'!I34+'Balance Sheet'!I26+'Balance Sheet'!I27)/'Balance Sheet'!I23</f>
        <v>0.2697917576453267</v>
      </c>
      <c r="J30" s="15">
        <f>('Balance Sheet'!J34+'Balance Sheet'!J26+'Balance Sheet'!J27)/'Balance Sheet'!J23</f>
        <v>0.31087229459668037</v>
      </c>
    </row>
    <row r="33" spans="1:10">
      <c r="A33" s="14" t="s">
        <v>258</v>
      </c>
      <c r="C33" s="26">
        <f>'Balance Sheet'!C16/'Balance Sheet'!C32</f>
        <v>1.3331275084902747</v>
      </c>
      <c r="D33" s="26">
        <f>'Balance Sheet'!D16/'Balance Sheet'!D32</f>
        <v>0.85131578947368425</v>
      </c>
      <c r="E33" s="26">
        <f>'Balance Sheet'!E16/'Balance Sheet'!E32</f>
        <v>0.79505094614264915</v>
      </c>
      <c r="F33" s="26">
        <f>'Balance Sheet'!F16/'Balance Sheet'!F32</f>
        <v>0.7446309462728139</v>
      </c>
      <c r="G33" s="26">
        <f>'Balance Sheet'!G16/'Balance Sheet'!G32</f>
        <v>0.791734935372292</v>
      </c>
      <c r="H33" s="26">
        <f>'Balance Sheet'!H16/'Balance Sheet'!H32</f>
        <v>0.80295221734427691</v>
      </c>
      <c r="I33" s="26">
        <f>'Balance Sheet'!I16/'Balance Sheet'!I32</f>
        <v>0.89005775577557755</v>
      </c>
      <c r="J33" s="26">
        <f>'Balance Sheet'!J16/'Balance Sheet'!J32</f>
        <v>0.87676010001315963</v>
      </c>
    </row>
    <row r="34" spans="1:10">
      <c r="A34" s="14" t="s">
        <v>259</v>
      </c>
      <c r="C34" s="26">
        <f>('Balance Sheet'!C10+'Balance Sheet'!C11)/'Balance Sheet'!C32</f>
        <v>0.67636616239580116</v>
      </c>
      <c r="D34" s="26">
        <f>('Balance Sheet'!D10+'Balance Sheet'!D11)/'Balance Sheet'!D32</f>
        <v>0.57746710526315792</v>
      </c>
      <c r="E34" s="26">
        <f>('Balance Sheet'!E10+'Balance Sheet'!E11)/'Balance Sheet'!E32</f>
        <v>0.57649199417758368</v>
      </c>
      <c r="F34" s="26">
        <f>('Balance Sheet'!F10+'Balance Sheet'!F11)/'Balance Sheet'!F32</f>
        <v>0.53668547973319647</v>
      </c>
      <c r="G34" s="26">
        <f>('Balance Sheet'!G10+'Balance Sheet'!G11)/'Balance Sheet'!G32</f>
        <v>0.60652952242247704</v>
      </c>
      <c r="H34" s="26">
        <f>('Balance Sheet'!H10+'Balance Sheet'!H11)/'Balance Sheet'!H32</f>
        <v>0.5969332569828848</v>
      </c>
      <c r="I34" s="26">
        <f>('Balance Sheet'!I10+'Balance Sheet'!I11)/'Balance Sheet'!I32</f>
        <v>0.65126512651265123</v>
      </c>
      <c r="J34" s="26">
        <f>('Balance Sheet'!J10+'Balance Sheet'!J11)/'Balance Sheet'!J32</f>
        <v>0.65942887222002899</v>
      </c>
    </row>
    <row r="35" spans="1:10">
      <c r="A35" s="14" t="s">
        <v>260</v>
      </c>
      <c r="C35" s="26">
        <f>'Balance Sheet'!C10/'Balance Sheet'!C32</f>
        <v>0.34470515591231859</v>
      </c>
      <c r="D35" s="26">
        <f>'Balance Sheet'!D10/'Balance Sheet'!D32</f>
        <v>0.22203947368421054</v>
      </c>
      <c r="E35" s="26">
        <f>'Balance Sheet'!E10/'Balance Sheet'!E32</f>
        <v>0.27321688500727803</v>
      </c>
      <c r="F35" s="26">
        <f>'Balance Sheet'!F10/'Balance Sheet'!F32</f>
        <v>0.20691929927435315</v>
      </c>
      <c r="G35" s="26">
        <f>'Balance Sheet'!G10/'Balance Sheet'!G32</f>
        <v>0.32987438558164939</v>
      </c>
      <c r="H35" s="26">
        <f>'Balance Sheet'!H10/'Balance Sheet'!H32</f>
        <v>0.29674874339886748</v>
      </c>
      <c r="I35" s="26">
        <f>'Balance Sheet'!I10/'Balance Sheet'!I32</f>
        <v>0.33347084708470848</v>
      </c>
      <c r="J35" s="26">
        <f>'Balance Sheet'!J10/'Balance Sheet'!J32</f>
        <v>0.33267535202000265</v>
      </c>
    </row>
    <row r="38" spans="1:10">
      <c r="A38" s="14" t="s">
        <v>261</v>
      </c>
      <c r="C38" s="26">
        <f>'Income Statement'!C23/'Income Statement'!C26</f>
        <v>25.975247524752476</v>
      </c>
      <c r="D38" s="26">
        <f>'Income Statement'!D23/'Income Statement'!D26</f>
        <v>77.184210526315795</v>
      </c>
      <c r="E38" s="26">
        <f>'Income Statement'!E23/'Income Statement'!E26</f>
        <v>28.88695652173913</v>
      </c>
      <c r="F38" s="26">
        <f>'Income Statement'!F23/'Income Statement'!F26</f>
        <v>64.727272727272734</v>
      </c>
      <c r="G38" s="26">
        <f>'Income Statement'!G23/'Income Statement'!G26</f>
        <v>85.222222222222229</v>
      </c>
      <c r="H38" s="26">
        <f>'Income Statement'!H23/'Income Statement'!H26</f>
        <v>40.119999999999997</v>
      </c>
      <c r="I38" s="26">
        <f>'Income Statement'!I23/'Income Statement'!I26</f>
        <v>33.73046875</v>
      </c>
      <c r="J38" s="26">
        <f>'Income Statement'!J23/'Income Statement'!J26</f>
        <v>34.992156862745098</v>
      </c>
    </row>
    <row r="39" spans="1:10">
      <c r="A39" s="14" t="s">
        <v>262</v>
      </c>
      <c r="C39" s="26">
        <f>'Cash Flow Statement'!C30/'Income Statement'!C26</f>
        <v>18.089108910891088</v>
      </c>
      <c r="D39" s="26">
        <f>'Cash Flow Statement'!D30/'Income Statement'!D26</f>
        <v>161.02631578947367</v>
      </c>
      <c r="E39" s="26">
        <f>'Cash Flow Statement'!E30/'Income Statement'!E26</f>
        <v>64.599999999999994</v>
      </c>
      <c r="F39" s="26">
        <f>'Cash Flow Statement'!F30/'Income Statement'!F26</f>
        <v>126.2987012987013</v>
      </c>
      <c r="G39" s="26">
        <f>'Cash Flow Statement'!G30/'Income Statement'!G26</f>
        <v>140.69841269841271</v>
      </c>
      <c r="H39" s="26">
        <f>'Cash Flow Statement'!H30/'Income Statement'!H26</f>
        <v>46.524999999999999</v>
      </c>
      <c r="I39" s="26">
        <f>'Cash Flow Statement'!I30/'Income Statement'!I26</f>
        <v>36.80859375</v>
      </c>
      <c r="J39" s="26">
        <f>'Cash Flow Statement'!J30/'Income Statement'!J26</f>
        <v>40.588235294117645</v>
      </c>
    </row>
    <row r="42" spans="1:10">
      <c r="A42" s="14" t="s">
        <v>172</v>
      </c>
      <c r="C42" s="15">
        <f>'Cash Flow Statement'!C30/'Income Statement'!C10</f>
        <v>0.24523489932885906</v>
      </c>
      <c r="D42" s="15">
        <f>'Cash Flow Statement'!D30/'Income Statement'!D10</f>
        <v>0.21677058240045344</v>
      </c>
      <c r="E42" s="15">
        <f>'Cash Flow Statement'!E30/'Income Statement'!E10</f>
        <v>0.27269390302095953</v>
      </c>
      <c r="F42" s="15">
        <f>'Cash Flow Statement'!F30/'Income Statement'!F10</f>
        <v>0.31581853018543177</v>
      </c>
      <c r="G42" s="15">
        <f>'Cash Flow Statement'!G30/'Income Statement'!G10</f>
        <v>0.26567557846780959</v>
      </c>
      <c r="H42" s="15">
        <f>'Cash Flow Statement'!H30/'Income Statement'!H10</f>
        <v>0.2832227430449869</v>
      </c>
      <c r="I42" s="15">
        <f>'Cash Flow Statement'!I30/'Income Statement'!I10</f>
        <v>0.28550219663687321</v>
      </c>
      <c r="J42" s="15">
        <f>'Cash Flow Statement'!J30/'Income Statement'!J10</f>
        <v>0.30453716236097217</v>
      </c>
    </row>
    <row r="43" spans="1:10">
      <c r="A43" s="14" t="s">
        <v>263</v>
      </c>
      <c r="C43" s="26">
        <f>'Cash Flow Statement'!C30/('Income Statement'!C23+'Income Statement'!C19)</f>
        <v>0.51632047477744802</v>
      </c>
      <c r="D43" s="26">
        <f>'Cash Flow Statement'!D30/('Income Statement'!D23+'Income Statement'!D19)</f>
        <v>0.80428496319663512</v>
      </c>
      <c r="E43" s="26">
        <f>'Cash Flow Statement'!E30/('Income Statement'!E23+'Income Statement'!E19)</f>
        <v>0.93470055359838955</v>
      </c>
      <c r="F43" s="26">
        <f>'Cash Flow Statement'!F30/('Income Statement'!F23+'Income Statement'!F19)</f>
        <v>1.0110198565339432</v>
      </c>
      <c r="G43" s="26">
        <f>'Cash Flow Statement'!G30/('Income Statement'!G23+'Income Statement'!G19)</f>
        <v>0.92593753264389433</v>
      </c>
      <c r="H43" s="26">
        <f>'Cash Flow Statement'!H30/('Income Statement'!H23+'Income Statement'!H19)</f>
        <v>0.78589527027027029</v>
      </c>
      <c r="I43" s="26">
        <f>'Cash Flow Statement'!I30/('Income Statement'!I23+'Income Statement'!I19)</f>
        <v>0.75900120821586792</v>
      </c>
      <c r="J43" s="26">
        <f>'Cash Flow Statement'!J30/('Income Statement'!J23+'Income Statement'!J19)</f>
        <v>0.81586000315308216</v>
      </c>
    </row>
    <row r="44" spans="1:10">
      <c r="A44" s="14" t="s">
        <v>264</v>
      </c>
      <c r="C44" s="15">
        <f>0-'Cash Flow Statement'!C33/'Income Statement'!C10</f>
        <v>0.12637583892617449</v>
      </c>
      <c r="D44" s="15">
        <f>0-'Cash Flow Statement'!D33/'Income Statement'!D10</f>
        <v>0.13043786311463795</v>
      </c>
      <c r="E44" s="15">
        <f>0-'Cash Flow Statement'!E33/'Income Statement'!E10</f>
        <v>0.12480270161142312</v>
      </c>
      <c r="F44" s="15">
        <f>0-'Cash Flow Statement'!F33/'Income Statement'!F10</f>
        <v>0.10021758191796837</v>
      </c>
      <c r="G44" s="15">
        <f>0-'Cash Flow Statement'!G33/'Income Statement'!G10</f>
        <v>9.5102505694760822E-2</v>
      </c>
      <c r="H44" s="15">
        <f>0-'Cash Flow Statement'!H33/'Income Statement'!H10</f>
        <v>0.11526754733061423</v>
      </c>
      <c r="I44" s="15">
        <f>0-'Cash Flow Statement'!I33/'Income Statement'!I10</f>
        <v>0.1362520830177246</v>
      </c>
      <c r="J44" s="15">
        <f>0-'Cash Flow Statement'!J33/'Income Statement'!J10</f>
        <v>0.15479903489672217</v>
      </c>
    </row>
    <row r="45" spans="1:10">
      <c r="A45" s="14" t="s">
        <v>200</v>
      </c>
      <c r="C45" s="15">
        <f>'Cash Flow Statement'!C62/'Income Statement'!C10</f>
        <v>0.11885906040268457</v>
      </c>
      <c r="D45" s="15">
        <f>'Cash Flow Statement'!D62/'Income Statement'!D10</f>
        <v>8.6332719285815498E-2</v>
      </c>
      <c r="E45" s="15">
        <f>'Cash Flow Statement'!E62/'Income Statement'!E10</f>
        <v>0.1478912014095364</v>
      </c>
      <c r="F45" s="15">
        <f>'Cash Flow Statement'!F62/'Income Statement'!F10</f>
        <v>0.21560094826746337</v>
      </c>
      <c r="G45" s="15">
        <f>'Cash Flow Statement'!G62/'Income Statement'!G10</f>
        <v>0.17057307277304878</v>
      </c>
      <c r="H45" s="15">
        <f>'Cash Flow Statement'!H62/'Income Statement'!H10</f>
        <v>0.16795519571437267</v>
      </c>
      <c r="I45" s="15">
        <f>'Cash Flow Statement'!I62/'Income Statement'!I10</f>
        <v>0.14925011361914861</v>
      </c>
      <c r="J45" s="15">
        <f>'Cash Flow Statement'!J62/'Income Statement'!J10</f>
        <v>0.14973812746425</v>
      </c>
    </row>
    <row r="46" spans="1:10">
      <c r="A46" s="14" t="s">
        <v>265</v>
      </c>
      <c r="C46" s="26">
        <f>'Cash Flow Statement'!C62/'Income Statement'!C37</f>
        <v>0.40424560602602144</v>
      </c>
      <c r="D46" s="26">
        <f>'Cash Flow Statement'!D62/'Income Statement'!D37</f>
        <v>1.0665207877461707</v>
      </c>
      <c r="E46" s="26">
        <f>'Cash Flow Statement'!E62/'Income Statement'!E37</f>
        <v>1.6109556177528987</v>
      </c>
      <c r="F46" s="26">
        <f>'Cash Flow Statement'!F62/'Income Statement'!F37</f>
        <v>1.7352326189231573</v>
      </c>
      <c r="G46" s="26">
        <f>'Cash Flow Statement'!G62/'Income Statement'!G37</f>
        <v>1.3723173378345792</v>
      </c>
      <c r="H46" s="26">
        <f>'Cash Flow Statement'!H62/'Income Statement'!H37</f>
        <v>0.89014357154379742</v>
      </c>
      <c r="I46" s="26">
        <f>'Cash Flow Statement'!I62/'Income Statement'!I37</f>
        <v>0.75034272658035039</v>
      </c>
      <c r="J46" s="26">
        <f>'Cash Flow Statement'!J62/'Income Statement'!J37</f>
        <v>0.7377500724847782</v>
      </c>
    </row>
    <row r="47" spans="1:10">
      <c r="A47" s="14" t="s">
        <v>266</v>
      </c>
      <c r="C47" s="26">
        <f>'Income Statement'!C19/(0-'Cash Flow Statement'!C33)</f>
        <v>0.97185342538502395</v>
      </c>
      <c r="D47" s="26">
        <f>'Income Statement'!D19/(0-'Cash Flow Statement'!D33)</f>
        <v>1.2696903856599675</v>
      </c>
      <c r="E47" s="26">
        <f>'Income Statement'!E19/(0-'Cash Flow Statement'!E33)</f>
        <v>1.3605882352941177</v>
      </c>
      <c r="F47" s="26">
        <f>'Income Statement'!F19/(0-'Cash Flow Statement'!F33)</f>
        <v>1.5019442644199612</v>
      </c>
      <c r="G47" s="26">
        <f>'Income Statement'!G19/(0-'Cash Flow Statement'!G33)</f>
        <v>1.3249290891900409</v>
      </c>
      <c r="H47" s="26">
        <f>'Income Statement'!H19/(0-'Cash Flow Statement'!H33)</f>
        <v>1.0076577766041721</v>
      </c>
      <c r="I47" s="26">
        <f>'Income Statement'!I19/(0-'Cash Flow Statement'!I33)</f>
        <v>0.84056037358238822</v>
      </c>
      <c r="J47" s="26">
        <f>'Income Statement'!J19/(0-'Cash Flow Statement'!J33)</f>
        <v>0.71526325793575363</v>
      </c>
    </row>
    <row r="50" spans="1:10">
      <c r="A50" s="14" t="s">
        <v>267</v>
      </c>
      <c r="C50" s="26">
        <f>'Cash Flow Statement'!C30/'Income Statement'!C37</f>
        <v>0.83405615156356994</v>
      </c>
      <c r="D50" s="26">
        <f>'Cash Flow Statement'!D30/'Income Statement'!D37</f>
        <v>2.6778993435448579</v>
      </c>
      <c r="E50" s="26">
        <f>'Cash Flow Statement'!E30/'Income Statement'!E37</f>
        <v>2.9704118352658937</v>
      </c>
      <c r="F50" s="26">
        <f>'Cash Flow Statement'!F30/'Income Statement'!F37</f>
        <v>2.5418191322530057</v>
      </c>
      <c r="G50" s="26">
        <f>'Cash Flow Statement'!G30/'Income Statement'!G37</f>
        <v>2.1374487581384134</v>
      </c>
      <c r="H50" s="26">
        <f>'Cash Flow Statement'!H30/'Income Statement'!H37</f>
        <v>1.501048556218745</v>
      </c>
      <c r="I50" s="26">
        <f>'Cash Flow Statement'!I30/'Income Statement'!I37</f>
        <v>1.4353389185072354</v>
      </c>
      <c r="J50" s="26">
        <f>'Cash Flow Statement'!J30/'Income Statement'!J37</f>
        <v>1.5004349086691795</v>
      </c>
    </row>
    <row r="51" spans="1:10">
      <c r="A51" s="14" t="s">
        <v>268</v>
      </c>
      <c r="C51" s="15">
        <f>('Income Statement'!C37-'Cash Flow Statement'!C30)/'Balance Sheet'!C23</f>
        <v>7.7848928104855119E-3</v>
      </c>
      <c r="D51" s="15">
        <f>('Income Statement'!D37-'Cash Flow Statement'!D30)/'Balance Sheet'!D23</f>
        <v>-4.4266383411074681E-2</v>
      </c>
      <c r="E51" s="15">
        <f>('Income Statement'!E37-'Cash Flow Statement'!E30)/'Balance Sheet'!E23</f>
        <v>-5.5854650965102177E-2</v>
      </c>
      <c r="F51" s="15">
        <f>('Income Statement'!F37-'Cash Flow Statement'!F30)/'Balance Sheet'!F23</f>
        <v>-7.2287237301635929E-2</v>
      </c>
      <c r="G51" s="15">
        <f>('Income Statement'!G37-'Cash Flow Statement'!G30)/'Balance Sheet'!G23</f>
        <v>-5.9215646890456705E-2</v>
      </c>
      <c r="H51" s="15">
        <f>('Income Statement'!H37-'Cash Flow Statement'!H30)/'Balance Sheet'!H23</f>
        <v>-3.8435361522564999E-2</v>
      </c>
      <c r="I51" s="15">
        <f>('Income Statement'!I37-'Cash Flow Statement'!I30)/'Balance Sheet'!I23</f>
        <v>-3.5659475713376673E-2</v>
      </c>
      <c r="J51" s="15">
        <f>('Income Statement'!J37-'Cash Flow Statement'!J30)/'Balance Sheet'!J23</f>
        <v>-3.9761797804577448E-2</v>
      </c>
    </row>
    <row r="54" spans="1:10">
      <c r="A54" s="14" t="s">
        <v>269</v>
      </c>
      <c r="C54" s="15" t="e">
        <f>'Income Statement'!C10/'Income Statement'!B10-1</f>
        <v>#DIV/0!</v>
      </c>
      <c r="D54" s="15">
        <f>'Income Statement'!D10/'Income Statement'!C10-1</f>
        <v>0.89449664429530196</v>
      </c>
      <c r="E54" s="15">
        <f>'Income Statement'!E10/'Income Statement'!D10-1</f>
        <v>-3.4894431061357478E-2</v>
      </c>
      <c r="F54" s="15">
        <f>'Income Statement'!F10/'Income Statement'!E10-1</f>
        <v>0.13030870315310361</v>
      </c>
      <c r="G54" s="15">
        <f>'Income Statement'!G10/'Income Statement'!F10-1</f>
        <v>8.3493001656220533E-2</v>
      </c>
      <c r="H54" s="15">
        <f>'Income Statement'!H10/'Income Statement'!G10-1</f>
        <v>-1.5285936938017053E-2</v>
      </c>
      <c r="I54" s="15">
        <f>'Income Statement'!I10/'Income Statement'!H10-1</f>
        <v>4.5960918000851336E-3</v>
      </c>
      <c r="J54" s="15">
        <f>'Income Statement'!J10/'Income Statement'!I10-1</f>
        <v>2.9722769277382266E-2</v>
      </c>
    </row>
    <row r="55" spans="1:10">
      <c r="A55" s="14" t="s">
        <v>100</v>
      </c>
      <c r="C55" s="15" t="e">
        <f>'Income Statement'!C37/'Income Statement'!B37-1</f>
        <v>#DIV/0!</v>
      </c>
      <c r="D55" s="15">
        <f>'Income Statement'!D37/'Income Statement'!C37-1</f>
        <v>-0.47842958228714905</v>
      </c>
      <c r="E55" s="15">
        <f>'Income Statement'!E37/'Income Statement'!D37-1</f>
        <v>9.4529540481400387E-2</v>
      </c>
      <c r="F55" s="15">
        <f>'Income Statement'!F37/'Income Statement'!E37-1</f>
        <v>0.52978808476609363</v>
      </c>
      <c r="G55" s="15">
        <f>'Income Statement'!G37/'Income Statement'!F37-1</f>
        <v>8.3899634082592822E-2</v>
      </c>
      <c r="H55" s="15">
        <f>'Income Statement'!H37/'Income Statement'!G37-1</f>
        <v>0.49481552929828787</v>
      </c>
      <c r="I55" s="15">
        <f>'Income Statement'!I37/'Income Statement'!H37-1</f>
        <v>5.9041780932408416E-2</v>
      </c>
      <c r="J55" s="15">
        <f>'Income Statement'!J37/'Income Statement'!I37-1</f>
        <v>5.0723533891850803E-2</v>
      </c>
    </row>
    <row r="56" spans="1:10">
      <c r="A56" s="14" t="s">
        <v>270</v>
      </c>
      <c r="C56" s="15" t="e">
        <f>'Cash Flow Statement'!C30/'Cash Flow Statement'!B30-1</f>
        <v>#DIV/0!</v>
      </c>
      <c r="D56" s="15">
        <f>'Cash Flow Statement'!D30/'Cash Flow Statement'!C30-1</f>
        <v>0.67460317460317465</v>
      </c>
      <c r="E56" s="15">
        <f>'Cash Flow Statement'!E30/'Cash Flow Statement'!D30-1</f>
        <v>0.21408726916162779</v>
      </c>
      <c r="F56" s="15">
        <f>'Cash Flow Statement'!F30/'Cash Flow Statement'!E30-1</f>
        <v>0.30905909274464927</v>
      </c>
      <c r="G56" s="15">
        <f>'Cash Flow Statement'!G30/'Cash Flow Statement'!F30-1</f>
        <v>-8.8534704370179962E-2</v>
      </c>
      <c r="H56" s="15">
        <f>'Cash Flow Statement'!H30/'Cash Flow Statement'!G30-1</f>
        <v>4.9751805054151665E-2</v>
      </c>
      <c r="I56" s="15">
        <f>'Cash Flow Statement'!I30/'Cash Flow Statement'!H30-1</f>
        <v>1.2681354110693155E-2</v>
      </c>
      <c r="J56" s="15">
        <f>'Cash Flow Statement'!J30/'Cash Flow Statement'!I30-1</f>
        <v>9.8376313276026695E-2</v>
      </c>
    </row>
    <row r="59" spans="1:10">
      <c r="A59" s="14" t="s">
        <v>271</v>
      </c>
      <c r="C59" s="22">
        <f>'Balance Sheet'!C52</f>
        <v>105.26208053691275</v>
      </c>
      <c r="D59" s="22">
        <f>'Balance Sheet'!D52</f>
        <v>55.885291200226717</v>
      </c>
      <c r="E59" s="22">
        <f>'Balance Sheet'!E52</f>
        <v>55.829203832177072</v>
      </c>
      <c r="F59" s="22">
        <f>'Balance Sheet'!F52</f>
        <v>53.328191472087809</v>
      </c>
      <c r="G59" s="22">
        <f>'Balance Sheet'!G52</f>
        <v>49.875164848339523</v>
      </c>
      <c r="H59" s="22">
        <f>'Balance Sheet'!H52</f>
        <v>52.415839775978569</v>
      </c>
      <c r="I59" s="22">
        <f>'Balance Sheet'!I52</f>
        <v>51.114376609604605</v>
      </c>
      <c r="J59" s="22">
        <f>'Balance Sheet'!J52</f>
        <v>53.333431412934736</v>
      </c>
    </row>
    <row r="60" spans="1:10">
      <c r="A60" s="14" t="s">
        <v>272</v>
      </c>
      <c r="C60" s="22">
        <f>'Balance Sheet'!C53</f>
        <v>66.33806693086747</v>
      </c>
      <c r="D60" s="22">
        <f>'Balance Sheet'!D53</f>
        <v>37.214912280701753</v>
      </c>
      <c r="E60" s="22">
        <f>'Balance Sheet'!E53</f>
        <v>41.024832607423775</v>
      </c>
      <c r="F60" s="22">
        <f>'Balance Sheet'!F53</f>
        <v>36.056831784757456</v>
      </c>
      <c r="G60" s="22">
        <f>'Balance Sheet'!G53</f>
        <v>37.119280205655528</v>
      </c>
      <c r="H60" s="22">
        <f>'Balance Sheet'!H53</f>
        <v>44.133032243311227</v>
      </c>
      <c r="I60" s="22">
        <f>'Balance Sheet'!I53</f>
        <v>41.433238056349531</v>
      </c>
      <c r="J60" s="22">
        <f>'Balance Sheet'!J53</f>
        <v>43.135027891195584</v>
      </c>
    </row>
    <row r="61" spans="1:10">
      <c r="A61" s="14" t="s">
        <v>273</v>
      </c>
      <c r="C61" s="22">
        <f>'Balance Sheet'!C54</f>
        <v>129.34114927344783</v>
      </c>
      <c r="D61" s="22">
        <f>'Balance Sheet'!D54</f>
        <v>71.622807017543849</v>
      </c>
      <c r="E61" s="22">
        <f>'Balance Sheet'!E54</f>
        <v>73.436585841513363</v>
      </c>
      <c r="F61" s="22">
        <f>'Balance Sheet'!F54</f>
        <v>72.883486290828245</v>
      </c>
      <c r="G61" s="22">
        <f>'Balance Sheet'!G54</f>
        <v>56.20437017994859</v>
      </c>
      <c r="H61" s="22">
        <f>'Balance Sheet'!H54</f>
        <v>63.01737937342785</v>
      </c>
      <c r="I61" s="22">
        <f>'Balance Sheet'!I54</f>
        <v>53.377763518637344</v>
      </c>
      <c r="J61" s="22">
        <f>'Balance Sheet'!J54</f>
        <v>58.982690206452354</v>
      </c>
    </row>
    <row r="62" spans="1:10">
      <c r="A62" s="14" t="s">
        <v>274</v>
      </c>
      <c r="C62" s="22">
        <f>'Balance Sheet'!C55</f>
        <v>42.258998194332406</v>
      </c>
      <c r="D62" s="22">
        <f>'Balance Sheet'!D55</f>
        <v>21.477396463384622</v>
      </c>
      <c r="E62" s="22">
        <f>'Balance Sheet'!E55</f>
        <v>23.417450598087484</v>
      </c>
      <c r="F62" s="22">
        <f>'Balance Sheet'!F55</f>
        <v>16.501536966017028</v>
      </c>
      <c r="G62" s="22">
        <f>'Balance Sheet'!G55</f>
        <v>30.790074874046461</v>
      </c>
      <c r="H62" s="22">
        <f>'Balance Sheet'!H55</f>
        <v>33.531492645861952</v>
      </c>
      <c r="I62" s="22">
        <f>'Balance Sheet'!I55</f>
        <v>39.169851147316798</v>
      </c>
      <c r="J62" s="22">
        <f>'Balance Sheet'!J55</f>
        <v>37.485769097677966</v>
      </c>
    </row>
  </sheetData>
  <phoneticPr fontId="3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1F4E79"/>
  </sheetPr>
  <dimension ref="A1:F27"/>
  <sheetViews>
    <sheetView workbookViewId="0"/>
  </sheetViews>
  <sheetFormatPr baseColWidth="10" defaultColWidth="8.83203125" defaultRowHeight="14"/>
  <cols>
    <col min="1" max="1" width="22" customWidth="1"/>
    <col min="2" max="6" width="16" customWidth="1"/>
  </cols>
  <sheetData>
    <row r="1" spans="1:6" ht="18">
      <c r="A1" s="82" t="s">
        <v>275</v>
      </c>
      <c r="B1" s="83"/>
      <c r="C1" s="83"/>
      <c r="D1" s="83"/>
      <c r="E1" s="83"/>
      <c r="F1" s="83"/>
    </row>
    <row r="3" spans="1:6" ht="15">
      <c r="A3" s="32" t="s">
        <v>276</v>
      </c>
      <c r="B3" s="32" t="s">
        <v>277</v>
      </c>
      <c r="C3" s="32" t="s">
        <v>278</v>
      </c>
      <c r="D3" s="32" t="s">
        <v>279</v>
      </c>
      <c r="E3" s="32" t="s">
        <v>280</v>
      </c>
      <c r="F3" s="32" t="s">
        <v>281</v>
      </c>
    </row>
    <row r="4" spans="1:6">
      <c r="A4" s="34" t="s">
        <v>71</v>
      </c>
      <c r="B4" s="33">
        <v>8615</v>
      </c>
      <c r="C4" s="33">
        <v>8764</v>
      </c>
      <c r="D4" s="33">
        <v>8781</v>
      </c>
      <c r="E4" s="33">
        <v>9289</v>
      </c>
      <c r="F4" s="33">
        <v>33986</v>
      </c>
    </row>
    <row r="5" spans="1:6">
      <c r="A5" s="35" t="s">
        <v>282</v>
      </c>
      <c r="B5" s="33" t="s">
        <v>283</v>
      </c>
      <c r="C5" s="33" t="s">
        <v>284</v>
      </c>
      <c r="D5" s="33" t="s">
        <v>285</v>
      </c>
      <c r="E5" s="33" t="s">
        <v>286</v>
      </c>
      <c r="F5" s="33" t="s">
        <v>283</v>
      </c>
    </row>
    <row r="6" spans="1:6">
      <c r="A6" s="35" t="s">
        <v>287</v>
      </c>
      <c r="B6" s="33" t="s">
        <v>288</v>
      </c>
      <c r="C6" s="33" t="s">
        <v>289</v>
      </c>
      <c r="D6" s="33" t="s">
        <v>290</v>
      </c>
      <c r="E6" s="33" t="s">
        <v>284</v>
      </c>
      <c r="F6" s="33" t="s">
        <v>291</v>
      </c>
    </row>
    <row r="7" spans="1:6">
      <c r="A7" s="34" t="s">
        <v>84</v>
      </c>
      <c r="B7" s="33">
        <v>2558</v>
      </c>
      <c r="C7" s="33">
        <v>2585</v>
      </c>
      <c r="D7" s="33">
        <v>2630</v>
      </c>
      <c r="E7" s="33">
        <v>2744</v>
      </c>
      <c r="F7" s="33">
        <v>10137</v>
      </c>
    </row>
    <row r="8" spans="1:6">
      <c r="A8" s="35" t="s">
        <v>292</v>
      </c>
      <c r="B8" s="33" t="s">
        <v>293</v>
      </c>
      <c r="C8" s="33" t="s">
        <v>294</v>
      </c>
      <c r="D8" s="33" t="s">
        <v>295</v>
      </c>
      <c r="E8" s="33" t="s">
        <v>294</v>
      </c>
      <c r="F8" s="33" t="s">
        <v>296</v>
      </c>
    </row>
    <row r="9" spans="1:6">
      <c r="A9" s="34" t="s">
        <v>297</v>
      </c>
      <c r="B9" s="33">
        <v>1987</v>
      </c>
      <c r="C9" s="33">
        <v>1968</v>
      </c>
      <c r="D9" s="33">
        <v>2019</v>
      </c>
      <c r="E9" s="33">
        <v>2089</v>
      </c>
      <c r="F9" s="33">
        <v>7772</v>
      </c>
    </row>
    <row r="10" spans="1:6">
      <c r="A10" s="34" t="s">
        <v>298</v>
      </c>
      <c r="B10" s="33">
        <v>4.21</v>
      </c>
      <c r="C10" s="33">
        <v>4.2</v>
      </c>
      <c r="D10" s="33">
        <v>4.33</v>
      </c>
      <c r="E10" s="33">
        <v>4.5</v>
      </c>
      <c r="F10" s="33">
        <v>16.46</v>
      </c>
    </row>
    <row r="11" spans="1:6">
      <c r="A11" s="35" t="s">
        <v>299</v>
      </c>
      <c r="B11" s="33" t="s">
        <v>300</v>
      </c>
      <c r="C11" s="33" t="s">
        <v>284</v>
      </c>
      <c r="D11" s="33" t="s">
        <v>301</v>
      </c>
      <c r="E11" s="33" t="s">
        <v>301</v>
      </c>
      <c r="F11" s="33" t="s">
        <v>284</v>
      </c>
    </row>
    <row r="12" spans="1:6">
      <c r="A12" s="34" t="s">
        <v>302</v>
      </c>
      <c r="B12" s="33">
        <v>2948</v>
      </c>
      <c r="C12" s="33">
        <v>3030</v>
      </c>
      <c r="D12" s="33">
        <v>2240</v>
      </c>
      <c r="E12" s="33">
        <v>2271</v>
      </c>
      <c r="F12" s="33">
        <v>10350</v>
      </c>
    </row>
    <row r="13" spans="1:6">
      <c r="A13" s="35" t="s">
        <v>303</v>
      </c>
      <c r="B13" s="33" t="s">
        <v>285</v>
      </c>
      <c r="C13" s="33" t="s">
        <v>285</v>
      </c>
      <c r="D13" s="33" t="s">
        <v>304</v>
      </c>
      <c r="E13" s="33" t="s">
        <v>283</v>
      </c>
      <c r="F13" s="33" t="s">
        <v>301</v>
      </c>
    </row>
    <row r="14" spans="1:6">
      <c r="A14" s="34" t="s">
        <v>305</v>
      </c>
      <c r="B14" s="33">
        <v>1276</v>
      </c>
      <c r="C14" s="33">
        <v>1458</v>
      </c>
      <c r="D14" s="33">
        <v>1342</v>
      </c>
      <c r="E14" s="33">
        <v>1438</v>
      </c>
      <c r="F14" s="33">
        <v>5261</v>
      </c>
    </row>
    <row r="15" spans="1:6">
      <c r="A15" s="35" t="s">
        <v>306</v>
      </c>
      <c r="B15" s="33">
        <v>640</v>
      </c>
      <c r="C15" s="33">
        <v>698</v>
      </c>
      <c r="D15" s="33">
        <v>689</v>
      </c>
      <c r="E15" s="33">
        <v>658</v>
      </c>
      <c r="F15" s="33">
        <v>2618</v>
      </c>
    </row>
    <row r="16" spans="1:6">
      <c r="A16" s="35" t="s">
        <v>307</v>
      </c>
      <c r="B16" s="33">
        <v>636</v>
      </c>
      <c r="C16" s="33">
        <v>760</v>
      </c>
      <c r="D16" s="33">
        <v>653</v>
      </c>
      <c r="E16" s="33">
        <v>780</v>
      </c>
      <c r="F16" s="33">
        <v>2643</v>
      </c>
    </row>
    <row r="17" spans="1:6">
      <c r="A17" s="34" t="s">
        <v>308</v>
      </c>
      <c r="B17" s="33" t="s">
        <v>309</v>
      </c>
      <c r="C17" s="33" t="s">
        <v>310</v>
      </c>
      <c r="D17" s="33" t="s">
        <v>311</v>
      </c>
      <c r="E17" s="33" t="s">
        <v>312</v>
      </c>
      <c r="F17" s="33" t="s">
        <v>310</v>
      </c>
    </row>
    <row r="19" spans="1:6">
      <c r="A19" s="4" t="s">
        <v>313</v>
      </c>
    </row>
    <row r="20" spans="1:6" ht="15">
      <c r="A20" s="32" t="s">
        <v>314</v>
      </c>
      <c r="B20" s="32" t="s">
        <v>277</v>
      </c>
      <c r="C20" s="32" t="s">
        <v>278</v>
      </c>
      <c r="D20" s="32" t="s">
        <v>279</v>
      </c>
      <c r="E20" s="32" t="s">
        <v>280</v>
      </c>
    </row>
    <row r="21" spans="1:6">
      <c r="A21" s="31" t="s">
        <v>315</v>
      </c>
      <c r="B21" s="30" t="s">
        <v>290</v>
      </c>
      <c r="C21" s="30" t="s">
        <v>288</v>
      </c>
      <c r="D21" s="30" t="s">
        <v>288</v>
      </c>
      <c r="E21" s="30" t="s">
        <v>289</v>
      </c>
    </row>
    <row r="22" spans="1:6">
      <c r="A22" s="31" t="s">
        <v>316</v>
      </c>
      <c r="B22" s="30" t="s">
        <v>289</v>
      </c>
      <c r="C22" s="30" t="s">
        <v>289</v>
      </c>
      <c r="D22" s="30" t="s">
        <v>289</v>
      </c>
      <c r="E22" s="30" t="s">
        <v>289</v>
      </c>
    </row>
    <row r="23" spans="1:6">
      <c r="A23" s="31" t="s">
        <v>317</v>
      </c>
      <c r="B23" s="30" t="s">
        <v>290</v>
      </c>
      <c r="C23" s="30" t="s">
        <v>290</v>
      </c>
      <c r="D23" s="30" t="s">
        <v>290</v>
      </c>
      <c r="E23" s="30" t="s">
        <v>288</v>
      </c>
    </row>
    <row r="24" spans="1:6">
      <c r="A24" s="31" t="s">
        <v>318</v>
      </c>
      <c r="B24" s="30" t="s">
        <v>288</v>
      </c>
      <c r="C24" s="30" t="s">
        <v>283</v>
      </c>
      <c r="D24" s="30" t="s">
        <v>319</v>
      </c>
      <c r="E24" s="30" t="s">
        <v>289</v>
      </c>
    </row>
    <row r="25" spans="1:6">
      <c r="A25" s="31" t="s">
        <v>320</v>
      </c>
      <c r="B25" s="30" t="s">
        <v>288</v>
      </c>
      <c r="C25" s="30" t="s">
        <v>288</v>
      </c>
      <c r="D25" s="30" t="s">
        <v>288</v>
      </c>
      <c r="E25" s="30" t="s">
        <v>288</v>
      </c>
    </row>
    <row r="26" spans="1:6">
      <c r="A26" s="31" t="s">
        <v>215</v>
      </c>
      <c r="B26" s="30" t="s">
        <v>321</v>
      </c>
      <c r="C26" s="30" t="s">
        <v>321</v>
      </c>
      <c r="D26" s="30" t="s">
        <v>321</v>
      </c>
      <c r="E26" s="30" t="s">
        <v>288</v>
      </c>
    </row>
    <row r="27" spans="1:6">
      <c r="A27" s="29" t="s">
        <v>322</v>
      </c>
      <c r="B27" s="28" t="s">
        <v>283</v>
      </c>
      <c r="C27" s="28" t="s">
        <v>284</v>
      </c>
      <c r="D27" s="28" t="s">
        <v>285</v>
      </c>
      <c r="E27" s="28" t="s">
        <v>286</v>
      </c>
    </row>
  </sheetData>
  <mergeCells count="1">
    <mergeCell ref="A1:F1"/>
  </mergeCells>
  <phoneticPr fontId="30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2E75B6"/>
  </sheetPr>
  <dimension ref="A1:I21"/>
  <sheetViews>
    <sheetView workbookViewId="0"/>
  </sheetViews>
  <sheetFormatPr baseColWidth="10" defaultColWidth="8.83203125" defaultRowHeight="14"/>
  <cols>
    <col min="1" max="1" width="36.1640625" customWidth="1"/>
    <col min="2" max="9" width="14" customWidth="1"/>
  </cols>
  <sheetData>
    <row r="1" spans="1:9" ht="18">
      <c r="A1" s="82" t="s">
        <v>323</v>
      </c>
      <c r="B1" s="83"/>
      <c r="C1" s="83"/>
      <c r="D1" s="83"/>
      <c r="E1" s="83"/>
      <c r="F1" s="83"/>
      <c r="G1" s="83"/>
      <c r="H1" s="83"/>
      <c r="I1" s="83"/>
    </row>
    <row r="2" spans="1:9">
      <c r="A2" s="3" t="s">
        <v>324</v>
      </c>
    </row>
    <row r="4" spans="1:9" ht="15">
      <c r="A4" s="32" t="s">
        <v>325</v>
      </c>
      <c r="B4" s="32" t="s">
        <v>326</v>
      </c>
      <c r="C4" s="32" t="s">
        <v>327</v>
      </c>
      <c r="D4" s="32" t="s">
        <v>328</v>
      </c>
      <c r="E4" s="32" t="s">
        <v>329</v>
      </c>
      <c r="F4" s="32" t="s">
        <v>330</v>
      </c>
      <c r="G4" s="32" t="s">
        <v>331</v>
      </c>
      <c r="H4" s="32" t="s">
        <v>332</v>
      </c>
      <c r="I4" s="32" t="s">
        <v>333</v>
      </c>
    </row>
    <row r="5" spans="1:9">
      <c r="A5" s="36" t="s">
        <v>334</v>
      </c>
      <c r="B5" s="36"/>
      <c r="C5" s="36"/>
      <c r="D5" s="36"/>
      <c r="E5" s="36"/>
      <c r="F5" s="36"/>
      <c r="G5" s="36"/>
      <c r="H5" s="36"/>
      <c r="I5" s="36"/>
    </row>
    <row r="6" spans="1:9">
      <c r="A6" s="31" t="s">
        <v>335</v>
      </c>
      <c r="B6" s="30" t="s">
        <v>336</v>
      </c>
      <c r="C6" s="30" t="s">
        <v>336</v>
      </c>
      <c r="D6" s="30" t="s">
        <v>336</v>
      </c>
      <c r="E6" s="30" t="s">
        <v>336</v>
      </c>
      <c r="F6" s="30" t="s">
        <v>288</v>
      </c>
      <c r="G6" s="30" t="s">
        <v>288</v>
      </c>
      <c r="H6" s="30" t="s">
        <v>288</v>
      </c>
      <c r="I6" s="30" t="s">
        <v>289</v>
      </c>
    </row>
    <row r="7" spans="1:9">
      <c r="A7" s="31" t="s">
        <v>337</v>
      </c>
      <c r="B7" s="30" t="s">
        <v>338</v>
      </c>
      <c r="C7" s="30" t="s">
        <v>339</v>
      </c>
      <c r="D7" s="30" t="s">
        <v>339</v>
      </c>
      <c r="E7" s="30" t="s">
        <v>339</v>
      </c>
      <c r="F7" s="30" t="s">
        <v>283</v>
      </c>
      <c r="G7" s="30" t="s">
        <v>319</v>
      </c>
      <c r="H7" s="30" t="s">
        <v>319</v>
      </c>
      <c r="I7" s="30" t="s">
        <v>283</v>
      </c>
    </row>
    <row r="8" spans="1:9">
      <c r="A8" s="31" t="s">
        <v>340</v>
      </c>
      <c r="B8" s="30" t="s">
        <v>339</v>
      </c>
      <c r="C8" s="30" t="s">
        <v>338</v>
      </c>
      <c r="D8" s="30" t="s">
        <v>338</v>
      </c>
      <c r="E8" s="30" t="s">
        <v>338</v>
      </c>
      <c r="F8" s="37" t="s">
        <v>284</v>
      </c>
      <c r="G8" s="37" t="s">
        <v>300</v>
      </c>
      <c r="H8" s="37" t="s">
        <v>301</v>
      </c>
      <c r="I8" s="37" t="s">
        <v>341</v>
      </c>
    </row>
    <row r="9" spans="1:9">
      <c r="A9" s="36" t="s">
        <v>342</v>
      </c>
      <c r="B9" s="36"/>
      <c r="C9" s="36"/>
      <c r="D9" s="36"/>
      <c r="E9" s="36"/>
      <c r="F9" s="36"/>
      <c r="G9" s="36"/>
      <c r="H9" s="36"/>
      <c r="I9" s="36"/>
    </row>
    <row r="10" spans="1:9">
      <c r="A10" s="31" t="s">
        <v>343</v>
      </c>
      <c r="B10" s="30" t="s">
        <v>344</v>
      </c>
      <c r="C10" s="30" t="s">
        <v>344</v>
      </c>
      <c r="D10" s="30" t="s">
        <v>344</v>
      </c>
      <c r="E10" s="30" t="s">
        <v>344</v>
      </c>
      <c r="F10" s="30" t="s">
        <v>283</v>
      </c>
      <c r="G10" s="30" t="s">
        <v>289</v>
      </c>
      <c r="H10" s="30" t="s">
        <v>319</v>
      </c>
      <c r="I10" s="30" t="s">
        <v>319</v>
      </c>
    </row>
    <row r="11" spans="1:9">
      <c r="A11" s="31" t="s">
        <v>345</v>
      </c>
      <c r="B11" s="30" t="s">
        <v>346</v>
      </c>
      <c r="C11" s="30" t="s">
        <v>344</v>
      </c>
      <c r="D11" s="30" t="s">
        <v>347</v>
      </c>
      <c r="E11" s="30" t="s">
        <v>344</v>
      </c>
      <c r="F11" s="30" t="s">
        <v>288</v>
      </c>
      <c r="G11" s="30" t="s">
        <v>289</v>
      </c>
      <c r="H11" s="30" t="s">
        <v>283</v>
      </c>
      <c r="I11" s="30" t="s">
        <v>289</v>
      </c>
    </row>
    <row r="12" spans="1:9">
      <c r="A12" s="31" t="s">
        <v>348</v>
      </c>
      <c r="B12" s="30" t="s">
        <v>349</v>
      </c>
      <c r="C12" s="30" t="s">
        <v>349</v>
      </c>
      <c r="D12" s="30" t="s">
        <v>349</v>
      </c>
      <c r="E12" s="30" t="s">
        <v>349</v>
      </c>
      <c r="F12" s="30" t="s">
        <v>288</v>
      </c>
      <c r="G12" s="30" t="s">
        <v>288</v>
      </c>
      <c r="H12" s="30" t="s">
        <v>283</v>
      </c>
      <c r="I12" s="30" t="s">
        <v>304</v>
      </c>
    </row>
    <row r="14" spans="1:9">
      <c r="A14" s="4" t="s">
        <v>350</v>
      </c>
    </row>
    <row r="15" spans="1:9" ht="15">
      <c r="A15" s="32" t="s">
        <v>325</v>
      </c>
      <c r="B15" s="32" t="s">
        <v>351</v>
      </c>
      <c r="C15" s="32" t="s">
        <v>352</v>
      </c>
      <c r="D15" s="32" t="s">
        <v>353</v>
      </c>
      <c r="E15" s="32" t="s">
        <v>354</v>
      </c>
    </row>
    <row r="16" spans="1:9">
      <c r="A16" s="31" t="s">
        <v>335</v>
      </c>
      <c r="B16" s="30" t="s">
        <v>288</v>
      </c>
      <c r="C16" s="30" t="s">
        <v>288</v>
      </c>
      <c r="D16" s="30" t="s">
        <v>290</v>
      </c>
      <c r="E16" s="30" t="s">
        <v>288</v>
      </c>
    </row>
    <row r="17" spans="1:5">
      <c r="A17" s="31" t="s">
        <v>337</v>
      </c>
      <c r="B17" s="30" t="s">
        <v>283</v>
      </c>
      <c r="C17" s="30" t="s">
        <v>355</v>
      </c>
      <c r="D17" s="30" t="s">
        <v>321</v>
      </c>
      <c r="E17" s="30" t="s">
        <v>319</v>
      </c>
    </row>
    <row r="18" spans="1:5">
      <c r="A18" s="31" t="s">
        <v>340</v>
      </c>
      <c r="B18" s="30" t="s">
        <v>304</v>
      </c>
      <c r="C18" s="30" t="s">
        <v>319</v>
      </c>
      <c r="D18" s="30" t="s">
        <v>288</v>
      </c>
      <c r="E18" s="30" t="s">
        <v>300</v>
      </c>
    </row>
    <row r="19" spans="1:5">
      <c r="A19" s="31" t="s">
        <v>343</v>
      </c>
      <c r="B19" s="30" t="s">
        <v>289</v>
      </c>
      <c r="C19" s="30" t="s">
        <v>290</v>
      </c>
      <c r="D19" s="30" t="s">
        <v>290</v>
      </c>
      <c r="E19" s="30" t="s">
        <v>304</v>
      </c>
    </row>
    <row r="20" spans="1:5">
      <c r="A20" s="31" t="s">
        <v>345</v>
      </c>
      <c r="B20" s="30" t="s">
        <v>356</v>
      </c>
      <c r="C20" s="30" t="s">
        <v>289</v>
      </c>
      <c r="D20" s="30" t="s">
        <v>288</v>
      </c>
      <c r="E20" s="30" t="s">
        <v>304</v>
      </c>
    </row>
    <row r="21" spans="1:5">
      <c r="A21" s="31" t="s">
        <v>348</v>
      </c>
      <c r="B21" s="30" t="s">
        <v>290</v>
      </c>
      <c r="C21" s="30" t="s">
        <v>357</v>
      </c>
      <c r="D21" s="30" t="s">
        <v>288</v>
      </c>
      <c r="E21" s="30" t="s">
        <v>283</v>
      </c>
    </row>
  </sheetData>
  <mergeCells count="1">
    <mergeCell ref="A1:I1"/>
  </mergeCells>
  <phoneticPr fontId="30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548235"/>
  </sheetPr>
  <dimension ref="A1:F40"/>
  <sheetViews>
    <sheetView workbookViewId="0"/>
  </sheetViews>
  <sheetFormatPr baseColWidth="10" defaultColWidth="8.83203125" defaultRowHeight="14"/>
  <cols>
    <col min="1" max="1" width="24" customWidth="1"/>
    <col min="2" max="5" width="18" customWidth="1"/>
  </cols>
  <sheetData>
    <row r="1" spans="1:6" ht="18">
      <c r="A1" s="82" t="s">
        <v>358</v>
      </c>
      <c r="B1" s="83"/>
      <c r="C1" s="83"/>
      <c r="D1" s="83"/>
      <c r="E1" s="83"/>
      <c r="F1" s="83"/>
    </row>
    <row r="3" spans="1:6">
      <c r="A3" s="36" t="s">
        <v>212</v>
      </c>
      <c r="B3" s="36"/>
      <c r="C3" s="36"/>
      <c r="D3" s="36"/>
      <c r="E3" s="36"/>
      <c r="F3" s="36"/>
    </row>
    <row r="4" spans="1:6" ht="15">
      <c r="A4" s="32" t="s">
        <v>359</v>
      </c>
      <c r="B4" s="32" t="s">
        <v>277</v>
      </c>
      <c r="C4" s="32" t="s">
        <v>278</v>
      </c>
      <c r="D4" s="32" t="s">
        <v>279</v>
      </c>
      <c r="E4" s="32" t="s">
        <v>280</v>
      </c>
    </row>
    <row r="5" spans="1:6">
      <c r="A5" s="39" t="s">
        <v>360</v>
      </c>
      <c r="B5" s="30">
        <v>3846</v>
      </c>
      <c r="C5" s="30">
        <v>3884</v>
      </c>
      <c r="D5" s="30">
        <v>4025</v>
      </c>
      <c r="E5" s="30">
        <v>4083</v>
      </c>
    </row>
    <row r="6" spans="1:6">
      <c r="A6" s="39" t="s">
        <v>361</v>
      </c>
      <c r="B6" s="30">
        <v>1199</v>
      </c>
      <c r="C6" s="30">
        <v>1202</v>
      </c>
      <c r="D6" s="30">
        <v>1272</v>
      </c>
      <c r="E6" s="30">
        <v>1272</v>
      </c>
    </row>
    <row r="7" spans="1:6">
      <c r="A7" s="39" t="s">
        <v>362</v>
      </c>
      <c r="B7" s="30" t="s">
        <v>363</v>
      </c>
      <c r="C7" s="30" t="s">
        <v>364</v>
      </c>
      <c r="D7" s="30" t="s">
        <v>365</v>
      </c>
      <c r="E7" s="30" t="s">
        <v>363</v>
      </c>
    </row>
    <row r="8" spans="1:6">
      <c r="A8" s="39" t="s">
        <v>366</v>
      </c>
      <c r="B8" s="30" t="s">
        <v>284</v>
      </c>
      <c r="C8" s="30" t="s">
        <v>285</v>
      </c>
      <c r="D8" s="30" t="s">
        <v>301</v>
      </c>
      <c r="E8" s="30" t="s">
        <v>300</v>
      </c>
    </row>
    <row r="9" spans="1:6">
      <c r="A9" s="38" t="s">
        <v>367</v>
      </c>
      <c r="B9" s="30" t="s">
        <v>288</v>
      </c>
      <c r="C9" s="30" t="s">
        <v>288</v>
      </c>
      <c r="D9" s="30" t="s">
        <v>289</v>
      </c>
      <c r="E9" s="30" t="s">
        <v>289</v>
      </c>
    </row>
    <row r="10" spans="1:6">
      <c r="A10" s="38" t="s">
        <v>368</v>
      </c>
      <c r="B10" s="30" t="s">
        <v>283</v>
      </c>
      <c r="C10" s="30" t="s">
        <v>283</v>
      </c>
      <c r="D10" s="30" t="s">
        <v>304</v>
      </c>
      <c r="E10" s="30" t="s">
        <v>289</v>
      </c>
    </row>
    <row r="11" spans="1:6">
      <c r="A11" s="38" t="s">
        <v>369</v>
      </c>
      <c r="B11" s="30" t="s">
        <v>289</v>
      </c>
      <c r="C11" s="30" t="s">
        <v>289</v>
      </c>
      <c r="D11" s="30" t="s">
        <v>289</v>
      </c>
      <c r="E11" s="30" t="s">
        <v>290</v>
      </c>
    </row>
    <row r="12" spans="1:6">
      <c r="A12" s="38" t="s">
        <v>370</v>
      </c>
      <c r="B12" s="30" t="s">
        <v>290</v>
      </c>
      <c r="C12" s="30" t="s">
        <v>288</v>
      </c>
      <c r="D12" s="30" t="s">
        <v>289</v>
      </c>
      <c r="E12" s="30" t="s">
        <v>289</v>
      </c>
    </row>
    <row r="13" spans="1:6">
      <c r="A13" s="38" t="s">
        <v>371</v>
      </c>
      <c r="B13" s="30" t="s">
        <v>290</v>
      </c>
      <c r="C13" s="30" t="s">
        <v>288</v>
      </c>
      <c r="D13" s="30" t="s">
        <v>290</v>
      </c>
      <c r="E13" s="30" t="s">
        <v>288</v>
      </c>
    </row>
    <row r="14" spans="1:6">
      <c r="A14" s="84" t="s">
        <v>372</v>
      </c>
      <c r="B14" s="83"/>
      <c r="C14" s="83"/>
      <c r="D14" s="83"/>
      <c r="E14" s="83"/>
    </row>
    <row r="16" spans="1:6">
      <c r="A16" s="36" t="s">
        <v>214</v>
      </c>
      <c r="B16" s="36"/>
      <c r="C16" s="36"/>
      <c r="D16" s="36"/>
      <c r="E16" s="36"/>
      <c r="F16" s="36"/>
    </row>
    <row r="17" spans="1:6" ht="15">
      <c r="A17" s="32" t="s">
        <v>359</v>
      </c>
      <c r="B17" s="32" t="s">
        <v>277</v>
      </c>
      <c r="C17" s="32" t="s">
        <v>278</v>
      </c>
      <c r="D17" s="32" t="s">
        <v>279</v>
      </c>
      <c r="E17" s="32" t="s">
        <v>280</v>
      </c>
    </row>
    <row r="18" spans="1:6">
      <c r="A18" s="39" t="s">
        <v>360</v>
      </c>
      <c r="B18" s="30">
        <v>1741</v>
      </c>
      <c r="C18" s="30">
        <v>1726</v>
      </c>
      <c r="D18" s="30">
        <v>1701</v>
      </c>
      <c r="E18" s="30">
        <v>1870</v>
      </c>
    </row>
    <row r="19" spans="1:6">
      <c r="A19" s="39" t="s">
        <v>361</v>
      </c>
      <c r="B19" s="30">
        <v>490</v>
      </c>
      <c r="C19" s="30">
        <v>502</v>
      </c>
      <c r="D19" s="30">
        <v>477</v>
      </c>
      <c r="E19" s="30">
        <v>531</v>
      </c>
    </row>
    <row r="20" spans="1:6">
      <c r="A20" s="39" t="s">
        <v>362</v>
      </c>
      <c r="B20" s="30" t="s">
        <v>373</v>
      </c>
      <c r="C20" s="30" t="s">
        <v>374</v>
      </c>
      <c r="D20" s="30" t="s">
        <v>375</v>
      </c>
      <c r="E20" s="30" t="s">
        <v>376</v>
      </c>
    </row>
    <row r="21" spans="1:6">
      <c r="A21" s="39" t="s">
        <v>366</v>
      </c>
      <c r="B21" s="30" t="s">
        <v>288</v>
      </c>
      <c r="C21" s="30" t="s">
        <v>283</v>
      </c>
      <c r="D21" s="30" t="s">
        <v>377</v>
      </c>
      <c r="E21" s="30" t="s">
        <v>378</v>
      </c>
    </row>
    <row r="22" spans="1:6">
      <c r="A22" s="38" t="s">
        <v>367</v>
      </c>
      <c r="B22" s="30" t="s">
        <v>290</v>
      </c>
      <c r="C22" s="30" t="s">
        <v>289</v>
      </c>
      <c r="D22" s="30" t="s">
        <v>284</v>
      </c>
      <c r="E22" s="30" t="s">
        <v>284</v>
      </c>
    </row>
    <row r="23" spans="1:6">
      <c r="A23" s="38" t="s">
        <v>368</v>
      </c>
      <c r="B23" s="30" t="s">
        <v>321</v>
      </c>
      <c r="C23" s="30" t="s">
        <v>290</v>
      </c>
      <c r="D23" s="30" t="s">
        <v>290</v>
      </c>
      <c r="E23" s="30" t="s">
        <v>289</v>
      </c>
    </row>
    <row r="24" spans="1:6">
      <c r="A24" s="38" t="s">
        <v>369</v>
      </c>
      <c r="B24" s="30" t="s">
        <v>290</v>
      </c>
      <c r="C24" s="30" t="s">
        <v>321</v>
      </c>
      <c r="D24" s="30" t="s">
        <v>321</v>
      </c>
      <c r="E24" s="30" t="s">
        <v>289</v>
      </c>
    </row>
    <row r="25" spans="1:6">
      <c r="A25" s="38" t="s">
        <v>370</v>
      </c>
      <c r="B25" s="30" t="s">
        <v>321</v>
      </c>
      <c r="C25" s="30" t="s">
        <v>290</v>
      </c>
      <c r="D25" s="30" t="s">
        <v>304</v>
      </c>
      <c r="E25" s="30" t="s">
        <v>283</v>
      </c>
    </row>
    <row r="26" spans="1:6">
      <c r="A26" s="38" t="s">
        <v>371</v>
      </c>
      <c r="B26" s="30" t="s">
        <v>283</v>
      </c>
      <c r="C26" s="30" t="s">
        <v>289</v>
      </c>
      <c r="D26" s="30" t="s">
        <v>289</v>
      </c>
      <c r="E26" s="30" t="s">
        <v>290</v>
      </c>
    </row>
    <row r="27" spans="1:6">
      <c r="A27" s="84" t="s">
        <v>379</v>
      </c>
      <c r="B27" s="83"/>
      <c r="C27" s="83"/>
      <c r="D27" s="83"/>
      <c r="E27" s="83"/>
    </row>
    <row r="29" spans="1:6">
      <c r="A29" s="36" t="s">
        <v>213</v>
      </c>
      <c r="B29" s="36"/>
      <c r="C29" s="36"/>
      <c r="D29" s="36"/>
      <c r="E29" s="36"/>
      <c r="F29" s="36"/>
    </row>
    <row r="30" spans="1:6" ht="15">
      <c r="A30" s="32" t="s">
        <v>359</v>
      </c>
      <c r="B30" s="32" t="s">
        <v>277</v>
      </c>
      <c r="C30" s="32" t="s">
        <v>278</v>
      </c>
      <c r="D30" s="32" t="s">
        <v>279</v>
      </c>
      <c r="E30" s="32" t="s">
        <v>280</v>
      </c>
    </row>
    <row r="31" spans="1:6">
      <c r="A31" s="39" t="s">
        <v>360</v>
      </c>
      <c r="B31" s="30">
        <v>2178</v>
      </c>
      <c r="C31" s="30">
        <v>2178</v>
      </c>
      <c r="D31" s="30">
        <v>2171</v>
      </c>
      <c r="E31" s="30">
        <v>2303</v>
      </c>
    </row>
    <row r="32" spans="1:6">
      <c r="A32" s="39" t="s">
        <v>361</v>
      </c>
      <c r="B32" s="30">
        <v>781</v>
      </c>
      <c r="C32" s="30">
        <v>772</v>
      </c>
      <c r="D32" s="30">
        <v>784</v>
      </c>
      <c r="E32" s="30">
        <v>823</v>
      </c>
    </row>
    <row r="33" spans="1:5">
      <c r="A33" s="39" t="s">
        <v>362</v>
      </c>
      <c r="B33" s="30" t="s">
        <v>380</v>
      </c>
      <c r="C33" s="30" t="s">
        <v>381</v>
      </c>
      <c r="D33" s="30" t="s">
        <v>382</v>
      </c>
      <c r="E33" s="30" t="s">
        <v>383</v>
      </c>
    </row>
    <row r="34" spans="1:5">
      <c r="A34" s="39" t="s">
        <v>366</v>
      </c>
      <c r="B34" s="30" t="s">
        <v>283</v>
      </c>
      <c r="C34" s="30" t="s">
        <v>284</v>
      </c>
      <c r="D34" s="30" t="s">
        <v>300</v>
      </c>
      <c r="E34" s="30" t="s">
        <v>300</v>
      </c>
    </row>
    <row r="35" spans="1:5">
      <c r="A35" s="38" t="s">
        <v>367</v>
      </c>
      <c r="B35" s="30" t="s">
        <v>355</v>
      </c>
      <c r="C35" s="30" t="s">
        <v>355</v>
      </c>
      <c r="D35" s="30" t="s">
        <v>355</v>
      </c>
      <c r="E35" s="30" t="s">
        <v>321</v>
      </c>
    </row>
    <row r="36" spans="1:5">
      <c r="A36" s="38" t="s">
        <v>368</v>
      </c>
      <c r="B36" s="30" t="s">
        <v>289</v>
      </c>
      <c r="C36" s="30" t="s">
        <v>288</v>
      </c>
      <c r="D36" s="30" t="s">
        <v>288</v>
      </c>
      <c r="E36" s="30" t="s">
        <v>289</v>
      </c>
    </row>
    <row r="37" spans="1:5">
      <c r="A37" s="38" t="s">
        <v>369</v>
      </c>
      <c r="B37" s="30" t="s">
        <v>321</v>
      </c>
      <c r="C37" s="30" t="s">
        <v>321</v>
      </c>
      <c r="D37" s="30" t="s">
        <v>357</v>
      </c>
      <c r="E37" s="30" t="s">
        <v>289</v>
      </c>
    </row>
    <row r="38" spans="1:5">
      <c r="A38" s="38" t="s">
        <v>370</v>
      </c>
      <c r="B38" s="30" t="s">
        <v>319</v>
      </c>
      <c r="C38" s="30" t="s">
        <v>285</v>
      </c>
      <c r="D38" s="30" t="s">
        <v>301</v>
      </c>
      <c r="E38" s="30" t="s">
        <v>283</v>
      </c>
    </row>
    <row r="39" spans="1:5">
      <c r="A39" s="38" t="s">
        <v>371</v>
      </c>
      <c r="B39" s="30" t="s">
        <v>290</v>
      </c>
      <c r="C39" s="30" t="s">
        <v>288</v>
      </c>
      <c r="D39" s="30" t="s">
        <v>288</v>
      </c>
      <c r="E39" s="30" t="s">
        <v>288</v>
      </c>
    </row>
    <row r="40" spans="1:5">
      <c r="A40" s="84" t="s">
        <v>384</v>
      </c>
      <c r="B40" s="83"/>
      <c r="C40" s="83"/>
      <c r="D40" s="83"/>
      <c r="E40" s="83"/>
    </row>
  </sheetData>
  <mergeCells count="4">
    <mergeCell ref="A40:E40"/>
    <mergeCell ref="A1:F1"/>
    <mergeCell ref="A27:E27"/>
    <mergeCell ref="A14:E14"/>
  </mergeCells>
  <phoneticPr fontId="30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BF8F00"/>
  </sheetPr>
  <dimension ref="A1:F16"/>
  <sheetViews>
    <sheetView workbookViewId="0"/>
  </sheetViews>
  <sheetFormatPr baseColWidth="10" defaultColWidth="8.83203125" defaultRowHeight="14"/>
  <cols>
    <col min="1" max="1" width="24" customWidth="1"/>
    <col min="2" max="5" width="18" customWidth="1"/>
  </cols>
  <sheetData>
    <row r="1" spans="1:6" ht="18">
      <c r="A1" s="82" t="s">
        <v>385</v>
      </c>
      <c r="B1" s="83"/>
      <c r="C1" s="83"/>
      <c r="D1" s="83"/>
      <c r="E1" s="83"/>
      <c r="F1" s="83"/>
    </row>
    <row r="3" spans="1:6">
      <c r="A3" s="36" t="s">
        <v>215</v>
      </c>
      <c r="B3" s="36"/>
      <c r="C3" s="36"/>
      <c r="D3" s="36"/>
      <c r="E3" s="36"/>
    </row>
    <row r="4" spans="1:6" ht="15">
      <c r="A4" s="32" t="s">
        <v>359</v>
      </c>
      <c r="B4" s="32" t="s">
        <v>277</v>
      </c>
      <c r="C4" s="32" t="s">
        <v>278</v>
      </c>
      <c r="D4" s="32" t="s">
        <v>279</v>
      </c>
      <c r="E4" s="32" t="s">
        <v>280</v>
      </c>
    </row>
    <row r="5" spans="1:6">
      <c r="A5" s="31" t="s">
        <v>360</v>
      </c>
      <c r="B5" s="30">
        <v>519</v>
      </c>
      <c r="C5" s="30">
        <v>615</v>
      </c>
      <c r="D5" s="30">
        <v>517</v>
      </c>
      <c r="E5" s="30">
        <v>625</v>
      </c>
    </row>
    <row r="6" spans="1:6">
      <c r="A6" s="31" t="s">
        <v>361</v>
      </c>
      <c r="B6" s="30">
        <v>101</v>
      </c>
      <c r="C6" s="30">
        <v>103</v>
      </c>
      <c r="D6" s="30">
        <v>101</v>
      </c>
      <c r="E6" s="30">
        <v>100</v>
      </c>
    </row>
    <row r="7" spans="1:6">
      <c r="A7" s="31" t="s">
        <v>362</v>
      </c>
      <c r="B7" s="30" t="s">
        <v>386</v>
      </c>
      <c r="C7" s="30" t="s">
        <v>387</v>
      </c>
      <c r="D7" s="30" t="s">
        <v>386</v>
      </c>
      <c r="E7" s="30" t="s">
        <v>388</v>
      </c>
    </row>
    <row r="8" spans="1:6">
      <c r="A8" s="31" t="s">
        <v>389</v>
      </c>
      <c r="B8" s="30">
        <v>269</v>
      </c>
      <c r="C8" s="30">
        <v>434</v>
      </c>
      <c r="D8" s="30">
        <v>640</v>
      </c>
      <c r="E8" s="30">
        <v>871</v>
      </c>
    </row>
    <row r="9" spans="1:6">
      <c r="A9" s="31" t="s">
        <v>390</v>
      </c>
      <c r="B9" s="30">
        <v>2907</v>
      </c>
      <c r="C9" s="30">
        <v>2719</v>
      </c>
      <c r="D9" s="30">
        <v>2802</v>
      </c>
      <c r="E9" s="30">
        <v>3016</v>
      </c>
    </row>
    <row r="11" spans="1:6">
      <c r="A11" s="36" t="s">
        <v>391</v>
      </c>
      <c r="B11" s="36"/>
      <c r="C11" s="36"/>
      <c r="D11" s="36"/>
      <c r="E11" s="36"/>
    </row>
    <row r="12" spans="1:6" ht="15">
      <c r="A12" s="32" t="s">
        <v>359</v>
      </c>
      <c r="B12" s="32" t="s">
        <v>277</v>
      </c>
      <c r="C12" s="32" t="s">
        <v>278</v>
      </c>
      <c r="D12" s="32" t="s">
        <v>279</v>
      </c>
      <c r="E12" s="32" t="s">
        <v>280</v>
      </c>
    </row>
    <row r="13" spans="1:6">
      <c r="A13" s="31" t="s">
        <v>360</v>
      </c>
      <c r="B13" s="30">
        <v>331</v>
      </c>
      <c r="C13" s="30">
        <v>361</v>
      </c>
      <c r="D13" s="30">
        <v>367</v>
      </c>
      <c r="E13" s="30">
        <v>408</v>
      </c>
    </row>
    <row r="14" spans="1:6">
      <c r="A14" s="31" t="s">
        <v>361</v>
      </c>
      <c r="B14" s="30">
        <v>-13</v>
      </c>
      <c r="C14" s="30">
        <v>6</v>
      </c>
      <c r="D14" s="30">
        <v>-4</v>
      </c>
      <c r="E14" s="30">
        <v>18</v>
      </c>
    </row>
    <row r="15" spans="1:6">
      <c r="A15" s="31" t="s">
        <v>362</v>
      </c>
      <c r="B15" s="30" t="s">
        <v>392</v>
      </c>
      <c r="C15" s="30" t="s">
        <v>393</v>
      </c>
      <c r="D15" s="30" t="s">
        <v>394</v>
      </c>
      <c r="E15" s="30" t="s">
        <v>395</v>
      </c>
    </row>
    <row r="16" spans="1:6">
      <c r="A16" s="31" t="s">
        <v>396</v>
      </c>
      <c r="B16" s="30" t="s">
        <v>397</v>
      </c>
      <c r="C16" s="30" t="s">
        <v>397</v>
      </c>
      <c r="D16" s="30" t="s">
        <v>398</v>
      </c>
      <c r="E16" s="30" t="s">
        <v>399</v>
      </c>
    </row>
  </sheetData>
  <mergeCells count="1">
    <mergeCell ref="A1:F1"/>
  </mergeCells>
  <phoneticPr fontId="30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C00000"/>
  </sheetPr>
  <dimension ref="A1:F23"/>
  <sheetViews>
    <sheetView workbookViewId="0"/>
  </sheetViews>
  <sheetFormatPr baseColWidth="10" defaultColWidth="8.83203125" defaultRowHeight="14"/>
  <cols>
    <col min="1" max="1" width="30" customWidth="1"/>
    <col min="2" max="5" width="18" customWidth="1"/>
  </cols>
  <sheetData>
    <row r="1" spans="1:6" ht="18">
      <c r="A1" s="82" t="s">
        <v>400</v>
      </c>
      <c r="B1" s="83"/>
      <c r="C1" s="83"/>
      <c r="D1" s="83"/>
      <c r="E1" s="83"/>
      <c r="F1" s="83"/>
    </row>
    <row r="3" spans="1:6">
      <c r="A3" s="36" t="s">
        <v>401</v>
      </c>
      <c r="B3" s="36"/>
      <c r="C3" s="36"/>
      <c r="D3" s="36"/>
      <c r="E3" s="36"/>
    </row>
    <row r="4" spans="1:6" ht="15">
      <c r="A4" s="32" t="s">
        <v>359</v>
      </c>
      <c r="B4" s="32" t="s">
        <v>277</v>
      </c>
      <c r="C4" s="32" t="s">
        <v>278</v>
      </c>
      <c r="D4" s="32" t="s">
        <v>279</v>
      </c>
      <c r="E4" s="32" t="s">
        <v>280</v>
      </c>
    </row>
    <row r="5" spans="1:6">
      <c r="A5" s="31" t="s">
        <v>402</v>
      </c>
      <c r="B5" s="30">
        <v>10</v>
      </c>
      <c r="C5" s="30">
        <v>10</v>
      </c>
      <c r="D5" s="30">
        <v>9.9</v>
      </c>
      <c r="E5" s="30">
        <v>11.1</v>
      </c>
    </row>
    <row r="6" spans="1:6">
      <c r="A6" s="40" t="s">
        <v>403</v>
      </c>
      <c r="B6" s="30">
        <v>7.1</v>
      </c>
      <c r="C6" s="30">
        <v>7.3</v>
      </c>
      <c r="D6" s="30">
        <v>7.1</v>
      </c>
      <c r="E6" s="30">
        <v>8.1</v>
      </c>
    </row>
    <row r="7" spans="1:6">
      <c r="A7" s="40" t="s">
        <v>404</v>
      </c>
      <c r="B7" s="30">
        <v>2.9</v>
      </c>
      <c r="C7" s="30">
        <v>2.7</v>
      </c>
      <c r="D7" s="30">
        <v>2.8</v>
      </c>
      <c r="E7" s="30">
        <v>3</v>
      </c>
    </row>
    <row r="8" spans="1:6">
      <c r="A8" s="31" t="s">
        <v>405</v>
      </c>
      <c r="B8" s="30" t="s">
        <v>406</v>
      </c>
      <c r="C8" s="30" t="s">
        <v>406</v>
      </c>
      <c r="D8" s="30" t="s">
        <v>291</v>
      </c>
      <c r="E8" s="30" t="s">
        <v>291</v>
      </c>
    </row>
    <row r="10" spans="1:6">
      <c r="A10" s="36" t="s">
        <v>407</v>
      </c>
      <c r="B10" s="36"/>
      <c r="C10" s="36"/>
      <c r="D10" s="36"/>
      <c r="E10" s="36"/>
    </row>
    <row r="11" spans="1:6" ht="15">
      <c r="A11" s="32" t="s">
        <v>359</v>
      </c>
      <c r="B11" s="32" t="s">
        <v>408</v>
      </c>
      <c r="C11" s="32" t="s">
        <v>281</v>
      </c>
      <c r="D11" s="32" t="s">
        <v>409</v>
      </c>
      <c r="E11" s="32" t="s">
        <v>410</v>
      </c>
    </row>
    <row r="12" spans="1:6">
      <c r="A12" s="31" t="s">
        <v>411</v>
      </c>
      <c r="B12" s="30">
        <v>4.2</v>
      </c>
      <c r="C12" s="30">
        <v>5.7</v>
      </c>
      <c r="D12" s="30">
        <v>1.5</v>
      </c>
      <c r="E12" s="30">
        <v>3.2</v>
      </c>
    </row>
    <row r="13" spans="1:6">
      <c r="A13" s="40" t="s">
        <v>412</v>
      </c>
      <c r="B13" s="30">
        <v>2.2999999999999998</v>
      </c>
      <c r="C13" s="30">
        <v>3.1</v>
      </c>
      <c r="D13" s="30">
        <v>0.8</v>
      </c>
      <c r="E13" s="30">
        <v>1.9</v>
      </c>
    </row>
    <row r="14" spans="1:6">
      <c r="A14" s="40" t="s">
        <v>413</v>
      </c>
      <c r="B14" s="30">
        <v>1.9</v>
      </c>
      <c r="C14" s="30">
        <v>2.6</v>
      </c>
      <c r="D14" s="30">
        <v>0.7</v>
      </c>
      <c r="E14" s="30">
        <v>1.3</v>
      </c>
    </row>
    <row r="15" spans="1:6">
      <c r="A15" s="31" t="s">
        <v>414</v>
      </c>
      <c r="B15" s="30">
        <v>5.3</v>
      </c>
      <c r="C15" s="30">
        <v>7.4</v>
      </c>
      <c r="D15" s="30">
        <v>1.5</v>
      </c>
      <c r="E15" s="30">
        <v>3.1</v>
      </c>
    </row>
    <row r="16" spans="1:6">
      <c r="A16" s="40" t="s">
        <v>415</v>
      </c>
      <c r="B16" s="30">
        <v>3.2</v>
      </c>
      <c r="C16" s="30">
        <v>4.5999999999999996</v>
      </c>
      <c r="D16" s="30">
        <v>0.8</v>
      </c>
      <c r="E16" s="30">
        <v>1.7</v>
      </c>
    </row>
    <row r="17" spans="1:5">
      <c r="A17" s="40" t="s">
        <v>416</v>
      </c>
      <c r="B17" s="30">
        <v>2.1</v>
      </c>
      <c r="C17" s="30">
        <v>2.8</v>
      </c>
      <c r="D17" s="30">
        <v>0.7</v>
      </c>
      <c r="E17" s="30">
        <v>1.4</v>
      </c>
    </row>
    <row r="19" spans="1:5">
      <c r="A19" s="36" t="s">
        <v>417</v>
      </c>
      <c r="B19" s="36"/>
      <c r="C19" s="36"/>
      <c r="D19" s="36"/>
      <c r="E19" s="36"/>
    </row>
    <row r="20" spans="1:5" ht="15">
      <c r="A20" s="32" t="s">
        <v>359</v>
      </c>
      <c r="B20" s="32" t="s">
        <v>277</v>
      </c>
      <c r="C20" s="32" t="s">
        <v>278</v>
      </c>
      <c r="D20" s="32" t="s">
        <v>279</v>
      </c>
      <c r="E20" s="32" t="s">
        <v>280</v>
      </c>
    </row>
    <row r="21" spans="1:5">
      <c r="A21" s="31" t="s">
        <v>302</v>
      </c>
      <c r="B21" s="30">
        <v>2.9</v>
      </c>
      <c r="C21" s="30">
        <v>3</v>
      </c>
      <c r="D21" s="30">
        <v>2.2000000000000002</v>
      </c>
      <c r="E21" s="30">
        <v>2.2999999999999998</v>
      </c>
    </row>
    <row r="22" spans="1:5">
      <c r="A22" s="31" t="s">
        <v>418</v>
      </c>
      <c r="B22" s="30">
        <v>-0.6</v>
      </c>
      <c r="C22" s="30">
        <v>-0.7</v>
      </c>
      <c r="D22" s="30">
        <v>-0.7</v>
      </c>
      <c r="E22" s="30">
        <v>-0.7</v>
      </c>
    </row>
    <row r="23" spans="1:5">
      <c r="A23" s="31" t="s">
        <v>419</v>
      </c>
      <c r="B23" s="30">
        <v>2.2999999999999998</v>
      </c>
      <c r="C23" s="30">
        <v>2.2999999999999998</v>
      </c>
      <c r="D23" s="30">
        <v>1.5</v>
      </c>
      <c r="E23" s="30">
        <v>1.6</v>
      </c>
    </row>
  </sheetData>
  <mergeCells count="1">
    <mergeCell ref="A1:F1"/>
  </mergeCells>
  <phoneticPr fontId="30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7030A0"/>
  </sheetPr>
  <dimension ref="A1:F21"/>
  <sheetViews>
    <sheetView workbookViewId="0"/>
  </sheetViews>
  <sheetFormatPr baseColWidth="10" defaultColWidth="8.83203125" defaultRowHeight="14"/>
  <cols>
    <col min="1" max="1" width="26" customWidth="1"/>
    <col min="2" max="6" width="20" customWidth="1"/>
  </cols>
  <sheetData>
    <row r="1" spans="1:6" ht="18">
      <c r="A1" s="82" t="s">
        <v>420</v>
      </c>
      <c r="B1" s="83"/>
      <c r="C1" s="83"/>
      <c r="D1" s="83"/>
      <c r="E1" s="83"/>
      <c r="F1" s="83"/>
    </row>
    <row r="3" spans="1:6" ht="15">
      <c r="A3" s="32" t="s">
        <v>421</v>
      </c>
      <c r="B3" s="32" t="s">
        <v>422</v>
      </c>
      <c r="C3" s="32" t="s">
        <v>423</v>
      </c>
      <c r="D3" s="32" t="s">
        <v>424</v>
      </c>
      <c r="E3" s="32" t="s">
        <v>425</v>
      </c>
      <c r="F3" s="32" t="s">
        <v>426</v>
      </c>
    </row>
    <row r="4" spans="1:6">
      <c r="A4" s="31" t="s">
        <v>427</v>
      </c>
      <c r="B4" s="30" t="s">
        <v>428</v>
      </c>
      <c r="C4" s="30" t="s">
        <v>429</v>
      </c>
      <c r="D4" s="30" t="s">
        <v>430</v>
      </c>
      <c r="E4" s="30" t="s">
        <v>431</v>
      </c>
      <c r="F4" s="30" t="s">
        <v>432</v>
      </c>
    </row>
    <row r="5" spans="1:6">
      <c r="A5" s="31" t="s">
        <v>433</v>
      </c>
      <c r="B5" s="30" t="s">
        <v>434</v>
      </c>
      <c r="C5" s="30" t="s">
        <v>435</v>
      </c>
      <c r="D5" s="30" t="s">
        <v>436</v>
      </c>
      <c r="E5" s="30" t="s">
        <v>435</v>
      </c>
      <c r="F5" s="30" t="s">
        <v>437</v>
      </c>
    </row>
    <row r="6" spans="1:6">
      <c r="A6" s="31" t="s">
        <v>438</v>
      </c>
      <c r="B6" s="30" t="s">
        <v>439</v>
      </c>
      <c r="C6" s="30" t="s">
        <v>440</v>
      </c>
      <c r="D6" s="30" t="s">
        <v>441</v>
      </c>
      <c r="E6" s="30" t="s">
        <v>442</v>
      </c>
      <c r="F6" s="30" t="s">
        <v>437</v>
      </c>
    </row>
    <row r="7" spans="1:6">
      <c r="A7" s="31" t="s">
        <v>443</v>
      </c>
      <c r="B7" s="30" t="s">
        <v>444</v>
      </c>
      <c r="C7" s="30" t="s">
        <v>445</v>
      </c>
      <c r="D7" s="30" t="s">
        <v>446</v>
      </c>
      <c r="E7" s="30" t="s">
        <v>447</v>
      </c>
      <c r="F7" s="30" t="s">
        <v>437</v>
      </c>
    </row>
    <row r="9" spans="1:6">
      <c r="A9" s="4" t="s">
        <v>448</v>
      </c>
    </row>
    <row r="10" spans="1:6" ht="15">
      <c r="A10" s="32" t="s">
        <v>449</v>
      </c>
      <c r="B10" s="32" t="s">
        <v>450</v>
      </c>
      <c r="C10" s="32" t="s">
        <v>451</v>
      </c>
      <c r="D10" s="32" t="s">
        <v>452</v>
      </c>
      <c r="E10" s="32" t="s">
        <v>453</v>
      </c>
    </row>
    <row r="11" spans="1:6">
      <c r="A11" s="31" t="s">
        <v>277</v>
      </c>
      <c r="B11" s="30" t="s">
        <v>454</v>
      </c>
      <c r="C11" s="30" t="s">
        <v>455</v>
      </c>
      <c r="D11" s="30" t="s">
        <v>456</v>
      </c>
      <c r="E11" s="37" t="s">
        <v>457</v>
      </c>
    </row>
    <row r="12" spans="1:6">
      <c r="A12" s="31" t="s">
        <v>278</v>
      </c>
      <c r="B12" s="30" t="s">
        <v>428</v>
      </c>
      <c r="C12" s="30" t="s">
        <v>458</v>
      </c>
      <c r="D12" s="30" t="s">
        <v>459</v>
      </c>
      <c r="E12" s="37" t="s">
        <v>460</v>
      </c>
    </row>
    <row r="13" spans="1:6">
      <c r="A13" s="31" t="s">
        <v>279</v>
      </c>
      <c r="B13" s="30" t="s">
        <v>434</v>
      </c>
      <c r="C13" s="30" t="s">
        <v>461</v>
      </c>
      <c r="D13" s="30" t="s">
        <v>462</v>
      </c>
      <c r="E13" s="37" t="s">
        <v>457</v>
      </c>
    </row>
    <row r="14" spans="1:6">
      <c r="A14" s="31" t="s">
        <v>280</v>
      </c>
      <c r="B14" s="30" t="s">
        <v>439</v>
      </c>
      <c r="C14" s="30" t="s">
        <v>463</v>
      </c>
      <c r="D14" s="30" t="s">
        <v>459</v>
      </c>
      <c r="E14" s="37" t="s">
        <v>460</v>
      </c>
    </row>
    <row r="16" spans="1:6">
      <c r="A16" s="4" t="s">
        <v>464</v>
      </c>
    </row>
    <row r="17" spans="1:2" ht="30">
      <c r="A17" s="32" t="s">
        <v>465</v>
      </c>
      <c r="B17" s="32" t="s">
        <v>466</v>
      </c>
    </row>
    <row r="18" spans="1:2">
      <c r="A18" s="31" t="s">
        <v>467</v>
      </c>
      <c r="B18" s="30" t="s">
        <v>468</v>
      </c>
    </row>
    <row r="19" spans="1:2">
      <c r="A19" s="31" t="s">
        <v>469</v>
      </c>
      <c r="B19" s="30" t="s">
        <v>468</v>
      </c>
    </row>
    <row r="20" spans="1:2">
      <c r="A20" s="31" t="s">
        <v>470</v>
      </c>
      <c r="B20" s="30" t="s">
        <v>468</v>
      </c>
    </row>
    <row r="21" spans="1:2">
      <c r="A21" s="31" t="s">
        <v>471</v>
      </c>
      <c r="B21" s="41" t="s">
        <v>472</v>
      </c>
    </row>
  </sheetData>
  <mergeCells count="1">
    <mergeCell ref="A1:F1"/>
  </mergeCells>
  <phoneticPr fontId="30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B050"/>
  </sheetPr>
  <dimension ref="A1:F16"/>
  <sheetViews>
    <sheetView workbookViewId="0"/>
  </sheetViews>
  <sheetFormatPr baseColWidth="10" defaultColWidth="8.83203125" defaultRowHeight="14"/>
  <cols>
    <col min="1" max="1" width="28" customWidth="1"/>
    <col min="2" max="5" width="20" customWidth="1"/>
  </cols>
  <sheetData>
    <row r="1" spans="1:6" ht="18">
      <c r="A1" s="82" t="s">
        <v>473</v>
      </c>
      <c r="B1" s="83"/>
      <c r="C1" s="83"/>
      <c r="D1" s="83"/>
      <c r="E1" s="83"/>
      <c r="F1" s="83"/>
    </row>
    <row r="2" spans="1:6">
      <c r="A2" s="3" t="s">
        <v>474</v>
      </c>
    </row>
    <row r="4" spans="1:6" ht="15">
      <c r="A4" s="32" t="s">
        <v>359</v>
      </c>
      <c r="B4" s="32" t="s">
        <v>277</v>
      </c>
      <c r="C4" s="32" t="s">
        <v>278</v>
      </c>
      <c r="D4" s="32" t="s">
        <v>279</v>
      </c>
      <c r="E4" s="32" t="s">
        <v>280</v>
      </c>
    </row>
    <row r="5" spans="1:6">
      <c r="A5" s="31" t="s">
        <v>475</v>
      </c>
      <c r="B5" s="30">
        <v>8615</v>
      </c>
      <c r="C5" s="30">
        <v>8764</v>
      </c>
      <c r="D5" s="30">
        <v>8781</v>
      </c>
      <c r="E5" s="30">
        <v>9289</v>
      </c>
    </row>
    <row r="6" spans="1:6">
      <c r="A6" s="31" t="s">
        <v>476</v>
      </c>
      <c r="B6" s="30" t="s">
        <v>339</v>
      </c>
      <c r="C6" s="30" t="s">
        <v>338</v>
      </c>
      <c r="D6" s="30" t="s">
        <v>338</v>
      </c>
      <c r="E6" s="30" t="s">
        <v>338</v>
      </c>
    </row>
    <row r="7" spans="1:6">
      <c r="A7" s="42" t="s">
        <v>477</v>
      </c>
      <c r="B7" s="37">
        <v>775</v>
      </c>
      <c r="C7" s="37">
        <v>876</v>
      </c>
      <c r="D7" s="37">
        <v>878</v>
      </c>
      <c r="E7" s="37">
        <v>929</v>
      </c>
    </row>
    <row r="8" spans="1:6">
      <c r="A8" s="31" t="s">
        <v>478</v>
      </c>
      <c r="B8" s="30" t="s">
        <v>284</v>
      </c>
      <c r="C8" s="30" t="s">
        <v>300</v>
      </c>
      <c r="D8" s="30" t="s">
        <v>301</v>
      </c>
      <c r="E8" s="30" t="s">
        <v>341</v>
      </c>
    </row>
    <row r="9" spans="1:6">
      <c r="A9" s="31" t="s">
        <v>479</v>
      </c>
      <c r="B9" s="30" t="s">
        <v>304</v>
      </c>
      <c r="C9" s="30" t="s">
        <v>319</v>
      </c>
      <c r="D9" s="30" t="s">
        <v>288</v>
      </c>
      <c r="E9" s="30" t="s">
        <v>300</v>
      </c>
    </row>
    <row r="10" spans="1:6">
      <c r="A10" s="31"/>
      <c r="B10" s="30"/>
      <c r="C10" s="30"/>
      <c r="D10" s="30"/>
      <c r="E10" s="30"/>
    </row>
    <row r="11" spans="1:6">
      <c r="A11" s="31" t="s">
        <v>480</v>
      </c>
      <c r="B11" s="30" t="s">
        <v>481</v>
      </c>
      <c r="C11" s="30" t="s">
        <v>481</v>
      </c>
      <c r="D11" s="30" t="s">
        <v>481</v>
      </c>
      <c r="E11" s="30" t="s">
        <v>481</v>
      </c>
    </row>
    <row r="12" spans="1:6">
      <c r="A12" s="31" t="s">
        <v>482</v>
      </c>
      <c r="B12" s="30" t="s">
        <v>483</v>
      </c>
      <c r="C12" s="30" t="s">
        <v>484</v>
      </c>
      <c r="D12" s="30" t="s">
        <v>484</v>
      </c>
      <c r="E12" s="30" t="s">
        <v>484</v>
      </c>
    </row>
    <row r="13" spans="1:6">
      <c r="A13" s="31"/>
      <c r="B13" s="30"/>
      <c r="C13" s="30"/>
      <c r="D13" s="30"/>
      <c r="E13" s="30"/>
    </row>
    <row r="14" spans="1:6">
      <c r="A14" s="31" t="s">
        <v>485</v>
      </c>
      <c r="B14" s="30">
        <v>7.1</v>
      </c>
      <c r="C14" s="30">
        <v>7.3</v>
      </c>
      <c r="D14" s="30">
        <v>7.1</v>
      </c>
      <c r="E14" s="30">
        <v>8.1</v>
      </c>
    </row>
    <row r="15" spans="1:6">
      <c r="A15" s="40" t="s">
        <v>486</v>
      </c>
      <c r="B15" s="30" t="s">
        <v>291</v>
      </c>
      <c r="C15" s="30" t="s">
        <v>487</v>
      </c>
      <c r="D15" s="30" t="s">
        <v>488</v>
      </c>
      <c r="E15" s="30" t="s">
        <v>489</v>
      </c>
    </row>
    <row r="16" spans="1:6">
      <c r="A16" s="40" t="s">
        <v>490</v>
      </c>
      <c r="B16" s="30" t="s">
        <v>491</v>
      </c>
      <c r="C16" s="30" t="s">
        <v>492</v>
      </c>
      <c r="D16" s="30" t="s">
        <v>493</v>
      </c>
      <c r="E16" s="30" t="s">
        <v>494</v>
      </c>
    </row>
  </sheetData>
  <mergeCells count="1">
    <mergeCell ref="A1:F1"/>
  </mergeCells>
  <phoneticPr fontId="30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16"/>
  <sheetViews>
    <sheetView showGridLines="0" workbookViewId="0">
      <pane ySplit="3" topLeftCell="A4" activePane="bottomLeft" state="frozen"/>
      <selection pane="bottomLeft"/>
    </sheetView>
  </sheetViews>
  <sheetFormatPr baseColWidth="10" defaultColWidth="8.83203125" defaultRowHeight="14"/>
  <cols>
    <col min="1" max="1" width="18" customWidth="1"/>
    <col min="2" max="2" width="70" customWidth="1"/>
    <col min="3" max="3" width="45" customWidth="1"/>
  </cols>
  <sheetData>
    <row r="1" spans="1:8" ht="28" customHeight="1">
      <c r="A1" s="1" t="s">
        <v>495</v>
      </c>
      <c r="B1" s="2"/>
      <c r="C1" s="2"/>
      <c r="D1" s="2"/>
      <c r="E1" s="2"/>
      <c r="F1" s="2"/>
      <c r="G1" s="2"/>
      <c r="H1" s="2"/>
    </row>
    <row r="2" spans="1:8" ht="16" customHeight="1">
      <c r="A2" s="3" t="s">
        <v>1</v>
      </c>
    </row>
    <row r="4" spans="1:8">
      <c r="A4" s="4" t="s">
        <v>496</v>
      </c>
    </row>
    <row r="6" spans="1:8">
      <c r="A6" s="4" t="s">
        <v>497</v>
      </c>
      <c r="B6" s="4" t="s">
        <v>498</v>
      </c>
      <c r="C6" s="4" t="s">
        <v>499</v>
      </c>
    </row>
    <row r="7" spans="1:8">
      <c r="A7" s="5" t="s">
        <v>60</v>
      </c>
      <c r="B7" s="5" t="s">
        <v>500</v>
      </c>
      <c r="C7" s="5" t="s">
        <v>501</v>
      </c>
    </row>
    <row r="8" spans="1:8">
      <c r="A8" s="5" t="s">
        <v>61</v>
      </c>
      <c r="B8" s="5" t="s">
        <v>502</v>
      </c>
      <c r="C8" s="5" t="s">
        <v>503</v>
      </c>
    </row>
    <row r="9" spans="1:8">
      <c r="A9" s="5" t="s">
        <v>62</v>
      </c>
      <c r="B9" s="5" t="s">
        <v>504</v>
      </c>
      <c r="C9" s="5" t="s">
        <v>505</v>
      </c>
    </row>
    <row r="10" spans="1:8">
      <c r="A10" s="5" t="s">
        <v>63</v>
      </c>
      <c r="B10" s="5" t="s">
        <v>506</v>
      </c>
      <c r="C10" s="5" t="s">
        <v>507</v>
      </c>
    </row>
    <row r="11" spans="1:8">
      <c r="A11" s="5" t="s">
        <v>64</v>
      </c>
      <c r="B11" s="5" t="s">
        <v>508</v>
      </c>
      <c r="C11" s="5" t="s">
        <v>509</v>
      </c>
    </row>
    <row r="12" spans="1:8">
      <c r="A12" s="5" t="s">
        <v>65</v>
      </c>
      <c r="B12" s="5" t="s">
        <v>510</v>
      </c>
      <c r="C12" s="5" t="s">
        <v>511</v>
      </c>
    </row>
    <row r="13" spans="1:8">
      <c r="A13" s="5" t="s">
        <v>66</v>
      </c>
      <c r="B13" s="5" t="s">
        <v>512</v>
      </c>
      <c r="C13" s="5" t="s">
        <v>513</v>
      </c>
    </row>
    <row r="14" spans="1:8">
      <c r="A14" s="5" t="s">
        <v>67</v>
      </c>
      <c r="B14" s="5" t="s">
        <v>514</v>
      </c>
      <c r="C14" s="5" t="s">
        <v>515</v>
      </c>
    </row>
    <row r="16" spans="1:8">
      <c r="A16" s="5" t="s">
        <v>516</v>
      </c>
      <c r="B16" s="5" t="s">
        <v>517</v>
      </c>
      <c r="C16" s="5"/>
    </row>
  </sheetData>
  <phoneticPr fontId="30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4472C4"/>
  </sheetPr>
  <dimension ref="A1:Y2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baseColWidth="10" defaultColWidth="8.83203125" defaultRowHeight="14"/>
  <cols>
    <col min="1" max="1" width="29" customWidth="1"/>
    <col min="2" max="2" width="13" customWidth="1"/>
    <col min="3" max="25" width="12" customWidth="1"/>
  </cols>
  <sheetData>
    <row r="1" spans="1:25" ht="24" customHeight="1">
      <c r="A1" s="44" t="s">
        <v>518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</row>
    <row r="2" spans="1:25" ht="18" customHeight="1">
      <c r="A2" s="45" t="s">
        <v>519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</row>
    <row r="4" spans="1:25" ht="20" customHeight="1">
      <c r="A4" s="46" t="s">
        <v>520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</row>
    <row r="5" spans="1:25" ht="30" customHeight="1">
      <c r="A5" s="47" t="s">
        <v>521</v>
      </c>
      <c r="B5" s="47" t="s">
        <v>522</v>
      </c>
      <c r="C5" s="47" t="s">
        <v>523</v>
      </c>
      <c r="D5" s="47" t="s">
        <v>524</v>
      </c>
      <c r="E5" s="47" t="s">
        <v>525</v>
      </c>
      <c r="F5" s="47" t="s">
        <v>526</v>
      </c>
      <c r="G5" s="47" t="s">
        <v>527</v>
      </c>
      <c r="H5" s="47" t="s">
        <v>528</v>
      </c>
      <c r="I5" s="47" t="s">
        <v>529</v>
      </c>
      <c r="J5" s="47" t="s">
        <v>530</v>
      </c>
      <c r="K5" s="47" t="s">
        <v>531</v>
      </c>
      <c r="L5" s="47" t="s">
        <v>532</v>
      </c>
      <c r="M5" s="47"/>
      <c r="N5" s="52" t="s">
        <v>60</v>
      </c>
      <c r="O5" s="52" t="s">
        <v>61</v>
      </c>
      <c r="P5" s="52" t="s">
        <v>62</v>
      </c>
      <c r="Q5" s="52" t="s">
        <v>63</v>
      </c>
      <c r="R5" s="52" t="s">
        <v>64</v>
      </c>
      <c r="S5" s="52" t="s">
        <v>65</v>
      </c>
      <c r="T5" s="52" t="s">
        <v>66</v>
      </c>
      <c r="U5" s="52" t="s">
        <v>67</v>
      </c>
      <c r="V5" s="53" t="s">
        <v>277</v>
      </c>
      <c r="W5" s="53" t="s">
        <v>278</v>
      </c>
      <c r="X5" s="53" t="s">
        <v>279</v>
      </c>
      <c r="Y5" s="53" t="s">
        <v>280</v>
      </c>
    </row>
    <row r="6" spans="1:25" ht="19" customHeight="1">
      <c r="A6" s="49" t="s">
        <v>533</v>
      </c>
      <c r="B6" s="49" t="s">
        <v>534</v>
      </c>
      <c r="C6" s="56">
        <v>0.08</v>
      </c>
      <c r="D6" s="56">
        <v>0.09</v>
      </c>
      <c r="E6" s="56">
        <v>0.06</v>
      </c>
      <c r="F6" s="56">
        <v>0.06</v>
      </c>
      <c r="G6" s="57">
        <f>G7/T7-1</f>
        <v>0.1056427813967582</v>
      </c>
      <c r="H6" s="56">
        <v>5.5E-2</v>
      </c>
      <c r="I6" s="56">
        <v>5.5E-2</v>
      </c>
      <c r="J6" s="56">
        <v>0.05</v>
      </c>
      <c r="K6" s="56">
        <v>0.05</v>
      </c>
      <c r="L6" s="56">
        <v>0.05</v>
      </c>
      <c r="M6" s="58"/>
      <c r="N6" s="59">
        <f>'Income Statement'!C11</f>
        <v>0</v>
      </c>
      <c r="O6" s="59">
        <f>'Income Statement'!D11</f>
        <v>0.89449664429530196</v>
      </c>
      <c r="P6" s="59">
        <f>'Income Statement'!E11</f>
        <v>-3.4894431061357478E-2</v>
      </c>
      <c r="Q6" s="59">
        <f>'Income Statement'!F11</f>
        <v>0.13030870315310361</v>
      </c>
      <c r="R6" s="59">
        <f>'Income Statement'!G11</f>
        <v>8.3493001656220533E-2</v>
      </c>
      <c r="S6" s="59">
        <f>'Income Statement'!H11</f>
        <v>-1.5285936938017053E-2</v>
      </c>
      <c r="T6" s="59">
        <f>'Income Statement'!I11</f>
        <v>4.5960918000851336E-3</v>
      </c>
      <c r="U6" s="59">
        <f>'Income Statement'!J11</f>
        <v>2.9722769277382266E-2</v>
      </c>
      <c r="V6" s="59">
        <v>0.03</v>
      </c>
      <c r="W6" s="59">
        <v>0.06</v>
      </c>
      <c r="X6" s="59">
        <v>0.08</v>
      </c>
      <c r="Y6" s="59">
        <v>0.09</v>
      </c>
    </row>
    <row r="7" spans="1:25" ht="19" customHeight="1">
      <c r="A7" s="54" t="s">
        <v>535</v>
      </c>
      <c r="B7" s="54" t="s">
        <v>536</v>
      </c>
      <c r="C7" s="64">
        <f>Consolidated!D4</f>
        <v>8781</v>
      </c>
      <c r="D7" s="64">
        <f>Consolidated!E4</f>
        <v>9289</v>
      </c>
      <c r="E7" s="64">
        <f>Consolidated!B4*(1+E6)</f>
        <v>9131.9</v>
      </c>
      <c r="F7" s="64">
        <f>Consolidated!C4*(1+F6)</f>
        <v>9289.84</v>
      </c>
      <c r="G7" s="64">
        <f>SUM(C7:F7)</f>
        <v>36491.740000000005</v>
      </c>
      <c r="H7" s="64">
        <f>G7*(1+H6)</f>
        <v>38498.7857</v>
      </c>
      <c r="I7" s="64">
        <f>H7*(1+I6)</f>
        <v>40616.218913500001</v>
      </c>
      <c r="J7" s="64">
        <f>I7*(1+J6)</f>
        <v>42647.029859175003</v>
      </c>
      <c r="K7" s="64">
        <f>J7*(1+K6)</f>
        <v>44779.381352133758</v>
      </c>
      <c r="L7" s="64">
        <f>K7*(1+L6)</f>
        <v>47018.350419740447</v>
      </c>
      <c r="M7" s="65"/>
      <c r="N7" s="66">
        <f>'Income Statement'!C10</f>
        <v>14900</v>
      </c>
      <c r="O7" s="66">
        <f>'Income Statement'!D10</f>
        <v>28228</v>
      </c>
      <c r="P7" s="66">
        <f>'Income Statement'!E10</f>
        <v>27243</v>
      </c>
      <c r="Q7" s="66">
        <f>'Income Statement'!F10</f>
        <v>30793</v>
      </c>
      <c r="R7" s="66">
        <f>'Income Statement'!G10</f>
        <v>33364</v>
      </c>
      <c r="S7" s="66">
        <f>'Income Statement'!H10</f>
        <v>32854</v>
      </c>
      <c r="T7" s="66">
        <f>'Income Statement'!I10</f>
        <v>33005</v>
      </c>
      <c r="U7" s="66">
        <f>'Income Statement'!J10</f>
        <v>33986</v>
      </c>
      <c r="V7" s="66">
        <f>Consolidated!B4</f>
        <v>8615</v>
      </c>
      <c r="W7" s="66">
        <f>Consolidated!C4</f>
        <v>8764</v>
      </c>
      <c r="X7" s="66">
        <f>Consolidated!D4</f>
        <v>8781</v>
      </c>
      <c r="Y7" s="66">
        <f>Consolidated!E4</f>
        <v>9289</v>
      </c>
    </row>
    <row r="8" spans="1:25" ht="19" customHeight="1">
      <c r="A8" s="54" t="s">
        <v>537</v>
      </c>
      <c r="B8" s="54" t="s">
        <v>536</v>
      </c>
      <c r="C8" s="64">
        <f>Consolidated!D7</f>
        <v>2630</v>
      </c>
      <c r="D8" s="64">
        <f>Consolidated!E7</f>
        <v>2744</v>
      </c>
      <c r="E8" s="64">
        <f>E7*E9</f>
        <v>2739.5699999999997</v>
      </c>
      <c r="F8" s="64">
        <f>F7*F9</f>
        <v>2805.5316800000001</v>
      </c>
      <c r="G8" s="64">
        <f>SUM(C8:F8)</f>
        <v>10919.10168</v>
      </c>
      <c r="H8" s="64">
        <f>H7*H9</f>
        <v>11742.129638500001</v>
      </c>
      <c r="I8" s="64">
        <f>I7*I9</f>
        <v>12509.795425357999</v>
      </c>
      <c r="J8" s="64">
        <f>J7*J9</f>
        <v>13263.226286203426</v>
      </c>
      <c r="K8" s="64">
        <f>K7*K9</f>
        <v>14060.72574457</v>
      </c>
      <c r="L8" s="64">
        <f>L7*L9</f>
        <v>14904.817083057722</v>
      </c>
      <c r="M8" s="65"/>
      <c r="N8" s="66">
        <f>'Income Statement'!C23</f>
        <v>5247</v>
      </c>
      <c r="O8" s="66">
        <f>'Income Statement'!D23</f>
        <v>2933</v>
      </c>
      <c r="P8" s="66">
        <f>'Income Statement'!E23</f>
        <v>3322</v>
      </c>
      <c r="Q8" s="66">
        <f>'Income Statement'!F23</f>
        <v>4984</v>
      </c>
      <c r="R8" s="66">
        <f>'Income Statement'!G23</f>
        <v>5369</v>
      </c>
      <c r="S8" s="66">
        <f>'Income Statement'!H23</f>
        <v>8024</v>
      </c>
      <c r="T8" s="66">
        <f>'Income Statement'!I23</f>
        <v>8635</v>
      </c>
      <c r="U8" s="66">
        <f>'Income Statement'!J23</f>
        <v>8923</v>
      </c>
      <c r="V8" s="66">
        <f>Consolidated!B7</f>
        <v>2558</v>
      </c>
      <c r="W8" s="66">
        <f>Consolidated!C7</f>
        <v>2585</v>
      </c>
      <c r="X8" s="66">
        <f>Consolidated!D7</f>
        <v>2630</v>
      </c>
      <c r="Y8" s="66">
        <f>Consolidated!E7</f>
        <v>2744</v>
      </c>
    </row>
    <row r="9" spans="1:25" ht="19" customHeight="1">
      <c r="A9" s="49" t="s">
        <v>538</v>
      </c>
      <c r="B9" s="49" t="s">
        <v>534</v>
      </c>
      <c r="C9" s="57" t="str">
        <f>Consolidated!D8</f>
        <v>30.0%</v>
      </c>
      <c r="D9" s="57" t="str">
        <f>Consolidated!E8</f>
        <v>29.5%</v>
      </c>
      <c r="E9" s="56">
        <v>0.3</v>
      </c>
      <c r="F9" s="56">
        <v>0.30199999999999999</v>
      </c>
      <c r="G9" s="57">
        <f>G8/G7</f>
        <v>0.29922118484895482</v>
      </c>
      <c r="H9" s="56">
        <v>0.30499999999999999</v>
      </c>
      <c r="I9" s="56">
        <v>0.308</v>
      </c>
      <c r="J9" s="56">
        <v>0.311</v>
      </c>
      <c r="K9" s="56">
        <v>0.314</v>
      </c>
      <c r="L9" s="56">
        <v>0.317</v>
      </c>
      <c r="M9" s="58"/>
      <c r="N9" s="59">
        <f>'Income Statement'!C24</f>
        <v>0.35214765100671142</v>
      </c>
      <c r="O9" s="59">
        <f>'Income Statement'!D24</f>
        <v>0.10390392518067168</v>
      </c>
      <c r="P9" s="59">
        <f>'Income Statement'!E24</f>
        <v>0.12193958080974929</v>
      </c>
      <c r="Q9" s="59">
        <f>'Income Statement'!F24</f>
        <v>0.16185496703796318</v>
      </c>
      <c r="R9" s="59">
        <f>'Income Statement'!G24</f>
        <v>0.16092195180434002</v>
      </c>
      <c r="S9" s="59">
        <f>'Income Statement'!H24</f>
        <v>0.24423205697936323</v>
      </c>
      <c r="T9" s="59">
        <f>'Income Statement'!I24</f>
        <v>0.26162702620815026</v>
      </c>
      <c r="U9" s="59">
        <f>'Income Statement'!J24</f>
        <v>0.26254928499970576</v>
      </c>
      <c r="V9" s="59" t="str">
        <f>Consolidated!B8</f>
        <v>29.7%</v>
      </c>
      <c r="W9" s="59" t="str">
        <f>Consolidated!C8</f>
        <v>29.5%</v>
      </c>
      <c r="X9" s="59" t="str">
        <f>Consolidated!D8</f>
        <v>30.0%</v>
      </c>
      <c r="Y9" s="59" t="str">
        <f>Consolidated!E8</f>
        <v>29.5%</v>
      </c>
    </row>
    <row r="10" spans="1:25" ht="19" customHeight="1">
      <c r="A10" s="54" t="s">
        <v>539</v>
      </c>
      <c r="B10" s="54" t="s">
        <v>536</v>
      </c>
      <c r="C10" s="64">
        <f>Consolidated!D9</f>
        <v>2019</v>
      </c>
      <c r="D10" s="64">
        <f>Consolidated!E9</f>
        <v>2089</v>
      </c>
      <c r="E10" s="64">
        <f>E13*E12</f>
        <v>2126.0257200000001</v>
      </c>
      <c r="F10" s="64">
        <f>F13*F12</f>
        <v>2111.8522152</v>
      </c>
      <c r="G10" s="64">
        <f>SUM(C10:F10)</f>
        <v>8345.8779352000001</v>
      </c>
      <c r="H10" s="64">
        <f>H7*H11</f>
        <v>8777.7231396000006</v>
      </c>
      <c r="I10" s="64">
        <f>I7*I11</f>
        <v>9341.730350105001</v>
      </c>
      <c r="J10" s="64">
        <f>J7*J11</f>
        <v>9894.110927328602</v>
      </c>
      <c r="K10" s="64">
        <f>K7*K11</f>
        <v>10478.375236399301</v>
      </c>
      <c r="L10" s="64">
        <f>L7*L11</f>
        <v>11096.330699058744</v>
      </c>
      <c r="M10" s="65"/>
      <c r="N10" s="66">
        <f>'Income Statement'!C37</f>
        <v>4381</v>
      </c>
      <c r="O10" s="66">
        <f>'Income Statement'!D37</f>
        <v>2285</v>
      </c>
      <c r="P10" s="66">
        <f>'Income Statement'!E37</f>
        <v>2501</v>
      </c>
      <c r="Q10" s="66">
        <f>'Income Statement'!F37</f>
        <v>3826</v>
      </c>
      <c r="R10" s="66">
        <f>'Income Statement'!G37</f>
        <v>4147</v>
      </c>
      <c r="S10" s="66">
        <f>'Income Statement'!H37</f>
        <v>6199</v>
      </c>
      <c r="T10" s="66">
        <f>'Income Statement'!I37</f>
        <v>6565</v>
      </c>
      <c r="U10" s="66">
        <f>'Income Statement'!J37</f>
        <v>6898</v>
      </c>
      <c r="V10" s="66">
        <f>Consolidated!B9</f>
        <v>1987</v>
      </c>
      <c r="W10" s="66">
        <f>Consolidated!C9</f>
        <v>1968</v>
      </c>
      <c r="X10" s="66">
        <f>Consolidated!D9</f>
        <v>2019</v>
      </c>
      <c r="Y10" s="66">
        <f>Consolidated!E9</f>
        <v>2089</v>
      </c>
    </row>
    <row r="11" spans="1:25" ht="19" customHeight="1">
      <c r="A11" s="49" t="s">
        <v>540</v>
      </c>
      <c r="B11" s="49" t="s">
        <v>534</v>
      </c>
      <c r="C11" s="57">
        <f>C10/C7</f>
        <v>0.22992825418517254</v>
      </c>
      <c r="D11" s="57">
        <f>D10/D7</f>
        <v>0.22488965442997094</v>
      </c>
      <c r="E11" s="57">
        <f>E10/E7</f>
        <v>0.23281307504462381</v>
      </c>
      <c r="F11" s="57">
        <f>F10/F7</f>
        <v>0.22732923443245523</v>
      </c>
      <c r="G11" s="57">
        <f>G10/G7</f>
        <v>0.22870594647446241</v>
      </c>
      <c r="H11" s="56">
        <v>0.22800000000000001</v>
      </c>
      <c r="I11" s="56">
        <v>0.23</v>
      </c>
      <c r="J11" s="56">
        <v>0.23200000000000001</v>
      </c>
      <c r="K11" s="56">
        <v>0.23400000000000001</v>
      </c>
      <c r="L11" s="56">
        <v>0.23599999999999999</v>
      </c>
      <c r="M11" s="58"/>
      <c r="N11" s="59">
        <f t="shared" ref="N11:Y11" si="0">N10/N7</f>
        <v>0.29402684563758391</v>
      </c>
      <c r="O11" s="59">
        <f t="shared" si="0"/>
        <v>8.0947994898682166E-2</v>
      </c>
      <c r="P11" s="59">
        <f t="shared" si="0"/>
        <v>9.1803399038285063E-2</v>
      </c>
      <c r="Q11" s="59">
        <f t="shared" si="0"/>
        <v>0.12424901763387783</v>
      </c>
      <c r="R11" s="59">
        <f t="shared" si="0"/>
        <v>0.12429564800383647</v>
      </c>
      <c r="S11" s="59">
        <f t="shared" si="0"/>
        <v>0.18868326535581664</v>
      </c>
      <c r="T11" s="59">
        <f t="shared" si="0"/>
        <v>0.19890925617330707</v>
      </c>
      <c r="U11" s="59">
        <f t="shared" si="0"/>
        <v>0.20296592714647207</v>
      </c>
      <c r="V11" s="59">
        <f t="shared" si="0"/>
        <v>0.23064422518862449</v>
      </c>
      <c r="W11" s="59">
        <f t="shared" si="0"/>
        <v>0.22455499771793702</v>
      </c>
      <c r="X11" s="59">
        <f t="shared" si="0"/>
        <v>0.22992825418517254</v>
      </c>
      <c r="Y11" s="59">
        <f t="shared" si="0"/>
        <v>0.22488965442997094</v>
      </c>
    </row>
    <row r="12" spans="1:25" ht="19" customHeight="1">
      <c r="A12" s="49" t="s">
        <v>541</v>
      </c>
      <c r="B12" s="49" t="s">
        <v>542</v>
      </c>
      <c r="C12" s="67">
        <f>'Income Statement'!J48/1000</f>
        <v>472.19499999999999</v>
      </c>
      <c r="D12" s="67">
        <f>'Income Statement'!J48/1000</f>
        <v>472.19499999999999</v>
      </c>
      <c r="E12" s="67">
        <f>G12</f>
        <v>472.45015999999998</v>
      </c>
      <c r="F12" s="67">
        <f>G12</f>
        <v>472.45015999999998</v>
      </c>
      <c r="G12" s="67">
        <f>T12*(1-G14)</f>
        <v>472.45015999999998</v>
      </c>
      <c r="H12" s="67">
        <f>G12*(1-H14)</f>
        <v>463.00115679999999</v>
      </c>
      <c r="I12" s="67">
        <f>H12*(1-I14)</f>
        <v>453.74113366399996</v>
      </c>
      <c r="J12" s="67">
        <f>I12*(1-J14)</f>
        <v>444.66631099071998</v>
      </c>
      <c r="K12" s="67">
        <f>J12*(1-K14)</f>
        <v>435.77298477090557</v>
      </c>
      <c r="L12" s="67">
        <f>K12*(1-L14)</f>
        <v>427.05752507548743</v>
      </c>
      <c r="M12" s="68"/>
      <c r="N12" s="69">
        <f>'Income Statement'!C48/1000</f>
        <v>334.12700000000001</v>
      </c>
      <c r="O12" s="69">
        <f>'Income Statement'!D48/1000</f>
        <v>545.16999999999996</v>
      </c>
      <c r="P12" s="69">
        <f>'Income Statement'!E48/1000</f>
        <v>531.15700000000004</v>
      </c>
      <c r="Q12" s="69">
        <f>'Income Statement'!F48/1000</f>
        <v>521.875</v>
      </c>
      <c r="R12" s="69">
        <f>'Income Statement'!G48/1000</f>
        <v>504.03800000000001</v>
      </c>
      <c r="S12" s="69">
        <f>'Income Statement'!H48/1000</f>
        <v>492.29</v>
      </c>
      <c r="T12" s="69">
        <f>'Income Statement'!I48/1000</f>
        <v>482.09199999999998</v>
      </c>
      <c r="U12" s="69">
        <f>'Income Statement'!J48/1000</f>
        <v>472.19499999999999</v>
      </c>
      <c r="V12" s="69" t="str">
        <f>"n.a."</f>
        <v>n.a.</v>
      </c>
      <c r="W12" s="69" t="str">
        <f>"n.a."</f>
        <v>n.a.</v>
      </c>
      <c r="X12" s="69" t="str">
        <f>"n.a."</f>
        <v>n.a.</v>
      </c>
      <c r="Y12" s="69" t="str">
        <f>"n.a."</f>
        <v>n.a.</v>
      </c>
    </row>
    <row r="13" spans="1:25" ht="19" customHeight="1">
      <c r="A13" s="54" t="s">
        <v>543</v>
      </c>
      <c r="B13" s="54" t="s">
        <v>544</v>
      </c>
      <c r="C13" s="60">
        <f>Consolidated!D10</f>
        <v>4.33</v>
      </c>
      <c r="D13" s="60">
        <f>Consolidated!E10</f>
        <v>4.5</v>
      </c>
      <c r="E13" s="61">
        <v>4.5</v>
      </c>
      <c r="F13" s="60">
        <f>G13-C13-D13-E13</f>
        <v>4.4700000000000006</v>
      </c>
      <c r="G13" s="61">
        <v>17.8</v>
      </c>
      <c r="H13" s="60">
        <f>H10/H12</f>
        <v>18.958317945178838</v>
      </c>
      <c r="I13" s="60">
        <f>I10/I12</f>
        <v>20.588237779259064</v>
      </c>
      <c r="J13" s="60">
        <f>J10/J12</f>
        <v>22.250642071994271</v>
      </c>
      <c r="K13" s="60">
        <f>K10/K12</f>
        <v>24.045490662777063</v>
      </c>
      <c r="L13" s="60">
        <f>L10/L12</f>
        <v>25.983222511059459</v>
      </c>
      <c r="M13" s="62"/>
      <c r="N13" s="63">
        <f>'Income Statement'!C45</f>
        <v>13.11</v>
      </c>
      <c r="O13" s="63">
        <f>'Income Statement'!D45</f>
        <v>4.1900000000000004</v>
      </c>
      <c r="P13" s="63">
        <f>'Income Statement'!E45</f>
        <v>4.71</v>
      </c>
      <c r="Q13" s="63">
        <f>'Income Statement'!F45</f>
        <v>7.33</v>
      </c>
      <c r="R13" s="63">
        <f>'Income Statement'!G45</f>
        <v>8.23</v>
      </c>
      <c r="S13" s="63">
        <f>'Income Statement'!H45</f>
        <v>12.59</v>
      </c>
      <c r="T13" s="63">
        <f>'Income Statement'!I45</f>
        <v>13.62</v>
      </c>
      <c r="U13" s="63">
        <f>'Income Statement'!J45</f>
        <v>14.61</v>
      </c>
      <c r="V13" s="63">
        <f>Consolidated!B10</f>
        <v>4.21</v>
      </c>
      <c r="W13" s="63">
        <f>Consolidated!C10</f>
        <v>4.2</v>
      </c>
      <c r="X13" s="63">
        <f>Consolidated!D10</f>
        <v>4.33</v>
      </c>
      <c r="Y13" s="63">
        <f>Consolidated!E10</f>
        <v>4.5</v>
      </c>
    </row>
    <row r="14" spans="1:25" ht="19" customHeight="1">
      <c r="A14" s="49" t="s">
        <v>545</v>
      </c>
      <c r="B14" s="49" t="s">
        <v>534</v>
      </c>
      <c r="C14" s="57"/>
      <c r="D14" s="57"/>
      <c r="E14" s="57"/>
      <c r="F14" s="57"/>
      <c r="G14" s="56">
        <v>0.02</v>
      </c>
      <c r="H14" s="56">
        <v>0.02</v>
      </c>
      <c r="I14" s="56">
        <v>0.02</v>
      </c>
      <c r="J14" s="56">
        <v>0.02</v>
      </c>
      <c r="K14" s="56">
        <v>0.02</v>
      </c>
      <c r="L14" s="56">
        <v>0.02</v>
      </c>
      <c r="M14" s="58"/>
      <c r="N14" s="59"/>
      <c r="O14" s="59">
        <f t="shared" ref="O14:U14" si="1">1-O12/N12</f>
        <v>-0.63162510063538702</v>
      </c>
      <c r="P14" s="59">
        <f t="shared" si="1"/>
        <v>2.5703908872461656E-2</v>
      </c>
      <c r="Q14" s="59">
        <f t="shared" si="1"/>
        <v>1.7475059163298279E-2</v>
      </c>
      <c r="R14" s="59">
        <f t="shared" si="1"/>
        <v>3.4178682634730562E-2</v>
      </c>
      <c r="S14" s="59">
        <f t="shared" si="1"/>
        <v>2.3307766477924319E-2</v>
      </c>
      <c r="T14" s="59">
        <f t="shared" si="1"/>
        <v>2.0715431960836139E-2</v>
      </c>
      <c r="U14" s="59">
        <f t="shared" si="1"/>
        <v>2.052927656961745E-2</v>
      </c>
      <c r="V14" s="59" t="str">
        <f>"n.a."</f>
        <v>n.a.</v>
      </c>
      <c r="W14" s="59" t="str">
        <f>"n.a."</f>
        <v>n.a.</v>
      </c>
      <c r="X14" s="59" t="str">
        <f>"n.a."</f>
        <v>n.a.</v>
      </c>
      <c r="Y14" s="59" t="str">
        <f>"n.a."</f>
        <v>n.a.</v>
      </c>
    </row>
    <row r="15" spans="1:25" ht="19" customHeight="1">
      <c r="A15" s="54" t="s">
        <v>546</v>
      </c>
      <c r="B15" s="54" t="s">
        <v>536</v>
      </c>
      <c r="C15" s="64">
        <f>Consolidated!D14</f>
        <v>1342</v>
      </c>
      <c r="D15" s="64">
        <f>Consolidated!E14</f>
        <v>1438</v>
      </c>
      <c r="E15" s="70">
        <v>1450</v>
      </c>
      <c r="F15" s="64">
        <f>G15-C15-D15-E15</f>
        <v>1520</v>
      </c>
      <c r="G15" s="70">
        <v>5750</v>
      </c>
      <c r="H15" s="64">
        <f>H7*H16</f>
        <v>5967.3117835000003</v>
      </c>
      <c r="I15" s="64">
        <f>I7*I16</f>
        <v>6092.4328370249996</v>
      </c>
      <c r="J15" s="64">
        <f>J7*J16</f>
        <v>6183.8193295803749</v>
      </c>
      <c r="K15" s="64">
        <f>K7*K16</f>
        <v>6493.010296059394</v>
      </c>
      <c r="L15" s="64">
        <f>L7*L16</f>
        <v>6817.6608108623641</v>
      </c>
      <c r="M15" s="65"/>
      <c r="N15" s="66">
        <f>-'Cash Flow Statement'!C33</f>
        <v>1883</v>
      </c>
      <c r="O15" s="66">
        <f>-'Cash Flow Statement'!D33</f>
        <v>3682</v>
      </c>
      <c r="P15" s="66">
        <f>-'Cash Flow Statement'!E33</f>
        <v>3400</v>
      </c>
      <c r="Q15" s="66">
        <f>-'Cash Flow Statement'!F33</f>
        <v>3086</v>
      </c>
      <c r="R15" s="66">
        <f>-'Cash Flow Statement'!G33</f>
        <v>3173</v>
      </c>
      <c r="S15" s="66">
        <f>-'Cash Flow Statement'!H33</f>
        <v>3787</v>
      </c>
      <c r="T15" s="66">
        <f>-'Cash Flow Statement'!I33</f>
        <v>4497</v>
      </c>
      <c r="U15" s="66">
        <f>-'Cash Flow Statement'!J33</f>
        <v>5261</v>
      </c>
      <c r="V15" s="66">
        <f>Consolidated!B14</f>
        <v>1276</v>
      </c>
      <c r="W15" s="66">
        <f>Consolidated!C14</f>
        <v>1458</v>
      </c>
      <c r="X15" s="66">
        <f>Consolidated!D14</f>
        <v>1342</v>
      </c>
      <c r="Y15" s="66">
        <f>Consolidated!E14</f>
        <v>1438</v>
      </c>
    </row>
    <row r="16" spans="1:25" ht="19" customHeight="1">
      <c r="A16" s="49" t="s">
        <v>547</v>
      </c>
      <c r="B16" s="49" t="s">
        <v>534</v>
      </c>
      <c r="C16" s="57">
        <f>C15/C7</f>
        <v>0.15282997380708346</v>
      </c>
      <c r="D16" s="57">
        <f>D15/D7</f>
        <v>0.1548067606846808</v>
      </c>
      <c r="E16" s="57">
        <f>E15/E7</f>
        <v>0.1587840427512347</v>
      </c>
      <c r="F16" s="57">
        <f>F15/F7</f>
        <v>0.1636196102408653</v>
      </c>
      <c r="G16" s="57">
        <f>G15/G7</f>
        <v>0.15756990486066161</v>
      </c>
      <c r="H16" s="56">
        <v>0.155</v>
      </c>
      <c r="I16" s="56">
        <v>0.15</v>
      </c>
      <c r="J16" s="56">
        <v>0.14499999999999999</v>
      </c>
      <c r="K16" s="56">
        <v>0.14499999999999999</v>
      </c>
      <c r="L16" s="56">
        <v>0.14499999999999999</v>
      </c>
      <c r="M16" s="58"/>
      <c r="N16" s="59">
        <f>-'Cash Flow Statement'!C33/'Income Statement'!C10</f>
        <v>0.12637583892617449</v>
      </c>
      <c r="O16" s="59">
        <f>-'Cash Flow Statement'!D33/'Income Statement'!D10</f>
        <v>0.13043786311463795</v>
      </c>
      <c r="P16" s="59">
        <f>-'Cash Flow Statement'!E33/'Income Statement'!E10</f>
        <v>0.12480270161142312</v>
      </c>
      <c r="Q16" s="59">
        <f>-'Cash Flow Statement'!F33/'Income Statement'!F10</f>
        <v>0.10021758191796837</v>
      </c>
      <c r="R16" s="59">
        <f>-'Cash Flow Statement'!G33/'Income Statement'!G10</f>
        <v>9.5102505694760822E-2</v>
      </c>
      <c r="S16" s="59">
        <f>-'Cash Flow Statement'!H33/'Income Statement'!H10</f>
        <v>0.11526754733061423</v>
      </c>
      <c r="T16" s="59">
        <f>-'Cash Flow Statement'!I33/'Income Statement'!I10</f>
        <v>0.1362520830177246</v>
      </c>
      <c r="U16" s="59">
        <f>-'Cash Flow Statement'!J33/'Income Statement'!J10</f>
        <v>0.15479903489672217</v>
      </c>
      <c r="V16" s="59">
        <f>Consolidated!B14/Consolidated!B4</f>
        <v>0.1481137550783517</v>
      </c>
      <c r="W16" s="59">
        <f>Consolidated!C14/Consolidated!C4</f>
        <v>0.16636239160200822</v>
      </c>
      <c r="X16" s="59">
        <f>Consolidated!D14/Consolidated!D4</f>
        <v>0.15282997380708346</v>
      </c>
      <c r="Y16" s="59">
        <f>Consolidated!E14/Consolidated!E4</f>
        <v>0.1548067606846808</v>
      </c>
    </row>
    <row r="17" spans="1:25" ht="19" customHeight="1">
      <c r="A17" s="49" t="s">
        <v>548</v>
      </c>
      <c r="B17" s="49" t="s">
        <v>534</v>
      </c>
      <c r="C17" s="57">
        <f>(Consolidated!D12-Consolidated!D14)/Consolidated!D9</f>
        <v>0.44477464091134222</v>
      </c>
      <c r="D17" s="57">
        <f>(Consolidated!E12-Consolidated!E14)/Consolidated!E9</f>
        <v>0.39875538535184296</v>
      </c>
      <c r="E17" s="57"/>
      <c r="F17" s="57"/>
      <c r="G17" s="56">
        <v>0.7</v>
      </c>
      <c r="H17" s="56">
        <v>0.75</v>
      </c>
      <c r="I17" s="56">
        <v>0.77</v>
      </c>
      <c r="J17" s="56">
        <v>0.78</v>
      </c>
      <c r="K17" s="56">
        <v>0.78</v>
      </c>
      <c r="L17" s="56">
        <v>0.78</v>
      </c>
      <c r="M17" s="58"/>
      <c r="N17" s="59">
        <f>'Cash Flow Statement'!C66</f>
        <v>0.40424560602602144</v>
      </c>
      <c r="O17" s="59">
        <f>'Cash Flow Statement'!D66</f>
        <v>1.0665207877461707</v>
      </c>
      <c r="P17" s="59">
        <f>'Cash Flow Statement'!E66</f>
        <v>1.6109556177528987</v>
      </c>
      <c r="Q17" s="59">
        <f>'Cash Flow Statement'!F66</f>
        <v>1.7352326189231573</v>
      </c>
      <c r="R17" s="59">
        <f>'Cash Flow Statement'!G66</f>
        <v>1.3723173378345792</v>
      </c>
      <c r="S17" s="59">
        <f>'Cash Flow Statement'!H66</f>
        <v>0.89014357154379742</v>
      </c>
      <c r="T17" s="59">
        <f>'Cash Flow Statement'!I66</f>
        <v>0.75034272658035039</v>
      </c>
      <c r="U17" s="59">
        <f>'Cash Flow Statement'!J66</f>
        <v>0.7377500724847782</v>
      </c>
      <c r="V17" s="59">
        <f>(Consolidated!B12-Consolidated!B14)/Consolidated!B9</f>
        <v>0.84146955208857577</v>
      </c>
      <c r="W17" s="59">
        <f>(Consolidated!C12-Consolidated!C14)/Consolidated!C9</f>
        <v>0.79878048780487809</v>
      </c>
      <c r="X17" s="59">
        <f>(Consolidated!D12-Consolidated!D14)/Consolidated!D9</f>
        <v>0.44477464091134222</v>
      </c>
      <c r="Y17" s="59">
        <f>(Consolidated!E12-Consolidated!E14)/Consolidated!E9</f>
        <v>0.39875538535184296</v>
      </c>
    </row>
    <row r="18" spans="1:25" ht="19" customHeight="1">
      <c r="A18" s="54" t="s">
        <v>549</v>
      </c>
      <c r="B18" s="54" t="s">
        <v>536</v>
      </c>
      <c r="C18" s="64">
        <f>Consolidated!D12-Consolidated!D14</f>
        <v>898</v>
      </c>
      <c r="D18" s="64">
        <f>Consolidated!E12-Consolidated!E14</f>
        <v>833</v>
      </c>
      <c r="E18" s="64"/>
      <c r="F18" s="64"/>
      <c r="G18" s="64">
        <f t="shared" ref="G18:L18" si="2">G10*G17</f>
        <v>5842.1145546399994</v>
      </c>
      <c r="H18" s="64">
        <f t="shared" si="2"/>
        <v>6583.2923547000009</v>
      </c>
      <c r="I18" s="64">
        <f t="shared" si="2"/>
        <v>7193.1323695808505</v>
      </c>
      <c r="J18" s="64">
        <f t="shared" si="2"/>
        <v>7717.4065233163101</v>
      </c>
      <c r="K18" s="64">
        <f t="shared" si="2"/>
        <v>8173.1326843914549</v>
      </c>
      <c r="L18" s="64">
        <f t="shared" si="2"/>
        <v>8655.1379452658202</v>
      </c>
      <c r="M18" s="65"/>
      <c r="N18" s="66">
        <f>'Cash Flow Statement'!C62</f>
        <v>1771</v>
      </c>
      <c r="O18" s="66">
        <f>'Cash Flow Statement'!D62</f>
        <v>2437</v>
      </c>
      <c r="P18" s="66">
        <f>'Cash Flow Statement'!E62</f>
        <v>4029</v>
      </c>
      <c r="Q18" s="66">
        <f>'Cash Flow Statement'!F62</f>
        <v>6639</v>
      </c>
      <c r="R18" s="66">
        <f>'Cash Flow Statement'!G62</f>
        <v>5691</v>
      </c>
      <c r="S18" s="66">
        <f>'Cash Flow Statement'!H62</f>
        <v>5518</v>
      </c>
      <c r="T18" s="66">
        <f>'Cash Flow Statement'!I62</f>
        <v>4926</v>
      </c>
      <c r="U18" s="66">
        <f>'Cash Flow Statement'!J62</f>
        <v>5089</v>
      </c>
      <c r="V18" s="66">
        <f>Consolidated!B12-Consolidated!B14</f>
        <v>1672</v>
      </c>
      <c r="W18" s="66">
        <f>Consolidated!C12-Consolidated!C14</f>
        <v>1572</v>
      </c>
      <c r="X18" s="66">
        <f>Consolidated!D12-Consolidated!D14</f>
        <v>898</v>
      </c>
      <c r="Y18" s="66">
        <f>Consolidated!E12-Consolidated!E14</f>
        <v>833</v>
      </c>
    </row>
    <row r="19" spans="1:25" ht="19" customHeight="1">
      <c r="A19" s="49" t="s">
        <v>550</v>
      </c>
      <c r="B19" s="49" t="s">
        <v>534</v>
      </c>
      <c r="C19" s="57"/>
      <c r="D19" s="57"/>
      <c r="E19" s="57"/>
      <c r="F19" s="57"/>
      <c r="G19" s="56">
        <v>0.4</v>
      </c>
      <c r="H19" s="56">
        <v>0.4</v>
      </c>
      <c r="I19" s="56">
        <v>0.4</v>
      </c>
      <c r="J19" s="56">
        <v>0.4</v>
      </c>
      <c r="K19" s="56">
        <v>0.4</v>
      </c>
      <c r="L19" s="56">
        <v>0.4</v>
      </c>
      <c r="M19" s="58"/>
      <c r="N19" s="59">
        <f>-'Cash Flow Statement'!C45/'Income Statement'!C37</f>
        <v>0.26614928098607626</v>
      </c>
      <c r="O19" s="59">
        <f>-'Cash Flow Statement'!D45/'Income Statement'!D37</f>
        <v>0.82757111597374178</v>
      </c>
      <c r="P19" s="59">
        <f>-'Cash Flow Statement'!E45/'Income Statement'!E37</f>
        <v>0.81087564974010395</v>
      </c>
      <c r="Q19" s="59">
        <f>-'Cash Flow Statement'!F45/'Income Statement'!F37</f>
        <v>0.57213800313643493</v>
      </c>
      <c r="R19" s="59">
        <f>-'Cash Flow Statement'!G45/'Income Statement'!G37</f>
        <v>0.56522787557270315</v>
      </c>
      <c r="S19" s="59">
        <f>-'Cash Flow Statement'!H45/'Income Statement'!H37</f>
        <v>0.40038715921922891</v>
      </c>
      <c r="T19" s="59">
        <f>-'Cash Flow Statement'!I45/'Income Statement'!I37</f>
        <v>0.4044173648134044</v>
      </c>
      <c r="U19" s="59">
        <f>-'Cash Flow Statement'!J45/'Income Statement'!J37</f>
        <v>0.40750942302116555</v>
      </c>
      <c r="V19" s="59" t="str">
        <f t="shared" ref="V19:Y20" si="3">"n.a."</f>
        <v>n.a.</v>
      </c>
      <c r="W19" s="59" t="str">
        <f t="shared" si="3"/>
        <v>n.a.</v>
      </c>
      <c r="X19" s="59" t="str">
        <f t="shared" si="3"/>
        <v>n.a.</v>
      </c>
      <c r="Y19" s="59" t="str">
        <f t="shared" si="3"/>
        <v>n.a.</v>
      </c>
    </row>
    <row r="20" spans="1:25" ht="19" customHeight="1">
      <c r="A20" s="54" t="s">
        <v>551</v>
      </c>
      <c r="B20" s="54" t="s">
        <v>544</v>
      </c>
      <c r="C20" s="60"/>
      <c r="D20" s="60"/>
      <c r="E20" s="60"/>
      <c r="F20" s="60"/>
      <c r="G20" s="60">
        <f t="shared" ref="G20:L20" si="4">G13*G19</f>
        <v>7.120000000000001</v>
      </c>
      <c r="H20" s="60">
        <f t="shared" si="4"/>
        <v>7.583327178071535</v>
      </c>
      <c r="I20" s="60">
        <f t="shared" si="4"/>
        <v>8.2352951117036266</v>
      </c>
      <c r="J20" s="60">
        <f t="shared" si="4"/>
        <v>8.9002568287977084</v>
      </c>
      <c r="K20" s="60">
        <f t="shared" si="4"/>
        <v>9.618196265110825</v>
      </c>
      <c r="L20" s="60">
        <f t="shared" si="4"/>
        <v>10.393289004423785</v>
      </c>
      <c r="M20" s="62"/>
      <c r="N20" s="63">
        <f>'Income Statement'!C45*(-'Cash Flow Statement'!C45/'Income Statement'!C37)</f>
        <v>3.4892170737274597</v>
      </c>
      <c r="O20" s="63">
        <f>'Income Statement'!D45*(-'Cash Flow Statement'!D45/'Income Statement'!D37)</f>
        <v>3.4675229759299784</v>
      </c>
      <c r="P20" s="63">
        <f>'Income Statement'!E45*(-'Cash Flow Statement'!E45/'Income Statement'!E37)</f>
        <v>3.8192243102758896</v>
      </c>
      <c r="Q20" s="63">
        <f>'Income Statement'!F45*(-'Cash Flow Statement'!F45/'Income Statement'!F37)</f>
        <v>4.1937715629900678</v>
      </c>
      <c r="R20" s="63">
        <f>'Income Statement'!G45*(-'Cash Flow Statement'!G45/'Income Statement'!G37)</f>
        <v>4.651825415963347</v>
      </c>
      <c r="S20" s="63">
        <f>'Income Statement'!H45*(-'Cash Flow Statement'!H45/'Income Statement'!H37)</f>
        <v>5.0408743345700922</v>
      </c>
      <c r="T20" s="63">
        <f>'Income Statement'!I45*(-'Cash Flow Statement'!I45/'Income Statement'!I37)</f>
        <v>5.5081645087585676</v>
      </c>
      <c r="U20" s="63">
        <f>'Income Statement'!J45*(-'Cash Flow Statement'!J45/'Income Statement'!J37)</f>
        <v>5.9537126703392289</v>
      </c>
      <c r="V20" s="63" t="str">
        <f t="shared" si="3"/>
        <v>n.a.</v>
      </c>
      <c r="W20" s="63" t="str">
        <f t="shared" si="3"/>
        <v>n.a.</v>
      </c>
      <c r="X20" s="63" t="str">
        <f t="shared" si="3"/>
        <v>n.a.</v>
      </c>
      <c r="Y20" s="63" t="str">
        <f t="shared" si="3"/>
        <v>n.a.</v>
      </c>
    </row>
    <row r="23" spans="1:25" ht="20" customHeight="1">
      <c r="A23" s="55" t="s">
        <v>552</v>
      </c>
      <c r="B23" s="55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</row>
    <row r="24" spans="1:25" ht="18" customHeight="1">
      <c r="A24" s="45" t="s">
        <v>553</v>
      </c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</row>
    <row r="25" spans="1:25" ht="18" customHeight="1">
      <c r="A25" s="45" t="s">
        <v>554</v>
      </c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</row>
    <row r="26" spans="1:25" ht="18" customHeight="1">
      <c r="A26" s="45" t="s">
        <v>555</v>
      </c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</row>
    <row r="27" spans="1:25" ht="18" customHeight="1">
      <c r="A27" s="45" t="s">
        <v>556</v>
      </c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</row>
    <row r="28" spans="1:25" ht="18" customHeight="1">
      <c r="A28" s="45" t="s">
        <v>557</v>
      </c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</row>
  </sheetData>
  <phoneticPr fontId="30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1F4E78"/>
  </sheetPr>
  <dimension ref="A1:G49"/>
  <sheetViews>
    <sheetView showGridLines="0" workbookViewId="0">
      <pane xSplit="1" ySplit="14" topLeftCell="B15" activePane="bottomRight" state="frozen"/>
      <selection pane="topRight"/>
      <selection pane="bottomLeft"/>
      <selection pane="bottomRight" activeCell="B15" sqref="B15"/>
    </sheetView>
  </sheetViews>
  <sheetFormatPr baseColWidth="10" defaultColWidth="8.83203125" defaultRowHeight="14"/>
  <cols>
    <col min="1" max="1" width="29" customWidth="1"/>
    <col min="2" max="3" width="16" customWidth="1"/>
    <col min="4" max="4" width="24" customWidth="1"/>
    <col min="5" max="7" width="14" customWidth="1"/>
  </cols>
  <sheetData>
    <row r="1" spans="1:7" ht="24" customHeight="1">
      <c r="A1" s="44" t="s">
        <v>558</v>
      </c>
      <c r="B1" s="44"/>
      <c r="C1" s="44"/>
      <c r="D1" s="44"/>
    </row>
    <row r="2" spans="1:7" ht="18" customHeight="1">
      <c r="A2" s="45" t="s">
        <v>559</v>
      </c>
      <c r="B2" s="45"/>
      <c r="C2" s="45"/>
      <c r="D2" s="45"/>
    </row>
    <row r="4" spans="1:7" ht="20" customHeight="1">
      <c r="A4" s="46" t="s">
        <v>560</v>
      </c>
      <c r="B4" s="46"/>
      <c r="C4" s="46"/>
      <c r="D4" s="46"/>
      <c r="E4" s="46"/>
      <c r="F4" s="46"/>
      <c r="G4" s="46"/>
    </row>
    <row r="5" spans="1:7" ht="20" customHeight="1">
      <c r="A5" s="48" t="s">
        <v>561</v>
      </c>
      <c r="B5" s="48" t="s">
        <v>25</v>
      </c>
      <c r="C5" s="48"/>
      <c r="D5" s="48" t="s">
        <v>562</v>
      </c>
    </row>
    <row r="6" spans="1:7" ht="20" customHeight="1">
      <c r="A6" s="48" t="s">
        <v>563</v>
      </c>
      <c r="B6" s="74"/>
      <c r="C6" s="48" t="s">
        <v>544</v>
      </c>
      <c r="D6" s="48" t="s">
        <v>564</v>
      </c>
    </row>
    <row r="7" spans="1:7" ht="20" customHeight="1">
      <c r="A7" s="48" t="s">
        <v>565</v>
      </c>
      <c r="B7" s="51">
        <f>'Valuation Driver Build'!G12</f>
        <v>472.45015999999998</v>
      </c>
      <c r="C7" s="48" t="s">
        <v>542</v>
      </c>
      <c r="D7" s="48" t="s">
        <v>566</v>
      </c>
    </row>
    <row r="8" spans="1:7" ht="20" customHeight="1">
      <c r="A8" s="48" t="s">
        <v>567</v>
      </c>
      <c r="B8" s="51" t="str">
        <f>IF(B6="","",B6*B7)</f>
        <v/>
      </c>
      <c r="C8" s="48" t="s">
        <v>536</v>
      </c>
      <c r="D8" s="48" t="s">
        <v>568</v>
      </c>
    </row>
    <row r="9" spans="1:7" ht="20" customHeight="1">
      <c r="A9" s="48" t="s">
        <v>569</v>
      </c>
      <c r="B9" s="78">
        <v>0.1</v>
      </c>
      <c r="C9" s="48" t="s">
        <v>534</v>
      </c>
      <c r="D9" s="48" t="s">
        <v>570</v>
      </c>
    </row>
    <row r="10" spans="1:7" ht="20" customHeight="1">
      <c r="A10" s="48" t="s">
        <v>571</v>
      </c>
      <c r="B10" s="74">
        <v>25</v>
      </c>
      <c r="C10" s="48" t="s">
        <v>572</v>
      </c>
      <c r="D10" s="48" t="s">
        <v>573</v>
      </c>
    </row>
    <row r="11" spans="1:7" ht="20" customHeight="1">
      <c r="A11" s="48" t="s">
        <v>574</v>
      </c>
      <c r="B11" s="75" t="str">
        <f>IF(AND(B6&gt;0,B9&gt;0,B10&gt;0),"可计算","待补充当前股价或检查输入")</f>
        <v>待补充当前股价或检查输入</v>
      </c>
      <c r="C11" s="48"/>
      <c r="D11" s="48" t="s">
        <v>575</v>
      </c>
    </row>
    <row r="13" spans="1:7" ht="20" customHeight="1">
      <c r="A13" s="46" t="s">
        <v>576</v>
      </c>
      <c r="B13" s="46"/>
      <c r="C13" s="46"/>
      <c r="D13" s="46"/>
      <c r="E13" s="46"/>
      <c r="F13" s="46"/>
      <c r="G13" s="46"/>
    </row>
    <row r="14" spans="1:7" ht="28" customHeight="1">
      <c r="A14" s="72" t="s">
        <v>521</v>
      </c>
      <c r="B14" s="72" t="s">
        <v>527</v>
      </c>
      <c r="C14" s="72" t="s">
        <v>528</v>
      </c>
      <c r="D14" s="72" t="s">
        <v>529</v>
      </c>
      <c r="E14" s="72" t="s">
        <v>530</v>
      </c>
      <c r="F14" s="72" t="s">
        <v>531</v>
      </c>
      <c r="G14" s="72" t="s">
        <v>532</v>
      </c>
    </row>
    <row r="15" spans="1:7" ht="20" customHeight="1">
      <c r="A15" s="48" t="s">
        <v>543</v>
      </c>
      <c r="B15" s="76">
        <f>'Valuation Driver Build'!G13</f>
        <v>17.8</v>
      </c>
      <c r="C15" s="76">
        <f>'Valuation Driver Build'!H13</f>
        <v>18.958317945178838</v>
      </c>
      <c r="D15" s="76">
        <f>'Valuation Driver Build'!I13</f>
        <v>20.588237779259064</v>
      </c>
      <c r="E15" s="76">
        <f>'Valuation Driver Build'!J13</f>
        <v>22.250642071994271</v>
      </c>
      <c r="F15" s="76">
        <f>'Valuation Driver Build'!K13</f>
        <v>24.045490662777063</v>
      </c>
      <c r="G15" s="76">
        <f>'Valuation Driver Build'!L13</f>
        <v>25.983222511059459</v>
      </c>
    </row>
    <row r="16" spans="1:7" ht="20" customHeight="1">
      <c r="A16" s="48" t="s">
        <v>545</v>
      </c>
      <c r="B16" s="77">
        <f>'Valuation Driver Build'!G14</f>
        <v>0.02</v>
      </c>
      <c r="C16" s="77">
        <f>'Valuation Driver Build'!H14</f>
        <v>0.02</v>
      </c>
      <c r="D16" s="77">
        <f>'Valuation Driver Build'!I14</f>
        <v>0.02</v>
      </c>
      <c r="E16" s="77">
        <f>'Valuation Driver Build'!J14</f>
        <v>0.02</v>
      </c>
      <c r="F16" s="77">
        <f>'Valuation Driver Build'!K14</f>
        <v>0.02</v>
      </c>
      <c r="G16" s="77">
        <f>'Valuation Driver Build'!L14</f>
        <v>0.02</v>
      </c>
    </row>
    <row r="17" spans="1:7" ht="20" customHeight="1">
      <c r="A17" s="48" t="s">
        <v>577</v>
      </c>
      <c r="B17" s="79">
        <f>1</f>
        <v>1</v>
      </c>
      <c r="C17" s="79">
        <f>B17*(1-C16)</f>
        <v>0.98</v>
      </c>
      <c r="D17" s="79">
        <f>C17*(1-D16)</f>
        <v>0.96039999999999992</v>
      </c>
      <c r="E17" s="79">
        <f>D17*(1-E16)</f>
        <v>0.94119199999999992</v>
      </c>
      <c r="F17" s="79">
        <f>E17*(1-F16)</f>
        <v>0.92236815999999988</v>
      </c>
      <c r="G17" s="79">
        <f>F17*(1-G16)</f>
        <v>0.90392079679999982</v>
      </c>
    </row>
    <row r="18" spans="1:7" ht="20" customHeight="1">
      <c r="A18" s="48" t="s">
        <v>550</v>
      </c>
      <c r="B18" s="77">
        <f>'Valuation Driver Build'!G19</f>
        <v>0.4</v>
      </c>
      <c r="C18" s="77">
        <f>'Valuation Driver Build'!H19</f>
        <v>0.4</v>
      </c>
      <c r="D18" s="77">
        <f>'Valuation Driver Build'!I19</f>
        <v>0.4</v>
      </c>
      <c r="E18" s="77">
        <f>'Valuation Driver Build'!J19</f>
        <v>0.4</v>
      </c>
      <c r="F18" s="77">
        <f>'Valuation Driver Build'!K19</f>
        <v>0.4</v>
      </c>
      <c r="G18" s="77">
        <f>'Valuation Driver Build'!L19</f>
        <v>0.4</v>
      </c>
    </row>
    <row r="19" spans="1:7" ht="20" customHeight="1">
      <c r="A19" s="48" t="s">
        <v>551</v>
      </c>
      <c r="B19" s="76">
        <f t="shared" ref="B19:G19" si="0">B15*B18</f>
        <v>7.120000000000001</v>
      </c>
      <c r="C19" s="76">
        <f t="shared" si="0"/>
        <v>7.583327178071535</v>
      </c>
      <c r="D19" s="76">
        <f t="shared" si="0"/>
        <v>8.2352951117036266</v>
      </c>
      <c r="E19" s="76">
        <f t="shared" si="0"/>
        <v>8.9002568287977084</v>
      </c>
      <c r="F19" s="76">
        <f t="shared" si="0"/>
        <v>9.618196265110825</v>
      </c>
      <c r="G19" s="76">
        <f t="shared" si="0"/>
        <v>10.393289004423785</v>
      </c>
    </row>
    <row r="20" spans="1:7" ht="20" customHeight="1">
      <c r="A20" s="48" t="s">
        <v>571</v>
      </c>
      <c r="B20" s="80">
        <f t="shared" ref="B20:G20" si="1">$B$10</f>
        <v>25</v>
      </c>
      <c r="C20" s="80">
        <f t="shared" si="1"/>
        <v>25</v>
      </c>
      <c r="D20" s="80">
        <f t="shared" si="1"/>
        <v>25</v>
      </c>
      <c r="E20" s="80">
        <f t="shared" si="1"/>
        <v>25</v>
      </c>
      <c r="F20" s="80">
        <f t="shared" si="1"/>
        <v>25</v>
      </c>
      <c r="G20" s="80">
        <f t="shared" si="1"/>
        <v>25</v>
      </c>
    </row>
    <row r="21" spans="1:7" ht="20" customHeight="1">
      <c r="A21" s="48" t="s">
        <v>578</v>
      </c>
      <c r="B21" s="76">
        <f t="shared" ref="B21:G21" si="2">B15*B20</f>
        <v>445</v>
      </c>
      <c r="C21" s="76">
        <f t="shared" si="2"/>
        <v>473.95794862947093</v>
      </c>
      <c r="D21" s="76">
        <f t="shared" si="2"/>
        <v>514.70594448147665</v>
      </c>
      <c r="E21" s="76">
        <f t="shared" si="2"/>
        <v>556.26605179985677</v>
      </c>
      <c r="F21" s="76">
        <f t="shared" si="2"/>
        <v>601.13726656942652</v>
      </c>
      <c r="G21" s="76">
        <f t="shared" si="2"/>
        <v>649.58056277648643</v>
      </c>
    </row>
    <row r="22" spans="1:7" ht="20" customHeight="1">
      <c r="A22" s="48" t="s">
        <v>548</v>
      </c>
      <c r="B22" s="77">
        <f>'Valuation Driver Build'!G17</f>
        <v>0.7</v>
      </c>
      <c r="C22" s="77">
        <f>'Valuation Driver Build'!H17</f>
        <v>0.75</v>
      </c>
      <c r="D22" s="77">
        <f>'Valuation Driver Build'!I17</f>
        <v>0.77</v>
      </c>
      <c r="E22" s="77">
        <f>'Valuation Driver Build'!J17</f>
        <v>0.78</v>
      </c>
      <c r="F22" s="77">
        <f>'Valuation Driver Build'!K17</f>
        <v>0.78</v>
      </c>
      <c r="G22" s="77">
        <f>'Valuation Driver Build'!L17</f>
        <v>0.78</v>
      </c>
    </row>
    <row r="23" spans="1:7" ht="20" customHeight="1">
      <c r="A23" s="48" t="s">
        <v>549</v>
      </c>
      <c r="B23" s="81">
        <f>'Valuation Driver Build'!G18</f>
        <v>5842.1145546399994</v>
      </c>
      <c r="C23" s="81">
        <f>'Valuation Driver Build'!H18</f>
        <v>6583.2923547000009</v>
      </c>
      <c r="D23" s="81">
        <f>'Valuation Driver Build'!I18</f>
        <v>7193.1323695808505</v>
      </c>
      <c r="E23" s="81">
        <f>'Valuation Driver Build'!J18</f>
        <v>7717.4065233163101</v>
      </c>
      <c r="F23" s="81">
        <f>'Valuation Driver Build'!K18</f>
        <v>8173.1326843914549</v>
      </c>
      <c r="G23" s="81">
        <f>'Valuation Driver Build'!L18</f>
        <v>8655.1379452658202</v>
      </c>
    </row>
    <row r="24" spans="1:7" ht="20" customHeight="1">
      <c r="A24" s="48" t="s">
        <v>579</v>
      </c>
      <c r="B24" s="81">
        <f>'Valuation Driver Build'!G10</f>
        <v>8345.8779352000001</v>
      </c>
      <c r="C24" s="81">
        <f>'Valuation Driver Build'!H10</f>
        <v>8777.7231396000006</v>
      </c>
      <c r="D24" s="81">
        <f>'Valuation Driver Build'!I10</f>
        <v>9341.730350105001</v>
      </c>
      <c r="E24" s="81">
        <f>'Valuation Driver Build'!J10</f>
        <v>9894.110927328602</v>
      </c>
      <c r="F24" s="81">
        <f>'Valuation Driver Build'!K10</f>
        <v>10478.375236399301</v>
      </c>
      <c r="G24" s="81">
        <f>'Valuation Driver Build'!L10</f>
        <v>11096.330699058744</v>
      </c>
    </row>
    <row r="27" spans="1:7" ht="20" customHeight="1">
      <c r="A27" s="46" t="s">
        <v>580</v>
      </c>
      <c r="B27" s="46"/>
      <c r="C27" s="46"/>
      <c r="D27" s="46"/>
      <c r="E27" s="46"/>
      <c r="F27" s="46"/>
      <c r="G27" s="46"/>
    </row>
    <row r="28" spans="1:7" ht="26" customHeight="1">
      <c r="A28" s="71" t="s">
        <v>521</v>
      </c>
      <c r="B28" s="71" t="s">
        <v>581</v>
      </c>
      <c r="C28" s="71" t="s">
        <v>582</v>
      </c>
      <c r="D28" s="71" t="s">
        <v>562</v>
      </c>
    </row>
    <row r="29" spans="1:7" ht="20" customHeight="1">
      <c r="A29" s="48" t="s">
        <v>583</v>
      </c>
      <c r="B29" s="50" t="s">
        <v>529</v>
      </c>
      <c r="C29" s="50" t="s">
        <v>532</v>
      </c>
      <c r="D29" s="48" t="s">
        <v>584</v>
      </c>
    </row>
    <row r="30" spans="1:7" ht="20" customHeight="1">
      <c r="A30" s="48" t="s">
        <v>585</v>
      </c>
      <c r="B30" s="76">
        <f>D15</f>
        <v>20.588237779259064</v>
      </c>
      <c r="C30" s="76">
        <f>G15</f>
        <v>25.983222511059459</v>
      </c>
      <c r="D30" s="48"/>
    </row>
    <row r="31" spans="1:7" ht="20" customHeight="1">
      <c r="A31" s="48" t="s">
        <v>571</v>
      </c>
      <c r="B31" s="76">
        <f>D20</f>
        <v>25</v>
      </c>
      <c r="C31" s="76">
        <f>G20</f>
        <v>25</v>
      </c>
      <c r="D31" s="48" t="s">
        <v>586</v>
      </c>
    </row>
    <row r="32" spans="1:7" ht="20" customHeight="1">
      <c r="A32" s="48" t="s">
        <v>578</v>
      </c>
      <c r="B32" s="76">
        <f>D21</f>
        <v>514.70594448147665</v>
      </c>
      <c r="C32" s="76">
        <f>G21</f>
        <v>649.58056277648643</v>
      </c>
      <c r="D32" s="48"/>
    </row>
    <row r="33" spans="1:7" ht="20" customHeight="1">
      <c r="A33" s="48" t="s">
        <v>587</v>
      </c>
      <c r="B33" s="76">
        <f>C19+D19</f>
        <v>15.818622289775162</v>
      </c>
      <c r="C33" s="76">
        <f>C19+D19+E19+F19+G19</f>
        <v>44.730364388107482</v>
      </c>
      <c r="D33" s="48" t="s">
        <v>588</v>
      </c>
    </row>
    <row r="34" spans="1:7" ht="20" customHeight="1">
      <c r="A34" s="48" t="s">
        <v>589</v>
      </c>
      <c r="B34" s="76">
        <f>C19/(1+$B$9)+(D19+D21)/(1+$B$9)^2</f>
        <v>439.07677643723878</v>
      </c>
      <c r="C34" s="76">
        <f>C19/(1+$B$9)+D19/(1+$B$9)^2+E19/(1+$B$9)^3+F19/(1+$B$9)^4+(G19+G21)/(1+$B$9)^5</f>
        <v>436.74805220114695</v>
      </c>
      <c r="D34" s="48" t="s">
        <v>590</v>
      </c>
    </row>
    <row r="35" spans="1:7" ht="20" customHeight="1">
      <c r="A35" s="48" t="s">
        <v>591</v>
      </c>
      <c r="B35" s="76">
        <f>$B$6</f>
        <v>0</v>
      </c>
      <c r="C35" s="76">
        <f>$B$6</f>
        <v>0</v>
      </c>
      <c r="D35" s="48" t="s">
        <v>592</v>
      </c>
    </row>
    <row r="36" spans="1:7" ht="20" customHeight="1">
      <c r="A36" s="48" t="s">
        <v>593</v>
      </c>
      <c r="B36" s="77" t="str">
        <f>IF($B$6="","",IRR(B42:D42))</f>
        <v/>
      </c>
      <c r="C36" s="77" t="str">
        <f>IF($B$6="","",IRR(B41:G41))</f>
        <v/>
      </c>
      <c r="D36" s="48" t="s">
        <v>594</v>
      </c>
    </row>
    <row r="39" spans="1:7" ht="20" customHeight="1">
      <c r="A39" s="46" t="s">
        <v>595</v>
      </c>
      <c r="B39" s="46"/>
      <c r="C39" s="46"/>
      <c r="D39" s="46"/>
      <c r="E39" s="46"/>
      <c r="F39" s="46"/>
      <c r="G39" s="46"/>
    </row>
    <row r="40" spans="1:7" ht="24" customHeight="1">
      <c r="A40" s="73" t="s">
        <v>596</v>
      </c>
      <c r="B40" s="73" t="s">
        <v>597</v>
      </c>
      <c r="C40" s="73" t="s">
        <v>528</v>
      </c>
      <c r="D40" s="73" t="s">
        <v>529</v>
      </c>
      <c r="E40" s="73" t="s">
        <v>530</v>
      </c>
      <c r="F40" s="73" t="s">
        <v>531</v>
      </c>
      <c r="G40" s="73" t="s">
        <v>532</v>
      </c>
    </row>
    <row r="41" spans="1:7" ht="20" customHeight="1">
      <c r="A41" s="48" t="s">
        <v>598</v>
      </c>
      <c r="B41" s="48">
        <f>-$B$6</f>
        <v>0</v>
      </c>
      <c r="C41" s="48">
        <f>C19</f>
        <v>7.583327178071535</v>
      </c>
      <c r="D41" s="48">
        <f>D19</f>
        <v>8.2352951117036266</v>
      </c>
      <c r="E41" s="48">
        <f>E19</f>
        <v>8.9002568287977084</v>
      </c>
      <c r="F41" s="48">
        <f>F19</f>
        <v>9.618196265110825</v>
      </c>
      <c r="G41" s="48">
        <f>G19+G21</f>
        <v>659.97385178091019</v>
      </c>
    </row>
    <row r="42" spans="1:7" ht="20" customHeight="1">
      <c r="A42" s="48" t="s">
        <v>599</v>
      </c>
      <c r="B42" s="48">
        <f>-$B$6</f>
        <v>0</v>
      </c>
      <c r="C42" s="48">
        <f>C19</f>
        <v>7.583327178071535</v>
      </c>
      <c r="D42" s="48">
        <f>D19+D21</f>
        <v>522.94123959318028</v>
      </c>
      <c r="E42" s="48"/>
      <c r="F42" s="48"/>
      <c r="G42" s="48"/>
    </row>
    <row r="45" spans="1:7" ht="20" customHeight="1">
      <c r="A45" s="46" t="s">
        <v>600</v>
      </c>
      <c r="B45" s="46"/>
      <c r="C45" s="46"/>
      <c r="D45" s="46"/>
      <c r="E45" s="46"/>
      <c r="F45" s="46"/>
      <c r="G45" s="46"/>
    </row>
    <row r="46" spans="1:7" ht="18" customHeight="1">
      <c r="A46" s="45" t="s">
        <v>601</v>
      </c>
      <c r="B46" s="45"/>
      <c r="C46" s="45"/>
      <c r="D46" s="45"/>
      <c r="E46" s="45"/>
      <c r="F46" s="45"/>
      <c r="G46" s="45"/>
    </row>
    <row r="47" spans="1:7" ht="18" customHeight="1">
      <c r="A47" s="45" t="s">
        <v>602</v>
      </c>
      <c r="B47" s="45"/>
      <c r="C47" s="45"/>
      <c r="D47" s="45"/>
      <c r="E47" s="45"/>
      <c r="F47" s="45"/>
      <c r="G47" s="45"/>
    </row>
    <row r="48" spans="1:7" ht="18" customHeight="1">
      <c r="A48" s="45" t="s">
        <v>603</v>
      </c>
      <c r="B48" s="45"/>
      <c r="C48" s="45"/>
      <c r="D48" s="45"/>
      <c r="E48" s="45"/>
      <c r="F48" s="45"/>
      <c r="G48" s="45"/>
    </row>
    <row r="49" spans="1:7" ht="18" customHeight="1">
      <c r="A49" s="45" t="s">
        <v>604</v>
      </c>
      <c r="B49" s="45"/>
      <c r="C49" s="45"/>
      <c r="D49" s="45"/>
      <c r="E49" s="45"/>
      <c r="F49" s="45"/>
      <c r="G49" s="45"/>
    </row>
  </sheetData>
  <phoneticPr fontId="3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Cover</vt:lpstr>
      <vt:lpstr>Income Statement</vt:lpstr>
      <vt:lpstr>Balance Sheet</vt:lpstr>
      <vt:lpstr>Cash Flow Statement</vt:lpstr>
      <vt:lpstr>Segments</vt:lpstr>
      <vt:lpstr>Operating Metrics</vt:lpstr>
      <vt:lpstr>Derived Metrics</vt:lpstr>
      <vt:lpstr>Consolidated</vt:lpstr>
      <vt:lpstr>End Markets</vt:lpstr>
      <vt:lpstr>Regional Segments</vt:lpstr>
      <vt:lpstr>Engineering &amp; Other</vt:lpstr>
      <vt:lpstr>Backlog &amp; Capital</vt:lpstr>
      <vt:lpstr>Guidance</vt:lpstr>
      <vt:lpstr>Electronics Deep Dive</vt:lpstr>
      <vt:lpstr>Sources</vt:lpstr>
      <vt:lpstr>Valuation Driver Build</vt:lpstr>
      <vt:lpstr>Year-End 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e69900</cp:lastModifiedBy>
  <dcterms:created xsi:type="dcterms:W3CDTF">2026-10-13T06:38:48Z</dcterms:created>
  <dcterms:modified xsi:type="dcterms:W3CDTF">2026-10-13T06:38:48Z</dcterms:modified>
</cp:coreProperties>
</file>