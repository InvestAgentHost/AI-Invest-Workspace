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0f717bcb6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b3dc587964345ba"/>
    <x:sheet xmlns:r="http://schemas.openxmlformats.org/officeDocument/2006/relationships" name="Income Statement" sheetId="2" r:id="Rd233e5522acc4511"/>
    <x:sheet xmlns:r="http://schemas.openxmlformats.org/officeDocument/2006/relationships" name="Balance Sheet" sheetId="3" r:id="R9f3ca3db988b4fc1"/>
    <x:sheet xmlns:r="http://schemas.openxmlformats.org/officeDocument/2006/relationships" name="Cash Flow Statement" sheetId="4" r:id="Rd85f62c25d1444da"/>
    <x:sheet xmlns:r="http://schemas.openxmlformats.org/officeDocument/2006/relationships" name="Segments" sheetId="5" r:id="Redf9c97796354e38"/>
    <x:sheet xmlns:r="http://schemas.openxmlformats.org/officeDocument/2006/relationships" name="Operating Metrics" sheetId="6" r:id="R453169bbc77c4142"/>
    <x:sheet xmlns:r="http://schemas.openxmlformats.org/officeDocument/2006/relationships" name="Derived Metrics" sheetId="7" r:id="R3e9ca9657b1948e6"/>
    <x:sheet xmlns:r="http://schemas.openxmlformats.org/officeDocument/2006/relationships" name="Consolidated" sheetId="11" r:id="Rff22d60b96e94e0d"/>
    <x:sheet xmlns:r="http://schemas.openxmlformats.org/officeDocument/2006/relationships" name="End Markets" sheetId="12" r:id="R3b51ffd6ab0b4229"/>
    <x:sheet xmlns:r="http://schemas.openxmlformats.org/officeDocument/2006/relationships" name="Regional Segments" sheetId="13" r:id="Rb496c8a860ef4fe2"/>
    <x:sheet xmlns:r="http://schemas.openxmlformats.org/officeDocument/2006/relationships" name="Engineering &amp; Other" sheetId="14" r:id="R1ba89d7af3174af3"/>
    <x:sheet xmlns:r="http://schemas.openxmlformats.org/officeDocument/2006/relationships" name="Backlog &amp; Capital" sheetId="15" r:id="R5af8228b69e34ad4"/>
    <x:sheet xmlns:r="http://schemas.openxmlformats.org/officeDocument/2006/relationships" name="Guidance" sheetId="16" r:id="Ref047391864a484e"/>
    <x:sheet xmlns:r="http://schemas.openxmlformats.org/officeDocument/2006/relationships" name="Electronics Deep Dive" sheetId="17" r:id="R09a4ef14f33a4307"/>
    <x:sheet xmlns:r="http://schemas.openxmlformats.org/officeDocument/2006/relationships" name="Sources" sheetId="8" r:id="Rb7128a35a7854eec"/>
    <x:sheet xmlns:r="http://schemas.openxmlformats.org/officeDocument/2006/relationships" name="Valuation Driver Build" sheetId="18" r:id="R0723d75a63884fe1"/>
    <x:sheet xmlns:r="http://schemas.openxmlformats.org/officeDocument/2006/relationships" name="Year-End Valuation" sheetId="19" r:id="R165cc5520741448d"/>
  </x:sheets>
</x:workbook>
</file>

<file path=xl/sharedStrings.xml><?xml version="1.0" encoding="utf-8"?>
<x:sst xmlns:x="http://schemas.openxmlformats.org/spreadsheetml/2006/main">
  <x:si>
    <x:t xml:space="preserve">Linde plc — Cover</x:t>
  </x:si>
  <x:si>
    <x:t xml:space="preserve">$ in millions except per-share data  |  USD  |  as of 2026-09-15</x:t>
  </x:si>
  <x:si>
    <x:t xml:space="preserve">Linde plc (NYSE: LIN) - Financial Model</x:t>
  </x:si>
  <x:si>
    <x:t xml:space="preserve">Company information</x:t>
  </x:si>
  <x:si>
    <x:t xml:space="preserve">Ticker</x:t>
  </x:si>
  <x:si>
    <x:t xml:space="preserve">LIN</x:t>
  </x:si>
  <x:si>
    <x:t xml:space="preserve">Exchange</x:t>
  </x:si>
  <x:si>
    <x:t xml:space="preserve">NYSE</x:t>
  </x:si>
  <x:si>
    <x:t xml:space="preserve">CIK</x:t>
  </x:si>
  <x:si>
    <x:t xml:space="preserve">0001707925</x:t>
  </x:si>
  <x:si>
    <x:t xml:space="preserve">Sector / Industry</x:t>
  </x:si>
  <x:si>
    <x:t xml:space="preserve">Materials / Industrial Gases</x:t>
  </x:si>
  <x:si>
    <x:t xml:space="preserve">Reporting currency</x:t>
  </x:si>
  <x:si>
    <x:t xml:space="preserve">USD</x:t>
  </x:si>
  <x:si>
    <x:t xml:space="preserve">Units</x:t>
  </x:si>
  <x:si>
    <x:t xml:space="preserve">$ in millions, except per-share data</x:t>
  </x:si>
  <x:si>
    <x:t xml:space="preserve">Reporting framework</x:t>
  </x:si>
  <x:si>
    <x:t xml:space="preserve">US GAAP</x:t>
  </x:si>
  <x:si>
    <x:t xml:space="preserve">Consolidation scope</x:t>
  </x:si>
  <x:si>
    <x:t xml:space="preserve">Consolidated (Linde plc and subsidiaries)</x:t>
  </x:si>
  <x:si>
    <x:t xml:space="preserve">Fiscal year end</x:t>
  </x:si>
  <x:si>
    <x:t xml:space="preserve">December 31</x:t>
  </x:si>
  <x:si>
    <x:t xml:space="preserve">Periods covered</x:t>
  </x:si>
  <x:si>
    <x:t xml:space="preserve">FY2018 - FY2025 (annual, 8 fiscal years)</x:t>
  </x:si>
  <x:si>
    <x:t xml:space="preserve">Model date</x:t>
  </x:si>
  <x:si>
    <x:t xml:space="preserve">2026-09-15</x:t>
  </x:si>
  <x:si>
    <x:t xml:space="preserve">Data source</x:t>
  </x:si>
  <x:si>
    <x:t xml:space="preserve">SEC Form 10-K filings, Tier 2 primary source (source.html / prepared/document.md)</x:t>
  </x:si>
  <x:si>
    <x:t xml:space="preserve">Color legend</x:t>
  </x:si>
  <x:si>
    <x:t xml:space="preserve">Blue</x:t>
  </x:si>
  <x:si>
    <x:t xml:space="preserve">Hardcoded reported value (input, traces to a 10-K)</x:t>
  </x:si>
  <x:si>
    <x:t xml:space="preserve">Black</x:t>
  </x:si>
  <x:si>
    <x:t xml:space="preserve">Formula / calculation (subtotal, calc, check)</x:t>
  </x:si>
  <x:si>
    <x:t xml:space="preserve">Green</x:t>
  </x:si>
  <x:si>
    <x:t xml:space="preserve">Cross-sheet link</x:t>
  </x:si>
  <x:si>
    <x:t xml:space="preserve">Grey italic</x:t>
  </x:si>
  <x:si>
    <x:t xml:space="preserve">Memo / commentary (margins, ratios, growth rates)</x:t>
  </x:si>
  <x:si>
    <x:t xml:space="preserve">Sheet directory</x:t>
  </x:si>
  <x:si>
    <x:t xml:space="preserve">Income Statement</x:t>
  </x:si>
  <x:si>
    <x:t xml:space="preserve">IS tab</x:t>
  </x:si>
  <x:si>
    <x:t xml:space="preserve">Balance Sheet</x:t>
  </x:si>
  <x:si>
    <x:t xml:space="preserve">BS tab</x:t>
  </x:si>
  <x:si>
    <x:t xml:space="preserve">Cash Flow Statement</x:t>
  </x:si>
  <x:si>
    <x:t xml:space="preserve">CF tab</x:t>
  </x:si>
  <x:si>
    <x:t xml:space="preserve">Segments</x:t>
  </x:si>
  <x:si>
    <x:t xml:space="preserve">SEG tab</x:t>
  </x:si>
  <x:si>
    <x:t xml:space="preserve">Operating Metrics</x:t>
  </x:si>
  <x:si>
    <x:t xml:space="preserve">OM tab</x:t>
  </x:si>
  <x:si>
    <x:t xml:space="preserve">Derived Metrics</x:t>
  </x:si>
  <x:si>
    <x:t xml:space="preserve">DM tab</x:t>
  </x:si>
  <x:si>
    <x:t xml:space="preserve">Sources</x:t>
  </x:si>
  <x:si>
    <x:t xml:space="preserve">Sources tab</x:t>
  </x:si>
  <x:si>
    <x:t xml:space="preserve">Comparability notes</x:t>
  </x:si>
  <x:si>
    <x:t xml:space="preserve">1. Segment redefinition (FY2018 -&gt; FY2019)</x:t>
  </x:si>
  <x:si>
    <x:t xml:space="preserve">FY2018 reflects legacy Praxair geographic segments (North America / Europe / South America / Asia / Surface Technologies) plus a separate Linde AG stub, because a 2018 FTC hold-separate order delayed full merger integration. From FY2019, Linde reports on the Americas / EMEA / APAC / Engineering / Other framework, retrospectively recast. The Segments sheet models both structures with min/max period tags; segment totals tie exactly to consolidated Sales and Operating Profit in every year (see SEG tab checks).</x:t>
  </x:si>
  <x:si>
    <x:t xml:space="preserve">2. Retained earnings / treasury stock discontinuity (FY2022 -&gt; FY2023)</x:t>
  </x:si>
  <x:si>
    <x:t xml:space="preserve">Retained earnings fell from $20,541mm (FY2022) to $8,845mm (FY2023) and treasury stock fell from $(14,737)mm to $(3,133)mm. This is not a restatement or error: the FY2023 Statement of Equity (as shown comparatively in the FY2024 and FY2025 10-Ks) discloses an 'Intercompany reorganization (Note 14)' retiring 61.2 million treasury shares (cost basis $15,300mm) against retained earnings. Total balance sheet equity and Total Assets = Total Liabilities + Equity tie out in every year.</x:t>
  </x:si>
  <x:si>
    <x:t xml:space="preserve">3. Scope: Geography, Note Schedules, and BS Detail sheets not built separately</x:t>
  </x:si>
  <x:si>
    <x:t xml:space="preserve">The bundle-only collector output classified most non-statement source tables (planned Geography, Note Schedules, and Balance Sheet Detail content) under generic, uninformative block titles that could not be reliably attributed to a specific disclosure without extensive per-table manual inspection. Rather than populate these sheets with low-confidence or unlabeled data, geography content was folded into the Segments sheet (Linde's segments are themselves geographic) and Note Schedules / Balance Sheet Detail were omitted. Segment capital expenditures ('expenditures for long-lived assets') are disclosed on a consistent basis only for FY2023-FY2025 in the companies' own 10-Ks (FY2018-FY2019 used a different, combined 'capex and acquisitions' basis; FY2020-FY2022 10-Ks did not disclose segment capex at all) - the Segments tab shows only the three consistent years rather than mixing bases or estimating. Sales-by-major-country is disclosed for FY2018-FY2019 and FY2023-FY2025 (6 of 8 years, with a FY2020-FY2022 gap in that specific disclosure) and was not incorporated as a separate block given the gap and the already-broad scope of the Segments sheet.</x:t>
  </x:si>
  <x:si>
    <x:t xml:space="preserve">Linde plc — Income Statement</x:t>
  </x:si>
  <x:si>
    <x:t xml:space="preserve">FY2018</x:t>
  </x:si>
  <x:si>
    <x:t xml:space="preserve">FY2019</x:t>
  </x:si>
  <x:si>
    <x:t xml:space="preserve">FY2020</x:t>
  </x:si>
  <x:si>
    <x:t xml:space="preserve">FY2021</x:t>
  </x:si>
  <x:si>
    <x:t xml:space="preserve">FY2022</x:t>
  </x:si>
  <x:si>
    <x:t xml:space="preserve">FY2023</x:t>
  </x:si>
  <x:si>
    <x:t xml:space="preserve">FY2024</x:t>
  </x:si>
  <x:si>
    <x:t xml:space="preserve">FY2025</x:t>
  </x:si>
  <x:si>
    <x:t xml:space="preserve">CONTENTS</x:t>
  </x:si>
  <x:si>
    <x:t xml:space="preserve">1. Consolidated Income Statement</x:t>
  </x:si>
  <x:si>
    <x:t xml:space="preserve">19-25 cagr</x:t>
  </x:si>
  <x:si>
    <x:t xml:space="preserve">Sales</x:t>
  </x:si>
  <x:si>
    <x:t xml:space="preserve">Sales growth %</x:t>
  </x:si>
  <x:si>
    <x:t xml:space="preserve">Cost of sales (excl. D&amp;A)</x:t>
  </x:si>
  <x:si>
    <x:t xml:space="preserve">Gross Profit</x:t>
  </x:si>
  <x:si>
    <x:t xml:space="preserve">Gross margin %</x:t>
  </x:si>
  <x:si>
    <x:t xml:space="preserve">Selling, general and administrative expenses</x:t>
  </x:si>
  <x:si>
    <x:t xml:space="preserve">Research and development</x:t>
  </x:si>
  <x:si>
    <x:t xml:space="preserve">Depreciation and amortization</x:t>
  </x:si>
  <x:si>
    <x:t xml:space="preserve">Cost reduction / restructuring / transaction charges (Note 3)</x:t>
  </x:si>
  <x:si>
    <x:t xml:space="preserve">Label varies by year: Transaction/merger costs (2018), Cost reduction programs and other charges (2019-2021, 2023-2025), Russia-Ukraine related charges (2022).</x:t>
  </x:si>
  <x:si>
    <x:t xml:space="preserve">Net gain on sale of businesses</x:t>
  </x:si>
  <x:si>
    <x:t xml:space="preserve">Gains from divestitures required by FTC merger-clearance order; material only FY2018-FY2019.</x:t>
  </x:si>
  <x:si>
    <x:t xml:space="preserve">Other (income) expense - net</x:t>
  </x:si>
  <x:si>
    <x:t xml:space="preserve">Operating Profit</x:t>
  </x:si>
  <x:si>
    <x:t xml:space="preserve">Operating margin %</x:t>
  </x:si>
  <x:si>
    <x:t xml:space="preserve">Interest expense - net</x:t>
  </x:si>
  <x:si>
    <x:t xml:space="preserve">Net pension/OPEB (benefit) cost, excl. service cost</x:t>
  </x:si>
  <x:si>
    <x:t xml:space="preserve">Income Before Income Taxes and Equity Investments</x:t>
  </x:si>
  <x:si>
    <x:t xml:space="preserve">Income taxes</x:t>
  </x:si>
  <x:si>
    <x:t xml:space="preserve">Effective tax rate %</x:t>
  </x:si>
  <x:si>
    <x:t xml:space="preserve">Income Before Equity Investments</x:t>
  </x:si>
  <x:si>
    <x:t xml:space="preserve">Income from equity investments</x:t>
  </x:si>
  <x:si>
    <x:t xml:space="preserve">Income from discontinued operations, net of tax</x:t>
  </x:si>
  <x:si>
    <x:t xml:space="preserve">Material only FY2018-FY2021; nil/not presented thereafter.</x:t>
  </x:si>
  <x:si>
    <x:t xml:space="preserve">Net Income (Including Noncontrolling Interests)</x:t>
  </x:si>
  <x:si>
    <x:t xml:space="preserve">Less: noncontrolling interests</x:t>
  </x:si>
  <x:si>
    <x:t xml:space="preserve">Less: noncontrolling interests from discontinued operations</x:t>
  </x:si>
  <x:si>
    <x:t xml:space="preserve">Net Income - Linde plc</x:t>
  </x:si>
  <x:si>
    <x:t xml:space="preserve">Net margin %</x:t>
  </x:si>
  <x:si>
    <x:t xml:space="preserve">Net income growth %</x:t>
  </x:si>
  <x:si>
    <x:t xml:space="preserve">Check: computed Net Income - Linde plc vs. reported</x:t>
  </x:si>
  <x:si>
    <x:t xml:space="preserve">Basic earnings per share</x:t>
  </x:si>
  <x:si>
    <x:t xml:space="preserve">Basic EPS growth %</x:t>
  </x:si>
  <x:si>
    <x:t xml:space="preserve">Diluted earnings per share</x:t>
  </x:si>
  <x:si>
    <x:t xml:space="preserve">Diluted EPS growth %</x:t>
  </x:si>
  <x:si>
    <x:t xml:space="preserve">Weighted average shares - basic (thousands)</x:t>
  </x:si>
  <x:si>
    <x:t xml:space="preserve">Weighted average shares - diluted (thousands)</x:t>
  </x:si>
  <x:si>
    <x:t xml:space="preserve">Linde plc — Balance Sheet</x:t>
  </x:si>
  <x:si>
    <x:t xml:space="preserve">1. Consolidated Balance Sheet</x:t>
  </x:si>
  <x:si>
    <x:t xml:space="preserve">Cash and cash equivalents</x:t>
  </x:si>
  <x:si>
    <x:t xml:space="preserve">Trade accounts receivable - net</x:t>
  </x:si>
  <x:si>
    <x:t xml:space="preserve">Contract assets</x:t>
  </x:si>
  <x:si>
    <x:t xml:space="preserve">Inventories</x:t>
  </x:si>
  <x:si>
    <x:t xml:space="preserve">Assets held for sale</x:t>
  </x:si>
  <x:si>
    <x:t xml:space="preserve">Businesses divested to satisfy FTC merger-clearance order; resolved by FY2020.</x:t>
  </x:si>
  <x:si>
    <x:t xml:space="preserve">Prepaid and other current assets</x:t>
  </x:si>
  <x:si>
    <x:t xml:space="preserve">Total Current Assets</x:t>
  </x:si>
  <x:si>
    <x:t xml:space="preserve">Property, plant and equipment - net</x:t>
  </x:si>
  <x:si>
    <x:t xml:space="preserve">Equity investments</x:t>
  </x:si>
  <x:si>
    <x:t xml:space="preserve">Goodwill</x:t>
  </x:si>
  <x:si>
    <x:t xml:space="preserve">Other intangible assets - net</x:t>
  </x:si>
  <x:si>
    <x:t xml:space="preserve">Other long-term assets</x:t>
  </x:si>
  <x:si>
    <x:t xml:space="preserve">Total Assets</x:t>
  </x:si>
  <x:si>
    <x:t xml:space="preserve">Trade accounts payable</x:t>
  </x:si>
  <x:si>
    <x:t xml:space="preserve">Short-term debt</x:t>
  </x:si>
  <x:si>
    <x:t xml:space="preserve">Current portion of long-term debt</x:t>
  </x:si>
  <x:si>
    <x:t xml:space="preserve">Contract liabilities</x:t>
  </x:si>
  <x:si>
    <x:t xml:space="preserve">Accrued taxes</x:t>
  </x:si>
  <x:si>
    <x:t xml:space="preserve">Liabilities held for sale</x:t>
  </x:si>
  <x:si>
    <x:t xml:space="preserve">Other current liabilities</x:t>
  </x:si>
  <x:si>
    <x:t xml:space="preserve">Total Current Liabilities</x:t>
  </x:si>
  <x:si>
    <x:t xml:space="preserve">Long-term debt</x:t>
  </x:si>
  <x:si>
    <x:t xml:space="preserve">Other long-term liabilities</x:t>
  </x:si>
  <x:si>
    <x:t xml:space="preserve">Deferred credits</x:t>
  </x:si>
  <x:si>
    <x:t xml:space="preserve">Total Liabilities</x:t>
  </x:si>
  <x:si>
    <x:t xml:space="preserve">Redeemable noncontrolling interests</x:t>
  </x:si>
  <x:si>
    <x:t xml:space="preserve">Ordinary shares (par value)</x:t>
  </x:si>
  <x:si>
    <x:t xml:space="preserve">Additional paid-in capital</x:t>
  </x:si>
  <x:si>
    <x:t xml:space="preserve">Retained earnings</x:t>
  </x:si>
  <x:si>
    <x:t xml:space="preserve">FY2023 drop vs FY2022 reflects an intercompany reorganization (Note 14): retirement of treasury shares against retained earnings, not a restatement or error.</x:t>
  </x:si>
  <x:si>
    <x:t xml:space="preserve">Accumulated other comprehensive income (loss)</x:t>
  </x:si>
  <x:si>
    <x:t xml:space="preserve">Treasury stock, at cost</x:t>
  </x:si>
  <x:si>
    <x:t xml:space="preserve">FY2023 drop vs FY2022 reflects the same intercompany reorganization (Note 14) treasury-share retirement.</x:t>
  </x:si>
  <x:si>
    <x:t xml:space="preserve">Total Linde plc Shareholders' Equity</x:t>
  </x:si>
  <x:si>
    <x:t xml:space="preserve">Noncontrolling interests</x:t>
  </x:si>
  <x:si>
    <x:t xml:space="preserve">Total Equity</x:t>
  </x:si>
  <x:si>
    <x:t xml:space="preserve">Check: Total Assets - Total Liabilities - Redeemable NCI - Total Equity</x:t>
  </x:si>
  <x:si>
    <x:t xml:space="preserve">Days Sales Outstanding (DSO)</x:t>
  </x:si>
  <x:si>
    <x:t xml:space="preserve">Days Inventory Outstanding (DIO)</x:t>
  </x:si>
  <x:si>
    <x:t xml:space="preserve">Days Payable Outstanding (DPO)</x:t>
  </x:si>
  <x:si>
    <x:t xml:space="preserve">Cash Conversion Cycle (CCC)</x:t>
  </x:si>
  <x:si>
    <x:t xml:space="preserve">Linde plc — Cash Flow Statement</x:t>
  </x:si>
  <x:si>
    <x:t xml:space="preserve">1. Consolidated Statement of Cash Flows</x:t>
  </x:si>
  <x:si>
    <x:t xml:space="preserve">Net income - Linde plc</x:t>
  </x:si>
  <x:si>
    <x:t xml:space="preserve">Less: income from discontinued operations, net of tax and NCI</x:t>
  </x:si>
  <x:si>
    <x:t xml:space="preserve">Add: noncontrolling interests</x:t>
  </x:si>
  <x:si>
    <x:t xml:space="preserve">Cost reduction / restructuring / geopolitical charges, net of payments</x:t>
  </x:si>
  <x:si>
    <x:t xml:space="preserve">Amortization of inventory step-up</x:t>
  </x:si>
  <x:si>
    <x:t xml:space="preserve">U.S. Tax Act re-measurement charge</x:t>
  </x:si>
  <x:si>
    <x:t xml:space="preserve">Deferred income taxes</x:t>
  </x:si>
  <x:si>
    <x:t xml:space="preserve">Share-based compensation</x:t>
  </x:si>
  <x:si>
    <x:t xml:space="preserve">Net gain on sale of businesses, net of tax</x:t>
  </x:si>
  <x:si>
    <x:t xml:space="preserve">Other non-cash items</x:t>
  </x:si>
  <x:si>
    <x:t xml:space="preserve">(Increase) decrease in accounts receivable</x:t>
  </x:si>
  <x:si>
    <x:t xml:space="preserve">Contract assets and liabilities, net</x:t>
  </x:si>
  <x:si>
    <x:t xml:space="preserve">(Increase) decrease in inventories</x:t>
  </x:si>
  <x:si>
    <x:t xml:space="preserve">(Increase) decrease in prepaid and other current assets</x:t>
  </x:si>
  <x:si>
    <x:t xml:space="preserve">Increase (decrease) in accounts payable</x:t>
  </x:si>
  <x:si>
    <x:t xml:space="preserve">Pension and OPEB contributions</x:t>
  </x:si>
  <x:si>
    <x:t xml:space="preserve">Other long-term assets and liabilities, net</x:t>
  </x:si>
  <x:si>
    <x:t xml:space="preserve">Net Cash Provided by Operating Activities</x:t>
  </x:si>
  <x:si>
    <x:t xml:space="preserve">CFO margin %</x:t>
  </x:si>
  <x:si>
    <x:t xml:space="preserve">Capital expenditures</x:t>
  </x:si>
  <x:si>
    <x:t xml:space="preserve">Acquisitions, net of cash acquired</x:t>
  </x:si>
  <x:si>
    <x:t xml:space="preserve">Divestitures / proceeds from sale of assets</x:t>
  </x:si>
  <x:si>
    <x:t xml:space="preserve">Cash acquired in Linde AG / Praxair merger</x:t>
  </x:si>
  <x:si>
    <x:t xml:space="preserve">Other investing activities, net</x:t>
  </x:si>
  <x:si>
    <x:t xml:space="preserve">Net Cash (Used in) Provided by Investing Activities</x:t>
  </x:si>
  <x:si>
    <x:t xml:space="preserve">Net change in short-term debt</x:t>
  </x:si>
  <x:si>
    <x:t xml:space="preserve">Long-term debt borrowings</x:t>
  </x:si>
  <x:si>
    <x:t xml:space="preserve">Long-term debt repayments</x:t>
  </x:si>
  <x:si>
    <x:t xml:space="preserve">Proceeds from issuance of ordinary shares</x:t>
  </x:si>
  <x:si>
    <x:t xml:space="preserve">Purchases of ordinary shares (buybacks)</x:t>
  </x:si>
  <x:si>
    <x:t xml:space="preserve">Cash dividends paid</x:t>
  </x:si>
  <x:si>
    <x:t xml:space="preserve">NCI transactions and other financing activities, net</x:t>
  </x:si>
  <x:si>
    <x:t xml:space="preserve">Net Cash Used in Financing Activities</x:t>
  </x:si>
  <x:si>
    <x:t xml:space="preserve">Discontinued operations - operating activities</x:t>
  </x:si>
  <x:si>
    <x:t xml:space="preserve">Discontinued operations - investing activities</x:t>
  </x:si>
  <x:si>
    <x:t xml:space="preserve">Discontinued operations - financing activities</x:t>
  </x:si>
  <x:si>
    <x:t xml:space="preserve">Net Cash Flows of Discontinued Operations</x:t>
  </x:si>
  <x:si>
    <x:t xml:space="preserve">Effect of exchange rate changes on cash</x:t>
  </x:si>
  <x:si>
    <x:t xml:space="preserve">Change in Cash and Cash Equivalents</x:t>
  </x:si>
  <x:si>
    <x:t xml:space="preserve">Cash of discontinued operations, reclassification</x:t>
  </x:si>
  <x:si>
    <x:t xml:space="preserve">Cash and cash equivalents, beginning of period</x:t>
  </x:si>
  <x:si>
    <x:t xml:space="preserve">Cash and Cash Equivalents, End of Period</x:t>
  </x:si>
  <x:si>
    <x:t xml:space="preserve">Check: CF-derived ending cash vs. Balance Sheet cash</x:t>
  </x:si>
  <x:si>
    <x:t xml:space="preserve">Free Cash Flow (CFO + Capex)</x:t>
  </x:si>
  <x:si>
    <x:t xml:space="preserve">FCF growth %</x:t>
  </x:si>
  <x:si>
    <x:t xml:space="preserve">Capex % of sales</x:t>
  </x:si>
  <x:si>
    <x:t xml:space="preserve">FCF margin %</x:t>
  </x:si>
  <x:si>
    <x:t xml:space="preserve">FCF conversion (FCF / Net Income)</x:t>
  </x:si>
  <x:si>
    <x:t xml:space="preserve">Supplemental: income taxes paid</x:t>
  </x:si>
  <x:si>
    <x:t xml:space="preserve">Supplemental: interest paid, net of capitalized interest</x:t>
  </x:si>
  <x:si>
    <x:t xml:space="preserve">Linde plc — Segments</x:t>
  </x:si>
  <x:si>
    <x:t xml:space="preserve">1. Segment Information (Note - Segment Reporting)</x:t>
  </x:si>
  <x:si>
    <x:t xml:space="preserve">North America</x:t>
  </x:si>
  <x:si>
    <x:t xml:space="preserve">Europe (legacy)</x:t>
  </x:si>
  <x:si>
    <x:t xml:space="preserve">South America (legacy)</x:t>
  </x:si>
  <x:si>
    <x:t xml:space="preserve">Asia (legacy)</x:t>
  </x:si>
  <x:si>
    <x:t xml:space="preserve">Surface Technologies (legacy)</x:t>
  </x:si>
  <x:si>
    <x:t xml:space="preserve">Linde AG (legacy stub)</x:t>
  </x:si>
  <x:si>
    <x:t xml:space="preserve">Americas</x:t>
  </x:si>
  <x:si>
    <x:t xml:space="preserve">EMEA</x:t>
  </x:si>
  <x:si>
    <x:t xml:space="preserve">APAC</x:t>
  </x:si>
  <x:si>
    <x:t xml:space="preserve">Engineering</x:t>
  </x:si>
  <x:si>
    <x:t xml:space="preserve">Other</x:t>
  </x:si>
  <x:si>
    <x:t xml:space="preserve">Total Segment Sales</x:t>
  </x:si>
  <x:si>
    <x:t xml:space="preserve">Check: Total Segment Sales vs. IS Sales</x:t>
  </x:si>
  <x:si>
    <x:t xml:space="preserve">Other / corporate</x:t>
  </x:si>
  <x:si>
    <x:t xml:space="preserve">Total Segment Operating Profit</x:t>
  </x:si>
  <x:si>
    <x:t xml:space="preserve">Less: special / restructuring / transaction charges (Note 3)</x:t>
  </x:si>
  <x:si>
    <x:t xml:space="preserve">Add: net gain on sale of businesses</x:t>
  </x:si>
  <x:si>
    <x:t xml:space="preserve">Less: purchase accounting impacts - Linde AG merger</x:t>
  </x:si>
  <x:si>
    <x:t xml:space="preserve">Total Operating Profit (reconciled)</x:t>
  </x:si>
  <x:si>
    <x:t xml:space="preserve">Check: Segment Operating Profit (reconciled) vs. IS Operating Profit</x:t>
  </x:si>
  <x:si>
    <x:t xml:space="preserve">EMEA (legacy: Europe)</x:t>
  </x:si>
  <x:si>
    <x:t xml:space="preserve">Asia/South Pacific (legacy)</x:t>
  </x:si>
  <x:si>
    <x:t xml:space="preserve">Total Segment D&amp;A</x:t>
  </x:si>
  <x:si>
    <x:t xml:space="preserve">Add: purchase accounting impacts - Linde AG merger (D&amp;A)</x:t>
  </x:si>
  <x:si>
    <x:t xml:space="preserve">Total D&amp;A (reconciled)</x:t>
  </x:si>
  <x:si>
    <x:t xml:space="preserve">Check: Segment D&amp;A (reconciled) vs. IS D&amp;A</x:t>
  </x:si>
  <x:si>
    <x:t xml:space="preserve">Only FY2023-FY2025 shown: those years' 10-Ks disclose pure 'expenditures for long-lived assets' by segment. FY2018-FY2019 10-Ks disclosed a 'Capital Expenditures and Acquisitions' combined figure on a different basis and are excluded here to avoid mixing bases; FY2020-FY2022 10-Ks did not disclose segment capex at all.</x:t>
  </x:si>
  <x:si>
    <x:t xml:space="preserve">Total Segment Capex (FY2023-FY2025 only)</x:t>
  </x:si>
  <x:si>
    <x:t xml:space="preserve">Linde plc — Operating Metrics</x:t>
  </x:si>
  <x:si>
    <x:t xml:space="preserve">1. Segment-Based Operating Metrics</x:t>
  </x:si>
  <x:si>
    <x:t xml:space="preserve">Segment operating margin %</x:t>
  </x:si>
  <x:si>
    <x:t xml:space="preserve">Americas % of sales</x:t>
  </x:si>
  <x:si>
    <x:t xml:space="preserve">EMEA % of sales</x:t>
  </x:si>
  <x:si>
    <x:t xml:space="preserve">APAC % of sales</x:t>
  </x:si>
  <x:si>
    <x:t xml:space="preserve">Engineering % of sales</x:t>
  </x:si>
  <x:si>
    <x:t xml:space="preserve">Other % of sales</x:t>
  </x:si>
  <x:si>
    <x:t xml:space="preserve">Americas operating margin %</x:t>
  </x:si>
  <x:si>
    <x:t xml:space="preserve">EMEA operating margin %</x:t>
  </x:si>
  <x:si>
    <x:t xml:space="preserve">APAC operating margin %</x:t>
  </x:si>
  <x:si>
    <x:t xml:space="preserve">Engineering operating margin %</x:t>
  </x:si>
  <x:si>
    <x:t xml:space="preserve">Linde plc — Derived Metrics</x:t>
  </x:si>
  <x:si>
    <x:t xml:space="preserve">1. Derived / Ratio Analysis</x:t>
  </x:si>
  <x:si>
    <x:t xml:space="preserve">EBITDA margin %</x:t>
  </x:si>
  <x:si>
    <x:t xml:space="preserve">Return on Assets (avg)</x:t>
  </x:si>
  <x:si>
    <x:t xml:space="preserve">Return on Equity (avg)</x:t>
  </x:si>
  <x:si>
    <x:t xml:space="preserve">Return on Invested Capital (avg)</x:t>
  </x:si>
  <x:si>
    <x:t xml:space="preserve">Asset turnover (x, avg)</x:t>
  </x:si>
  <x:si>
    <x:t xml:space="preserve">Net debt ($mm)</x:t>
  </x:si>
  <x:si>
    <x:t xml:space="preserve">Net debt / EBITDA (x)</x:t>
  </x:si>
  <x:si>
    <x:t xml:space="preserve">Debt / Equity (x)</x:t>
  </x:si>
  <x:si>
    <x:t xml:space="preserve">Equity ratio (Equity / Assets)</x:t>
  </x:si>
  <x:si>
    <x:t xml:space="preserve">Debt / Assets</x:t>
  </x:si>
  <x:si>
    <x:t xml:space="preserve">Current ratio (x)</x:t>
  </x:si>
  <x:si>
    <x:t xml:space="preserve">Quick ratio (x)</x:t>
  </x:si>
  <x:si>
    <x:t xml:space="preserve">Cash ratio (x)</x:t>
  </x:si>
  <x:si>
    <x:t xml:space="preserve">Interest coverage (EBIT / Interest, x)</x:t>
  </x:si>
  <x:si>
    <x:t xml:space="preserve">CFO / Interest expense (x)</x:t>
  </x:si>
  <x:si>
    <x:t xml:space="preserve">CFO / EBITDA (x)</x:t>
  </x:si>
  <x:si>
    <x:t xml:space="preserve">Capex intensity (Capex / Sales)</x:t>
  </x:si>
  <x:si>
    <x:t xml:space="preserve">FCF / Net Income (x)</x:t>
  </x:si>
  <x:si>
    <x:t xml:space="preserve">D&amp;A / Capex (x)</x:t>
  </x:si>
  <x:si>
    <x:t xml:space="preserve">CFO / Net Income (x)</x:t>
  </x:si>
  <x:si>
    <x:t xml:space="preserve">Accrual ratio ((NI - CFO) / Assets)</x:t>
  </x:si>
  <x:si>
    <x:t xml:space="preserve">Revenue growth %</x:t>
  </x:si>
  <x:si>
    <x:t xml:space="preserve">CFO growth %</x:t>
  </x:si>
  <x:si>
    <x:t xml:space="preserve">Days Sales Outstanding</x:t>
  </x:si>
  <x:si>
    <x:t xml:space="preserve">Days Inventory Outstanding</x:t>
  </x:si>
  <x:si>
    <x:t xml:space="preserve">Days Payable Outstanding</x:t>
  </x:si>
  <x:si>
    <x:t xml:space="preserve">Cash Conversion Cycle</x:t>
  </x:si>
  <x:si>
    <x:t xml:space="preserve">Linde plc — Quarterly Consolidated Results</x:t>
  </x:si>
  <x:si>
    <x:t xml:space="preserve">Metric ($MM)</x:t>
  </x:si>
  <x:si>
    <x:t xml:space="preserve">3Q 2025</x:t>
  </x:si>
  <x:si>
    <x:t xml:space="preserve">4Q 2025</x:t>
  </x:si>
  <x:si>
    <x:t xml:space="preserve">1Q 2026</x:t>
  </x:si>
  <x:si>
    <x:t xml:space="preserve">2Q 2026</x:t>
  </x:si>
  <x:si>
    <x:t xml:space="preserve">FY 2025</x:t>
  </x:si>
  <x:si>
    <x:t xml:space="preserve">  YoY Growth</x:t>
  </x:si>
  <x:si>
    <x:t xml:space="preserve">+3%</x:t>
  </x:si>
  <x:si>
    <x:t xml:space="preserve">+6%</x:t>
  </x:si>
  <x:si>
    <x:t xml:space="preserve">+8%</x:t>
  </x:si>
  <x:si>
    <x:t xml:space="preserve">+9%</x:t>
  </x:si>
  <x:si>
    <x:t xml:space="preserve">  Seq. Growth</x:t>
  </x:si>
  <x:si>
    <x:t xml:space="preserve">+1%</x:t>
  </x:si>
  <x:si>
    <x:t xml:space="preserve">+2%</x:t>
  </x:si>
  <x:si>
    <x:t xml:space="preserve">0%</x:t>
  </x:si>
  <x:si>
    <x:t xml:space="preserve">—</x:t>
  </x:si>
  <x:si>
    <x:t xml:space="preserve">  OP Margin</x:t>
  </x:si>
  <x:si>
    <x:t xml:space="preserve">29.7%</x:t>
  </x:si>
  <x:si>
    <x:t xml:space="preserve">29.5%</x:t>
  </x:si>
  <x:si>
    <x:t xml:space="preserve">30.0%</x:t>
  </x:si>
  <x:si>
    <x:t xml:space="preserve">29.8%</x:t>
  </x:si>
  <x:si>
    <x:t xml:space="preserve">Net Income</x:t>
  </x:si>
  <x:si>
    <x:t xml:space="preserve">Diluted EPS</x:t>
  </x:si>
  <x:si>
    <x:t xml:space="preserve">  EPS YoY</x:t>
  </x:si>
  <x:si>
    <x:t xml:space="preserve">+7%</x:t>
  </x:si>
  <x:si>
    <x:t xml:space="preserve">+10%</x:t>
  </x:si>
  <x:si>
    <x:t xml:space="preserve">Op. Cash Flow</x:t>
  </x:si>
  <x:si>
    <x:t xml:space="preserve">  OCF YoY</x:t>
  </x:si>
  <x:si>
    <x:t xml:space="preserve">+4%</x:t>
  </x:si>
  <x:si>
    <x:t xml:space="preserve">Capex</x:t>
  </x:si>
  <x:si>
    <x:t xml:space="preserve">  Base Capex</x:t>
  </x:si>
  <x:si>
    <x:t xml:space="preserve">  Project Capex</x:t>
  </x:si>
  <x:si>
    <x:t xml:space="preserve">After-Tax ROC</x:t>
  </x:si>
  <x:si>
    <x:t xml:space="preserve">24.6%</x:t>
  </x:si>
  <x:si>
    <x:t xml:space="preserve">24.2%</x:t>
  </x:si>
  <x:si>
    <x:t xml:space="preserve">23.8%</x:t>
  </x:si>
  <x:si>
    <x:t xml:space="preserve">23.5%</x:t>
  </x:si>
  <x:si>
    <x:t xml:space="preserve">Sales Growth Bridge (YoY)</x:t>
  </x:si>
  <x:si>
    <x:t xml:space="preserve">Component</x:t>
  </x:si>
  <x:si>
    <x:t xml:space="preserve">Volume</x:t>
  </x:si>
  <x:si>
    <x:t xml:space="preserve">Price / Mix</x:t>
  </x:si>
  <x:si>
    <x:t xml:space="preserve">Cost Pass-thru</x:t>
  </x:si>
  <x:si>
    <x:t xml:space="preserve">Currency</x:t>
  </x:si>
  <x:si>
    <x:t xml:space="preserve">+5%</x:t>
  </x:si>
  <x:si>
    <x:t xml:space="preserve">Acq / Div</x:t>
  </x:si>
  <x:si>
    <x:t xml:space="preserve">-1%</x:t>
  </x:si>
  <x:si>
    <x:t xml:space="preserve">Total</x:t>
  </x:si>
  <x:si>
    <x:t xml:space="preserve">Global End Market Trends — % of Sales &amp; YoY Growth</x:t>
  </x:si>
  <x:si>
    <x:t xml:space="preserve">Excludes currency, cost pass-through, acquisitions/divestitures, non-recurring equipment sales</x:t>
  </x:si>
  <x:si>
    <x:t xml:space="preserve">End Market</x:t>
  </x:si>
  <x:si>
    <x:t xml:space="preserve">3Q'25 Share</x:t>
  </x:si>
  <x:si>
    <x:t xml:space="preserve">4Q'25 Share</x:t>
  </x:si>
  <x:si>
    <x:t xml:space="preserve">1Q'26 Share</x:t>
  </x:si>
  <x:si>
    <x:t xml:space="preserve">2Q'26 Share</x:t>
  </x:si>
  <x:si>
    <x:t xml:space="preserve">3Q'25 YoY</x:t>
  </x:si>
  <x:si>
    <x:t xml:space="preserve">4Q'25 YoY</x:t>
  </x:si>
  <x:si>
    <x:t xml:space="preserve">1Q'26 YoY</x:t>
  </x:si>
  <x:si>
    <x:t xml:space="preserve">2Q'26 YoY</x:t>
  </x:si>
  <x:si>
    <x:t xml:space="preserve">Consumer Related (~1/3, More Resilient)</x:t>
  </x:si>
  <x:si>
    <x:t xml:space="preserve">Healthcare</x:t>
  </x:si>
  <x:si>
    <x:t xml:space="preserve">16%</x:t>
  </x:si>
  <x:si>
    <x:t xml:space="preserve">Food &amp; Beverage</x:t>
  </x:si>
  <x:si>
    <x:t xml:space="preserve">10%</x:t>
  </x:si>
  <x:si>
    <x:t xml:space="preserve">9%</x:t>
  </x:si>
  <x:si>
    <x:t xml:space="preserve">Electronics</x:t>
  </x:si>
  <x:si>
    <x:t xml:space="preserve">+18%</x:t>
  </x:si>
  <x:si>
    <x:t xml:space="preserve">Industrial Related (~2/3, More Cyclical)</x:t>
  </x:si>
  <x:si>
    <x:t xml:space="preserve">Manufacturing</x:t>
  </x:si>
  <x:si>
    <x:t xml:space="preserve">21%</x:t>
  </x:si>
  <x:si>
    <x:t xml:space="preserve">Chemicals &amp; Energy</x:t>
  </x:si>
  <x:si>
    <x:t xml:space="preserve">20%</x:t>
  </x:si>
  <x:si>
    <x:t xml:space="preserve">22%</x:t>
  </x:si>
  <x:si>
    <x:t xml:space="preserve">Metals &amp; Mining</x:t>
  </x:si>
  <x:si>
    <x:t xml:space="preserve">13%</x:t>
  </x:si>
  <x:si>
    <x:t xml:space="preserve">Sequential Sales Growth by End Market</x:t>
  </x:si>
  <x:si>
    <x:t xml:space="preserve">3Q'25 Seq.</x:t>
  </x:si>
  <x:si>
    <x:t xml:space="preserve">4Q'25 Seq.</x:t>
  </x:si>
  <x:si>
    <x:t xml:space="preserve">1Q'26 Seq.</x:t>
  </x:si>
  <x:si>
    <x:t xml:space="preserve">2Q'26 Seq.</x:t>
  </x:si>
  <x:si>
    <x:t xml:space="preserve">-3%</x:t>
  </x:si>
  <x:si>
    <x:t xml:space="preserve">-5%</x:t>
  </x:si>
  <x:si>
    <x:t xml:space="preserve">-2%</x:t>
  </x:si>
  <x:si>
    <x:t xml:space="preserve">Regional Segment Performance</x:t>
  </x:si>
  <x:si>
    <x:t xml:space="preserve">Metric</x:t>
  </x:si>
  <x:si>
    <x:t xml:space="preserve">Sales ($MM)</x:t>
  </x:si>
  <x:si>
    <x:t xml:space="preserve">Operating Profit ($MM)</x:t>
  </x:si>
  <x:si>
    <x:t xml:space="preserve">OP Margin</x:t>
  </x:si>
  <x:si>
    <x:t xml:space="preserve">31.2%</x:t>
  </x:si>
  <x:si>
    <x:t xml:space="preserve">30.9%</x:t>
  </x:si>
  <x:si>
    <x:t xml:space="preserve">31.6%</x:t>
  </x:si>
  <x:si>
    <x:t xml:space="preserve">Sales YoY</x:t>
  </x:si>
  <x:si>
    <x:t xml:space="preserve">  Volume</x:t>
  </x:si>
  <x:si>
    <x:t xml:space="preserve">  Price / Mix</x:t>
  </x:si>
  <x:si>
    <x:t xml:space="preserve">  Cost Pass-thru</x:t>
  </x:si>
  <x:si>
    <x:t xml:space="preserve">  Currency</x:t>
  </x:si>
  <x:si>
    <x:t xml:space="preserve">  Acq / Div</x:t>
  </x:si>
  <x:si>
    <x:t xml:space="preserve">End Market Mix (Q4'25): Healthcare 24%, Manufacturing 19%, C&amp;E 23%, M&amp;M 11%, F&amp;B 11%, Electronics 5%, Others 7%</x:t>
  </x:si>
  <x:si>
    <x:t xml:space="preserve">28.1%</x:t>
  </x:si>
  <x:si>
    <x:t xml:space="preserve">29.1%</x:t>
  </x:si>
  <x:si>
    <x:t xml:space="preserve">28.0%</x:t>
  </x:si>
  <x:si>
    <x:t xml:space="preserve">28.4%</x:t>
  </x:si>
  <x:si>
    <x:t xml:space="preserve">+11%</x:t>
  </x:si>
  <x:si>
    <x:t xml:space="preserve">+13%</x:t>
  </x:si>
  <x:si>
    <x:t xml:space="preserve">End Market Mix (Q4'25): C&amp;E 28%, Electronics 23%, Manufacturing 16%, Healthcare 14%, M&amp;M 10%, F&amp;B 5%, Others 4%</x:t>
  </x:si>
  <x:si>
    <x:t xml:space="preserve">35.9%</x:t>
  </x:si>
  <x:si>
    <x:t xml:space="preserve">35.4%</x:t>
  </x:si>
  <x:si>
    <x:t xml:space="preserve">36.1%</x:t>
  </x:si>
  <x:si>
    <x:t xml:space="preserve">35.7%</x:t>
  </x:si>
  <x:si>
    <x:t xml:space="preserve">End Market Mix (Q4'25): C&amp;E 25%, Manufacturing 23%, Healthcare 18%, M&amp;M 17%, F&amp;B 12%, Electronics 3%, Others 2%</x:t>
  </x:si>
  <x:si>
    <x:t xml:space="preserve">Engineering Segment &amp; Global Other</x:t>
  </x:si>
  <x:si>
    <x:t xml:space="preserve">19.5%</x:t>
  </x:si>
  <x:si>
    <x:t xml:space="preserve">16.7%</x:t>
  </x:si>
  <x:si>
    <x:t xml:space="preserve">16.0%</x:t>
  </x:si>
  <x:si>
    <x:t xml:space="preserve">Order Intake ($MM)</x:t>
  </x:si>
  <x:si>
    <x:t xml:space="preserve">SOP Backlog ($MM)</x:t>
  </x:si>
  <x:si>
    <x:t xml:space="preserve">Global Other</x:t>
  </x:si>
  <x:si>
    <x:t xml:space="preserve">-3.9%</x:t>
  </x:si>
  <x:si>
    <x:t xml:space="preserve">1.7%</x:t>
  </x:si>
  <x:si>
    <x:t xml:space="preserve">-1.1%</x:t>
  </x:si>
  <x:si>
    <x:t xml:space="preserve">4.4%</x:t>
  </x:si>
  <x:si>
    <x:t xml:space="preserve">Key Driver</x:t>
  </x:si>
  <x:si>
    <x:t xml:space="preserve">Helium drag</x:t>
  </x:si>
  <x:si>
    <x:t xml:space="preserve">Coatings growth</x:t>
  </x:si>
  <x:si>
    <x:t xml:space="preserve">Adv. materials↑</x:t>
  </x:si>
  <x:si>
    <x:t xml:space="preserve">Project Backlog &amp; Capital Management</x:t>
  </x:si>
  <x:si>
    <x:t xml:space="preserve">Project Backlog</x:t>
  </x:si>
  <x:si>
    <x:t xml:space="preserve">Total Backlog ($B)</x:t>
  </x:si>
  <x:si>
    <x:t xml:space="preserve">  SOG Backlog ($B)</x:t>
  </x:si>
  <x:si>
    <x:t xml:space="preserve">  SOP Backlog ($B)</x:t>
  </x:si>
  <x:si>
    <x:t xml:space="preserve">SOG Clean Energy %</x:t>
  </x:si>
  <x:si>
    <x:t xml:space="preserve">~65%</x:t>
  </x:si>
  <x:si>
    <x:t xml:space="preserve">Capital Allocation (Cumulative YTD)</x:t>
  </x:si>
  <x:si>
    <x:t xml:space="preserve">YTD Q3'25</x:t>
  </x:si>
  <x:si>
    <x:t xml:space="preserve">YTD Q1'26</x:t>
  </x:si>
  <x:si>
    <x:t xml:space="preserve">YTD H1'26</x:t>
  </x:si>
  <x:si>
    <x:t xml:space="preserve">Business Investments ($B)</x:t>
  </x:si>
  <x:si>
    <x:t xml:space="preserve">  Secured Growth ($B)</x:t>
  </x:si>
  <x:si>
    <x:t xml:space="preserve">  Base Capex ($B)</x:t>
  </x:si>
  <x:si>
    <x:t xml:space="preserve">Return to Shareholders ($B)</x:t>
  </x:si>
  <x:si>
    <x:t xml:space="preserve">  Net Share Buybacks ($B)</x:t>
  </x:si>
  <x:si>
    <x:t xml:space="preserve">  Dividends ($B)</x:t>
  </x:si>
  <x:si>
    <x:t xml:space="preserve">Quarterly Operating Cash Flow ($B)</x:t>
  </x:si>
  <x:si>
    <x:t xml:space="preserve">Base Capex</x:t>
  </x:si>
  <x:si>
    <x:t xml:space="preserve">Available OCF</x:t>
  </x:si>
  <x:si>
    <x:t xml:space="preserve">EPS Guidance Evolution</x:t>
  </x:si>
  <x:si>
    <x:t xml:space="preserve">Guidance Given At</x:t>
  </x:si>
  <x:si>
    <x:t xml:space="preserve">Next-Q EPS Range</x:t>
  </x:si>
  <x:si>
    <x:t xml:space="preserve">Next-Q YoY</x:t>
  </x:si>
  <x:si>
    <x:t xml:space="preserve">Full-Year EPS Range</x:t>
  </x:si>
  <x:si>
    <x:t xml:space="preserve">Full-Year YoY</x:t>
  </x:si>
  <x:si>
    <x:t xml:space="preserve">FX Assumption</x:t>
  </x:si>
  <x:si>
    <x:t xml:space="preserve">Q3'25 (Oct 31, 2025)</x:t>
  </x:si>
  <x:si>
    <x:t xml:space="preserve">$4.10–$4.20</x:t>
  </x:si>
  <x:si>
    <x:t xml:space="preserve">+3% to +6%</x:t>
  </x:si>
  <x:si>
    <x:t xml:space="preserve">$16.35–$16.45</x:t>
  </x:si>
  <x:si>
    <x:t xml:space="preserve">+5% to +6%</x:t>
  </x:si>
  <x:si>
    <x:t xml:space="preserve">FY: flat</x:t>
  </x:si>
  <x:si>
    <x:t xml:space="preserve">Q4'25 (Feb 5, 2026)</x:t>
  </x:si>
  <x:si>
    <x:t xml:space="preserve">$4.20–$4.30</x:t>
  </x:si>
  <x:si>
    <x:t xml:space="preserve">+6% to +9%</x:t>
  </x:si>
  <x:si>
    <x:t xml:space="preserve">$17.40–$17.90</x:t>
  </x:si>
  <x:si>
    <x:t xml:space="preserve">FY: +1%</x:t>
  </x:si>
  <x:si>
    <x:t xml:space="preserve">Q1'26 (May 1, 2026)</x:t>
  </x:si>
  <x:si>
    <x:t xml:space="preserve">$4.40–$4.50</x:t>
  </x:si>
  <x:si>
    <x:t xml:space="preserve">+8% to +10%</x:t>
  </x:si>
  <x:si>
    <x:t xml:space="preserve">$17.60–$17.90</x:t>
  </x:si>
  <x:si>
    <x:t xml:space="preserve">+7% to +9%</x:t>
  </x:si>
  <x:si>
    <x:t xml:space="preserve">Q2'26 (Jul 31, 2026)</x:t>
  </x:si>
  <x:si>
    <x:t xml:space="preserve">$4.45–$4.55</x:t>
  </x:si>
  <x:si>
    <x:t xml:space="preserve">+6% to +8%</x:t>
  </x:si>
  <x:si>
    <x:t xml:space="preserve">$17.70–$17.90</x:t>
  </x:si>
  <x:si>
    <x:t xml:space="preserve">+8% to +9%</x:t>
  </x:si>
  <x:si>
    <x:t xml:space="preserve">Actual EPS vs. Guidance</x:t>
  </x:si>
  <x:si>
    <x:t xml:space="preserve">Quarter</x:t>
  </x:si>
  <x:si>
    <x:t xml:space="preserve">Guidance Range</x:t>
  </x:si>
  <x:si>
    <x:t xml:space="preserve">Actual EPS</x:t>
  </x:si>
  <x:si>
    <x:t xml:space="preserve">vs. Midpoint</x:t>
  </x:si>
  <x:si>
    <x:t xml:space="preserve">Beat/Miss</x:t>
  </x:si>
  <x:si>
    <x:t xml:space="preserve">$4.07–$4.17 (prev.)</x:t>
  </x:si>
  <x:si>
    <x:t xml:space="preserve">$4.21</x:t>
  </x:si>
  <x:si>
    <x:t xml:space="preserve">+$0.09</x:t>
  </x:si>
  <x:si>
    <x:t xml:space="preserve">Beat</x:t>
  </x:si>
  <x:si>
    <x:t xml:space="preserve">$4.20</x:t>
  </x:si>
  <x:si>
    <x:t xml:space="preserve">+$0.05</x:t>
  </x:si>
  <x:si>
    <x:t xml:space="preserve">Beat (top)</x:t>
  </x:si>
  <x:si>
    <x:t xml:space="preserve">$4.33</x:t>
  </x:si>
  <x:si>
    <x:t xml:space="preserve">+$0.08</x:t>
  </x:si>
  <x:si>
    <x:t xml:space="preserve">$4.50</x:t>
  </x:si>
  <x:si>
    <x:t xml:space="preserve">Capex Guidance Evolution</x:t>
  </x:si>
  <x:si>
    <x:t xml:space="preserve">Given At</x:t>
  </x:si>
  <x:si>
    <x:t xml:space="preserve">Full-Year Capex Guidance</x:t>
  </x:si>
  <x:si>
    <x:t xml:space="preserve">Q3'25 (FY2025)</x:t>
  </x:si>
  <x:si>
    <x:t xml:space="preserve">$5.0B–$5.5B</x:t>
  </x:si>
  <x:si>
    <x:t xml:space="preserve">Q4'25 (FY2026)</x:t>
  </x:si>
  <x:si>
    <x:t xml:space="preserve">Q1'26 (FY2026)</x:t>
  </x:si>
  <x:si>
    <x:t xml:space="preserve">Q2'26 (FY2026)</x:t>
  </x:si>
  <x:si>
    <x:t xml:space="preserve">$5.5B–$6.0B ↑</x:t>
  </x:si>
  <x:si>
    <x:t xml:space="preserve">Electronics End Market — Revenue Derivation</x:t>
  </x:si>
  <x:si>
    <x:t xml:space="preserve">Based on % of Sales from official Linde investor slides + total reported revenue</x:t>
  </x:si>
  <x:si>
    <x:t xml:space="preserve">Total Revenue ($MM)</x:t>
  </x:si>
  <x:si>
    <x:t xml:space="preserve">Electronics % of Sales</x:t>
  </x:si>
  <x:si>
    <x:t xml:space="preserve">Est. Electronics Rev ($MM)</x:t>
  </x:si>
  <x:si>
    <x:t xml:space="preserve">YoY Growth</x:t>
  </x:si>
  <x:si>
    <x:t xml:space="preserve">Seq. Growth</x:t>
  </x:si>
  <x:si>
    <x:t xml:space="preserve">Taiwan JV (non-consol.)</x:t>
  </x:si>
  <x:si>
    <x:t xml:space="preserve">~+2% add'l</x:t>
  </x:si>
  <x:si>
    <x:t xml:space="preserve">Adj. Electronics Exposure</x:t>
  </x:si>
  <x:si>
    <x:t xml:space="preserve">~11%</x:t>
  </x:si>
  <x:si>
    <x:t xml:space="preserve">~12%</x:t>
  </x:si>
  <x:si>
    <x:t xml:space="preserve">SOG Backlog ($B)</x:t>
  </x:si>
  <x:si>
    <x:t xml:space="preserve">  QoQ Change</x:t>
  </x:si>
  <x:si>
    <x:t xml:space="preserve">+$0.2B</x:t>
  </x:si>
  <x:si>
    <x:t xml:space="preserve">-$0.2B</x:t>
  </x:si>
  <x:si>
    <x:t xml:space="preserve">+$1.0B</x:t>
  </x:si>
  <x:si>
    <x:t xml:space="preserve">  Key Events</x:t>
  </x:si>
  <x:si>
    <x:t xml:space="preserve">Backlog $10B total</x:t>
  </x:si>
  <x:si>
    <x:t xml:space="preserve">Record backlog</x:t>
  </x:si>
  <x:si>
    <x:t xml:space="preserve">10 projects started</x:t>
  </x:si>
  <x:si>
    <x:t xml:space="preserve">+$1B US electronics</x:t>
  </x:si>
  <x:si>
    <x:t xml:space="preserve">Linde plc — Sources</x:t>
  </x:si>
  <x:si>
    <x:t xml:space="preserve">Sources and data provenance</x:t>
  </x:si>
  <x:si>
    <x:t xml:space="preserve">Period</x:t>
  </x:si>
  <x:si>
    <x:t xml:space="preserve">Source document</x:t>
  </x:si>
  <x:si>
    <x:t xml:space="preserve">Path</x:t>
  </x:si>
  <x:si>
    <x:t xml:space="preserve">Linde plc Form 10-K (FY2018)</x:t>
  </x:si>
  <x:si>
    <x:t xml:space="preserve">sources/companies/US/LIN-linde/artifacts/ten_k/LIN-linde/FY2018/psp_2ebae6876662453e850a71097e970a0c/</x:t>
  </x:si>
  <x:si>
    <x:t xml:space="preserve">Linde plc Form 10-K (FY2019)</x:t>
  </x:si>
  <x:si>
    <x:t xml:space="preserve">sources/companies/US/LIN-linde/artifacts/ten_k/LIN-linde/FY2019/psp_17c00f60b08b453fae28219102907da2/</x:t>
  </x:si>
  <x:si>
    <x:t xml:space="preserve">Linde plc Form 10-K (FY2020)</x:t>
  </x:si>
  <x:si>
    <x:t xml:space="preserve">sources/companies/US/LIN-linde/artifacts/ten_k/LIN-linde/FY2020/psp_26319e151ba249dea1137948aedfa245/</x:t>
  </x:si>
  <x:si>
    <x:t xml:space="preserve">Linde plc Form 10-K (FY2021)</x:t>
  </x:si>
  <x:si>
    <x:t xml:space="preserve">sources/companies/US/LIN-linde/artifacts/ten_k/LIN-linde/FY2021/psp_b2b8c0f9a8374dca86d6ba61612f5ea8/</x:t>
  </x:si>
  <x:si>
    <x:t xml:space="preserve">Linde plc Form 10-K (FY2022)</x:t>
  </x:si>
  <x:si>
    <x:t xml:space="preserve">sources/companies/US/LIN-linde/artifacts/ten_k/LIN-linde/FY2022/psp_12a4ea550bc340fa82af491fa19c65cc/</x:t>
  </x:si>
  <x:si>
    <x:t xml:space="preserve">Linde plc Form 10-K (FY2023)</x:t>
  </x:si>
  <x:si>
    <x:t xml:space="preserve">sources/companies/US/LIN-linde/artifacts/ten_k/LIN-linde/FY2023/psp_962cb7e58b0a4448ae507427a5c3a749/</x:t>
  </x:si>
  <x:si>
    <x:t xml:space="preserve">Linde plc Form 10-K (FY2024)</x:t>
  </x:si>
  <x:si>
    <x:t xml:space="preserve">sources/companies/US/LIN-linde/artifacts/ten_k/LIN-linde/FY2024/psp_871627ce04e94c8897932a75dbc7c38b/</x:t>
  </x:si>
  <x:si>
    <x:t xml:space="preserve">Linde plc Form 10-K (FY2025)</x:t>
  </x:si>
  <x:si>
    <x:t xml:space="preserve">sources/companies/US/LIN-linde/artifacts/ten_k/LIN-linde/FY2025/psp_ddce53d5cc49476d894d1511e805bb4a/</x:t>
  </x:si>
  <x:si>
    <x:t xml:space="preserve">Note</x:t>
  </x:si>
  <x:si>
    <x:t xml:space="preserve">All figures hand-extracted and cross-checked from each fiscal year's own 10-K (prepared/document.md), not from tables.json (which misclassified statement tables under unrelated topic_hints and mis-parsed parenthesized negative values) and not from any deep-research markdown report.</x:t>
  </x:si>
</x:sst>
</file>

<file path=xl/styles.xml><?xml version="1.0" encoding="utf-8"?>
<x:styleSheet xmlns:x="http://schemas.openxmlformats.org/spreadsheetml/2006/main">
  <x:numFmts count="10">
    <x:numFmt numFmtId="176" formatCode="#,##0;\(#,##0\);&quot;-&quot;"/>
    <x:numFmt numFmtId="177" formatCode="0.0%;\(0.0%\);&quot;-&quot;"/>
    <x:numFmt numFmtId="178" formatCode="#,##0.00;\(#,##0.00\);&quot;-&quot;"/>
    <x:numFmt numFmtId="179" formatCode="0.0&quot;x&quot;;\(0.0&quot;x&quot;\);&quot;-&quot;"/>
    <x:numFmt numFmtId="180" formatCode="0.0%"/>
    <x:numFmt numFmtId="200" formatCode="0.0%;(0.0%);-"/>
    <x:numFmt numFmtId="201" formatCode="0.00;(0.00);-"/>
    <x:numFmt numFmtId="202" formatCode="#,##0.0;(#,##0.0);-"/>
    <x:numFmt numFmtId="203" formatCode="0.000x"/>
    <x:numFmt numFmtId="204" formatCode="0.0x"/>
  </x:numFmts>
  <x:fonts count="31">
    <x:font>
      <x:sz val="11"/>
      <x:color theme="1"/>
      <x:name val="宋体"/>
      <x:family val="2"/>
      <x:scheme val="minor"/>
    </x:font>
    <x:font>
      <x:b/>
      <x:sz val="14"/>
      <x:color rgb="FFFFFFFF"/>
      <x:name val="Arial"/>
      <x:family val="2"/>
    </x:font>
    <x:font>
      <x:i/>
      <x:sz val="9"/>
      <x:color rgb="FF808080"/>
      <x:name val="Arial"/>
      <x:family val="2"/>
    </x:font>
    <x:font>
      <x:b/>
      <x:sz val="10"/>
      <x:name val="Arial"/>
      <x:family val="2"/>
    </x:font>
    <x:font>
      <x:sz val="10"/>
      <x:color rgb="FF333333"/>
      <x:name val="Arial"/>
      <x:family val="2"/>
    </x:font>
    <x:font>
      <x:b/>
      <x:sz val="10"/>
      <x:color rgb="FF333333"/>
      <x:name val="Arial"/>
      <x:family val="2"/>
    </x:font>
    <x:font>
      <x:i/>
      <x:sz val="8"/>
      <x:color rgb="FF808080"/>
      <x:name val="Arial"/>
      <x:family val="2"/>
    </x:font>
    <x:font>
      <x:u val="single"/>
      <x:sz val="9"/>
      <x:color rgb="FF0563C1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0000CC"/>
      <x:name val="Arial"/>
      <x:family val="2"/>
    </x:font>
    <x:font>
      <x:i/>
      <x:sz val="9"/>
      <x:color rgb="FF999999"/>
      <x:name val="Arial"/>
      <x:family val="2"/>
    </x:font>
    <x:font>
      <x:sz val="10"/>
      <x:color rgb="FF0000CC"/>
      <x:name val="Arial"/>
      <x:family val="2"/>
    </x:font>
    <x:font>
      <x:b/>
      <x:sz val="10"/>
      <x:color rgb="FF008000"/>
      <x:name val="Arial"/>
      <x:family val="2"/>
    </x:font>
    <x:font>
      <x:sz val="10"/>
      <x:color rgb="FF008000"/>
      <x:name val="Arial"/>
      <x:family val="2"/>
    </x:font>
    <x:font>
      <x:sz val="11"/>
      <x:color theme="1"/>
      <x:name val="宋体"/>
      <x:family val="2"/>
      <x:scheme val="minor"/>
    </x:font>
    <x:font>
      <x:sz val="9"/>
      <x:name val="宋体"/>
      <x:family val="3"/>
      <x:scheme val="minor"/>
    </x:font>
    <x:font>
      <x:sz val="10"/>
      <x:name val="Arial"/>
      <x:family val="2"/>
    </x:font>
    <x:font>
      <x:b/>
      <x:sz val="11"/>
      <x:color rgb="FFFFFFFF"/>
      <x:name val="Arial"/>
      <x:family val="2"/>
    </x:font>
    <x:font>
      <x:i/>
      <x:sz val="10"/>
      <x:color rgb="FF404040"/>
      <x:name val="Arial"/>
      <x:family val="2"/>
    </x:font>
    <x:font>
      <x:b/>
      <x:sz val="14"/>
      <x:color rgb="FF1F4E79"/>
      <x:name val="Arial"/>
      <x:family val="2"/>
    </x:font>
    <x:font>
      <x:b/>
      <x:sz val="10"/>
      <x:color rgb="FF006100"/>
      <x:name val="Arial"/>
      <x:family val="2"/>
    </x:font>
    <x:font>
      <x:b/>
      <x:sz val="10"/>
      <x:color rgb="FFC00000"/>
      <x:name val="Arial"/>
      <x:family val="2"/>
    </x:font>
    <x:font>
      <x:b/>
      <x:sz val="15"/>
      <x:color rgb="FF1F4E78"/>
      <x:name val="Arial"/>
      <x:family val="2"/>
      <x:scheme val="minor"/>
    </x:font>
    <x:font>
      <x:i/>
      <x:sz val="9"/>
      <x:color rgb="FF666666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sz val="10"/>
      <x:color rgb="FF222222"/>
      <x:name val="Arial"/>
      <x:family val="2"/>
      <x:scheme val="minor"/>
    </x:font>
    <x:font>
      <x:sz val="10"/>
      <x:color rgb="FF008000"/>
      <x:name val="Arial"/>
      <x:family val="2"/>
      <x:scheme val="minor"/>
    </x:font>
    <x:font>
      <x:b/>
      <x:sz val="10"/>
      <x:color rgb="FF1F4E78"/>
      <x:name val="Arial"/>
      <x:family val="2"/>
      <x:scheme val="minor"/>
    </x:font>
    <x:font>
      <x:b/>
      <x:sz val="10"/>
      <x:color rgb="FF555555"/>
      <x:name val="Arial"/>
      <x:family val="2"/>
      <x:scheme val="minor"/>
    </x:font>
    <x:font>
      <x:sz val="10"/>
      <x:color rgb="FF0000FF"/>
      <x:name val="Arial"/>
      <x:family val="2"/>
      <x:scheme val="minor"/>
    </x:font>
    <x:font>
      <x:b/>
      <x:sz val="10"/>
      <x:color rgb="FF9C0006"/>
      <x:name val="Arial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E2EFDA"/>
      </x:patternFill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99999"/>
      </x:bottom>
      <x:diagonal/>
    </x:border>
    <x:border>
      <x:left/>
      <x:right/>
      <x:top style="thin">
        <x:color rgb="FF999999"/>
      </x:top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D9D9"/>
      </x:bottom>
      <x:diagonal/>
    </x:border>
  </x:borders>
  <x:cellStyleXfs count="2">
    <x:xf numFmtId="0" fontId="0" fillId="0" borderId="0"/>
    <x:xf numFmtId="9" fontId="14" fillId="0" borderId="0" applyFont="0" applyFill="0" applyBorder="0" applyAlignment="0" applyProtection="0">
      <x:alignment vertical="center"/>
    </x:xf>
  </x:cellStyleXfs>
  <x:cellXfs count="105">
    <x:xf numFmtId="0" fontId="0" fillId="0" borderId="0" xfId="0"/>
    <x:xf numFmtId="0" fontId="1" fillId="2" borderId="0" xfId="0" applyFont="1" applyFill="1" applyAlignment="1">
      <x:alignment vertical="center"/>
    </x:xf>
    <x:xf numFmtId="0" fontId="0" fillId="2" borderId="0" xfId="0" applyFill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0" fillId="3" borderId="0" xfId="0" applyFill="1"/>
    <x:xf numFmtId="0" fontId="0" fillId="4" borderId="0" xfId="0" applyFill="1"/>
    <x:xf numFmtId="0" fontId="5" fillId="3" borderId="1" xfId="0" applyFont="1" applyFill="1" applyBorder="1" applyAlignment="1">
      <x:alignment horizontal="center"/>
    </x:xf>
    <x:xf numFmtId="0" fontId="6" fillId="0" borderId="0" xfId="0" applyFont="1" applyAlignment="1">
      <x:alignment horizontal="center"/>
    </x:xf>
    <x:xf numFmtId="0" fontId="5" fillId="0" borderId="0" xfId="0" applyFont="1"/>
    <x:xf numFmtId="0" fontId="7" fillId="0" borderId="0" xfId="0" applyFont="1" applyAlignment="1"/>
    <x:xf numFmtId="0" fontId="8" fillId="2" borderId="0" xfId="0" applyFont="1" applyFill="1"/>
    <x:xf numFmtId="176" fontId="9" fillId="0" borderId="0" xfId="0" applyNumberFormat="1" applyFont="1" applyAlignment="1">
      <x:alignment horizontal="right"/>
    </x:xf>
    <x:xf numFmtId="0" fontId="10" fillId="0" borderId="0" xfId="0" applyFont="1"/>
    <x:xf numFmtId="177" fontId="10" fillId="0" borderId="0" xfId="0" applyNumberFormat="1" applyFont="1" applyAlignment="1">
      <x:alignment horizontal="right"/>
    </x:xf>
    <x:xf numFmtId="0" fontId="4" fillId="0" borderId="0" xfId="0" applyFont="1" applyAlignment="1"/>
    <x:xf numFmtId="176" fontId="11" fillId="0" borderId="0" xfId="0" applyNumberFormat="1" applyFont="1" applyAlignment="1">
      <x:alignment horizontal="right"/>
    </x:xf>
    <x:xf numFmtId="176" fontId="5" fillId="0" borderId="0" xfId="0" applyNumberFormat="1" applyFont="1" applyAlignment="1">
      <x:alignment horizontal="right"/>
    </x:xf>
    <x:xf numFmtId="0" fontId="6" fillId="0" borderId="0" xfId="0" applyFont="1" applyAlignment="1">
      <x:alignment vertical="top" wrapText="1"/>
    </x:xf>
    <x:xf numFmtId="176" fontId="5" fillId="0" borderId="2" xfId="0" applyNumberFormat="1" applyFont="1" applyBorder="1" applyAlignment="1">
      <x:alignment horizontal="right"/>
    </x:xf>
    <x:xf numFmtId="176" fontId="4" fillId="0" borderId="0" xfId="0" applyNumberFormat="1" applyFont="1" applyAlignment="1">
      <x:alignment horizontal="right"/>
    </x:xf>
    <x:xf numFmtId="178" fontId="9" fillId="0" borderId="0" xfId="0" applyNumberFormat="1" applyFont="1" applyAlignment="1">
      <x:alignment horizontal="right"/>
    </x:xf>
    <x:xf numFmtId="176" fontId="10" fillId="0" borderId="0" xfId="0" applyNumberFormat="1" applyFont="1" applyAlignment="1">
      <x:alignment horizontal="right"/>
    </x:xf>
    <x:xf numFmtId="176" fontId="12" fillId="0" borderId="0" xfId="0" applyNumberFormat="1" applyFont="1" applyAlignment="1">
      <x:alignment horizontal="right"/>
    </x:xf>
    <x:xf numFmtId="176" fontId="13" fillId="0" borderId="0" xfId="0" applyNumberFormat="1" applyFont="1" applyAlignment="1">
      <x:alignment horizontal="right"/>
    </x:xf>
    <x:xf numFmtId="176" fontId="4" fillId="0" borderId="2" xfId="0" applyNumberFormat="1" applyFont="1" applyBorder="1" applyAlignment="1">
      <x:alignment horizontal="right"/>
    </x:xf>
    <x:xf numFmtId="179" fontId="10" fillId="0" borderId="0" xfId="0" applyNumberFormat="1" applyFont="1" applyAlignment="1">
      <x:alignment horizontal="right"/>
    </x:xf>
    <x:xf numFmtId="177" fontId="4" fillId="0" borderId="0" xfId="0" applyNumberFormat="1" applyFont="1" applyAlignment="1">
      <x:alignment horizontal="right"/>
    </x:xf>
    <x:xf numFmtId="0" fontId="3" fillId="0" borderId="3" xfId="0" applyFont="1" applyBorder="1" applyAlignment="1">
      <x:alignment horizontal="center"/>
    </x:xf>
    <x:xf numFmtId="0" fontId="3" fillId="0" borderId="3" xfId="0" applyFont="1" applyBorder="1" applyAlignment="1">
      <x:alignment horizontal="left"/>
    </x:xf>
    <x:xf numFmtId="0" fontId="16" fillId="0" borderId="3" xfId="0" applyFont="1" applyBorder="1" applyAlignment="1">
      <x:alignment horizontal="center"/>
    </x:xf>
    <x:xf numFmtId="0" fontId="16" fillId="0" borderId="3" xfId="0" applyFont="1" applyBorder="1" applyAlignment="1">
      <x:alignment horizontal="left"/>
    </x:xf>
    <x:xf numFmtId="0" fontId="17" fillId="5" borderId="0" xfId="0" applyFont="1" applyFill="1" applyAlignment="1">
      <x:alignment horizontal="center" vertical="center" wrapText="1"/>
    </x:xf>
    <x:xf numFmtId="0" fontId="16" fillId="0" borderId="3" xfId="0" applyFont="1" applyBorder="1" applyAlignment="1">
      <x:alignment horizontal="center" vertical="center"/>
    </x:xf>
    <x:xf numFmtId="0" fontId="16" fillId="0" borderId="3" xfId="0" applyFont="1" applyBorder="1" applyAlignment="1">
      <x:alignment horizontal="left" vertical="center"/>
    </x:xf>
    <x:xf numFmtId="0" fontId="18" fillId="0" borderId="3" xfId="0" applyFont="1" applyBorder="1" applyAlignment="1">
      <x:alignment horizontal="left" vertical="center"/>
    </x:xf>
    <x:xf numFmtId="0" fontId="0" fillId="0" borderId="0" xfId="0"/>
    <x:xf numFmtId="0" fontId="19" fillId="0" borderId="0" xfId="0" applyFont="1"/>
    <x:xf numFmtId="0" fontId="3" fillId="6" borderId="0" xfId="0" applyFont="1" applyFill="1" applyAlignment="1">
      <x:alignment horizontal="center" vertical="center"/>
    </x:xf>
    <x:xf numFmtId="0" fontId="20" fillId="0" borderId="3" xfId="0" applyFont="1" applyBorder="1" applyAlignment="1">
      <x:alignment horizontal="center"/>
    </x:xf>
    <x:xf numFmtId="0" fontId="2" fillId="0" borderId="0" xfId="0" applyFont="1"/>
    <x:xf numFmtId="0" fontId="18" fillId="0" borderId="3" xfId="0" applyFont="1" applyBorder="1"/>
    <x:xf numFmtId="0" fontId="16" fillId="0" borderId="3" xfId="0" applyFont="1" applyBorder="1"/>
    <x:xf numFmtId="0" fontId="18" fillId="0" borderId="3" xfId="0" applyFont="1" applyBorder="1" applyAlignment="1">
      <x:alignment horizontal="left"/>
    </x:xf>
    <x:xf numFmtId="0" fontId="21" fillId="0" borderId="3" xfId="0" applyFont="1" applyBorder="1" applyAlignment="1">
      <x:alignment horizontal="center"/>
    </x:xf>
    <x:xf numFmtId="0" fontId="20" fillId="0" borderId="3" xfId="0" applyFont="1" applyBorder="1" applyAlignment="1">
      <x:alignment horizontal="left"/>
    </x:xf>
    <x:xf numFmtId="180" fontId="0" fillId="0" borderId="0" xfId="1" applyNumberFormat="1" applyFont="1" applyAlignment="1"/>
    <x:xf numFmtId="0" fontId="22" fillId="0" borderId="0" xfId="0" applyNumberFormat="1" applyFont="1" applyFill="1" applyBorder="1"/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4" xfId="0" applyNumberFormat="1" applyFont="1" applyFill="1" applyBorder="1"/>
    <x:xf numFmtId="0" fontId="24" fillId="7" borderId="4" xfId="0" applyNumberFormat="1" applyFont="1" applyFill="1" applyBorder="1" applyAlignment="1">
      <x:alignment wrapText="1"/>
    </x:xf>
    <x:xf numFmtId="0" fontId="24" fillId="7" borderId="4" xfId="0" applyNumberFormat="1" applyFont="1" applyFill="1" applyBorder="1" applyAlignment="1">
      <x:alignment horizontal="center" wrapText="1"/>
    </x:xf>
    <x:xf numFmtId="0" fontId="24" fillId="7" borderId="4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horizontal="right"/>
    </x:xf>
    <x:xf numFmtId="0" fontId="25" fillId="0" borderId="0" xfId="0" applyNumberFormat="1" applyFont="1" applyFill="1" applyBorder="1" applyAlignment="1">
      <x:alignment horizontal="right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 applyAlignment="1">
      <x:alignment horizontal="right" vertical="center"/>
    </x:xf>
    <x:xf numFmtId="0" fontId="24" fillId="8" borderId="4" xfId="0" applyNumberFormat="1" applyFont="1" applyFill="1" applyBorder="1" applyAlignment="1">
      <x:alignment horizontal="center" vertical="center" wrapText="1"/>
    </x:xf>
    <x:xf numFmtId="0" fontId="27" fillId="8" borderId="4" xfId="0" applyNumberFormat="1" applyFont="1" applyFill="1" applyBorder="1" applyAlignment="1">
      <x:alignment horizontal="center" vertical="center" wrapText="1"/>
    </x:xf>
    <x:xf numFmtId="0" fontId="24" fillId="9" borderId="4" xfId="0" applyNumberFormat="1" applyFont="1" applyFill="1" applyBorder="1" applyAlignment="1">
      <x:alignment horizontal="center" vertical="center" wrapText="1"/>
    </x:xf>
    <x:xf numFmtId="0" fontId="28" fillId="9" borderId="4" xfId="0" applyNumberFormat="1" applyFont="1" applyFill="1" applyBorder="1" applyAlignment="1">
      <x:alignment horizontal="center" vertical="center" wrapText="1"/>
    </x:xf>
    <x:xf numFmtId="0" fontId="25" fillId="10" borderId="0" xfId="0" applyNumberFormat="1" applyFont="1" applyFill="1" applyBorder="1" applyAlignment="1">
      <x:alignment horizontal="right" vertical="center"/>
    </x:xf>
    <x:xf numFmtId="0" fontId="29" fillId="10" borderId="0" xfId="0" applyNumberFormat="1" applyFont="1" applyFill="1" applyBorder="1" applyAlignment="1">
      <x:alignment horizontal="right" vertical="center"/>
    </x:xf>
    <x:xf numFmtId="0" fontId="25" fillId="0" borderId="5" xfId="0" applyNumberFormat="1" applyFont="1" applyFill="1" applyBorder="1" applyAlignment="1">
      <x:alignment vertical="center"/>
    </x:xf>
    <x:xf numFmtId="0" fontId="25" fillId="0" borderId="5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/>
    <x:xf numFmtId="0" fontId="26" fillId="0" borderId="5" xfId="0" applyNumberFormat="1" applyFont="1" applyFill="1" applyBorder="1" applyAlignment="1">
      <x:alignment horizontal="right" vertical="center"/>
    </x:xf>
    <x:xf numFmtId="0" fontId="29" fillId="10" borderId="5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27" fillId="9" borderId="0" xfId="0" applyNumberFormat="1" applyFont="1" applyFill="1" applyBorder="1"/>
    <x:xf numFmtId="200" fontId="29" fillId="10" borderId="0" xfId="0" applyNumberFormat="1" applyFont="1" applyFill="1" applyBorder="1" applyAlignment="1">
      <x:alignment horizontal="right" vertical="center"/>
    </x:xf>
    <x:xf numFmtId="200" fontId="25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26" fillId="0" borderId="0" xfId="0" applyNumberFormat="1" applyFont="1" applyFill="1" applyBorder="1" applyAlignment="1">
      <x:alignment horizontal="right" vertical="center"/>
    </x:xf>
    <x:xf numFmtId="201" fontId="25" fillId="0" borderId="5" xfId="0" applyNumberFormat="1" applyFont="1" applyFill="1" applyBorder="1" applyAlignment="1">
      <x:alignment horizontal="right" vertical="center"/>
    </x:xf>
    <x:xf numFmtId="201" fontId="29" fillId="10" borderId="5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/>
    <x:xf numFmtId="201" fontId="26" fillId="0" borderId="5" xfId="0" applyNumberFormat="1" applyFont="1" applyFill="1" applyBorder="1" applyAlignment="1">
      <x:alignment horizontal="right" vertical="center"/>
    </x:xf>
    <x:xf numFmtId="202" fontId="25" fillId="0" borderId="5" xfId="0" applyNumberFormat="1" applyFont="1" applyFill="1" applyBorder="1" applyAlignment="1">
      <x:alignment horizontal="right" vertical="center"/>
    </x:xf>
    <x:xf numFmtId="202" fontId="0" fillId="0" borderId="5" xfId="0" applyNumberFormat="1" applyFont="1" applyFill="1" applyBorder="1"/>
    <x:xf numFmtId="202" fontId="26" fillId="0" borderId="5" xfId="0" applyNumberFormat="1" applyFont="1" applyFill="1" applyBorder="1" applyAlignment="1">
      <x:alignment horizontal="right" vertical="center"/>
    </x:xf>
    <x:xf numFmtId="202" fontId="25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26" fillId="0" borderId="0" xfId="0" applyNumberFormat="1" applyFont="1" applyFill="1" applyBorder="1" applyAlignment="1">
      <x:alignment horizontal="right" vertical="center"/>
    </x:xf>
    <x:xf numFmtId="202" fontId="29" fillId="10" borderId="5" xfId="0" applyNumberFormat="1" applyFont="1" applyFill="1" applyBorder="1" applyAlignment="1">
      <x:alignment horizontal="right" vertical="center"/>
    </x:xf>
    <x:xf numFmtId="0" fontId="24" fillId="7" borderId="4" xfId="0" applyNumberFormat="1" applyFont="1" applyFill="1" applyBorder="1" applyAlignment="1">
      <x:alignment horizontal="center"/>
    </x:xf>
    <x:xf numFmtId="0" fontId="24" fillId="7" borderId="4" xfId="0" applyNumberFormat="1" applyFont="1" applyFill="1" applyBorder="1" applyAlignment="1">
      <x:alignment horizontal="center" vertical="center"/>
    </x:xf>
    <x:xf numFmtId="0" fontId="27" fillId="9" borderId="0" xfId="0" applyNumberFormat="1" applyFont="1" applyFill="1" applyBorder="1" applyAlignment="1">
      <x:alignment horizontal="center"/>
    </x:xf>
    <x:xf numFmtId="0" fontId="25" fillId="10" borderId="0" xfId="0" applyNumberFormat="1" applyFont="1" applyFill="1" applyBorder="1"/>
    <x:xf numFmtId="0" fontId="29" fillId="10" borderId="0" xfId="0" applyNumberFormat="1" applyFont="1" applyFill="1" applyBorder="1"/>
    <x:xf numFmtId="0" fontId="25" fillId="9" borderId="0" xfId="0" applyNumberFormat="1" applyFont="1" applyFill="1" applyBorder="1"/>
    <x:xf numFmtId="0" fontId="30" fillId="9" borderId="0" xfId="0" applyNumberFormat="1" applyFont="1" applyFill="1" applyBorder="1"/>
    <x:xf numFmtId="201" fontId="25" fillId="0" borderId="0" xfId="0" applyNumberFormat="1" applyFont="1" applyFill="1" applyBorder="1" applyAlignment="1">
      <x:alignment horizontal="right"/>
    </x:xf>
    <x:xf numFmtId="200" fontId="25" fillId="0" borderId="0" xfId="0" applyNumberFormat="1" applyFont="1" applyFill="1" applyBorder="1" applyAlignment="1">
      <x:alignment horizontal="right"/>
    </x:xf>
    <x:xf numFmtId="200" fontId="29" fillId="10" borderId="0" xfId="0" applyNumberFormat="1" applyFont="1" applyFill="1" applyBorder="1"/>
    <x:xf numFmtId="203" fontId="25" fillId="0" borderId="0" xfId="0" applyNumberFormat="1" applyFont="1" applyFill="1" applyBorder="1" applyAlignment="1">
      <x:alignment horizontal="right"/>
    </x:xf>
    <x:xf numFmtId="204" fontId="25" fillId="0" borderId="0" xfId="0" applyNumberFormat="1" applyFont="1" applyFill="1" applyBorder="1" applyAlignment="1">
      <x:alignment horizontal="right"/>
    </x:xf>
    <x:xf numFmtId="202" fontId="25" fillId="0" borderId="0" xfId="0" applyNumberFormat="1" applyFont="1" applyFill="1" applyBorder="1" applyAlignment="1">
      <x:alignment horizontal="right"/>
    </x:xf>
  </x:cellXfs>
  <x:cellStyles count="2">
    <x:cellStyle name="百分比" xfId="1"/>
    <x:cellStyle name="常规" xfId="0"/>
  </x:cellStyles>
  <x:dxfs count="6">
    <x:dxf>
      <x:font>
        <x:b/>
        <x:sz val="10"/>
        <x:color rgb="FFFF0000"/>
        <x:name val="Arial"/>
      </x:font>
    </x:dxf>
    <x:dxf>
      <x:font>
        <x:b/>
        <x:sz val="10"/>
        <x:color rgb="FFFF0000"/>
        <x:name val="Arial"/>
      </x:font>
    </x:dxf>
    <x:dxf>
      <x:font>
        <x:b/>
        <x:sz val="10"/>
        <x:color rgb="FFFF0000"/>
        <x:name val="Arial"/>
      </x:font>
    </x:dxf>
    <x:dxf>
      <x:font>
        <x:b/>
        <x:sz val="10"/>
        <x:color rgb="FFFF0000"/>
        <x:name val="Arial"/>
      </x:font>
    </x:dxf>
    <x:dxf>
      <x:font>
        <x:b/>
        <x:sz val="10"/>
        <x:color rgb="FFFF0000"/>
        <x:name val="Arial"/>
      </x:font>
    </x:dxf>
    <x:dxf>
      <x:font>
        <x:b/>
        <x:sz val="10"/>
        <x:color rgb="FFFF0000"/>
        <x:name val="Arial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16887a664402b" /><Relationship Type="http://schemas.openxmlformats.org/officeDocument/2006/relationships/theme" Target="/xl/theme/theme1.xml" Id="R9f54418659dd4ae9" /><Relationship Type="http://schemas.openxmlformats.org/officeDocument/2006/relationships/sharedStrings" Target="/xl/sharedStrings.xml" Id="Re086cf83d8b14989" /><Relationship Type="http://schemas.openxmlformats.org/officeDocument/2006/relationships/worksheet" Target="/xl/worksheets/sheet1.xml" Id="Rab3dc587964345ba" /><Relationship Type="http://schemas.openxmlformats.org/officeDocument/2006/relationships/worksheet" Target="/xl/worksheets/sheet2.xml" Id="Rd233e5522acc4511" /><Relationship Type="http://schemas.openxmlformats.org/officeDocument/2006/relationships/worksheet" Target="/xl/worksheets/sheet3.xml" Id="R9f3ca3db988b4fc1" /><Relationship Type="http://schemas.openxmlformats.org/officeDocument/2006/relationships/worksheet" Target="/xl/worksheets/sheet4.xml" Id="Rd85f62c25d1444da" /><Relationship Type="http://schemas.openxmlformats.org/officeDocument/2006/relationships/worksheet" Target="/xl/worksheets/sheet5.xml" Id="Redf9c97796354e38" /><Relationship Type="http://schemas.openxmlformats.org/officeDocument/2006/relationships/worksheet" Target="/xl/worksheets/sheet6.xml" Id="R453169bbc77c4142" /><Relationship Type="http://schemas.openxmlformats.org/officeDocument/2006/relationships/worksheet" Target="/xl/worksheets/sheet7.xml" Id="R3e9ca9657b1948e6" /><Relationship Type="http://schemas.openxmlformats.org/officeDocument/2006/relationships/worksheet" Target="/xl/worksheets/sheet8.xml" Id="Rff22d60b96e94e0d" /><Relationship Type="http://schemas.openxmlformats.org/officeDocument/2006/relationships/worksheet" Target="/xl/worksheets/sheet9.xml" Id="R3b51ffd6ab0b4229" /><Relationship Type="http://schemas.openxmlformats.org/officeDocument/2006/relationships/worksheet" Target="/xl/worksheets/sheet10.xml" Id="Rb496c8a860ef4fe2" /><Relationship Type="http://schemas.openxmlformats.org/officeDocument/2006/relationships/worksheet" Target="/xl/worksheets/sheet11.xml" Id="R1ba89d7af3174af3" /><Relationship Type="http://schemas.openxmlformats.org/officeDocument/2006/relationships/worksheet" Target="/xl/worksheets/sheet12.xml" Id="R5af8228b69e34ad4" /><Relationship Type="http://schemas.openxmlformats.org/officeDocument/2006/relationships/worksheet" Target="/xl/worksheets/sheet13.xml" Id="Ref047391864a484e" /><Relationship Type="http://schemas.openxmlformats.org/officeDocument/2006/relationships/worksheet" Target="/xl/worksheets/sheet14.xml" Id="R09a4ef14f33a4307" /><Relationship Type="http://schemas.openxmlformats.org/officeDocument/2006/relationships/worksheet" Target="/xl/worksheets/sheet15.xml" Id="Rb7128a35a7854eec" /><Relationship Type="http://schemas.openxmlformats.org/officeDocument/2006/relationships/worksheet" Target="/xl/worksheets/sheet16.xml" Id="R0723d75a63884fe1" /><Relationship Type="http://schemas.openxmlformats.org/officeDocument/2006/relationships/worksheet" Target="/xl/worksheets/sheet17.xml" Id="R165cc552074144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showGridLines="0" workbookViewId="0">
      <x:pane ySplit="3" topLeftCell="A4" activePane="bottomLeft" state="frozen"/>
    </x:sheetView>
  </x:sheetViews>
  <x:sheetFormatPr baseColWidth="10" defaultColWidth="8.83203125" defaultRowHeight="14"/>
  <x:cols>
    <x:col min="1" max="1" width="34" customWidth="1"/>
    <x:col min="2" max="2" width="70" customWidth="1"/>
  </x:cols>
  <x:sheetData>
    <x:row r="1" ht="28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ht="16" customHeight="1">
      <x:c r="A2" s="3" t="s">
        <x:v>1</x:v>
      </x:c>
    </x:row>
    <x:row r="4">
      <x:c r="A4" s="4" t="s">
        <x:v>2</x:v>
      </x:c>
    </x:row>
    <x:row r="6">
      <x:c r="A6" s="4" t="s">
        <x:v>3</x:v>
      </x:c>
    </x:row>
    <x:row r="7">
      <x:c r="A7" s="5" t="s">
        <x:v>4</x:v>
      </x:c>
      <x:c r="B7" s="5" t="s">
        <x:v>5</x:v>
      </x:c>
    </x:row>
    <x:row r="8">
      <x:c r="A8" s="5" t="s">
        <x:v>6</x:v>
      </x:c>
      <x:c r="B8" s="5" t="s">
        <x:v>7</x:v>
      </x:c>
    </x:row>
    <x:row r="9">
      <x:c r="A9" s="5" t="s">
        <x:v>8</x:v>
      </x:c>
      <x:c r="B9" s="5" t="s">
        <x:v>9</x:v>
      </x:c>
    </x:row>
    <x:row r="10">
      <x:c r="A10" s="5" t="s">
        <x:v>10</x:v>
      </x:c>
      <x:c r="B10" s="5" t="s">
        <x:v>11</x:v>
      </x:c>
    </x:row>
    <x:row r="11">
      <x:c r="A11" s="5" t="s">
        <x:v>12</x:v>
      </x:c>
      <x:c r="B11" s="5" t="s">
        <x:v>13</x:v>
      </x:c>
    </x:row>
    <x:row r="12">
      <x:c r="A12" s="5" t="s">
        <x:v>14</x:v>
      </x:c>
      <x:c r="B12" s="5" t="s">
        <x:v>15</x:v>
      </x:c>
    </x:row>
    <x:row r="13">
      <x:c r="A13" s="5" t="s">
        <x:v>16</x:v>
      </x:c>
      <x:c r="B13" s="5" t="s">
        <x:v>17</x:v>
      </x:c>
    </x:row>
    <x:row r="14">
      <x:c r="A14" s="5" t="s">
        <x:v>18</x:v>
      </x:c>
      <x:c r="B14" s="5" t="s">
        <x:v>19</x:v>
      </x:c>
    </x:row>
    <x:row r="15">
      <x:c r="A15" s="5" t="s">
        <x:v>20</x:v>
      </x:c>
      <x:c r="B15" s="5" t="s">
        <x:v>21</x:v>
      </x:c>
    </x:row>
    <x:row r="16">
      <x:c r="A16" s="5" t="s">
        <x:v>22</x:v>
      </x:c>
      <x:c r="B16" s="5" t="s">
        <x:v>23</x:v>
      </x:c>
    </x:row>
    <x:row r="17">
      <x:c r="A17" s="5" t="s">
        <x:v>24</x:v>
      </x:c>
      <x:c r="B17" s="5" t="s">
        <x:v>25</x:v>
      </x:c>
    </x:row>
    <x:row r="18">
      <x:c r="A18" s="5" t="s">
        <x:v>26</x:v>
      </x:c>
      <x:c r="B18" s="5" t="s">
        <x:v>27</x:v>
      </x:c>
    </x:row>
    <x:row r="20">
      <x:c r="A20" s="4" t="s">
        <x:v>28</x:v>
      </x:c>
    </x:row>
    <x:row r="21">
      <x:c r="A21" s="6" t="s">
        <x:v>29</x:v>
      </x:c>
      <x:c r="B21" s="5" t="s">
        <x:v>30</x:v>
      </x:c>
    </x:row>
    <x:row r="22">
      <x:c r="A22" t="s">
        <x:v>31</x:v>
      </x:c>
      <x:c r="B22" s="5" t="s">
        <x:v>32</x:v>
      </x:c>
    </x:row>
    <x:row r="23">
      <x:c r="A23" s="7" t="s">
        <x:v>33</x:v>
      </x:c>
      <x:c r="B23" s="5" t="s">
        <x:v>34</x:v>
      </x:c>
    </x:row>
    <x:row r="24">
      <x:c r="A24" t="s">
        <x:v>35</x:v>
      </x:c>
      <x:c r="B24" s="5" t="s">
        <x:v>36</x:v>
      </x:c>
    </x:row>
    <x:row r="26">
      <x:c r="A26" s="4" t="s">
        <x:v>37</x:v>
      </x:c>
    </x:row>
    <x:row r="27">
      <x:c r="A27" s="5" t="s">
        <x:v>38</x:v>
      </x:c>
      <x:c r="B27" s="5" t="s">
        <x:v>39</x:v>
      </x:c>
    </x:row>
    <x:row r="28">
      <x:c r="A28" s="5" t="s">
        <x:v>40</x:v>
      </x:c>
      <x:c r="B28" s="5" t="s">
        <x:v>41</x:v>
      </x:c>
    </x:row>
    <x:row r="29">
      <x:c r="A29" s="5" t="s">
        <x:v>42</x:v>
      </x:c>
      <x:c r="B29" s="5" t="s">
        <x:v>43</x:v>
      </x:c>
    </x:row>
    <x:row r="30">
      <x:c r="A30" s="5" t="s">
        <x:v>44</x:v>
      </x:c>
      <x:c r="B30" s="5" t="s">
        <x:v>45</x:v>
      </x:c>
    </x:row>
    <x:row r="31">
      <x:c r="A31" s="5" t="s">
        <x:v>46</x:v>
      </x:c>
      <x:c r="B31" s="5" t="s">
        <x:v>47</x:v>
      </x:c>
    </x:row>
    <x:row r="32">
      <x:c r="A32" s="5" t="s">
        <x:v>48</x:v>
      </x:c>
      <x:c r="B32" s="5" t="s">
        <x:v>49</x:v>
      </x:c>
    </x:row>
    <x:row r="33">
      <x:c r="A33" s="5" t="s">
        <x:v>50</x:v>
      </x:c>
      <x:c r="B33" s="5" t="s">
        <x:v>51</x:v>
      </x:c>
    </x:row>
    <x:row r="35">
      <x:c r="A35" s="4" t="s">
        <x:v>52</x:v>
      </x:c>
    </x:row>
    <x:row r="36">
      <x:c r="A36" s="5" t="s">
        <x:v>53</x:v>
      </x:c>
      <x:c r="B36" s="5" t="s">
        <x:v>54</x:v>
      </x:c>
    </x:row>
    <x:row r="37">
      <x:c r="A37" s="5" t="s">
        <x:v>55</x:v>
      </x:c>
      <x:c r="B37" s="5" t="s">
        <x:v>56</x:v>
      </x:c>
    </x:row>
    <x:row r="38">
      <x:c r="A38" s="5" t="s">
        <x:v>57</x:v>
      </x:c>
      <x:c r="B38" s="5" t="s">
        <x:v>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6" customWidth="1"/>
    <x:col min="2" max="2" width="34" hidden="1" customWidth="1"/>
    <x:col min="3" max="3" width="12" customWidth="1"/>
    <x:col min="4" max="10" width="12" customWidth="1"/>
  </x:cols>
  <x:sheetData>
    <x:row r="1" ht="28" customHeight="1">
      <x:c r="A1" s="1" t="s">
        <x:v>59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6" customHeight="1">
      <x:c r="A2" s="3" t="s">
        <x:v>1</x:v>
      </x:c>
    </x:row>
    <x:row r="3">
      <x:c r="C3" s="8" t="s">
        <x:v>60</x:v>
      </x:c>
      <x:c r="D3" s="8" t="s">
        <x:v>61</x:v>
      </x:c>
      <x:c r="E3" s="8" t="s">
        <x:v>62</x:v>
      </x:c>
      <x:c r="F3" s="8" t="s">
        <x:v>63</x:v>
      </x:c>
      <x:c r="G3" s="8" t="s">
        <x:v>64</x:v>
      </x:c>
      <x:c r="H3" s="8" t="s">
        <x:v>65</x:v>
      </x:c>
      <x:c r="I3" s="8" t="s">
        <x:v>66</x:v>
      </x:c>
      <x:c r="J3" s="8" t="s">
        <x:v>67</x:v>
      </x:c>
    </x:row>
    <x:row r="4">
      <x:c r="C4" s="9"/>
      <x:c r="D4" s="9"/>
      <x:c r="E4" s="9"/>
      <x:c r="F4" s="9"/>
      <x:c r="G4" s="9"/>
      <x:c r="H4" s="9"/>
      <x:c r="I4" s="9"/>
      <x:c r="J4" s="9"/>
    </x:row>
    <x:row r="6">
      <x:c r="A6" s="10" t="s">
        <x:v>68</x:v>
      </x:c>
    </x:row>
    <x:row r="7">
      <x:c r="A7" s="11" t="e">
        <x:f>HYPERLINK("#'Income Statement'!A9","1. Consolidated Income Statement")</x:f>
        <x:v>HYPERLINK is not implemented. linkLocation=#'Income Statement'!A9, friendlyName=1. Consolidated Income Statement</x:v>
      </x:c>
    </x:row>
    <x:row r="8" ht="8" customHeight="1"/>
    <x:row r="9" ht="20" customHeight="1">
      <x:c r="A9" s="12" t="s">
        <x:v>69</x:v>
      </x:c>
      <x:c r="B9" s="2"/>
      <x:c r="C9" s="2"/>
      <x:c r="D9" s="2"/>
      <x:c r="E9" s="2"/>
      <x:c r="F9" s="2"/>
      <x:c r="G9" s="2"/>
      <x:c r="H9" s="2"/>
      <x:c r="I9" s="2"/>
      <x:c r="J9" s="2"/>
      <x:c r="K9" t="s">
        <x:v>70</x:v>
      </x:c>
    </x:row>
    <x:row r="10">
      <x:c r="A10" s="10" t="s">
        <x:v>71</x:v>
      </x:c>
      <x:c r="C10" s="13">
        <x:v>14900</x:v>
      </x:c>
      <x:c r="D10" s="13">
        <x:v>28228</x:v>
      </x:c>
      <x:c r="E10" s="13">
        <x:v>27243</x:v>
      </x:c>
      <x:c r="F10" s="13">
        <x:v>30793</x:v>
      </x:c>
      <x:c r="G10" s="13">
        <x:v>33364</x:v>
      </x:c>
      <x:c r="H10" s="13">
        <x:v>32854</x:v>
      </x:c>
      <x:c r="I10" s="13">
        <x:v>33005</x:v>
      </x:c>
      <x:c r="J10" s="13">
        <x:v>33986</x:v>
      </x:c>
      <x:c r="K10" s="47" t="n">
        <x:f>POWER(J10/D10,1/6)-1</x:f>
        <x:v>0.031422633662103294</x:v>
      </x:c>
    </x:row>
    <x:row r="11">
      <x:c r="A11" s="14" t="s">
        <x:v>72</x:v>
      </x:c>
      <x:c r="D11" s="15" t="n">
        <x:f t="shared" ref="D11:J11" si="0">IF(N(C10)=0,"",D10/C10-1)</x:f>
        <x:v>0.894496644295302</x:v>
      </x:c>
      <x:c r="E11" s="15">
        <x:f t="shared" si="0"/>
        <x:v>-3.4894431061357478E-2</x:v>
      </x:c>
      <x:c r="F11" s="15">
        <x:f t="shared" si="0"/>
        <x:v>0.13030870315310361</x:v>
      </x:c>
      <x:c r="G11" s="15">
        <x:f t="shared" si="0"/>
        <x:v>8.3493001656220533E-2</x:v>
      </x:c>
      <x:c r="H11" s="15">
        <x:f t="shared" si="0"/>
        <x:v>-1.5285936938017053E-2</x:v>
      </x:c>
      <x:c r="I11" s="15">
        <x:f t="shared" si="0"/>
        <x:v>4.5960918000851336E-3</x:v>
      </x:c>
      <x:c r="J11" s="15">
        <x:f t="shared" si="0"/>
        <x:v>2.9722769277382266E-2</x:v>
      </x:c>
    </x:row>
    <x:row r="13">
      <x:c r="A13" s="16" t="s">
        <x:v>73</x:v>
      </x:c>
      <x:c r="C13" s="17">
        <x:v>9084</x:v>
      </x:c>
      <x:c r="D13" s="17">
        <x:v>16644</x:v>
      </x:c>
      <x:c r="E13" s="17">
        <x:v>15383</x:v>
      </x:c>
      <x:c r="F13" s="17">
        <x:v>17543</x:v>
      </x:c>
      <x:c r="G13" s="17">
        <x:v>19450</x:v>
      </x:c>
      <x:c r="H13" s="17">
        <x:v>17492</x:v>
      </x:c>
      <x:c r="I13" s="17">
        <x:v>17143</x:v>
      </x:c>
      <x:c r="J13" s="17">
        <x:v>17389</x:v>
      </x:c>
      <x:c r="K13" s="47" t="n">
        <x:f>POWER(J13/D13,1/6)-1</x:f>
        <x:v>0.007324700554651731</x:v>
      </x:c>
    </x:row>
    <x:row r="14">
      <x:c r="A14" s="10" t="s">
        <x:v>74</x:v>
      </x:c>
      <x:c r="C14" s="18" t="n">
        <x:f t="shared" ref="C14:J14" si="1">C10-C13</x:f>
        <x:v>5816</x:v>
      </x:c>
      <x:c r="D14" s="18">
        <x:f t="shared" si="1"/>
        <x:v>11584</x:v>
      </x:c>
      <x:c r="E14" s="18">
        <x:f t="shared" si="1"/>
        <x:v>11860</x:v>
      </x:c>
      <x:c r="F14" s="18">
        <x:f t="shared" si="1"/>
        <x:v>13250</x:v>
      </x:c>
      <x:c r="G14" s="18">
        <x:f t="shared" si="1"/>
        <x:v>13914</x:v>
      </x:c>
      <x:c r="H14" s="18">
        <x:f t="shared" si="1"/>
        <x:v>15362</x:v>
      </x:c>
      <x:c r="I14" s="18">
        <x:f t="shared" si="1"/>
        <x:v>15862</x:v>
      </x:c>
      <x:c r="J14" s="18">
        <x:f t="shared" si="1"/>
        <x:v>16597</x:v>
      </x:c>
      <x:c r="K14" s="47" t="n">
        <x:f>POWER(J14/D14,1/6)-1</x:f>
        <x:v>0.06176525024203339</x:v>
      </x:c>
    </x:row>
    <x:row r="15">
      <x:c r="A15" s="14" t="s">
        <x:v>75</x:v>
      </x:c>
      <x:c r="C15" s="15" t="n">
        <x:f t="shared" ref="C15:J15" si="2">C14/C10</x:f>
        <x:v>0.39033557046979867</x:v>
      </x:c>
      <x:c r="D15" s="15">
        <x:f t="shared" si="2"/>
        <x:v>0.41037267960889895</x:v>
      </x:c>
      <x:c r="E15" s="15">
        <x:f t="shared" si="2"/>
        <x:v>0.43534118856219944</x:v>
      </x:c>
      <x:c r="F15" s="15">
        <x:f t="shared" si="2"/>
        <x:v>0.43029259896729777</x:v>
      </x:c>
      <x:c r="G15" s="15">
        <x:f t="shared" si="2"/>
        <x:v>0.41703632657954681</x:v>
      </x:c>
      <x:c r="H15" s="15">
        <x:f t="shared" si="2"/>
        <x:v>0.46758385584708101</x:v>
      </x:c>
      <x:c r="I15" s="15">
        <x:f t="shared" si="2"/>
        <x:v>0.48059384941675504</x:v>
      </x:c>
      <x:c r="J15" s="15">
        <x:f t="shared" si="2"/>
        <x:v>0.48834814335314541</x:v>
      </x:c>
    </x:row>
    <x:row r="17">
      <x:c r="A17" s="16" t="s">
        <x:v>76</x:v>
      </x:c>
      <x:c r="C17" s="17">
        <x:v>1629</x:v>
      </x:c>
      <x:c r="D17" s="17">
        <x:v>3457</x:v>
      </x:c>
      <x:c r="E17" s="17">
        <x:v>3193</x:v>
      </x:c>
      <x:c r="F17" s="17">
        <x:v>3189</x:v>
      </x:c>
      <x:c r="G17" s="17">
        <x:v>3107</x:v>
      </x:c>
      <x:c r="H17" s="17">
        <x:v>3295</x:v>
      </x:c>
      <x:c r="I17" s="17">
        <x:v>3337</x:v>
      </x:c>
      <x:c r="J17" s="17">
        <x:v>3433</x:v>
      </x:c>
      <x:c r="K17" s="47" t="n">
        <x:f>POWER(J17/D17,1/6)-1</x:f>
        <x:v>-0.001160433919211834</x:v>
      </x:c>
    </x:row>
    <x:row r="18">
      <x:c r="A18" s="16" t="s">
        <x:v>77</x:v>
      </x:c>
      <x:c r="C18" s="17">
        <x:v>113</x:v>
      </x:c>
      <x:c r="D18" s="17">
        <x:v>184</x:v>
      </x:c>
      <x:c r="E18" s="17">
        <x:v>152</x:v>
      </x:c>
      <x:c r="F18" s="17">
        <x:v>143</x:v>
      </x:c>
      <x:c r="G18" s="17">
        <x:v>143</x:v>
      </x:c>
      <x:c r="H18" s="17">
        <x:v>146</x:v>
      </x:c>
      <x:c r="I18" s="17">
        <x:v>150</x:v>
      </x:c>
      <x:c r="J18" s="17">
        <x:v>147</x:v>
      </x:c>
    </x:row>
    <x:row r="19">
      <x:c r="A19" s="16" t="s">
        <x:v>78</x:v>
      </x:c>
      <x:c r="C19" s="17">
        <x:v>1830</x:v>
      </x:c>
      <x:c r="D19" s="17">
        <x:v>4675</x:v>
      </x:c>
      <x:c r="E19" s="17">
        <x:v>4626</x:v>
      </x:c>
      <x:c r="F19" s="17">
        <x:v>4635</x:v>
      </x:c>
      <x:c r="G19" s="17">
        <x:v>4204</x:v>
      </x:c>
      <x:c r="H19" s="17">
        <x:v>3816</x:v>
      </x:c>
      <x:c r="I19" s="17">
        <x:v>3780</x:v>
      </x:c>
      <x:c r="J19" s="17">
        <x:v>3763</x:v>
      </x:c>
      <x:c r="K19" s="47" t="n">
        <x:f>POWER(J19/D19,1/6)-1</x:f>
        <x:v>-0.03552250012583158</x:v>
      </x:c>
    </x:row>
    <x:row r="20" ht="36">
      <x:c r="A20" s="16" t="s">
        <x:v>79</x:v>
      </x:c>
      <x:c r="B20" s="19" t="s">
        <x:v>80</x:v>
      </x:c>
      <x:c r="C20" s="17">
        <x:v>309</x:v>
      </x:c>
      <x:c r="D20" s="17">
        <x:v>567</x:v>
      </x:c>
      <x:c r="E20" s="17">
        <x:v>506</x:v>
      </x:c>
      <x:c r="F20" s="17">
        <x:v>273</x:v>
      </x:c>
      <x:c r="G20" s="17">
        <x:v>1029</x:v>
      </x:c>
      <x:c r="H20" s="17">
        <x:v>40</x:v>
      </x:c>
      <x:c r="I20" s="17">
        <x:v>145</x:v>
      </x:c>
      <x:c r="J20" s="17">
        <x:v>273</x:v>
      </x:c>
    </x:row>
    <x:row r="21" ht="24">
      <x:c r="A21" s="16" t="s">
        <x:v>81</x:v>
      </x:c>
      <x:c r="B21" s="19" t="s">
        <x:v>82</x:v>
      </x:c>
      <x:c r="C21" s="17">
        <x:v>-3294</x:v>
      </x:c>
      <x:c r="D21" s="17">
        <x:v>-164</x:v>
      </x:c>
    </x:row>
    <x:row r="22">
      <x:c r="A22" s="16" t="s">
        <x:v>83</x:v>
      </x:c>
      <x:c r="C22" s="17">
        <x:v>-18</x:v>
      </x:c>
      <x:c r="D22" s="17">
        <x:v>-68</x:v>
      </x:c>
      <x:c r="E22" s="17">
        <x:v>61</x:v>
      </x:c>
      <x:c r="F22" s="17">
        <x:v>26</x:v>
      </x:c>
      <x:c r="G22" s="17">
        <x:v>62</x:v>
      </x:c>
      <x:c r="H22" s="17">
        <x:v>41</x:v>
      </x:c>
      <x:c r="I22" s="17">
        <x:v>-185</x:v>
      </x:c>
      <x:c r="J22" s="17">
        <x:v>58</x:v>
      </x:c>
    </x:row>
    <x:row r="23">
      <x:c r="A23" s="10" t="s">
        <x:v>84</x:v>
      </x:c>
      <x:c r="C23" s="20" t="n">
        <x:f t="shared" ref="C23:J23" si="3">C14-C17-C18-C19-C20-C21-C22</x:f>
        <x:v>5247</x:v>
      </x:c>
      <x:c r="D23" s="20">
        <x:f t="shared" si="3"/>
        <x:v>2933</x:v>
      </x:c>
      <x:c r="E23" s="20">
        <x:f t="shared" si="3"/>
        <x:v>3322</x:v>
      </x:c>
      <x:c r="F23" s="20">
        <x:f t="shared" si="3"/>
        <x:v>4984</x:v>
      </x:c>
      <x:c r="G23" s="20">
        <x:f t="shared" si="3"/>
        <x:v>5369</x:v>
      </x:c>
      <x:c r="H23" s="20">
        <x:f t="shared" si="3"/>
        <x:v>8024</x:v>
      </x:c>
      <x:c r="I23" s="20">
        <x:f t="shared" si="3"/>
        <x:v>8635</x:v>
      </x:c>
      <x:c r="J23" s="20">
        <x:f t="shared" si="3"/>
        <x:v>8923</x:v>
      </x:c>
      <x:c r="K23" s="47" t="n">
        <x:f>POWER(J23/D23,1/6)-1</x:f>
        <x:v>0.20374123635904162</x:v>
      </x:c>
    </x:row>
    <x:row r="24">
      <x:c r="A24" s="14" t="s">
        <x:v>85</x:v>
      </x:c>
      <x:c r="C24" s="15" t="n">
        <x:f t="shared" ref="C24:J24" si="4">C23/C10</x:f>
        <x:v>0.3521476510067114</x:v>
      </x:c>
      <x:c r="D24" s="15">
        <x:f t="shared" si="4"/>
        <x:v>0.10390392518067168</x:v>
      </x:c>
      <x:c r="E24" s="15">
        <x:f t="shared" si="4"/>
        <x:v>0.12193958080974929</x:v>
      </x:c>
      <x:c r="F24" s="15">
        <x:f t="shared" si="4"/>
        <x:v>0.16185496703796318</x:v>
      </x:c>
      <x:c r="G24" s="15">
        <x:f t="shared" si="4"/>
        <x:v>0.16092195180434002</x:v>
      </x:c>
      <x:c r="H24" s="15">
        <x:f t="shared" si="4"/>
        <x:v>0.24423205697936323</x:v>
      </x:c>
      <x:c r="I24" s="15">
        <x:f t="shared" si="4"/>
        <x:v>0.26162702620815026</x:v>
      </x:c>
      <x:c r="J24" s="15">
        <x:f t="shared" si="4"/>
        <x:v>0.26254928499970576</x:v>
      </x:c>
    </x:row>
    <x:row r="26">
      <x:c r="A26" s="16" t="s">
        <x:v>86</x:v>
      </x:c>
      <x:c r="C26" s="17">
        <x:v>202</x:v>
      </x:c>
      <x:c r="D26" s="17">
        <x:v>38</x:v>
      </x:c>
      <x:c r="E26" s="17">
        <x:v>115</x:v>
      </x:c>
      <x:c r="F26" s="17">
        <x:v>77</x:v>
      </x:c>
      <x:c r="G26" s="17">
        <x:v>63</x:v>
      </x:c>
      <x:c r="H26" s="17">
        <x:v>200</x:v>
      </x:c>
      <x:c r="I26" s="17">
        <x:v>256</x:v>
      </x:c>
      <x:c r="J26" s="17">
        <x:v>255</x:v>
      </x:c>
    </x:row>
    <x:row r="27">
      <x:c r="A27" s="16" t="s">
        <x:v>87</x:v>
      </x:c>
      <x:c r="C27" s="17">
        <x:v>-4</x:v>
      </x:c>
      <x:c r="D27" s="17">
        <x:v>-32</x:v>
      </x:c>
      <x:c r="E27" s="17">
        <x:v>-177</x:v>
      </x:c>
      <x:c r="F27" s="17">
        <x:v>-192</x:v>
      </x:c>
      <x:c r="G27" s="17">
        <x:v>-237</x:v>
      </x:c>
      <x:c r="H27" s="17">
        <x:v>-164</x:v>
      </x:c>
      <x:c r="I27" s="17">
        <x:v>-190</x:v>
      </x:c>
      <x:c r="J27" s="17">
        <x:v>-229</x:v>
      </x:c>
    </x:row>
    <x:row r="28">
      <x:c r="A28" s="10" t="s">
        <x:v>88</x:v>
      </x:c>
      <x:c r="C28" s="18" t="n">
        <x:f t="shared" ref="C28:J28" si="5">C23-C26-C27</x:f>
        <x:v>5049</x:v>
      </x:c>
      <x:c r="D28" s="18">
        <x:f t="shared" si="5"/>
        <x:v>2927</x:v>
      </x:c>
      <x:c r="E28" s="18">
        <x:f t="shared" si="5"/>
        <x:v>3384</x:v>
      </x:c>
      <x:c r="F28" s="18">
        <x:f t="shared" si="5"/>
        <x:v>5099</x:v>
      </x:c>
      <x:c r="G28" s="18">
        <x:f t="shared" si="5"/>
        <x:v>5543</x:v>
      </x:c>
      <x:c r="H28" s="18">
        <x:f t="shared" si="5"/>
        <x:v>7988</x:v>
      </x:c>
      <x:c r="I28" s="18">
        <x:f t="shared" si="5"/>
        <x:v>8569</x:v>
      </x:c>
      <x:c r="J28" s="18">
        <x:f t="shared" si="5"/>
        <x:v>8897</x:v>
      </x:c>
    </x:row>
    <x:row r="29">
      <x:c r="A29" s="16" t="s">
        <x:v>89</x:v>
      </x:c>
      <x:c r="C29" s="17">
        <x:v>817</x:v>
      </x:c>
      <x:c r="D29" s="17">
        <x:v>769</x:v>
      </x:c>
      <x:c r="E29" s="17">
        <x:v>847</x:v>
      </x:c>
      <x:c r="F29" s="17">
        <x:v>1262</x:v>
      </x:c>
      <x:c r="G29" s="17">
        <x:v>1434</x:v>
      </x:c>
      <x:c r="H29" s="17">
        <x:v>1814</x:v>
      </x:c>
      <x:c r="I29" s="17">
        <x:v>2002</x:v>
      </x:c>
      <x:c r="J29" s="17">
        <x:v>1989</x:v>
      </x:c>
      <x:c r="K29" s="47" t="n">
        <x:f>POWER(J29/D29,1/6)-1</x:f>
        <x:v>0.17161450713775817</x:v>
      </x:c>
    </x:row>
    <x:row r="30">
      <x:c r="A30" s="14" t="s">
        <x:v>90</x:v>
      </x:c>
      <x:c r="C30" s="15" t="n">
        <x:f t="shared" ref="C30:J30" si="6">C29/C28</x:f>
        <x:v>0.16181422063775006</x:v>
      </x:c>
      <x:c r="D30" s="15">
        <x:f t="shared" si="6"/>
        <x:v>0.26272634096344377</x:v>
      </x:c>
      <x:c r="E30" s="15">
        <x:f t="shared" si="6"/>
        <x:v>0.25029550827423169</x:v>
      </x:c>
      <x:c r="F30" s="15">
        <x:f t="shared" si="6"/>
        <x:v>0.24749950970778584</x:v>
      </x:c>
      <x:c r="G30" s="15">
        <x:f t="shared" si="6"/>
        <x:v>0.25870467255998558</x:v>
      </x:c>
      <x:c r="H30" s="15">
        <x:f t="shared" si="6"/>
        <x:v>0.22709063595393089</x:v>
      </x:c>
      <x:c r="I30" s="15">
        <x:f t="shared" si="6"/>
        <x:v>0.23363286264441591</x:v>
      </x:c>
      <x:c r="J30" s="15">
        <x:f t="shared" si="6"/>
        <x:v>0.22355850286613466</x:v>
      </x:c>
    </x:row>
    <x:row r="31">
      <x:c r="A31" s="5" t="s">
        <x:v>91</x:v>
      </x:c>
      <x:c r="C31" s="21" t="n">
        <x:f t="shared" ref="C31:J31" si="7">C28-C29</x:f>
        <x:v>4232</x:v>
      </x:c>
      <x:c r="D31" s="21">
        <x:f t="shared" si="7"/>
        <x:v>2158</x:v>
      </x:c>
      <x:c r="E31" s="21">
        <x:f t="shared" si="7"/>
        <x:v>2537</x:v>
      </x:c>
      <x:c r="F31" s="21">
        <x:f t="shared" si="7"/>
        <x:v>3837</x:v>
      </x:c>
      <x:c r="G31" s="21">
        <x:f t="shared" si="7"/>
        <x:v>4109</x:v>
      </x:c>
      <x:c r="H31" s="21">
        <x:f t="shared" si="7"/>
        <x:v>6174</x:v>
      </x:c>
      <x:c r="I31" s="21">
        <x:f t="shared" si="7"/>
        <x:v>6567</x:v>
      </x:c>
      <x:c r="J31" s="21">
        <x:f t="shared" si="7"/>
        <x:v>6908</x:v>
      </x:c>
    </x:row>
    <x:row r="32">
      <x:c r="A32" s="16" t="s">
        <x:v>92</x:v>
      </x:c>
      <x:c r="C32" s="17">
        <x:v>56</x:v>
      </x:c>
      <x:c r="D32" s="17">
        <x:v>114</x:v>
      </x:c>
      <x:c r="E32" s="17">
        <x:v>85</x:v>
      </x:c>
      <x:c r="F32" s="17">
        <x:v>119</x:v>
      </x:c>
      <x:c r="G32" s="17">
        <x:v>172</x:v>
      </x:c>
      <x:c r="H32" s="17">
        <x:v>167</x:v>
      </x:c>
      <x:c r="I32" s="17">
        <x:v>170</x:v>
      </x:c>
      <x:c r="J32" s="17">
        <x:v>150</x:v>
      </x:c>
    </x:row>
    <x:row r="33">
      <x:c r="A33" s="16" t="s">
        <x:v>93</x:v>
      </x:c>
      <x:c r="B33" s="19" t="s">
        <x:v>94</x:v>
      </x:c>
      <x:c r="C33" s="17">
        <x:v>117</x:v>
      </x:c>
      <x:c r="D33" s="17">
        <x:v>109</x:v>
      </x:c>
      <x:c r="E33" s="17">
        <x:v>4</x:v>
      </x:c>
      <x:c r="F33" s="17">
        <x:v>5</x:v>
      </x:c>
    </x:row>
    <x:row r="34">
      <x:c r="A34" s="10" t="s">
        <x:v>95</x:v>
      </x:c>
      <x:c r="C34" s="18" t="n">
        <x:f t="shared" ref="C34:J34" si="8">C31+C32+C33</x:f>
        <x:v>4405</x:v>
      </x:c>
      <x:c r="D34" s="18">
        <x:f t="shared" si="8"/>
        <x:v>2381</x:v>
      </x:c>
      <x:c r="E34" s="18">
        <x:f t="shared" si="8"/>
        <x:v>2626</x:v>
      </x:c>
      <x:c r="F34" s="18">
        <x:f t="shared" si="8"/>
        <x:v>3961</x:v>
      </x:c>
      <x:c r="G34" s="18">
        <x:f t="shared" si="8"/>
        <x:v>4281</x:v>
      </x:c>
      <x:c r="H34" s="18">
        <x:f t="shared" si="8"/>
        <x:v>6341</x:v>
      </x:c>
      <x:c r="I34" s="18">
        <x:f t="shared" si="8"/>
        <x:v>6737</x:v>
      </x:c>
      <x:c r="J34" s="18">
        <x:f t="shared" si="8"/>
        <x:v>7058</x:v>
      </x:c>
    </x:row>
    <x:row r="35">
      <x:c r="A35" s="16" t="s">
        <x:v>96</x:v>
      </x:c>
      <x:c r="C35" s="17">
        <x:v>-15</x:v>
      </x:c>
      <x:c r="D35" s="17">
        <x:v>-89</x:v>
      </x:c>
      <x:c r="E35" s="17">
        <x:v>-125</x:v>
      </x:c>
      <x:c r="F35" s="17">
        <x:v>-135</x:v>
      </x:c>
      <x:c r="G35" s="17">
        <x:v>-134</x:v>
      </x:c>
      <x:c r="H35" s="17">
        <x:v>-142</x:v>
      </x:c>
      <x:c r="I35" s="17">
        <x:v>-172</x:v>
      </x:c>
      <x:c r="J35" s="17">
        <x:v>-160</x:v>
      </x:c>
    </x:row>
    <x:row r="36">
      <x:c r="A36" s="16" t="s">
        <x:v>97</x:v>
      </x:c>
      <x:c r="C36" s="17">
        <x:v>-9</x:v>
      </x:c>
      <x:c r="D36" s="17">
        <x:v>-7</x:v>
      </x:c>
    </x:row>
    <x:row r="37">
      <x:c r="A37" s="10" t="s">
        <x:v>98</x:v>
      </x:c>
      <x:c r="C37" s="20" t="n">
        <x:f t="shared" ref="C37:J37" si="9">C34+C35+C36</x:f>
        <x:v>4381</x:v>
      </x:c>
      <x:c r="D37" s="20">
        <x:f t="shared" si="9"/>
        <x:v>2285</x:v>
      </x:c>
      <x:c r="E37" s="20">
        <x:f t="shared" si="9"/>
        <x:v>2501</x:v>
      </x:c>
      <x:c r="F37" s="20">
        <x:f t="shared" si="9"/>
        <x:v>3826</x:v>
      </x:c>
      <x:c r="G37" s="20">
        <x:f t="shared" si="9"/>
        <x:v>4147</x:v>
      </x:c>
      <x:c r="H37" s="20">
        <x:f t="shared" si="9"/>
        <x:v>6199</x:v>
      </x:c>
      <x:c r="I37" s="20">
        <x:f t="shared" si="9"/>
        <x:v>6565</x:v>
      </x:c>
      <x:c r="J37" s="20">
        <x:f t="shared" si="9"/>
        <x:v>6898</x:v>
      </x:c>
    </x:row>
    <x:row r="38">
      <x:c r="A38" s="14" t="s">
        <x:v>99</x:v>
      </x:c>
      <x:c r="C38" s="15" t="n">
        <x:f t="shared" ref="C38:J38" si="10">C37/C10</x:f>
        <x:v>0.2940268456375839</x:v>
      </x:c>
      <x:c r="D38" s="15">
        <x:f t="shared" si="10"/>
        <x:v>8.0947994898682166E-2</x:v>
      </x:c>
      <x:c r="E38" s="15">
        <x:f t="shared" si="10"/>
        <x:v>9.1803399038285063E-2</x:v>
      </x:c>
      <x:c r="F38" s="15">
        <x:f t="shared" si="10"/>
        <x:v>0.12424901763387783</x:v>
      </x:c>
      <x:c r="G38" s="15">
        <x:f t="shared" si="10"/>
        <x:v>0.12429564800383647</x:v>
      </x:c>
      <x:c r="H38" s="15">
        <x:f t="shared" si="10"/>
        <x:v>0.18868326535581664</x:v>
      </x:c>
      <x:c r="I38" s="15">
        <x:f t="shared" si="10"/>
        <x:v>0.19890925617330707</x:v>
      </x:c>
      <x:c r="J38" s="15">
        <x:f t="shared" si="10"/>
        <x:v>0.20296592714647207</x:v>
      </x:c>
    </x:row>
    <x:row r="39">
      <x:c r="A39" s="14" t="s">
        <x:v>100</x:v>
      </x:c>
      <x:c r="D39" s="15" t="n">
        <x:f t="shared" ref="D39:J39" si="11">IF(N(C37)=0,"",D37/C37-1)</x:f>
        <x:v>-0.47842958228714905</x:v>
      </x:c>
      <x:c r="E39" s="15">
        <x:f t="shared" si="11"/>
        <x:v>9.4529540481400387E-2</x:v>
      </x:c>
      <x:c r="F39" s="15">
        <x:f t="shared" si="11"/>
        <x:v>0.52978808476609363</x:v>
      </x:c>
      <x:c r="G39" s="15">
        <x:f t="shared" si="11"/>
        <x:v>8.3899634082592822E-2</x:v>
      </x:c>
      <x:c r="H39" s="15">
        <x:f t="shared" si="11"/>
        <x:v>0.49481552929828787</x:v>
      </x:c>
      <x:c r="I39" s="15">
        <x:f t="shared" si="11"/>
        <x:v>5.9041780932408416E-2</x:v>
      </x:c>
      <x:c r="J39" s="15">
        <x:f t="shared" si="11"/>
        <x:v>5.0723533891850803E-2</x:v>
      </x:c>
    </x:row>
    <x:row r="41">
      <x:c r="A41" s="5" t="s">
        <x:v>101</x:v>
      </x:c>
      <x:c r="C41" s="21" t="n">
        <x:f t="shared" ref="C41:J41" si="12">C37-C37</x:f>
        <x:v>0</x:v>
      </x:c>
      <x:c r="D41" s="21">
        <x:f t="shared" si="12"/>
        <x:v>0</x:v>
      </x:c>
      <x:c r="E41" s="21">
        <x:f t="shared" si="12"/>
        <x:v>0</x:v>
      </x:c>
      <x:c r="F41" s="21">
        <x:f t="shared" si="12"/>
        <x:v>0</x:v>
      </x:c>
      <x:c r="G41" s="21">
        <x:f t="shared" si="12"/>
        <x:v>0</x:v>
      </x:c>
      <x:c r="H41" s="21">
        <x:f t="shared" si="12"/>
        <x:v>0</x:v>
      </x:c>
      <x:c r="I41" s="21">
        <x:f t="shared" si="12"/>
        <x:v>0</x:v>
      </x:c>
      <x:c r="J41" s="21">
        <x:f t="shared" si="12"/>
        <x:v>0</x:v>
      </x:c>
    </x:row>
    <x:row r="43">
      <x:c r="A43" s="10" t="s">
        <x:v>102</x:v>
      </x:c>
      <x:c r="C43" s="22">
        <x:v>13.26</x:v>
      </x:c>
      <x:c r="D43" s="22">
        <x:v>4.22</x:v>
      </x:c>
      <x:c r="E43" s="22">
        <x:v>4.75</x:v>
      </x:c>
      <x:c r="F43" s="22">
        <x:v>7.4</x:v>
      </x:c>
      <x:c r="G43" s="22">
        <x:v>8.3000000000000007</x:v>
      </x:c>
      <x:c r="H43" s="22">
        <x:v>12.7</x:v>
      </x:c>
      <x:c r="I43" s="22">
        <x:v>13.71</x:v>
      </x:c>
      <x:c r="J43" s="22">
        <x:v>14.69</x:v>
      </x:c>
      <x:c r="K43" s="47" t="n">
        <x:f>POWER(J43/D43,1/6)-1</x:f>
        <x:v>0.23107607382642392</x:v>
      </x:c>
    </x:row>
    <x:row r="44">
      <x:c r="A44" s="14" t="s">
        <x:v>103</x:v>
      </x:c>
      <x:c r="D44" s="15" t="n">
        <x:f t="shared" ref="D44:J44" si="13">IF(N(C43)=0,"",D43/C43-1)</x:f>
        <x:v>-0.6817496229260935</x:v>
      </x:c>
      <x:c r="E44" s="15">
        <x:f t="shared" si="13"/>
        <x:v>0.12559241706161139</x:v>
      </x:c>
      <x:c r="F44" s="15">
        <x:f t="shared" si="13"/>
        <x:v>0.55789473684210544</x:v>
      </x:c>
      <x:c r="G44" s="15">
        <x:f t="shared" si="13"/>
        <x:v>0.12162162162162171</x:v>
      </x:c>
      <x:c r="H44" s="15">
        <x:f t="shared" si="13"/>
        <x:v>0.53012048192771055</x:v>
      </x:c>
      <x:c r="I44" s="15">
        <x:f t="shared" si="13"/>
        <x:v>7.9527559055118324E-2</x:v>
      </x:c>
      <x:c r="J44" s="15">
        <x:f t="shared" si="13"/>
        <x:v>7.1480671043034238E-2</x:v>
      </x:c>
    </x:row>
    <x:row r="45">
      <x:c r="A45" s="10" t="s">
        <x:v>104</x:v>
      </x:c>
      <x:c r="C45" s="22">
        <x:v>13.11</x:v>
      </x:c>
      <x:c r="D45" s="22">
        <x:v>4.1900000000000004</x:v>
      </x:c>
      <x:c r="E45" s="22">
        <x:v>4.71</x:v>
      </x:c>
      <x:c r="F45" s="22">
        <x:v>7.33</x:v>
      </x:c>
      <x:c r="G45" s="22">
        <x:v>8.23</x:v>
      </x:c>
      <x:c r="H45" s="22">
        <x:v>12.59</x:v>
      </x:c>
      <x:c r="I45" s="22">
        <x:v>13.62</x:v>
      </x:c>
      <x:c r="J45" s="22">
        <x:v>14.61</x:v>
      </x:c>
      <x:c r="K45" s="47" t="n">
        <x:f>POWER(J45/D45,1/6)-1</x:f>
        <x:v>0.2314195159685546</x:v>
      </x:c>
    </x:row>
    <x:row r="46">
      <x:c r="A46" s="14" t="s">
        <x:v>105</x:v>
      </x:c>
      <x:c r="D46" s="15" t="n">
        <x:f t="shared" ref="D46:J46" si="14">IF(N(C45)=0,"",D45/C45-1)</x:f>
        <x:v>-0.6803966437833715</x:v>
      </x:c>
      <x:c r="E46" s="15">
        <x:f t="shared" si="14"/>
        <x:v>0.12410501193317414</x:v>
      </x:c>
      <x:c r="F46" s="15">
        <x:f t="shared" si="14"/>
        <x:v>0.55626326963906592</x:v>
      </x:c>
      <x:c r="G46" s="15">
        <x:f t="shared" si="14"/>
        <x:v>0.12278308321964526</x:v>
      </x:c>
      <x:c r="H46" s="15">
        <x:f t="shared" si="14"/>
        <x:v>0.52976913730255148</x:v>
      </x:c>
      <x:c r="I46" s="15">
        <x:f t="shared" si="14"/>
        <x:v>8.1810961080222455E-2</x:v>
      </x:c>
      <x:c r="J46" s="15">
        <x:f t="shared" si="14"/>
        <x:v>7.2687224669603534E-2</x:v>
      </x:c>
    </x:row>
    <x:row r="47">
      <x:c r="A47" s="16" t="s">
        <x:v>106</x:v>
      </x:c>
      <x:c r="C47" s="17">
        <x:v>330401</x:v>
      </x:c>
      <x:c r="D47" s="17">
        <x:v>541094</x:v>
      </x:c>
      <x:c r="E47" s="17">
        <x:v>526736</x:v>
      </x:c>
      <x:c r="F47" s="17">
        <x:v>516896</x:v>
      </x:c>
      <x:c r="G47" s="17">
        <x:v>499736</x:v>
      </x:c>
      <x:c r="H47" s="17">
        <x:v>488191</x:v>
      </x:c>
      <x:c r="I47" s="17">
        <x:v>478773</x:v>
      </x:c>
      <x:c r="J47" s="17">
        <x:v>469488</x:v>
      </x:c>
      <x:c r="K47" s="47" t="n">
        <x:f>POWER(J47/D47,1/6)-1</x:f>
        <x:v>-0.023380714029984206</x:v>
      </x:c>
    </x:row>
    <x:row r="48">
      <x:c r="A48" s="16" t="s">
        <x:v>107</x:v>
      </x:c>
      <x:c r="C48" s="17">
        <x:v>334127</x:v>
      </x:c>
      <x:c r="D48" s="17">
        <x:v>545170</x:v>
      </x:c>
      <x:c r="E48" s="17">
        <x:v>531157</x:v>
      </x:c>
      <x:c r="F48" s="17">
        <x:v>521875</x:v>
      </x:c>
      <x:c r="G48" s="17">
        <x:v>504038</x:v>
      </x:c>
      <x:c r="H48" s="17">
        <x:v>492290</x:v>
      </x:c>
      <x:c r="I48" s="17">
        <x:v>482092</x:v>
      </x:c>
      <x:c r="J48" s="17">
        <x:v>472195</x:v>
      </x:c>
      <x:c r="K48" s="47" t="n">
        <x:f>POWER(J48/D48,1/6)-1</x:f>
        <x:v>-0.023666391964328626</x:v>
      </x:c>
    </x:row>
  </x:sheetData>
  <x:conditionalFormatting sqref="C41:J41">
    <x:cfRule type="cellIs" dxfId="5" priority="1" operator="notBetween">
      <x:formula>-0.5</x:formula>
      <x:formula>0.5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6" customWidth="1"/>
    <x:col min="2" max="2" width="34" hidden="1" customWidth="1"/>
    <x:col min="3" max="3" width="12" customWidth="1"/>
    <x:col min="4" max="10" width="12" customWidth="1"/>
  </x:cols>
  <x:sheetData>
    <x:row r="1" ht="28" customHeight="1">
      <x:c r="A1" s="1" t="s">
        <x:v>108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6" customHeight="1">
      <x:c r="A2" s="3" t="s">
        <x:v>1</x:v>
      </x:c>
    </x:row>
    <x:row r="3">
      <x:c r="C3" s="8" t="s">
        <x:v>60</x:v>
      </x:c>
      <x:c r="D3" s="8" t="s">
        <x:v>61</x:v>
      </x:c>
      <x:c r="E3" s="8" t="s">
        <x:v>62</x:v>
      </x:c>
      <x:c r="F3" s="8" t="s">
        <x:v>63</x:v>
      </x:c>
      <x:c r="G3" s="8" t="s">
        <x:v>64</x:v>
      </x:c>
      <x:c r="H3" s="8" t="s">
        <x:v>65</x:v>
      </x:c>
      <x:c r="I3" s="8" t="s">
        <x:v>66</x:v>
      </x:c>
      <x:c r="J3" s="8" t="s">
        <x:v>67</x:v>
      </x:c>
    </x:row>
    <x:row r="4">
      <x:c r="C4" s="9"/>
      <x:c r="D4" s="9"/>
      <x:c r="E4" s="9"/>
      <x:c r="F4" s="9"/>
      <x:c r="G4" s="9"/>
      <x:c r="H4" s="9"/>
      <x:c r="I4" s="9"/>
      <x:c r="J4" s="9"/>
    </x:row>
    <x:row r="6">
      <x:c r="A6" s="10" t="s">
        <x:v>68</x:v>
      </x:c>
    </x:row>
    <x:row r="7">
      <x:c r="A7" s="11" t="e">
        <x:f>HYPERLINK("#'Balance Sheet'!A9","1. Consolidated Balance Sheet")</x:f>
        <x:v>HYPERLINK is not implemented. linkLocation=#'Balance Sheet'!A9, friendlyName=1. Consolidated Balance Sheet</x:v>
      </x:c>
    </x:row>
    <x:row r="8" ht="8" customHeight="1"/>
    <x:row r="9" ht="20" customHeight="1">
      <x:c r="A9" s="12" t="s">
        <x:v>109</x:v>
      </x:c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5" t="s">
        <x:v>110</x:v>
      </x:c>
      <x:c r="C10" s="17">
        <x:v>4466</x:v>
      </x:c>
      <x:c r="D10" s="17">
        <x:v>2700</x:v>
      </x:c>
      <x:c r="E10" s="17">
        <x:v>3754</x:v>
      </x:c>
      <x:c r="F10" s="17">
        <x:v>2823</x:v>
      </x:c>
      <x:c r="G10" s="17">
        <x:v>5436</x:v>
      </x:c>
      <x:c r="H10" s="17">
        <x:v>4664</x:v>
      </x:c>
      <x:c r="I10" s="17">
        <x:v>4850</x:v>
      </x:c>
      <x:c r="J10" s="17">
        <x:v>5056</x:v>
      </x:c>
    </x:row>
    <x:row r="11">
      <x:c r="A11" s="5" t="s">
        <x:v>111</x:v>
      </x:c>
      <x:c r="C11" s="17">
        <x:v>4297</x:v>
      </x:c>
      <x:c r="D11" s="17">
        <x:v>4322</x:v>
      </x:c>
      <x:c r="E11" s="17">
        <x:v>4167</x:v>
      </x:c>
      <x:c r="F11" s="17">
        <x:v>4499</x:v>
      </x:c>
      <x:c r="G11" s="17">
        <x:v>4559</x:v>
      </x:c>
      <x:c r="H11" s="17">
        <x:v>4718</x:v>
      </x:c>
      <x:c r="I11" s="17">
        <x:v>4622</x:v>
      </x:c>
      <x:c r="J11" s="17">
        <x:v>4966</x:v>
      </x:c>
    </x:row>
    <x:row r="12">
      <x:c r="A12" s="5" t="s">
        <x:v>112</x:v>
      </x:c>
      <x:c r="C12" s="17">
        <x:v>283</x:v>
      </x:c>
      <x:c r="D12" s="17">
        <x:v>368</x:v>
      </x:c>
      <x:c r="E12" s="17">
        <x:v>162</x:v>
      </x:c>
      <x:c r="F12" s="17">
        <x:v>134</x:v>
      </x:c>
      <x:c r="G12" s="17">
        <x:v>124</x:v>
      </x:c>
      <x:c r="H12" s="17">
        <x:v>196</x:v>
      </x:c>
      <x:c r="I12" s="17">
        <x:v>263</x:v>
      </x:c>
      <x:c r="J12" s="17">
        <x:v>269</x:v>
      </x:c>
    </x:row>
    <x:row r="13">
      <x:c r="A13" s="5" t="s">
        <x:v>113</x:v>
      </x:c>
      <x:c r="C13" s="17">
        <x:v>1651</x:v>
      </x:c>
      <x:c r="D13" s="17">
        <x:v>1697</x:v>
      </x:c>
      <x:c r="E13" s="17">
        <x:v>1729</x:v>
      </x:c>
      <x:c r="F13" s="17">
        <x:v>1733</x:v>
      </x:c>
      <x:c r="G13" s="17">
        <x:v>1978</x:v>
      </x:c>
      <x:c r="H13" s="17">
        <x:v>2115</x:v>
      </x:c>
      <x:c r="I13" s="17">
        <x:v>1946</x:v>
      </x:c>
      <x:c r="J13" s="17">
        <x:v>2055</x:v>
      </x:c>
    </x:row>
    <x:row r="14" ht="24">
      <x:c r="A14" s="5" t="s">
        <x:v>114</x:v>
      </x:c>
      <x:c r="B14" s="19" t="s">
        <x:v>115</x:v>
      </x:c>
      <x:c r="C14" s="17">
        <x:v>5498</x:v>
      </x:c>
      <x:c r="D14" s="17">
        <x:v>125</x:v>
      </x:c>
    </x:row>
    <x:row r="15">
      <x:c r="A15" s="5" t="s">
        <x:v>116</x:v>
      </x:c>
      <x:c r="C15" s="17">
        <x:v>1077</x:v>
      </x:c>
      <x:c r="D15" s="17">
        <x:v>1140</x:v>
      </x:c>
      <x:c r="E15" s="17">
        <x:v>1112</x:v>
      </x:c>
      <x:c r="F15" s="17">
        <x:v>970</x:v>
      </x:c>
      <x:c r="G15" s="17">
        <x:v>950</x:v>
      </x:c>
      <x:c r="H15" s="17">
        <x:v>927</x:v>
      </x:c>
      <x:c r="I15" s="17">
        <x:v>1264</x:v>
      </x:c>
      <x:c r="J15" s="17">
        <x:v>979</x:v>
      </x:c>
    </x:row>
    <x:row r="16">
      <x:c r="A16" s="10" t="s">
        <x:v>117</x:v>
      </x:c>
      <x:c r="C16" s="20" t="n">
        <x:f t="shared" ref="C16:J16" si="0">C10+C11+C12+C13+C14+C15</x:f>
        <x:v>17272</x:v>
      </x:c>
      <x:c r="D16" s="20">
        <x:f t="shared" si="0"/>
        <x:v>10352</x:v>
      </x:c>
      <x:c r="E16" s="20">
        <x:f t="shared" si="0"/>
        <x:v>10924</x:v>
      </x:c>
      <x:c r="F16" s="20">
        <x:f t="shared" si="0"/>
        <x:v>10159</x:v>
      </x:c>
      <x:c r="G16" s="20">
        <x:f t="shared" si="0"/>
        <x:v>13047</x:v>
      </x:c>
      <x:c r="H16" s="20">
        <x:f t="shared" si="0"/>
        <x:v>12620</x:v>
      </x:c>
      <x:c r="I16" s="20">
        <x:f t="shared" si="0"/>
        <x:v>12945</x:v>
      </x:c>
      <x:c r="J16" s="20">
        <x:f t="shared" si="0"/>
        <x:v>13325</x:v>
      </x:c>
    </x:row>
    <x:row r="18">
      <x:c r="A18" s="5" t="s">
        <x:v>118</x:v>
      </x:c>
      <x:c r="C18" s="17">
        <x:v>29717</x:v>
      </x:c>
      <x:c r="D18" s="17">
        <x:v>29064</x:v>
      </x:c>
      <x:c r="E18" s="17">
        <x:v>28711</x:v>
      </x:c>
      <x:c r="F18" s="17">
        <x:v>26003</x:v>
      </x:c>
      <x:c r="G18" s="17">
        <x:v>23548</x:v>
      </x:c>
      <x:c r="H18" s="17">
        <x:v>24552</x:v>
      </x:c>
      <x:c r="I18" s="17">
        <x:v>24775</x:v>
      </x:c>
      <x:c r="J18" s="17">
        <x:v>28260</x:v>
      </x:c>
    </x:row>
    <x:row r="19">
      <x:c r="A19" s="5" t="s">
        <x:v>119</x:v>
      </x:c>
      <x:c r="C19" s="17">
        <x:v>1838</x:v>
      </x:c>
      <x:c r="D19" s="17">
        <x:v>2027</x:v>
      </x:c>
      <x:c r="E19" s="17">
        <x:v>2061</x:v>
      </x:c>
      <x:c r="F19" s="17">
        <x:v>2619</x:v>
      </x:c>
      <x:c r="G19" s="17">
        <x:v>2350</x:v>
      </x:c>
      <x:c r="H19" s="17">
        <x:v>2190</x:v>
      </x:c>
      <x:c r="I19" s="17">
        <x:v>2130</x:v>
      </x:c>
      <x:c r="J19" s="17">
        <x:v>2015</x:v>
      </x:c>
    </x:row>
    <x:row r="20">
      <x:c r="A20" s="5" t="s">
        <x:v>120</x:v>
      </x:c>
      <x:c r="C20" s="17">
        <x:v>26874</x:v>
      </x:c>
      <x:c r="D20" s="17">
        <x:v>27019</x:v>
      </x:c>
      <x:c r="E20" s="17">
        <x:v>28201</x:v>
      </x:c>
      <x:c r="F20" s="17">
        <x:v>27038</x:v>
      </x:c>
      <x:c r="G20" s="17">
        <x:v>25817</x:v>
      </x:c>
      <x:c r="H20" s="17">
        <x:v>26751</x:v>
      </x:c>
      <x:c r="I20" s="17">
        <x:v>25937</x:v>
      </x:c>
      <x:c r="J20" s="17">
        <x:v>27927</x:v>
      </x:c>
    </x:row>
    <x:row r="21">
      <x:c r="A21" s="5" t="s">
        <x:v>121</x:v>
      </x:c>
      <x:c r="C21" s="17">
        <x:v>16223</x:v>
      </x:c>
      <x:c r="D21" s="17">
        <x:v>16137</x:v>
      </x:c>
      <x:c r="E21" s="17">
        <x:v>16184</x:v>
      </x:c>
      <x:c r="F21" s="17">
        <x:v>13802</x:v>
      </x:c>
      <x:c r="G21" s="17">
        <x:v>12420</x:v>
      </x:c>
      <x:c r="H21" s="17">
        <x:v>12399</x:v>
      </x:c>
      <x:c r="I21" s="17">
        <x:v>11330</x:v>
      </x:c>
      <x:c r="J21" s="17">
        <x:v>11871</x:v>
      </x:c>
    </x:row>
    <x:row r="22">
      <x:c r="A22" s="5" t="s">
        <x:v>122</x:v>
      </x:c>
      <x:c r="C22" s="17">
        <x:v>1462</x:v>
      </x:c>
      <x:c r="D22" s="17">
        <x:v>2013</x:v>
      </x:c>
      <x:c r="E22" s="17">
        <x:v>2148</x:v>
      </x:c>
      <x:c r="F22" s="17">
        <x:v>1984</x:v>
      </x:c>
      <x:c r="G22" s="17">
        <x:v>2476</x:v>
      </x:c>
      <x:c r="H22" s="17">
        <x:v>2299</x:v>
      </x:c>
      <x:c r="I22" s="17">
        <x:v>3030</x:v>
      </x:c>
      <x:c r="J22" s="17">
        <x:v>3419</x:v>
      </x:c>
    </x:row>
    <x:row r="23">
      <x:c r="A23" s="10" t="s">
        <x:v>123</x:v>
      </x:c>
      <x:c r="C23" s="20" t="n">
        <x:f t="shared" ref="C23:J23" si="1">C16+C18+C19+C20+C21+C22</x:f>
        <x:v>93386</x:v>
      </x:c>
      <x:c r="D23" s="20">
        <x:f t="shared" si="1"/>
        <x:v>86612</x:v>
      </x:c>
      <x:c r="E23" s="20">
        <x:f t="shared" si="1"/>
        <x:v>88229</x:v>
      </x:c>
      <x:c r="F23" s="20">
        <x:f t="shared" si="1"/>
        <x:v>81605</x:v>
      </x:c>
      <x:c r="G23" s="20">
        <x:f t="shared" si="1"/>
        <x:v>79658</x:v>
      </x:c>
      <x:c r="H23" s="20">
        <x:f t="shared" si="1"/>
        <x:v>80811</x:v>
      </x:c>
      <x:c r="I23" s="20">
        <x:f t="shared" si="1"/>
        <x:v>80147</x:v>
      </x:c>
      <x:c r="J23" s="20">
        <x:f t="shared" si="1"/>
        <x:v>86817</x:v>
      </x:c>
    </x:row>
    <x:row r="25">
      <x:c r="A25" s="5" t="s">
        <x:v>124</x:v>
      </x:c>
      <x:c r="C25" s="17">
        <x:v>3219</x:v>
      </x:c>
      <x:c r="D25" s="17">
        <x:v>3266</x:v>
      </x:c>
      <x:c r="E25" s="17">
        <x:v>3095</x:v>
      </x:c>
      <x:c r="F25" s="17">
        <x:v>3503</x:v>
      </x:c>
      <x:c r="G25" s="17">
        <x:v>2995</x:v>
      </x:c>
      <x:c r="H25" s="17">
        <x:v>3020</x:v>
      </x:c>
      <x:c r="I25" s="17">
        <x:v>2507</x:v>
      </x:c>
      <x:c r="J25" s="17">
        <x:v>2810</x:v>
      </x:c>
    </x:row>
    <x:row r="26">
      <x:c r="A26" s="5" t="s">
        <x:v>125</x:v>
      </x:c>
      <x:c r="C26" s="17">
        <x:v>1485</x:v>
      </x:c>
      <x:c r="D26" s="17">
        <x:v>1732</x:v>
      </x:c>
      <x:c r="E26" s="17">
        <x:v>3251</x:v>
      </x:c>
      <x:c r="F26" s="17">
        <x:v>1163</x:v>
      </x:c>
      <x:c r="G26" s="17">
        <x:v>4117</x:v>
      </x:c>
      <x:c r="H26" s="17">
        <x:v>4713</x:v>
      </x:c>
      <x:c r="I26" s="17">
        <x:v>4223</x:v>
      </x:c>
      <x:c r="J26" s="17">
        <x:v>4510</x:v>
      </x:c>
    </x:row>
    <x:row r="27">
      <x:c r="A27" s="5" t="s">
        <x:v>126</x:v>
      </x:c>
      <x:c r="C27" s="17">
        <x:v>1523</x:v>
      </x:c>
      <x:c r="D27" s="17">
        <x:v>1531</x:v>
      </x:c>
      <x:c r="E27" s="17">
        <x:v>751</x:v>
      </x:c>
      <x:c r="F27" s="17">
        <x:v>1709</x:v>
      </x:c>
      <x:c r="G27" s="17">
        <x:v>1599</x:v>
      </x:c>
      <x:c r="H27" s="17">
        <x:v>1263</x:v>
      </x:c>
      <x:c r="I27" s="17">
        <x:v>2057</x:v>
      </x:c>
      <x:c r="J27" s="17">
        <x:v>1796</x:v>
      </x:c>
    </x:row>
    <x:row r="28">
      <x:c r="A28" s="5" t="s">
        <x:v>127</x:v>
      </x:c>
      <x:c r="C28" s="17">
        <x:v>1546</x:v>
      </x:c>
      <x:c r="D28" s="17">
        <x:v>1758</x:v>
      </x:c>
      <x:c r="E28" s="17">
        <x:v>1769</x:v>
      </x:c>
      <x:c r="F28" s="17">
        <x:v>2940</x:v>
      </x:c>
      <x:c r="G28" s="17">
        <x:v>3073</x:v>
      </x:c>
      <x:c r="H28" s="17">
        <x:v>1901</x:v>
      </x:c>
      <x:c r="I28" s="17">
        <x:v>1194</x:v>
      </x:c>
      <x:c r="J28" s="17">
        <x:v>1231</x:v>
      </x:c>
    </x:row>
    <x:row r="29">
      <x:c r="A29" s="5" t="s">
        <x:v>128</x:v>
      </x:c>
      <x:c r="C29" s="17">
        <x:v>657</x:v>
      </x:c>
      <x:c r="D29" s="17">
        <x:v>370</x:v>
      </x:c>
      <x:c r="E29" s="17">
        <x:v>542</x:v>
      </x:c>
      <x:c r="F29" s="17">
        <x:v>429</x:v>
      </x:c>
      <x:c r="G29" s="17">
        <x:v>613</x:v>
      </x:c>
      <x:c r="H29" s="17">
        <x:v>664</x:v>
      </x:c>
      <x:c r="I29" s="17">
        <x:v>637</x:v>
      </x:c>
      <x:c r="J29" s="17">
        <x:v>680</x:v>
      </x:c>
    </x:row>
    <x:row r="30">
      <x:c r="A30" s="5" t="s">
        <x:v>129</x:v>
      </x:c>
      <x:c r="C30" s="17">
        <x:v>768</x:v>
      </x:c>
      <x:c r="D30" s="17">
        <x:v>2</x:v>
      </x:c>
    </x:row>
    <x:row r="31">
      <x:c r="A31" s="5" t="s">
        <x:v>130</x:v>
      </x:c>
      <x:c r="C31" s="17">
        <x:v>3758</x:v>
      </x:c>
      <x:c r="D31" s="17">
        <x:v>3501</x:v>
      </x:c>
      <x:c r="E31" s="17">
        <x:v>4332</x:v>
      </x:c>
      <x:c r="F31" s="17">
        <x:v>3899</x:v>
      </x:c>
      <x:c r="G31" s="17">
        <x:v>4082</x:v>
      </x:c>
      <x:c r="H31" s="17">
        <x:v>4156</x:v>
      </x:c>
      <x:c r="I31" s="17">
        <x:v>3926</x:v>
      </x:c>
      <x:c r="J31" s="17">
        <x:v>4171</x:v>
      </x:c>
    </x:row>
    <x:row r="32">
      <x:c r="A32" s="10" t="s">
        <x:v>131</x:v>
      </x:c>
      <x:c r="C32" s="20" t="n">
        <x:f t="shared" ref="C32:J32" si="2">C25+C26+C27+C28+C29+C30+C31</x:f>
        <x:v>12956</x:v>
      </x:c>
      <x:c r="D32" s="20">
        <x:f t="shared" si="2"/>
        <x:v>12160</x:v>
      </x:c>
      <x:c r="E32" s="20">
        <x:f t="shared" si="2"/>
        <x:v>13740</x:v>
      </x:c>
      <x:c r="F32" s="20">
        <x:f t="shared" si="2"/>
        <x:v>13643</x:v>
      </x:c>
      <x:c r="G32" s="20">
        <x:f t="shared" si="2"/>
        <x:v>16479</x:v>
      </x:c>
      <x:c r="H32" s="20">
        <x:f t="shared" si="2"/>
        <x:v>15717</x:v>
      </x:c>
      <x:c r="I32" s="20">
        <x:f t="shared" si="2"/>
        <x:v>14544</x:v>
      </x:c>
      <x:c r="J32" s="20">
        <x:f t="shared" si="2"/>
        <x:v>15198</x:v>
      </x:c>
    </x:row>
    <x:row r="34">
      <x:c r="A34" s="5" t="s">
        <x:v>132</x:v>
      </x:c>
      <x:c r="C34" s="17">
        <x:v>12288</x:v>
      </x:c>
      <x:c r="D34" s="17">
        <x:v>10693</x:v>
      </x:c>
      <x:c r="E34" s="17">
        <x:v>12152</x:v>
      </x:c>
      <x:c r="F34" s="17">
        <x:v>11335</x:v>
      </x:c>
      <x:c r="G34" s="17">
        <x:v>12198</x:v>
      </x:c>
      <x:c r="H34" s="17">
        <x:v>13397</x:v>
      </x:c>
      <x:c r="I34" s="17">
        <x:v>15343</x:v>
      </x:c>
      <x:c r="J34" s="17">
        <x:v>20683</x:v>
      </x:c>
    </x:row>
    <x:row r="35">
      <x:c r="A35" s="5" t="s">
        <x:v>133</x:v>
      </x:c>
      <x:c r="C35" s="17">
        <x:v>3435</x:v>
      </x:c>
      <x:c r="D35" s="17">
        <x:v>4888</x:v>
      </x:c>
      <x:c r="E35" s="17">
        <x:v>5519</x:v>
      </x:c>
      <x:c r="F35" s="17">
        <x:v>4188</x:v>
      </x:c>
      <x:c r="G35" s="17">
        <x:v>2795</x:v>
      </x:c>
      <x:c r="H35" s="17">
        <x:v>3804</x:v>
      </x:c>
      <x:c r="I35" s="17">
        <x:v>4015</x:v>
      </x:c>
      <x:c r="J35" s="17">
        <x:v>4355</x:v>
      </x:c>
    </x:row>
    <x:row r="36">
      <x:c r="A36" s="5" t="s">
        <x:v>134</x:v>
      </x:c>
      <x:c r="C36" s="17">
        <x:v>7611</x:v>
      </x:c>
      <x:c r="D36" s="17">
        <x:v>7236</x:v>
      </x:c>
      <x:c r="E36" s="17">
        <x:v>7236</x:v>
      </x:c>
      <x:c r="F36" s="17">
        <x:v>6998</x:v>
      </x:c>
      <x:c r="G36" s="17">
        <x:v>6799</x:v>
      </x:c>
      <x:c r="H36" s="17">
        <x:v>6798</x:v>
      </x:c>
      <x:c r="I36" s="17">
        <x:v>6757</x:v>
      </x:c>
      <x:c r="J36" s="17">
        <x:v>6840</x:v>
      </x:c>
    </x:row>
    <x:row r="37">
      <x:c r="A37" s="10" t="s">
        <x:v>135</x:v>
      </x:c>
      <x:c r="C37" s="20" t="n">
        <x:f t="shared" ref="C37:J37" si="3">C32+C34+C35+C36</x:f>
        <x:v>36290</x:v>
      </x:c>
      <x:c r="D37" s="20">
        <x:f t="shared" si="3"/>
        <x:v>34977</x:v>
      </x:c>
      <x:c r="E37" s="20">
        <x:f t="shared" si="3"/>
        <x:v>38647</x:v>
      </x:c>
      <x:c r="F37" s="20">
        <x:f t="shared" si="3"/>
        <x:v>36164</x:v>
      </x:c>
      <x:c r="G37" s="20">
        <x:f t="shared" si="3"/>
        <x:v>38271</x:v>
      </x:c>
      <x:c r="H37" s="20">
        <x:f t="shared" si="3"/>
        <x:v>39716</x:v>
      </x:c>
      <x:c r="I37" s="20">
        <x:f t="shared" si="3"/>
        <x:v>40659</x:v>
      </x:c>
      <x:c r="J37" s="20">
        <x:f t="shared" si="3"/>
        <x:v>47076</x:v>
      </x:c>
    </x:row>
    <x:row r="39">
      <x:c r="A39" s="5" t="s">
        <x:v>136</x:v>
      </x:c>
      <x:c r="C39" s="17">
        <x:v>16</x:v>
      </x:c>
      <x:c r="D39" s="17">
        <x:v>113</x:v>
      </x:c>
      <x:c r="E39" s="17">
        <x:v>13</x:v>
      </x:c>
      <x:c r="F39" s="17">
        <x:v>13</x:v>
      </x:c>
      <x:c r="G39" s="17">
        <x:v>13</x:v>
      </x:c>
      <x:c r="H39" s="17">
        <x:v>13</x:v>
      </x:c>
      <x:c r="I39" s="17">
        <x:v>13</x:v>
      </x:c>
      <x:c r="J39" s="17">
        <x:v>13</x:v>
      </x:c>
    </x:row>
    <x:row r="41">
      <x:c r="A41" s="5" t="s">
        <x:v>137</x:v>
      </x:c>
      <x:c r="C41" s="17">
        <x:v>1</x:v>
      </x:c>
      <x:c r="D41" s="17">
        <x:v>1</x:v>
      </x:c>
      <x:c r="E41" s="17">
        <x:v>1</x:v>
      </x:c>
      <x:c r="F41" s="17">
        <x:v>1</x:v>
      </x:c>
      <x:c r="G41" s="17">
        <x:v>1</x:v>
      </x:c>
      <x:c r="H41" s="17">
        <x:v>1</x:v>
      </x:c>
      <x:c r="I41" s="17">
        <x:v>1</x:v>
      </x:c>
      <x:c r="J41" s="17">
        <x:v>1</x:v>
      </x:c>
    </x:row>
    <x:row r="42">
      <x:c r="A42" s="5" t="s">
        <x:v>138</x:v>
      </x:c>
      <x:c r="C42" s="17">
        <x:v>40151</x:v>
      </x:c>
      <x:c r="D42" s="17">
        <x:v>40201</x:v>
      </x:c>
      <x:c r="E42" s="17">
        <x:v>40202</x:v>
      </x:c>
      <x:c r="F42" s="17">
        <x:v>40180</x:v>
      </x:c>
      <x:c r="G42" s="17">
        <x:v>40005</x:v>
      </x:c>
      <x:c r="H42" s="17">
        <x:v>39812</x:v>
      </x:c>
      <x:c r="I42" s="17">
        <x:v>39603</x:v>
      </x:c>
      <x:c r="J42" s="17">
        <x:v>39430</x:v>
      </x:c>
    </x:row>
    <x:row r="43" ht="36">
      <x:c r="A43" s="5" t="s">
        <x:v>139</x:v>
      </x:c>
      <x:c r="B43" s="19" t="s">
        <x:v>140</x:v>
      </x:c>
      <x:c r="C43" s="17">
        <x:v>16529</x:v>
      </x:c>
      <x:c r="D43" s="17">
        <x:v>16842</x:v>
      </x:c>
      <x:c r="E43" s="17">
        <x:v>17178</x:v>
      </x:c>
      <x:c r="F43" s="17">
        <x:v>18710</x:v>
      </x:c>
      <x:c r="G43" s="17">
        <x:v>20541</x:v>
      </x:c>
      <x:c r="H43" s="17">
        <x:v>8845</x:v>
      </x:c>
      <x:c r="I43" s="17">
        <x:v>12634</x:v>
      </x:c>
      <x:c r="J43" s="17">
        <x:v>16608</x:v>
      </x:c>
    </x:row>
    <x:row r="44">
      <x:c r="A44" s="5" t="s">
        <x:v>141</x:v>
      </x:c>
      <x:c r="C44" s="17">
        <x:v>-4456</x:v>
      </x:c>
      <x:c r="D44" s="17">
        <x:v>-4814</x:v>
      </x:c>
      <x:c r="E44" s="17">
        <x:v>-4690</x:v>
      </x:c>
      <x:c r="F44" s="17">
        <x:v>-5048</x:v>
      </x:c>
      <x:c r="G44" s="17">
        <x:v>-5782</x:v>
      </x:c>
      <x:c r="H44" s="17">
        <x:v>-5805</x:v>
      </x:c>
      <x:c r="I44" s="17">
        <x:v>-6894</x:v>
      </x:c>
      <x:c r="J44" s="17">
        <x:v>-6233</x:v>
      </x:c>
    </x:row>
    <x:row r="45" ht="24">
      <x:c r="A45" s="5" t="s">
        <x:v>142</x:v>
      </x:c>
      <x:c r="B45" s="19" t="s">
        <x:v>143</x:v>
      </x:c>
      <x:c r="C45" s="17">
        <x:v>-629</x:v>
      </x:c>
      <x:c r="D45" s="17">
        <x:v>-3156</x:v>
      </x:c>
      <x:c r="E45" s="17">
        <x:v>-5374</x:v>
      </x:c>
      <x:c r="F45" s="17">
        <x:v>-9808</x:v>
      </x:c>
      <x:c r="G45" s="17">
        <x:v>-14737</x:v>
      </x:c>
      <x:c r="H45" s="17">
        <x:v>-3133</x:v>
      </x:c>
      <x:c r="I45" s="17">
        <x:v>-7252</x:v>
      </x:c>
      <x:c r="J45" s="17">
        <x:v>-11561</x:v>
      </x:c>
    </x:row>
    <x:row r="46">
      <x:c r="A46" s="10" t="s">
        <x:v>144</x:v>
      </x:c>
      <x:c r="C46" s="20" t="n">
        <x:f t="shared" ref="C46:J46" si="4">C41+C42+C43+C44+C45</x:f>
        <x:v>51596</x:v>
      </x:c>
      <x:c r="D46" s="20">
        <x:f t="shared" si="4"/>
        <x:v>49074</x:v>
      </x:c>
      <x:c r="E46" s="20">
        <x:f t="shared" si="4"/>
        <x:v>47317</x:v>
      </x:c>
      <x:c r="F46" s="20">
        <x:f t="shared" si="4"/>
        <x:v>44035</x:v>
      </x:c>
      <x:c r="G46" s="20">
        <x:f t="shared" si="4"/>
        <x:v>40028</x:v>
      </x:c>
      <x:c r="H46" s="20">
        <x:f t="shared" si="4"/>
        <x:v>39720</x:v>
      </x:c>
      <x:c r="I46" s="20">
        <x:f t="shared" si="4"/>
        <x:v>38092</x:v>
      </x:c>
      <x:c r="J46" s="20">
        <x:f t="shared" si="4"/>
        <x:v>38245</x:v>
      </x:c>
    </x:row>
    <x:row r="47">
      <x:c r="A47" s="5" t="s">
        <x:v>145</x:v>
      </x:c>
      <x:c r="C47" s="17">
        <x:v>5484</x:v>
      </x:c>
      <x:c r="D47" s="17">
        <x:v>2448</x:v>
      </x:c>
      <x:c r="E47" s="17">
        <x:v>2252</x:v>
      </x:c>
      <x:c r="F47" s="17">
        <x:v>1393</x:v>
      </x:c>
      <x:c r="G47" s="17">
        <x:v>1346</x:v>
      </x:c>
      <x:c r="H47" s="17">
        <x:v>1362</x:v>
      </x:c>
      <x:c r="I47" s="17">
        <x:v>1383</x:v>
      </x:c>
      <x:c r="J47" s="17">
        <x:v>1483</x:v>
      </x:c>
    </x:row>
    <x:row r="48">
      <x:c r="A48" s="10" t="s">
        <x:v>146</x:v>
      </x:c>
      <x:c r="C48" s="20" t="n">
        <x:f t="shared" ref="C48:J48" si="5">C46+C47</x:f>
        <x:v>57080</x:v>
      </x:c>
      <x:c r="D48" s="20">
        <x:f t="shared" si="5"/>
        <x:v>51522</x:v>
      </x:c>
      <x:c r="E48" s="20">
        <x:f t="shared" si="5"/>
        <x:v>49569</x:v>
      </x:c>
      <x:c r="F48" s="20">
        <x:f t="shared" si="5"/>
        <x:v>45428</x:v>
      </x:c>
      <x:c r="G48" s="20">
        <x:f t="shared" si="5"/>
        <x:v>41374</x:v>
      </x:c>
      <x:c r="H48" s="20">
        <x:f t="shared" si="5"/>
        <x:v>41082</x:v>
      </x:c>
      <x:c r="I48" s="20">
        <x:f t="shared" si="5"/>
        <x:v>39475</x:v>
      </x:c>
      <x:c r="J48" s="20">
        <x:f t="shared" si="5"/>
        <x:v>39728</x:v>
      </x:c>
    </x:row>
    <x:row r="50">
      <x:c r="A50" s="5" t="s">
        <x:v>147</x:v>
      </x:c>
      <x:c r="C50" s="21" t="n">
        <x:f t="shared" ref="C50:J50" si="6">C23-C37-C39-C48</x:f>
        <x:v>0</x:v>
      </x:c>
      <x:c r="D50" s="21">
        <x:f t="shared" si="6"/>
        <x:v>0</x:v>
      </x:c>
      <x:c r="E50" s="21">
        <x:f t="shared" si="6"/>
        <x:v>0</x:v>
      </x:c>
      <x:c r="F50" s="21">
        <x:f t="shared" si="6"/>
        <x:v>0</x:v>
      </x:c>
      <x:c r="G50" s="21">
        <x:f t="shared" si="6"/>
        <x:v>0</x:v>
      </x:c>
      <x:c r="H50" s="21">
        <x:f t="shared" si="6"/>
        <x:v>0</x:v>
      </x:c>
      <x:c r="I50" s="21">
        <x:f t="shared" si="6"/>
        <x:v>0</x:v>
      </x:c>
      <x:c r="J50" s="21">
        <x:f t="shared" si="6"/>
        <x:v>0</x:v>
      </x:c>
    </x:row>
    <x:row r="52">
      <x:c r="A52" s="14" t="s">
        <x:v>148</x:v>
      </x:c>
      <x:c r="C52" s="23" t="n">
        <x:f>C11/'Income Statement'!C10*365</x:f>
        <x:v>105.26208053691275</x:v>
      </x:c>
      <x:c r="D52" s="23" t="n">
        <x:f>D11/'Income Statement'!D10*365</x:f>
        <x:v>55.88529120022672</x:v>
      </x:c>
      <x:c r="E52" s="23" t="n">
        <x:f>E11/'Income Statement'!E10*365</x:f>
        <x:v>55.82920383217707</x:v>
      </x:c>
      <x:c r="F52" s="23" t="n">
        <x:f>F11/'Income Statement'!F10*365</x:f>
        <x:v>53.32819147208781</x:v>
      </x:c>
      <x:c r="G52" s="23" t="n">
        <x:f>G11/'Income Statement'!G10*365</x:f>
        <x:v>49.87516484833952</x:v>
      </x:c>
      <x:c r="H52" s="23" t="n">
        <x:f>H11/'Income Statement'!H10*365</x:f>
        <x:v>52.41583977597857</x:v>
      </x:c>
      <x:c r="I52" s="23" t="n">
        <x:f>I11/'Income Statement'!I10*365</x:f>
        <x:v>51.114376609604605</x:v>
      </x:c>
      <x:c r="J52" s="23" t="n">
        <x:f>J11/'Income Statement'!J10*365</x:f>
        <x:v>53.333431412934736</x:v>
      </x:c>
    </x:row>
    <x:row r="53">
      <x:c r="A53" s="14" t="s">
        <x:v>149</x:v>
      </x:c>
      <x:c r="C53" s="23" t="n">
        <x:f>C13/'Income Statement'!C13*365</x:f>
        <x:v>66.33806693086747</x:v>
      </x:c>
      <x:c r="D53" s="23" t="n">
        <x:f>D13/'Income Statement'!D13*365</x:f>
        <x:v>37.21491228070175</x:v>
      </x:c>
      <x:c r="E53" s="23" t="n">
        <x:f>E13/'Income Statement'!E13*365</x:f>
        <x:v>41.024832607423775</x:v>
      </x:c>
      <x:c r="F53" s="23" t="n">
        <x:f>F13/'Income Statement'!F13*365</x:f>
        <x:v>36.056831784757456</x:v>
      </x:c>
      <x:c r="G53" s="23" t="n">
        <x:f>G13/'Income Statement'!G13*365</x:f>
        <x:v>37.11928020565553</x:v>
      </x:c>
      <x:c r="H53" s="23" t="n">
        <x:f>H13/'Income Statement'!H13*365</x:f>
        <x:v>44.13303224331123</x:v>
      </x:c>
      <x:c r="I53" s="23" t="n">
        <x:f>I13/'Income Statement'!I13*365</x:f>
        <x:v>41.43323805634953</x:v>
      </x:c>
      <x:c r="J53" s="23" t="n">
        <x:f>J13/'Income Statement'!J13*365</x:f>
        <x:v>43.135027891195584</x:v>
      </x:c>
    </x:row>
    <x:row r="54">
      <x:c r="A54" s="14" t="s">
        <x:v>150</x:v>
      </x:c>
      <x:c r="C54" s="23" t="n">
        <x:f>C25/'Income Statement'!C13*365</x:f>
        <x:v>129.34114927344783</x:v>
      </x:c>
      <x:c r="D54" s="23" t="n">
        <x:f>D25/'Income Statement'!D13*365</x:f>
        <x:v>71.62280701754385</x:v>
      </x:c>
      <x:c r="E54" s="23" t="n">
        <x:f>E25/'Income Statement'!E13*365</x:f>
        <x:v>73.43658584151336</x:v>
      </x:c>
      <x:c r="F54" s="23" t="n">
        <x:f>F25/'Income Statement'!F13*365</x:f>
        <x:v>72.88348629082824</x:v>
      </x:c>
      <x:c r="G54" s="23" t="n">
        <x:f>G25/'Income Statement'!G13*365</x:f>
        <x:v>56.20437017994859</x:v>
      </x:c>
      <x:c r="H54" s="23" t="n">
        <x:f>H25/'Income Statement'!H13*365</x:f>
        <x:v>63.01737937342785</x:v>
      </x:c>
      <x:c r="I54" s="23" t="n">
        <x:f>I25/'Income Statement'!I13*365</x:f>
        <x:v>53.377763518637344</x:v>
      </x:c>
      <x:c r="J54" s="23" t="n">
        <x:f>J25/'Income Statement'!J13*365</x:f>
        <x:v>58.982690206452354</x:v>
      </x:c>
    </x:row>
    <x:row r="55">
      <x:c r="A55" s="14" t="s">
        <x:v>151</x:v>
      </x:c>
      <x:c r="C55" s="23" t="n">
        <x:f t="shared" ref="C55:J55" si="7">C52+C53-C54</x:f>
        <x:v>42.258998194332406</x:v>
      </x:c>
      <x:c r="D55" s="23">
        <x:f t="shared" si="7"/>
        <x:v>21.477396463384622</x:v>
      </x:c>
      <x:c r="E55" s="23">
        <x:f t="shared" si="7"/>
        <x:v>23.417450598087484</x:v>
      </x:c>
      <x:c r="F55" s="23">
        <x:f t="shared" si="7"/>
        <x:v>16.501536966017028</x:v>
      </x:c>
      <x:c r="G55" s="23">
        <x:f t="shared" si="7"/>
        <x:v>30.790074874046461</x:v>
      </x:c>
      <x:c r="H55" s="23">
        <x:f t="shared" si="7"/>
        <x:v>33.531492645861952</x:v>
      </x:c>
      <x:c r="I55" s="23">
        <x:f t="shared" si="7"/>
        <x:v>39.169851147316798</x:v>
      </x:c>
      <x:c r="J55" s="23">
        <x:f t="shared" si="7"/>
        <x:v>37.485769097677966</x:v>
      </x:c>
    </x:row>
  </x:sheetData>
  <x:conditionalFormatting sqref="C50:J50">
    <x:cfRule type="cellIs" dxfId="4" priority="1" operator="notBetween">
      <x:formula>-0.5</x:formula>
      <x:formula>0.5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9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6" customWidth="1"/>
    <x:col min="2" max="2" width="2" customWidth="1"/>
    <x:col min="3" max="10" width="12" customWidth="1"/>
  </x:cols>
  <x:sheetData>
    <x:row r="1" ht="28" customHeight="1">
      <x:c r="A1" s="1" t="s">
        <x:v>152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6" customHeight="1">
      <x:c r="A2" s="3" t="s">
        <x:v>1</x:v>
      </x:c>
    </x:row>
    <x:row r="3">
      <x:c r="C3" s="8" t="s">
        <x:v>60</x:v>
      </x:c>
      <x:c r="D3" s="8" t="s">
        <x:v>61</x:v>
      </x:c>
      <x:c r="E3" s="8" t="s">
        <x:v>62</x:v>
      </x:c>
      <x:c r="F3" s="8" t="s">
        <x:v>63</x:v>
      </x:c>
      <x:c r="G3" s="8" t="s">
        <x:v>64</x:v>
      </x:c>
      <x:c r="H3" s="8" t="s">
        <x:v>65</x:v>
      </x:c>
      <x:c r="I3" s="8" t="s">
        <x:v>66</x:v>
      </x:c>
      <x:c r="J3" s="8" t="s">
        <x:v>67</x:v>
      </x:c>
    </x:row>
    <x:row r="4">
      <x:c r="C4" s="9"/>
      <x:c r="D4" s="9"/>
      <x:c r="E4" s="9"/>
      <x:c r="F4" s="9"/>
      <x:c r="G4" s="9"/>
      <x:c r="H4" s="9"/>
      <x:c r="I4" s="9"/>
      <x:c r="J4" s="9"/>
    </x:row>
    <x:row r="6">
      <x:c r="A6" s="10" t="s">
        <x:v>68</x:v>
      </x:c>
    </x:row>
    <x:row r="7">
      <x:c r="A7" s="11" t="e">
        <x:f>HYPERLINK("#'Cash Flow Statement'!A9","1. Consolidated Statement of Cash Flows")</x:f>
        <x:v>HYPERLINK is not implemented. linkLocation=#'Cash Flow Statement'!A9, friendlyName=1. Consolidated Statement of Cash Flows</x:v>
      </x:c>
    </x:row>
    <x:row r="8" ht="8" customHeight="1"/>
    <x:row r="9" ht="20" customHeight="1">
      <x:c r="A9" s="12" t="s">
        <x:v>153</x:v>
      </x:c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10" t="s">
        <x:v>154</x:v>
      </x:c>
      <x:c r="C10" s="24" t="n">
        <x:f>'Income Statement'!C37</x:f>
        <x:v>4381</x:v>
      </x:c>
      <x:c r="D10" s="24" t="n">
        <x:f>'Income Statement'!D37</x:f>
        <x:v>2285</x:v>
      </x:c>
      <x:c r="E10" s="24" t="n">
        <x:f>'Income Statement'!E37</x:f>
        <x:v>2501</x:v>
      </x:c>
      <x:c r="F10" s="24" t="n">
        <x:f>'Income Statement'!F37</x:f>
        <x:v>3826</x:v>
      </x:c>
      <x:c r="G10" s="24" t="n">
        <x:f>'Income Statement'!G37</x:f>
        <x:v>4147</x:v>
      </x:c>
      <x:c r="H10" s="24" t="n">
        <x:f>'Income Statement'!H37</x:f>
        <x:v>6199</x:v>
      </x:c>
      <x:c r="I10" s="24" t="n">
        <x:f>'Income Statement'!I37</x:f>
        <x:v>6565</x:v>
      </x:c>
      <x:c r="J10" s="24" t="n">
        <x:f>'Income Statement'!J37</x:f>
        <x:v>6898</x:v>
      </x:c>
    </x:row>
    <x:row r="11">
      <x:c r="A11" s="16" t="s">
        <x:v>155</x:v>
      </x:c>
      <x:c r="C11" s="17">
        <x:v>-108</x:v>
      </x:c>
      <x:c r="D11" s="17">
        <x:v>-102</x:v>
      </x:c>
      <x:c r="E11" s="17">
        <x:v>-4</x:v>
      </x:c>
      <x:c r="F11" s="17">
        <x:v>-5</x:v>
      </x:c>
    </x:row>
    <x:row r="12">
      <x:c r="A12" s="16" t="s">
        <x:v>156</x:v>
      </x:c>
      <x:c r="C12" s="17">
        <x:v>15</x:v>
      </x:c>
      <x:c r="D12" s="17">
        <x:v>89</x:v>
      </x:c>
      <x:c r="E12" s="17">
        <x:v>125</x:v>
      </x:c>
      <x:c r="F12" s="17">
        <x:v>135</x:v>
      </x:c>
      <x:c r="G12" s="17">
        <x:v>134</x:v>
      </x:c>
      <x:c r="H12" s="17">
        <x:v>142</x:v>
      </x:c>
      <x:c r="I12" s="17">
        <x:v>172</x:v>
      </x:c>
      <x:c r="J12" s="17">
        <x:v>160</x:v>
      </x:c>
    </x:row>
    <x:row r="13">
      <x:c r="A13" s="10" t="s">
        <x:v>95</x:v>
      </x:c>
      <x:c r="C13" s="18" t="n">
        <x:f t="shared" ref="C13:J13" si="0">C10+C11+C12</x:f>
        <x:v>4288</x:v>
      </x:c>
      <x:c r="D13" s="18">
        <x:f t="shared" si="0"/>
        <x:v>2272</x:v>
      </x:c>
      <x:c r="E13" s="18">
        <x:f t="shared" si="0"/>
        <x:v>2622</x:v>
      </x:c>
      <x:c r="F13" s="18">
        <x:f t="shared" si="0"/>
        <x:v>3956</x:v>
      </x:c>
      <x:c r="G13" s="18">
        <x:f t="shared" si="0"/>
        <x:v>4281</x:v>
      </x:c>
      <x:c r="H13" s="18">
        <x:f t="shared" si="0"/>
        <x:v>6341</x:v>
      </x:c>
      <x:c r="I13" s="18">
        <x:f t="shared" si="0"/>
        <x:v>6737</x:v>
      </x:c>
      <x:c r="J13" s="18">
        <x:f t="shared" si="0"/>
        <x:v>7058</x:v>
      </x:c>
    </x:row>
    <x:row r="15">
      <x:c r="A15" s="16" t="s">
        <x:v>157</x:v>
      </x:c>
      <x:c r="C15" s="17">
        <x:v>40</x:v>
      </x:c>
      <x:c r="D15" s="17">
        <x:v>-236</x:v>
      </x:c>
      <x:c r="E15" s="17">
        <x:v>258</x:v>
      </x:c>
      <x:c r="F15" s="17">
        <x:v>98</x:v>
      </x:c>
      <x:c r="G15" s="17">
        <x:v>902</x:v>
      </x:c>
      <x:c r="H15" s="17">
        <x:v>-118</x:v>
      </x:c>
      <x:c r="I15" s="17">
        <x:v>31</x:v>
      </x:c>
      <x:c r="J15" s="17">
        <x:v>139</x:v>
      </x:c>
    </x:row>
    <x:row r="16">
      <x:c r="A16" s="16" t="s">
        <x:v>158</x:v>
      </x:c>
      <x:c r="C16" s="17">
        <x:v>368</x:v>
      </x:c>
      <x:c r="D16" s="17">
        <x:v>12</x:v>
      </x:c>
    </x:row>
    <x:row r="17">
      <x:c r="A17" s="16" t="s">
        <x:v>159</x:v>
      </x:c>
      <x:c r="C17" s="17">
        <x:v>-61</x:v>
      </x:c>
    </x:row>
    <x:row r="18">
      <x:c r="A18" s="16" t="s">
        <x:v>78</x:v>
      </x:c>
      <x:c r="C18" s="25" t="n">
        <x:f>'Income Statement'!C19</x:f>
        <x:v>1830</x:v>
      </x:c>
      <x:c r="D18" s="25" t="n">
        <x:f>'Income Statement'!D19</x:f>
        <x:v>4675</x:v>
      </x:c>
      <x:c r="E18" s="25" t="n">
        <x:f>'Income Statement'!E19</x:f>
        <x:v>4626</x:v>
      </x:c>
      <x:c r="F18" s="25" t="n">
        <x:f>'Income Statement'!F19</x:f>
        <x:v>4635</x:v>
      </x:c>
      <x:c r="G18" s="25" t="n">
        <x:f>'Income Statement'!G19</x:f>
        <x:v>4204</x:v>
      </x:c>
      <x:c r="H18" s="25" t="n">
        <x:f>'Income Statement'!H19</x:f>
        <x:v>3816</x:v>
      </x:c>
      <x:c r="I18" s="25" t="n">
        <x:f>'Income Statement'!I19</x:f>
        <x:v>3780</x:v>
      </x:c>
      <x:c r="J18" s="25" t="n">
        <x:f>'Income Statement'!J19</x:f>
        <x:v>3763</x:v>
      </x:c>
    </x:row>
    <x:row r="19">
      <x:c r="A19" s="16" t="s">
        <x:v>160</x:v>
      </x:c>
      <x:c r="C19" s="17">
        <x:v>-187</x:v>
      </x:c>
      <x:c r="D19" s="17">
        <x:v>-303</x:v>
      </x:c>
      <x:c r="E19" s="17">
        <x:v>-369</x:v>
      </x:c>
      <x:c r="F19" s="17">
        <x:v>-254</x:v>
      </x:c>
      <x:c r="G19" s="17">
        <x:v>-383</x:v>
      </x:c>
      <x:c r="H19" s="17">
        <x:v>-84</x:v>
      </x:c>
      <x:c r="I19" s="17">
        <x:v>-142</x:v>
      </x:c>
      <x:c r="J19" s="17">
        <x:v>-465</x:v>
      </x:c>
    </x:row>
    <x:row r="20">
      <x:c r="A20" s="16" t="s">
        <x:v>161</x:v>
      </x:c>
      <x:c r="C20" s="17">
        <x:v>62</x:v>
      </x:c>
      <x:c r="D20" s="17">
        <x:v>95</x:v>
      </x:c>
      <x:c r="E20" s="17">
        <x:v>133</x:v>
      </x:c>
      <x:c r="F20" s="17">
        <x:v>128</x:v>
      </x:c>
      <x:c r="G20" s="17">
        <x:v>107</x:v>
      </x:c>
      <x:c r="H20" s="17">
        <x:v>141</x:v>
      </x:c>
      <x:c r="I20" s="17">
        <x:v>160</x:v>
      </x:c>
      <x:c r="J20" s="17">
        <x:v>164</x:v>
      </x:c>
    </x:row>
    <x:row r="21">
      <x:c r="A21" s="16" t="s">
        <x:v>162</x:v>
      </x:c>
      <x:c r="C21" s="17">
        <x:v>-2923</x:v>
      </x:c>
      <x:c r="D21" s="17">
        <x:v>-108</x:v>
      </x:c>
    </x:row>
    <x:row r="22">
      <x:c r="A22" s="16" t="s">
        <x:v>163</x:v>
      </x:c>
      <x:c r="C22" s="17">
        <x:v>175</x:v>
      </x:c>
      <x:c r="D22" s="17">
        <x:v>-127</x:v>
      </x:c>
      <x:c r="E22" s="17">
        <x:v>152</x:v>
      </x:c>
      <x:c r="F22" s="17">
        <x:v>-19</x:v>
      </x:c>
      <x:c r="G22" s="17">
        <x:v>-49</x:v>
      </x:c>
      <x:c r="H22" s="17">
        <x:v>43</x:v>
      </x:c>
      <x:c r="I22" s="17">
        <x:v>-72</x:v>
      </x:c>
      <x:c r="J22" s="17">
        <x:v>23</x:v>
      </x:c>
    </x:row>
    <x:row r="23">
      <x:c r="A23" s="16" t="s">
        <x:v>164</x:v>
      </x:c>
      <x:c r="C23" s="17">
        <x:v>-124</x:v>
      </x:c>
      <x:c r="D23" s="17">
        <x:v>80</x:v>
      </x:c>
      <x:c r="E23" s="17">
        <x:v>19</x:v>
      </x:c>
      <x:c r="F23" s="17">
        <x:v>-553</x:v>
      </x:c>
      <x:c r="G23" s="17">
        <x:v>-423</x:v>
      </x:c>
      <x:c r="H23" s="17">
        <x:v>-86</x:v>
      </x:c>
      <x:c r="I23" s="17">
        <x:v>-160</x:v>
      </x:c>
      <x:c r="J23" s="17">
        <x:v>-122</x:v>
      </x:c>
    </x:row>
    <x:row r="24">
      <x:c r="A24" s="16" t="s">
        <x:v>165</x:v>
      </x:c>
      <x:c r="D24" s="17">
        <x:v>87</x:v>
      </x:c>
      <x:c r="E24" s="17">
        <x:v>90</x:v>
      </x:c>
      <x:c r="F24" s="17">
        <x:v>1307</x:v>
      </x:c>
      <x:c r="G24" s="17">
        <x:v>310</x:v>
      </x:c>
      <x:c r="H24" s="17">
        <x:v>-168</x:v>
      </x:c>
      <x:c r="I24" s="17">
        <x:v>-409</x:v>
      </x:c>
      <x:c r="J24" s="17">
        <x:v>-72</x:v>
      </x:c>
    </x:row>
    <x:row r="25">
      <x:c r="A25" s="16" t="s">
        <x:v>166</x:v>
      </x:c>
      <x:c r="C25" s="17">
        <x:v>-4</x:v>
      </x:c>
      <x:c r="D25" s="17">
        <x:v>-81</x:v>
      </x:c>
      <x:c r="E25" s="17">
        <x:v>18</x:v>
      </x:c>
      <x:c r="F25" s="17">
        <x:v>-129</x:v>
      </x:c>
      <x:c r="G25" s="17">
        <x:v>-347</x:v>
      </x:c>
      <x:c r="H25" s="17">
        <x:v>-127</x:v>
      </x:c>
      <x:c r="I25" s="17">
        <x:v>56</x:v>
      </x:c>
      <x:c r="J25" s="17">
        <x:v>47</x:v>
      </x:c>
    </x:row>
    <x:row r="26">
      <x:c r="A26" s="16" t="s">
        <x:v>167</x:v>
      </x:c>
      <x:c r="C26" s="17">
        <x:v>43</x:v>
      </x:c>
      <x:c r="D26" s="17">
        <x:v>-72</x:v>
      </x:c>
      <x:c r="E26" s="17">
        <x:v>128</x:v>
      </x:c>
      <x:c r="F26" s="17">
        <x:v>76</x:v>
      </x:c>
      <x:c r="G26" s="17">
        <x:v>-157</x:v>
      </x:c>
      <x:c r="H26" s="17">
        <x:v>66</x:v>
      </x:c>
      <x:c r="I26" s="17">
        <x:v>-55</x:v>
      </x:c>
      <x:c r="J26" s="17">
        <x:v>55</x:v>
      </x:c>
    </x:row>
    <x:row r="27">
      <x:c r="A27" s="16" t="s">
        <x:v>168</x:v>
      </x:c>
      <x:c r="C27" s="17">
        <x:v>287</x:v>
      </x:c>
      <x:c r="D27" s="17">
        <x:v>-174</x:v>
      </x:c>
      <x:c r="E27" s="17">
        <x:v>109</x:v>
      </x:c>
      <x:c r="F27" s="17">
        <x:v>447</x:v>
      </x:c>
      <x:c r="G27" s="17">
        <x:v>307</x:v>
      </x:c>
      <x:c r="H27" s="17">
        <x:v>-168</x:v>
      </x:c>
      <x:c r="I27" s="17">
        <x:v>-277</x:v>
      </x:c>
      <x:c r="J27" s="17">
        <x:v>-148</x:v>
      </x:c>
    </x:row>
    <x:row r="28">
      <x:c r="A28" s="16" t="s">
        <x:v>169</x:v>
      </x:c>
      <x:c r="C28" s="17">
        <x:v>-87</x:v>
      </x:c>
      <x:c r="D28" s="17">
        <x:v>-94</x:v>
      </x:c>
      <x:c r="E28" s="17">
        <x:v>-91</x:v>
      </x:c>
      <x:c r="F28" s="17">
        <x:v>-42</x:v>
      </x:c>
      <x:c r="G28" s="17">
        <x:v>-51</x:v>
      </x:c>
      <x:c r="H28" s="17">
        <x:v>-46</x:v>
      </x:c>
      <x:c r="I28" s="17">
        <x:v>-35</x:v>
      </x:c>
      <x:c r="J28" s="17">
        <x:v>-25</x:v>
      </x:c>
    </x:row>
    <x:row r="29">
      <x:c r="A29" s="16" t="s">
        <x:v>170</x:v>
      </x:c>
      <x:c r="C29" s="17">
        <x:v>-53</x:v>
      </x:c>
      <x:c r="D29" s="17">
        <x:v>93</x:v>
      </x:c>
      <x:c r="E29" s="17">
        <x:v>-266</x:v>
      </x:c>
      <x:c r="F29" s="17">
        <x:v>75</x:v>
      </x:c>
      <x:c r="G29" s="17">
        <x:v>163</x:v>
      </x:c>
      <x:c r="H29" s="17">
        <x:v>-305</x:v>
      </x:c>
      <x:c r="I29" s="17">
        <x:v>-191</x:v>
      </x:c>
      <x:c r="J29" s="17">
        <x:v>-67</x:v>
      </x:c>
    </x:row>
    <x:row r="30">
      <x:c r="A30" s="10" t="s">
        <x:v>171</x:v>
      </x:c>
      <x:c r="C30" s="20" t="n">
        <x:f t="shared" ref="C30:J30" si="1">C13+C15+C16+C17+C18+C19+C20+C21+C22+C23+C24+C25+C26+C27+C28+C29</x:f>
        <x:v>3654</x:v>
      </x:c>
      <x:c r="D30" s="20">
        <x:f t="shared" si="1"/>
        <x:v>6119</x:v>
      </x:c>
      <x:c r="E30" s="20">
        <x:f t="shared" si="1"/>
        <x:v>7429</x:v>
      </x:c>
      <x:c r="F30" s="20">
        <x:f t="shared" si="1"/>
        <x:v>9725</x:v>
      </x:c>
      <x:c r="G30" s="20">
        <x:f t="shared" si="1"/>
        <x:v>8864</x:v>
      </x:c>
      <x:c r="H30" s="20">
        <x:f t="shared" si="1"/>
        <x:v>9305</x:v>
      </x:c>
      <x:c r="I30" s="20">
        <x:f t="shared" si="1"/>
        <x:v>9423</x:v>
      </x:c>
      <x:c r="J30" s="20">
        <x:f t="shared" si="1"/>
        <x:v>10350</x:v>
      </x:c>
    </x:row>
    <x:row r="31">
      <x:c r="A31" s="14" t="s">
        <x:v>172</x:v>
      </x:c>
      <x:c r="C31" s="15" t="n">
        <x:f>C30/'Income Statement'!C10</x:f>
        <x:v>0.24523489932885906</x:v>
      </x:c>
      <x:c r="D31" s="15" t="n">
        <x:f>D30/'Income Statement'!D10</x:f>
        <x:v>0.21677058240045344</x:v>
      </x:c>
      <x:c r="E31" s="15" t="n">
        <x:f>E30/'Income Statement'!E10</x:f>
        <x:v>0.2726939030209595</x:v>
      </x:c>
      <x:c r="F31" s="15" t="n">
        <x:f>F30/'Income Statement'!F10</x:f>
        <x:v>0.31581853018543177</x:v>
      </x:c>
      <x:c r="G31" s="15" t="n">
        <x:f>G30/'Income Statement'!G10</x:f>
        <x:v>0.2656755784678096</x:v>
      </x:c>
      <x:c r="H31" s="15" t="n">
        <x:f>H30/'Income Statement'!H10</x:f>
        <x:v>0.2832227430449869</x:v>
      </x:c>
      <x:c r="I31" s="15" t="n">
        <x:f>I30/'Income Statement'!I10</x:f>
        <x:v>0.2855021966368732</x:v>
      </x:c>
      <x:c r="J31" s="15" t="n">
        <x:f>J30/'Income Statement'!J10</x:f>
        <x:v>0.30453716236097217</x:v>
      </x:c>
    </x:row>
    <x:row r="33">
      <x:c r="A33" s="16" t="s">
        <x:v>173</x:v>
      </x:c>
      <x:c r="C33" s="17">
        <x:v>-1883</x:v>
      </x:c>
      <x:c r="D33" s="17">
        <x:v>-3682</x:v>
      </x:c>
      <x:c r="E33" s="17">
        <x:v>-3400</x:v>
      </x:c>
      <x:c r="F33" s="17">
        <x:v>-3086</x:v>
      </x:c>
      <x:c r="G33" s="17">
        <x:v>-3173</x:v>
      </x:c>
      <x:c r="H33" s="17">
        <x:v>-3787</x:v>
      </x:c>
      <x:c r="I33" s="17">
        <x:v>-4497</x:v>
      </x:c>
      <x:c r="J33" s="17">
        <x:v>-5261</x:v>
      </x:c>
    </x:row>
    <x:row r="34">
      <x:c r="A34" s="16" t="s">
        <x:v>174</x:v>
      </x:c>
      <x:c r="C34" s="17">
        <x:v>-25</x:v>
      </x:c>
      <x:c r="D34" s="17">
        <x:v>-225</x:v>
      </x:c>
      <x:c r="E34" s="17">
        <x:v>-68</x:v>
      </x:c>
      <x:c r="F34" s="17">
        <x:v>-88</x:v>
      </x:c>
      <x:c r="G34" s="17">
        <x:v>-110</x:v>
      </x:c>
      <x:c r="H34" s="17">
        <x:v>-953</x:v>
      </x:c>
      <x:c r="I34" s="17">
        <x:v>-317</x:v>
      </x:c>
      <x:c r="J34" s="17">
        <x:v>-412</x:v>
      </x:c>
    </x:row>
    <x:row r="35">
      <x:c r="A35" s="16" t="s">
        <x:v>175</x:v>
      </x:c>
      <x:c r="C35" s="17">
        <x:v>5908</x:v>
      </x:c>
      <x:c r="D35" s="17">
        <x:v>5096</x:v>
      </x:c>
      <x:c r="E35" s="17">
        <x:v>482</x:v>
      </x:c>
      <x:c r="F35" s="17">
        <x:v>167</x:v>
      </x:c>
      <x:c r="G35" s="17">
        <x:v>195</x:v>
      </x:c>
      <x:c r="H35" s="17">
        <x:v>70</x:v>
      </x:c>
      <x:c r="I35" s="17">
        <x:v>170</x:v>
      </x:c>
      <x:c r="J35" s="17">
        <x:v>42</x:v>
      </x:c>
    </x:row>
    <x:row r="36">
      <x:c r="A36" s="16" t="s">
        <x:v>176</x:v>
      </x:c>
      <x:c r="C36" s="17">
        <x:v>1363</x:v>
      </x:c>
    </x:row>
    <x:row r="37">
      <x:c r="A37" s="16" t="s">
        <x:v>177</x:v>
      </x:c>
      <x:c r="J37" s="17">
        <x:v>-90</x:v>
      </x:c>
    </x:row>
    <x:row r="38">
      <x:c r="A38" s="10" t="s">
        <x:v>178</x:v>
      </x:c>
      <x:c r="C38" s="20" t="n">
        <x:f t="shared" ref="C38:J38" si="2">C33+C34+C35+C36+C37</x:f>
        <x:v>5363</x:v>
      </x:c>
      <x:c r="D38" s="20">
        <x:f t="shared" si="2"/>
        <x:v>1189</x:v>
      </x:c>
      <x:c r="E38" s="20">
        <x:f t="shared" si="2"/>
        <x:v>-2986</x:v>
      </x:c>
      <x:c r="F38" s="20">
        <x:f t="shared" si="2"/>
        <x:v>-3007</x:v>
      </x:c>
      <x:c r="G38" s="20">
        <x:f t="shared" si="2"/>
        <x:v>-3088</x:v>
      </x:c>
      <x:c r="H38" s="20">
        <x:f t="shared" si="2"/>
        <x:v>-4670</x:v>
      </x:c>
      <x:c r="I38" s="20">
        <x:f t="shared" si="2"/>
        <x:v>-4644</x:v>
      </x:c>
      <x:c r="J38" s="20">
        <x:f t="shared" si="2"/>
        <x:v>-5721</x:v>
      </x:c>
    </x:row>
    <x:row r="40">
      <x:c r="A40" s="16" t="s">
        <x:v>179</x:v>
      </x:c>
      <x:c r="C40" s="17">
        <x:v>208</x:v>
      </x:c>
      <x:c r="D40" s="17">
        <x:v>224</x:v>
      </x:c>
      <x:c r="E40" s="17">
        <x:v>1198</x:v>
      </x:c>
      <x:c r="F40" s="17">
        <x:v>-1329</x:v>
      </x:c>
      <x:c r="G40" s="17">
        <x:v>3050</x:v>
      </x:c>
      <x:c r="H40" s="17">
        <x:v>554</x:v>
      </x:c>
      <x:c r="I40" s="17">
        <x:v>-372</x:v>
      </x:c>
      <x:c r="J40" s="17">
        <x:v>41</x:v>
      </x:c>
    </x:row>
    <x:row r="41">
      <x:c r="A41" s="16" t="s">
        <x:v>180</x:v>
      </x:c>
      <x:c r="C41" s="17">
        <x:v>8</x:v>
      </x:c>
      <x:c r="D41" s="17">
        <x:v>99</x:v>
      </x:c>
      <x:c r="E41" s="17">
        <x:v>2796</x:v>
      </x:c>
      <x:c r="F41" s="17">
        <x:v>2283</x:v>
      </x:c>
      <x:c r="G41" s="17">
        <x:v>3210</x:v>
      </x:c>
      <x:c r="H41" s="17">
        <x:v>2188</x:v>
      </x:c>
      <x:c r="I41" s="17">
        <x:v>4844</x:v>
      </x:c>
      <x:c r="J41" s="17">
        <x:v>5148</x:v>
      </x:c>
    </x:row>
    <x:row r="42">
      <x:c r="A42" s="16" t="s">
        <x:v>181</x:v>
      </x:c>
      <x:c r="C42" s="17">
        <x:v>-3124</x:v>
      </x:c>
      <x:c r="D42" s="17">
        <x:v>-1583</x:v>
      </x:c>
      <x:c r="E42" s="17">
        <x:v>-2681</x:v>
      </x:c>
      <x:c r="F42" s="17">
        <x:v>-1468</x:v>
      </x:c>
      <x:c r="G42" s="17">
        <x:v>-1785</x:v>
      </x:c>
      <x:c r="H42" s="17">
        <x:v>-1682</x:v>
      </x:c>
      <x:c r="I42" s="17">
        <x:v>-1305</x:v>
      </x:c>
      <x:c r="J42" s="17">
        <x:v>-2278</x:v>
      </x:c>
    </x:row>
    <x:row r="43">
      <x:c r="A43" s="16" t="s">
        <x:v>182</x:v>
      </x:c>
      <x:c r="C43" s="17">
        <x:v>77</x:v>
      </x:c>
      <x:c r="D43" s="17">
        <x:v>72</x:v>
      </x:c>
      <x:c r="E43" s="17">
        <x:v>47</x:v>
      </x:c>
      <x:c r="F43" s="17">
        <x:v>50</x:v>
      </x:c>
      <x:c r="G43" s="17">
        <x:v>36</x:v>
      </x:c>
      <x:c r="H43" s="17">
        <x:v>33</x:v>
      </x:c>
      <x:c r="I43" s="17">
        <x:v>31</x:v>
      </x:c>
      <x:c r="J43" s="17">
        <x:v>23</x:v>
      </x:c>
    </x:row>
    <x:row r="44">
      <x:c r="A44" s="16" t="s">
        <x:v>183</x:v>
      </x:c>
      <x:c r="C44" s="17">
        <x:v>-599</x:v>
      </x:c>
      <x:c r="D44" s="17">
        <x:v>-2658</x:v>
      </x:c>
      <x:c r="E44" s="17">
        <x:v>-2457</x:v>
      </x:c>
      <x:c r="F44" s="17">
        <x:v>-4612</x:v>
      </x:c>
      <x:c r="G44" s="17">
        <x:v>-5168</x:v>
      </x:c>
      <x:c r="H44" s="17">
        <x:v>-3958</x:v>
      </x:c>
      <x:c r="I44" s="17">
        <x:v>-4482</x:v>
      </x:c>
      <x:c r="J44" s="17">
        <x:v>-4601</x:v>
      </x:c>
    </x:row>
    <x:row r="45">
      <x:c r="A45" s="16" t="s">
        <x:v>184</x:v>
      </x:c>
      <x:c r="C45" s="17">
        <x:v>-1166</x:v>
      </x:c>
      <x:c r="D45" s="17">
        <x:v>-1891</x:v>
      </x:c>
      <x:c r="E45" s="17">
        <x:v>-2028</x:v>
      </x:c>
      <x:c r="F45" s="17">
        <x:v>-2189</x:v>
      </x:c>
      <x:c r="G45" s="17">
        <x:v>-2344</x:v>
      </x:c>
      <x:c r="H45" s="17">
        <x:v>-2482</x:v>
      </x:c>
      <x:c r="I45" s="17">
        <x:v>-2655</x:v>
      </x:c>
      <x:c r="J45" s="17">
        <x:v>-2811</x:v>
      </x:c>
    </x:row>
    <x:row r="46">
      <x:c r="A46" s="16" t="s">
        <x:v>185</x:v>
      </x:c>
      <x:c r="C46" s="17">
        <x:v>-402</x:v>
      </x:c>
      <x:c r="D46" s="17">
        <x:v>-3260</x:v>
      </x:c>
      <x:c r="E46" s="17">
        <x:v>-220</x:v>
      </x:c>
      <x:c r="F46" s="17">
        <x:v>-323</x:v>
      </x:c>
      <x:c r="G46" s="17">
        <x:v>-88</x:v>
      </x:c>
      <x:c r="H46" s="17">
        <x:v>-53</x:v>
      </x:c>
      <x:c r="I46" s="17">
        <x:v>-420</x:v>
      </x:c>
      <x:c r="J46" s="17">
        <x:v>-76</x:v>
      </x:c>
    </x:row>
    <x:row r="47">
      <x:c r="A47" s="10" t="s">
        <x:v>186</x:v>
      </x:c>
      <x:c r="C47" s="20" t="n">
        <x:f t="shared" ref="C47:J47" si="3">C40+C41+C42+C43+C44+C45+C46</x:f>
        <x:v>-4998</x:v>
      </x:c>
      <x:c r="D47" s="20">
        <x:f t="shared" si="3"/>
        <x:v>-8997</x:v>
      </x:c>
      <x:c r="E47" s="20">
        <x:f t="shared" si="3"/>
        <x:v>-3345</x:v>
      </x:c>
      <x:c r="F47" s="20">
        <x:f t="shared" si="3"/>
        <x:v>-7588</x:v>
      </x:c>
      <x:c r="G47" s="20">
        <x:f t="shared" si="3"/>
        <x:v>-3089</x:v>
      </x:c>
      <x:c r="H47" s="20">
        <x:f t="shared" si="3"/>
        <x:v>-5400</x:v>
      </x:c>
      <x:c r="I47" s="20">
        <x:f t="shared" si="3"/>
        <x:v>-4359</x:v>
      </x:c>
      <x:c r="J47" s="20">
        <x:f t="shared" si="3"/>
        <x:v>-4554</x:v>
      </x:c>
    </x:row>
    <x:row r="49">
      <x:c r="A49" s="16" t="s">
        <x:v>187</x:v>
      </x:c>
      <x:c r="C49" s="17">
        <x:v>48</x:v>
      </x:c>
      <x:c r="D49" s="17">
        <x:v>69</x:v>
      </x:c>
    </x:row>
    <x:row r="50">
      <x:c r="A50" s="16" t="s">
        <x:v>188</x:v>
      </x:c>
      <x:c r="C50" s="17">
        <x:v>-23</x:v>
      </x:c>
      <x:c r="D50" s="17">
        <x:v>-60</x:v>
      </x:c>
    </x:row>
    <x:row r="51">
      <x:c r="A51" s="16" t="s">
        <x:v>189</x:v>
      </x:c>
      <x:c r="C51" s="17">
        <x:v>2</x:v>
      </x:c>
      <x:c r="D51" s="17">
        <x:v>5</x:v>
      </x:c>
    </x:row>
    <x:row r="52">
      <x:c r="A52" s="5" t="s">
        <x:v>190</x:v>
      </x:c>
      <x:c r="C52" s="26" t="n">
        <x:f t="shared" ref="C52:J52" si="4">C49+C50+C51</x:f>
        <x:v>27</x:v>
      </x:c>
      <x:c r="D52" s="26">
        <x:f t="shared" si="4"/>
        <x:v>14</x:v>
      </x:c>
      <x:c r="E52" s="26">
        <x:f t="shared" si="4"/>
        <x:v>0</x:v>
      </x:c>
      <x:c r="F52" s="26">
        <x:f t="shared" si="4"/>
        <x:v>0</x:v>
      </x:c>
      <x:c r="G52" s="26">
        <x:f t="shared" si="4"/>
        <x:v>0</x:v>
      </x:c>
      <x:c r="H52" s="26">
        <x:f t="shared" si="4"/>
        <x:v>0</x:v>
      </x:c>
      <x:c r="I52" s="26">
        <x:f t="shared" si="4"/>
        <x:v>0</x:v>
      </x:c>
      <x:c r="J52" s="26">
        <x:f t="shared" si="4"/>
        <x:v>0</x:v>
      </x:c>
    </x:row>
    <x:row r="54">
      <x:c r="A54" s="5" t="s">
        <x:v>191</x:v>
      </x:c>
      <x:c r="C54" s="17">
        <x:v>-60</x:v>
      </x:c>
      <x:c r="D54" s="17">
        <x:v>-77</x:v>
      </x:c>
      <x:c r="E54" s="17">
        <x:v>-44</x:v>
      </x:c>
      <x:c r="F54" s="17">
        <x:v>-61</x:v>
      </x:c>
      <x:c r="G54" s="17">
        <x:v>-74</x:v>
      </x:c>
      <x:c r="H54" s="17">
        <x:v>-7</x:v>
      </x:c>
      <x:c r="I54" s="17">
        <x:v>-234</x:v>
      </x:c>
      <x:c r="J54" s="17">
        <x:v>131</x:v>
      </x:c>
    </x:row>
    <x:row r="55">
      <x:c r="A55" s="10" t="s">
        <x:v>192</x:v>
      </x:c>
      <x:c r="C55" s="20" t="n">
        <x:f t="shared" ref="C55:J55" si="5">C30+C38+C47+C52+C54</x:f>
        <x:v>3986</x:v>
      </x:c>
      <x:c r="D55" s="20">
        <x:f t="shared" si="5"/>
        <x:v>-1752</x:v>
      </x:c>
      <x:c r="E55" s="20">
        <x:f t="shared" si="5"/>
        <x:v>1054</x:v>
      </x:c>
      <x:c r="F55" s="20">
        <x:f t="shared" si="5"/>
        <x:v>-931</x:v>
      </x:c>
      <x:c r="G55" s="20">
        <x:f t="shared" si="5"/>
        <x:v>2613</x:v>
      </x:c>
      <x:c r="H55" s="20">
        <x:f t="shared" si="5"/>
        <x:v>-772</x:v>
      </x:c>
      <x:c r="I55" s="20">
        <x:f t="shared" si="5"/>
        <x:v>186</x:v>
      </x:c>
      <x:c r="J55" s="20">
        <x:f t="shared" si="5"/>
        <x:v>206</x:v>
      </x:c>
    </x:row>
    <x:row r="56">
      <x:c r="A56" s="16" t="s">
        <x:v>193</x:v>
      </x:c>
      <x:c r="C56" s="17">
        <x:v>-137</x:v>
      </x:c>
      <x:c r="D56" s="17">
        <x:v>-14</x:v>
      </x:c>
    </x:row>
    <x:row r="57">
      <x:c r="A57" s="5" t="s">
        <x:v>194</x:v>
      </x:c>
      <x:c r="C57" s="17">
        <x:v>617</x:v>
      </x:c>
      <x:c r="D57" s="17">
        <x:v>4466</x:v>
      </x:c>
      <x:c r="E57" s="17">
        <x:v>2700</x:v>
      </x:c>
      <x:c r="F57" s="17">
        <x:v>3754</x:v>
      </x:c>
      <x:c r="G57" s="17">
        <x:v>2823</x:v>
      </x:c>
      <x:c r="H57" s="17">
        <x:v>5436</x:v>
      </x:c>
      <x:c r="I57" s="17">
        <x:v>4664</x:v>
      </x:c>
      <x:c r="J57" s="17">
        <x:v>4850</x:v>
      </x:c>
    </x:row>
    <x:row r="58">
      <x:c r="A58" s="10" t="s">
        <x:v>195</x:v>
      </x:c>
      <x:c r="C58" s="20" t="n">
        <x:f t="shared" ref="C58:J58" si="6">C57+C55+C56</x:f>
        <x:v>4466</x:v>
      </x:c>
      <x:c r="D58" s="20">
        <x:f t="shared" si="6"/>
        <x:v>2700</x:v>
      </x:c>
      <x:c r="E58" s="20">
        <x:f t="shared" si="6"/>
        <x:v>3754</x:v>
      </x:c>
      <x:c r="F58" s="20">
        <x:f t="shared" si="6"/>
        <x:v>2823</x:v>
      </x:c>
      <x:c r="G58" s="20">
        <x:f t="shared" si="6"/>
        <x:v>5436</x:v>
      </x:c>
      <x:c r="H58" s="20">
        <x:f t="shared" si="6"/>
        <x:v>4664</x:v>
      </x:c>
      <x:c r="I58" s="20">
        <x:f t="shared" si="6"/>
        <x:v>4850</x:v>
      </x:c>
      <x:c r="J58" s="20">
        <x:f t="shared" si="6"/>
        <x:v>5056</x:v>
      </x:c>
    </x:row>
    <x:row r="60">
      <x:c r="A60" s="5" t="s">
        <x:v>196</x:v>
      </x:c>
      <x:c r="C60" s="21" t="n">
        <x:f>C58-'Balance Sheet'!C10</x:f>
        <x:v>0</x:v>
      </x:c>
      <x:c r="D60" s="21" t="n">
        <x:f>D58-'Balance Sheet'!D10</x:f>
        <x:v>0</x:v>
      </x:c>
      <x:c r="E60" s="21" t="n">
        <x:f>E58-'Balance Sheet'!E10</x:f>
        <x:v>0</x:v>
      </x:c>
      <x:c r="F60" s="21" t="n">
        <x:f>F58-'Balance Sheet'!F10</x:f>
        <x:v>0</x:v>
      </x:c>
      <x:c r="G60" s="21" t="n">
        <x:f>G58-'Balance Sheet'!G10</x:f>
        <x:v>0</x:v>
      </x:c>
      <x:c r="H60" s="21" t="n">
        <x:f>H58-'Balance Sheet'!H10</x:f>
        <x:v>0</x:v>
      </x:c>
      <x:c r="I60" s="21" t="n">
        <x:f>I58-'Balance Sheet'!I10</x:f>
        <x:v>0</x:v>
      </x:c>
      <x:c r="J60" s="21" t="n">
        <x:f>J58-'Balance Sheet'!J10</x:f>
        <x:v>0</x:v>
      </x:c>
    </x:row>
    <x:row r="62">
      <x:c r="A62" s="10" t="s">
        <x:v>197</x:v>
      </x:c>
      <x:c r="C62" s="18" t="n">
        <x:f t="shared" ref="C62:J62" si="7">C30+C33</x:f>
        <x:v>1771</x:v>
      </x:c>
      <x:c r="D62" s="18">
        <x:f t="shared" si="7"/>
        <x:v>2437</x:v>
      </x:c>
      <x:c r="E62" s="18">
        <x:f t="shared" si="7"/>
        <x:v>4029</x:v>
      </x:c>
      <x:c r="F62" s="18">
        <x:f t="shared" si="7"/>
        <x:v>6639</x:v>
      </x:c>
      <x:c r="G62" s="18">
        <x:f t="shared" si="7"/>
        <x:v>5691</x:v>
      </x:c>
      <x:c r="H62" s="18">
        <x:f t="shared" si="7"/>
        <x:v>5518</x:v>
      </x:c>
      <x:c r="I62" s="18">
        <x:f t="shared" si="7"/>
        <x:v>4926</x:v>
      </x:c>
      <x:c r="J62" s="18">
        <x:f t="shared" si="7"/>
        <x:v>5089</x:v>
      </x:c>
    </x:row>
    <x:row r="63">
      <x:c r="A63" s="14" t="s">
        <x:v>198</x:v>
      </x:c>
      <x:c r="D63" s="15" t="n">
        <x:f t="shared" ref="D63:J63" si="8">IF(N(C62)=0,"",D62/C62-1)</x:f>
        <x:v>0.37605872388481076</x:v>
      </x:c>
      <x:c r="E63" s="15">
        <x:f t="shared" si="8"/>
        <x:v>0.65326220763233489</x:v>
      </x:c>
      <x:c r="F63" s="15">
        <x:f t="shared" si="8"/>
        <x:v>0.64780342516753531</x:v>
      </x:c>
      <x:c r="G63" s="15">
        <x:f t="shared" si="8"/>
        <x:v>-0.14279258924536831</x:v>
      </x:c>
      <x:c r="H63" s="15">
        <x:f t="shared" si="8"/>
        <x:v>-3.0398875417325555E-2</x:v>
      </x:c>
      <x:c r="I63" s="15">
        <x:f t="shared" si="8"/>
        <x:v>-0.10728524827836172</x:v>
      </x:c>
      <x:c r="J63" s="15">
        <x:f t="shared" si="8"/>
        <x:v>3.3089727974015437E-2</x:v>
      </x:c>
    </x:row>
    <x:row r="64">
      <x:c r="A64" s="14" t="s">
        <x:v>199</x:v>
      </x:c>
      <x:c r="C64" s="15" t="n">
        <x:f>0-C33/'Income Statement'!C10</x:f>
        <x:v>0.1263758389261745</x:v>
      </x:c>
      <x:c r="D64" s="15" t="n">
        <x:f>0-D33/'Income Statement'!D10</x:f>
        <x:v>0.13043786311463795</x:v>
      </x:c>
      <x:c r="E64" s="15" t="n">
        <x:f>0-E33/'Income Statement'!E10</x:f>
        <x:v>0.12480270161142312</x:v>
      </x:c>
      <x:c r="F64" s="15" t="n">
        <x:f>0-F33/'Income Statement'!F10</x:f>
        <x:v>0.10021758191796837</x:v>
      </x:c>
      <x:c r="G64" s="15" t="n">
        <x:f>0-G33/'Income Statement'!G10</x:f>
        <x:v>0.09510250569476082</x:v>
      </x:c>
      <x:c r="H64" s="15" t="n">
        <x:f>0-H33/'Income Statement'!H10</x:f>
        <x:v>0.11526754733061423</x:v>
      </x:c>
      <x:c r="I64" s="15" t="n">
        <x:f>0-I33/'Income Statement'!I10</x:f>
        <x:v>0.1362520830177246</x:v>
      </x:c>
      <x:c r="J64" s="15" t="n">
        <x:f>0-J33/'Income Statement'!J10</x:f>
        <x:v>0.15479903489672217</x:v>
      </x:c>
    </x:row>
    <x:row r="65">
      <x:c r="A65" s="14" t="s">
        <x:v>200</x:v>
      </x:c>
      <x:c r="C65" s="15" t="n">
        <x:f>C62/'Income Statement'!C10</x:f>
        <x:v>0.11885906040268457</x:v>
      </x:c>
      <x:c r="D65" s="15" t="n">
        <x:f>D62/'Income Statement'!D10</x:f>
        <x:v>0.0863327192858155</x:v>
      </x:c>
      <x:c r="E65" s="15" t="n">
        <x:f>E62/'Income Statement'!E10</x:f>
        <x:v>0.1478912014095364</x:v>
      </x:c>
      <x:c r="F65" s="15" t="n">
        <x:f>F62/'Income Statement'!F10</x:f>
        <x:v>0.21560094826746337</x:v>
      </x:c>
      <x:c r="G65" s="15" t="n">
        <x:f>G62/'Income Statement'!G10</x:f>
        <x:v>0.17057307277304878</x:v>
      </x:c>
      <x:c r="H65" s="15" t="n">
        <x:f>H62/'Income Statement'!H10</x:f>
        <x:v>0.16795519571437267</x:v>
      </x:c>
      <x:c r="I65" s="15" t="n">
        <x:f>I62/'Income Statement'!I10</x:f>
        <x:v>0.1492501136191486</x:v>
      </x:c>
      <x:c r="J65" s="15" t="n">
        <x:f>J62/'Income Statement'!J10</x:f>
        <x:v>0.14973812746425</x:v>
      </x:c>
    </x:row>
    <x:row r="66">
      <x:c r="A66" s="14" t="s">
        <x:v>201</x:v>
      </x:c>
      <x:c r="C66" s="27" t="n">
        <x:f>C62/'Income Statement'!C37</x:f>
        <x:v>0.40424560602602144</x:v>
      </x:c>
      <x:c r="D66" s="27" t="n">
        <x:f>D62/'Income Statement'!D37</x:f>
        <x:v>1.0665207877461707</x:v>
      </x:c>
      <x:c r="E66" s="27" t="n">
        <x:f>E62/'Income Statement'!E37</x:f>
        <x:v>1.6109556177528987</x:v>
      </x:c>
      <x:c r="F66" s="27" t="n">
        <x:f>F62/'Income Statement'!F37</x:f>
        <x:v>1.7352326189231573</x:v>
      </x:c>
      <x:c r="G66" s="27" t="n">
        <x:f>G62/'Income Statement'!G37</x:f>
        <x:v>1.3723173378345792</x:v>
      </x:c>
      <x:c r="H66" s="27" t="n">
        <x:f>H62/'Income Statement'!H37</x:f>
        <x:v>0.8901435715437974</x:v>
      </x:c>
      <x:c r="I66" s="27" t="n">
        <x:f>I62/'Income Statement'!I37</x:f>
        <x:v>0.7503427265803504</x:v>
      </x:c>
      <x:c r="J66" s="27" t="n">
        <x:f>J62/'Income Statement'!J37</x:f>
        <x:v>0.7377500724847782</x:v>
      </x:c>
    </x:row>
    <x:row r="68">
      <x:c r="A68" s="16" t="s">
        <x:v>202</x:v>
      </x:c>
      <x:c r="C68" s="17">
        <x:v>757</x:v>
      </x:c>
      <x:c r="D68" s="17">
        <x:v>1357</x:v>
      </x:c>
      <x:c r="E68" s="17">
        <x:v>1066</x:v>
      </x:c>
      <x:c r="F68" s="17">
        <x:v>1710</x:v>
      </x:c>
      <x:c r="G68" s="17">
        <x:v>1735</x:v>
      </x:c>
      <x:c r="H68" s="17">
        <x:v>1955</x:v>
      </x:c>
      <x:c r="I68" s="17">
        <x:v>2216</x:v>
      </x:c>
    </x:row>
    <x:row r="69">
      <x:c r="A69" s="16" t="s">
        <x:v>203</x:v>
      </x:c>
      <x:c r="C69" s="17">
        <x:v>214</x:v>
      </x:c>
      <x:c r="D69" s="17">
        <x:v>275</x:v>
      </x:c>
      <x:c r="E69" s="17">
        <x:v>322</x:v>
      </x:c>
      <x:c r="F69" s="17">
        <x:v>233</x:v>
      </x:c>
      <x:c r="G69" s="17">
        <x:v>170</x:v>
      </x:c>
      <x:c r="H69" s="17">
        <x:v>451</x:v>
      </x:c>
      <x:c r="I69" s="17">
        <x:v>443</x:v>
      </x:c>
      <x:c r="J69" s="17">
        <x:v>548</x:v>
      </x:c>
    </x:row>
  </x:sheetData>
  <x:conditionalFormatting sqref="C60:J60">
    <x:cfRule type="cellIs" dxfId="3" priority="1" operator="notBetween">
      <x:formula>-0.5</x:formula>
      <x:formula>0.5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6" customWidth="1"/>
    <x:col min="2" max="2" width="34" hidden="1" customWidth="1"/>
    <x:col min="3" max="3" width="12" customWidth="1"/>
    <x:col min="4" max="10" width="12" customWidth="1"/>
  </x:cols>
  <x:sheetData>
    <x:row r="1" ht="28" customHeight="1">
      <x:c r="A1" s="1" t="s">
        <x:v>204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6" customHeight="1">
      <x:c r="A2" s="3" t="s">
        <x:v>1</x:v>
      </x:c>
    </x:row>
    <x:row r="3">
      <x:c r="C3" s="8" t="s">
        <x:v>60</x:v>
      </x:c>
      <x:c r="D3" s="8" t="s">
        <x:v>61</x:v>
      </x:c>
      <x:c r="E3" s="8" t="s">
        <x:v>62</x:v>
      </x:c>
      <x:c r="F3" s="8" t="s">
        <x:v>63</x:v>
      </x:c>
      <x:c r="G3" s="8" t="s">
        <x:v>64</x:v>
      </x:c>
      <x:c r="H3" s="8" t="s">
        <x:v>65</x:v>
      </x:c>
      <x:c r="I3" s="8" t="s">
        <x:v>66</x:v>
      </x:c>
      <x:c r="J3" s="8" t="s">
        <x:v>67</x:v>
      </x:c>
    </x:row>
    <x:row r="4">
      <x:c r="C4" s="9"/>
      <x:c r="D4" s="9"/>
      <x:c r="E4" s="9"/>
      <x:c r="F4" s="9"/>
      <x:c r="G4" s="9"/>
      <x:c r="H4" s="9"/>
      <x:c r="I4" s="9"/>
      <x:c r="J4" s="9"/>
    </x:row>
    <x:row r="6">
      <x:c r="A6" s="10" t="s">
        <x:v>68</x:v>
      </x:c>
    </x:row>
    <x:row r="7">
      <x:c r="A7" s="11" t="e">
        <x:f>HYPERLINK("#'Segments'!A9","1. Segment Information (Note - Segment Reporting)")</x:f>
        <x:v>HYPERLINK is not implemented. linkLocation=#'Segments'!A9, friendlyName=1. Segment Information (Note - Segment Reporting)</x:v>
      </x:c>
    </x:row>
    <x:row r="8" ht="8" customHeight="1"/>
    <x:row r="9" ht="20" customHeight="1">
      <x:c r="A9" s="12" t="s">
        <x:v>205</x:v>
      </x:c>
      <x:c r="B9" s="2"/>
      <x:c r="C9" s="2"/>
      <x:c r="D9" s="2"/>
      <x:c r="E9" s="2"/>
      <x:c r="F9" s="2"/>
      <x:c r="G9" s="2"/>
      <x:c r="H9" s="2"/>
      <x:c r="I9" s="2"/>
      <x:c r="J9" s="2"/>
    </x:row>
    <x:row r="11">
      <x:c r="A11" s="16" t="s">
        <x:v>206</x:v>
      </x:c>
      <x:c r="C11" s="17">
        <x:v>6420</x:v>
      </x:c>
    </x:row>
    <x:row r="12">
      <x:c r="A12" s="16" t="s">
        <x:v>207</x:v>
      </x:c>
      <x:c r="C12" s="17">
        <x:v>1592</x:v>
      </x:c>
    </x:row>
    <x:row r="13">
      <x:c r="A13" s="16" t="s">
        <x:v>208</x:v>
      </x:c>
      <x:c r="C13" s="17">
        <x:v>1369</x:v>
      </x:c>
    </x:row>
    <x:row r="14">
      <x:c r="A14" s="16" t="s">
        <x:v>209</x:v>
      </x:c>
      <x:c r="C14" s="17">
        <x:v>1964</x:v>
      </x:c>
    </x:row>
    <x:row r="15">
      <x:c r="A15" s="16" t="s">
        <x:v>210</x:v>
      </x:c>
      <x:c r="C15" s="17">
        <x:v>682</x:v>
      </x:c>
    </x:row>
    <x:row r="16">
      <x:c r="A16" s="16" t="s">
        <x:v>211</x:v>
      </x:c>
      <x:c r="C16" s="17">
        <x:v>2873</x:v>
      </x:c>
    </x:row>
    <x:row r="17">
      <x:c r="A17" s="16" t="s">
        <x:v>212</x:v>
      </x:c>
      <x:c r="D17" s="17">
        <x:v>10993</x:v>
      </x:c>
      <x:c r="E17" s="17">
        <x:v>10459</x:v>
      </x:c>
      <x:c r="F17" s="17">
        <x:v>12103</x:v>
      </x:c>
      <x:c r="G17" s="17">
        <x:v>13874</x:v>
      </x:c>
      <x:c r="H17" s="17">
        <x:v>14304</x:v>
      </x:c>
      <x:c r="I17" s="17">
        <x:v>14442</x:v>
      </x:c>
      <x:c r="J17" s="17">
        <x:v>15208</x:v>
      </x:c>
    </x:row>
    <x:row r="18">
      <x:c r="A18" s="16" t="s">
        <x:v>213</x:v>
      </x:c>
      <x:c r="D18" s="17">
        <x:v>6643</x:v>
      </x:c>
      <x:c r="E18" s="17">
        <x:v>6449</x:v>
      </x:c>
      <x:c r="F18" s="17">
        <x:v>7643</x:v>
      </x:c>
      <x:c r="G18" s="17">
        <x:v>8443</x:v>
      </x:c>
      <x:c r="H18" s="17">
        <x:v>8542</x:v>
      </x:c>
      <x:c r="I18" s="17">
        <x:v>8352</x:v>
      </x:c>
      <x:c r="J18" s="17">
        <x:v>8549</x:v>
      </x:c>
    </x:row>
    <x:row r="19">
      <x:c r="A19" s="16" t="s">
        <x:v>214</x:v>
      </x:c>
      <x:c r="D19" s="17">
        <x:v>5839</x:v>
      </x:c>
      <x:c r="E19" s="17">
        <x:v>5687</x:v>
      </x:c>
      <x:c r="F19" s="17">
        <x:v>6133</x:v>
      </x:c>
      <x:c r="G19" s="17">
        <x:v>6480</x:v>
      </x:c>
      <x:c r="H19" s="17">
        <x:v>6559</x:v>
      </x:c>
      <x:c r="I19" s="17">
        <x:v>6632</x:v>
      </x:c>
      <x:c r="J19" s="17">
        <x:v>6661</x:v>
      </x:c>
    </x:row>
    <x:row r="20">
      <x:c r="A20" s="16" t="s">
        <x:v>215</x:v>
      </x:c>
      <x:c r="D20" s="17">
        <x:v>2799</x:v>
      </x:c>
      <x:c r="E20" s="17">
        <x:v>2851</x:v>
      </x:c>
      <x:c r="F20" s="17">
        <x:v>2867</x:v>
      </x:c>
      <x:c r="G20" s="17">
        <x:v>2762</x:v>
      </x:c>
      <x:c r="H20" s="17">
        <x:v>2160</x:v>
      </x:c>
      <x:c r="I20" s="17">
        <x:v>2322</x:v>
      </x:c>
      <x:c r="J20" s="17">
        <x:v>2250</x:v>
      </x:c>
    </x:row>
    <x:row r="21">
      <x:c r="A21" s="16" t="s">
        <x:v>216</x:v>
      </x:c>
      <x:c r="D21" s="17">
        <x:v>1954</x:v>
      </x:c>
      <x:c r="E21" s="17">
        <x:v>1797</x:v>
      </x:c>
      <x:c r="F21" s="17">
        <x:v>2047</x:v>
      </x:c>
      <x:c r="G21" s="17">
        <x:v>1805</x:v>
      </x:c>
      <x:c r="H21" s="17">
        <x:v>1289</x:v>
      </x:c>
      <x:c r="I21" s="17">
        <x:v>1257</x:v>
      </x:c>
      <x:c r="J21" s="17">
        <x:v>1318</x:v>
      </x:c>
    </x:row>
    <x:row r="22">
      <x:c r="A22" s="10" t="s">
        <x:v>217</x:v>
      </x:c>
      <x:c r="C22" s="20" t="n">
        <x:f t="shared" ref="C22:J22" si="0">C11+C12+C13+C14+C15+C16+C17+C18+C19+C20+C21</x:f>
        <x:v>14900</x:v>
      </x:c>
      <x:c r="D22" s="20">
        <x:f t="shared" si="0"/>
        <x:v>28228</x:v>
      </x:c>
      <x:c r="E22" s="20">
        <x:f t="shared" si="0"/>
        <x:v>27243</x:v>
      </x:c>
      <x:c r="F22" s="20">
        <x:f t="shared" si="0"/>
        <x:v>30793</x:v>
      </x:c>
      <x:c r="G22" s="20">
        <x:f t="shared" si="0"/>
        <x:v>33364</x:v>
      </x:c>
      <x:c r="H22" s="20">
        <x:f t="shared" si="0"/>
        <x:v>32854</x:v>
      </x:c>
      <x:c r="I22" s="20">
        <x:f t="shared" si="0"/>
        <x:v>33005</x:v>
      </x:c>
      <x:c r="J22" s="20">
        <x:f t="shared" si="0"/>
        <x:v>33986</x:v>
      </x:c>
    </x:row>
    <x:row r="23">
      <x:c r="A23" s="5" t="s">
        <x:v>218</x:v>
      </x:c>
      <x:c r="C23" s="21" t="n">
        <x:f>C22-'Income Statement'!C10</x:f>
        <x:v>0</x:v>
      </x:c>
      <x:c r="D23" s="21" t="n">
        <x:f>D22-'Income Statement'!D10</x:f>
        <x:v>0</x:v>
      </x:c>
      <x:c r="E23" s="21" t="n">
        <x:f>E22-'Income Statement'!E10</x:f>
        <x:v>0</x:v>
      </x:c>
      <x:c r="F23" s="21" t="n">
        <x:f>F22-'Income Statement'!F10</x:f>
        <x:v>0</x:v>
      </x:c>
      <x:c r="G23" s="21" t="n">
        <x:f>G22-'Income Statement'!G10</x:f>
        <x:v>0</x:v>
      </x:c>
      <x:c r="H23" s="21" t="n">
        <x:f>H22-'Income Statement'!H10</x:f>
        <x:v>0</x:v>
      </x:c>
      <x:c r="I23" s="21" t="n">
        <x:f>I22-'Income Statement'!I10</x:f>
        <x:v>0</x:v>
      </x:c>
      <x:c r="J23" s="21" t="n">
        <x:f>J22-'Income Statement'!J10</x:f>
        <x:v>0</x:v>
      </x:c>
    </x:row>
    <x:row r="26">
      <x:c r="A26" s="16" t="s">
        <x:v>206</x:v>
      </x:c>
      <x:c r="C26" s="17">
        <x:v>1648</x:v>
      </x:c>
    </x:row>
    <x:row r="27">
      <x:c r="A27" s="16" t="s">
        <x:v>207</x:v>
      </x:c>
      <x:c r="C27" s="17">
        <x:v>316</x:v>
      </x:c>
    </x:row>
    <x:row r="28">
      <x:c r="A28" s="16" t="s">
        <x:v>208</x:v>
      </x:c>
      <x:c r="C28" s="17">
        <x:v>215</x:v>
      </x:c>
    </x:row>
    <x:row r="29">
      <x:c r="A29" s="16" t="s">
        <x:v>209</x:v>
      </x:c>
      <x:c r="C29" s="17">
        <x:v>427</x:v>
      </x:c>
    </x:row>
    <x:row r="30">
      <x:c r="A30" s="16" t="s">
        <x:v>210</x:v>
      </x:c>
      <x:c r="C30" s="17">
        <x:v>118</x:v>
      </x:c>
    </x:row>
    <x:row r="31">
      <x:c r="A31" s="16" t="s">
        <x:v>211</x:v>
      </x:c>
      <x:c r="C31" s="17">
        <x:v>252</x:v>
      </x:c>
    </x:row>
    <x:row r="32">
      <x:c r="A32" s="16" t="s">
        <x:v>212</x:v>
      </x:c>
      <x:c r="D32" s="17">
        <x:v>2578</x:v>
      </x:c>
      <x:c r="E32" s="17">
        <x:v>2773</x:v>
      </x:c>
      <x:c r="F32" s="17">
        <x:v>3368</x:v>
      </x:c>
      <x:c r="G32" s="17">
        <x:v>3732</x:v>
      </x:c>
      <x:c r="H32" s="17">
        <x:v>4244</x:v>
      </x:c>
      <x:c r="I32" s="17">
        <x:v>4550</x:v>
      </x:c>
      <x:c r="J32" s="17">
        <x:v>4747</x:v>
      </x:c>
    </x:row>
    <x:row r="33">
      <x:c r="A33" s="16" t="s">
        <x:v>213</x:v>
      </x:c>
      <x:c r="D33" s="17">
        <x:v>1367</x:v>
      </x:c>
      <x:c r="E33" s="17">
        <x:v>1465</x:v>
      </x:c>
      <x:c r="F33" s="17">
        <x:v>1889</x:v>
      </x:c>
      <x:c r="G33" s="17">
        <x:v>2013</x:v>
      </x:c>
      <x:c r="H33" s="17">
        <x:v>2486</x:v>
      </x:c>
      <x:c r="I33" s="17">
        <x:v>2780</x:v>
      </x:c>
      <x:c r="J33" s="17">
        <x:v>3055</x:v>
      </x:c>
    </x:row>
    <x:row r="34">
      <x:c r="A34" s="16" t="s">
        <x:v>214</x:v>
      </x:c>
      <x:c r="D34" s="17">
        <x:v>1198</x:v>
      </x:c>
      <x:c r="E34" s="17">
        <x:v>1277</x:v>
      </x:c>
      <x:c r="F34" s="17">
        <x:v>1502</x:v>
      </x:c>
      <x:c r="G34" s="17">
        <x:v>1670</x:v>
      </x:c>
      <x:c r="H34" s="17">
        <x:v>1806</x:v>
      </x:c>
      <x:c r="I34" s="17">
        <x:v>1918</x:v>
      </x:c>
      <x:c r="J34" s="17">
        <x:v>1933</x:v>
      </x:c>
    </x:row>
    <x:row r="35">
      <x:c r="A35" s="16" t="s">
        <x:v>215</x:v>
      </x:c>
      <x:c r="D35" s="17">
        <x:v>390</x:v>
      </x:c>
      <x:c r="E35" s="17">
        <x:v>435</x:v>
      </x:c>
      <x:c r="F35" s="17">
        <x:v>473</x:v>
      </x:c>
      <x:c r="G35" s="17">
        <x:v>555</x:v>
      </x:c>
      <x:c r="H35" s="17">
        <x:v>491</x:v>
      </x:c>
      <x:c r="I35" s="17">
        <x:v>410</x:v>
      </x:c>
      <x:c r="J35" s="17">
        <x:v>408</x:v>
      </x:c>
    </x:row>
    <x:row r="36">
      <x:c r="A36" s="16" t="s">
        <x:v>219</x:v>
      </x:c>
      <x:c r="D36" s="17">
        <x:v>-245</x:v>
      </x:c>
      <x:c r="E36" s="17">
        <x:v>-153</x:v>
      </x:c>
      <x:c r="F36" s="17">
        <x:v>-56</x:v>
      </x:c>
      <x:c r="G36" s="17">
        <x:v>-66</x:v>
      </x:c>
      <x:c r="H36" s="17">
        <x:v>43</x:v>
      </x:c>
      <x:c r="I36" s="17">
        <x:v>62</x:v>
      </x:c>
      <x:c r="J36" s="17">
        <x:v>-6</x:v>
      </x:c>
    </x:row>
    <x:row r="37">
      <x:c r="A37" s="10" t="s">
        <x:v>220</x:v>
      </x:c>
      <x:c r="C37" s="20" t="n">
        <x:f t="shared" ref="C37:J37" si="1">C26+C27+C28+C29+C30+C31+C32+C33+C34+C35+C36</x:f>
        <x:v>2976</x:v>
      </x:c>
      <x:c r="D37" s="20">
        <x:f t="shared" si="1"/>
        <x:v>5288</x:v>
      </x:c>
      <x:c r="E37" s="20">
        <x:f t="shared" si="1"/>
        <x:v>5797</x:v>
      </x:c>
      <x:c r="F37" s="20">
        <x:f t="shared" si="1"/>
        <x:v>7176</x:v>
      </x:c>
      <x:c r="G37" s="20">
        <x:f t="shared" si="1"/>
        <x:v>7904</x:v>
      </x:c>
      <x:c r="H37" s="20">
        <x:f t="shared" si="1"/>
        <x:v>9070</x:v>
      </x:c>
      <x:c r="I37" s="20">
        <x:f t="shared" si="1"/>
        <x:v>9720</x:v>
      </x:c>
      <x:c r="J37" s="20">
        <x:f t="shared" si="1"/>
        <x:v>10137</x:v>
      </x:c>
    </x:row>
    <x:row r="38">
      <x:c r="A38" s="16" t="s">
        <x:v>221</x:v>
      </x:c>
      <x:c r="C38" s="17">
        <x:v>-309</x:v>
      </x:c>
      <x:c r="D38" s="17">
        <x:v>-567</x:v>
      </x:c>
      <x:c r="E38" s="17">
        <x:v>-506</x:v>
      </x:c>
      <x:c r="F38" s="17">
        <x:v>-273</x:v>
      </x:c>
      <x:c r="G38" s="17">
        <x:v>-1029</x:v>
      </x:c>
      <x:c r="H38" s="17">
        <x:v>-40</x:v>
      </x:c>
      <x:c r="I38" s="17">
        <x:v>-145</x:v>
      </x:c>
      <x:c r="J38" s="17">
        <x:v>-273</x:v>
      </x:c>
    </x:row>
    <x:row r="39">
      <x:c r="A39" s="16" t="s">
        <x:v>222</x:v>
      </x:c>
      <x:c r="C39" s="17">
        <x:v>3294</x:v>
      </x:c>
      <x:c r="D39" s="17">
        <x:v>164</x:v>
      </x:c>
    </x:row>
    <x:row r="40">
      <x:c r="A40" s="16" t="s">
        <x:v>223</x:v>
      </x:c>
      <x:c r="C40" s="17">
        <x:v>-714</x:v>
      </x:c>
      <x:c r="D40" s="17">
        <x:v>-1952</x:v>
      </x:c>
      <x:c r="E40" s="17">
        <x:v>-1969</x:v>
      </x:c>
      <x:c r="F40" s="17">
        <x:v>-1919</x:v>
      </x:c>
      <x:c r="G40" s="17">
        <x:v>-1506</x:v>
      </x:c>
      <x:c r="H40" s="17">
        <x:v>-1006</x:v>
      </x:c>
      <x:c r="I40" s="17">
        <x:v>-940</x:v>
      </x:c>
      <x:c r="J40" s="17">
        <x:v>-941</x:v>
      </x:c>
    </x:row>
    <x:row r="41">
      <x:c r="A41" s="10" t="s">
        <x:v>224</x:v>
      </x:c>
      <x:c r="C41" s="20" t="n">
        <x:f t="shared" ref="C41:J41" si="2">C37+C38+C39+C40</x:f>
        <x:v>5247</x:v>
      </x:c>
      <x:c r="D41" s="20">
        <x:f t="shared" si="2"/>
        <x:v>2933</x:v>
      </x:c>
      <x:c r="E41" s="20">
        <x:f t="shared" si="2"/>
        <x:v>3322</x:v>
      </x:c>
      <x:c r="F41" s="20">
        <x:f t="shared" si="2"/>
        <x:v>4984</x:v>
      </x:c>
      <x:c r="G41" s="20">
        <x:f t="shared" si="2"/>
        <x:v>5369</x:v>
      </x:c>
      <x:c r="H41" s="20">
        <x:f t="shared" si="2"/>
        <x:v>8024</x:v>
      </x:c>
      <x:c r="I41" s="20">
        <x:f t="shared" si="2"/>
        <x:v>8635</x:v>
      </x:c>
      <x:c r="J41" s="20">
        <x:f t="shared" si="2"/>
        <x:v>8923</x:v>
      </x:c>
    </x:row>
    <x:row r="42">
      <x:c r="A42" s="5" t="s">
        <x:v>225</x:v>
      </x:c>
      <x:c r="C42" s="21" t="n">
        <x:f>C41-'Income Statement'!C23</x:f>
        <x:v>0</x:v>
      </x:c>
      <x:c r="D42" s="21" t="n">
        <x:f>D41-'Income Statement'!D23</x:f>
        <x:v>0</x:v>
      </x:c>
      <x:c r="E42" s="21" t="n">
        <x:f>E41-'Income Statement'!E23</x:f>
        <x:v>0</x:v>
      </x:c>
      <x:c r="F42" s="21" t="n">
        <x:f>F41-'Income Statement'!F23</x:f>
        <x:v>0</x:v>
      </x:c>
      <x:c r="G42" s="21" t="n">
        <x:f>G41-'Income Statement'!G23</x:f>
        <x:v>0</x:v>
      </x:c>
      <x:c r="H42" s="21" t="n">
        <x:f>H41-'Income Statement'!H23</x:f>
        <x:v>0</x:v>
      </x:c>
      <x:c r="I42" s="21" t="n">
        <x:f>I41-'Income Statement'!I23</x:f>
        <x:v>0</x:v>
      </x:c>
      <x:c r="J42" s="21" t="n">
        <x:f>J41-'Income Statement'!J23</x:f>
        <x:v>0</x:v>
      </x:c>
    </x:row>
    <x:row r="45">
      <x:c r="A45" s="16" t="s">
        <x:v>206</x:v>
      </x:c>
      <x:c r="C45" s="17">
        <x:v>660</x:v>
      </x:c>
    </x:row>
    <x:row r="46">
      <x:c r="A46" s="16" t="s">
        <x:v>226</x:v>
      </x:c>
      <x:c r="C46" s="17">
        <x:v>146</x:v>
      </x:c>
    </x:row>
    <x:row r="47">
      <x:c r="A47" s="16" t="s">
        <x:v>208</x:v>
      </x:c>
      <x:c r="C47" s="17">
        <x:v>148</x:v>
      </x:c>
    </x:row>
    <x:row r="48">
      <x:c r="A48" s="16" t="s">
        <x:v>227</x:v>
      </x:c>
      <x:c r="C48" s="17">
        <x:v>204</x:v>
      </x:c>
    </x:row>
    <x:row r="49">
      <x:c r="A49" s="16" t="s">
        <x:v>210</x:v>
      </x:c>
      <x:c r="C49" s="17">
        <x:v>44</x:v>
      </x:c>
    </x:row>
    <x:row r="50">
      <x:c r="A50" s="16" t="s">
        <x:v>211</x:v>
      </x:c>
      <x:c r="C50" s="17">
        <x:v>282</x:v>
      </x:c>
    </x:row>
    <x:row r="51">
      <x:c r="A51" s="16" t="s">
        <x:v>212</x:v>
      </x:c>
      <x:c r="D51" s="17">
        <x:v>1195</x:v>
      </x:c>
      <x:c r="E51" s="17">
        <x:v>1196</x:v>
      </x:c>
      <x:c r="F51" s="17">
        <x:v>1243</x:v>
      </x:c>
      <x:c r="G51" s="17">
        <x:v>1320</x:v>
      </x:c>
      <x:c r="H51" s="17">
        <x:v>1423</x:v>
      </x:c>
      <x:c r="I51" s="17">
        <x:v>1450</x:v>
      </x:c>
      <x:c r="J51" s="17">
        <x:v>1504</x:v>
      </x:c>
    </x:row>
    <x:row r="52">
      <x:c r="A52" s="16" t="s">
        <x:v>213</x:v>
      </x:c>
      <x:c r="D52" s="17">
        <x:v>749</x:v>
      </x:c>
      <x:c r="E52" s="17">
        <x:v>723</x:v>
      </x:c>
      <x:c r="F52" s="17">
        <x:v>752</x:v>
      </x:c>
      <x:c r="G52" s="17">
        <x:v>661</x:v>
      </x:c>
      <x:c r="H52" s="17">
        <x:v>640</x:v>
      </x:c>
      <x:c r="I52" s="17">
        <x:v>640</x:v>
      </x:c>
      <x:c r="J52" s="17">
        <x:v>681</x:v>
      </x:c>
    </x:row>
    <x:row r="53">
      <x:c r="A53" s="16" t="s">
        <x:v>214</x:v>
      </x:c>
      <x:c r="D53" s="17">
        <x:v>613</x:v>
      </x:c>
      <x:c r="E53" s="17">
        <x:v>619</x:v>
      </x:c>
      <x:c r="F53" s="17">
        <x:v>611</x:v>
      </x:c>
      <x:c r="G53" s="17">
        <x:v>593</x:v>
      </x:c>
      <x:c r="H53" s="17">
        <x:v>633</x:v>
      </x:c>
      <x:c r="I53" s="17">
        <x:v>641</x:v>
      </x:c>
      <x:c r="J53" s="17">
        <x:v>674</x:v>
      </x:c>
    </x:row>
    <x:row r="54">
      <x:c r="A54" s="16" t="s">
        <x:v>215</x:v>
      </x:c>
      <x:c r="D54" s="17">
        <x:v>35</x:v>
      </x:c>
      <x:c r="E54" s="17">
        <x:v>36</x:v>
      </x:c>
      <x:c r="F54" s="17">
        <x:v>39</x:v>
      </x:c>
      <x:c r="G54" s="17">
        <x:v>33</x:v>
      </x:c>
      <x:c r="H54" s="17">
        <x:v>33</x:v>
      </x:c>
      <x:c r="I54" s="17">
        <x:v>33</x:v>
      </x:c>
      <x:c r="J54" s="17">
        <x:v>32</x:v>
      </x:c>
    </x:row>
    <x:row r="55">
      <x:c r="A55" s="16" t="s">
        <x:v>216</x:v>
      </x:c>
      <x:c r="D55" s="17">
        <x:v>143</x:v>
      </x:c>
      <x:c r="E55" s="17">
        <x:v>132</x:v>
      </x:c>
      <x:c r="F55" s="17">
        <x:v>127</x:v>
      </x:c>
      <x:c r="G55" s="17">
        <x:v>116</x:v>
      </x:c>
      <x:c r="H55" s="17">
        <x:v>96</x:v>
      </x:c>
      <x:c r="I55" s="17">
        <x:v>93</x:v>
      </x:c>
      <x:c r="J55" s="17">
        <x:v>95</x:v>
      </x:c>
    </x:row>
    <x:row r="56">
      <x:c r="A56" s="10" t="s">
        <x:v>228</x:v>
      </x:c>
      <x:c r="C56" s="20" t="n">
        <x:f t="shared" ref="C56:J56" si="3">C45+C46+C47+C48+C49+C50+C51+C52+C53+C54+C55</x:f>
        <x:v>1484</x:v>
      </x:c>
      <x:c r="D56" s="20">
        <x:f t="shared" si="3"/>
        <x:v>2735</x:v>
      </x:c>
      <x:c r="E56" s="20">
        <x:f t="shared" si="3"/>
        <x:v>2706</x:v>
      </x:c>
      <x:c r="F56" s="20">
        <x:f t="shared" si="3"/>
        <x:v>2772</x:v>
      </x:c>
      <x:c r="G56" s="20">
        <x:f t="shared" si="3"/>
        <x:v>2723</x:v>
      </x:c>
      <x:c r="H56" s="20">
        <x:f t="shared" si="3"/>
        <x:v>2825</x:v>
      </x:c>
      <x:c r="I56" s="20">
        <x:f t="shared" si="3"/>
        <x:v>2857</x:v>
      </x:c>
      <x:c r="J56" s="20">
        <x:f t="shared" si="3"/>
        <x:v>2986</x:v>
      </x:c>
    </x:row>
    <x:row r="57">
      <x:c r="A57" s="16" t="s">
        <x:v>229</x:v>
      </x:c>
      <x:c r="C57" s="17">
        <x:v>346</x:v>
      </x:c>
      <x:c r="D57" s="17">
        <x:v>1940</x:v>
      </x:c>
      <x:c r="E57" s="17">
        <x:v>1920</x:v>
      </x:c>
      <x:c r="F57" s="17">
        <x:v>1863</x:v>
      </x:c>
      <x:c r="G57" s="17">
        <x:v>1481</x:v>
      </x:c>
      <x:c r="H57" s="17">
        <x:v>991</x:v>
      </x:c>
      <x:c r="I57" s="17">
        <x:v>923</x:v>
      </x:c>
      <x:c r="J57" s="17">
        <x:v>777</x:v>
      </x:c>
    </x:row>
    <x:row r="58">
      <x:c r="A58" s="10" t="s">
        <x:v>230</x:v>
      </x:c>
      <x:c r="C58" s="20" t="n">
        <x:f t="shared" ref="C58:J58" si="4">C56+C57</x:f>
        <x:v>1830</x:v>
      </x:c>
      <x:c r="D58" s="20">
        <x:f t="shared" si="4"/>
        <x:v>4675</x:v>
      </x:c>
      <x:c r="E58" s="20">
        <x:f t="shared" si="4"/>
        <x:v>4626</x:v>
      </x:c>
      <x:c r="F58" s="20">
        <x:f t="shared" si="4"/>
        <x:v>4635</x:v>
      </x:c>
      <x:c r="G58" s="20">
        <x:f t="shared" si="4"/>
        <x:v>4204</x:v>
      </x:c>
      <x:c r="H58" s="20">
        <x:f t="shared" si="4"/>
        <x:v>3816</x:v>
      </x:c>
      <x:c r="I58" s="20">
        <x:f t="shared" si="4"/>
        <x:v>3780</x:v>
      </x:c>
      <x:c r="J58" s="20">
        <x:f t="shared" si="4"/>
        <x:v>3763</x:v>
      </x:c>
    </x:row>
    <x:row r="59">
      <x:c r="A59" s="5" t="s">
        <x:v>231</x:v>
      </x:c>
      <x:c r="C59" s="21" t="n">
        <x:f>C58-'Income Statement'!C19</x:f>
        <x:v>0</x:v>
      </x:c>
      <x:c r="D59" s="21" t="n">
        <x:f>D58-'Income Statement'!D19</x:f>
        <x:v>0</x:v>
      </x:c>
      <x:c r="E59" s="21" t="n">
        <x:f>E58-'Income Statement'!E19</x:f>
        <x:v>0</x:v>
      </x:c>
      <x:c r="F59" s="21" t="n">
        <x:f>F58-'Income Statement'!F19</x:f>
        <x:v>0</x:v>
      </x:c>
      <x:c r="G59" s="21" t="n">
        <x:f>G58-'Income Statement'!G19</x:f>
        <x:v>0</x:v>
      </x:c>
      <x:c r="H59" s="21" t="n">
        <x:f>H58-'Income Statement'!H19</x:f>
        <x:v>0</x:v>
      </x:c>
      <x:c r="I59" s="21" t="n">
        <x:f>I58-'Income Statement'!I19</x:f>
        <x:v>0</x:v>
      </x:c>
      <x:c r="J59" s="21" t="n">
        <x:f>J58-'Income Statement'!J19</x:f>
        <x:v>0</x:v>
      </x:c>
    </x:row>
    <x:row r="62" ht="72">
      <x:c r="A62" s="16" t="s">
        <x:v>212</x:v>
      </x:c>
      <x:c r="B62" s="19" t="s">
        <x:v>232</x:v>
      </x:c>
      <x:c r="H62" s="17">
        <x:v>2999</x:v>
      </x:c>
      <x:c r="I62" s="17">
        <x:v>2805</x:v>
      </x:c>
      <x:c r="J62" s="17">
        <x:v>3428</x:v>
      </x:c>
    </x:row>
    <x:row r="63">
      <x:c r="A63" s="16" t="s">
        <x:v>213</x:v>
      </x:c>
      <x:c r="H63" s="17">
        <x:v>635</x:v>
      </x:c>
      <x:c r="I63" s="17">
        <x:v>702</x:v>
      </x:c>
      <x:c r="J63" s="17">
        <x:v>729</x:v>
      </x:c>
    </x:row>
    <x:row r="64">
      <x:c r="A64" s="16" t="s">
        <x:v>214</x:v>
      </x:c>
      <x:c r="H64" s="17">
        <x:v>975</x:v>
      </x:c>
      <x:c r="I64" s="17">
        <x:v>1059</x:v>
      </x:c>
      <x:c r="J64" s="17">
        <x:v>1177</x:v>
      </x:c>
    </x:row>
    <x:row r="65">
      <x:c r="A65" s="16" t="s">
        <x:v>215</x:v>
      </x:c>
      <x:c r="H65" s="17">
        <x:v>24</x:v>
      </x:c>
      <x:c r="I65" s="17">
        <x:v>25</x:v>
      </x:c>
      <x:c r="J65" s="17">
        <x:v>35</x:v>
      </x:c>
    </x:row>
    <x:row r="66">
      <x:c r="A66" s="16" t="s">
        <x:v>216</x:v>
      </x:c>
      <x:c r="H66" s="17">
        <x:v>107</x:v>
      </x:c>
      <x:c r="I66" s="17">
        <x:v>223</x:v>
      </x:c>
      <x:c r="J66" s="17">
        <x:v>304</x:v>
      </x:c>
    </x:row>
    <x:row r="67">
      <x:c r="A67" s="10" t="s">
        <x:v>233</x:v>
      </x:c>
      <x:c r="C67" s="20" t="n">
        <x:f t="shared" ref="C67:J67" si="5">C62+C63+C64+C65+C66</x:f>
        <x:v>0</x:v>
      </x:c>
      <x:c r="D67" s="20">
        <x:f t="shared" si="5"/>
        <x:v>0</x:v>
      </x:c>
      <x:c r="E67" s="20">
        <x:f t="shared" si="5"/>
        <x:v>0</x:v>
      </x:c>
      <x:c r="F67" s="20">
        <x:f t="shared" si="5"/>
        <x:v>0</x:v>
      </x:c>
      <x:c r="G67" s="20">
        <x:f t="shared" si="5"/>
        <x:v>0</x:v>
      </x:c>
      <x:c r="H67" s="20">
        <x:f t="shared" si="5"/>
        <x:v>4740</x:v>
      </x:c>
      <x:c r="I67" s="20">
        <x:f t="shared" si="5"/>
        <x:v>4814</x:v>
      </x:c>
      <x:c r="J67" s="20">
        <x:f t="shared" si="5"/>
        <x:v>5673</x:v>
      </x:c>
    </x:row>
  </x:sheetData>
  <x:conditionalFormatting sqref="C23:J23">
    <x:cfRule type="cellIs" dxfId="2" priority="1" operator="notBetween">
      <x:formula>-0.5</x:formula>
      <x:formula>0.5</x:formula>
    </x:cfRule>
  </x:conditionalFormatting>
  <x:conditionalFormatting sqref="C42:J42">
    <x:cfRule type="cellIs" dxfId="1" priority="2" operator="notBetween">
      <x:formula>-0.5</x:formula>
      <x:formula>0.5</x:formula>
    </x:cfRule>
  </x:conditionalFormatting>
  <x:conditionalFormatting sqref="C59:J59">
    <x:cfRule type="cellIs" dxfId="0" priority="3" operator="notBetween">
      <x:formula>-0.5</x:formula>
      <x:formula>0.5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6" customWidth="1"/>
    <x:col min="2" max="2" width="2" customWidth="1"/>
    <x:col min="3" max="10" width="12" customWidth="1"/>
  </x:cols>
  <x:sheetData>
    <x:row r="1" ht="28" customHeight="1">
      <x:c r="A1" s="1" t="s">
        <x:v>234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6" customHeight="1">
      <x:c r="A2" s="3" t="s">
        <x:v>1</x:v>
      </x:c>
    </x:row>
    <x:row r="3">
      <x:c r="C3" s="8" t="s">
        <x:v>60</x:v>
      </x:c>
      <x:c r="D3" s="8" t="s">
        <x:v>61</x:v>
      </x:c>
      <x:c r="E3" s="8" t="s">
        <x:v>62</x:v>
      </x:c>
      <x:c r="F3" s="8" t="s">
        <x:v>63</x:v>
      </x:c>
      <x:c r="G3" s="8" t="s">
        <x:v>64</x:v>
      </x:c>
      <x:c r="H3" s="8" t="s">
        <x:v>65</x:v>
      </x:c>
      <x:c r="I3" s="8" t="s">
        <x:v>66</x:v>
      </x:c>
      <x:c r="J3" s="8" t="s">
        <x:v>67</x:v>
      </x:c>
    </x:row>
    <x:row r="4">
      <x:c r="C4" s="9"/>
      <x:c r="D4" s="9"/>
      <x:c r="E4" s="9"/>
      <x:c r="F4" s="9"/>
      <x:c r="G4" s="9"/>
      <x:c r="H4" s="9"/>
      <x:c r="I4" s="9"/>
      <x:c r="J4" s="9"/>
    </x:row>
    <x:row r="6">
      <x:c r="A6" s="10" t="s">
        <x:v>68</x:v>
      </x:c>
    </x:row>
    <x:row r="7">
      <x:c r="A7" s="11" t="e">
        <x:f>HYPERLINK("#'Operating Metrics'!A9","1. Segment-Based Operating Metrics")</x:f>
        <x:v>HYPERLINK is not implemented. linkLocation=#'Operating Metrics'!A9, friendlyName=1. Segment-Based Operating Metrics</x:v>
      </x:c>
    </x:row>
    <x:row r="8" ht="8" customHeight="1"/>
    <x:row r="9" ht="20" customHeight="1">
      <x:c r="A9" s="12" t="s">
        <x:v>235</x:v>
      </x:c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10" t="s">
        <x:v>220</x:v>
      </x:c>
      <x:c r="C10" s="24" t="n">
        <x:f>Segments!C37</x:f>
        <x:v>2976</x:v>
      </x:c>
      <x:c r="D10" s="24" t="n">
        <x:f>Segments!D37</x:f>
        <x:v>5288</x:v>
      </x:c>
      <x:c r="E10" s="24" t="n">
        <x:f>Segments!E37</x:f>
        <x:v>5797</x:v>
      </x:c>
      <x:c r="F10" s="24" t="n">
        <x:f>Segments!F37</x:f>
        <x:v>7176</x:v>
      </x:c>
      <x:c r="G10" s="24" t="n">
        <x:f>Segments!G37</x:f>
        <x:v>7904</x:v>
      </x:c>
      <x:c r="H10" s="24" t="n">
        <x:f>Segments!H37</x:f>
        <x:v>9070</x:v>
      </x:c>
      <x:c r="I10" s="24" t="n">
        <x:f>Segments!I37</x:f>
        <x:v>9720</x:v>
      </x:c>
      <x:c r="J10" s="24" t="n">
        <x:f>Segments!J37</x:f>
        <x:v>10137</x:v>
      </x:c>
    </x:row>
    <x:row r="11">
      <x:c r="A11" s="14" t="s">
        <x:v>236</x:v>
      </x:c>
      <x:c r="C11" s="15" t="n">
        <x:f>C10/'Income Statement'!C10</x:f>
        <x:v>0.19973154362416107</x:v>
      </x:c>
      <x:c r="D11" s="15" t="n">
        <x:f>D10/'Income Statement'!D10</x:f>
        <x:v>0.18733172736290207</x:v>
      </x:c>
      <x:c r="E11" s="15" t="n">
        <x:f>E10/'Income Statement'!E10</x:f>
        <x:v>0.21278860624747642</x:v>
      </x:c>
      <x:c r="F11" s="15" t="n">
        <x:f>F10/'Income Statement'!F10</x:f>
        <x:v>0.23303997661806256</x:v>
      </x:c>
      <x:c r="G11" s="15" t="n">
        <x:f>G10/'Income Statement'!G10</x:f>
        <x:v>0.23690205011389523</x:v>
      </x:c>
      <x:c r="H11" s="15" t="n">
        <x:f>H10/'Income Statement'!H10</x:f>
        <x:v>0.27606988494551654</x:v>
      </x:c>
      <x:c r="I11" s="15" t="n">
        <x:f>I10/'Income Statement'!I10</x:f>
        <x:v>0.2945008332070898</x:v>
      </x:c>
      <x:c r="J11" s="15" t="n">
        <x:f>J10/'Income Statement'!J10</x:f>
        <x:v>0.2982698758312246</x:v>
      </x:c>
    </x:row>
    <x:row r="14">
      <x:c r="A14" s="16" t="s">
        <x:v>237</x:v>
      </x:c>
      <x:c r="D14" s="28" t="n">
        <x:f>Segments!D17/'Income Statement'!D10</x:f>
        <x:v>0.38943602097208446</x:v>
      </x:c>
      <x:c r="E14" s="28" t="n">
        <x:f>Segments!E17/'Income Statement'!E10</x:f>
        <x:v>0.38391513416290424</x:v>
      </x:c>
      <x:c r="F14" s="28" t="n">
        <x:f>Segments!F17/'Income Statement'!F10</x:f>
        <x:v>0.3930438736076381</x:v>
      </x:c>
      <x:c r="G14" s="28" t="n">
        <x:f>Segments!G17/'Income Statement'!G10</x:f>
        <x:v>0.4158374295648004</x:v>
      </x:c>
      <x:c r="H14" s="28" t="n">
        <x:f>Segments!H17/'Income Statement'!H10</x:f>
        <x:v>0.43538077555244414</x:v>
      </x:c>
      <x:c r="I14" s="28" t="n">
        <x:f>Segments!I17/'Income Statement'!I10</x:f>
        <x:v>0.4375700651416452</x:v>
      </x:c>
      <x:c r="J14" s="28" t="n">
        <x:f>Segments!J17/'Income Statement'!J10</x:f>
        <x:v>0.4474783734478903</x:v>
      </x:c>
    </x:row>
    <x:row r="15">
      <x:c r="A15" s="16" t="s">
        <x:v>238</x:v>
      </x:c>
      <x:c r="D15" s="28" t="n">
        <x:f>Segments!D18/'Income Statement'!D10</x:f>
        <x:v>0.23533371120872892</x:v>
      </x:c>
      <x:c r="E15" s="28" t="n">
        <x:f>Segments!E18/'Income Statement'!E10</x:f>
        <x:v>0.23672135961531401</x:v>
      </x:c>
      <x:c r="F15" s="28" t="n">
        <x:f>Segments!F18/'Income Statement'!F10</x:f>
        <x:v>0.2482057610495892</x:v>
      </x:c>
      <x:c r="G15" s="28" t="n">
        <x:f>Segments!G18/'Income Statement'!G10</x:f>
        <x:v>0.2530571873876034</x:v>
      </x:c>
      <x:c r="H15" s="28" t="n">
        <x:f>Segments!H18/'Income Statement'!H10</x:f>
        <x:v>0.2599987824922384</x:v>
      </x:c>
      <x:c r="I15" s="28" t="n">
        <x:f>Segments!I18/'Income Statement'!I10</x:f>
        <x:v>0.2530525677927587</x:v>
      </x:c>
      <x:c r="J15" s="28" t="n">
        <x:f>Segments!J18/'Income Statement'!J10</x:f>
        <x:v>0.2515447537221209</x:v>
      </x:c>
    </x:row>
    <x:row r="16">
      <x:c r="A16" s="16" t="s">
        <x:v>239</x:v>
      </x:c>
      <x:c r="D16" s="28" t="n">
        <x:f>Segments!D19/'Income Statement'!D10</x:f>
        <x:v>0.20685135326626045</x:v>
      </x:c>
      <x:c r="E16" s="28" t="n">
        <x:f>Segments!E19/'Income Statement'!E10</x:f>
        <x:v>0.20875087178357743</x:v>
      </x:c>
      <x:c r="F16" s="28" t="n">
        <x:f>Segments!F19/'Income Statement'!F10</x:f>
        <x:v>0.19916864222388206</x:v>
      </x:c>
      <x:c r="G16" s="28" t="n">
        <x:f>Segments!G19/'Income Statement'!G10</x:f>
        <x:v>0.1942213163889222</x:v>
      </x:c>
      <x:c r="H16" s="28" t="n">
        <x:f>Segments!H19/'Income Statement'!H10</x:f>
        <x:v>0.19964083521032447</x:v>
      </x:c>
      <x:c r="I16" s="28" t="n">
        <x:f>Segments!I19/'Income Statement'!I10</x:f>
        <x:v>0.20093925162854112</x:v>
      </x:c>
      <x:c r="J16" s="28" t="n">
        <x:f>Segments!J19/'Income Statement'!J10</x:f>
        <x:v>0.19599246748661214</x:v>
      </x:c>
    </x:row>
    <x:row r="17">
      <x:c r="A17" s="16" t="s">
        <x:v>240</x:v>
      </x:c>
      <x:c r="D17" s="28" t="n">
        <x:f>Segments!D20/'Income Statement'!D10</x:f>
        <x:v>0.0991568655235936</x:v>
      </x:c>
      <x:c r="E17" s="28" t="n">
        <x:f>Segments!E20/'Income Statement'!E10</x:f>
        <x:v>0.10465073596887274</x:v>
      </x:c>
      <x:c r="F17" s="28" t="n">
        <x:f>Segments!F20/'Income Statement'!F10</x:f>
        <x:v>0.09310557594258435</x:v>
      </x:c>
      <x:c r="G17" s="28" t="n">
        <x:f>Segments!G20/'Income Statement'!G10</x:f>
        <x:v>0.08278383886824121</x:v>
      </x:c>
      <x:c r="H17" s="28" t="n">
        <x:f>Segments!H20/'Income Statement'!H10</x:f>
        <x:v>0.06574541912704694</x:v>
      </x:c>
      <x:c r="I17" s="28" t="n">
        <x:f>Segments!I20/'Income Statement'!I10</x:f>
        <x:v>0.07035297682169368</x:v>
      </x:c>
      <x:c r="J17" s="28" t="n">
        <x:f>Segments!J20/'Income Statement'!J10</x:f>
        <x:v>0.06620373094803743</x:v>
      </x:c>
    </x:row>
    <x:row r="18">
      <x:c r="A18" s="16" t="s">
        <x:v>241</x:v>
      </x:c>
      <x:c r="D18" s="28" t="n">
        <x:f>Segments!D21/'Income Statement'!D10</x:f>
        <x:v>0.06922204902933257</x:v>
      </x:c>
      <x:c r="E18" s="28" t="n">
        <x:f>Segments!E21/'Income Statement'!E10</x:f>
        <x:v>0.06596189846933156</x:v>
      </x:c>
      <x:c r="F18" s="28" t="n">
        <x:f>Segments!F21/'Income Statement'!F10</x:f>
        <x:v>0.0664761471763063</x:v>
      </x:c>
      <x:c r="G18" s="28" t="n">
        <x:f>Segments!G21/'Income Statement'!G10</x:f>
        <x:v>0.0541002277904328</x:v>
      </x:c>
      <x:c r="H18" s="28" t="n">
        <x:f>Segments!H21/'Income Statement'!H10</x:f>
        <x:v>0.039234187617946066</x:v>
      </x:c>
      <x:c r="I18" s="28" t="n">
        <x:f>Segments!I21/'Income Statement'!I10</x:f>
        <x:v>0.03808513861536131</x:v>
      </x:c>
      <x:c r="J18" s="28" t="n">
        <x:f>Segments!J21/'Income Statement'!J10</x:f>
        <x:v>0.038780674395339255</x:v>
      </x:c>
    </x:row>
    <x:row r="21">
      <x:c r="A21" s="16" t="s">
        <x:v>242</x:v>
      </x:c>
      <x:c r="D21" s="28" t="n">
        <x:f>Segments!D32/Segments!D17</x:f>
        <x:v>0.23451287182752661</x:v>
      </x:c>
      <x:c r="E21" s="28" t="n">
        <x:f>Segments!E32/Segments!E17</x:f>
        <x:v>0.26513050960894924</x:v>
      </x:c>
      <x:c r="F21" s="28" t="n">
        <x:f>Segments!F32/Segments!F17</x:f>
        <x:v>0.27827811286457904</x:v>
      </x:c>
      <x:c r="G21" s="28" t="n">
        <x:f>Segments!G32/Segments!G17</x:f>
        <x:v>0.26899235980971603</x:v>
      </x:c>
      <x:c r="H21" s="28" t="n">
        <x:f>Segments!H32/Segments!H17</x:f>
        <x:v>0.2967002237136465</x:v>
      </x:c>
      <x:c r="I21" s="28" t="n">
        <x:f>Segments!I32/Segments!I17</x:f>
        <x:v>0.3150533167151364</x:v>
      </x:c>
      <x:c r="J21" s="28" t="n">
        <x:f>Segments!J32/Segments!J17</x:f>
        <x:v>0.3121383482377696</x:v>
      </x:c>
    </x:row>
    <x:row r="22">
      <x:c r="A22" s="16" t="s">
        <x:v>243</x:v>
      </x:c>
      <x:c r="D22" s="28" t="n">
        <x:f>Segments!D33/Segments!D18</x:f>
        <x:v>0.205780520849014</x:v>
      </x:c>
      <x:c r="E22" s="28" t="n">
        <x:f>Segments!E33/Segments!E18</x:f>
        <x:v>0.2271670026360676</x:v>
      </x:c>
      <x:c r="F22" s="28" t="n">
        <x:f>Segments!F33/Segments!F18</x:f>
        <x:v>0.24715425879890096</x:v>
      </x:c>
      <x:c r="G22" s="28" t="n">
        <x:f>Segments!G33/Segments!G18</x:f>
        <x:v>0.23842236171976786</x:v>
      </x:c>
      <x:c r="H22" s="28" t="n">
        <x:f>Segments!H33/Segments!H18</x:f>
        <x:v>0.29103254507141185</x:v>
      </x:c>
      <x:c r="I22" s="28" t="n">
        <x:f>Segments!I33/Segments!I18</x:f>
        <x:v>0.3328544061302682</x:v>
      </x:c>
      <x:c r="J22" s="28" t="n">
        <x:f>Segments!J33/Segments!J18</x:f>
        <x:v>0.35735173704526846</x:v>
      </x:c>
    </x:row>
    <x:row r="23">
      <x:c r="A23" s="16" t="s">
        <x:v>244</x:v>
      </x:c>
      <x:c r="D23" s="28" t="n">
        <x:f>Segments!D34/Segments!D19</x:f>
        <x:v>0.20517211851344408</x:v>
      </x:c>
      <x:c r="E23" s="28" t="n">
        <x:f>Segments!E34/Segments!E19</x:f>
        <x:v>0.22454721294179708</x:v>
      </x:c>
      <x:c r="F23" s="28" t="n">
        <x:f>Segments!F34/Segments!F19</x:f>
        <x:v>0.24490461438121636</x:v>
      </x:c>
      <x:c r="G23" s="28" t="n">
        <x:f>Segments!G34/Segments!G19</x:f>
        <x:v>0.25771604938271603</x:v>
      </x:c>
      <x:c r="H23" s="28" t="n">
        <x:f>Segments!H34/Segments!H19</x:f>
        <x:v>0.2753468516542156</x:v>
      </x:c>
      <x:c r="I23" s="28" t="n">
        <x:f>Segments!I34/Segments!I19</x:f>
        <x:v>0.28920386007237636</x:v>
      </x:c>
      <x:c r="J23" s="28" t="n">
        <x:f>Segments!J34/Segments!J19</x:f>
        <x:v>0.290196667167092</x:v>
      </x:c>
    </x:row>
    <x:row r="24">
      <x:c r="A24" s="16" t="s">
        <x:v>245</x:v>
      </x:c>
      <x:c r="D24" s="28" t="n">
        <x:f>Segments!D35/Segments!D20</x:f>
        <x:v>0.13933547695605572</x:v>
      </x:c>
      <x:c r="E24" s="28" t="n">
        <x:f>Segments!E35/Segments!E20</x:f>
        <x:v>0.1525780427920028</x:v>
      </x:c>
      <x:c r="F24" s="28" t="n">
        <x:f>Segments!F35/Segments!F20</x:f>
        <x:v>0.16498081618416463</x:v>
      </x:c>
      <x:c r="G24" s="28" t="n">
        <x:f>Segments!G35/Segments!G20</x:f>
        <x:v>0.20094134685010862</x:v>
      </x:c>
      <x:c r="H24" s="28" t="n">
        <x:f>Segments!H35/Segments!H20</x:f>
        <x:v>0.2273148148148148</x:v>
      </x:c>
      <x:c r="I24" s="28" t="n">
        <x:f>Segments!I35/Segments!I20</x:f>
        <x:v>0.17657192075796727</x:v>
      </x:c>
      <x:c r="J24" s="28" t="n">
        <x:f>Segments!J35/Segments!J20</x:f>
        <x:v>0.18133333333333335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46" customWidth="1"/>
    <x:col min="2" max="2" width="2" customWidth="1"/>
    <x:col min="3" max="10" width="12" customWidth="1"/>
  </x:cols>
  <x:sheetData>
    <x:row r="1" ht="28" customHeight="1">
      <x:c r="A1" s="1" t="s">
        <x:v>246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6" customHeight="1">
      <x:c r="A2" s="3" t="s">
        <x:v>1</x:v>
      </x:c>
    </x:row>
    <x:row r="3">
      <x:c r="C3" s="8" t="s">
        <x:v>60</x:v>
      </x:c>
      <x:c r="D3" s="8" t="s">
        <x:v>61</x:v>
      </x:c>
      <x:c r="E3" s="8" t="s">
        <x:v>62</x:v>
      </x:c>
      <x:c r="F3" s="8" t="s">
        <x:v>63</x:v>
      </x:c>
      <x:c r="G3" s="8" t="s">
        <x:v>64</x:v>
      </x:c>
      <x:c r="H3" s="8" t="s">
        <x:v>65</x:v>
      </x:c>
      <x:c r="I3" s="8" t="s">
        <x:v>66</x:v>
      </x:c>
      <x:c r="J3" s="8" t="s">
        <x:v>67</x:v>
      </x:c>
    </x:row>
    <x:row r="4">
      <x:c r="C4" s="9"/>
      <x:c r="D4" s="9"/>
      <x:c r="E4" s="9"/>
      <x:c r="F4" s="9"/>
      <x:c r="G4" s="9"/>
      <x:c r="H4" s="9"/>
      <x:c r="I4" s="9"/>
      <x:c r="J4" s="9"/>
    </x:row>
    <x:row r="6">
      <x:c r="A6" s="10" t="s">
        <x:v>68</x:v>
      </x:c>
    </x:row>
    <x:row r="7">
      <x:c r="A7" s="11" t="e">
        <x:f>HYPERLINK("#'Derived Metrics'!A9","1. Derived / Ratio Analysis")</x:f>
        <x:v>HYPERLINK is not implemented. linkLocation=#'Derived Metrics'!A9, friendlyName=1. Derived / Ratio Analysis</x:v>
      </x:c>
    </x:row>
    <x:row r="8" ht="8" customHeight="1"/>
    <x:row r="9" ht="20" customHeight="1">
      <x:c r="A9" s="12" t="s">
        <x:v>247</x:v>
      </x:c>
      <x:c r="B9" s="2"/>
      <x:c r="C9" s="2"/>
      <x:c r="D9" s="2"/>
      <x:c r="E9" s="2"/>
      <x:c r="F9" s="2"/>
      <x:c r="G9" s="2"/>
      <x:c r="H9" s="2"/>
      <x:c r="I9" s="2"/>
      <x:c r="J9" s="2"/>
    </x:row>
    <x:row r="11">
      <x:c r="A11" s="14" t="s">
        <x:v>75</x:v>
      </x:c>
      <x:c r="C11" s="15" t="n">
        <x:f>'Income Statement'!C14/'Income Statement'!C10</x:f>
        <x:v>0.39033557046979867</x:v>
      </x:c>
      <x:c r="D11" s="15" t="n">
        <x:f>'Income Statement'!D14/'Income Statement'!D10</x:f>
        <x:v>0.41037267960889895</x:v>
      </x:c>
      <x:c r="E11" s="15" t="n">
        <x:f>'Income Statement'!E14/'Income Statement'!E10</x:f>
        <x:v>0.43534118856219944</x:v>
      </x:c>
      <x:c r="F11" s="15" t="n">
        <x:f>'Income Statement'!F14/'Income Statement'!F10</x:f>
        <x:v>0.43029259896729777</x:v>
      </x:c>
      <x:c r="G11" s="15" t="n">
        <x:f>'Income Statement'!G14/'Income Statement'!G10</x:f>
        <x:v>0.4170363265795468</x:v>
      </x:c>
      <x:c r="H11" s="15" t="n">
        <x:f>'Income Statement'!H14/'Income Statement'!H10</x:f>
        <x:v>0.467583855847081</x:v>
      </x:c>
      <x:c r="I11" s="15" t="n">
        <x:f>'Income Statement'!I14/'Income Statement'!I10</x:f>
        <x:v>0.48059384941675504</x:v>
      </x:c>
      <x:c r="J11" s="15" t="n">
        <x:f>'Income Statement'!J14/'Income Statement'!J10</x:f>
        <x:v>0.4883481433531454</x:v>
      </x:c>
    </x:row>
    <x:row r="12">
      <x:c r="A12" s="14" t="s">
        <x:v>85</x:v>
      </x:c>
      <x:c r="C12" s="15" t="n">
        <x:f>'Income Statement'!C23/'Income Statement'!C10</x:f>
        <x:v>0.3521476510067114</x:v>
      </x:c>
      <x:c r="D12" s="15" t="n">
        <x:f>'Income Statement'!D23/'Income Statement'!D10</x:f>
        <x:v>0.10390392518067168</x:v>
      </x:c>
      <x:c r="E12" s="15" t="n">
        <x:f>'Income Statement'!E23/'Income Statement'!E10</x:f>
        <x:v>0.12193958080974929</x:v>
      </x:c>
      <x:c r="F12" s="15" t="n">
        <x:f>'Income Statement'!F23/'Income Statement'!F10</x:f>
        <x:v>0.16185496703796318</x:v>
      </x:c>
      <x:c r="G12" s="15" t="n">
        <x:f>'Income Statement'!G23/'Income Statement'!G10</x:f>
        <x:v>0.16092195180434002</x:v>
      </x:c>
      <x:c r="H12" s="15" t="n">
        <x:f>'Income Statement'!H23/'Income Statement'!H10</x:f>
        <x:v>0.24423205697936323</x:v>
      </x:c>
      <x:c r="I12" s="15" t="n">
        <x:f>'Income Statement'!I23/'Income Statement'!I10</x:f>
        <x:v>0.26162702620815026</x:v>
      </x:c>
      <x:c r="J12" s="15" t="n">
        <x:f>'Income Statement'!J23/'Income Statement'!J10</x:f>
        <x:v>0.26254928499970576</x:v>
      </x:c>
    </x:row>
    <x:row r="13">
      <x:c r="A13" s="14" t="s">
        <x:v>248</x:v>
      </x:c>
      <x:c r="C13" s="15" t="n">
        <x:f>('Income Statement'!C23+'Income Statement'!C19)/'Income Statement'!C10</x:f>
        <x:v>0.47496644295302015</x:v>
      </x:c>
      <x:c r="D13" s="15" t="n">
        <x:f>('Income Statement'!D23+'Income Statement'!D19)/'Income Statement'!D10</x:f>
        <x:v>0.2695196259033584</x:v>
      </x:c>
      <x:c r="E13" s="15" t="n">
        <x:f>('Income Statement'!E23+'Income Statement'!E19)/'Income Statement'!E10</x:f>
        <x:v>0.2917446683551738</x:v>
      </x:c>
      <x:c r="F13" s="15" t="n">
        <x:f>('Income Statement'!F23+'Income Statement'!F19)/'Income Statement'!F10</x:f>
        <x:v>0.3123761893936934</x:v>
      </x:c>
      <x:c r="G13" s="15" t="n">
        <x:f>('Income Statement'!G23+'Income Statement'!G19)/'Income Statement'!G10</x:f>
        <x:v>0.28692602805419015</x:v>
      </x:c>
      <x:c r="H13" s="15" t="n">
        <x:f>('Income Statement'!H23+'Income Statement'!H19)/'Income Statement'!H10</x:f>
        <x:v>0.36038229743714617</x:v>
      </x:c>
      <x:c r="I13" s="15" t="n">
        <x:f>('Income Statement'!I23+'Income Statement'!I19)/'Income Statement'!I10</x:f>
        <x:v>0.37615512801090745</x:v>
      </x:c>
      <x:c r="J13" s="15" t="n">
        <x:f>('Income Statement'!J23+'Income Statement'!J19)/'Income Statement'!J10</x:f>
        <x:v>0.37327134702524567</x:v>
      </x:c>
    </x:row>
    <x:row r="14">
      <x:c r="A14" s="14" t="s">
        <x:v>99</x:v>
      </x:c>
      <x:c r="C14" s="15" t="n">
        <x:f>'Income Statement'!C37/'Income Statement'!C10</x:f>
        <x:v>0.2940268456375839</x:v>
      </x:c>
      <x:c r="D14" s="15" t="n">
        <x:f>'Income Statement'!D37/'Income Statement'!D10</x:f>
        <x:v>0.08094799489868217</x:v>
      </x:c>
      <x:c r="E14" s="15" t="n">
        <x:f>'Income Statement'!E37/'Income Statement'!E10</x:f>
        <x:v>0.09180339903828506</x:v>
      </x:c>
      <x:c r="F14" s="15" t="n">
        <x:f>'Income Statement'!F37/'Income Statement'!F10</x:f>
        <x:v>0.12424901763387783</x:v>
      </x:c>
      <x:c r="G14" s="15" t="n">
        <x:f>'Income Statement'!G37/'Income Statement'!G10</x:f>
        <x:v>0.12429564800383647</x:v>
      </x:c>
      <x:c r="H14" s="15" t="n">
        <x:f>'Income Statement'!H37/'Income Statement'!H10</x:f>
        <x:v>0.18868326535581664</x:v>
      </x:c>
      <x:c r="I14" s="15" t="n">
        <x:f>'Income Statement'!I37/'Income Statement'!I10</x:f>
        <x:v>0.19890925617330707</x:v>
      </x:c>
      <x:c r="J14" s="15" t="n">
        <x:f>'Income Statement'!J37/'Income Statement'!J10</x:f>
        <x:v>0.20296592714647207</x:v>
      </x:c>
    </x:row>
    <x:row r="15">
      <x:c r="A15" s="14" t="s">
        <x:v>90</x:v>
      </x:c>
      <x:c r="C15" s="15" t="n">
        <x:f>'Income Statement'!C29/'Income Statement'!C28</x:f>
        <x:v>0.16181422063775006</x:v>
      </x:c>
      <x:c r="D15" s="15" t="n">
        <x:f>'Income Statement'!D29/'Income Statement'!D28</x:f>
        <x:v>0.26272634096344377</x:v>
      </x:c>
      <x:c r="E15" s="15" t="n">
        <x:f>'Income Statement'!E29/'Income Statement'!E28</x:f>
        <x:v>0.2502955082742317</x:v>
      </x:c>
      <x:c r="F15" s="15" t="n">
        <x:f>'Income Statement'!F29/'Income Statement'!F28</x:f>
        <x:v>0.24749950970778584</x:v>
      </x:c>
      <x:c r="G15" s="15" t="n">
        <x:f>'Income Statement'!G29/'Income Statement'!G28</x:f>
        <x:v>0.2587046725599856</x:v>
      </x:c>
      <x:c r="H15" s="15" t="n">
        <x:f>'Income Statement'!H29/'Income Statement'!H28</x:f>
        <x:v>0.2270906359539309</x:v>
      </x:c>
      <x:c r="I15" s="15" t="n">
        <x:f>'Income Statement'!I29/'Income Statement'!I28</x:f>
        <x:v>0.2336328626444159</x:v>
      </x:c>
      <x:c r="J15" s="15" t="n">
        <x:f>'Income Statement'!J29/'Income Statement'!J28</x:f>
        <x:v>0.22355850286613466</x:v>
      </x:c>
    </x:row>
    <x:row r="18">
      <x:c r="A18" s="14" t="s">
        <x:v>249</x:v>
      </x:c>
      <x:c r="C18" s="15" t="n">
        <x:f>'Income Statement'!C37/(('Balance Sheet'!C23+'Balance Sheet'!B23)/2)</x:f>
        <x:v>0.09382562696763969</x:v>
      </x:c>
      <x:c r="D18" s="15" t="n">
        <x:f>'Income Statement'!D37/(('Balance Sheet'!D23+'Balance Sheet'!C23)/2)</x:f>
        <x:v>0.025389170990788787</x:v>
      </x:c>
      <x:c r="E18" s="15" t="n">
        <x:f>'Income Statement'!E37/(('Balance Sheet'!E23+'Balance Sheet'!D23)/2)</x:f>
        <x:v>0.028608850326868412</x:v>
      </x:c>
      <x:c r="F18" s="15" t="n">
        <x:f>'Income Statement'!F37/(('Balance Sheet'!F23+'Balance Sheet'!E23)/2)</x:f>
        <x:v>0.045055760330675834</x:v>
      </x:c>
      <x:c r="G18" s="15" t="n">
        <x:f>'Income Statement'!G37/(('Balance Sheet'!G23+'Balance Sheet'!F23)/2)</x:f>
        <x:v>0.051431512498217195</x:v>
      </x:c>
      <x:c r="H18" s="15" t="n">
        <x:f>'Income Statement'!H37/(('Balance Sheet'!H23+'Balance Sheet'!G23)/2)</x:f>
        <x:v>0.07726102860988726</x:v>
      </x:c>
      <x:c r="I18" s="15" t="n">
        <x:f>'Income Statement'!I37/(('Balance Sheet'!I23+'Balance Sheet'!H23)/2)</x:f>
        <x:v>0.08157407522459276</x:v>
      </x:c>
      <x:c r="J18" s="15" t="n">
        <x:f>'Income Statement'!J37/(('Balance Sheet'!J23+'Balance Sheet'!I23)/2)</x:f>
        <x:v>0.08262859059437963</x:v>
      </x:c>
    </x:row>
    <x:row r="19">
      <x:c r="A19" s="14" t="s">
        <x:v>250</x:v>
      </x:c>
      <x:c r="C19" s="15" t="n">
        <x:f>'Income Statement'!C37/(('Balance Sheet'!C46+'Balance Sheet'!B46)/2)</x:f>
        <x:v>0.16981936584231336</x:v>
      </x:c>
      <x:c r="D19" s="15" t="n">
        <x:f>'Income Statement'!D37/(('Balance Sheet'!D46+'Balance Sheet'!C46)/2)</x:f>
        <x:v>0.04539584781960862</x:v>
      </x:c>
      <x:c r="E19" s="15" t="n">
        <x:f>'Income Statement'!E37/(('Balance Sheet'!E46+'Balance Sheet'!D46)/2)</x:f>
        <x:v>0.051892811569544874</x:v>
      </x:c>
      <x:c r="F19" s="15" t="n">
        <x:f>'Income Statement'!F37/(('Balance Sheet'!F46+'Balance Sheet'!E46)/2)</x:f>
        <x:v>0.08376390226814957</x:v>
      </x:c>
      <x:c r="G19" s="15" t="n">
        <x:f>'Income Statement'!G37/(('Balance Sheet'!G46+'Balance Sheet'!F46)/2)</x:f>
        <x:v>0.09866409716522133</x:v>
      </x:c>
      <x:c r="H19" s="15" t="n">
        <x:f>'Income Statement'!H37/(('Balance Sheet'!H46+'Balance Sheet'!G46)/2)</x:f>
        <x:v>0.15546471384862318</x:v>
      </x:c>
      <x:c r="I19" s="15" t="n">
        <x:f>'Income Statement'!I37/(('Balance Sheet'!I46+'Balance Sheet'!H46)/2)</x:f>
        <x:v>0.1687400400966432</x:v>
      </x:c>
      <x:c r="J19" s="15" t="n">
        <x:f>'Income Statement'!J37/(('Balance Sheet'!J46+'Balance Sheet'!I46)/2)</x:f>
        <x:v>0.18072494334333286</x:v>
      </x:c>
    </x:row>
    <x:row r="20">
      <x:c r="A20" s="14" t="s">
        <x:v>251</x:v>
      </x:c>
      <x:c r="C20" s="15" t="n">
        <x:f>'Income Statement'!C23*(1-'Income Statement'!C30)/(('Balance Sheet'!C46+'Balance Sheet'!C34+'Balance Sheet'!B46+'Balance Sheet'!B34)/2)</x:f>
        <x:v>0.13768583007681814</x:v>
      </x:c>
      <x:c r="D20" s="15" t="n">
        <x:f>'Income Statement'!D23*(1-'Income Statement'!D30)/(('Balance Sheet'!D46+'Balance Sheet'!D34+'Balance Sheet'!C46+'Balance Sheet'!C34)/2)</x:f>
        <x:v>0.03497624187356704</x:v>
      </x:c>
      <x:c r="E20" s="15" t="n">
        <x:f>'Income Statement'!E23*(1-'Income Statement'!E30)/(('Balance Sheet'!E46+'Balance Sheet'!E34+'Balance Sheet'!D46+'Balance Sheet'!D34)/2)</x:f>
        <x:v>0.04177460366857329</x:v>
      </x:c>
      <x:c r="F20" s="15" t="n">
        <x:f>'Income Statement'!F23*(1-'Income Statement'!F30)/(('Balance Sheet'!F46+'Balance Sheet'!F34+'Balance Sheet'!E46+'Balance Sheet'!E34)/2)</x:f>
        <x:v>0.06531687743042686</x:v>
      </x:c>
      <x:c r="G20" s="15" t="n">
        <x:f>'Income Statement'!G23*(1-'Income Statement'!G30)/(('Balance Sheet'!G46+'Balance Sheet'!G34+'Balance Sheet'!F46+'Balance Sheet'!F34)/2)</x:f>
        <x:v>0.07398071699738722</x:v>
      </x:c>
      <x:c r="H20" s="15" t="n">
        <x:f>'Income Statement'!H23*(1-'Income Statement'!H30)/(('Balance Sheet'!H46+'Balance Sheet'!H34+'Balance Sheet'!G46+'Balance Sheet'!G34)/2)</x:f>
        <x:v>0.11774536014933425</x:v>
      </x:c>
      <x:c r="I20" s="15" t="n">
        <x:f>'Income Statement'!I23*(1-'Income Statement'!I30)/(('Balance Sheet'!I46+'Balance Sheet'!I34+'Balance Sheet'!H46+'Balance Sheet'!H34)/2)</x:f>
        <x:v>0.1242131584778412</x:v>
      </x:c>
      <x:c r="J20" s="15" t="n">
        <x:f>'Income Statement'!J23*(1-'Income Statement'!J30)/(('Balance Sheet'!J46+'Balance Sheet'!J34+'Balance Sheet'!I46+'Balance Sheet'!I34)/2)</x:f>
        <x:v>0.12331795126376977</x:v>
      </x:c>
    </x:row>
    <x:row r="21">
      <x:c r="A21" s="14" t="s">
        <x:v>252</x:v>
      </x:c>
      <x:c r="C21" s="27" t="n">
        <x:f>'Income Statement'!C10/(('Balance Sheet'!C23+'Balance Sheet'!B23)/2)</x:f>
        <x:v>0.3191056475274666</x:v>
      </x:c>
      <x:c r="D21" s="27" t="n">
        <x:f>'Income Statement'!D10/(('Balance Sheet'!D23+'Balance Sheet'!C23)/2)</x:f>
        <x:v>0.31364792942143804</x:v>
      </x:c>
      <x:c r="E21" s="27" t="n">
        <x:f>'Income Statement'!E10/(('Balance Sheet'!E23+'Balance Sheet'!D23)/2)</x:f>
        <x:v>0.3116317110975115</x:v>
      </x:c>
      <x:c r="F21" s="27" t="n">
        <x:f>'Income Statement'!F10/(('Balance Sheet'!F23+'Balance Sheet'!E23)/2)</x:f>
        <x:v>0.3626246805704394</x:v>
      </x:c>
      <x:c r="G21" s="27" t="n">
        <x:f>'Income Statement'!G10/(('Balance Sheet'!G23+'Balance Sheet'!F23)/2)</x:f>
        <x:v>0.4137836949579259</x:v>
      </x:c>
      <x:c r="H21" s="27" t="n">
        <x:f>'Income Statement'!H10/(('Balance Sheet'!H23+'Balance Sheet'!G23)/2)</x:f>
        <x:v>0.4094747272058778</x:v>
      </x:c>
      <x:c r="I21" s="27" t="n">
        <x:f>'Income Statement'!I10/(('Balance Sheet'!I23+'Balance Sheet'!H23)/2)</x:f>
        <x:v>0.4101069844307211</x:v>
      </x:c>
      <x:c r="J21" s="27" t="n">
        <x:f>'Income Statement'!J10/(('Balance Sheet'!J23+'Balance Sheet'!I23)/2)</x:f>
        <x:v>0.4071057233894732</x:v>
      </x:c>
    </x:row>
    <x:row r="24">
      <x:c r="A24" s="14" t="s">
        <x:v>253</x:v>
      </x:c>
      <x:c r="C24" s="23" t="n">
        <x:f>'Balance Sheet'!C34+'Balance Sheet'!C26+'Balance Sheet'!C27-'Balance Sheet'!C10</x:f>
        <x:v>10830</x:v>
      </x:c>
      <x:c r="D24" s="23" t="n">
        <x:f>'Balance Sheet'!D34+'Balance Sheet'!D26+'Balance Sheet'!D27-'Balance Sheet'!D10</x:f>
        <x:v>11256</x:v>
      </x:c>
      <x:c r="E24" s="23" t="n">
        <x:f>'Balance Sheet'!E34+'Balance Sheet'!E26+'Balance Sheet'!E27-'Balance Sheet'!E10</x:f>
        <x:v>12400</x:v>
      </x:c>
      <x:c r="F24" s="23" t="n">
        <x:f>'Balance Sheet'!F34+'Balance Sheet'!F26+'Balance Sheet'!F27-'Balance Sheet'!F10</x:f>
        <x:v>11384</x:v>
      </x:c>
      <x:c r="G24" s="23" t="n">
        <x:f>'Balance Sheet'!G34+'Balance Sheet'!G26+'Balance Sheet'!G27-'Balance Sheet'!G10</x:f>
        <x:v>12478</x:v>
      </x:c>
      <x:c r="H24" s="23" t="n">
        <x:f>'Balance Sheet'!H34+'Balance Sheet'!H26+'Balance Sheet'!H27-'Balance Sheet'!H10</x:f>
        <x:v>14709</x:v>
      </x:c>
      <x:c r="I24" s="23" t="n">
        <x:f>'Balance Sheet'!I34+'Balance Sheet'!I26+'Balance Sheet'!I27-'Balance Sheet'!I10</x:f>
        <x:v>16773</x:v>
      </x:c>
      <x:c r="J24" s="23" t="n">
        <x:f>'Balance Sheet'!J34+'Balance Sheet'!J26+'Balance Sheet'!J27-'Balance Sheet'!J10</x:f>
        <x:v>21933</x:v>
      </x:c>
    </x:row>
    <x:row r="25">
      <x:c r="A25" s="14" t="s">
        <x:v>254</x:v>
      </x:c>
      <x:c r="C25" s="27" t="n">
        <x:f>C24/('Income Statement'!C23+'Income Statement'!C19)</x:f>
        <x:v>1.5303094531581178</x:v>
      </x:c>
      <x:c r="D25" s="27" t="n">
        <x:f>D24/('Income Statement'!D23+'Income Statement'!D19)</x:f>
        <x:v>1.4794952681388012</x:v>
      </x:c>
      <x:c r="E25" s="27" t="n">
        <x:f>E24/('Income Statement'!E23+'Income Statement'!E19)</x:f>
        <x:v>1.560140915953699</x:v>
      </x:c>
      <x:c r="F25" s="27" t="n">
        <x:f>F24/('Income Statement'!F23+'Income Statement'!F19)</x:f>
        <x:v>1.1834910073812246</x:v>
      </x:c>
      <x:c r="G25" s="27" t="n">
        <x:f>G24/('Income Statement'!G23+'Income Statement'!G19)</x:f>
        <x:v>1.3034576412827745</x:v>
      </x:c>
      <x:c r="H25" s="27" t="n">
        <x:f>H24/('Income Statement'!H23+'Income Statement'!H19)</x:f>
        <x:v>1.2423141891891891</x:v>
      </x:c>
      <x:c r="I25" s="27" t="n">
        <x:f>I24/('Income Statement'!I23+'Income Statement'!I19)</x:f>
        <x:v>1.3510269834877164</x:v>
      </x:c>
      <x:c r="J25" s="27" t="n">
        <x:f>J24/('Income Statement'!J23+'Income Statement'!J19)</x:f>
        <x:v>1.7289137632035314</x:v>
      </x:c>
    </x:row>
    <x:row r="26">
      <x:c r="A26" s="14" t="s">
        <x:v>255</x:v>
      </x:c>
      <x:c r="C26" s="27" t="n">
        <x:f>('Balance Sheet'!C34+'Balance Sheet'!C26+'Balance Sheet'!C27)/'Balance Sheet'!C46</x:f>
        <x:v>0.29645708969687573</x:v>
      </x:c>
      <x:c r="D26" s="27" t="n">
        <x:f>('Balance Sheet'!D34+'Balance Sheet'!D26+'Balance Sheet'!D27)/'Balance Sheet'!D46</x:f>
        <x:v>0.2843868443575009</x:v>
      </x:c>
      <x:c r="E26" s="27" t="n">
        <x:f>('Balance Sheet'!E34+'Balance Sheet'!E26+'Balance Sheet'!E27)/'Balance Sheet'!E46</x:f>
        <x:v>0.3413994970095315</x:v>
      </x:c>
      <x:c r="F26" s="27" t="n">
        <x:f>('Balance Sheet'!F34+'Balance Sheet'!F26+'Balance Sheet'!F27)/'Balance Sheet'!F46</x:f>
        <x:v>0.3226297263540366</x:v>
      </x:c>
      <x:c r="G26" s="27" t="n">
        <x:f>('Balance Sheet'!G34+'Balance Sheet'!G26+'Balance Sheet'!G27)/'Balance Sheet'!G46</x:f>
        <x:v>0.4475367242929949</x:v>
      </x:c>
      <x:c r="H26" s="27" t="n">
        <x:f>('Balance Sheet'!H34+'Balance Sheet'!H26+'Balance Sheet'!H27)/'Balance Sheet'!H46</x:f>
        <x:v>0.4877391742195368</x:v>
      </x:c>
      <x:c r="I26" s="27" t="n">
        <x:f>('Balance Sheet'!I34+'Balance Sheet'!I26+'Balance Sheet'!I27)/'Balance Sheet'!I46</x:f>
        <x:v>0.5676520004200357</x:v>
      </x:c>
      <x:c r="J26" s="27" t="n">
        <x:f>('Balance Sheet'!J34+'Balance Sheet'!J26+'Balance Sheet'!J27)/'Balance Sheet'!J46</x:f>
        <x:v>0.705687017910838</x:v>
      </x:c>
    </x:row>
    <x:row r="29">
      <x:c r="A29" s="14" t="s">
        <x:v>256</x:v>
      </x:c>
      <x:c r="C29" s="15" t="n">
        <x:f>'Balance Sheet'!C48/'Balance Sheet'!C23</x:f>
        <x:v>0.6112265221767716</x:v>
      </x:c>
      <x:c r="D29" s="15" t="n">
        <x:f>'Balance Sheet'!D48/'Balance Sheet'!D23</x:f>
        <x:v>0.5948598346649425</x:v>
      </x:c>
      <x:c r="E29" s="15" t="n">
        <x:f>'Balance Sheet'!E48/'Balance Sheet'!E23</x:f>
        <x:v>0.5618220766414671</x:v>
      </x:c>
      <x:c r="F29" s="15" t="n">
        <x:f>'Balance Sheet'!F48/'Balance Sheet'!F23</x:f>
        <x:v>0.5566815758838306</x:v>
      </x:c>
      <x:c r="G29" s="15" t="n">
        <x:f>'Balance Sheet'!G48/'Balance Sheet'!G23</x:f>
        <x:v>0.5193954154008386</x:v>
      </x:c>
      <x:c r="H29" s="15" t="n">
        <x:f>'Balance Sheet'!H48/'Balance Sheet'!H23</x:f>
        <x:v>0.5083713850837138</x:v>
      </x:c>
      <x:c r="I29" s="15" t="n">
        <x:f>'Balance Sheet'!I48/'Balance Sheet'!I23</x:f>
        <x:v>0.49253247158346536</x:v>
      </x:c>
      <x:c r="J29" s="15" t="n">
        <x:f>'Balance Sheet'!J48/'Balance Sheet'!J23</x:f>
        <x:v>0.457606229194743</x:v>
      </x:c>
    </x:row>
    <x:row r="30">
      <x:c r="A30" s="14" t="s">
        <x:v>257</x:v>
      </x:c>
      <x:c r="C30" s="15" t="n">
        <x:f>('Balance Sheet'!C34+'Balance Sheet'!C26+'Balance Sheet'!C27)/'Balance Sheet'!C23</x:f>
        <x:v>0.1637932880731587</x:v>
      </x:c>
      <x:c r="D30" s="15" t="n">
        <x:f>('Balance Sheet'!D34+'Balance Sheet'!D26+'Balance Sheet'!D27)/'Balance Sheet'!D23</x:f>
        <x:v>0.1611324065949291</x:v>
      </x:c>
      <x:c r="E30" s="15" t="n">
        <x:f>('Balance Sheet'!E34+'Balance Sheet'!E26+'Balance Sheet'!E27)/'Balance Sheet'!E23</x:f>
        <x:v>0.1830917272098743</x:v>
      </x:c>
      <x:c r="F30" s="15" t="n">
        <x:f>('Balance Sheet'!F34+'Balance Sheet'!F26+'Balance Sheet'!F27)/'Balance Sheet'!F23</x:f>
        <x:v>0.17409472458795416</x:v>
      </x:c>
      <x:c r="G30" s="15" t="n">
        <x:f>('Balance Sheet'!G34+'Balance Sheet'!G26+'Balance Sheet'!G27)/'Balance Sheet'!G23</x:f>
        <x:v>0.2248863893143187</x:v>
      </x:c>
      <x:c r="H30" s="15" t="n">
        <x:f>('Balance Sheet'!H34+'Balance Sheet'!H26+'Balance Sheet'!H27)/'Balance Sheet'!H23</x:f>
        <x:v>0.23973221467374492</x:v>
      </x:c>
      <x:c r="I30" s="15" t="n">
        <x:f>('Balance Sheet'!I34+'Balance Sheet'!I26+'Balance Sheet'!I27)/'Balance Sheet'!I23</x:f>
        <x:v>0.2697917576453267</x:v>
      </x:c>
      <x:c r="J30" s="15" t="n">
        <x:f>('Balance Sheet'!J34+'Balance Sheet'!J26+'Balance Sheet'!J27)/'Balance Sheet'!J23</x:f>
        <x:v>0.31087229459668037</x:v>
      </x:c>
    </x:row>
    <x:row r="33">
      <x:c r="A33" s="14" t="s">
        <x:v>258</x:v>
      </x:c>
      <x:c r="C33" s="27" t="n">
        <x:f>'Balance Sheet'!C16/'Balance Sheet'!C32</x:f>
        <x:v>1.3331275084902747</x:v>
      </x:c>
      <x:c r="D33" s="27" t="n">
        <x:f>'Balance Sheet'!D16/'Balance Sheet'!D32</x:f>
        <x:v>0.8513157894736842</x:v>
      </x:c>
      <x:c r="E33" s="27" t="n">
        <x:f>'Balance Sheet'!E16/'Balance Sheet'!E32</x:f>
        <x:v>0.7950509461426492</x:v>
      </x:c>
      <x:c r="F33" s="27" t="n">
        <x:f>'Balance Sheet'!F16/'Balance Sheet'!F32</x:f>
        <x:v>0.7446309462728139</x:v>
      </x:c>
      <x:c r="G33" s="27" t="n">
        <x:f>'Balance Sheet'!G16/'Balance Sheet'!G32</x:f>
        <x:v>0.791734935372292</x:v>
      </x:c>
      <x:c r="H33" s="27" t="n">
        <x:f>'Balance Sheet'!H16/'Balance Sheet'!H32</x:f>
        <x:v>0.8029522173442769</x:v>
      </x:c>
      <x:c r="I33" s="27" t="n">
        <x:f>'Balance Sheet'!I16/'Balance Sheet'!I32</x:f>
        <x:v>0.8900577557755776</x:v>
      </x:c>
      <x:c r="J33" s="27" t="n">
        <x:f>'Balance Sheet'!J16/'Balance Sheet'!J32</x:f>
        <x:v>0.8767601000131596</x:v>
      </x:c>
    </x:row>
    <x:row r="34">
      <x:c r="A34" s="14" t="s">
        <x:v>259</x:v>
      </x:c>
      <x:c r="C34" s="27" t="n">
        <x:f>('Balance Sheet'!C10+'Balance Sheet'!C11)/'Balance Sheet'!C32</x:f>
        <x:v>0.6763661623958012</x:v>
      </x:c>
      <x:c r="D34" s="27" t="n">
        <x:f>('Balance Sheet'!D10+'Balance Sheet'!D11)/'Balance Sheet'!D32</x:f>
        <x:v>0.5774671052631579</x:v>
      </x:c>
      <x:c r="E34" s="27" t="n">
        <x:f>('Balance Sheet'!E10+'Balance Sheet'!E11)/'Balance Sheet'!E32</x:f>
        <x:v>0.5764919941775837</x:v>
      </x:c>
      <x:c r="F34" s="27" t="n">
        <x:f>('Balance Sheet'!F10+'Balance Sheet'!F11)/'Balance Sheet'!F32</x:f>
        <x:v>0.5366854797331965</x:v>
      </x:c>
      <x:c r="G34" s="27" t="n">
        <x:f>('Balance Sheet'!G10+'Balance Sheet'!G11)/'Balance Sheet'!G32</x:f>
        <x:v>0.606529522422477</x:v>
      </x:c>
      <x:c r="H34" s="27" t="n">
        <x:f>('Balance Sheet'!H10+'Balance Sheet'!H11)/'Balance Sheet'!H32</x:f>
        <x:v>0.5969332569828848</x:v>
      </x:c>
      <x:c r="I34" s="27" t="n">
        <x:f>('Balance Sheet'!I10+'Balance Sheet'!I11)/'Balance Sheet'!I32</x:f>
        <x:v>0.6512651265126512</x:v>
      </x:c>
      <x:c r="J34" s="27" t="n">
        <x:f>('Balance Sheet'!J10+'Balance Sheet'!J11)/'Balance Sheet'!J32</x:f>
        <x:v>0.659428872220029</x:v>
      </x:c>
    </x:row>
    <x:row r="35">
      <x:c r="A35" s="14" t="s">
        <x:v>260</x:v>
      </x:c>
      <x:c r="C35" s="27" t="n">
        <x:f>'Balance Sheet'!C10/'Balance Sheet'!C32</x:f>
        <x:v>0.3447051559123186</x:v>
      </x:c>
      <x:c r="D35" s="27" t="n">
        <x:f>'Balance Sheet'!D10/'Balance Sheet'!D32</x:f>
        <x:v>0.22203947368421054</x:v>
      </x:c>
      <x:c r="E35" s="27" t="n">
        <x:f>'Balance Sheet'!E10/'Balance Sheet'!E32</x:f>
        <x:v>0.27321688500727803</x:v>
      </x:c>
      <x:c r="F35" s="27" t="n">
        <x:f>'Balance Sheet'!F10/'Balance Sheet'!F32</x:f>
        <x:v>0.20691929927435315</x:v>
      </x:c>
      <x:c r="G35" s="27" t="n">
        <x:f>'Balance Sheet'!G10/'Balance Sheet'!G32</x:f>
        <x:v>0.3298743855816494</x:v>
      </x:c>
      <x:c r="H35" s="27" t="n">
        <x:f>'Balance Sheet'!H10/'Balance Sheet'!H32</x:f>
        <x:v>0.2967487433988675</x:v>
      </x:c>
      <x:c r="I35" s="27" t="n">
        <x:f>'Balance Sheet'!I10/'Balance Sheet'!I32</x:f>
        <x:v>0.3334708470847085</x:v>
      </x:c>
      <x:c r="J35" s="27" t="n">
        <x:f>'Balance Sheet'!J10/'Balance Sheet'!J32</x:f>
        <x:v>0.33267535202000265</x:v>
      </x:c>
    </x:row>
    <x:row r="38">
      <x:c r="A38" s="14" t="s">
        <x:v>261</x:v>
      </x:c>
      <x:c r="C38" s="27" t="n">
        <x:f>'Income Statement'!C23/'Income Statement'!C26</x:f>
        <x:v>25.975247524752476</x:v>
      </x:c>
      <x:c r="D38" s="27" t="n">
        <x:f>'Income Statement'!D23/'Income Statement'!D26</x:f>
        <x:v>77.1842105263158</x:v>
      </x:c>
      <x:c r="E38" s="27" t="n">
        <x:f>'Income Statement'!E23/'Income Statement'!E26</x:f>
        <x:v>28.88695652173913</x:v>
      </x:c>
      <x:c r="F38" s="27" t="n">
        <x:f>'Income Statement'!F23/'Income Statement'!F26</x:f>
        <x:v>64.72727272727273</x:v>
      </x:c>
      <x:c r="G38" s="27" t="n">
        <x:f>'Income Statement'!G23/'Income Statement'!G26</x:f>
        <x:v>85.22222222222223</x:v>
      </x:c>
      <x:c r="H38" s="27" t="n">
        <x:f>'Income Statement'!H23/'Income Statement'!H26</x:f>
        <x:v>40.12</x:v>
      </x:c>
      <x:c r="I38" s="27" t="n">
        <x:f>'Income Statement'!I23/'Income Statement'!I26</x:f>
        <x:v>33.73046875</x:v>
      </x:c>
      <x:c r="J38" s="27" t="n">
        <x:f>'Income Statement'!J23/'Income Statement'!J26</x:f>
        <x:v>34.9921568627451</x:v>
      </x:c>
    </x:row>
    <x:row r="39">
      <x:c r="A39" s="14" t="s">
        <x:v>262</x:v>
      </x:c>
      <x:c r="C39" s="27" t="n">
        <x:f>'Cash Flow Statement'!C30/'Income Statement'!C26</x:f>
        <x:v>18.08910891089109</x:v>
      </x:c>
      <x:c r="D39" s="27" t="n">
        <x:f>'Cash Flow Statement'!D30/'Income Statement'!D26</x:f>
        <x:v>161.02631578947367</x:v>
      </x:c>
      <x:c r="E39" s="27" t="n">
        <x:f>'Cash Flow Statement'!E30/'Income Statement'!E26</x:f>
        <x:v>64.6</x:v>
      </x:c>
      <x:c r="F39" s="27" t="n">
        <x:f>'Cash Flow Statement'!F30/'Income Statement'!F26</x:f>
        <x:v>126.2987012987013</x:v>
      </x:c>
      <x:c r="G39" s="27" t="n">
        <x:f>'Cash Flow Statement'!G30/'Income Statement'!G26</x:f>
        <x:v>140.6984126984127</x:v>
      </x:c>
      <x:c r="H39" s="27" t="n">
        <x:f>'Cash Flow Statement'!H30/'Income Statement'!H26</x:f>
        <x:v>46.525</x:v>
      </x:c>
      <x:c r="I39" s="27" t="n">
        <x:f>'Cash Flow Statement'!I30/'Income Statement'!I26</x:f>
        <x:v>36.80859375</x:v>
      </x:c>
      <x:c r="J39" s="27" t="n">
        <x:f>'Cash Flow Statement'!J30/'Income Statement'!J26</x:f>
        <x:v>40.588235294117645</x:v>
      </x:c>
    </x:row>
    <x:row r="42">
      <x:c r="A42" s="14" t="s">
        <x:v>172</x:v>
      </x:c>
      <x:c r="C42" s="15" t="n">
        <x:f>'Cash Flow Statement'!C30/'Income Statement'!C10</x:f>
        <x:v>0.24523489932885906</x:v>
      </x:c>
      <x:c r="D42" s="15" t="n">
        <x:f>'Cash Flow Statement'!D30/'Income Statement'!D10</x:f>
        <x:v>0.21677058240045344</x:v>
      </x:c>
      <x:c r="E42" s="15" t="n">
        <x:f>'Cash Flow Statement'!E30/'Income Statement'!E10</x:f>
        <x:v>0.2726939030209595</x:v>
      </x:c>
      <x:c r="F42" s="15" t="n">
        <x:f>'Cash Flow Statement'!F30/'Income Statement'!F10</x:f>
        <x:v>0.31581853018543177</x:v>
      </x:c>
      <x:c r="G42" s="15" t="n">
        <x:f>'Cash Flow Statement'!G30/'Income Statement'!G10</x:f>
        <x:v>0.2656755784678096</x:v>
      </x:c>
      <x:c r="H42" s="15" t="n">
        <x:f>'Cash Flow Statement'!H30/'Income Statement'!H10</x:f>
        <x:v>0.2832227430449869</x:v>
      </x:c>
      <x:c r="I42" s="15" t="n">
        <x:f>'Cash Flow Statement'!I30/'Income Statement'!I10</x:f>
        <x:v>0.2855021966368732</x:v>
      </x:c>
      <x:c r="J42" s="15" t="n">
        <x:f>'Cash Flow Statement'!J30/'Income Statement'!J10</x:f>
        <x:v>0.30453716236097217</x:v>
      </x:c>
    </x:row>
    <x:row r="43">
      <x:c r="A43" s="14" t="s">
        <x:v>263</x:v>
      </x:c>
      <x:c r="C43" s="27" t="n">
        <x:f>'Cash Flow Statement'!C30/('Income Statement'!C23+'Income Statement'!C19)</x:f>
        <x:v>0.516320474777448</x:v>
      </x:c>
      <x:c r="D43" s="27" t="n">
        <x:f>'Cash Flow Statement'!D30/('Income Statement'!D23+'Income Statement'!D19)</x:f>
        <x:v>0.8042849631966351</x:v>
      </x:c>
      <x:c r="E43" s="27" t="n">
        <x:f>'Cash Flow Statement'!E30/('Income Statement'!E23+'Income Statement'!E19)</x:f>
        <x:v>0.9347005535983895</x:v>
      </x:c>
      <x:c r="F43" s="27" t="n">
        <x:f>'Cash Flow Statement'!F30/('Income Statement'!F23+'Income Statement'!F19)</x:f>
        <x:v>1.0110198565339432</x:v>
      </x:c>
      <x:c r="G43" s="27" t="n">
        <x:f>'Cash Flow Statement'!G30/('Income Statement'!G23+'Income Statement'!G19)</x:f>
        <x:v>0.9259375326438943</x:v>
      </x:c>
      <x:c r="H43" s="27" t="n">
        <x:f>'Cash Flow Statement'!H30/('Income Statement'!H23+'Income Statement'!H19)</x:f>
        <x:v>0.7858952702702703</x:v>
      </x:c>
      <x:c r="I43" s="27" t="n">
        <x:f>'Cash Flow Statement'!I30/('Income Statement'!I23+'Income Statement'!I19)</x:f>
        <x:v>0.7590012082158679</x:v>
      </x:c>
      <x:c r="J43" s="27" t="n">
        <x:f>'Cash Flow Statement'!J30/('Income Statement'!J23+'Income Statement'!J19)</x:f>
        <x:v>0.8158600031530822</x:v>
      </x:c>
    </x:row>
    <x:row r="44">
      <x:c r="A44" s="14" t="s">
        <x:v>264</x:v>
      </x:c>
      <x:c r="C44" s="15" t="n">
        <x:f>0-'Cash Flow Statement'!C33/'Income Statement'!C10</x:f>
        <x:v>0.1263758389261745</x:v>
      </x:c>
      <x:c r="D44" s="15" t="n">
        <x:f>0-'Cash Flow Statement'!D33/'Income Statement'!D10</x:f>
        <x:v>0.13043786311463795</x:v>
      </x:c>
      <x:c r="E44" s="15" t="n">
        <x:f>0-'Cash Flow Statement'!E33/'Income Statement'!E10</x:f>
        <x:v>0.12480270161142312</x:v>
      </x:c>
      <x:c r="F44" s="15" t="n">
        <x:f>0-'Cash Flow Statement'!F33/'Income Statement'!F10</x:f>
        <x:v>0.10021758191796837</x:v>
      </x:c>
      <x:c r="G44" s="15" t="n">
        <x:f>0-'Cash Flow Statement'!G33/'Income Statement'!G10</x:f>
        <x:v>0.09510250569476082</x:v>
      </x:c>
      <x:c r="H44" s="15" t="n">
        <x:f>0-'Cash Flow Statement'!H33/'Income Statement'!H10</x:f>
        <x:v>0.11526754733061423</x:v>
      </x:c>
      <x:c r="I44" s="15" t="n">
        <x:f>0-'Cash Flow Statement'!I33/'Income Statement'!I10</x:f>
        <x:v>0.1362520830177246</x:v>
      </x:c>
      <x:c r="J44" s="15" t="n">
        <x:f>0-'Cash Flow Statement'!J33/'Income Statement'!J10</x:f>
        <x:v>0.15479903489672217</x:v>
      </x:c>
    </x:row>
    <x:row r="45">
      <x:c r="A45" s="14" t="s">
        <x:v>200</x:v>
      </x:c>
      <x:c r="C45" s="15" t="n">
        <x:f>'Cash Flow Statement'!C62/'Income Statement'!C10</x:f>
        <x:v>0.11885906040268457</x:v>
      </x:c>
      <x:c r="D45" s="15" t="n">
        <x:f>'Cash Flow Statement'!D62/'Income Statement'!D10</x:f>
        <x:v>0.0863327192858155</x:v>
      </x:c>
      <x:c r="E45" s="15" t="n">
        <x:f>'Cash Flow Statement'!E62/'Income Statement'!E10</x:f>
        <x:v>0.1478912014095364</x:v>
      </x:c>
      <x:c r="F45" s="15" t="n">
        <x:f>'Cash Flow Statement'!F62/'Income Statement'!F10</x:f>
        <x:v>0.21560094826746337</x:v>
      </x:c>
      <x:c r="G45" s="15" t="n">
        <x:f>'Cash Flow Statement'!G62/'Income Statement'!G10</x:f>
        <x:v>0.17057307277304878</x:v>
      </x:c>
      <x:c r="H45" s="15" t="n">
        <x:f>'Cash Flow Statement'!H62/'Income Statement'!H10</x:f>
        <x:v>0.16795519571437267</x:v>
      </x:c>
      <x:c r="I45" s="15" t="n">
        <x:f>'Cash Flow Statement'!I62/'Income Statement'!I10</x:f>
        <x:v>0.1492501136191486</x:v>
      </x:c>
      <x:c r="J45" s="15" t="n">
        <x:f>'Cash Flow Statement'!J62/'Income Statement'!J10</x:f>
        <x:v>0.14973812746425</x:v>
      </x:c>
    </x:row>
    <x:row r="46">
      <x:c r="A46" s="14" t="s">
        <x:v>265</x:v>
      </x:c>
      <x:c r="C46" s="27" t="n">
        <x:f>'Cash Flow Statement'!C62/'Income Statement'!C37</x:f>
        <x:v>0.40424560602602144</x:v>
      </x:c>
      <x:c r="D46" s="27" t="n">
        <x:f>'Cash Flow Statement'!D62/'Income Statement'!D37</x:f>
        <x:v>1.0665207877461707</x:v>
      </x:c>
      <x:c r="E46" s="27" t="n">
        <x:f>'Cash Flow Statement'!E62/'Income Statement'!E37</x:f>
        <x:v>1.6109556177528987</x:v>
      </x:c>
      <x:c r="F46" s="27" t="n">
        <x:f>'Cash Flow Statement'!F62/'Income Statement'!F37</x:f>
        <x:v>1.7352326189231573</x:v>
      </x:c>
      <x:c r="G46" s="27" t="n">
        <x:f>'Cash Flow Statement'!G62/'Income Statement'!G37</x:f>
        <x:v>1.3723173378345792</x:v>
      </x:c>
      <x:c r="H46" s="27" t="n">
        <x:f>'Cash Flow Statement'!H62/'Income Statement'!H37</x:f>
        <x:v>0.8901435715437974</x:v>
      </x:c>
      <x:c r="I46" s="27" t="n">
        <x:f>'Cash Flow Statement'!I62/'Income Statement'!I37</x:f>
        <x:v>0.7503427265803504</x:v>
      </x:c>
      <x:c r="J46" s="27" t="n">
        <x:f>'Cash Flow Statement'!J62/'Income Statement'!J37</x:f>
        <x:v>0.7377500724847782</x:v>
      </x:c>
    </x:row>
    <x:row r="47">
      <x:c r="A47" s="14" t="s">
        <x:v>266</x:v>
      </x:c>
      <x:c r="C47" s="27" t="n">
        <x:f>'Income Statement'!C19/(0-'Cash Flow Statement'!C33)</x:f>
        <x:v>0.971853425385024</x:v>
      </x:c>
      <x:c r="D47" s="27" t="n">
        <x:f>'Income Statement'!D19/(0-'Cash Flow Statement'!D33)</x:f>
        <x:v>1.2696903856599675</x:v>
      </x:c>
      <x:c r="E47" s="27" t="n">
        <x:f>'Income Statement'!E19/(0-'Cash Flow Statement'!E33)</x:f>
        <x:v>1.3605882352941177</x:v>
      </x:c>
      <x:c r="F47" s="27" t="n">
        <x:f>'Income Statement'!F19/(0-'Cash Flow Statement'!F33)</x:f>
        <x:v>1.5019442644199612</x:v>
      </x:c>
      <x:c r="G47" s="27" t="n">
        <x:f>'Income Statement'!G19/(0-'Cash Flow Statement'!G33)</x:f>
        <x:v>1.324929089190041</x:v>
      </x:c>
      <x:c r="H47" s="27" t="n">
        <x:f>'Income Statement'!H19/(0-'Cash Flow Statement'!H33)</x:f>
        <x:v>1.007657776604172</x:v>
      </x:c>
      <x:c r="I47" s="27" t="n">
        <x:f>'Income Statement'!I19/(0-'Cash Flow Statement'!I33)</x:f>
        <x:v>0.8405603735823882</x:v>
      </x:c>
      <x:c r="J47" s="27" t="n">
        <x:f>'Income Statement'!J19/(0-'Cash Flow Statement'!J33)</x:f>
        <x:v>0.7152632579357536</x:v>
      </x:c>
    </x:row>
    <x:row r="50">
      <x:c r="A50" s="14" t="s">
        <x:v>267</x:v>
      </x:c>
      <x:c r="C50" s="27" t="n">
        <x:f>'Cash Flow Statement'!C30/'Income Statement'!C37</x:f>
        <x:v>0.8340561515635699</x:v>
      </x:c>
      <x:c r="D50" s="27" t="n">
        <x:f>'Cash Flow Statement'!D30/'Income Statement'!D37</x:f>
        <x:v>2.677899343544858</x:v>
      </x:c>
      <x:c r="E50" s="27" t="n">
        <x:f>'Cash Flow Statement'!E30/'Income Statement'!E37</x:f>
        <x:v>2.9704118352658937</x:v>
      </x:c>
      <x:c r="F50" s="27" t="n">
        <x:f>'Cash Flow Statement'!F30/'Income Statement'!F37</x:f>
        <x:v>2.5418191322530057</x:v>
      </x:c>
      <x:c r="G50" s="27" t="n">
        <x:f>'Cash Flow Statement'!G30/'Income Statement'!G37</x:f>
        <x:v>2.1374487581384134</x:v>
      </x:c>
      <x:c r="H50" s="27" t="n">
        <x:f>'Cash Flow Statement'!H30/'Income Statement'!H37</x:f>
        <x:v>1.501048556218745</x:v>
      </x:c>
      <x:c r="I50" s="27" t="n">
        <x:f>'Cash Flow Statement'!I30/'Income Statement'!I37</x:f>
        <x:v>1.4353389185072354</x:v>
      </x:c>
      <x:c r="J50" s="27" t="n">
        <x:f>'Cash Flow Statement'!J30/'Income Statement'!J37</x:f>
        <x:v>1.5004349086691795</x:v>
      </x:c>
    </x:row>
    <x:row r="51">
      <x:c r="A51" s="14" t="s">
        <x:v>268</x:v>
      </x:c>
      <x:c r="C51" s="15" t="n">
        <x:f>('Income Statement'!C37-'Cash Flow Statement'!C30)/'Balance Sheet'!C23</x:f>
        <x:v>0.007784892810485512</x:v>
      </x:c>
      <x:c r="D51" s="15" t="n">
        <x:f>('Income Statement'!D37-'Cash Flow Statement'!D30)/'Balance Sheet'!D23</x:f>
        <x:v>-0.04426638341107468</x:v>
      </x:c>
      <x:c r="E51" s="15" t="n">
        <x:f>('Income Statement'!E37-'Cash Flow Statement'!E30)/'Balance Sheet'!E23</x:f>
        <x:v>-0.05585465096510218</x:v>
      </x:c>
      <x:c r="F51" s="15" t="n">
        <x:f>('Income Statement'!F37-'Cash Flow Statement'!F30)/'Balance Sheet'!F23</x:f>
        <x:v>-0.07228723730163593</x:v>
      </x:c>
      <x:c r="G51" s="15" t="n">
        <x:f>('Income Statement'!G37-'Cash Flow Statement'!G30)/'Balance Sheet'!G23</x:f>
        <x:v>-0.059215646890456705</x:v>
      </x:c>
      <x:c r="H51" s="15" t="n">
        <x:f>('Income Statement'!H37-'Cash Flow Statement'!H30)/'Balance Sheet'!H23</x:f>
        <x:v>-0.038435361522565</x:v>
      </x:c>
      <x:c r="I51" s="15" t="n">
        <x:f>('Income Statement'!I37-'Cash Flow Statement'!I30)/'Balance Sheet'!I23</x:f>
        <x:v>-0.03565947571337667</x:v>
      </x:c>
      <x:c r="J51" s="15" t="n">
        <x:f>('Income Statement'!J37-'Cash Flow Statement'!J30)/'Balance Sheet'!J23</x:f>
        <x:v>-0.03976179780457745</x:v>
      </x:c>
    </x:row>
    <x:row r="54">
      <x:c r="A54" s="14" t="s">
        <x:v>269</x:v>
      </x:c>
      <x:c r="C54" s="15" t="e">
        <x:f>'Income Statement'!C10/'Income Statement'!B10-1</x:f>
        <x:v>#DIV/0!</x:v>
      </x:c>
      <x:c r="D54" s="15" t="n">
        <x:f>'Income Statement'!D10/'Income Statement'!C10-1</x:f>
        <x:v>0.894496644295302</x:v>
      </x:c>
      <x:c r="E54" s="15" t="n">
        <x:f>'Income Statement'!E10/'Income Statement'!D10-1</x:f>
        <x:v>-0.03489443106135748</x:v>
      </x:c>
      <x:c r="F54" s="15" t="n">
        <x:f>'Income Statement'!F10/'Income Statement'!E10-1</x:f>
        <x:v>0.1303087031531036</x:v>
      </x:c>
      <x:c r="G54" s="15" t="n">
        <x:f>'Income Statement'!G10/'Income Statement'!F10-1</x:f>
        <x:v>0.08349300165622053</x:v>
      </x:c>
      <x:c r="H54" s="15" t="n">
        <x:f>'Income Statement'!H10/'Income Statement'!G10-1</x:f>
        <x:v>-0.015285936938017053</x:v>
      </x:c>
      <x:c r="I54" s="15" t="n">
        <x:f>'Income Statement'!I10/'Income Statement'!H10-1</x:f>
        <x:v>0.004596091800085134</x:v>
      </x:c>
      <x:c r="J54" s="15" t="n">
        <x:f>'Income Statement'!J10/'Income Statement'!I10-1</x:f>
        <x:v>0.029722769277382266</x:v>
      </x:c>
    </x:row>
    <x:row r="55">
      <x:c r="A55" s="14" t="s">
        <x:v>100</x:v>
      </x:c>
      <x:c r="C55" s="15" t="e">
        <x:f>'Income Statement'!C37/'Income Statement'!B37-1</x:f>
        <x:v>#DIV/0!</x:v>
      </x:c>
      <x:c r="D55" s="15" t="n">
        <x:f>'Income Statement'!D37/'Income Statement'!C37-1</x:f>
        <x:v>-0.47842958228714905</x:v>
      </x:c>
      <x:c r="E55" s="15" t="n">
        <x:f>'Income Statement'!E37/'Income Statement'!D37-1</x:f>
        <x:v>0.09452954048140039</x:v>
      </x:c>
      <x:c r="F55" s="15" t="n">
        <x:f>'Income Statement'!F37/'Income Statement'!E37-1</x:f>
        <x:v>0.5297880847660936</x:v>
      </x:c>
      <x:c r="G55" s="15" t="n">
        <x:f>'Income Statement'!G37/'Income Statement'!F37-1</x:f>
        <x:v>0.08389963408259282</x:v>
      </x:c>
      <x:c r="H55" s="15" t="n">
        <x:f>'Income Statement'!H37/'Income Statement'!G37-1</x:f>
        <x:v>0.49481552929828787</x:v>
      </x:c>
      <x:c r="I55" s="15" t="n">
        <x:f>'Income Statement'!I37/'Income Statement'!H37-1</x:f>
        <x:v>0.059041780932408416</x:v>
      </x:c>
      <x:c r="J55" s="15" t="n">
        <x:f>'Income Statement'!J37/'Income Statement'!I37-1</x:f>
        <x:v>0.0507235338918508</x:v>
      </x:c>
    </x:row>
    <x:row r="56">
      <x:c r="A56" s="14" t="s">
        <x:v>270</x:v>
      </x:c>
      <x:c r="C56" s="15" t="e">
        <x:f>'Cash Flow Statement'!C30/'Cash Flow Statement'!B30-1</x:f>
        <x:v>#DIV/0!</x:v>
      </x:c>
      <x:c r="D56" s="15" t="n">
        <x:f>'Cash Flow Statement'!D30/'Cash Flow Statement'!C30-1</x:f>
        <x:v>0.6746031746031746</x:v>
      </x:c>
      <x:c r="E56" s="15" t="n">
        <x:f>'Cash Flow Statement'!E30/'Cash Flow Statement'!D30-1</x:f>
        <x:v>0.2140872691616278</x:v>
      </x:c>
      <x:c r="F56" s="15" t="n">
        <x:f>'Cash Flow Statement'!F30/'Cash Flow Statement'!E30-1</x:f>
        <x:v>0.30905909274464927</x:v>
      </x:c>
      <x:c r="G56" s="15" t="n">
        <x:f>'Cash Flow Statement'!G30/'Cash Flow Statement'!F30-1</x:f>
        <x:v>-0.08853470437017996</x:v>
      </x:c>
      <x:c r="H56" s="15" t="n">
        <x:f>'Cash Flow Statement'!H30/'Cash Flow Statement'!G30-1</x:f>
        <x:v>0.049751805054151665</x:v>
      </x:c>
      <x:c r="I56" s="15" t="n">
        <x:f>'Cash Flow Statement'!I30/'Cash Flow Statement'!H30-1</x:f>
        <x:v>0.012681354110693155</x:v>
      </x:c>
      <x:c r="J56" s="15" t="n">
        <x:f>'Cash Flow Statement'!J30/'Cash Flow Statement'!I30-1</x:f>
        <x:v>0.0983763132760267</x:v>
      </x:c>
    </x:row>
    <x:row r="59">
      <x:c r="A59" s="14" t="s">
        <x:v>271</x:v>
      </x:c>
      <x:c r="C59" s="23" t="n">
        <x:f>'Balance Sheet'!C52</x:f>
        <x:v>105.26208053691275</x:v>
      </x:c>
      <x:c r="D59" s="23" t="n">
        <x:f>'Balance Sheet'!D52</x:f>
        <x:v>55.88529120022672</x:v>
      </x:c>
      <x:c r="E59" s="23" t="n">
        <x:f>'Balance Sheet'!E52</x:f>
        <x:v>55.82920383217707</x:v>
      </x:c>
      <x:c r="F59" s="23" t="n">
        <x:f>'Balance Sheet'!F52</x:f>
        <x:v>53.32819147208781</x:v>
      </x:c>
      <x:c r="G59" s="23" t="n">
        <x:f>'Balance Sheet'!G52</x:f>
        <x:v>49.87516484833952</x:v>
      </x:c>
      <x:c r="H59" s="23" t="n">
        <x:f>'Balance Sheet'!H52</x:f>
        <x:v>52.41583977597857</x:v>
      </x:c>
      <x:c r="I59" s="23" t="n">
        <x:f>'Balance Sheet'!I52</x:f>
        <x:v>51.114376609604605</x:v>
      </x:c>
      <x:c r="J59" s="23" t="n">
        <x:f>'Balance Sheet'!J52</x:f>
        <x:v>53.333431412934736</x:v>
      </x:c>
    </x:row>
    <x:row r="60">
      <x:c r="A60" s="14" t="s">
        <x:v>272</x:v>
      </x:c>
      <x:c r="C60" s="23" t="n">
        <x:f>'Balance Sheet'!C53</x:f>
        <x:v>66.33806693086747</x:v>
      </x:c>
      <x:c r="D60" s="23" t="n">
        <x:f>'Balance Sheet'!D53</x:f>
        <x:v>37.21491228070175</x:v>
      </x:c>
      <x:c r="E60" s="23" t="n">
        <x:f>'Balance Sheet'!E53</x:f>
        <x:v>41.024832607423775</x:v>
      </x:c>
      <x:c r="F60" s="23" t="n">
        <x:f>'Balance Sheet'!F53</x:f>
        <x:v>36.056831784757456</x:v>
      </x:c>
      <x:c r="G60" s="23" t="n">
        <x:f>'Balance Sheet'!G53</x:f>
        <x:v>37.11928020565553</x:v>
      </x:c>
      <x:c r="H60" s="23" t="n">
        <x:f>'Balance Sheet'!H53</x:f>
        <x:v>44.13303224331123</x:v>
      </x:c>
      <x:c r="I60" s="23" t="n">
        <x:f>'Balance Sheet'!I53</x:f>
        <x:v>41.43323805634953</x:v>
      </x:c>
      <x:c r="J60" s="23" t="n">
        <x:f>'Balance Sheet'!J53</x:f>
        <x:v>43.135027891195584</x:v>
      </x:c>
    </x:row>
    <x:row r="61">
      <x:c r="A61" s="14" t="s">
        <x:v>273</x:v>
      </x:c>
      <x:c r="C61" s="23" t="n">
        <x:f>'Balance Sheet'!C54</x:f>
        <x:v>129.34114927344783</x:v>
      </x:c>
      <x:c r="D61" s="23" t="n">
        <x:f>'Balance Sheet'!D54</x:f>
        <x:v>71.62280701754385</x:v>
      </x:c>
      <x:c r="E61" s="23" t="n">
        <x:f>'Balance Sheet'!E54</x:f>
        <x:v>73.43658584151336</x:v>
      </x:c>
      <x:c r="F61" s="23" t="n">
        <x:f>'Balance Sheet'!F54</x:f>
        <x:v>72.88348629082824</x:v>
      </x:c>
      <x:c r="G61" s="23" t="n">
        <x:f>'Balance Sheet'!G54</x:f>
        <x:v>56.20437017994859</x:v>
      </x:c>
      <x:c r="H61" s="23" t="n">
        <x:f>'Balance Sheet'!H54</x:f>
        <x:v>63.01737937342785</x:v>
      </x:c>
      <x:c r="I61" s="23" t="n">
        <x:f>'Balance Sheet'!I54</x:f>
        <x:v>53.377763518637344</x:v>
      </x:c>
      <x:c r="J61" s="23" t="n">
        <x:f>'Balance Sheet'!J54</x:f>
        <x:v>58.982690206452354</x:v>
      </x:c>
    </x:row>
    <x:row r="62">
      <x:c r="A62" s="14" t="s">
        <x:v>274</x:v>
      </x:c>
      <x:c r="C62" s="23" t="n">
        <x:f>'Balance Sheet'!C55</x:f>
        <x:v>42.258998194332406</x:v>
      </x:c>
      <x:c r="D62" s="23" t="n">
        <x:f>'Balance Sheet'!D55</x:f>
        <x:v>21.477396463384622</x:v>
      </x:c>
      <x:c r="E62" s="23" t="n">
        <x:f>'Balance Sheet'!E55</x:f>
        <x:v>23.417450598087484</x:v>
      </x:c>
      <x:c r="F62" s="23" t="n">
        <x:f>'Balance Sheet'!F55</x:f>
        <x:v>16.501536966017028</x:v>
      </x:c>
      <x:c r="G62" s="23" t="n">
        <x:f>'Balance Sheet'!G55</x:f>
        <x:v>30.79007487404646</x:v>
      </x:c>
      <x:c r="H62" s="23" t="n">
        <x:f>'Balance Sheet'!H55</x:f>
        <x:v>33.53149264586195</x:v>
      </x:c>
      <x:c r="I62" s="23" t="n">
        <x:f>'Balance Sheet'!I55</x:f>
        <x:v>39.1698511473168</x:v>
      </x:c>
      <x:c r="J62" s="23" t="n">
        <x:f>'Balance Sheet'!J55</x:f>
        <x:v>37.48576909767797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9"/>
  </x:sheetPr>
  <x:sheetFormatPr baseColWidth="10" defaultColWidth="8.83203125" defaultRowHeight="14"/>
  <x:cols>
    <x:col min="1" max="1" width="22" customWidth="1"/>
    <x:col min="2" max="6" width="16" customWidth="1"/>
  </x:cols>
  <x:sheetData>
    <x:row r="1" ht="18">
      <x:c r="A1" s="38" t="s">
        <x:v>275</x:v>
      </x:c>
      <x:c r="B1" s="37"/>
      <x:c r="C1" s="37"/>
      <x:c r="D1" s="37"/>
      <x:c r="E1" s="37"/>
      <x:c r="F1" s="37"/>
    </x:row>
    <x:row r="3" ht="15">
      <x:c r="A3" s="33" t="s">
        <x:v>276</x:v>
      </x:c>
      <x:c r="B3" s="33" t="s">
        <x:v>277</x:v>
      </x:c>
      <x:c r="C3" s="33" t="s">
        <x:v>278</x:v>
      </x:c>
      <x:c r="D3" s="33" t="s">
        <x:v>279</x:v>
      </x:c>
      <x:c r="E3" s="33" t="s">
        <x:v>280</x:v>
      </x:c>
      <x:c r="F3" s="33" t="s">
        <x:v>281</x:v>
      </x:c>
    </x:row>
    <x:row r="4">
      <x:c r="A4" s="35" t="s">
        <x:v>71</x:v>
      </x:c>
      <x:c r="B4" s="34">
        <x:v>8615</x:v>
      </x:c>
      <x:c r="C4" s="34">
        <x:v>8764</x:v>
      </x:c>
      <x:c r="D4" s="34">
        <x:v>8781</x:v>
      </x:c>
      <x:c r="E4" s="34">
        <x:v>9289</x:v>
      </x:c>
      <x:c r="F4" s="34">
        <x:v>33986</x:v>
      </x:c>
    </x:row>
    <x:row r="5">
      <x:c r="A5" s="36" t="s">
        <x:v>282</x:v>
      </x:c>
      <x:c r="B5" s="34" t="s">
        <x:v>283</x:v>
      </x:c>
      <x:c r="C5" s="34" t="s">
        <x:v>284</x:v>
      </x:c>
      <x:c r="D5" s="34" t="s">
        <x:v>285</x:v>
      </x:c>
      <x:c r="E5" s="34" t="s">
        <x:v>286</x:v>
      </x:c>
      <x:c r="F5" s="34" t="s">
        <x:v>283</x:v>
      </x:c>
    </x:row>
    <x:row r="6">
      <x:c r="A6" s="36" t="s">
        <x:v>287</x:v>
      </x:c>
      <x:c r="B6" s="34" t="s">
        <x:v>288</x:v>
      </x:c>
      <x:c r="C6" s="34" t="s">
        <x:v>289</x:v>
      </x:c>
      <x:c r="D6" s="34" t="s">
        <x:v>290</x:v>
      </x:c>
      <x:c r="E6" s="34" t="s">
        <x:v>284</x:v>
      </x:c>
      <x:c r="F6" s="34" t="s">
        <x:v>291</x:v>
      </x:c>
    </x:row>
    <x:row r="7">
      <x:c r="A7" s="35" t="s">
        <x:v>84</x:v>
      </x:c>
      <x:c r="B7" s="34">
        <x:v>2558</x:v>
      </x:c>
      <x:c r="C7" s="34">
        <x:v>2585</x:v>
      </x:c>
      <x:c r="D7" s="34">
        <x:v>2630</x:v>
      </x:c>
      <x:c r="E7" s="34">
        <x:v>2744</x:v>
      </x:c>
      <x:c r="F7" s="34">
        <x:v>10137</x:v>
      </x:c>
    </x:row>
    <x:row r="8">
      <x:c r="A8" s="36" t="s">
        <x:v>292</x:v>
      </x:c>
      <x:c r="B8" s="34" t="s">
        <x:v>293</x:v>
      </x:c>
      <x:c r="C8" s="34" t="s">
        <x:v>294</x:v>
      </x:c>
      <x:c r="D8" s="34" t="s">
        <x:v>295</x:v>
      </x:c>
      <x:c r="E8" s="34" t="s">
        <x:v>294</x:v>
      </x:c>
      <x:c r="F8" s="34" t="s">
        <x:v>296</x:v>
      </x:c>
    </x:row>
    <x:row r="9">
      <x:c r="A9" s="35" t="s">
        <x:v>297</x:v>
      </x:c>
      <x:c r="B9" s="34">
        <x:v>1987</x:v>
      </x:c>
      <x:c r="C9" s="34">
        <x:v>1968</x:v>
      </x:c>
      <x:c r="D9" s="34">
        <x:v>2019</x:v>
      </x:c>
      <x:c r="E9" s="34">
        <x:v>2089</x:v>
      </x:c>
      <x:c r="F9" s="34">
        <x:v>7772</x:v>
      </x:c>
    </x:row>
    <x:row r="10">
      <x:c r="A10" s="35" t="s">
        <x:v>298</x:v>
      </x:c>
      <x:c r="B10" s="34">
        <x:v>4.21</x:v>
      </x:c>
      <x:c r="C10" s="34">
        <x:v>4.2</x:v>
      </x:c>
      <x:c r="D10" s="34">
        <x:v>4.33</x:v>
      </x:c>
      <x:c r="E10" s="34">
        <x:v>4.5</x:v>
      </x:c>
      <x:c r="F10" s="34">
        <x:v>16.46</x:v>
      </x:c>
    </x:row>
    <x:row r="11">
      <x:c r="A11" s="36" t="s">
        <x:v>299</x:v>
      </x:c>
      <x:c r="B11" s="34" t="s">
        <x:v>300</x:v>
      </x:c>
      <x:c r="C11" s="34" t="s">
        <x:v>284</x:v>
      </x:c>
      <x:c r="D11" s="34" t="s">
        <x:v>301</x:v>
      </x:c>
      <x:c r="E11" s="34" t="s">
        <x:v>301</x:v>
      </x:c>
      <x:c r="F11" s="34" t="s">
        <x:v>284</x:v>
      </x:c>
    </x:row>
    <x:row r="12">
      <x:c r="A12" s="35" t="s">
        <x:v>302</x:v>
      </x:c>
      <x:c r="B12" s="34">
        <x:v>2948</x:v>
      </x:c>
      <x:c r="C12" s="34">
        <x:v>3030</x:v>
      </x:c>
      <x:c r="D12" s="34">
        <x:v>2240</x:v>
      </x:c>
      <x:c r="E12" s="34">
        <x:v>2271</x:v>
      </x:c>
      <x:c r="F12" s="34">
        <x:v>10350</x:v>
      </x:c>
    </x:row>
    <x:row r="13">
      <x:c r="A13" s="36" t="s">
        <x:v>303</x:v>
      </x:c>
      <x:c r="B13" s="34" t="s">
        <x:v>285</x:v>
      </x:c>
      <x:c r="C13" s="34" t="s">
        <x:v>285</x:v>
      </x:c>
      <x:c r="D13" s="34" t="s">
        <x:v>304</x:v>
      </x:c>
      <x:c r="E13" s="34" t="s">
        <x:v>283</x:v>
      </x:c>
      <x:c r="F13" s="34" t="s">
        <x:v>301</x:v>
      </x:c>
    </x:row>
    <x:row r="14">
      <x:c r="A14" s="35" t="s">
        <x:v>305</x:v>
      </x:c>
      <x:c r="B14" s="34">
        <x:v>1276</x:v>
      </x:c>
      <x:c r="C14" s="34">
        <x:v>1458</x:v>
      </x:c>
      <x:c r="D14" s="34">
        <x:v>1342</x:v>
      </x:c>
      <x:c r="E14" s="34">
        <x:v>1438</x:v>
      </x:c>
      <x:c r="F14" s="34">
        <x:v>5261</x:v>
      </x:c>
    </x:row>
    <x:row r="15">
      <x:c r="A15" s="36" t="s">
        <x:v>306</x:v>
      </x:c>
      <x:c r="B15" s="34">
        <x:v>640</x:v>
      </x:c>
      <x:c r="C15" s="34">
        <x:v>698</x:v>
      </x:c>
      <x:c r="D15" s="34">
        <x:v>689</x:v>
      </x:c>
      <x:c r="E15" s="34">
        <x:v>658</x:v>
      </x:c>
      <x:c r="F15" s="34">
        <x:v>2618</x:v>
      </x:c>
    </x:row>
    <x:row r="16">
      <x:c r="A16" s="36" t="s">
        <x:v>307</x:v>
      </x:c>
      <x:c r="B16" s="34">
        <x:v>636</x:v>
      </x:c>
      <x:c r="C16" s="34">
        <x:v>760</x:v>
      </x:c>
      <x:c r="D16" s="34">
        <x:v>653</x:v>
      </x:c>
      <x:c r="E16" s="34">
        <x:v>780</x:v>
      </x:c>
      <x:c r="F16" s="34">
        <x:v>2643</x:v>
      </x:c>
    </x:row>
    <x:row r="17">
      <x:c r="A17" s="35" t="s">
        <x:v>308</x:v>
      </x:c>
      <x:c r="B17" s="34" t="s">
        <x:v>309</x:v>
      </x:c>
      <x:c r="C17" s="34" t="s">
        <x:v>310</x:v>
      </x:c>
      <x:c r="D17" s="34" t="s">
        <x:v>311</x:v>
      </x:c>
      <x:c r="E17" s="34" t="s">
        <x:v>312</x:v>
      </x:c>
      <x:c r="F17" s="34" t="s">
        <x:v>310</x:v>
      </x:c>
    </x:row>
    <x:row r="19">
      <x:c r="A19" s="4" t="s">
        <x:v>313</x:v>
      </x:c>
    </x:row>
    <x:row r="20" ht="15">
      <x:c r="A20" s="33" t="s">
        <x:v>314</x:v>
      </x:c>
      <x:c r="B20" s="33" t="s">
        <x:v>277</x:v>
      </x:c>
      <x:c r="C20" s="33" t="s">
        <x:v>278</x:v>
      </x:c>
      <x:c r="D20" s="33" t="s">
        <x:v>279</x:v>
      </x:c>
      <x:c r="E20" s="33" t="s">
        <x:v>280</x:v>
      </x:c>
    </x:row>
    <x:row r="21">
      <x:c r="A21" s="32" t="s">
        <x:v>315</x:v>
      </x:c>
      <x:c r="B21" s="31" t="s">
        <x:v>290</x:v>
      </x:c>
      <x:c r="C21" s="31" t="s">
        <x:v>288</x:v>
      </x:c>
      <x:c r="D21" s="31" t="s">
        <x:v>288</x:v>
      </x:c>
      <x:c r="E21" s="31" t="s">
        <x:v>289</x:v>
      </x:c>
    </x:row>
    <x:row r="22">
      <x:c r="A22" s="32" t="s">
        <x:v>316</x:v>
      </x:c>
      <x:c r="B22" s="31" t="s">
        <x:v>289</x:v>
      </x:c>
      <x:c r="C22" s="31" t="s">
        <x:v>289</x:v>
      </x:c>
      <x:c r="D22" s="31" t="s">
        <x:v>289</x:v>
      </x:c>
      <x:c r="E22" s="31" t="s">
        <x:v>289</x:v>
      </x:c>
    </x:row>
    <x:row r="23">
      <x:c r="A23" s="32" t="s">
        <x:v>317</x:v>
      </x:c>
      <x:c r="B23" s="31" t="s">
        <x:v>290</x:v>
      </x:c>
      <x:c r="C23" s="31" t="s">
        <x:v>290</x:v>
      </x:c>
      <x:c r="D23" s="31" t="s">
        <x:v>290</x:v>
      </x:c>
      <x:c r="E23" s="31" t="s">
        <x:v>288</x:v>
      </x:c>
    </x:row>
    <x:row r="24">
      <x:c r="A24" s="32" t="s">
        <x:v>318</x:v>
      </x:c>
      <x:c r="B24" s="31" t="s">
        <x:v>288</x:v>
      </x:c>
      <x:c r="C24" s="31" t="s">
        <x:v>283</x:v>
      </x:c>
      <x:c r="D24" s="31" t="s">
        <x:v>319</x:v>
      </x:c>
      <x:c r="E24" s="31" t="s">
        <x:v>289</x:v>
      </x:c>
    </x:row>
    <x:row r="25">
      <x:c r="A25" s="32" t="s">
        <x:v>320</x:v>
      </x:c>
      <x:c r="B25" s="31" t="s">
        <x:v>288</x:v>
      </x:c>
      <x:c r="C25" s="31" t="s">
        <x:v>288</x:v>
      </x:c>
      <x:c r="D25" s="31" t="s">
        <x:v>288</x:v>
      </x:c>
      <x:c r="E25" s="31" t="s">
        <x:v>288</x:v>
      </x:c>
    </x:row>
    <x:row r="26">
      <x:c r="A26" s="32" t="s">
        <x:v>215</x:v>
      </x:c>
      <x:c r="B26" s="31" t="s">
        <x:v>321</x:v>
      </x:c>
      <x:c r="C26" s="31" t="s">
        <x:v>321</x:v>
      </x:c>
      <x:c r="D26" s="31" t="s">
        <x:v>321</x:v>
      </x:c>
      <x:c r="E26" s="31" t="s">
        <x:v>288</x:v>
      </x:c>
    </x:row>
    <x:row r="27">
      <x:c r="A27" s="30" t="s">
        <x:v>322</x:v>
      </x:c>
      <x:c r="B27" s="29" t="s">
        <x:v>283</x:v>
      </x:c>
      <x:c r="C27" s="29" t="s">
        <x:v>284</x:v>
      </x:c>
      <x:c r="D27" s="29" t="s">
        <x:v>285</x:v>
      </x:c>
      <x:c r="E27" s="29" t="s">
        <x:v>286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E75B6"/>
  </x:sheetPr>
  <x:sheetFormatPr baseColWidth="10" defaultColWidth="8.83203125" defaultRowHeight="14"/>
  <x:cols>
    <x:col min="1" max="1" width="36.1640625" customWidth="1"/>
    <x:col min="2" max="9" width="14" customWidth="1"/>
  </x:cols>
  <x:sheetData>
    <x:row r="1" ht="18">
      <x:c r="A1" s="38" t="s">
        <x:v>323</x:v>
      </x:c>
      <x:c r="B1" s="37"/>
      <x:c r="C1" s="37"/>
      <x:c r="D1" s="37"/>
      <x:c r="E1" s="37"/>
      <x:c r="F1" s="37"/>
      <x:c r="G1" s="37"/>
      <x:c r="H1" s="37"/>
      <x:c r="I1" s="37"/>
    </x:row>
    <x:row r="2">
      <x:c r="A2" s="3" t="s">
        <x:v>324</x:v>
      </x:c>
    </x:row>
    <x:row r="4" ht="15">
      <x:c r="A4" s="33" t="s">
        <x:v>325</x:v>
      </x:c>
      <x:c r="B4" s="33" t="s">
        <x:v>326</x:v>
      </x:c>
      <x:c r="C4" s="33" t="s">
        <x:v>327</x:v>
      </x:c>
      <x:c r="D4" s="33" t="s">
        <x:v>328</x:v>
      </x:c>
      <x:c r="E4" s="33" t="s">
        <x:v>329</x:v>
      </x:c>
      <x:c r="F4" s="33" t="s">
        <x:v>330</x:v>
      </x:c>
      <x:c r="G4" s="33" t="s">
        <x:v>331</x:v>
      </x:c>
      <x:c r="H4" s="33" t="s">
        <x:v>332</x:v>
      </x:c>
      <x:c r="I4" s="33" t="s">
        <x:v>333</x:v>
      </x:c>
    </x:row>
    <x:row r="5">
      <x:c r="A5" s="39" t="s">
        <x:v>334</x:v>
      </x:c>
      <x:c r="B5" s="39"/>
      <x:c r="C5" s="39"/>
      <x:c r="D5" s="39"/>
      <x:c r="E5" s="39"/>
      <x:c r="F5" s="39"/>
      <x:c r="G5" s="39"/>
      <x:c r="H5" s="39"/>
      <x:c r="I5" s="39"/>
    </x:row>
    <x:row r="6">
      <x:c r="A6" s="32" t="s">
        <x:v>335</x:v>
      </x:c>
      <x:c r="B6" s="31" t="s">
        <x:v>336</x:v>
      </x:c>
      <x:c r="C6" s="31" t="s">
        <x:v>336</x:v>
      </x:c>
      <x:c r="D6" s="31" t="s">
        <x:v>336</x:v>
      </x:c>
      <x:c r="E6" s="31" t="s">
        <x:v>336</x:v>
      </x:c>
      <x:c r="F6" s="31" t="s">
        <x:v>288</x:v>
      </x:c>
      <x:c r="G6" s="31" t="s">
        <x:v>288</x:v>
      </x:c>
      <x:c r="H6" s="31" t="s">
        <x:v>288</x:v>
      </x:c>
      <x:c r="I6" s="31" t="s">
        <x:v>289</x:v>
      </x:c>
    </x:row>
    <x:row r="7">
      <x:c r="A7" s="32" t="s">
        <x:v>337</x:v>
      </x:c>
      <x:c r="B7" s="31" t="s">
        <x:v>338</x:v>
      </x:c>
      <x:c r="C7" s="31" t="s">
        <x:v>339</x:v>
      </x:c>
      <x:c r="D7" s="31" t="s">
        <x:v>339</x:v>
      </x:c>
      <x:c r="E7" s="31" t="s">
        <x:v>339</x:v>
      </x:c>
      <x:c r="F7" s="31" t="s">
        <x:v>283</x:v>
      </x:c>
      <x:c r="G7" s="31" t="s">
        <x:v>319</x:v>
      </x:c>
      <x:c r="H7" s="31" t="s">
        <x:v>319</x:v>
      </x:c>
      <x:c r="I7" s="31" t="s">
        <x:v>283</x:v>
      </x:c>
    </x:row>
    <x:row r="8">
      <x:c r="A8" s="32" t="s">
        <x:v>340</x:v>
      </x:c>
      <x:c r="B8" s="31" t="s">
        <x:v>339</x:v>
      </x:c>
      <x:c r="C8" s="31" t="s">
        <x:v>338</x:v>
      </x:c>
      <x:c r="D8" s="31" t="s">
        <x:v>338</x:v>
      </x:c>
      <x:c r="E8" s="31" t="s">
        <x:v>338</x:v>
      </x:c>
      <x:c r="F8" s="40" t="s">
        <x:v>284</x:v>
      </x:c>
      <x:c r="G8" s="40" t="s">
        <x:v>300</x:v>
      </x:c>
      <x:c r="H8" s="40" t="s">
        <x:v>301</x:v>
      </x:c>
      <x:c r="I8" s="40" t="s">
        <x:v>341</x:v>
      </x:c>
    </x:row>
    <x:row r="9">
      <x:c r="A9" s="39" t="s">
        <x:v>342</x:v>
      </x:c>
      <x:c r="B9" s="39"/>
      <x:c r="C9" s="39"/>
      <x:c r="D9" s="39"/>
      <x:c r="E9" s="39"/>
      <x:c r="F9" s="39"/>
      <x:c r="G9" s="39"/>
      <x:c r="H9" s="39"/>
      <x:c r="I9" s="39"/>
    </x:row>
    <x:row r="10">
      <x:c r="A10" s="32" t="s">
        <x:v>343</x:v>
      </x:c>
      <x:c r="B10" s="31" t="s">
        <x:v>344</x:v>
      </x:c>
      <x:c r="C10" s="31" t="s">
        <x:v>344</x:v>
      </x:c>
      <x:c r="D10" s="31" t="s">
        <x:v>344</x:v>
      </x:c>
      <x:c r="E10" s="31" t="s">
        <x:v>344</x:v>
      </x:c>
      <x:c r="F10" s="31" t="s">
        <x:v>283</x:v>
      </x:c>
      <x:c r="G10" s="31" t="s">
        <x:v>289</x:v>
      </x:c>
      <x:c r="H10" s="31" t="s">
        <x:v>319</x:v>
      </x:c>
      <x:c r="I10" s="31" t="s">
        <x:v>319</x:v>
      </x:c>
    </x:row>
    <x:row r="11">
      <x:c r="A11" s="32" t="s">
        <x:v>345</x:v>
      </x:c>
      <x:c r="B11" s="31" t="s">
        <x:v>346</x:v>
      </x:c>
      <x:c r="C11" s="31" t="s">
        <x:v>344</x:v>
      </x:c>
      <x:c r="D11" s="31" t="s">
        <x:v>347</x:v>
      </x:c>
      <x:c r="E11" s="31" t="s">
        <x:v>344</x:v>
      </x:c>
      <x:c r="F11" s="31" t="s">
        <x:v>288</x:v>
      </x:c>
      <x:c r="G11" s="31" t="s">
        <x:v>289</x:v>
      </x:c>
      <x:c r="H11" s="31" t="s">
        <x:v>283</x:v>
      </x:c>
      <x:c r="I11" s="31" t="s">
        <x:v>289</x:v>
      </x:c>
    </x:row>
    <x:row r="12">
      <x:c r="A12" s="32" t="s">
        <x:v>348</x:v>
      </x:c>
      <x:c r="B12" s="31" t="s">
        <x:v>349</x:v>
      </x:c>
      <x:c r="C12" s="31" t="s">
        <x:v>349</x:v>
      </x:c>
      <x:c r="D12" s="31" t="s">
        <x:v>349</x:v>
      </x:c>
      <x:c r="E12" s="31" t="s">
        <x:v>349</x:v>
      </x:c>
      <x:c r="F12" s="31" t="s">
        <x:v>288</x:v>
      </x:c>
      <x:c r="G12" s="31" t="s">
        <x:v>288</x:v>
      </x:c>
      <x:c r="H12" s="31" t="s">
        <x:v>283</x:v>
      </x:c>
      <x:c r="I12" s="31" t="s">
        <x:v>304</x:v>
      </x:c>
    </x:row>
    <x:row r="14">
      <x:c r="A14" s="4" t="s">
        <x:v>350</x:v>
      </x:c>
    </x:row>
    <x:row r="15" ht="15">
      <x:c r="A15" s="33" t="s">
        <x:v>325</x:v>
      </x:c>
      <x:c r="B15" s="33" t="s">
        <x:v>351</x:v>
      </x:c>
      <x:c r="C15" s="33" t="s">
        <x:v>352</x:v>
      </x:c>
      <x:c r="D15" s="33" t="s">
        <x:v>353</x:v>
      </x:c>
      <x:c r="E15" s="33" t="s">
        <x:v>354</x:v>
      </x:c>
    </x:row>
    <x:row r="16">
      <x:c r="A16" s="32" t="s">
        <x:v>335</x:v>
      </x:c>
      <x:c r="B16" s="31" t="s">
        <x:v>288</x:v>
      </x:c>
      <x:c r="C16" s="31" t="s">
        <x:v>288</x:v>
      </x:c>
      <x:c r="D16" s="31" t="s">
        <x:v>290</x:v>
      </x:c>
      <x:c r="E16" s="31" t="s">
        <x:v>288</x:v>
      </x:c>
    </x:row>
    <x:row r="17">
      <x:c r="A17" s="32" t="s">
        <x:v>337</x:v>
      </x:c>
      <x:c r="B17" s="31" t="s">
        <x:v>283</x:v>
      </x:c>
      <x:c r="C17" s="31" t="s">
        <x:v>355</x:v>
      </x:c>
      <x:c r="D17" s="31" t="s">
        <x:v>321</x:v>
      </x:c>
      <x:c r="E17" s="31" t="s">
        <x:v>319</x:v>
      </x:c>
    </x:row>
    <x:row r="18">
      <x:c r="A18" s="32" t="s">
        <x:v>340</x:v>
      </x:c>
      <x:c r="B18" s="31" t="s">
        <x:v>304</x:v>
      </x:c>
      <x:c r="C18" s="31" t="s">
        <x:v>319</x:v>
      </x:c>
      <x:c r="D18" s="31" t="s">
        <x:v>288</x:v>
      </x:c>
      <x:c r="E18" s="31" t="s">
        <x:v>300</x:v>
      </x:c>
    </x:row>
    <x:row r="19">
      <x:c r="A19" s="32" t="s">
        <x:v>343</x:v>
      </x:c>
      <x:c r="B19" s="31" t="s">
        <x:v>289</x:v>
      </x:c>
      <x:c r="C19" s="31" t="s">
        <x:v>290</x:v>
      </x:c>
      <x:c r="D19" s="31" t="s">
        <x:v>290</x:v>
      </x:c>
      <x:c r="E19" s="31" t="s">
        <x:v>304</x:v>
      </x:c>
    </x:row>
    <x:row r="20">
      <x:c r="A20" s="32" t="s">
        <x:v>345</x:v>
      </x:c>
      <x:c r="B20" s="31" t="s">
        <x:v>356</x:v>
      </x:c>
      <x:c r="C20" s="31" t="s">
        <x:v>289</x:v>
      </x:c>
      <x:c r="D20" s="31" t="s">
        <x:v>288</x:v>
      </x:c>
      <x:c r="E20" s="31" t="s">
        <x:v>304</x:v>
      </x:c>
    </x:row>
    <x:row r="21">
      <x:c r="A21" s="32" t="s">
        <x:v>348</x:v>
      </x:c>
      <x:c r="B21" s="31" t="s">
        <x:v>290</x:v>
      </x:c>
      <x:c r="C21" s="31" t="s">
        <x:v>357</x:v>
      </x:c>
      <x:c r="D21" s="31" t="s">
        <x:v>288</x:v>
      </x:c>
      <x:c r="E21" s="31" t="s">
        <x:v>283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48235"/>
  </x:sheetPr>
  <x:sheetFormatPr baseColWidth="10" defaultColWidth="8.83203125" defaultRowHeight="14"/>
  <x:cols>
    <x:col min="1" max="1" width="24" customWidth="1"/>
    <x:col min="2" max="5" width="18" customWidth="1"/>
  </x:cols>
  <x:sheetData>
    <x:row r="1" ht="18">
      <x:c r="A1" s="38" t="s">
        <x:v>358</x:v>
      </x:c>
      <x:c r="B1" s="37"/>
      <x:c r="C1" s="37"/>
      <x:c r="D1" s="37"/>
      <x:c r="E1" s="37"/>
      <x:c r="F1" s="37"/>
    </x:row>
    <x:row r="3">
      <x:c r="A3" s="39" t="s">
        <x:v>212</x:v>
      </x:c>
      <x:c r="B3" s="39"/>
      <x:c r="C3" s="39"/>
      <x:c r="D3" s="39"/>
      <x:c r="E3" s="39"/>
      <x:c r="F3" s="39"/>
    </x:row>
    <x:row r="4" ht="15">
      <x:c r="A4" s="33" t="s">
        <x:v>359</x:v>
      </x:c>
      <x:c r="B4" s="33" t="s">
        <x:v>277</x:v>
      </x:c>
      <x:c r="C4" s="33" t="s">
        <x:v>278</x:v>
      </x:c>
      <x:c r="D4" s="33" t="s">
        <x:v>279</x:v>
      </x:c>
      <x:c r="E4" s="33" t="s">
        <x:v>280</x:v>
      </x:c>
    </x:row>
    <x:row r="5">
      <x:c r="A5" s="43" t="s">
        <x:v>360</x:v>
      </x:c>
      <x:c r="B5" s="31">
        <x:v>3846</x:v>
      </x:c>
      <x:c r="C5" s="31">
        <x:v>3884</x:v>
      </x:c>
      <x:c r="D5" s="31">
        <x:v>4025</x:v>
      </x:c>
      <x:c r="E5" s="31">
        <x:v>4083</x:v>
      </x:c>
    </x:row>
    <x:row r="6">
      <x:c r="A6" s="43" t="s">
        <x:v>361</x:v>
      </x:c>
      <x:c r="B6" s="31">
        <x:v>1199</x:v>
      </x:c>
      <x:c r="C6" s="31">
        <x:v>1202</x:v>
      </x:c>
      <x:c r="D6" s="31">
        <x:v>1272</x:v>
      </x:c>
      <x:c r="E6" s="31">
        <x:v>1272</x:v>
      </x:c>
    </x:row>
    <x:row r="7">
      <x:c r="A7" s="43" t="s">
        <x:v>362</x:v>
      </x:c>
      <x:c r="B7" s="31" t="s">
        <x:v>363</x:v>
      </x:c>
      <x:c r="C7" s="31" t="s">
        <x:v>364</x:v>
      </x:c>
      <x:c r="D7" s="31" t="s">
        <x:v>365</x:v>
      </x:c>
      <x:c r="E7" s="31" t="s">
        <x:v>363</x:v>
      </x:c>
    </x:row>
    <x:row r="8">
      <x:c r="A8" s="43" t="s">
        <x:v>366</x:v>
      </x:c>
      <x:c r="B8" s="31" t="s">
        <x:v>284</x:v>
      </x:c>
      <x:c r="C8" s="31" t="s">
        <x:v>285</x:v>
      </x:c>
      <x:c r="D8" s="31" t="s">
        <x:v>301</x:v>
      </x:c>
      <x:c r="E8" s="31" t="s">
        <x:v>300</x:v>
      </x:c>
    </x:row>
    <x:row r="9">
      <x:c r="A9" s="42" t="s">
        <x:v>367</x:v>
      </x:c>
      <x:c r="B9" s="31" t="s">
        <x:v>288</x:v>
      </x:c>
      <x:c r="C9" s="31" t="s">
        <x:v>288</x:v>
      </x:c>
      <x:c r="D9" s="31" t="s">
        <x:v>289</x:v>
      </x:c>
      <x:c r="E9" s="31" t="s">
        <x:v>289</x:v>
      </x:c>
    </x:row>
    <x:row r="10">
      <x:c r="A10" s="42" t="s">
        <x:v>368</x:v>
      </x:c>
      <x:c r="B10" s="31" t="s">
        <x:v>283</x:v>
      </x:c>
      <x:c r="C10" s="31" t="s">
        <x:v>283</x:v>
      </x:c>
      <x:c r="D10" s="31" t="s">
        <x:v>304</x:v>
      </x:c>
      <x:c r="E10" s="31" t="s">
        <x:v>289</x:v>
      </x:c>
    </x:row>
    <x:row r="11">
      <x:c r="A11" s="42" t="s">
        <x:v>369</x:v>
      </x:c>
      <x:c r="B11" s="31" t="s">
        <x:v>289</x:v>
      </x:c>
      <x:c r="C11" s="31" t="s">
        <x:v>289</x:v>
      </x:c>
      <x:c r="D11" s="31" t="s">
        <x:v>289</x:v>
      </x:c>
      <x:c r="E11" s="31" t="s">
        <x:v>290</x:v>
      </x:c>
    </x:row>
    <x:row r="12">
      <x:c r="A12" s="42" t="s">
        <x:v>370</x:v>
      </x:c>
      <x:c r="B12" s="31" t="s">
        <x:v>290</x:v>
      </x:c>
      <x:c r="C12" s="31" t="s">
        <x:v>288</x:v>
      </x:c>
      <x:c r="D12" s="31" t="s">
        <x:v>289</x:v>
      </x:c>
      <x:c r="E12" s="31" t="s">
        <x:v>289</x:v>
      </x:c>
    </x:row>
    <x:row r="13">
      <x:c r="A13" s="42" t="s">
        <x:v>371</x:v>
      </x:c>
      <x:c r="B13" s="31" t="s">
        <x:v>290</x:v>
      </x:c>
      <x:c r="C13" s="31" t="s">
        <x:v>288</x:v>
      </x:c>
      <x:c r="D13" s="31" t="s">
        <x:v>290</x:v>
      </x:c>
      <x:c r="E13" s="31" t="s">
        <x:v>288</x:v>
      </x:c>
    </x:row>
    <x:row r="14">
      <x:c r="A14" s="41" t="s">
        <x:v>372</x:v>
      </x:c>
      <x:c r="B14" s="37"/>
      <x:c r="C14" s="37"/>
      <x:c r="D14" s="37"/>
      <x:c r="E14" s="37"/>
    </x:row>
    <x:row r="16">
      <x:c r="A16" s="39" t="s">
        <x:v>214</x:v>
      </x:c>
      <x:c r="B16" s="39"/>
      <x:c r="C16" s="39"/>
      <x:c r="D16" s="39"/>
      <x:c r="E16" s="39"/>
      <x:c r="F16" s="39"/>
    </x:row>
    <x:row r="17" ht="15">
      <x:c r="A17" s="33" t="s">
        <x:v>359</x:v>
      </x:c>
      <x:c r="B17" s="33" t="s">
        <x:v>277</x:v>
      </x:c>
      <x:c r="C17" s="33" t="s">
        <x:v>278</x:v>
      </x:c>
      <x:c r="D17" s="33" t="s">
        <x:v>279</x:v>
      </x:c>
      <x:c r="E17" s="33" t="s">
        <x:v>280</x:v>
      </x:c>
    </x:row>
    <x:row r="18">
      <x:c r="A18" s="43" t="s">
        <x:v>360</x:v>
      </x:c>
      <x:c r="B18" s="31">
        <x:v>1741</x:v>
      </x:c>
      <x:c r="C18" s="31">
        <x:v>1726</x:v>
      </x:c>
      <x:c r="D18" s="31">
        <x:v>1701</x:v>
      </x:c>
      <x:c r="E18" s="31">
        <x:v>1870</x:v>
      </x:c>
    </x:row>
    <x:row r="19">
      <x:c r="A19" s="43" t="s">
        <x:v>361</x:v>
      </x:c>
      <x:c r="B19" s="31">
        <x:v>490</x:v>
      </x:c>
      <x:c r="C19" s="31">
        <x:v>502</x:v>
      </x:c>
      <x:c r="D19" s="31">
        <x:v>477</x:v>
      </x:c>
      <x:c r="E19" s="31">
        <x:v>531</x:v>
      </x:c>
    </x:row>
    <x:row r="20">
      <x:c r="A20" s="43" t="s">
        <x:v>362</x:v>
      </x:c>
      <x:c r="B20" s="31" t="s">
        <x:v>373</x:v>
      </x:c>
      <x:c r="C20" s="31" t="s">
        <x:v>374</x:v>
      </x:c>
      <x:c r="D20" s="31" t="s">
        <x:v>375</x:v>
      </x:c>
      <x:c r="E20" s="31" t="s">
        <x:v>376</x:v>
      </x:c>
    </x:row>
    <x:row r="21">
      <x:c r="A21" s="43" t="s">
        <x:v>366</x:v>
      </x:c>
      <x:c r="B21" s="31" t="s">
        <x:v>288</x:v>
      </x:c>
      <x:c r="C21" s="31" t="s">
        <x:v>283</x:v>
      </x:c>
      <x:c r="D21" s="31" t="s">
        <x:v>377</x:v>
      </x:c>
      <x:c r="E21" s="31" t="s">
        <x:v>378</x:v>
      </x:c>
    </x:row>
    <x:row r="22">
      <x:c r="A22" s="42" t="s">
        <x:v>367</x:v>
      </x:c>
      <x:c r="B22" s="31" t="s">
        <x:v>290</x:v>
      </x:c>
      <x:c r="C22" s="31" t="s">
        <x:v>289</x:v>
      </x:c>
      <x:c r="D22" s="31" t="s">
        <x:v>284</x:v>
      </x:c>
      <x:c r="E22" s="31" t="s">
        <x:v>284</x:v>
      </x:c>
    </x:row>
    <x:row r="23">
      <x:c r="A23" s="42" t="s">
        <x:v>368</x:v>
      </x:c>
      <x:c r="B23" s="31" t="s">
        <x:v>321</x:v>
      </x:c>
      <x:c r="C23" s="31" t="s">
        <x:v>290</x:v>
      </x:c>
      <x:c r="D23" s="31" t="s">
        <x:v>290</x:v>
      </x:c>
      <x:c r="E23" s="31" t="s">
        <x:v>289</x:v>
      </x:c>
    </x:row>
    <x:row r="24">
      <x:c r="A24" s="42" t="s">
        <x:v>369</x:v>
      </x:c>
      <x:c r="B24" s="31" t="s">
        <x:v>290</x:v>
      </x:c>
      <x:c r="C24" s="31" t="s">
        <x:v>321</x:v>
      </x:c>
      <x:c r="D24" s="31" t="s">
        <x:v>321</x:v>
      </x:c>
      <x:c r="E24" s="31" t="s">
        <x:v>289</x:v>
      </x:c>
    </x:row>
    <x:row r="25">
      <x:c r="A25" s="42" t="s">
        <x:v>370</x:v>
      </x:c>
      <x:c r="B25" s="31" t="s">
        <x:v>321</x:v>
      </x:c>
      <x:c r="C25" s="31" t="s">
        <x:v>290</x:v>
      </x:c>
      <x:c r="D25" s="31" t="s">
        <x:v>304</x:v>
      </x:c>
      <x:c r="E25" s="31" t="s">
        <x:v>283</x:v>
      </x:c>
    </x:row>
    <x:row r="26">
      <x:c r="A26" s="42" t="s">
        <x:v>371</x:v>
      </x:c>
      <x:c r="B26" s="31" t="s">
        <x:v>283</x:v>
      </x:c>
      <x:c r="C26" s="31" t="s">
        <x:v>289</x:v>
      </x:c>
      <x:c r="D26" s="31" t="s">
        <x:v>289</x:v>
      </x:c>
      <x:c r="E26" s="31" t="s">
        <x:v>290</x:v>
      </x:c>
    </x:row>
    <x:row r="27">
      <x:c r="A27" s="41" t="s">
        <x:v>379</x:v>
      </x:c>
      <x:c r="B27" s="37"/>
      <x:c r="C27" s="37"/>
      <x:c r="D27" s="37"/>
      <x:c r="E27" s="37"/>
    </x:row>
    <x:row r="29">
      <x:c r="A29" s="39" t="s">
        <x:v>213</x:v>
      </x:c>
      <x:c r="B29" s="39"/>
      <x:c r="C29" s="39"/>
      <x:c r="D29" s="39"/>
      <x:c r="E29" s="39"/>
      <x:c r="F29" s="39"/>
    </x:row>
    <x:row r="30" ht="15">
      <x:c r="A30" s="33" t="s">
        <x:v>359</x:v>
      </x:c>
      <x:c r="B30" s="33" t="s">
        <x:v>277</x:v>
      </x:c>
      <x:c r="C30" s="33" t="s">
        <x:v>278</x:v>
      </x:c>
      <x:c r="D30" s="33" t="s">
        <x:v>279</x:v>
      </x:c>
      <x:c r="E30" s="33" t="s">
        <x:v>280</x:v>
      </x:c>
    </x:row>
    <x:row r="31">
      <x:c r="A31" s="43" t="s">
        <x:v>360</x:v>
      </x:c>
      <x:c r="B31" s="31">
        <x:v>2178</x:v>
      </x:c>
      <x:c r="C31" s="31">
        <x:v>2178</x:v>
      </x:c>
      <x:c r="D31" s="31">
        <x:v>2171</x:v>
      </x:c>
      <x:c r="E31" s="31">
        <x:v>2303</x:v>
      </x:c>
    </x:row>
    <x:row r="32">
      <x:c r="A32" s="43" t="s">
        <x:v>361</x:v>
      </x:c>
      <x:c r="B32" s="31">
        <x:v>781</x:v>
      </x:c>
      <x:c r="C32" s="31">
        <x:v>772</x:v>
      </x:c>
      <x:c r="D32" s="31">
        <x:v>784</x:v>
      </x:c>
      <x:c r="E32" s="31">
        <x:v>823</x:v>
      </x:c>
    </x:row>
    <x:row r="33">
      <x:c r="A33" s="43" t="s">
        <x:v>362</x:v>
      </x:c>
      <x:c r="B33" s="31" t="s">
        <x:v>380</x:v>
      </x:c>
      <x:c r="C33" s="31" t="s">
        <x:v>381</x:v>
      </x:c>
      <x:c r="D33" s="31" t="s">
        <x:v>382</x:v>
      </x:c>
      <x:c r="E33" s="31" t="s">
        <x:v>383</x:v>
      </x:c>
    </x:row>
    <x:row r="34">
      <x:c r="A34" s="43" t="s">
        <x:v>366</x:v>
      </x:c>
      <x:c r="B34" s="31" t="s">
        <x:v>283</x:v>
      </x:c>
      <x:c r="C34" s="31" t="s">
        <x:v>284</x:v>
      </x:c>
      <x:c r="D34" s="31" t="s">
        <x:v>300</x:v>
      </x:c>
      <x:c r="E34" s="31" t="s">
        <x:v>300</x:v>
      </x:c>
    </x:row>
    <x:row r="35">
      <x:c r="A35" s="42" t="s">
        <x:v>367</x:v>
      </x:c>
      <x:c r="B35" s="31" t="s">
        <x:v>355</x:v>
      </x:c>
      <x:c r="C35" s="31" t="s">
        <x:v>355</x:v>
      </x:c>
      <x:c r="D35" s="31" t="s">
        <x:v>355</x:v>
      </x:c>
      <x:c r="E35" s="31" t="s">
        <x:v>321</x:v>
      </x:c>
    </x:row>
    <x:row r="36">
      <x:c r="A36" s="42" t="s">
        <x:v>368</x:v>
      </x:c>
      <x:c r="B36" s="31" t="s">
        <x:v>289</x:v>
      </x:c>
      <x:c r="C36" s="31" t="s">
        <x:v>288</x:v>
      </x:c>
      <x:c r="D36" s="31" t="s">
        <x:v>288</x:v>
      </x:c>
      <x:c r="E36" s="31" t="s">
        <x:v>289</x:v>
      </x:c>
    </x:row>
    <x:row r="37">
      <x:c r="A37" s="42" t="s">
        <x:v>369</x:v>
      </x:c>
      <x:c r="B37" s="31" t="s">
        <x:v>321</x:v>
      </x:c>
      <x:c r="C37" s="31" t="s">
        <x:v>321</x:v>
      </x:c>
      <x:c r="D37" s="31" t="s">
        <x:v>357</x:v>
      </x:c>
      <x:c r="E37" s="31" t="s">
        <x:v>289</x:v>
      </x:c>
    </x:row>
    <x:row r="38">
      <x:c r="A38" s="42" t="s">
        <x:v>370</x:v>
      </x:c>
      <x:c r="B38" s="31" t="s">
        <x:v>319</x:v>
      </x:c>
      <x:c r="C38" s="31" t="s">
        <x:v>285</x:v>
      </x:c>
      <x:c r="D38" s="31" t="s">
        <x:v>301</x:v>
      </x:c>
      <x:c r="E38" s="31" t="s">
        <x:v>283</x:v>
      </x:c>
    </x:row>
    <x:row r="39">
      <x:c r="A39" s="42" t="s">
        <x:v>371</x:v>
      </x:c>
      <x:c r="B39" s="31" t="s">
        <x:v>290</x:v>
      </x:c>
      <x:c r="C39" s="31" t="s">
        <x:v>288</x:v>
      </x:c>
      <x:c r="D39" s="31" t="s">
        <x:v>288</x:v>
      </x:c>
      <x:c r="E39" s="31" t="s">
        <x:v>288</x:v>
      </x:c>
    </x:row>
    <x:row r="40">
      <x:c r="A40" s="41" t="s">
        <x:v>384</x:v>
      </x:c>
      <x:c r="B40" s="37"/>
      <x:c r="C40" s="37"/>
      <x:c r="D40" s="37"/>
      <x:c r="E40" s="37"/>
    </x:row>
  </x:sheetData>
  <x:mergeCells>
    <x:mergeCell ref="A40:E40"/>
    <x:mergeCell ref="A1:F1"/>
    <x:mergeCell ref="A27:E27"/>
    <x:mergeCell ref="A14:E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F8F00"/>
  </x:sheetPr>
  <x:sheetFormatPr baseColWidth="10" defaultColWidth="8.83203125" defaultRowHeight="14"/>
  <x:cols>
    <x:col min="1" max="1" width="24" customWidth="1"/>
    <x:col min="2" max="5" width="18" customWidth="1"/>
  </x:cols>
  <x:sheetData>
    <x:row r="1" ht="18">
      <x:c r="A1" s="38" t="s">
        <x:v>385</x:v>
      </x:c>
      <x:c r="B1" s="37"/>
      <x:c r="C1" s="37"/>
      <x:c r="D1" s="37"/>
      <x:c r="E1" s="37"/>
      <x:c r="F1" s="37"/>
    </x:row>
    <x:row r="3">
      <x:c r="A3" s="39" t="s">
        <x:v>215</x:v>
      </x:c>
      <x:c r="B3" s="39"/>
      <x:c r="C3" s="39"/>
      <x:c r="D3" s="39"/>
      <x:c r="E3" s="39"/>
    </x:row>
    <x:row r="4" ht="15">
      <x:c r="A4" s="33" t="s">
        <x:v>359</x:v>
      </x:c>
      <x:c r="B4" s="33" t="s">
        <x:v>277</x:v>
      </x:c>
      <x:c r="C4" s="33" t="s">
        <x:v>278</x:v>
      </x:c>
      <x:c r="D4" s="33" t="s">
        <x:v>279</x:v>
      </x:c>
      <x:c r="E4" s="33" t="s">
        <x:v>280</x:v>
      </x:c>
    </x:row>
    <x:row r="5">
      <x:c r="A5" s="32" t="s">
        <x:v>360</x:v>
      </x:c>
      <x:c r="B5" s="31">
        <x:v>519</x:v>
      </x:c>
      <x:c r="C5" s="31">
        <x:v>615</x:v>
      </x:c>
      <x:c r="D5" s="31">
        <x:v>517</x:v>
      </x:c>
      <x:c r="E5" s="31">
        <x:v>625</x:v>
      </x:c>
    </x:row>
    <x:row r="6">
      <x:c r="A6" s="32" t="s">
        <x:v>361</x:v>
      </x:c>
      <x:c r="B6" s="31">
        <x:v>101</x:v>
      </x:c>
      <x:c r="C6" s="31">
        <x:v>103</x:v>
      </x:c>
      <x:c r="D6" s="31">
        <x:v>101</x:v>
      </x:c>
      <x:c r="E6" s="31">
        <x:v>100</x:v>
      </x:c>
    </x:row>
    <x:row r="7">
      <x:c r="A7" s="32" t="s">
        <x:v>362</x:v>
      </x:c>
      <x:c r="B7" s="31" t="s">
        <x:v>386</x:v>
      </x:c>
      <x:c r="C7" s="31" t="s">
        <x:v>387</x:v>
      </x:c>
      <x:c r="D7" s="31" t="s">
        <x:v>386</x:v>
      </x:c>
      <x:c r="E7" s="31" t="s">
        <x:v>388</x:v>
      </x:c>
    </x:row>
    <x:row r="8">
      <x:c r="A8" s="32" t="s">
        <x:v>389</x:v>
      </x:c>
      <x:c r="B8" s="31">
        <x:v>269</x:v>
      </x:c>
      <x:c r="C8" s="31">
        <x:v>434</x:v>
      </x:c>
      <x:c r="D8" s="31">
        <x:v>640</x:v>
      </x:c>
      <x:c r="E8" s="31">
        <x:v>871</x:v>
      </x:c>
    </x:row>
    <x:row r="9">
      <x:c r="A9" s="32" t="s">
        <x:v>390</x:v>
      </x:c>
      <x:c r="B9" s="31">
        <x:v>2907</x:v>
      </x:c>
      <x:c r="C9" s="31">
        <x:v>2719</x:v>
      </x:c>
      <x:c r="D9" s="31">
        <x:v>2802</x:v>
      </x:c>
      <x:c r="E9" s="31">
        <x:v>3016</x:v>
      </x:c>
    </x:row>
    <x:row r="11">
      <x:c r="A11" s="39" t="s">
        <x:v>391</x:v>
      </x:c>
      <x:c r="B11" s="39"/>
      <x:c r="C11" s="39"/>
      <x:c r="D11" s="39"/>
      <x:c r="E11" s="39"/>
    </x:row>
    <x:row r="12" ht="15">
      <x:c r="A12" s="33" t="s">
        <x:v>359</x:v>
      </x:c>
      <x:c r="B12" s="33" t="s">
        <x:v>277</x:v>
      </x:c>
      <x:c r="C12" s="33" t="s">
        <x:v>278</x:v>
      </x:c>
      <x:c r="D12" s="33" t="s">
        <x:v>279</x:v>
      </x:c>
      <x:c r="E12" s="33" t="s">
        <x:v>280</x:v>
      </x:c>
    </x:row>
    <x:row r="13">
      <x:c r="A13" s="32" t="s">
        <x:v>360</x:v>
      </x:c>
      <x:c r="B13" s="31">
        <x:v>331</x:v>
      </x:c>
      <x:c r="C13" s="31">
        <x:v>361</x:v>
      </x:c>
      <x:c r="D13" s="31">
        <x:v>367</x:v>
      </x:c>
      <x:c r="E13" s="31">
        <x:v>408</x:v>
      </x:c>
    </x:row>
    <x:row r="14">
      <x:c r="A14" s="32" t="s">
        <x:v>361</x:v>
      </x:c>
      <x:c r="B14" s="31">
        <x:v>-13</x:v>
      </x:c>
      <x:c r="C14" s="31">
        <x:v>6</x:v>
      </x:c>
      <x:c r="D14" s="31">
        <x:v>-4</x:v>
      </x:c>
      <x:c r="E14" s="31">
        <x:v>18</x:v>
      </x:c>
    </x:row>
    <x:row r="15">
      <x:c r="A15" s="32" t="s">
        <x:v>362</x:v>
      </x:c>
      <x:c r="B15" s="31" t="s">
        <x:v>392</x:v>
      </x:c>
      <x:c r="C15" s="31" t="s">
        <x:v>393</x:v>
      </x:c>
      <x:c r="D15" s="31" t="s">
        <x:v>394</x:v>
      </x:c>
      <x:c r="E15" s="31" t="s">
        <x:v>395</x:v>
      </x:c>
    </x:row>
    <x:row r="16">
      <x:c r="A16" s="32" t="s">
        <x:v>396</x:v>
      </x:c>
      <x:c r="B16" s="31" t="s">
        <x:v>397</x:v>
      </x:c>
      <x:c r="C16" s="31" t="s">
        <x:v>397</x:v>
      </x:c>
      <x:c r="D16" s="31" t="s">
        <x:v>398</x:v>
      </x:c>
      <x:c r="E16" s="31" t="s">
        <x:v>399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00000"/>
  </x:sheetPr>
  <x:sheetFormatPr baseColWidth="10" defaultColWidth="8.83203125" defaultRowHeight="14"/>
  <x:cols>
    <x:col min="1" max="1" width="30" customWidth="1"/>
    <x:col min="2" max="5" width="18" customWidth="1"/>
  </x:cols>
  <x:sheetData>
    <x:row r="1" ht="18">
      <x:c r="A1" s="38" t="s">
        <x:v>400</x:v>
      </x:c>
      <x:c r="B1" s="37"/>
      <x:c r="C1" s="37"/>
      <x:c r="D1" s="37"/>
      <x:c r="E1" s="37"/>
      <x:c r="F1" s="37"/>
    </x:row>
    <x:row r="3">
      <x:c r="A3" s="39" t="s">
        <x:v>401</x:v>
      </x:c>
      <x:c r="B3" s="39"/>
      <x:c r="C3" s="39"/>
      <x:c r="D3" s="39"/>
      <x:c r="E3" s="39"/>
    </x:row>
    <x:row r="4" ht="15">
      <x:c r="A4" s="33" t="s">
        <x:v>359</x:v>
      </x:c>
      <x:c r="B4" s="33" t="s">
        <x:v>277</x:v>
      </x:c>
      <x:c r="C4" s="33" t="s">
        <x:v>278</x:v>
      </x:c>
      <x:c r="D4" s="33" t="s">
        <x:v>279</x:v>
      </x:c>
      <x:c r="E4" s="33" t="s">
        <x:v>280</x:v>
      </x:c>
    </x:row>
    <x:row r="5">
      <x:c r="A5" s="32" t="s">
        <x:v>402</x:v>
      </x:c>
      <x:c r="B5" s="31">
        <x:v>10</x:v>
      </x:c>
      <x:c r="C5" s="31">
        <x:v>10</x:v>
      </x:c>
      <x:c r="D5" s="31">
        <x:v>9.9</x:v>
      </x:c>
      <x:c r="E5" s="31">
        <x:v>11.1</x:v>
      </x:c>
    </x:row>
    <x:row r="6">
      <x:c r="A6" s="44" t="s">
        <x:v>403</x:v>
      </x:c>
      <x:c r="B6" s="31">
        <x:v>7.1</x:v>
      </x:c>
      <x:c r="C6" s="31">
        <x:v>7.3</x:v>
      </x:c>
      <x:c r="D6" s="31">
        <x:v>7.1</x:v>
      </x:c>
      <x:c r="E6" s="31">
        <x:v>8.1</x:v>
      </x:c>
    </x:row>
    <x:row r="7">
      <x:c r="A7" s="44" t="s">
        <x:v>404</x:v>
      </x:c>
      <x:c r="B7" s="31">
        <x:v>2.9</x:v>
      </x:c>
      <x:c r="C7" s="31">
        <x:v>2.7</x:v>
      </x:c>
      <x:c r="D7" s="31">
        <x:v>2.8</x:v>
      </x:c>
      <x:c r="E7" s="31">
        <x:v>3</x:v>
      </x:c>
    </x:row>
    <x:row r="8">
      <x:c r="A8" s="32" t="s">
        <x:v>405</x:v>
      </x:c>
      <x:c r="B8" s="31" t="s">
        <x:v>406</x:v>
      </x:c>
      <x:c r="C8" s="31" t="s">
        <x:v>406</x:v>
      </x:c>
      <x:c r="D8" s="31" t="s">
        <x:v>291</x:v>
      </x:c>
      <x:c r="E8" s="31" t="s">
        <x:v>291</x:v>
      </x:c>
    </x:row>
    <x:row r="10">
      <x:c r="A10" s="39" t="s">
        <x:v>407</x:v>
      </x:c>
      <x:c r="B10" s="39"/>
      <x:c r="C10" s="39"/>
      <x:c r="D10" s="39"/>
      <x:c r="E10" s="39"/>
    </x:row>
    <x:row r="11" ht="15">
      <x:c r="A11" s="33" t="s">
        <x:v>359</x:v>
      </x:c>
      <x:c r="B11" s="33" t="s">
        <x:v>408</x:v>
      </x:c>
      <x:c r="C11" s="33" t="s">
        <x:v>281</x:v>
      </x:c>
      <x:c r="D11" s="33" t="s">
        <x:v>409</x:v>
      </x:c>
      <x:c r="E11" s="33" t="s">
        <x:v>410</x:v>
      </x:c>
    </x:row>
    <x:row r="12">
      <x:c r="A12" s="32" t="s">
        <x:v>411</x:v>
      </x:c>
      <x:c r="B12" s="31">
        <x:v>4.2</x:v>
      </x:c>
      <x:c r="C12" s="31">
        <x:v>5.7</x:v>
      </x:c>
      <x:c r="D12" s="31">
        <x:v>1.5</x:v>
      </x:c>
      <x:c r="E12" s="31">
        <x:v>3.2</x:v>
      </x:c>
    </x:row>
    <x:row r="13">
      <x:c r="A13" s="44" t="s">
        <x:v>412</x:v>
      </x:c>
      <x:c r="B13" s="31">
        <x:v>2.2999999999999998</x:v>
      </x:c>
      <x:c r="C13" s="31">
        <x:v>3.1</x:v>
      </x:c>
      <x:c r="D13" s="31">
        <x:v>0.8</x:v>
      </x:c>
      <x:c r="E13" s="31">
        <x:v>1.9</x:v>
      </x:c>
    </x:row>
    <x:row r="14">
      <x:c r="A14" s="44" t="s">
        <x:v>413</x:v>
      </x:c>
      <x:c r="B14" s="31">
        <x:v>1.9</x:v>
      </x:c>
      <x:c r="C14" s="31">
        <x:v>2.6</x:v>
      </x:c>
      <x:c r="D14" s="31">
        <x:v>0.7</x:v>
      </x:c>
      <x:c r="E14" s="31">
        <x:v>1.3</x:v>
      </x:c>
    </x:row>
    <x:row r="15">
      <x:c r="A15" s="32" t="s">
        <x:v>414</x:v>
      </x:c>
      <x:c r="B15" s="31">
        <x:v>5.3</x:v>
      </x:c>
      <x:c r="C15" s="31">
        <x:v>7.4</x:v>
      </x:c>
      <x:c r="D15" s="31">
        <x:v>1.5</x:v>
      </x:c>
      <x:c r="E15" s="31">
        <x:v>3.1</x:v>
      </x:c>
    </x:row>
    <x:row r="16">
      <x:c r="A16" s="44" t="s">
        <x:v>415</x:v>
      </x:c>
      <x:c r="B16" s="31">
        <x:v>3.2</x:v>
      </x:c>
      <x:c r="C16" s="31">
        <x:v>4.5999999999999996</x:v>
      </x:c>
      <x:c r="D16" s="31">
        <x:v>0.8</x:v>
      </x:c>
      <x:c r="E16" s="31">
        <x:v>1.7</x:v>
      </x:c>
    </x:row>
    <x:row r="17">
      <x:c r="A17" s="44" t="s">
        <x:v>416</x:v>
      </x:c>
      <x:c r="B17" s="31">
        <x:v>2.1</x:v>
      </x:c>
      <x:c r="C17" s="31">
        <x:v>2.8</x:v>
      </x:c>
      <x:c r="D17" s="31">
        <x:v>0.7</x:v>
      </x:c>
      <x:c r="E17" s="31">
        <x:v>1.4</x:v>
      </x:c>
    </x:row>
    <x:row r="19">
      <x:c r="A19" s="39" t="s">
        <x:v>417</x:v>
      </x:c>
      <x:c r="B19" s="39"/>
      <x:c r="C19" s="39"/>
      <x:c r="D19" s="39"/>
      <x:c r="E19" s="39"/>
    </x:row>
    <x:row r="20" ht="15">
      <x:c r="A20" s="33" t="s">
        <x:v>359</x:v>
      </x:c>
      <x:c r="B20" s="33" t="s">
        <x:v>277</x:v>
      </x:c>
      <x:c r="C20" s="33" t="s">
        <x:v>278</x:v>
      </x:c>
      <x:c r="D20" s="33" t="s">
        <x:v>279</x:v>
      </x:c>
      <x:c r="E20" s="33" t="s">
        <x:v>280</x:v>
      </x:c>
    </x:row>
    <x:row r="21">
      <x:c r="A21" s="32" t="s">
        <x:v>302</x:v>
      </x:c>
      <x:c r="B21" s="31">
        <x:v>2.9</x:v>
      </x:c>
      <x:c r="C21" s="31">
        <x:v>3</x:v>
      </x:c>
      <x:c r="D21" s="31">
        <x:v>2.2000000000000002</x:v>
      </x:c>
      <x:c r="E21" s="31">
        <x:v>2.2999999999999998</x:v>
      </x:c>
    </x:row>
    <x:row r="22">
      <x:c r="A22" s="32" t="s">
        <x:v>418</x:v>
      </x:c>
      <x:c r="B22" s="31">
        <x:v>-0.6</x:v>
      </x:c>
      <x:c r="C22" s="31">
        <x:v>-0.7</x:v>
      </x:c>
      <x:c r="D22" s="31">
        <x:v>-0.7</x:v>
      </x:c>
      <x:c r="E22" s="31">
        <x:v>-0.7</x:v>
      </x:c>
    </x:row>
    <x:row r="23">
      <x:c r="A23" s="32" t="s">
        <x:v>419</x:v>
      </x:c>
      <x:c r="B23" s="31">
        <x:v>2.2999999999999998</x:v>
      </x:c>
      <x:c r="C23" s="31">
        <x:v>2.2999999999999998</x:v>
      </x:c>
      <x:c r="D23" s="31">
        <x:v>1.5</x:v>
      </x:c>
      <x:c r="E23" s="31">
        <x:v>1.6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030A0"/>
  </x:sheetPr>
  <x:sheetFormatPr baseColWidth="10" defaultColWidth="8.83203125" defaultRowHeight="14"/>
  <x:cols>
    <x:col min="1" max="1" width="26" customWidth="1"/>
    <x:col min="2" max="6" width="20" customWidth="1"/>
  </x:cols>
  <x:sheetData>
    <x:row r="1" ht="18">
      <x:c r="A1" s="38" t="s">
        <x:v>420</x:v>
      </x:c>
      <x:c r="B1" s="37"/>
      <x:c r="C1" s="37"/>
      <x:c r="D1" s="37"/>
      <x:c r="E1" s="37"/>
      <x:c r="F1" s="37"/>
    </x:row>
    <x:row r="3" ht="15">
      <x:c r="A3" s="33" t="s">
        <x:v>421</x:v>
      </x:c>
      <x:c r="B3" s="33" t="s">
        <x:v>422</x:v>
      </x:c>
      <x:c r="C3" s="33" t="s">
        <x:v>423</x:v>
      </x:c>
      <x:c r="D3" s="33" t="s">
        <x:v>424</x:v>
      </x:c>
      <x:c r="E3" s="33" t="s">
        <x:v>425</x:v>
      </x:c>
      <x:c r="F3" s="33" t="s">
        <x:v>426</x:v>
      </x:c>
    </x:row>
    <x:row r="4">
      <x:c r="A4" s="32" t="s">
        <x:v>427</x:v>
      </x:c>
      <x:c r="B4" s="31" t="s">
        <x:v>428</x:v>
      </x:c>
      <x:c r="C4" s="31" t="s">
        <x:v>429</x:v>
      </x:c>
      <x:c r="D4" s="31" t="s">
        <x:v>430</x:v>
      </x:c>
      <x:c r="E4" s="31" t="s">
        <x:v>431</x:v>
      </x:c>
      <x:c r="F4" s="31" t="s">
        <x:v>432</x:v>
      </x:c>
    </x:row>
    <x:row r="5">
      <x:c r="A5" s="32" t="s">
        <x:v>433</x:v>
      </x:c>
      <x:c r="B5" s="31" t="s">
        <x:v>434</x:v>
      </x:c>
      <x:c r="C5" s="31" t="s">
        <x:v>435</x:v>
      </x:c>
      <x:c r="D5" s="31" t="s">
        <x:v>436</x:v>
      </x:c>
      <x:c r="E5" s="31" t="s">
        <x:v>435</x:v>
      </x:c>
      <x:c r="F5" s="31" t="s">
        <x:v>437</x:v>
      </x:c>
    </x:row>
    <x:row r="6">
      <x:c r="A6" s="32" t="s">
        <x:v>438</x:v>
      </x:c>
      <x:c r="B6" s="31" t="s">
        <x:v>439</x:v>
      </x:c>
      <x:c r="C6" s="31" t="s">
        <x:v>440</x:v>
      </x:c>
      <x:c r="D6" s="31" t="s">
        <x:v>441</x:v>
      </x:c>
      <x:c r="E6" s="31" t="s">
        <x:v>442</x:v>
      </x:c>
      <x:c r="F6" s="31" t="s">
        <x:v>437</x:v>
      </x:c>
    </x:row>
    <x:row r="7">
      <x:c r="A7" s="32" t="s">
        <x:v>443</x:v>
      </x:c>
      <x:c r="B7" s="31" t="s">
        <x:v>444</x:v>
      </x:c>
      <x:c r="C7" s="31" t="s">
        <x:v>445</x:v>
      </x:c>
      <x:c r="D7" s="31" t="s">
        <x:v>446</x:v>
      </x:c>
      <x:c r="E7" s="31" t="s">
        <x:v>447</x:v>
      </x:c>
      <x:c r="F7" s="31" t="s">
        <x:v>437</x:v>
      </x:c>
    </x:row>
    <x:row r="9">
      <x:c r="A9" s="4" t="s">
        <x:v>448</x:v>
      </x:c>
    </x:row>
    <x:row r="10" ht="15">
      <x:c r="A10" s="33" t="s">
        <x:v>449</x:v>
      </x:c>
      <x:c r="B10" s="33" t="s">
        <x:v>450</x:v>
      </x:c>
      <x:c r="C10" s="33" t="s">
        <x:v>451</x:v>
      </x:c>
      <x:c r="D10" s="33" t="s">
        <x:v>452</x:v>
      </x:c>
      <x:c r="E10" s="33" t="s">
        <x:v>453</x:v>
      </x:c>
    </x:row>
    <x:row r="11">
      <x:c r="A11" s="32" t="s">
        <x:v>277</x:v>
      </x:c>
      <x:c r="B11" s="31" t="s">
        <x:v>454</x:v>
      </x:c>
      <x:c r="C11" s="31" t="s">
        <x:v>455</x:v>
      </x:c>
      <x:c r="D11" s="31" t="s">
        <x:v>456</x:v>
      </x:c>
      <x:c r="E11" s="40" t="s">
        <x:v>457</x:v>
      </x:c>
    </x:row>
    <x:row r="12">
      <x:c r="A12" s="32" t="s">
        <x:v>278</x:v>
      </x:c>
      <x:c r="B12" s="31" t="s">
        <x:v>428</x:v>
      </x:c>
      <x:c r="C12" s="31" t="s">
        <x:v>458</x:v>
      </x:c>
      <x:c r="D12" s="31" t="s">
        <x:v>459</x:v>
      </x:c>
      <x:c r="E12" s="40" t="s">
        <x:v>460</x:v>
      </x:c>
    </x:row>
    <x:row r="13">
      <x:c r="A13" s="32" t="s">
        <x:v>279</x:v>
      </x:c>
      <x:c r="B13" s="31" t="s">
        <x:v>434</x:v>
      </x:c>
      <x:c r="C13" s="31" t="s">
        <x:v>461</x:v>
      </x:c>
      <x:c r="D13" s="31" t="s">
        <x:v>462</x:v>
      </x:c>
      <x:c r="E13" s="40" t="s">
        <x:v>457</x:v>
      </x:c>
    </x:row>
    <x:row r="14">
      <x:c r="A14" s="32" t="s">
        <x:v>280</x:v>
      </x:c>
      <x:c r="B14" s="31" t="s">
        <x:v>439</x:v>
      </x:c>
      <x:c r="C14" s="31" t="s">
        <x:v>463</x:v>
      </x:c>
      <x:c r="D14" s="31" t="s">
        <x:v>459</x:v>
      </x:c>
      <x:c r="E14" s="40" t="s">
        <x:v>460</x:v>
      </x:c>
    </x:row>
    <x:row r="16">
      <x:c r="A16" s="4" t="s">
        <x:v>464</x:v>
      </x:c>
    </x:row>
    <x:row r="17" ht="30">
      <x:c r="A17" s="33" t="s">
        <x:v>465</x:v>
      </x:c>
      <x:c r="B17" s="33" t="s">
        <x:v>466</x:v>
      </x:c>
    </x:row>
    <x:row r="18">
      <x:c r="A18" s="32" t="s">
        <x:v>467</x:v>
      </x:c>
      <x:c r="B18" s="31" t="s">
        <x:v>468</x:v>
      </x:c>
    </x:row>
    <x:row r="19">
      <x:c r="A19" s="32" t="s">
        <x:v>469</x:v>
      </x:c>
      <x:c r="B19" s="31" t="s">
        <x:v>468</x:v>
      </x:c>
    </x:row>
    <x:row r="20">
      <x:c r="A20" s="32" t="s">
        <x:v>470</x:v>
      </x:c>
      <x:c r="B20" s="31" t="s">
        <x:v>468</x:v>
      </x:c>
    </x:row>
    <x:row r="21">
      <x:c r="A21" s="32" t="s">
        <x:v>471</x:v>
      </x:c>
      <x:c r="B21" s="45" t="s">
        <x:v>472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00B050"/>
  </x:sheetPr>
  <x:sheetFormatPr baseColWidth="10" defaultColWidth="8.83203125" defaultRowHeight="14"/>
  <x:cols>
    <x:col min="1" max="1" width="28" customWidth="1"/>
    <x:col min="2" max="5" width="20" customWidth="1"/>
  </x:cols>
  <x:sheetData>
    <x:row r="1" ht="18">
      <x:c r="A1" s="38" t="s">
        <x:v>473</x:v>
      </x:c>
      <x:c r="B1" s="37"/>
      <x:c r="C1" s="37"/>
      <x:c r="D1" s="37"/>
      <x:c r="E1" s="37"/>
      <x:c r="F1" s="37"/>
    </x:row>
    <x:row r="2">
      <x:c r="A2" s="3" t="s">
        <x:v>474</x:v>
      </x:c>
    </x:row>
    <x:row r="4" ht="15">
      <x:c r="A4" s="33" t="s">
        <x:v>359</x:v>
      </x:c>
      <x:c r="B4" s="33" t="s">
        <x:v>277</x:v>
      </x:c>
      <x:c r="C4" s="33" t="s">
        <x:v>278</x:v>
      </x:c>
      <x:c r="D4" s="33" t="s">
        <x:v>279</x:v>
      </x:c>
      <x:c r="E4" s="33" t="s">
        <x:v>280</x:v>
      </x:c>
    </x:row>
    <x:row r="5">
      <x:c r="A5" s="32" t="s">
        <x:v>475</x:v>
      </x:c>
      <x:c r="B5" s="31">
        <x:v>8615</x:v>
      </x:c>
      <x:c r="C5" s="31">
        <x:v>8764</x:v>
      </x:c>
      <x:c r="D5" s="31">
        <x:v>8781</x:v>
      </x:c>
      <x:c r="E5" s="31">
        <x:v>9289</x:v>
      </x:c>
    </x:row>
    <x:row r="6">
      <x:c r="A6" s="32" t="s">
        <x:v>476</x:v>
      </x:c>
      <x:c r="B6" s="31" t="s">
        <x:v>339</x:v>
      </x:c>
      <x:c r="C6" s="31" t="s">
        <x:v>338</x:v>
      </x:c>
      <x:c r="D6" s="31" t="s">
        <x:v>338</x:v>
      </x:c>
      <x:c r="E6" s="31" t="s">
        <x:v>338</x:v>
      </x:c>
    </x:row>
    <x:row r="7">
      <x:c r="A7" s="46" t="s">
        <x:v>477</x:v>
      </x:c>
      <x:c r="B7" s="40">
        <x:v>775</x:v>
      </x:c>
      <x:c r="C7" s="40">
        <x:v>876</x:v>
      </x:c>
      <x:c r="D7" s="40">
        <x:v>878</x:v>
      </x:c>
      <x:c r="E7" s="40">
        <x:v>929</x:v>
      </x:c>
    </x:row>
    <x:row r="8">
      <x:c r="A8" s="32" t="s">
        <x:v>478</x:v>
      </x:c>
      <x:c r="B8" s="31" t="s">
        <x:v>284</x:v>
      </x:c>
      <x:c r="C8" s="31" t="s">
        <x:v>300</x:v>
      </x:c>
      <x:c r="D8" s="31" t="s">
        <x:v>301</x:v>
      </x:c>
      <x:c r="E8" s="31" t="s">
        <x:v>341</x:v>
      </x:c>
    </x:row>
    <x:row r="9">
      <x:c r="A9" s="32" t="s">
        <x:v>479</x:v>
      </x:c>
      <x:c r="B9" s="31" t="s">
        <x:v>304</x:v>
      </x:c>
      <x:c r="C9" s="31" t="s">
        <x:v>319</x:v>
      </x:c>
      <x:c r="D9" s="31" t="s">
        <x:v>288</x:v>
      </x:c>
      <x:c r="E9" s="31" t="s">
        <x:v>300</x:v>
      </x:c>
    </x:row>
    <x:row r="10">
      <x:c r="A10" s="32"/>
      <x:c r="B10" s="31"/>
      <x:c r="C10" s="31"/>
      <x:c r="D10" s="31"/>
      <x:c r="E10" s="31"/>
    </x:row>
    <x:row r="11">
      <x:c r="A11" s="32" t="s">
        <x:v>480</x:v>
      </x:c>
      <x:c r="B11" s="31" t="s">
        <x:v>481</x:v>
      </x:c>
      <x:c r="C11" s="31" t="s">
        <x:v>481</x:v>
      </x:c>
      <x:c r="D11" s="31" t="s">
        <x:v>481</x:v>
      </x:c>
      <x:c r="E11" s="31" t="s">
        <x:v>481</x:v>
      </x:c>
    </x:row>
    <x:row r="12">
      <x:c r="A12" s="32" t="s">
        <x:v>482</x:v>
      </x:c>
      <x:c r="B12" s="31" t="s">
        <x:v>483</x:v>
      </x:c>
      <x:c r="C12" s="31" t="s">
        <x:v>484</x:v>
      </x:c>
      <x:c r="D12" s="31" t="s">
        <x:v>484</x:v>
      </x:c>
      <x:c r="E12" s="31" t="s">
        <x:v>484</x:v>
      </x:c>
    </x:row>
    <x:row r="13">
      <x:c r="A13" s="32"/>
      <x:c r="B13" s="31"/>
      <x:c r="C13" s="31"/>
      <x:c r="D13" s="31"/>
      <x:c r="E13" s="31"/>
    </x:row>
    <x:row r="14">
      <x:c r="A14" s="32" t="s">
        <x:v>485</x:v>
      </x:c>
      <x:c r="B14" s="31">
        <x:v>7.1</x:v>
      </x:c>
      <x:c r="C14" s="31">
        <x:v>7.3</x:v>
      </x:c>
      <x:c r="D14" s="31">
        <x:v>7.1</x:v>
      </x:c>
      <x:c r="E14" s="31">
        <x:v>8.1</x:v>
      </x:c>
    </x:row>
    <x:row r="15">
      <x:c r="A15" s="44" t="s">
        <x:v>486</x:v>
      </x:c>
      <x:c r="B15" s="31" t="s">
        <x:v>291</x:v>
      </x:c>
      <x:c r="C15" s="31" t="s">
        <x:v>487</x:v>
      </x:c>
      <x:c r="D15" s="31" t="s">
        <x:v>488</x:v>
      </x:c>
      <x:c r="E15" s="31" t="s">
        <x:v>489</x:v>
      </x:c>
    </x:row>
    <x:row r="16">
      <x:c r="A16" s="44" t="s">
        <x:v>490</x:v>
      </x:c>
      <x:c r="B16" s="31" t="s">
        <x:v>491</x:v>
      </x:c>
      <x:c r="C16" s="31" t="s">
        <x:v>492</x:v>
      </x:c>
      <x:c r="D16" s="31" t="s">
        <x:v>493</x:v>
      </x:c>
      <x:c r="E16" s="31" t="s">
        <x:v>494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4"/>
  <x:cols>
    <x:col min="1" max="1" width="18" customWidth="1"/>
    <x:col min="2" max="2" width="70" customWidth="1"/>
    <x:col min="3" max="3" width="45" customWidth="1"/>
  </x:cols>
  <x:sheetData>
    <x:row r="1" ht="28" customHeight="1">
      <x:c r="A1" s="1" t="s">
        <x:v>495</x:v>
      </x:c>
      <x:c r="B1" s="2"/>
      <x:c r="C1" s="2"/>
      <x:c r="D1" s="2"/>
      <x:c r="E1" s="2"/>
      <x:c r="F1" s="2"/>
      <x:c r="G1" s="2"/>
      <x:c r="H1" s="2"/>
    </x:row>
    <x:row r="2" ht="16" customHeight="1">
      <x:c r="A2" s="3" t="s">
        <x:v>1</x:v>
      </x:c>
    </x:row>
    <x:row r="4">
      <x:c r="A4" s="4" t="s">
        <x:v>496</x:v>
      </x:c>
    </x:row>
    <x:row r="6">
      <x:c r="A6" s="4" t="s">
        <x:v>497</x:v>
      </x:c>
      <x:c r="B6" s="4" t="s">
        <x:v>498</x:v>
      </x:c>
      <x:c r="C6" s="4" t="s">
        <x:v>499</x:v>
      </x:c>
    </x:row>
    <x:row r="7">
      <x:c r="A7" s="5" t="s">
        <x:v>60</x:v>
      </x:c>
      <x:c r="B7" s="5" t="s">
        <x:v>500</x:v>
      </x:c>
      <x:c r="C7" s="5" t="s">
        <x:v>501</x:v>
      </x:c>
    </x:row>
    <x:row r="8">
      <x:c r="A8" s="5" t="s">
        <x:v>61</x:v>
      </x:c>
      <x:c r="B8" s="5" t="s">
        <x:v>502</x:v>
      </x:c>
      <x:c r="C8" s="5" t="s">
        <x:v>503</x:v>
      </x:c>
    </x:row>
    <x:row r="9">
      <x:c r="A9" s="5" t="s">
        <x:v>62</x:v>
      </x:c>
      <x:c r="B9" s="5" t="s">
        <x:v>504</x:v>
      </x:c>
      <x:c r="C9" s="5" t="s">
        <x:v>505</x:v>
      </x:c>
    </x:row>
    <x:row r="10">
      <x:c r="A10" s="5" t="s">
        <x:v>63</x:v>
      </x:c>
      <x:c r="B10" s="5" t="s">
        <x:v>506</x:v>
      </x:c>
      <x:c r="C10" s="5" t="s">
        <x:v>507</x:v>
      </x:c>
    </x:row>
    <x:row r="11">
      <x:c r="A11" s="5" t="s">
        <x:v>64</x:v>
      </x:c>
      <x:c r="B11" s="5" t="s">
        <x:v>508</x:v>
      </x:c>
      <x:c r="C11" s="5" t="s">
        <x:v>509</x:v>
      </x:c>
    </x:row>
    <x:row r="12">
      <x:c r="A12" s="5" t="s">
        <x:v>65</x:v>
      </x:c>
      <x:c r="B12" s="5" t="s">
        <x:v>510</x:v>
      </x:c>
      <x:c r="C12" s="5" t="s">
        <x:v>511</x:v>
      </x:c>
    </x:row>
    <x:row r="13">
      <x:c r="A13" s="5" t="s">
        <x:v>66</x:v>
      </x:c>
      <x:c r="B13" s="5" t="s">
        <x:v>512</x:v>
      </x:c>
      <x:c r="C13" s="5" t="s">
        <x:v>513</x:v>
      </x:c>
    </x:row>
    <x:row r="14">
      <x:c r="A14" s="5" t="s">
        <x:v>67</x:v>
      </x:c>
      <x:c r="B14" s="5" t="s">
        <x:v>514</x:v>
      </x:c>
      <x:c r="C14" s="5" t="s">
        <x:v>515</x:v>
      </x:c>
    </x:row>
    <x:row r="16">
      <x:c r="A16" s="5" t="s">
        <x:v>516</x:v>
      </x:c>
      <x:c r="B16" s="5" t="s">
        <x:v>517</x:v>
      </x:c>
      <x:c r="C16" s="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24" customHeight="1">
      <x:c r="A1" s="48" t="str">
        <x:v>Linde plc — Valuation Driver Build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</x:row>
    <x:row r="2" ht="18" customHeight="1">
      <x:c r="A2" s="50" t="str">
        <x:v>年结日估值口径：FY2026 Q1/Q2 为已披露实际，Q3/Q4 为估计；预测区在左，完整年度与近期季度历史在右。单位：$ in millions except per-share data.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</x:row>
    <x:row r="4" ht="20" customHeight="1">
      <x:c r="A4" s="52" t="str">
        <x:v>经营驱动与现金股东回报推导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</x:row>
    <x:row r="5" ht="30" customHeight="1">
      <x:c r="A5" s="56" t="str">
        <x:v>指标</x:v>
      </x:c>
      <x:c r="B5" s="56" t="str">
        <x:v>单位</x:v>
      </x:c>
      <x:c r="C5" s="56" t="str">
        <x:v>2026 Q1A</x:v>
      </x:c>
      <x:c r="D5" s="56" t="str">
        <x:v>2026 Q2A</x:v>
      </x:c>
      <x:c r="E5" s="56" t="str">
        <x:v>2026 Q3E</x:v>
      </x:c>
      <x:c r="F5" s="56" t="str">
        <x:v>2026 Q4E</x:v>
      </x:c>
      <x:c r="G5" s="56" t="str">
        <x:v>FY2026E</x:v>
      </x:c>
      <x:c r="H5" s="56" t="str">
        <x:v>FY2027E</x:v>
      </x:c>
      <x:c r="I5" s="56" t="str">
        <x:v>FY2028E</x:v>
      </x:c>
      <x:c r="J5" s="56" t="str">
        <x:v>FY2029E</x:v>
      </x:c>
      <x:c r="K5" s="56" t="str">
        <x:v>FY2030E</x:v>
      </x:c>
      <x:c r="L5" s="56" t="str">
        <x:v>FY2031E</x:v>
      </x:c>
      <x:c r="M5" s="56" t="str"/>
      <x:c r="N5" s="65" t="str">
        <x:v>FY2018</x:v>
      </x:c>
      <x:c r="O5" s="65" t="str">
        <x:v>FY2019</x:v>
      </x:c>
      <x:c r="P5" s="65" t="str">
        <x:v>FY2020</x:v>
      </x:c>
      <x:c r="Q5" s="65" t="str">
        <x:v>FY2021</x:v>
      </x:c>
      <x:c r="R5" s="65" t="str">
        <x:v>FY2022</x:v>
      </x:c>
      <x:c r="S5" s="65" t="str">
        <x:v>FY2023</x:v>
      </x:c>
      <x:c r="T5" s="65" t="str">
        <x:v>FY2024</x:v>
      </x:c>
      <x:c r="U5" s="65" t="str">
        <x:v>FY2025</x:v>
      </x:c>
      <x:c r="V5" s="67" t="str">
        <x:v>3Q 2025</x:v>
      </x:c>
      <x:c r="W5" s="67" t="str">
        <x:v>4Q 2025</x:v>
      </x:c>
      <x:c r="X5" s="67" t="str">
        <x:v>1Q 2026</x:v>
      </x:c>
      <x:c r="Y5" s="67" t="str">
        <x:v>2Q 2026</x:v>
      </x:c>
    </x:row>
    <x:row r="6" ht="19" customHeight="1">
      <x:c r="A6" s="58" t="str">
        <x:v>销售增速</x:v>
      </x:c>
      <x:c r="B6" s="58" t="str">
        <x:v>%</x:v>
      </x:c>
      <x:c r="C6" s="77" t="n">
        <x:v>0.08</x:v>
      </x:c>
      <x:c r="D6" s="77" t="n">
        <x:v>0.09</x:v>
      </x:c>
      <x:c r="E6" s="77" t="n">
        <x:v>0.06</x:v>
      </x:c>
      <x:c r="F6" s="77" t="n">
        <x:v>0.06</x:v>
      </x:c>
      <x:c r="G6" s="78" t="n">
        <x:f>G7/T7-1</x:f>
        <x:v>0.1056427813967582</x:v>
      </x:c>
      <x:c r="H6" s="77" t="n">
        <x:v>0.055</x:v>
      </x:c>
      <x:c r="I6" s="77" t="n">
        <x:v>0.055</x:v>
      </x:c>
      <x:c r="J6" s="77" t="n">
        <x:v>0.05</x:v>
      </x:c>
      <x:c r="K6" s="77" t="n">
        <x:v>0.05</x:v>
      </x:c>
      <x:c r="L6" s="77" t="n">
        <x:v>0.05</x:v>
      </x:c>
      <x:c r="M6" s="79"/>
      <x:c r="N6" s="80" t="n">
        <x:f>'Income Statement'!C11</x:f>
        <x:v>0</x:v>
      </x:c>
      <x:c r="O6" s="80" t="n">
        <x:f>'Income Statement'!D11</x:f>
        <x:v>0.894496644295302</x:v>
      </x:c>
      <x:c r="P6" s="80" t="n">
        <x:f>'Income Statement'!E11</x:f>
        <x:v>-0.03489443106135748</x:v>
      </x:c>
      <x:c r="Q6" s="80" t="n">
        <x:f>'Income Statement'!F11</x:f>
        <x:v>0.1303087031531036</x:v>
      </x:c>
      <x:c r="R6" s="80" t="n">
        <x:f>'Income Statement'!G11</x:f>
        <x:v>0.08349300165622053</x:v>
      </x:c>
      <x:c r="S6" s="80" t="n">
        <x:f>'Income Statement'!H11</x:f>
        <x:v>-0.015285936938017053</x:v>
      </x:c>
      <x:c r="T6" s="80" t="n">
        <x:f>'Income Statement'!I11</x:f>
        <x:v>0.004596091800085134</x:v>
      </x:c>
      <x:c r="U6" s="80" t="n">
        <x:f>'Income Statement'!J11</x:f>
        <x:v>0.029722769277382266</x:v>
      </x:c>
      <x:c r="V6" s="80" t="n">
        <x:v>0.03</x:v>
      </x:c>
      <x:c r="W6" s="80" t="n">
        <x:v>0.06</x:v>
      </x:c>
      <x:c r="X6" s="80" t="n">
        <x:v>0.08</x:v>
      </x:c>
      <x:c r="Y6" s="80" t="n">
        <x:v>0.09</x:v>
      </x:c>
    </x:row>
    <x:row r="7" ht="19" customHeight="1">
      <x:c r="A7" s="70" t="str">
        <x:v>销售额</x:v>
      </x:c>
      <x:c r="B7" s="70" t="str">
        <x:v>$mm</x:v>
      </x:c>
      <x:c r="C7" s="85" t="n">
        <x:f>'Consolidated'!D4</x:f>
        <x:v>8781</x:v>
      </x:c>
      <x:c r="D7" s="85" t="n">
        <x:f>'Consolidated'!E4</x:f>
        <x:v>9289</x:v>
      </x:c>
      <x:c r="E7" s="85" t="n">
        <x:f>'Consolidated'!B4*(1+E6)</x:f>
        <x:v>9131.9</x:v>
      </x:c>
      <x:c r="F7" s="85" t="n">
        <x:f>'Consolidated'!C4*(1+F6)</x:f>
        <x:v>9289.84</x:v>
      </x:c>
      <x:c r="G7" s="85" t="n">
        <x:f>SUM(C7:F7)</x:f>
        <x:v>36491.740000000005</x:v>
      </x:c>
      <x:c r="H7" s="85" t="n">
        <x:f>G7*(1+H6)</x:f>
        <x:v>38498.7857</x:v>
      </x:c>
      <x:c r="I7" s="85" t="n">
        <x:f>H7*(1+I6)</x:f>
        <x:v>40616.2189135</x:v>
      </x:c>
      <x:c r="J7" s="85" t="n">
        <x:f>I7*(1+J6)</x:f>
        <x:v>42647.029859175</x:v>
      </x:c>
      <x:c r="K7" s="85" t="n">
        <x:f>J7*(1+K6)</x:f>
        <x:v>44779.38135213376</x:v>
      </x:c>
      <x:c r="L7" s="85" t="n">
        <x:f>K7*(1+L6)</x:f>
        <x:v>47018.35041974045</x:v>
      </x:c>
      <x:c r="M7" s="86"/>
      <x:c r="N7" s="87" t="n">
        <x:f>'Income Statement'!C10</x:f>
        <x:v>14900</x:v>
      </x:c>
      <x:c r="O7" s="87" t="n">
        <x:f>'Income Statement'!D10</x:f>
        <x:v>28228</x:v>
      </x:c>
      <x:c r="P7" s="87" t="n">
        <x:f>'Income Statement'!E10</x:f>
        <x:v>27243</x:v>
      </x:c>
      <x:c r="Q7" s="87" t="n">
        <x:f>'Income Statement'!F10</x:f>
        <x:v>30793</x:v>
      </x:c>
      <x:c r="R7" s="87" t="n">
        <x:f>'Income Statement'!G10</x:f>
        <x:v>33364</x:v>
      </x:c>
      <x:c r="S7" s="87" t="n">
        <x:f>'Income Statement'!H10</x:f>
        <x:v>32854</x:v>
      </x:c>
      <x:c r="T7" s="87" t="n">
        <x:f>'Income Statement'!I10</x:f>
        <x:v>33005</x:v>
      </x:c>
      <x:c r="U7" s="87" t="n">
        <x:f>'Income Statement'!J10</x:f>
        <x:v>33986</x:v>
      </x:c>
      <x:c r="V7" s="87" t="n">
        <x:f>'Consolidated'!B4</x:f>
        <x:v>8615</x:v>
      </x:c>
      <x:c r="W7" s="87" t="n">
        <x:f>'Consolidated'!C4</x:f>
        <x:v>8764</x:v>
      </x:c>
      <x:c r="X7" s="87" t="n">
        <x:f>'Consolidated'!D4</x:f>
        <x:v>8781</x:v>
      </x:c>
      <x:c r="Y7" s="87" t="n">
        <x:f>'Consolidated'!E4</x:f>
        <x:v>9289</x:v>
      </x:c>
    </x:row>
    <x:row r="8" ht="19" customHeight="1">
      <x:c r="A8" s="70" t="str">
        <x:v>经营利润</x:v>
      </x:c>
      <x:c r="B8" s="70" t="str">
        <x:v>$mm</x:v>
      </x:c>
      <x:c r="C8" s="85" t="n">
        <x:f>'Consolidated'!D7</x:f>
        <x:v>2630</x:v>
      </x:c>
      <x:c r="D8" s="85" t="n">
        <x:f>'Consolidated'!E7</x:f>
        <x:v>2744</x:v>
      </x:c>
      <x:c r="E8" s="85" t="n">
        <x:f>E7*E9</x:f>
        <x:v>2739.5699999999997</x:v>
      </x:c>
      <x:c r="F8" s="85" t="n">
        <x:f>F7*F9</x:f>
        <x:v>2805.53168</x:v>
      </x:c>
      <x:c r="G8" s="85" t="n">
        <x:f>SUM(C8:F8)</x:f>
        <x:v>10919.10168</x:v>
      </x:c>
      <x:c r="H8" s="85" t="n">
        <x:f>H7*H9</x:f>
        <x:v>11742.1296385</x:v>
      </x:c>
      <x:c r="I8" s="85" t="n">
        <x:f>I7*I9</x:f>
        <x:v>12509.795425358</x:v>
      </x:c>
      <x:c r="J8" s="85" t="n">
        <x:f>J7*J9</x:f>
        <x:v>13263.226286203426</x:v>
      </x:c>
      <x:c r="K8" s="85" t="n">
        <x:f>K7*K9</x:f>
        <x:v>14060.72574457</x:v>
      </x:c>
      <x:c r="L8" s="85" t="n">
        <x:f>L7*L9</x:f>
        <x:v>14904.817083057722</x:v>
      </x:c>
      <x:c r="M8" s="86"/>
      <x:c r="N8" s="87" t="n">
        <x:f>'Income Statement'!C23</x:f>
        <x:v>5247</x:v>
      </x:c>
      <x:c r="O8" s="87" t="n">
        <x:f>'Income Statement'!D23</x:f>
        <x:v>2933</x:v>
      </x:c>
      <x:c r="P8" s="87" t="n">
        <x:f>'Income Statement'!E23</x:f>
        <x:v>3322</x:v>
      </x:c>
      <x:c r="Q8" s="87" t="n">
        <x:f>'Income Statement'!F23</x:f>
        <x:v>4984</x:v>
      </x:c>
      <x:c r="R8" s="87" t="n">
        <x:f>'Income Statement'!G23</x:f>
        <x:v>5369</x:v>
      </x:c>
      <x:c r="S8" s="87" t="n">
        <x:f>'Income Statement'!H23</x:f>
        <x:v>8024</x:v>
      </x:c>
      <x:c r="T8" s="87" t="n">
        <x:f>'Income Statement'!I23</x:f>
        <x:v>8635</x:v>
      </x:c>
      <x:c r="U8" s="87" t="n">
        <x:f>'Income Statement'!J23</x:f>
        <x:v>8923</x:v>
      </x:c>
      <x:c r="V8" s="87" t="n">
        <x:f>'Consolidated'!B7</x:f>
        <x:v>2558</x:v>
      </x:c>
      <x:c r="W8" s="87" t="n">
        <x:f>'Consolidated'!C7</x:f>
        <x:v>2585</x:v>
      </x:c>
      <x:c r="X8" s="87" t="n">
        <x:f>'Consolidated'!D7</x:f>
        <x:v>2630</x:v>
      </x:c>
      <x:c r="Y8" s="87" t="n">
        <x:f>'Consolidated'!E7</x:f>
        <x:v>2744</x:v>
      </x:c>
    </x:row>
    <x:row r="9" ht="19" customHeight="1">
      <x:c r="A9" s="58" t="str">
        <x:v>经营利润率</x:v>
      </x:c>
      <x:c r="B9" s="58" t="str">
        <x:v>%</x:v>
      </x:c>
      <x:c r="C9" s="78" t="str">
        <x:f>'Consolidated'!D8</x:f>
        <x:v>30.0%</x:v>
      </x:c>
      <x:c r="D9" s="78" t="str">
        <x:f>'Consolidated'!E8</x:f>
        <x:v>29.5%</x:v>
      </x:c>
      <x:c r="E9" s="77" t="n">
        <x:v>0.3</x:v>
      </x:c>
      <x:c r="F9" s="77" t="n">
        <x:v>0.302</x:v>
      </x:c>
      <x:c r="G9" s="78" t="n">
        <x:f>G8/G7</x:f>
        <x:v>0.2992211848489548</x:v>
      </x:c>
      <x:c r="H9" s="77" t="n">
        <x:v>0.305</x:v>
      </x:c>
      <x:c r="I9" s="77" t="n">
        <x:v>0.308</x:v>
      </x:c>
      <x:c r="J9" s="77" t="n">
        <x:v>0.311</x:v>
      </x:c>
      <x:c r="K9" s="77" t="n">
        <x:v>0.314</x:v>
      </x:c>
      <x:c r="L9" s="77" t="n">
        <x:v>0.317</x:v>
      </x:c>
      <x:c r="M9" s="79"/>
      <x:c r="N9" s="80" t="n">
        <x:f>'Income Statement'!C24</x:f>
        <x:v>0.3521476510067114</x:v>
      </x:c>
      <x:c r="O9" s="80" t="n">
        <x:f>'Income Statement'!D24</x:f>
        <x:v>0.10390392518067168</x:v>
      </x:c>
      <x:c r="P9" s="80" t="n">
        <x:f>'Income Statement'!E24</x:f>
        <x:v>0.12193958080974929</x:v>
      </x:c>
      <x:c r="Q9" s="80" t="n">
        <x:f>'Income Statement'!F24</x:f>
        <x:v>0.16185496703796318</x:v>
      </x:c>
      <x:c r="R9" s="80" t="n">
        <x:f>'Income Statement'!G24</x:f>
        <x:v>0.16092195180434002</x:v>
      </x:c>
      <x:c r="S9" s="80" t="n">
        <x:f>'Income Statement'!H24</x:f>
        <x:v>0.24423205697936323</x:v>
      </x:c>
      <x:c r="T9" s="80" t="n">
        <x:f>'Income Statement'!I24</x:f>
        <x:v>0.26162702620815026</x:v>
      </x:c>
      <x:c r="U9" s="80" t="n">
        <x:f>'Income Statement'!J24</x:f>
        <x:v>0.26254928499970576</x:v>
      </x:c>
      <x:c r="V9" s="80" t="str">
        <x:f>'Consolidated'!B8</x:f>
        <x:v>29.7%</x:v>
      </x:c>
      <x:c r="W9" s="80" t="str">
        <x:f>'Consolidated'!C8</x:f>
        <x:v>29.5%</x:v>
      </x:c>
      <x:c r="X9" s="80" t="str">
        <x:f>'Consolidated'!D8</x:f>
        <x:v>30.0%</x:v>
      </x:c>
      <x:c r="Y9" s="80" t="str">
        <x:f>'Consolidated'!E8</x:f>
        <x:v>29.5%</x:v>
      </x:c>
    </x:row>
    <x:row r="10" ht="19" customHeight="1">
      <x:c r="A10" s="70" t="str">
        <x:v>调整后净利润 / 管理层净利润</x:v>
      </x:c>
      <x:c r="B10" s="70" t="str">
        <x:v>$mm</x:v>
      </x:c>
      <x:c r="C10" s="85" t="n">
        <x:f>'Consolidated'!D9</x:f>
        <x:v>2019</x:v>
      </x:c>
      <x:c r="D10" s="85" t="n">
        <x:f>'Consolidated'!E9</x:f>
        <x:v>2089</x:v>
      </x:c>
      <x:c r="E10" s="85" t="n">
        <x:f>E13*E12</x:f>
        <x:v>2126.02572</x:v>
      </x:c>
      <x:c r="F10" s="85" t="n">
        <x:f>F13*F12</x:f>
        <x:v>2111.8522152</x:v>
      </x:c>
      <x:c r="G10" s="85" t="n">
        <x:f>SUM(C10:F10)</x:f>
        <x:v>8345.8779352</x:v>
      </x:c>
      <x:c r="H10" s="85" t="n">
        <x:f>H7*H11</x:f>
        <x:v>8777.7231396</x:v>
      </x:c>
      <x:c r="I10" s="85" t="n">
        <x:f>I7*I11</x:f>
        <x:v>9341.730350105001</x:v>
      </x:c>
      <x:c r="J10" s="85" t="n">
        <x:f>J7*J11</x:f>
        <x:v>9894.110927328602</x:v>
      </x:c>
      <x:c r="K10" s="85" t="n">
        <x:f>K7*K11</x:f>
        <x:v>10478.3752363993</x:v>
      </x:c>
      <x:c r="L10" s="85" t="n">
        <x:f>L7*L11</x:f>
        <x:v>11096.330699058744</x:v>
      </x:c>
      <x:c r="M10" s="86"/>
      <x:c r="N10" s="87" t="n">
        <x:f>'Income Statement'!C37</x:f>
        <x:v>4381</x:v>
      </x:c>
      <x:c r="O10" s="87" t="n">
        <x:f>'Income Statement'!D37</x:f>
        <x:v>2285</x:v>
      </x:c>
      <x:c r="P10" s="87" t="n">
        <x:f>'Income Statement'!E37</x:f>
        <x:v>2501</x:v>
      </x:c>
      <x:c r="Q10" s="87" t="n">
        <x:f>'Income Statement'!F37</x:f>
        <x:v>3826</x:v>
      </x:c>
      <x:c r="R10" s="87" t="n">
        <x:f>'Income Statement'!G37</x:f>
        <x:v>4147</x:v>
      </x:c>
      <x:c r="S10" s="87" t="n">
        <x:f>'Income Statement'!H37</x:f>
        <x:v>6199</x:v>
      </x:c>
      <x:c r="T10" s="87" t="n">
        <x:f>'Income Statement'!I37</x:f>
        <x:v>6565</x:v>
      </x:c>
      <x:c r="U10" s="87" t="n">
        <x:f>'Income Statement'!J37</x:f>
        <x:v>6898</x:v>
      </x:c>
      <x:c r="V10" s="87" t="n">
        <x:f>'Consolidated'!B9</x:f>
        <x:v>1987</x:v>
      </x:c>
      <x:c r="W10" s="87" t="n">
        <x:f>'Consolidated'!C9</x:f>
        <x:v>1968</x:v>
      </x:c>
      <x:c r="X10" s="87" t="n">
        <x:f>'Consolidated'!D9</x:f>
        <x:v>2019</x:v>
      </x:c>
      <x:c r="Y10" s="87" t="n">
        <x:f>'Consolidated'!E9</x:f>
        <x:v>2089</x:v>
      </x:c>
    </x:row>
    <x:row r="11" ht="19" customHeight="1">
      <x:c r="A11" s="58" t="str">
        <x:v>净利润率</x:v>
      </x:c>
      <x:c r="B11" s="58" t="str">
        <x:v>%</x:v>
      </x:c>
      <x:c r="C11" s="78" t="n">
        <x:f>C10/C7</x:f>
        <x:v>0.22992825418517254</x:v>
      </x:c>
      <x:c r="D11" s="78" t="n">
        <x:f>D10/D7</x:f>
        <x:v>0.22488965442997094</x:v>
      </x:c>
      <x:c r="E11" s="78" t="n">
        <x:f>E10/E7</x:f>
        <x:v>0.2328130750446238</x:v>
      </x:c>
      <x:c r="F11" s="78" t="n">
        <x:f>F10/F7</x:f>
        <x:v>0.22732923443245523</x:v>
      </x:c>
      <x:c r="G11" s="78" t="n">
        <x:f>G10/G7</x:f>
        <x:v>0.2287059464744624</x:v>
      </x:c>
      <x:c r="H11" s="77" t="n">
        <x:v>0.228</x:v>
      </x:c>
      <x:c r="I11" s="77" t="n">
        <x:v>0.23</x:v>
      </x:c>
      <x:c r="J11" s="77" t="n">
        <x:v>0.232</x:v>
      </x:c>
      <x:c r="K11" s="77" t="n">
        <x:v>0.234</x:v>
      </x:c>
      <x:c r="L11" s="77" t="n">
        <x:v>0.236</x:v>
      </x:c>
      <x:c r="M11" s="79"/>
      <x:c r="N11" s="80" t="n">
        <x:f>N10/N7</x:f>
        <x:v>0.2940268456375839</x:v>
      </x:c>
      <x:c r="O11" s="80" t="n">
        <x:f>O10/O7</x:f>
        <x:v>0.08094799489868217</x:v>
      </x:c>
      <x:c r="P11" s="80" t="n">
        <x:f>P10/P7</x:f>
        <x:v>0.09180339903828506</x:v>
      </x:c>
      <x:c r="Q11" s="80" t="n">
        <x:f>Q10/Q7</x:f>
        <x:v>0.12424901763387783</x:v>
      </x:c>
      <x:c r="R11" s="80" t="n">
        <x:f>R10/R7</x:f>
        <x:v>0.12429564800383647</x:v>
      </x:c>
      <x:c r="S11" s="80" t="n">
        <x:f>S10/S7</x:f>
        <x:v>0.18868326535581664</x:v>
      </x:c>
      <x:c r="T11" s="80" t="n">
        <x:f>T10/T7</x:f>
        <x:v>0.19890925617330707</x:v>
      </x:c>
      <x:c r="U11" s="80" t="n">
        <x:f>U10/U7</x:f>
        <x:v>0.20296592714647207</x:v>
      </x:c>
      <x:c r="V11" s="80" t="n">
        <x:f>V10/V7</x:f>
        <x:v>0.23064422518862449</x:v>
      </x:c>
      <x:c r="W11" s="80" t="n">
        <x:f>W10/W7</x:f>
        <x:v>0.22455499771793702</x:v>
      </x:c>
      <x:c r="X11" s="80" t="n">
        <x:f>X10/X7</x:f>
        <x:v>0.22992825418517254</x:v>
      </x:c>
      <x:c r="Y11" s="80" t="n">
        <x:f>Y10/Y7</x:f>
        <x:v>0.22488965442997094</x:v>
      </x:c>
    </x:row>
    <x:row r="12" ht="19" customHeight="1">
      <x:c r="A12" s="58" t="str">
        <x:v>稀释后股数</x:v>
      </x:c>
      <x:c r="B12" s="58" t="str">
        <x:v>mm</x:v>
      </x:c>
      <x:c r="C12" s="88" t="n">
        <x:f>'Income Statement'!J48/1000</x:f>
        <x:v>472.195</x:v>
      </x:c>
      <x:c r="D12" s="88" t="n">
        <x:f>'Income Statement'!J48/1000</x:f>
        <x:v>472.195</x:v>
      </x:c>
      <x:c r="E12" s="88" t="n">
        <x:f>G12</x:f>
        <x:v>472.45016</x:v>
      </x:c>
      <x:c r="F12" s="88" t="n">
        <x:f>G12</x:f>
        <x:v>472.45016</x:v>
      </x:c>
      <x:c r="G12" s="88" t="n">
        <x:f>T12*(1-G14)</x:f>
        <x:v>472.45016</x:v>
      </x:c>
      <x:c r="H12" s="88" t="n">
        <x:f>G12*(1-H14)</x:f>
        <x:v>463.0011568</x:v>
      </x:c>
      <x:c r="I12" s="88" t="n">
        <x:f>H12*(1-I14)</x:f>
        <x:v>453.74113366399996</x:v>
      </x:c>
      <x:c r="J12" s="88" t="n">
        <x:f>I12*(1-J14)</x:f>
        <x:v>444.66631099072</x:v>
      </x:c>
      <x:c r="K12" s="88" t="n">
        <x:f>J12*(1-K14)</x:f>
        <x:v>435.77298477090557</x:v>
      </x:c>
      <x:c r="L12" s="88" t="n">
        <x:f>K12*(1-L14)</x:f>
        <x:v>427.05752507548743</x:v>
      </x:c>
      <x:c r="M12" s="89"/>
      <x:c r="N12" s="90" t="n">
        <x:f>'Income Statement'!C48/1000</x:f>
        <x:v>334.127</x:v>
      </x:c>
      <x:c r="O12" s="90" t="n">
        <x:f>'Income Statement'!D48/1000</x:f>
        <x:v>545.17</x:v>
      </x:c>
      <x:c r="P12" s="90" t="n">
        <x:f>'Income Statement'!E48/1000</x:f>
        <x:v>531.157</x:v>
      </x:c>
      <x:c r="Q12" s="90" t="n">
        <x:f>'Income Statement'!F48/1000</x:f>
        <x:v>521.875</x:v>
      </x:c>
      <x:c r="R12" s="90" t="n">
        <x:f>'Income Statement'!G48/1000</x:f>
        <x:v>504.038</x:v>
      </x:c>
      <x:c r="S12" s="90" t="n">
        <x:f>'Income Statement'!H48/1000</x:f>
        <x:v>492.29</x:v>
      </x:c>
      <x:c r="T12" s="90" t="n">
        <x:f>'Income Statement'!I48/1000</x:f>
        <x:v>482.092</x:v>
      </x:c>
      <x:c r="U12" s="90" t="n">
        <x:f>'Income Statement'!J48/1000</x:f>
        <x:v>472.195</x:v>
      </x:c>
      <x:c r="V12" s="90" t="str">
        <x:f>"n.a."</x:f>
        <x:v>n.a.</x:v>
      </x:c>
      <x:c r="W12" s="90" t="str">
        <x:f>"n.a."</x:f>
        <x:v>n.a.</x:v>
      </x:c>
      <x:c r="X12" s="90" t="str">
        <x:f>"n.a."</x:f>
        <x:v>n.a.</x:v>
      </x:c>
      <x:c r="Y12" s="90" t="str">
        <x:f>"n.a."</x:f>
        <x:v>n.a.</x:v>
      </x:c>
    </x:row>
    <x:row r="13" ht="19" customHeight="1">
      <x:c r="A13" s="70" t="str">
        <x:v>调整后稀释 EPS</x:v>
      </x:c>
      <x:c r="B13" s="70" t="str">
        <x:v>$ / share</x:v>
      </x:c>
      <x:c r="C13" s="81" t="n">
        <x:f>'Consolidated'!D10</x:f>
        <x:v>4.33</x:v>
      </x:c>
      <x:c r="D13" s="81" t="n">
        <x:f>'Consolidated'!E10</x:f>
        <x:v>4.5</x:v>
      </x:c>
      <x:c r="E13" s="82" t="n">
        <x:v>4.5</x:v>
      </x:c>
      <x:c r="F13" s="81" t="n">
        <x:f>G13-C13-D13-E13</x:f>
        <x:v>4.470000000000001</x:v>
      </x:c>
      <x:c r="G13" s="82" t="n">
        <x:v>17.8</x:v>
      </x:c>
      <x:c r="H13" s="81" t="n">
        <x:f>H10/H12</x:f>
        <x:v>18.958317945178838</x:v>
      </x:c>
      <x:c r="I13" s="81" t="n">
        <x:f>I10/I12</x:f>
        <x:v>20.588237779259064</x:v>
      </x:c>
      <x:c r="J13" s="81" t="n">
        <x:f>J10/J12</x:f>
        <x:v>22.25064207199427</x:v>
      </x:c>
      <x:c r="K13" s="81" t="n">
        <x:f>K10/K12</x:f>
        <x:v>24.045490662777063</x:v>
      </x:c>
      <x:c r="L13" s="81" t="n">
        <x:f>L10/L12</x:f>
        <x:v>25.98322251105946</x:v>
      </x:c>
      <x:c r="M13" s="83"/>
      <x:c r="N13" s="84" t="n">
        <x:f>'Income Statement'!C45</x:f>
        <x:v>13.11</x:v>
      </x:c>
      <x:c r="O13" s="84" t="n">
        <x:f>'Income Statement'!D45</x:f>
        <x:v>4.19</x:v>
      </x:c>
      <x:c r="P13" s="84" t="n">
        <x:f>'Income Statement'!E45</x:f>
        <x:v>4.71</x:v>
      </x:c>
      <x:c r="Q13" s="84" t="n">
        <x:f>'Income Statement'!F45</x:f>
        <x:v>7.33</x:v>
      </x:c>
      <x:c r="R13" s="84" t="n">
        <x:f>'Income Statement'!G45</x:f>
        <x:v>8.23</x:v>
      </x:c>
      <x:c r="S13" s="84" t="n">
        <x:f>'Income Statement'!H45</x:f>
        <x:v>12.59</x:v>
      </x:c>
      <x:c r="T13" s="84" t="n">
        <x:f>'Income Statement'!I45</x:f>
        <x:v>13.62</x:v>
      </x:c>
      <x:c r="U13" s="84" t="n">
        <x:f>'Income Statement'!J45</x:f>
        <x:v>14.61</x:v>
      </x:c>
      <x:c r="V13" s="84" t="n">
        <x:f>'Consolidated'!B10</x:f>
        <x:v>4.21</x:v>
      </x:c>
      <x:c r="W13" s="84" t="n">
        <x:f>'Consolidated'!C10</x:f>
        <x:v>4.2</x:v>
      </x:c>
      <x:c r="X13" s="84" t="n">
        <x:f>'Consolidated'!D10</x:f>
        <x:v>4.33</x:v>
      </x:c>
      <x:c r="Y13" s="84" t="n">
        <x:f>'Consolidated'!E10</x:f>
        <x:v>4.5</x:v>
      </x:c>
    </x:row>
    <x:row r="14" ht="19" customHeight="1">
      <x:c r="A14" s="58" t="str">
        <x:v>净缩股速率</x:v>
      </x:c>
      <x:c r="B14" s="58" t="str">
        <x:v>%</x:v>
      </x:c>
      <x:c r="C14" s="78"/>
      <x:c r="D14" s="78"/>
      <x:c r="E14" s="78"/>
      <x:c r="F14" s="78"/>
      <x:c r="G14" s="77" t="n">
        <x:v>0.02</x:v>
      </x:c>
      <x:c r="H14" s="77" t="n">
        <x:v>0.02</x:v>
      </x:c>
      <x:c r="I14" s="77" t="n">
        <x:v>0.02</x:v>
      </x:c>
      <x:c r="J14" s="77" t="n">
        <x:v>0.02</x:v>
      </x:c>
      <x:c r="K14" s="77" t="n">
        <x:v>0.02</x:v>
      </x:c>
      <x:c r="L14" s="77" t="n">
        <x:v>0.02</x:v>
      </x:c>
      <x:c r="M14" s="79"/>
      <x:c r="N14" s="80" t="str"/>
      <x:c r="O14" s="80" t="n">
        <x:f>1-O12/N12</x:f>
        <x:v>-0.631625100635387</x:v>
      </x:c>
      <x:c r="P14" s="80" t="n">
        <x:f>1-P12/O12</x:f>
        <x:v>0.025703908872461656</x:v>
      </x:c>
      <x:c r="Q14" s="80" t="n">
        <x:f>1-Q12/P12</x:f>
        <x:v>0.01747505916329828</x:v>
      </x:c>
      <x:c r="R14" s="80" t="n">
        <x:f>1-R12/Q12</x:f>
        <x:v>0.03417868263473056</x:v>
      </x:c>
      <x:c r="S14" s="80" t="n">
        <x:f>1-S12/R12</x:f>
        <x:v>0.02330776647792432</x:v>
      </x:c>
      <x:c r="T14" s="80" t="n">
        <x:f>1-T12/S12</x:f>
        <x:v>0.02071543196083614</x:v>
      </x:c>
      <x:c r="U14" s="80" t="n">
        <x:f>1-U12/T12</x:f>
        <x:v>0.02052927656961745</x:v>
      </x:c>
      <x:c r="V14" s="80" t="str">
        <x:f>"n.a."</x:f>
        <x:v>n.a.</x:v>
      </x:c>
      <x:c r="W14" s="80" t="str">
        <x:f>"n.a."</x:f>
        <x:v>n.a.</x:v>
      </x:c>
      <x:c r="X14" s="80" t="str">
        <x:f>"n.a."</x:f>
        <x:v>n.a.</x:v>
      </x:c>
      <x:c r="Y14" s="80" t="str">
        <x:f>"n.a."</x:f>
        <x:v>n.a.</x:v>
      </x:c>
    </x:row>
    <x:row r="15" ht="19" customHeight="1">
      <x:c r="A15" s="70" t="str">
        <x:v>资本开支</x:v>
      </x:c>
      <x:c r="B15" s="70" t="str">
        <x:v>$mm</x:v>
      </x:c>
      <x:c r="C15" s="85" t="n">
        <x:f>'Consolidated'!D14</x:f>
        <x:v>1342</x:v>
      </x:c>
      <x:c r="D15" s="85" t="n">
        <x:f>'Consolidated'!E14</x:f>
        <x:v>1438</x:v>
      </x:c>
      <x:c r="E15" s="91" t="n">
        <x:v>1450</x:v>
      </x:c>
      <x:c r="F15" s="85" t="n">
        <x:f>G15-C15-D15-E15</x:f>
        <x:v>1520</x:v>
      </x:c>
      <x:c r="G15" s="91" t="n">
        <x:v>5750</x:v>
      </x:c>
      <x:c r="H15" s="85" t="n">
        <x:f>H7*H16</x:f>
        <x:v>5967.3117835</x:v>
      </x:c>
      <x:c r="I15" s="85" t="n">
        <x:f>I7*I16</x:f>
        <x:v>6092.432837025</x:v>
      </x:c>
      <x:c r="J15" s="85" t="n">
        <x:f>J7*J16</x:f>
        <x:v>6183.819329580375</x:v>
      </x:c>
      <x:c r="K15" s="85" t="n">
        <x:f>K7*K16</x:f>
        <x:v>6493.010296059394</x:v>
      </x:c>
      <x:c r="L15" s="85" t="n">
        <x:f>L7*L16</x:f>
        <x:v>6817.660810862364</x:v>
      </x:c>
      <x:c r="M15" s="86"/>
      <x:c r="N15" s="87" t="n">
        <x:f>-'Cash Flow Statement'!C33</x:f>
        <x:v>1883</x:v>
      </x:c>
      <x:c r="O15" s="87" t="n">
        <x:f>-'Cash Flow Statement'!D33</x:f>
        <x:v>3682</x:v>
      </x:c>
      <x:c r="P15" s="87" t="n">
        <x:f>-'Cash Flow Statement'!E33</x:f>
        <x:v>3400</x:v>
      </x:c>
      <x:c r="Q15" s="87" t="n">
        <x:f>-'Cash Flow Statement'!F33</x:f>
        <x:v>3086</x:v>
      </x:c>
      <x:c r="R15" s="87" t="n">
        <x:f>-'Cash Flow Statement'!G33</x:f>
        <x:v>3173</x:v>
      </x:c>
      <x:c r="S15" s="87" t="n">
        <x:f>-'Cash Flow Statement'!H33</x:f>
        <x:v>3787</x:v>
      </x:c>
      <x:c r="T15" s="87" t="n">
        <x:f>-'Cash Flow Statement'!I33</x:f>
        <x:v>4497</x:v>
      </x:c>
      <x:c r="U15" s="87" t="n">
        <x:f>-'Cash Flow Statement'!J33</x:f>
        <x:v>5261</x:v>
      </x:c>
      <x:c r="V15" s="87" t="n">
        <x:f>'Consolidated'!B14</x:f>
        <x:v>1276</x:v>
      </x:c>
      <x:c r="W15" s="87" t="n">
        <x:f>'Consolidated'!C14</x:f>
        <x:v>1458</x:v>
      </x:c>
      <x:c r="X15" s="87" t="n">
        <x:f>'Consolidated'!D14</x:f>
        <x:v>1342</x:v>
      </x:c>
      <x:c r="Y15" s="87" t="n">
        <x:f>'Consolidated'!E14</x:f>
        <x:v>1438</x:v>
      </x:c>
    </x:row>
    <x:row r="16" ht="19" customHeight="1">
      <x:c r="A16" s="58" t="str">
        <x:v>资本开支 / 销售额</x:v>
      </x:c>
      <x:c r="B16" s="58" t="str">
        <x:v>%</x:v>
      </x:c>
      <x:c r="C16" s="78" t="n">
        <x:f>C15/C7</x:f>
        <x:v>0.15282997380708346</x:v>
      </x:c>
      <x:c r="D16" s="78" t="n">
        <x:f>D15/D7</x:f>
        <x:v>0.1548067606846808</x:v>
      </x:c>
      <x:c r="E16" s="78" t="n">
        <x:f>E15/E7</x:f>
        <x:v>0.1587840427512347</x:v>
      </x:c>
      <x:c r="F16" s="78" t="n">
        <x:f>F15/F7</x:f>
        <x:v>0.1636196102408653</x:v>
      </x:c>
      <x:c r="G16" s="78" t="n">
        <x:f>G15/G7</x:f>
        <x:v>0.1575699048606616</x:v>
      </x:c>
      <x:c r="H16" s="77" t="n">
        <x:v>0.155</x:v>
      </x:c>
      <x:c r="I16" s="77" t="n">
        <x:v>0.15</x:v>
      </x:c>
      <x:c r="J16" s="77" t="n">
        <x:v>0.145</x:v>
      </x:c>
      <x:c r="K16" s="77" t="n">
        <x:v>0.145</x:v>
      </x:c>
      <x:c r="L16" s="77" t="n">
        <x:v>0.145</x:v>
      </x:c>
      <x:c r="M16" s="79"/>
      <x:c r="N16" s="80" t="n">
        <x:f>-'Cash Flow Statement'!C33/'Income Statement'!C10</x:f>
        <x:v>0.1263758389261745</x:v>
      </x:c>
      <x:c r="O16" s="80" t="n">
        <x:f>-'Cash Flow Statement'!D33/'Income Statement'!D10</x:f>
        <x:v>0.13043786311463795</x:v>
      </x:c>
      <x:c r="P16" s="80" t="n">
        <x:f>-'Cash Flow Statement'!E33/'Income Statement'!E10</x:f>
        <x:v>0.12480270161142312</x:v>
      </x:c>
      <x:c r="Q16" s="80" t="n">
        <x:f>-'Cash Flow Statement'!F33/'Income Statement'!F10</x:f>
        <x:v>0.10021758191796837</x:v>
      </x:c>
      <x:c r="R16" s="80" t="n">
        <x:f>-'Cash Flow Statement'!G33/'Income Statement'!G10</x:f>
        <x:v>0.09510250569476082</x:v>
      </x:c>
      <x:c r="S16" s="80" t="n">
        <x:f>-'Cash Flow Statement'!H33/'Income Statement'!H10</x:f>
        <x:v>0.11526754733061423</x:v>
      </x:c>
      <x:c r="T16" s="80" t="n">
        <x:f>-'Cash Flow Statement'!I33/'Income Statement'!I10</x:f>
        <x:v>0.1362520830177246</x:v>
      </x:c>
      <x:c r="U16" s="80" t="n">
        <x:f>-'Cash Flow Statement'!J33/'Income Statement'!J10</x:f>
        <x:v>0.15479903489672217</x:v>
      </x:c>
      <x:c r="V16" s="80" t="n">
        <x:f>'Consolidated'!B14/'Consolidated'!B4</x:f>
        <x:v>0.1481137550783517</x:v>
      </x:c>
      <x:c r="W16" s="80" t="n">
        <x:f>'Consolidated'!C14/'Consolidated'!C4</x:f>
        <x:v>0.16636239160200822</x:v>
      </x:c>
      <x:c r="X16" s="80" t="n">
        <x:f>'Consolidated'!D14/'Consolidated'!D4</x:f>
        <x:v>0.15282997380708346</x:v>
      </x:c>
      <x:c r="Y16" s="80" t="n">
        <x:f>'Consolidated'!E14/'Consolidated'!E4</x:f>
        <x:v>0.1548067606846808</x:v>
      </x:c>
    </x:row>
    <x:row r="17" ht="19" customHeight="1">
      <x:c r="A17" s="58" t="str">
        <x:v>FCF 转换率</x:v>
      </x:c>
      <x:c r="B17" s="58" t="str">
        <x:v>%</x:v>
      </x:c>
      <x:c r="C17" s="78" t="n">
        <x:f>('Consolidated'!D12-'Consolidated'!D14)/'Consolidated'!D9</x:f>
        <x:v>0.4447746409113422</x:v>
      </x:c>
      <x:c r="D17" s="78" t="n">
        <x:f>('Consolidated'!E12-'Consolidated'!E14)/'Consolidated'!E9</x:f>
        <x:v>0.39875538535184296</x:v>
      </x:c>
      <x:c r="E17" s="78"/>
      <x:c r="F17" s="78"/>
      <x:c r="G17" s="77" t="n">
        <x:v>0.7</x:v>
      </x:c>
      <x:c r="H17" s="77" t="n">
        <x:v>0.75</x:v>
      </x:c>
      <x:c r="I17" s="77" t="n">
        <x:v>0.77</x:v>
      </x:c>
      <x:c r="J17" s="77" t="n">
        <x:v>0.78</x:v>
      </x:c>
      <x:c r="K17" s="77" t="n">
        <x:v>0.78</x:v>
      </x:c>
      <x:c r="L17" s="77" t="n">
        <x:v>0.78</x:v>
      </x:c>
      <x:c r="M17" s="79"/>
      <x:c r="N17" s="80" t="n">
        <x:f>'Cash Flow Statement'!C66</x:f>
        <x:v>0.40424560602602144</x:v>
      </x:c>
      <x:c r="O17" s="80" t="n">
        <x:f>'Cash Flow Statement'!D66</x:f>
        <x:v>1.0665207877461707</x:v>
      </x:c>
      <x:c r="P17" s="80" t="n">
        <x:f>'Cash Flow Statement'!E66</x:f>
        <x:v>1.6109556177528987</x:v>
      </x:c>
      <x:c r="Q17" s="80" t="n">
        <x:f>'Cash Flow Statement'!F66</x:f>
        <x:v>1.7352326189231573</x:v>
      </x:c>
      <x:c r="R17" s="80" t="n">
        <x:f>'Cash Flow Statement'!G66</x:f>
        <x:v>1.3723173378345792</x:v>
      </x:c>
      <x:c r="S17" s="80" t="n">
        <x:f>'Cash Flow Statement'!H66</x:f>
        <x:v>0.8901435715437974</x:v>
      </x:c>
      <x:c r="T17" s="80" t="n">
        <x:f>'Cash Flow Statement'!I66</x:f>
        <x:v>0.7503427265803504</x:v>
      </x:c>
      <x:c r="U17" s="80" t="n">
        <x:f>'Cash Flow Statement'!J66</x:f>
        <x:v>0.7377500724847782</x:v>
      </x:c>
      <x:c r="V17" s="80" t="n">
        <x:f>('Consolidated'!B12-'Consolidated'!B14)/'Consolidated'!B9</x:f>
        <x:v>0.8414695520885758</x:v>
      </x:c>
      <x:c r="W17" s="80" t="n">
        <x:f>('Consolidated'!C12-'Consolidated'!C14)/'Consolidated'!C9</x:f>
        <x:v>0.7987804878048781</x:v>
      </x:c>
      <x:c r="X17" s="80" t="n">
        <x:f>('Consolidated'!D12-'Consolidated'!D14)/'Consolidated'!D9</x:f>
        <x:v>0.4447746409113422</x:v>
      </x:c>
      <x:c r="Y17" s="80" t="n">
        <x:f>('Consolidated'!E12-'Consolidated'!E14)/'Consolidated'!E9</x:f>
        <x:v>0.39875538535184296</x:v>
      </x:c>
    </x:row>
    <x:row r="18" ht="19" customHeight="1">
      <x:c r="A18" s="70" t="str">
        <x:v>FCF</x:v>
      </x:c>
      <x:c r="B18" s="70" t="str">
        <x:v>$mm</x:v>
      </x:c>
      <x:c r="C18" s="85" t="n">
        <x:f>'Consolidated'!D12-'Consolidated'!D14</x:f>
        <x:v>898</x:v>
      </x:c>
      <x:c r="D18" s="85" t="n">
        <x:f>'Consolidated'!E12-'Consolidated'!E14</x:f>
        <x:v>833</x:v>
      </x:c>
      <x:c r="E18" s="85"/>
      <x:c r="F18" s="85"/>
      <x:c r="G18" s="85" t="n">
        <x:f>G10*G17</x:f>
        <x:v>5842.114554639999</x:v>
      </x:c>
      <x:c r="H18" s="85" t="n">
        <x:f>H10*H17</x:f>
        <x:v>6583.292354700001</x:v>
      </x:c>
      <x:c r="I18" s="85" t="n">
        <x:f>I10*I17</x:f>
        <x:v>7193.1323695808505</x:v>
      </x:c>
      <x:c r="J18" s="85" t="n">
        <x:f>J10*J17</x:f>
        <x:v>7717.40652331631</x:v>
      </x:c>
      <x:c r="K18" s="85" t="n">
        <x:f>K10*K17</x:f>
        <x:v>8173.132684391455</x:v>
      </x:c>
      <x:c r="L18" s="85" t="n">
        <x:f>L10*L17</x:f>
        <x:v>8655.13794526582</x:v>
      </x:c>
      <x:c r="M18" s="86"/>
      <x:c r="N18" s="87" t="n">
        <x:f>'Cash Flow Statement'!C62</x:f>
        <x:v>1771</x:v>
      </x:c>
      <x:c r="O18" s="87" t="n">
        <x:f>'Cash Flow Statement'!D62</x:f>
        <x:v>2437</x:v>
      </x:c>
      <x:c r="P18" s="87" t="n">
        <x:f>'Cash Flow Statement'!E62</x:f>
        <x:v>4029</x:v>
      </x:c>
      <x:c r="Q18" s="87" t="n">
        <x:f>'Cash Flow Statement'!F62</x:f>
        <x:v>6639</x:v>
      </x:c>
      <x:c r="R18" s="87" t="n">
        <x:f>'Cash Flow Statement'!G62</x:f>
        <x:v>5691</x:v>
      </x:c>
      <x:c r="S18" s="87" t="n">
        <x:f>'Cash Flow Statement'!H62</x:f>
        <x:v>5518</x:v>
      </x:c>
      <x:c r="T18" s="87" t="n">
        <x:f>'Cash Flow Statement'!I62</x:f>
        <x:v>4926</x:v>
      </x:c>
      <x:c r="U18" s="87" t="n">
        <x:f>'Cash Flow Statement'!J62</x:f>
        <x:v>5089</x:v>
      </x:c>
      <x:c r="V18" s="87" t="n">
        <x:f>'Consolidated'!B12-'Consolidated'!B14</x:f>
        <x:v>1672</x:v>
      </x:c>
      <x:c r="W18" s="87" t="n">
        <x:f>'Consolidated'!C12-'Consolidated'!C14</x:f>
        <x:v>1572</x:v>
      </x:c>
      <x:c r="X18" s="87" t="n">
        <x:f>'Consolidated'!D12-'Consolidated'!D14</x:f>
        <x:v>898</x:v>
      </x:c>
      <x:c r="Y18" s="87" t="n">
        <x:f>'Consolidated'!E12-'Consolidated'!E14</x:f>
        <x:v>833</x:v>
      </x:c>
    </x:row>
    <x:row r="19" ht="19" customHeight="1">
      <x:c r="A19" s="58" t="str">
        <x:v>现金分红支付率</x:v>
      </x:c>
      <x:c r="B19" s="58" t="str">
        <x:v>%</x:v>
      </x:c>
      <x:c r="C19" s="78"/>
      <x:c r="D19" s="78"/>
      <x:c r="E19" s="78"/>
      <x:c r="F19" s="78"/>
      <x:c r="G19" s="77" t="n">
        <x:v>0.4</x:v>
      </x:c>
      <x:c r="H19" s="77" t="n">
        <x:v>0.4</x:v>
      </x:c>
      <x:c r="I19" s="77" t="n">
        <x:v>0.4</x:v>
      </x:c>
      <x:c r="J19" s="77" t="n">
        <x:v>0.4</x:v>
      </x:c>
      <x:c r="K19" s="77" t="n">
        <x:v>0.4</x:v>
      </x:c>
      <x:c r="L19" s="77" t="n">
        <x:v>0.4</x:v>
      </x:c>
      <x:c r="M19" s="79"/>
      <x:c r="N19" s="80" t="n">
        <x:f>-'Cash Flow Statement'!C45/'Income Statement'!C37</x:f>
        <x:v>0.26614928098607626</x:v>
      </x:c>
      <x:c r="O19" s="80" t="n">
        <x:f>-'Cash Flow Statement'!D45/'Income Statement'!D37</x:f>
        <x:v>0.8275711159737418</x:v>
      </x:c>
      <x:c r="P19" s="80" t="n">
        <x:f>-'Cash Flow Statement'!E45/'Income Statement'!E37</x:f>
        <x:v>0.810875649740104</x:v>
      </x:c>
      <x:c r="Q19" s="80" t="n">
        <x:f>-'Cash Flow Statement'!F45/'Income Statement'!F37</x:f>
        <x:v>0.5721380031364349</x:v>
      </x:c>
      <x:c r="R19" s="80" t="n">
        <x:f>-'Cash Flow Statement'!G45/'Income Statement'!G37</x:f>
        <x:v>0.5652278755727032</x:v>
      </x:c>
      <x:c r="S19" s="80" t="n">
        <x:f>-'Cash Flow Statement'!H45/'Income Statement'!H37</x:f>
        <x:v>0.4003871592192289</x:v>
      </x:c>
      <x:c r="T19" s="80" t="n">
        <x:f>-'Cash Flow Statement'!I45/'Income Statement'!I37</x:f>
        <x:v>0.4044173648134044</x:v>
      </x:c>
      <x:c r="U19" s="80" t="n">
        <x:f>-'Cash Flow Statement'!J45/'Income Statement'!J37</x:f>
        <x:v>0.40750942302116555</x:v>
      </x:c>
      <x:c r="V19" s="80" t="str">
        <x:f>"n.a."</x:f>
        <x:v>n.a.</x:v>
      </x:c>
      <x:c r="W19" s="80" t="str">
        <x:f>"n.a."</x:f>
        <x:v>n.a.</x:v>
      </x:c>
      <x:c r="X19" s="80" t="str">
        <x:f>"n.a."</x:f>
        <x:v>n.a.</x:v>
      </x:c>
      <x:c r="Y19" s="80" t="str">
        <x:f>"n.a."</x:f>
        <x:v>n.a.</x:v>
      </x:c>
    </x:row>
    <x:row r="20" ht="19" customHeight="1">
      <x:c r="A20" s="70" t="str">
        <x:v>每股现金分红</x:v>
      </x:c>
      <x:c r="B20" s="70" t="str">
        <x:v>$ / share</x:v>
      </x:c>
      <x:c r="C20" s="81"/>
      <x:c r="D20" s="81"/>
      <x:c r="E20" s="81"/>
      <x:c r="F20" s="81"/>
      <x:c r="G20" s="81" t="n">
        <x:f>G13*G19</x:f>
        <x:v>7.120000000000001</x:v>
      </x:c>
      <x:c r="H20" s="81" t="n">
        <x:f>H13*H19</x:f>
        <x:v>7.583327178071535</x:v>
      </x:c>
      <x:c r="I20" s="81" t="n">
        <x:f>I13*I19</x:f>
        <x:v>8.235295111703627</x:v>
      </x:c>
      <x:c r="J20" s="81" t="n">
        <x:f>J13*J19</x:f>
        <x:v>8.900256828797708</x:v>
      </x:c>
      <x:c r="K20" s="81" t="n">
        <x:f>K13*K19</x:f>
        <x:v>9.618196265110825</x:v>
      </x:c>
      <x:c r="L20" s="81" t="n">
        <x:f>L13*L19</x:f>
        <x:v>10.393289004423785</x:v>
      </x:c>
      <x:c r="M20" s="83"/>
      <x:c r="N20" s="84" t="n">
        <x:f>'Income Statement'!C45*(-'Cash Flow Statement'!C45/'Income Statement'!C37)</x:f>
        <x:v>3.4892170737274597</x:v>
      </x:c>
      <x:c r="O20" s="84" t="n">
        <x:f>'Income Statement'!D45*(-'Cash Flow Statement'!D45/'Income Statement'!D37)</x:f>
        <x:v>3.4675229759299784</x:v>
      </x:c>
      <x:c r="P20" s="84" t="n">
        <x:f>'Income Statement'!E45*(-'Cash Flow Statement'!E45/'Income Statement'!E37)</x:f>
        <x:v>3.8192243102758896</x:v>
      </x:c>
      <x:c r="Q20" s="84" t="n">
        <x:f>'Income Statement'!F45*(-'Cash Flow Statement'!F45/'Income Statement'!F37)</x:f>
        <x:v>4.193771562990068</x:v>
      </x:c>
      <x:c r="R20" s="84" t="n">
        <x:f>'Income Statement'!G45*(-'Cash Flow Statement'!G45/'Income Statement'!G37)</x:f>
        <x:v>4.651825415963347</x:v>
      </x:c>
      <x:c r="S20" s="84" t="n">
        <x:f>'Income Statement'!H45*(-'Cash Flow Statement'!H45/'Income Statement'!H37)</x:f>
        <x:v>5.040874334570092</x:v>
      </x:c>
      <x:c r="T20" s="84" t="n">
        <x:f>'Income Statement'!I45*(-'Cash Flow Statement'!I45/'Income Statement'!I37)</x:f>
        <x:v>5.508164508758568</x:v>
      </x:c>
      <x:c r="U20" s="84" t="n">
        <x:f>'Income Statement'!J45*(-'Cash Flow Statement'!J45/'Income Statement'!J37)</x:f>
        <x:v>5.953712670339229</x:v>
      </x:c>
      <x:c r="V20" s="84" t="str">
        <x:f>"n.a."</x:f>
        <x:v>n.a.</x:v>
      </x:c>
      <x:c r="W20" s="84" t="str">
        <x:f>"n.a."</x:f>
        <x:v>n.a.</x:v>
      </x:c>
      <x:c r="X20" s="84" t="str">
        <x:f>"n.a."</x:f>
        <x:v>n.a.</x:v>
      </x:c>
      <x:c r="Y20" s="84" t="str">
        <x:f>"n.a."</x:f>
        <x:v>n.a.</x:v>
      </x:c>
    </x:row>
    <x:row r="23" ht="20" customHeight="1">
      <x:c r="A23" s="76" t="str">
        <x:v>口径与推导说明</x:v>
      </x:c>
      <x:c r="B23" s="76"/>
      <x:c r="C23" s="76"/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</x:row>
    <x:row r="24" ht="18" customHeight="1">
      <x:c r="A24" s="50" t="str">
        <x:v>1. FY2026 基期采用年结日口径：Q1/Q2 为当前底稿已披露实际，Q3 采用最新季度指引 EPS 中值 $4.50，Q4 为全年指引中值 $17.80 减前三季度实际/预测。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  <x:c r="X24" s="50"/>
      <x:c r="Y24" s="50"/>
    </x:row>
    <x:row r="25" ht="18" customHeight="1">
      <x:c r="A25" s="50" t="str">
        <x:v>2. FY2026 销售额按 Q3/Q4 同比 +6% 估计；资本开支采用管理层 Q2 纪要给出的 FY2026 $5.5–6.0B 中值 $5.75B。</x:v>
      </x:c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  <x:c r="X25" s="50"/>
      <x:c r="Y25" s="50"/>
    </x:row>
    <x:row r="26" ht="18" customHeight="1">
      <x:c r="A26" s="50" t="str">
        <x:v>3. FY2027–FY2031 销售增速、利润率、缩股、FCF 转换率和分红支付率为可编辑基准假设，均应在新财报发布后与实际和指引逐项复核。</x:v>
      </x:c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  <x:c r="X26" s="50"/>
      <x:c r="Y26" s="50"/>
    </x:row>
    <x:row r="27" ht="18" customHeight="1">
      <x:c r="A27" s="50" t="str">
        <x:v>4. FY2018–FY2025 右侧历史主要为 10-K GAAP 数据；FY2025及近期季度的 EPS/净利润历史区块同时参考管理层调整后口径，已在标签中明确，不能与 GAAP 直接混比。</x:v>
      </x:c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</x:row>
    <x:row r="28" ht="18" customHeight="1">
      <x:c r="A28" s="50" t="str">
        <x:v>5. 预测区右侧强制保留完整年度与连续近期季度历史，更新时先以新披露替换预测，再重算全年、现金流、股数与估值。</x:v>
      </x:c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4" topLeftCell="B15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48" t="str">
        <x:v>Linde plc — Year-End Valuation</x:v>
      </x:c>
      <x:c r="B1" s="48"/>
      <x:c r="C1" s="48"/>
      <x:c r="D1" s="48"/>
    </x:row>
    <x:row r="2" ht="18" customHeight="1">
      <x:c r="A2" s="49" t="str">
        <x:v>直接退出 PE + 现金分红 + 净缩股；以 FY2026E 完整财年为估值基期，预测至 FY2031E。</x:v>
      </x:c>
      <x:c r="B2" s="49"/>
      <x:c r="C2" s="49"/>
      <x:c r="D2" s="49"/>
    </x:row>
    <x:row r="4" ht="20" customHeight="1">
      <x:c r="A4" s="52" t="str">
        <x:v>估值起点与控制项</x:v>
      </x:c>
      <x:c r="B4" s="52"/>
      <x:c r="C4" s="52"/>
      <x:c r="D4" s="52"/>
      <x:c r="E4" s="52"/>
      <x:c r="F4" s="52"/>
      <x:c r="G4" s="52"/>
    </x:row>
    <x:row r="5" ht="20" customHeight="1">
      <x:c r="A5" s="57" t="str">
        <x:v>估值日期</x:v>
      </x:c>
      <x:c r="B5" s="57" t="str">
        <x:v>2026-09-15</x:v>
      </x:c>
      <x:c r="C5" s="57" t="str"/>
      <x:c r="D5" s="57" t="str">
        <x:v>说明</x:v>
      </x:c>
    </x:row>
    <x:row r="6" ht="20" customHeight="1">
      <x:c r="A6" s="57" t="str">
        <x:v>当前股价（输入）</x:v>
      </x:c>
      <x:c r="B6" s="96"/>
      <x:c r="C6" s="57" t="str">
        <x:v>$ / share</x:v>
      </x:c>
      <x:c r="D6" s="57" t="str">
        <x:v>需由用户按估值日补充；未填时 IRR 保持空白</x:v>
      </x:c>
    </x:row>
    <x:row r="7" ht="20" customHeight="1">
      <x:c r="A7" s="57" t="str">
        <x:v>当前稀释后股数</x:v>
      </x:c>
      <x:c r="B7" s="61" t="n">
        <x:f>'Valuation Driver Build'!G12</x:f>
        <x:v>472.45016</x:v>
      </x:c>
      <x:c r="C7" s="57" t="str">
        <x:v>mm</x:v>
      </x:c>
      <x:c r="D7" s="57" t="str">
        <x:v>链接 FY2026E 估计；用于市值换算</x:v>
      </x:c>
    </x:row>
    <x:row r="8" ht="20" customHeight="1">
      <x:c r="A8" s="57" t="str">
        <x:v>当前总市值</x:v>
      </x:c>
      <x:c r="B8" s="61" t="str">
        <x:f>IF(B6="","",B6*B7)</x:f>
      </x:c>
      <x:c r="C8" s="57" t="str">
        <x:v>$mm</x:v>
      </x:c>
      <x:c r="D8" s="57" t="str">
        <x:v>当前股价 × 当前稀释后股数</x:v>
      </x:c>
    </x:row>
    <x:row r="9" ht="20" customHeight="1">
      <x:c r="A9" s="57" t="str">
        <x:v>要求年化股东回报率</x:v>
      </x:c>
      <x:c r="B9" s="101" t="n">
        <x:v>0.1</x:v>
      </x:c>
      <x:c r="C9" s="57" t="str">
        <x:v>%</x:v>
      </x:c>
      <x:c r="D9" s="57" t="str">
        <x:v>可编辑目标回报率</x:v>
      </x:c>
    </x:row>
    <x:row r="10" ht="20" customHeight="1">
      <x:c r="A10" s="57" t="str">
        <x:v>退出 PE</x:v>
      </x:c>
      <x:c r="B10" s="96" t="n">
        <x:v>25</x:v>
      </x:c>
      <x:c r="C10" s="57" t="str">
        <x:v>倍</x:v>
      </x:c>
      <x:c r="D10" s="57" t="str">
        <x:v>直接输入；净缩股通过 EPS/股数路径单独体现</x:v>
      </x:c>
    </x:row>
    <x:row r="11" ht="20" customHeight="1">
      <x:c r="A11" s="57" t="str">
        <x:v>模型状态</x:v>
      </x:c>
      <x:c r="B11" s="98" t="str">
        <x:f>IF(AND(B6&gt;0,B9&gt;0,B10&gt;0),"可计算","待补充当前股价或检查输入")</x:f>
        <x:v>待补充当前股价或检查输入</x:v>
      </x:c>
      <x:c r="C11" s="57" t="str"/>
      <x:c r="D11" s="57" t="str">
        <x:v>需要当前股价后才可计算 IRR</x:v>
      </x:c>
    </x:row>
    <x:row r="13" ht="20" customHeight="1">
      <x:c r="A13" s="52" t="str">
        <x:v>年结日预测与每股价值路径</x:v>
      </x:c>
      <x:c r="B13" s="52"/>
      <x:c r="C13" s="52"/>
      <x:c r="D13" s="52"/>
      <x:c r="E13" s="52"/>
      <x:c r="F13" s="52"/>
      <x:c r="G13" s="52"/>
    </x:row>
    <x:row r="14" ht="28" customHeight="1">
      <x:c r="A14" s="93" t="str">
        <x:v>指标</x:v>
      </x:c>
      <x:c r="B14" s="93" t="str">
        <x:v>FY2026E</x:v>
      </x:c>
      <x:c r="C14" s="93" t="str">
        <x:v>FY2027E</x:v>
      </x:c>
      <x:c r="D14" s="93" t="str">
        <x:v>FY2028E</x:v>
      </x:c>
      <x:c r="E14" s="93" t="str">
        <x:v>FY2029E</x:v>
      </x:c>
      <x:c r="F14" s="93" t="str">
        <x:v>FY2030E</x:v>
      </x:c>
      <x:c r="G14" s="93" t="str">
        <x:v>FY2031E</x:v>
      </x:c>
    </x:row>
    <x:row r="15" ht="20" customHeight="1">
      <x:c r="A15" s="57" t="str">
        <x:v>调整后稀释 EPS</x:v>
      </x:c>
      <x:c r="B15" s="99" t="n">
        <x:f>'Valuation Driver Build'!G13</x:f>
        <x:v>17.8</x:v>
      </x:c>
      <x:c r="C15" s="99" t="n">
        <x:f>'Valuation Driver Build'!H13</x:f>
        <x:v>18.958317945178838</x:v>
      </x:c>
      <x:c r="D15" s="99" t="n">
        <x:f>'Valuation Driver Build'!I13</x:f>
        <x:v>20.588237779259064</x:v>
      </x:c>
      <x:c r="E15" s="99" t="n">
        <x:f>'Valuation Driver Build'!J13</x:f>
        <x:v>22.25064207199427</x:v>
      </x:c>
      <x:c r="F15" s="99" t="n">
        <x:f>'Valuation Driver Build'!K13</x:f>
        <x:v>24.045490662777063</x:v>
      </x:c>
      <x:c r="G15" s="99" t="n">
        <x:f>'Valuation Driver Build'!L13</x:f>
        <x:v>25.98322251105946</x:v>
      </x:c>
    </x:row>
    <x:row r="16" ht="20" customHeight="1">
      <x:c r="A16" s="57" t="str">
        <x:v>净缩股速率</x:v>
      </x:c>
      <x:c r="B16" s="100" t="n">
        <x:f>'Valuation Driver Build'!G14</x:f>
        <x:v>0.02</x:v>
      </x:c>
      <x:c r="C16" s="100" t="n">
        <x:f>'Valuation Driver Build'!H14</x:f>
        <x:v>0.02</x:v>
      </x:c>
      <x:c r="D16" s="100" t="n">
        <x:f>'Valuation Driver Build'!I14</x:f>
        <x:v>0.02</x:v>
      </x:c>
      <x:c r="E16" s="100" t="n">
        <x:f>'Valuation Driver Build'!J14</x:f>
        <x:v>0.02</x:v>
      </x:c>
      <x:c r="F16" s="100" t="n">
        <x:f>'Valuation Driver Build'!K14</x:f>
        <x:v>0.02</x:v>
      </x:c>
      <x:c r="G16" s="100" t="n">
        <x:f>'Valuation Driver Build'!L14</x:f>
        <x:v>0.02</x:v>
      </x:c>
    </x:row>
    <x:row r="17" ht="20" customHeight="1">
      <x:c r="A17" s="57" t="str">
        <x:v>股数指数</x:v>
      </x:c>
      <x:c r="B17" s="102" t="n">
        <x:f>1</x:f>
        <x:v>1</x:v>
      </x:c>
      <x:c r="C17" s="102" t="n">
        <x:f>B17*(1-C16)</x:f>
        <x:v>0.98</x:v>
      </x:c>
      <x:c r="D17" s="102" t="n">
        <x:f>C17*(1-D16)</x:f>
        <x:v>0.9603999999999999</x:v>
      </x:c>
      <x:c r="E17" s="102" t="n">
        <x:f>D17*(1-E16)</x:f>
        <x:v>0.9411919999999999</x:v>
      </x:c>
      <x:c r="F17" s="102" t="n">
        <x:f>E17*(1-F16)</x:f>
        <x:v>0.9223681599999999</x:v>
      </x:c>
      <x:c r="G17" s="102" t="n">
        <x:f>F17*(1-G16)</x:f>
        <x:v>0.9039207967999998</x:v>
      </x:c>
    </x:row>
    <x:row r="18" ht="20" customHeight="1">
      <x:c r="A18" s="57" t="str">
        <x:v>现金分红支付率</x:v>
      </x:c>
      <x:c r="B18" s="100" t="n">
        <x:f>'Valuation Driver Build'!G19</x:f>
        <x:v>0.4</x:v>
      </x:c>
      <x:c r="C18" s="100" t="n">
        <x:f>'Valuation Driver Build'!H19</x:f>
        <x:v>0.4</x:v>
      </x:c>
      <x:c r="D18" s="100" t="n">
        <x:f>'Valuation Driver Build'!I19</x:f>
        <x:v>0.4</x:v>
      </x:c>
      <x:c r="E18" s="100" t="n">
        <x:f>'Valuation Driver Build'!J19</x:f>
        <x:v>0.4</x:v>
      </x:c>
      <x:c r="F18" s="100" t="n">
        <x:f>'Valuation Driver Build'!K19</x:f>
        <x:v>0.4</x:v>
      </x:c>
      <x:c r="G18" s="100" t="n">
        <x:f>'Valuation Driver Build'!L19</x:f>
        <x:v>0.4</x:v>
      </x:c>
    </x:row>
    <x:row r="19" ht="20" customHeight="1">
      <x:c r="A19" s="57" t="str">
        <x:v>每股现金分红</x:v>
      </x:c>
      <x:c r="B19" s="99" t="n">
        <x:f>B15*B18</x:f>
        <x:v>7.120000000000001</x:v>
      </x:c>
      <x:c r="C19" s="99" t="n">
        <x:f>C15*C18</x:f>
        <x:v>7.583327178071535</x:v>
      </x:c>
      <x:c r="D19" s="99" t="n">
        <x:f>D15*D18</x:f>
        <x:v>8.235295111703627</x:v>
      </x:c>
      <x:c r="E19" s="99" t="n">
        <x:f>E15*E18</x:f>
        <x:v>8.900256828797708</x:v>
      </x:c>
      <x:c r="F19" s="99" t="n">
        <x:f>F15*F18</x:f>
        <x:v>9.618196265110825</x:v>
      </x:c>
      <x:c r="G19" s="99" t="n">
        <x:f>G15*G18</x:f>
        <x:v>10.393289004423785</x:v>
      </x:c>
    </x:row>
    <x:row r="20" ht="20" customHeight="1">
      <x:c r="A20" s="57" t="str">
        <x:v>退出 PE</x:v>
      </x:c>
      <x:c r="B20" s="103" t="n">
        <x:f>$B$10</x:f>
        <x:v>25</x:v>
      </x:c>
      <x:c r="C20" s="103" t="n">
        <x:f>$B$10</x:f>
        <x:v>25</x:v>
      </x:c>
      <x:c r="D20" s="103" t="n">
        <x:f>$B$10</x:f>
        <x:v>25</x:v>
      </x:c>
      <x:c r="E20" s="103" t="n">
        <x:f>$B$10</x:f>
        <x:v>25</x:v>
      </x:c>
      <x:c r="F20" s="103" t="n">
        <x:f>$B$10</x:f>
        <x:v>25</x:v>
      </x:c>
      <x:c r="G20" s="103" t="n">
        <x:f>$B$10</x:f>
        <x:v>25</x:v>
      </x:c>
    </x:row>
    <x:row r="21" ht="20" customHeight="1">
      <x:c r="A21" s="57" t="str">
        <x:v>退出价值 / 每股</x:v>
      </x:c>
      <x:c r="B21" s="99" t="n">
        <x:f>B15*B20</x:f>
        <x:v>445</x:v>
      </x:c>
      <x:c r="C21" s="99" t="n">
        <x:f>C15*C20</x:f>
        <x:v>473.95794862947093</x:v>
      </x:c>
      <x:c r="D21" s="99" t="n">
        <x:f>D15*D20</x:f>
        <x:v>514.7059444814766</x:v>
      </x:c>
      <x:c r="E21" s="99" t="n">
        <x:f>E15*E20</x:f>
        <x:v>556.2660517998568</x:v>
      </x:c>
      <x:c r="F21" s="99" t="n">
        <x:f>F15*F20</x:f>
        <x:v>601.1372665694265</x:v>
      </x:c>
      <x:c r="G21" s="99" t="n">
        <x:f>G15*G20</x:f>
        <x:v>649.5805627764864</x:v>
      </x:c>
    </x:row>
    <x:row r="22" ht="20" customHeight="1">
      <x:c r="A22" s="57" t="str">
        <x:v>FCF 转换率</x:v>
      </x:c>
      <x:c r="B22" s="100" t="n">
        <x:f>'Valuation Driver Build'!G17</x:f>
        <x:v>0.7</x:v>
      </x:c>
      <x:c r="C22" s="100" t="n">
        <x:f>'Valuation Driver Build'!H17</x:f>
        <x:v>0.75</x:v>
      </x:c>
      <x:c r="D22" s="100" t="n">
        <x:f>'Valuation Driver Build'!I17</x:f>
        <x:v>0.77</x:v>
      </x:c>
      <x:c r="E22" s="100" t="n">
        <x:f>'Valuation Driver Build'!J17</x:f>
        <x:v>0.78</x:v>
      </x:c>
      <x:c r="F22" s="100" t="n">
        <x:f>'Valuation Driver Build'!K17</x:f>
        <x:v>0.78</x:v>
      </x:c>
      <x:c r="G22" s="100" t="n">
        <x:f>'Valuation Driver Build'!L17</x:f>
        <x:v>0.78</x:v>
      </x:c>
    </x:row>
    <x:row r="23" ht="20" customHeight="1">
      <x:c r="A23" s="57" t="str">
        <x:v>FCF</x:v>
      </x:c>
      <x:c r="B23" s="104" t="n">
        <x:f>'Valuation Driver Build'!G18</x:f>
        <x:v>5842.114554639999</x:v>
      </x:c>
      <x:c r="C23" s="104" t="n">
        <x:f>'Valuation Driver Build'!H18</x:f>
        <x:v>6583.292354700001</x:v>
      </x:c>
      <x:c r="D23" s="104" t="n">
        <x:f>'Valuation Driver Build'!I18</x:f>
        <x:v>7193.1323695808505</x:v>
      </x:c>
      <x:c r="E23" s="104" t="n">
        <x:f>'Valuation Driver Build'!J18</x:f>
        <x:v>7717.40652331631</x:v>
      </x:c>
      <x:c r="F23" s="104" t="n">
        <x:f>'Valuation Driver Build'!K18</x:f>
        <x:v>8173.132684391455</x:v>
      </x:c>
      <x:c r="G23" s="104" t="n">
        <x:f>'Valuation Driver Build'!L18</x:f>
        <x:v>8655.13794526582</x:v>
      </x:c>
    </x:row>
    <x:row r="24" ht="20" customHeight="1">
      <x:c r="A24" s="57" t="str">
        <x:v>调整后净利润</x:v>
      </x:c>
      <x:c r="B24" s="104" t="n">
        <x:f>'Valuation Driver Build'!G10</x:f>
        <x:v>8345.8779352</x:v>
      </x:c>
      <x:c r="C24" s="104" t="n">
        <x:f>'Valuation Driver Build'!H10</x:f>
        <x:v>8777.7231396</x:v>
      </x:c>
      <x:c r="D24" s="104" t="n">
        <x:f>'Valuation Driver Build'!I10</x:f>
        <x:v>9341.730350105001</x:v>
      </x:c>
      <x:c r="E24" s="104" t="n">
        <x:f>'Valuation Driver Build'!J10</x:f>
        <x:v>9894.110927328602</x:v>
      </x:c>
      <x:c r="F24" s="104" t="n">
        <x:f>'Valuation Driver Build'!K10</x:f>
        <x:v>10478.3752363993</x:v>
      </x:c>
      <x:c r="G24" s="104" t="n">
        <x:f>'Valuation Driver Build'!L10</x:f>
        <x:v>11096.330699058744</x:v>
      </x:c>
    </x:row>
    <x:row r="27" ht="20" customHeight="1">
      <x:c r="A27" s="52" t="str">
        <x:v>估值结果</x:v>
      </x:c>
      <x:c r="B27" s="52"/>
      <x:c r="C27" s="52"/>
      <x:c r="D27" s="52"/>
      <x:c r="E27" s="52"/>
      <x:c r="F27" s="52"/>
      <x:c r="G27" s="52"/>
    </x:row>
    <x:row r="28" ht="26" customHeight="1">
      <x:c r="A28" s="92" t="str">
        <x:v>指标</x:v>
      </x:c>
      <x:c r="B28" s="92" t="str">
        <x:v>2 年持有</x:v>
      </x:c>
      <x:c r="C28" s="92" t="str">
        <x:v>5 年持有</x:v>
      </x:c>
      <x:c r="D28" s="92" t="str">
        <x:v>说明</x:v>
      </x:c>
    </x:row>
    <x:row r="29" ht="20" customHeight="1">
      <x:c r="A29" s="57" t="str">
        <x:v>退出年度</x:v>
      </x:c>
      <x:c r="B29" s="59" t="str">
        <x:v>FY2028E</x:v>
      </x:c>
      <x:c r="C29" s="59" t="str">
        <x:v>FY2031E</x:v>
      </x:c>
      <x:c r="D29" s="57" t="str">
        <x:v>估值基期为 FY2026E 年结日</x:v>
      </x:c>
    </x:row>
    <x:row r="30" ht="20" customHeight="1">
      <x:c r="A30" s="57" t="str">
        <x:v>退出 EPS</x:v>
      </x:c>
      <x:c r="B30" s="99" t="n">
        <x:f>D15</x:f>
        <x:v>20.588237779259064</x:v>
      </x:c>
      <x:c r="C30" s="99" t="n">
        <x:f>G15</x:f>
        <x:v>25.98322251105946</x:v>
      </x:c>
      <x:c r="D30" s="57" t="str"/>
    </x:row>
    <x:row r="31" ht="20" customHeight="1">
      <x:c r="A31" s="57" t="str">
        <x:v>退出 PE</x:v>
      </x:c>
      <x:c r="B31" s="99" t="n">
        <x:f>D20</x:f>
        <x:v>25</x:v>
      </x:c>
      <x:c r="C31" s="99" t="n">
        <x:f>G20</x:f>
        <x:v>25</x:v>
      </x:c>
      <x:c r="D31" s="57" t="str">
        <x:v>直接输入</x:v>
      </x:c>
    </x:row>
    <x:row r="32" ht="20" customHeight="1">
      <x:c r="A32" s="57" t="str">
        <x:v>退出价值 / 每股</x:v>
      </x:c>
      <x:c r="B32" s="99" t="n">
        <x:f>D21</x:f>
        <x:v>514.7059444814766</x:v>
      </x:c>
      <x:c r="C32" s="99" t="n">
        <x:f>G21</x:f>
        <x:v>649.5805627764864</x:v>
      </x:c>
      <x:c r="D32" s="57" t="str"/>
    </x:row>
    <x:row r="33" ht="20" customHeight="1">
      <x:c r="A33" s="57" t="str">
        <x:v>持有期现金分红 / 每股</x:v>
      </x:c>
      <x:c r="B33" s="99" t="n">
        <x:f>C19+D19</x:f>
        <x:v>15.818622289775162</x:v>
      </x:c>
      <x:c r="C33" s="99" t="n">
        <x:f>C19+D19+E19+F19+G19</x:f>
        <x:v>44.73036438810748</x:v>
      </x:c>
      <x:c r="D33" s="57" t="str">
        <x:v>仅含 FY2027E 起的现金分红</x:v>
      </x:c>
    </x:row>
    <x:row r="34" ht="20" customHeight="1">
      <x:c r="A34" s="57" t="str">
        <x:v>目标买入价 / 每股</x:v>
      </x:c>
      <x:c r="B34" s="99" t="n">
        <x:f>C19/(1+$B$9)+(D19+D21)/(1+$B$9)^2</x:f>
        <x:v>439.0767764372388</x:v>
      </x:c>
      <x:c r="C34" s="99" t="n">
        <x:f>C19/(1+$B$9)+D19/(1+$B$9)^2+E19/(1+$B$9)^3+F19/(1+$B$9)^4+(G19+G21)/(1+$B$9)^5</x:f>
        <x:v>436.74805220114695</x:v>
      </x:c>
      <x:c r="D34" s="57" t="str">
        <x:v>按要求回报率折现终值和分红</x:v>
      </x:c>
    </x:row>
    <x:row r="35" ht="20" customHeight="1">
      <x:c r="A35" s="57" t="str">
        <x:v>当前股价</x:v>
      </x:c>
      <x:c r="B35" s="99" t="n">
        <x:f>$B$6</x:f>
        <x:v>0</x:v>
      </x:c>
      <x:c r="C35" s="99" t="n">
        <x:f>$B$6</x:f>
        <x:v>0</x:v>
      </x:c>
      <x:c r="D35" s="57" t="str">
        <x:v>链接估值输入</x:v>
      </x:c>
    </x:row>
    <x:row r="36" ht="20" customHeight="1">
      <x:c r="A36" s="57" t="str">
        <x:v>股东回报 IRR</x:v>
      </x:c>
      <x:c r="B36" s="100" t="str">
        <x:f>IF($B$6="","",IRR(B42:D42))</x:f>
      </x:c>
      <x:c r="C36" s="100" t="str">
        <x:f>IF($B$6="","",IRR(B41:G41))</x:f>
      </x:c>
      <x:c r="D36" s="57" t="str">
        <x:v>当前股价填入后自动计算</x:v>
      </x:c>
    </x:row>
    <x:row r="39" ht="20" customHeight="1">
      <x:c r="A39" s="52" t="str">
        <x:v>IRR 现金流核对</x:v>
      </x:c>
      <x:c r="B39" s="52"/>
      <x:c r="C39" s="52"/>
      <x:c r="D39" s="52"/>
      <x:c r="E39" s="52"/>
      <x:c r="F39" s="52"/>
      <x:c r="G39" s="52"/>
    </x:row>
    <x:row r="40" ht="24" customHeight="1">
      <x:c r="A40" s="94" t="str">
        <x:v>期间</x:v>
      </x:c>
      <x:c r="B40" s="94" t="str">
        <x:v>起点</x:v>
      </x:c>
      <x:c r="C40" s="94" t="str">
        <x:v>FY2027E</x:v>
      </x:c>
      <x:c r="D40" s="94" t="str">
        <x:v>FY2028E</x:v>
      </x:c>
      <x:c r="E40" s="94" t="str">
        <x:v>FY2029E</x:v>
      </x:c>
      <x:c r="F40" s="94" t="str">
        <x:v>FY2030E</x:v>
      </x:c>
      <x:c r="G40" s="94" t="str">
        <x:v>FY2031E</x:v>
      </x:c>
    </x:row>
    <x:row r="41" ht="20" customHeight="1">
      <x:c r="A41" s="57" t="str">
        <x:v>5 年</x:v>
      </x:c>
      <x:c r="B41" s="57" t="n">
        <x:f>-$B$6</x:f>
        <x:v>0</x:v>
      </x:c>
      <x:c r="C41" s="57" t="n">
        <x:f>C19</x:f>
        <x:v>7.583327178071535</x:v>
      </x:c>
      <x:c r="D41" s="57" t="n">
        <x:f>D19</x:f>
        <x:v>8.235295111703627</x:v>
      </x:c>
      <x:c r="E41" s="57" t="n">
        <x:f>E19</x:f>
        <x:v>8.900256828797708</x:v>
      </x:c>
      <x:c r="F41" s="57" t="n">
        <x:f>F19</x:f>
        <x:v>9.618196265110825</x:v>
      </x:c>
      <x:c r="G41" s="57" t="n">
        <x:f>G19+G21</x:f>
        <x:v>659.9738517809102</x:v>
      </x:c>
    </x:row>
    <x:row r="42" ht="20" customHeight="1">
      <x:c r="A42" s="57" t="str">
        <x:v>2 年</x:v>
      </x:c>
      <x:c r="B42" s="57" t="n">
        <x:f>-$B$6</x:f>
        <x:v>0</x:v>
      </x:c>
      <x:c r="C42" s="57" t="n">
        <x:f>C19</x:f>
        <x:v>7.583327178071535</x:v>
      </x:c>
      <x:c r="D42" s="57" t="n">
        <x:f>D19+D21</x:f>
        <x:v>522.9412395931803</x:v>
      </x:c>
      <x:c r="E42" s="57" t="str"/>
      <x:c r="F42" s="57" t="str"/>
      <x:c r="G42" s="57" t="str"/>
    </x:row>
    <x:row r="45" ht="20" customHeight="1">
      <x:c r="A45" s="52" t="str">
        <x:v>使用说明与限制</x:v>
      </x:c>
      <x:c r="B45" s="52"/>
      <x:c r="C45" s="52"/>
      <x:c r="D45" s="52"/>
      <x:c r="E45" s="52"/>
      <x:c r="F45" s="52"/>
      <x:c r="G45" s="52"/>
    </x:row>
    <x:row r="46" ht="18" customHeight="1">
      <x:c r="A46" s="49" t="str">
        <x:v>1. 该模型采用直接退出 PE 的股东回报方法。退出 PE 是直接输入值，不再乘以缩股参数；缩股通过稀释后股数和 EPS 路径单独体现。</x:v>
      </x:c>
      <x:c r="B46" s="49"/>
      <x:c r="C46" s="49"/>
      <x:c r="D46" s="49"/>
      <x:c r="E46" s="49"/>
      <x:c r="F46" s="49"/>
      <x:c r="G46" s="49"/>
    </x:row>
    <x:row r="47" ht="18" customHeight="1">
      <x:c r="A47" s="49" t="str">
        <x:v>2. FCF = OCF - Capex。FY2026 资本开支使用管理层 $5.5–6.0B 指引中值；FCF 转换率为预测参数，需在实际现金流披露后复核。</x:v>
      </x:c>
      <x:c r="B47" s="49"/>
      <x:c r="C47" s="49"/>
      <x:c r="D47" s="49"/>
      <x:c r="E47" s="49"/>
      <x:c r="F47" s="49"/>
      <x:c r="G47" s="49"/>
    </x:row>
    <x:row r="48" ht="18" customHeight="1">
      <x:c r="A48" s="49" t="str">
        <x:v>3. FY2025及近期季度的 EPS/净利润为管理层调整后口径；历史 GAAP 指标保留在 Valuation Driver Build 右侧作为校准，不得混用。</x:v>
      </x:c>
      <x:c r="B48" s="49"/>
      <x:c r="C48" s="49"/>
      <x:c r="D48" s="49"/>
      <x:c r="E48" s="49"/>
      <x:c r="F48" s="49"/>
      <x:c r="G48" s="49"/>
    </x:row>
    <x:row r="49" ht="18" customHeight="1">
      <x:c r="A49" s="49" t="str">
        <x:v>4. 当前股价为唯一必须由用户按估值日补充的外部市场输入；未填时目标买入价仍可计算，但 IRR 和当前市值状态显示为待补充。</x:v>
      </x:c>
      <x:c r="B49" s="49"/>
      <x:c r="C49" s="49"/>
      <x:c r="D49" s="49"/>
      <x:c r="E49" s="49"/>
      <x:c r="F49" s="49"/>
      <x:c r="G49" s="49"/>
    </x:row>
  </x:sheetData>
  <x:pageMargins left="0.7" right="0.7" top="0.75" bottom="0.75" header="0.3" footer="0.3"/>
</x:worksheet>
</file>